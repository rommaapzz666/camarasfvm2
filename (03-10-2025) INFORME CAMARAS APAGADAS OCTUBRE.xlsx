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8_{946C3DF5-86D6-4917-9EE4-AF143452E4F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TOTAL'!$A$7:$AQ$549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5" l="1"/>
  <c r="G6" i="25" s="1"/>
  <c r="F5" i="25"/>
  <c r="D10" i="24" s="1"/>
  <c r="K549" i="2"/>
  <c r="I549" i="2"/>
  <c r="AJ5" i="25"/>
  <c r="AQ3" i="2"/>
  <c r="AQ4" i="2"/>
  <c r="AQ5" i="2"/>
  <c r="AQ6" i="2"/>
  <c r="I22" i="2"/>
  <c r="B4" i="25"/>
  <c r="C345" i="24" s="1"/>
  <c r="B2" i="25"/>
  <c r="C344" i="24" s="1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AB6" i="25" l="1"/>
  <c r="W6" i="25"/>
  <c r="L549" i="2"/>
  <c r="L161" i="2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D15" i="24" s="1"/>
  <c r="D16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<sst xmlns="http://schemas.openxmlformats.org/spreadsheetml/2006/main" count="4928" uniqueCount="2136">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</sst>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51"/>
  <sheetViews>
    <sheetView tabSelected="1" zoomScale="55" zoomScaleNormal="55" workbookViewId="0">
      <pane xSplit="12" ySplit="7" topLeftCell="M270" activePane="bottomRight" state="frozen"/>
      <selection pane="topRight" activeCell="M1" sqref="M1"/>
      <selection pane="bottomLeft" activeCell="A5" sqref="A5"/>
      <selection pane="bottomRight" activeCell="O297" sqref="O29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COUNTA(B8:B703)</f>
        <v>542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7.979626485568761E-2</v>
      </c>
      <c r="N1" s="3">
        <f t="shared" si="0"/>
        <v>8.4459459459459457E-2</v>
      </c>
      <c r="O1" s="3">
        <f t="shared" si="0"/>
        <v>7.8231292517006806E-2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542</v>
      </c>
      <c r="N2" s="7">
        <f t="shared" si="3"/>
        <v>542</v>
      </c>
      <c r="O2" s="7">
        <f t="shared" si="3"/>
        <v>542</v>
      </c>
      <c r="P2" s="7">
        <f t="shared" si="3"/>
        <v>542</v>
      </c>
      <c r="Q2" s="7">
        <f t="shared" si="3"/>
        <v>542</v>
      </c>
      <c r="R2" s="7">
        <f t="shared" si="3"/>
        <v>542</v>
      </c>
      <c r="S2" s="7">
        <f t="shared" si="3"/>
        <v>542</v>
      </c>
      <c r="T2" s="7">
        <f t="shared" si="3"/>
        <v>542</v>
      </c>
      <c r="U2" s="7">
        <f t="shared" si="3"/>
        <v>542</v>
      </c>
      <c r="V2" s="7">
        <f t="shared" si="3"/>
        <v>542</v>
      </c>
      <c r="W2" s="7">
        <f t="shared" si="3"/>
        <v>542</v>
      </c>
      <c r="X2" s="7">
        <f t="shared" si="3"/>
        <v>542</v>
      </c>
      <c r="Y2" s="7">
        <f t="shared" si="3"/>
        <v>542</v>
      </c>
      <c r="Z2" s="7">
        <f t="shared" si="3"/>
        <v>542</v>
      </c>
      <c r="AA2" s="7">
        <f t="shared" si="3"/>
        <v>542</v>
      </c>
      <c r="AB2" s="7">
        <f t="shared" si="3"/>
        <v>542</v>
      </c>
      <c r="AC2" s="7">
        <f t="shared" si="3"/>
        <v>542</v>
      </c>
      <c r="AD2" s="7">
        <f t="shared" si="3"/>
        <v>542</v>
      </c>
      <c r="AE2" s="7">
        <f t="shared" si="3"/>
        <v>542</v>
      </c>
      <c r="AF2" s="7">
        <f t="shared" si="3"/>
        <v>542</v>
      </c>
      <c r="AG2" s="7">
        <f t="shared" si="3"/>
        <v>542</v>
      </c>
      <c r="AH2" s="7">
        <f t="shared" si="3"/>
        <v>542</v>
      </c>
      <c r="AI2" s="7">
        <f t="shared" si="3"/>
        <v>542</v>
      </c>
      <c r="AJ2" s="7">
        <f t="shared" si="3"/>
        <v>542</v>
      </c>
      <c r="AK2" s="7">
        <f t="shared" si="3"/>
        <v>542</v>
      </c>
      <c r="AL2" s="7">
        <f t="shared" si="3"/>
        <v>542</v>
      </c>
      <c r="AM2" s="7">
        <f t="shared" si="3"/>
        <v>542</v>
      </c>
      <c r="AN2" s="7">
        <f t="shared" si="3"/>
        <v>542</v>
      </c>
      <c r="AO2" s="7">
        <f t="shared" si="3"/>
        <v>542</v>
      </c>
      <c r="AP2" s="7">
        <f t="shared" si="3"/>
        <v>542</v>
      </c>
      <c r="AQ2" s="7">
        <f t="shared" si="3"/>
        <v>542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COUNTIF(M7:M703,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0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COUNTIFS(M8:M657, "=APAGADO",F8:F657,"=Fibra Optica")</f>
        <v>22</v>
      </c>
      <c r="N4" s="10">
        <f>COUNTIFS(N8:N657, "=APAGADO",F8:F657,"=Fibra Optica")</f>
        <v>25</v>
      </c>
      <c r="O4" s="10">
        <f>COUNTIFS(O8:O657, "=APAGADO",F8:F657,"=Fibra Optica")</f>
        <v>24</v>
      </c>
      <c r="P4" s="10">
        <f>COUNTIFS(P8:P657, "=APAGADO",F8:F657,"=Fibra Optica")</f>
        <v>0</v>
      </c>
      <c r="Q4" s="10">
        <f>COUNTIFS(Q8:Q657, "=APAGADO",F8:F657,"=Fibra Optica")</f>
        <v>0</v>
      </c>
      <c r="R4" s="10">
        <f>COUNTIFS(R8:R657, "=APAGADO",F8:F657,"=Fibra Optica")</f>
        <v>0</v>
      </c>
      <c r="S4" s="10">
        <f>COUNTIFS(S8:S657, "=APAGADO",F8:F657,"=Fibra Optica")</f>
        <v>0</v>
      </c>
      <c r="T4" s="10">
        <f>COUNTIFS(T8:T657, "=APAGADO",F8:F657,"=Fibra Optica")</f>
        <v>0</v>
      </c>
      <c r="U4" s="10">
        <f>COUNTIFS(U8:U657, "=APAGADO",F8:F657,"=Fibra Optica")</f>
        <v>0</v>
      </c>
      <c r="V4" s="10">
        <f>COUNTIFS(V8:V657, "=APAGADO",F8:F657,"=Fibra Optica")</f>
        <v>0</v>
      </c>
      <c r="W4" s="10">
        <f>COUNTIFS(W8:W657, "=APAGADO",F8:F657,"=Fibra Optica")</f>
        <v>0</v>
      </c>
      <c r="X4" s="10">
        <f>COUNTIFS(X8:X657, "=APAGADO",F8:F657,"=Fibra Optica")</f>
        <v>0</v>
      </c>
      <c r="Y4" s="10">
        <f>COUNTIFS(Y8:Y657, "=APAGADO",F8:F657,"=Fibra Optica")</f>
        <v>0</v>
      </c>
      <c r="Z4" s="10">
        <f>COUNTIFS(Z8:Z657, "=APAGADO",F8:F657,"=Fibra Optica")</f>
        <v>0</v>
      </c>
      <c r="AA4" s="10">
        <f>COUNTIFS(AA8:AA657, "=APAGADO",F8:F657,"=Fibra Optica")</f>
        <v>0</v>
      </c>
      <c r="AB4" s="10">
        <f>COUNTIFS(AB8:AB657, "=APAGADO",F8:F657,"=Fibra Optica")</f>
        <v>0</v>
      </c>
      <c r="AC4" s="10">
        <f>COUNTIFS(AC8:AC657, "=APAGADO",F8:F657,"=Fibra Optica")</f>
        <v>0</v>
      </c>
      <c r="AD4" s="10">
        <f>COUNTIFS(AD8:AD657, "=APAGADO",F8:F657,"=Fibra Optica")</f>
        <v>0</v>
      </c>
      <c r="AE4" s="10">
        <f>COUNTIFS(AE8:AE657, "=APAGADO",F8:F657,"=Fibra Optica")</f>
        <v>0</v>
      </c>
      <c r="AF4" s="10">
        <f>COUNTIFS(AF8:AF657, "=APAGADO",F8:F657,"=Fibra Optica")</f>
        <v>0</v>
      </c>
      <c r="AG4" s="10">
        <f>COUNTIFS(AG8:AG657, "=APAGADO",F8:F657,"=Fibra Optica")</f>
        <v>0</v>
      </c>
      <c r="AH4" s="10">
        <f>COUNTIFS(AH8:AH657, "=APAGADO",F8:F657,"=Fibra Optica")</f>
        <v>0</v>
      </c>
      <c r="AI4" s="10">
        <f>COUNTIFS(AI8:AI657, "=APAGADO",F8:F657,"=Fibra Optica")</f>
        <v>0</v>
      </c>
      <c r="AJ4" s="10">
        <f>COUNTIFS(AJ8:AJ657, "=APAGADO",F8:F657,"=Fibra Optica")</f>
        <v>0</v>
      </c>
      <c r="AK4" s="10">
        <f>COUNTIFS(AK8:AK657, "=APAGADO",F8:F657,"=Fibra Optica")</f>
        <v>0</v>
      </c>
      <c r="AL4" s="10">
        <f>COUNTIFS(AL8:AL657, "=APAGADO",F8:F657,"=Fibra Optica")</f>
        <v>0</v>
      </c>
      <c r="AM4" s="10">
        <f>COUNTIFS(AM8:AM657, "=APAGADO",F8:F657,"=Fibra Optica")</f>
        <v>0</v>
      </c>
      <c r="AN4" s="10">
        <f>COUNTIFS(AN8:AN657, "=APAGADO",F8:F657,"=Fibra Optica")</f>
        <v>0</v>
      </c>
      <c r="AO4" s="10">
        <f>COUNTIFS(AO8:AO657, "=APAGADO",F8:F657,"=Fibra Optica")</f>
        <v>0</v>
      </c>
      <c r="AP4" s="10">
        <f>COUNTIFS(AP8:AP657, "=APAGADO",F8:F657,"=Fibra Optica")</f>
        <v>0</v>
      </c>
      <c r="AQ4" s="10">
        <f>COUNTIFS(AQ8:AQ657, "=APAGADO",G8:G657,"=Fibra Optica")</f>
        <v>0</v>
      </c>
    </row>
    <row r="5" spans="1:43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COUNTIFS(M8:M657, "=APAGADO",F8:F657,"=RADIO")</f>
        <v>12</v>
      </c>
      <c r="N5" s="130">
        <f>COUNTIFS(N8:N657, "=APAGADO",F8:F657,"=RADIO")</f>
        <v>8</v>
      </c>
      <c r="O5" s="130">
        <f>COUNTIFS(O8:O657, "=APAGADO",F8:F657,"=RADIO")</f>
        <v>8</v>
      </c>
      <c r="P5" s="130">
        <f>COUNTIFS(P8:P657, "=APAGADO",F8:F657,"=RADIO")</f>
        <v>0</v>
      </c>
      <c r="Q5" s="130">
        <f>COUNTIFS(Q8:Q657, "=APAGADO",F8:F657,"=RADIO")</f>
        <v>0</v>
      </c>
      <c r="R5" s="130">
        <f>COUNTIFS(R8:R657, "=APAGADO",F8:F657,"=RADIO")</f>
        <v>0</v>
      </c>
      <c r="S5" s="130">
        <f>COUNTIFS(S8:S657, "=APAGADO",F8:F657,"=RADIO")</f>
        <v>0</v>
      </c>
      <c r="T5" s="130">
        <f>COUNTIFS(T8:T657, "=APAGADO",F8:F657,"=RADIO")</f>
        <v>0</v>
      </c>
      <c r="U5" s="130">
        <f>COUNTIFS(U8:U657, "=APAGADO",F8:F657,"=RADIO")</f>
        <v>0</v>
      </c>
      <c r="V5" s="130">
        <f>COUNTIFS(V8:V657, "=APAGADO",F8:F657,"=RADIO")</f>
        <v>0</v>
      </c>
      <c r="W5" s="130">
        <f>COUNTIFS(W8:W657, "=APAGADO",F8:F657,"=RADIO")</f>
        <v>0</v>
      </c>
      <c r="X5" s="130">
        <f>COUNTIFS(X8:X657, "=APAGADO",F8:F657,"=RADIO")</f>
        <v>0</v>
      </c>
      <c r="Y5" s="130">
        <f>COUNTIFS(Y8:Y657, "=APAGADO",F8:F657,"=RADIO")</f>
        <v>0</v>
      </c>
      <c r="Z5" s="130">
        <f>COUNTIFS(Z8:Z657, "=APAGADO",F8:F657,"=RADIO")</f>
        <v>0</v>
      </c>
      <c r="AA5" s="130">
        <f>COUNTIFS(AA8:AA657, "=APAGADO",F8:F657,"=RADIO")</f>
        <v>0</v>
      </c>
      <c r="AB5" s="130">
        <f>COUNTIFS(AB8:AB657, "=APAGADO",F8:F657,"=RADIO")</f>
        <v>0</v>
      </c>
      <c r="AC5" s="130">
        <f>COUNTIFS(AC8:AC657, "=APAGADO",F8:F657,"=RADIO")</f>
        <v>0</v>
      </c>
      <c r="AD5" s="130">
        <f>COUNTIFS(AD8:AD657, "=APAGADO",F8:F657,"=RADIO")</f>
        <v>0</v>
      </c>
      <c r="AE5" s="130">
        <f>COUNTIFS(AE8:AE657, "=APAGADO",F8:F657,"=RADIO")</f>
        <v>0</v>
      </c>
      <c r="AF5" s="130">
        <f>COUNTIFS(AF8:AF657, "=APAGADO",F8:F657,"=RADIO")</f>
        <v>0</v>
      </c>
      <c r="AG5" s="130">
        <f>COUNTIFS(AG8:AG657, "=APAGADO",F8:F657,"=RADIO")</f>
        <v>0</v>
      </c>
      <c r="AH5" s="130">
        <f>COUNTIFS(AH8:AH657, "=APAGADO",F8:F657,"=RADIO")</f>
        <v>0</v>
      </c>
      <c r="AI5" s="130">
        <f>COUNTIFS(AI8:AI657, "=APAGADO",F8:F657,"=RADIO")</f>
        <v>0</v>
      </c>
      <c r="AJ5" s="130">
        <f>COUNTIFS(AJ8:AJ657, "=APAGADO",F8:F657,"=RADIO")</f>
        <v>0</v>
      </c>
      <c r="AK5" s="130">
        <f>COUNTIFS(AK8:AK657, "=APAGADO",F8:F657,"=RADIO")</f>
        <v>0</v>
      </c>
      <c r="AL5" s="130">
        <f>COUNTIFS(AL8:AL657, "=APAGADO",F8:F657,"=RADIO")</f>
        <v>0</v>
      </c>
      <c r="AM5" s="130">
        <f>COUNTIFS(AM8:AM657, "=APAGADO",F8:F657,"=RADIO")</f>
        <v>0</v>
      </c>
      <c r="AN5" s="130">
        <f>COUNTIFS(AN8:AN657, "=APAGADO",F8:F657,"=RADIO")</f>
        <v>0</v>
      </c>
      <c r="AO5" s="130">
        <f>COUNTIFS(AO8:AO657, "=APAGADO",F8:F657,"=RADIO")</f>
        <v>0</v>
      </c>
      <c r="AP5" s="130">
        <f>COUNTIFS(AP8:AP657, "=APAGADO",F8:F657,"=RADIO")</f>
        <v>0</v>
      </c>
      <c r="AQ5" s="130">
        <f>COUNTIFS(AQ8:AQ657, "=APAGADO",G8:G657,"=RADIO")</f>
        <v>0</v>
      </c>
    </row>
    <row r="6" spans="1:43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COUNTIFS(M8:M657, "=APAGADO",F8:F657,"=PTO A FO")</f>
        <v>3</v>
      </c>
      <c r="N6" s="10">
        <f>COUNTIFS(N8:N657, "=APAGADO",F8:F657,"=PTO A FO")</f>
        <v>3</v>
      </c>
      <c r="O6" s="10">
        <f>COUNTIFS(O8:O657, "=APAGADO",F8:F657,"=PTO A FO")</f>
        <v>3</v>
      </c>
      <c r="P6" s="10">
        <f>COUNTIFS(P8:P657, "=APAGADO",F8:F657,"=PTO A FO")</f>
        <v>0</v>
      </c>
      <c r="Q6" s="10">
        <f>COUNTIFS(Q8:Q657, "=APAGADO",F8:F657,"=PTO A FO")</f>
        <v>0</v>
      </c>
      <c r="R6" s="10">
        <f>COUNTIFS(R8:R657, "=APAGADO",F8:F657,"=PTO A FO")</f>
        <v>0</v>
      </c>
      <c r="S6" s="10">
        <f>COUNTIFS(S8:S657, "=APAGADO",F8:F657,"=PTO A FO")</f>
        <v>0</v>
      </c>
      <c r="T6" s="10">
        <f>COUNTIFS(T8:T657, "=APAGADO",F8:F657,"=PTO A FO")</f>
        <v>0</v>
      </c>
      <c r="U6" s="10">
        <f>COUNTIFS(U8:U657, "=APAGADO",F8:F657,"=PTO A FO")</f>
        <v>0</v>
      </c>
      <c r="V6" s="10">
        <f>COUNTIFS(V8:V657, "=APAGADO",F8:F657,"=PTO A FO")</f>
        <v>0</v>
      </c>
      <c r="W6" s="10">
        <f>COUNTIFS(W8:W657, "=APAGADO",F8:F657,"=PTO A FO")</f>
        <v>0</v>
      </c>
      <c r="X6" s="10">
        <f>COUNTIFS(X8:X657, "=APAGADO",F8:F657,"=PTO A FO")</f>
        <v>0</v>
      </c>
      <c r="Y6" s="10">
        <f>COUNTIFS(Y8:Y657, "=APAGADO",F8:F657,"=PTO A FO")</f>
        <v>0</v>
      </c>
      <c r="Z6" s="10">
        <f>COUNTIFS(Z8:Z657, "=APAGADO",F8:F657,"=PTO A FO")</f>
        <v>0</v>
      </c>
      <c r="AA6" s="10">
        <f>COUNTIFS(AA8:AA657, "=APAGADO",F8:F657,"=PTO A FO")</f>
        <v>0</v>
      </c>
      <c r="AB6" s="10">
        <f>COUNTIFS(AB8:AB657, "=APAGADO",F8:F657,"=PTO A FO")</f>
        <v>0</v>
      </c>
      <c r="AC6" s="10">
        <f>COUNTIFS(AC8:AC657, "=APAGADO",F8:F657,"=PTO A FO")</f>
        <v>0</v>
      </c>
      <c r="AD6" s="10">
        <f>COUNTIFS(AD8:AD657, "=APAGADO",F8:F657,"=PTO A FO")</f>
        <v>0</v>
      </c>
      <c r="AE6" s="10">
        <f>COUNTIFS(AE8:AE657, "=APAGADO",F8:F657,"=PTO A FO")</f>
        <v>0</v>
      </c>
      <c r="AF6" s="10">
        <f>COUNTIFS(AF8:AF657, "=APAGADO",F8:F657,"=PTO A FO")</f>
        <v>0</v>
      </c>
      <c r="AG6" s="10">
        <f>COUNTIFS(AG8:AG657, "=APAGADO",F8:F657,"=PTO A FO")</f>
        <v>0</v>
      </c>
      <c r="AH6" s="10">
        <f>COUNTIFS(AH8:AH657, "=APAGADO",F8:F657,"=PTO A FO")</f>
        <v>0</v>
      </c>
      <c r="AI6" s="10">
        <f>COUNTIFS(AI8:AI657, "=APAGADO",F8:F657,"=PTO A FO")</f>
        <v>0</v>
      </c>
      <c r="AJ6" s="10">
        <f>COUNTIFS(AJ8:AJ657, "=APAGADO",F8:F657,"=PTO A FO")</f>
        <v>0</v>
      </c>
      <c r="AK6" s="10">
        <f>COUNTIFS(AK8:AK657, "=APAGADO",F8:F657,"=PTO A FO")</f>
        <v>0</v>
      </c>
      <c r="AL6" s="10">
        <f>COUNTIFS(AL8:AL657, "=APAGADO",F8:F657,"=PTO A FO")</f>
        <v>0</v>
      </c>
      <c r="AM6" s="10">
        <f>COUNTIFS(AM8:AM657, "=APAGADO",F8:F657,"=PTO A FO")</f>
        <v>0</v>
      </c>
      <c r="AN6" s="10">
        <f>COUNTIFS(AN8:AN657, "=APAGADO",F8:F657,"=PTO A FO")</f>
        <v>0</v>
      </c>
      <c r="AO6" s="10">
        <f>COUNTIFS(AO8:AO657, "=APAGADO",F8:F657,"=PTO A FO")</f>
        <v>0</v>
      </c>
      <c r="AP6" s="10">
        <f>COUNTIFS(AP8:AP657, "=APAGADO",F8:F657,"=PTO A FO")</f>
        <v>0</v>
      </c>
      <c r="AQ6" s="10">
        <f>COUNTIFS(AQ8:AQ657, "=APAGADO",G8:G657,"=PTO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5">COUNTIF(M8:AN8,"")</f>
        <v>28</v>
      </c>
      <c r="J8" s="148" t="s">
        <v>1675</v>
      </c>
      <c r="K8" s="31">
        <f t="shared" ref="K8:K82" si="6">COUNTIF(M8:AN8,"APAGADO")</f>
        <v>0</v>
      </c>
      <c r="L8" s="32">
        <f t="shared" ref="L8:L82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5"/>
        <v>28</v>
      </c>
      <c r="J9" s="148" t="s">
        <v>1676</v>
      </c>
      <c r="K9" s="31">
        <f t="shared" si="6"/>
        <v>0</v>
      </c>
      <c r="L9" s="32">
        <f t="shared" si="7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5"/>
        <v>28</v>
      </c>
      <c r="J10" s="148" t="s">
        <v>1677</v>
      </c>
      <c r="K10" s="143">
        <f t="shared" si="6"/>
        <v>0</v>
      </c>
      <c r="L10" s="144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5"/>
        <v>28</v>
      </c>
      <c r="J11" s="148" t="s">
        <v>1678</v>
      </c>
      <c r="K11" s="143">
        <f t="shared" si="6"/>
        <v>0</v>
      </c>
      <c r="L11" s="144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5"/>
        <v>28</v>
      </c>
      <c r="J12" s="150" t="s">
        <v>1679</v>
      </c>
      <c r="K12" s="143">
        <f t="shared" si="6"/>
        <v>0</v>
      </c>
      <c r="L12" s="144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5"/>
        <v>28</v>
      </c>
      <c r="J13" s="148" t="s">
        <v>1680</v>
      </c>
      <c r="K13" s="143">
        <f t="shared" si="6"/>
        <v>0</v>
      </c>
      <c r="L13" s="144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5"/>
        <v>28</v>
      </c>
      <c r="J14" s="148" t="s">
        <v>1681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8" t="s">
        <v>1682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8" t="s">
        <v>1683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5"/>
        <v>28</v>
      </c>
      <c r="J17" s="151" t="s">
        <v>1684</v>
      </c>
      <c r="K17" s="143">
        <f t="shared" si="6"/>
        <v>0</v>
      </c>
      <c r="L17" s="144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5"/>
        <v>28</v>
      </c>
      <c r="J18" s="87"/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26</v>
      </c>
      <c r="J19" s="148" t="s">
        <v>1685</v>
      </c>
      <c r="K19" s="31">
        <f t="shared" si="6"/>
        <v>2</v>
      </c>
      <c r="L19" s="32">
        <f t="shared" si="7"/>
        <v>0.9285714285714286</v>
      </c>
      <c r="M19" s="70"/>
      <c r="N19" s="70" t="s">
        <v>2130</v>
      </c>
      <c r="O19" s="70" t="s">
        <v>2130</v>
      </c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143"/>
      <c r="J20" s="148" t="s">
        <v>1686</v>
      </c>
      <c r="K20" s="143"/>
      <c r="L20" s="144"/>
      <c r="M20" s="70"/>
      <c r="N20" s="70" t="s">
        <v>2130</v>
      </c>
      <c r="O20" s="70" t="s">
        <v>2130</v>
      </c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143"/>
      <c r="J21" s="148" t="s">
        <v>1687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8" t="s">
        <v>1688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5"/>
        <v>28</v>
      </c>
      <c r="J23" s="148" t="s">
        <v>1689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5"/>
        <v>28</v>
      </c>
      <c r="J24" s="148" t="s">
        <v>1690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5"/>
        <v>28</v>
      </c>
      <c r="J25" s="148" t="s">
        <v>1691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5"/>
        <v>28</v>
      </c>
      <c r="J26" s="148" t="s">
        <v>1692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28</v>
      </c>
      <c r="J27" s="148" t="s">
        <v>1693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5"/>
        <v>28</v>
      </c>
      <c r="J28" s="148" t="s">
        <v>1694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5"/>
        <v>28</v>
      </c>
      <c r="J29" s="148" t="s">
        <v>1695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5"/>
        <v>28</v>
      </c>
      <c r="J30" s="148" t="s">
        <v>1696</v>
      </c>
      <c r="K30" s="143">
        <f t="shared" si="6"/>
        <v>0</v>
      </c>
      <c r="L30" s="144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73</v>
      </c>
      <c r="F31" s="85" t="s">
        <v>1306</v>
      </c>
      <c r="G31" s="85"/>
      <c r="H31" s="85" t="s">
        <v>1609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5"/>
        <v>26</v>
      </c>
      <c r="J34" s="148" t="s">
        <v>1697</v>
      </c>
      <c r="K34" s="134">
        <f t="shared" si="6"/>
        <v>2</v>
      </c>
      <c r="L34" s="135">
        <f t="shared" si="7"/>
        <v>0.9285714285714286</v>
      </c>
      <c r="M34" s="136" t="s">
        <v>2130</v>
      </c>
      <c r="N34" s="136"/>
      <c r="O34" s="136" t="s">
        <v>2130</v>
      </c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5"/>
        <v>25</v>
      </c>
      <c r="J35" s="87"/>
      <c r="K35" s="143">
        <f t="shared" si="6"/>
        <v>3</v>
      </c>
      <c r="L35" s="144">
        <f t="shared" si="7"/>
        <v>0.8928571428571429</v>
      </c>
      <c r="M35" s="70" t="s">
        <v>2130</v>
      </c>
      <c r="N35" s="70" t="s">
        <v>2130</v>
      </c>
      <c r="O35" s="70" t="s">
        <v>2130</v>
      </c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5"/>
        <v>28</v>
      </c>
      <c r="J37" s="148" t="s">
        <v>1698</v>
      </c>
      <c r="K37" s="31">
        <f t="shared" si="6"/>
        <v>0</v>
      </c>
      <c r="L37" s="32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5"/>
        <v>28</v>
      </c>
      <c r="J38" s="148" t="s">
        <v>1699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1464</v>
      </c>
      <c r="B39" s="30" t="s">
        <v>1647</v>
      </c>
      <c r="C39" t="s">
        <v>1067</v>
      </c>
      <c r="D39" t="s">
        <v>1649</v>
      </c>
      <c r="E39" s="30" t="s">
        <v>73</v>
      </c>
      <c r="F39" s="30" t="s">
        <v>28</v>
      </c>
      <c r="G39" s="30"/>
      <c r="H39" s="85" t="s">
        <v>1650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1464</v>
      </c>
      <c r="B40" s="30" t="s">
        <v>1648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1651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1464</v>
      </c>
      <c r="B41" s="30" t="s">
        <v>1655</v>
      </c>
      <c r="C41" t="s">
        <v>1067</v>
      </c>
      <c r="D41" t="s">
        <v>1649</v>
      </c>
      <c r="E41" s="30" t="s">
        <v>19</v>
      </c>
      <c r="F41" s="30" t="s">
        <v>28</v>
      </c>
      <c r="G41" s="30"/>
      <c r="H41" s="85" t="s">
        <v>1653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1464</v>
      </c>
      <c r="B42" s="30" t="s">
        <v>1656</v>
      </c>
      <c r="C42" t="s">
        <v>1067</v>
      </c>
      <c r="D42" t="s">
        <v>1657</v>
      </c>
      <c r="E42" s="30" t="s">
        <v>19</v>
      </c>
      <c r="F42" s="30" t="s">
        <v>28</v>
      </c>
      <c r="G42" s="30"/>
      <c r="H42" s="85" t="s">
        <v>1658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5"/>
        <v>28</v>
      </c>
      <c r="J43" s="148" t="s">
        <v>1700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5"/>
        <v>28</v>
      </c>
      <c r="J44" s="148" t="s">
        <v>1701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5"/>
        <v>28</v>
      </c>
      <c r="J45" s="148" t="s">
        <v>1702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5"/>
        <v>28</v>
      </c>
      <c r="J46" s="148" t="s">
        <v>1703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5"/>
        <v>28</v>
      </c>
      <c r="J47" s="148" t="s">
        <v>1704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5"/>
        <v>28</v>
      </c>
      <c r="J48" s="148"/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5"/>
        <v>28</v>
      </c>
      <c r="J49" s="148" t="s">
        <v>1705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5"/>
        <v>28</v>
      </c>
      <c r="J50" s="148" t="s">
        <v>1706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5"/>
        <v>28</v>
      </c>
      <c r="J51" s="148" t="s">
        <v>1707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5"/>
        <v>28</v>
      </c>
      <c r="J52" s="148" t="s">
        <v>1708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5"/>
        <v>28</v>
      </c>
      <c r="J53" s="148" t="s">
        <v>1709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5"/>
        <v>28</v>
      </c>
      <c r="J54" s="148" t="s">
        <v>1710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5"/>
        <v>28</v>
      </c>
      <c r="J55" s="148" t="s">
        <v>1711</v>
      </c>
      <c r="K55" s="143">
        <f t="shared" si="6"/>
        <v>0</v>
      </c>
      <c r="L55" s="144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  <c r="AQ55" s="89"/>
    </row>
    <row r="56" spans="1:43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5"/>
        <v>28</v>
      </c>
      <c r="J56" s="148" t="s">
        <v>1712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5"/>
        <v>28</v>
      </c>
      <c r="J57" s="148" t="s">
        <v>1713</v>
      </c>
      <c r="K57" s="143">
        <f t="shared" si="6"/>
        <v>0</v>
      </c>
      <c r="L57" s="144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  <c r="AQ57" s="89"/>
    </row>
    <row r="58" spans="1:43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5"/>
        <v>28</v>
      </c>
      <c r="J58" s="148" t="s">
        <v>1714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5"/>
        <v>28</v>
      </c>
      <c r="J59" s="148" t="s">
        <v>1715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5"/>
        <v>28</v>
      </c>
      <c r="J60" s="148" t="s">
        <v>1716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5"/>
        <v>28</v>
      </c>
      <c r="J61" s="148" t="s">
        <v>1717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5"/>
        <v>28</v>
      </c>
      <c r="J62" s="148" t="s">
        <v>1718</v>
      </c>
      <c r="K62" s="143">
        <f t="shared" si="6"/>
        <v>0</v>
      </c>
      <c r="L62" s="144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  <c r="AQ62" s="89"/>
    </row>
    <row r="63" spans="1:43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5"/>
        <v>28</v>
      </c>
      <c r="J63" s="87"/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 spans="1:43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5"/>
        <v>28</v>
      </c>
      <c r="J64" s="148" t="s">
        <v>1719</v>
      </c>
      <c r="K64" s="143">
        <f t="shared" si="6"/>
        <v>0</v>
      </c>
      <c r="L64" s="144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  <c r="AQ64" s="89"/>
    </row>
    <row r="65" spans="1:43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5"/>
        <v>28</v>
      </c>
      <c r="J65" s="148" t="s">
        <v>1720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5"/>
        <v>28</v>
      </c>
      <c r="J66" s="148" t="s">
        <v>1721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5"/>
        <v>28</v>
      </c>
      <c r="J67" s="148" t="s">
        <v>1722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5"/>
        <v>28</v>
      </c>
      <c r="J68" s="148" t="s">
        <v>1723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5"/>
        <v>28</v>
      </c>
      <c r="J69" s="148" t="s">
        <v>1724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5"/>
        <v>28</v>
      </c>
      <c r="J70" s="148" t="s">
        <v>1725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5"/>
        <v>28</v>
      </c>
      <c r="J71" s="148" t="s">
        <v>1726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5"/>
        <v>28</v>
      </c>
      <c r="J72" s="148" t="s">
        <v>1727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5"/>
        <v>28</v>
      </c>
      <c r="J73" s="148" t="s">
        <v>1728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5"/>
        <v>28</v>
      </c>
      <c r="J74" s="148" t="s">
        <v>1729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5"/>
        <v>28</v>
      </c>
      <c r="J75" s="148" t="s">
        <v>1730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5"/>
        <v>28</v>
      </c>
      <c r="J76" s="148" t="s">
        <v>1731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5"/>
        <v>28</v>
      </c>
      <c r="J77" s="148" t="s">
        <v>1732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5"/>
        <v>28</v>
      </c>
      <c r="J78" s="148" t="s">
        <v>1733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5"/>
        <v>28</v>
      </c>
      <c r="J79" s="148" t="s">
        <v>1734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5"/>
        <v>28</v>
      </c>
      <c r="J80" s="148" t="s">
        <v>1735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5"/>
        <v>28</v>
      </c>
      <c r="J81" s="148" t="s">
        <v>1736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5"/>
        <v>28</v>
      </c>
      <c r="J82" s="148" t="s">
        <v>1737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8">COUNTIF(M83:AN83,"")</f>
        <v>28</v>
      </c>
      <c r="J83" s="148" t="s">
        <v>1738</v>
      </c>
      <c r="K83" s="31">
        <f t="shared" ref="K83:K155" si="9">COUNTIF(M83:AN83,"APAGADO")</f>
        <v>0</v>
      </c>
      <c r="L83" s="32">
        <f t="shared" ref="L83:L155" si="10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1529</v>
      </c>
      <c r="E84" s="85" t="s">
        <v>19</v>
      </c>
      <c r="F84" s="85" t="s">
        <v>1306</v>
      </c>
      <c r="G84" s="85"/>
      <c r="H84" s="85" t="s">
        <v>658</v>
      </c>
      <c r="I84" s="143">
        <f t="shared" si="8"/>
        <v>28</v>
      </c>
      <c r="J84" s="148" t="s">
        <v>1739</v>
      </c>
      <c r="K84" s="143">
        <f t="shared" si="9"/>
        <v>0</v>
      </c>
      <c r="L84" s="144">
        <f t="shared" si="10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  <c r="AQ84" s="89"/>
    </row>
    <row r="85" spans="1:43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8"/>
        <v>28</v>
      </c>
      <c r="J85" s="148" t="s">
        <v>1740</v>
      </c>
      <c r="K85" s="31">
        <f t="shared" si="9"/>
        <v>0</v>
      </c>
      <c r="L85" s="32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8"/>
        <v>28</v>
      </c>
      <c r="J86" s="148" t="s">
        <v>1741</v>
      </c>
      <c r="K86" s="31">
        <f t="shared" si="9"/>
        <v>0</v>
      </c>
      <c r="L86" s="32">
        <f t="shared" si="10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8"/>
        <v>28</v>
      </c>
      <c r="J87" s="148" t="s">
        <v>1742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8"/>
        <v>28</v>
      </c>
      <c r="J88" s="148" t="s">
        <v>1743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8"/>
        <v>28</v>
      </c>
      <c r="J89" s="148" t="s">
        <v>1744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8"/>
        <v>28</v>
      </c>
      <c r="J90" s="148" t="s">
        <v>1745</v>
      </c>
      <c r="K90" s="143">
        <f t="shared" si="9"/>
        <v>0</v>
      </c>
      <c r="L90" s="144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  <c r="AQ90" s="89"/>
    </row>
    <row r="91" spans="1:43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8"/>
        <v>28</v>
      </c>
      <c r="J91" s="151" t="s">
        <v>1746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8"/>
        <v>28</v>
      </c>
      <c r="J92" s="148" t="s">
        <v>1747</v>
      </c>
      <c r="K92" s="143">
        <f t="shared" si="9"/>
        <v>0</v>
      </c>
      <c r="L92" s="144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  <c r="AQ92" s="89"/>
    </row>
    <row r="93" spans="1:43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8"/>
        <v>28</v>
      </c>
      <c r="J93" s="148" t="s">
        <v>1748</v>
      </c>
      <c r="K93" s="143">
        <f t="shared" si="9"/>
        <v>0</v>
      </c>
      <c r="L93" s="144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8"/>
        <v>28</v>
      </c>
      <c r="J94" s="148" t="s">
        <v>1749</v>
      </c>
      <c r="K94" s="143">
        <f t="shared" si="9"/>
        <v>0</v>
      </c>
      <c r="L94" s="144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8"/>
        <v>28</v>
      </c>
      <c r="J95" s="148" t="s">
        <v>1750</v>
      </c>
      <c r="K95" s="143">
        <f t="shared" si="9"/>
        <v>0</v>
      </c>
      <c r="L95" s="144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8"/>
        <v>28</v>
      </c>
      <c r="J96" s="148" t="s">
        <v>1751</v>
      </c>
      <c r="K96" s="143">
        <f t="shared" si="9"/>
        <v>0</v>
      </c>
      <c r="L96" s="144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8"/>
        <v>28</v>
      </c>
      <c r="J97" s="148" t="s">
        <v>1752</v>
      </c>
      <c r="K97" s="143">
        <f t="shared" si="9"/>
        <v>0</v>
      </c>
      <c r="L97" s="144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8"/>
        <v>28</v>
      </c>
      <c r="J98" s="148" t="s">
        <v>1753</v>
      </c>
      <c r="K98" s="143">
        <f t="shared" si="9"/>
        <v>0</v>
      </c>
      <c r="L98" s="144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8"/>
        <v>28</v>
      </c>
      <c r="J99" s="148" t="s">
        <v>1754</v>
      </c>
      <c r="K99" s="143">
        <f t="shared" si="9"/>
        <v>0</v>
      </c>
      <c r="L99" s="144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8"/>
        <v>28</v>
      </c>
      <c r="J100" s="148" t="s">
        <v>1755</v>
      </c>
      <c r="K100" s="31">
        <f t="shared" si="9"/>
        <v>0</v>
      </c>
      <c r="L100" s="3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8"/>
        <v>28</v>
      </c>
      <c r="J101" s="148" t="s">
        <v>1756</v>
      </c>
      <c r="K101" s="143">
        <f t="shared" si="9"/>
        <v>0</v>
      </c>
      <c r="L101" s="144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8"/>
        <v>28</v>
      </c>
      <c r="J102" s="148" t="s">
        <v>1757</v>
      </c>
      <c r="K102" s="31">
        <f t="shared" si="9"/>
        <v>0</v>
      </c>
      <c r="L102" s="3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8"/>
        <v>28</v>
      </c>
      <c r="J103" s="148" t="s">
        <v>1758</v>
      </c>
      <c r="K103" s="143">
        <f t="shared" si="9"/>
        <v>0</v>
      </c>
      <c r="L103" s="144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8"/>
        <v>28</v>
      </c>
      <c r="J104" s="148" t="s">
        <v>1759</v>
      </c>
      <c r="K104" s="31">
        <f t="shared" si="9"/>
        <v>0</v>
      </c>
      <c r="L104" s="3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8"/>
        <v>28</v>
      </c>
      <c r="J105" s="148" t="s">
        <v>1760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8"/>
        <v>28</v>
      </c>
      <c r="J106" s="148" t="s">
        <v>1761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8"/>
        <v>28</v>
      </c>
      <c r="J107" s="148" t="s">
        <v>1762</v>
      </c>
      <c r="K107" s="143">
        <f t="shared" si="9"/>
        <v>0</v>
      </c>
      <c r="L107" s="144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8"/>
        <v>28</v>
      </c>
      <c r="J108" s="148" t="s">
        <v>1762</v>
      </c>
      <c r="K108" s="143">
        <f t="shared" si="9"/>
        <v>0</v>
      </c>
      <c r="L108" s="144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8"/>
        <v>28</v>
      </c>
      <c r="J109" s="148" t="s">
        <v>1764</v>
      </c>
      <c r="K109" s="143">
        <f t="shared" si="9"/>
        <v>0</v>
      </c>
      <c r="L109" s="144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8"/>
        <v>28</v>
      </c>
      <c r="J110" s="148" t="s">
        <v>1763</v>
      </c>
      <c r="K110" s="143">
        <f t="shared" si="9"/>
        <v>0</v>
      </c>
      <c r="L110" s="144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8"/>
        <v>28</v>
      </c>
      <c r="J111" s="148" t="s">
        <v>1765</v>
      </c>
      <c r="K111" s="31">
        <f t="shared" si="9"/>
        <v>0</v>
      </c>
      <c r="L111" s="3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8"/>
        <v>28</v>
      </c>
      <c r="J112" s="148" t="s">
        <v>1766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8"/>
        <v>28</v>
      </c>
      <c r="J113" s="148" t="s">
        <v>1767</v>
      </c>
      <c r="K113" s="143">
        <f t="shared" si="9"/>
        <v>0</v>
      </c>
      <c r="L113" s="144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8"/>
        <v>28</v>
      </c>
      <c r="J114" s="148" t="s">
        <v>1768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8"/>
        <v>28</v>
      </c>
      <c r="J115" s="148" t="s">
        <v>1769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8"/>
        <v>28</v>
      </c>
      <c r="J116" s="148" t="s">
        <v>1770</v>
      </c>
      <c r="K116" s="31">
        <f t="shared" si="9"/>
        <v>0</v>
      </c>
      <c r="L116" s="3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8"/>
        <v>26</v>
      </c>
      <c r="J117" s="148" t="s">
        <v>1771</v>
      </c>
      <c r="K117" s="143">
        <f t="shared" si="9"/>
        <v>2</v>
      </c>
      <c r="L117" s="144">
        <f t="shared" si="10"/>
        <v>0.9285714285714286</v>
      </c>
      <c r="M117" s="70"/>
      <c r="N117" s="70" t="s">
        <v>2130</v>
      </c>
      <c r="O117" s="70" t="s">
        <v>2130</v>
      </c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8"/>
        <v>28</v>
      </c>
      <c r="J118" s="148" t="s">
        <v>1772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8"/>
        <v>28</v>
      </c>
      <c r="J119" s="148" t="s">
        <v>1773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8"/>
        <v>28</v>
      </c>
      <c r="J120" s="148" t="s">
        <v>1774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8"/>
        <v>28</v>
      </c>
      <c r="J121" s="148" t="s">
        <v>1775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8"/>
        <v>28</v>
      </c>
      <c r="J122" s="148" t="s">
        <v>1776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8"/>
        <v>28</v>
      </c>
      <c r="J123" s="148" t="s">
        <v>1777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8"/>
        <v>28</v>
      </c>
      <c r="J124" s="149" t="s">
        <v>1778</v>
      </c>
      <c r="K124" s="143">
        <f t="shared" si="9"/>
        <v>0</v>
      </c>
      <c r="L124" s="144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  <c r="AQ124" s="89"/>
    </row>
    <row r="125" spans="1:43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8"/>
        <v>28</v>
      </c>
      <c r="J125" s="148" t="s">
        <v>1779</v>
      </c>
      <c r="K125" s="143">
        <f t="shared" si="9"/>
        <v>0</v>
      </c>
      <c r="L125" s="144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8"/>
        <v>28</v>
      </c>
      <c r="J126" s="148" t="s">
        <v>1780</v>
      </c>
      <c r="K126" s="143">
        <f t="shared" si="9"/>
        <v>0</v>
      </c>
      <c r="L126" s="144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8"/>
        <v>26</v>
      </c>
      <c r="J127" s="148" t="s">
        <v>1781</v>
      </c>
      <c r="K127" s="31">
        <f t="shared" si="9"/>
        <v>2</v>
      </c>
      <c r="L127" s="32">
        <f t="shared" si="10"/>
        <v>0.9285714285714286</v>
      </c>
      <c r="M127" s="70"/>
      <c r="N127" s="70" t="s">
        <v>2130</v>
      </c>
      <c r="O127" s="70" t="s">
        <v>2130</v>
      </c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8"/>
        <v>28</v>
      </c>
      <c r="J128" s="148" t="s">
        <v>1782</v>
      </c>
      <c r="K128" s="31">
        <f t="shared" si="9"/>
        <v>0</v>
      </c>
      <c r="L128" s="32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8"/>
        <v>28</v>
      </c>
      <c r="J129" s="148" t="s">
        <v>1783</v>
      </c>
      <c r="K129" s="143">
        <f t="shared" si="9"/>
        <v>0</v>
      </c>
      <c r="L129" s="144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1539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8"/>
        <v>28</v>
      </c>
      <c r="J130" s="148" t="s">
        <v>1784</v>
      </c>
      <c r="K130" s="143">
        <f t="shared" si="9"/>
        <v>0</v>
      </c>
      <c r="L130" s="144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1785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1786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1787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1530</v>
      </c>
      <c r="C134" s="85" t="s">
        <v>1066</v>
      </c>
      <c r="D134" s="73" t="s">
        <v>1531</v>
      </c>
      <c r="E134" s="85" t="s">
        <v>19</v>
      </c>
      <c r="F134" s="85" t="s">
        <v>1306</v>
      </c>
      <c r="G134" s="85"/>
      <c r="H134" s="85" t="s">
        <v>1532</v>
      </c>
      <c r="I134" s="143"/>
      <c r="J134" s="148" t="s">
        <v>1788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1533</v>
      </c>
      <c r="C135" s="30" t="s">
        <v>1066</v>
      </c>
      <c r="D135" t="s">
        <v>1534</v>
      </c>
      <c r="E135" s="85" t="s">
        <v>19</v>
      </c>
      <c r="F135" s="85" t="s">
        <v>28</v>
      </c>
      <c r="G135" s="85"/>
      <c r="H135" s="85" t="s">
        <v>1535</v>
      </c>
      <c r="I135" s="31"/>
      <c r="J135" s="148" t="s">
        <v>1789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1660</v>
      </c>
      <c r="C136" s="30" t="s">
        <v>1066</v>
      </c>
      <c r="D136" t="s">
        <v>1661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1574</v>
      </c>
      <c r="C137" s="85" t="s">
        <v>1066</v>
      </c>
      <c r="D137" s="73" t="s">
        <v>1576</v>
      </c>
      <c r="E137" s="85" t="s">
        <v>19</v>
      </c>
      <c r="F137" s="85" t="s">
        <v>1306</v>
      </c>
      <c r="G137" s="85"/>
      <c r="H137" s="85" t="s">
        <v>1578</v>
      </c>
      <c r="I137" s="31"/>
      <c r="J137" s="148" t="s">
        <v>1790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s="73" customFormat="1" ht="15.75" thickBot="1" x14ac:dyDescent="0.3">
      <c r="A138" s="73" t="s">
        <v>52</v>
      </c>
      <c r="B138" s="85" t="s">
        <v>1575</v>
      </c>
      <c r="C138" s="85" t="s">
        <v>1066</v>
      </c>
      <c r="D138" s="73" t="s">
        <v>1577</v>
      </c>
      <c r="E138" s="85" t="s">
        <v>19</v>
      </c>
      <c r="F138" s="85" t="s">
        <v>1306</v>
      </c>
      <c r="G138" s="85"/>
      <c r="H138" s="85" t="s">
        <v>1579</v>
      </c>
      <c r="I138" s="31"/>
      <c r="J138" s="148" t="s">
        <v>1791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8"/>
        <v>28</v>
      </c>
      <c r="J139" s="148" t="s">
        <v>1792</v>
      </c>
      <c r="K139" s="31">
        <f t="shared" si="9"/>
        <v>0</v>
      </c>
      <c r="L139" s="3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8"/>
        <v>28</v>
      </c>
      <c r="J140" s="87"/>
      <c r="K140" s="31">
        <f t="shared" si="9"/>
        <v>0</v>
      </c>
      <c r="L140" s="32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8"/>
        <v>28</v>
      </c>
      <c r="J141" s="148" t="s">
        <v>1793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8"/>
        <v>28</v>
      </c>
      <c r="J142" s="148" t="s">
        <v>1794</v>
      </c>
      <c r="K142" s="31">
        <f t="shared" si="9"/>
        <v>0</v>
      </c>
      <c r="L142" s="32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8"/>
        <v>28</v>
      </c>
      <c r="J143" s="148" t="s">
        <v>1795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8"/>
        <v>28</v>
      </c>
      <c r="J144" s="148" t="s">
        <v>1796</v>
      </c>
      <c r="K144" s="31">
        <f t="shared" si="9"/>
        <v>0</v>
      </c>
      <c r="L144" s="3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8"/>
        <v>28</v>
      </c>
      <c r="J146" s="148" t="s">
        <v>1797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8"/>
        <v>25</v>
      </c>
      <c r="J147" s="87"/>
      <c r="K147" s="141">
        <f t="shared" si="9"/>
        <v>3</v>
      </c>
      <c r="L147" s="142">
        <f t="shared" si="10"/>
        <v>0.8928571428571429</v>
      </c>
      <c r="M147" s="93" t="s">
        <v>2130</v>
      </c>
      <c r="N147" s="93" t="s">
        <v>2130</v>
      </c>
      <c r="O147" s="93" t="s">
        <v>2130</v>
      </c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</row>
    <row r="148" spans="1:43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8"/>
        <v>28</v>
      </c>
      <c r="J148" s="148" t="s">
        <v>1798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8"/>
        <v>28</v>
      </c>
      <c r="J149" s="148" t="s">
        <v>1799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8"/>
        <v>25</v>
      </c>
      <c r="J150" s="87"/>
      <c r="K150" s="31">
        <f t="shared" si="9"/>
        <v>3</v>
      </c>
      <c r="L150" s="32">
        <f t="shared" si="10"/>
        <v>0.8928571428571429</v>
      </c>
      <c r="M150" s="70" t="s">
        <v>2130</v>
      </c>
      <c r="N150" s="70" t="s">
        <v>2130</v>
      </c>
      <c r="O150" s="70" t="s">
        <v>2130</v>
      </c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</row>
    <row r="151" spans="1:43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8"/>
        <v>25</v>
      </c>
      <c r="J151" s="87"/>
      <c r="K151" s="31">
        <f t="shared" si="9"/>
        <v>3</v>
      </c>
      <c r="L151" s="32">
        <f t="shared" si="10"/>
        <v>0.8928571428571429</v>
      </c>
      <c r="M151" s="70" t="s">
        <v>2130</v>
      </c>
      <c r="N151" s="70" t="s">
        <v>2130</v>
      </c>
      <c r="O151" s="70" t="s">
        <v>2130</v>
      </c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8"/>
        <v>28</v>
      </c>
      <c r="J152" s="148" t="s">
        <v>1800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8"/>
        <v>28</v>
      </c>
      <c r="J153" s="148" t="s">
        <v>1801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s="73" customFormat="1" ht="15.75" thickBot="1" x14ac:dyDescent="0.3">
      <c r="A154" s="73" t="s">
        <v>184</v>
      </c>
      <c r="B154" s="73" t="s">
        <v>1565</v>
      </c>
      <c r="C154" s="73" t="s">
        <v>1066</v>
      </c>
      <c r="D154" s="73" t="s">
        <v>1566</v>
      </c>
      <c r="E154" s="85" t="s">
        <v>46</v>
      </c>
      <c r="F154" s="85" t="s">
        <v>1306</v>
      </c>
      <c r="G154" s="85"/>
      <c r="H154" s="85" t="s">
        <v>1567</v>
      </c>
      <c r="I154" s="143"/>
      <c r="J154" s="148" t="s">
        <v>1802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  <c r="AQ154" s="89"/>
    </row>
    <row r="155" spans="1:43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8"/>
        <v>28</v>
      </c>
      <c r="J155" s="148" t="s">
        <v>1803</v>
      </c>
      <c r="K155" s="143">
        <f t="shared" si="9"/>
        <v>0</v>
      </c>
      <c r="L155" s="144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1">COUNTIF(M156:AN156,"")</f>
        <v>28</v>
      </c>
      <c r="J156" s="148" t="s">
        <v>1804</v>
      </c>
      <c r="K156" s="143">
        <f t="shared" ref="K156:K227" si="12">COUNTIF(M156:AN156,"APAGADO")</f>
        <v>0</v>
      </c>
      <c r="L156" s="144">
        <f t="shared" ref="L156:L227" si="13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1"/>
        <v>25</v>
      </c>
      <c r="J157" s="148" t="s">
        <v>1805</v>
      </c>
      <c r="K157" s="31">
        <f t="shared" si="12"/>
        <v>3</v>
      </c>
      <c r="L157" s="32">
        <f t="shared" si="13"/>
        <v>0.8928571428571429</v>
      </c>
      <c r="M157" s="70" t="s">
        <v>2130</v>
      </c>
      <c r="N157" s="70" t="s">
        <v>2130</v>
      </c>
      <c r="O157" s="70" t="s">
        <v>2130</v>
      </c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1"/>
        <v>25</v>
      </c>
      <c r="J158" s="148" t="s">
        <v>1806</v>
      </c>
      <c r="K158" s="31">
        <f t="shared" si="12"/>
        <v>3</v>
      </c>
      <c r="L158" s="32">
        <f t="shared" si="13"/>
        <v>0.8928571428571429</v>
      </c>
      <c r="M158" s="70" t="s">
        <v>2130</v>
      </c>
      <c r="N158" s="70" t="s">
        <v>2130</v>
      </c>
      <c r="O158" s="70" t="s">
        <v>2130</v>
      </c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1"/>
        <v>28</v>
      </c>
      <c r="J159" s="148" t="s">
        <v>1807</v>
      </c>
      <c r="K159" s="31">
        <f t="shared" si="12"/>
        <v>0</v>
      </c>
      <c r="L159" s="32">
        <f t="shared" si="13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1"/>
        <v>25</v>
      </c>
      <c r="J160" s="148" t="s">
        <v>1808</v>
      </c>
      <c r="K160" s="31">
        <f t="shared" si="12"/>
        <v>3</v>
      </c>
      <c r="L160" s="32">
        <f t="shared" si="13"/>
        <v>0.8928571428571429</v>
      </c>
      <c r="M160" s="70" t="s">
        <v>2130</v>
      </c>
      <c r="N160" s="70" t="s">
        <v>2130</v>
      </c>
      <c r="O160" s="70" t="s">
        <v>2130</v>
      </c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1557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1560</v>
      </c>
      <c r="I161" s="31">
        <f t="shared" si="11"/>
        <v>28</v>
      </c>
      <c r="J161" s="148" t="s">
        <v>1809</v>
      </c>
      <c r="K161" s="31">
        <f t="shared" si="12"/>
        <v>0</v>
      </c>
      <c r="L161" s="32">
        <f t="shared" si="13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1558</v>
      </c>
      <c r="C162" t="s">
        <v>1067</v>
      </c>
      <c r="D162" t="s">
        <v>1559</v>
      </c>
      <c r="E162" s="30" t="s">
        <v>15</v>
      </c>
      <c r="F162" s="30"/>
      <c r="G162" s="30"/>
      <c r="H162" s="30" t="s">
        <v>1561</v>
      </c>
      <c r="I162" s="31">
        <f t="shared" si="11"/>
        <v>28</v>
      </c>
      <c r="J162" s="148" t="s">
        <v>1810</v>
      </c>
      <c r="K162" s="31">
        <f t="shared" si="12"/>
        <v>0</v>
      </c>
      <c r="L162" s="32">
        <f t="shared" si="13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1"/>
        <v>28</v>
      </c>
      <c r="J163" s="148" t="s">
        <v>1811</v>
      </c>
      <c r="K163" s="31">
        <f t="shared" si="12"/>
        <v>0</v>
      </c>
      <c r="L163" s="32">
        <f t="shared" si="13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1"/>
        <v>28</v>
      </c>
      <c r="J164" s="148" t="s">
        <v>1812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1"/>
        <v>28</v>
      </c>
      <c r="J165" s="148" t="s">
        <v>1813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1"/>
        <v>28</v>
      </c>
      <c r="J166" s="148" t="s">
        <v>1814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1"/>
        <v>28</v>
      </c>
      <c r="J167" s="148" t="s">
        <v>1815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1"/>
        <v>28</v>
      </c>
      <c r="J168" s="148" t="s">
        <v>1816</v>
      </c>
      <c r="K168" s="143">
        <f t="shared" si="12"/>
        <v>0</v>
      </c>
      <c r="L168" s="144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  <c r="AQ168" s="89"/>
    </row>
    <row r="169" spans="1:43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1"/>
        <v>28</v>
      </c>
      <c r="J169" s="148" t="s">
        <v>1817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1"/>
        <v>28</v>
      </c>
      <c r="J170" s="87"/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1"/>
        <v>28</v>
      </c>
      <c r="J171" s="148" t="s">
        <v>1818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1"/>
        <v>28</v>
      </c>
      <c r="J172" s="148" t="s">
        <v>1819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1"/>
        <v>28</v>
      </c>
      <c r="J173" s="148" t="s">
        <v>1820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1"/>
        <v>28</v>
      </c>
      <c r="J174" s="148" t="s">
        <v>1821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1"/>
        <v>28</v>
      </c>
      <c r="J175" s="148" t="s">
        <v>1822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1"/>
        <v>28</v>
      </c>
      <c r="J176" s="148" t="s">
        <v>1823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1"/>
        <v>25</v>
      </c>
      <c r="J177" s="148" t="s">
        <v>1824</v>
      </c>
      <c r="K177" s="31">
        <f t="shared" si="12"/>
        <v>3</v>
      </c>
      <c r="L177" s="32">
        <f t="shared" si="13"/>
        <v>0.8928571428571429</v>
      </c>
      <c r="M177" s="70" t="s">
        <v>2130</v>
      </c>
      <c r="N177" s="70" t="s">
        <v>2130</v>
      </c>
      <c r="O177" s="70" t="s">
        <v>2130</v>
      </c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1"/>
        <v>25</v>
      </c>
      <c r="J178" s="148" t="s">
        <v>1825</v>
      </c>
      <c r="K178" s="31">
        <f t="shared" si="12"/>
        <v>3</v>
      </c>
      <c r="L178" s="32">
        <f t="shared" si="13"/>
        <v>0.8928571428571429</v>
      </c>
      <c r="M178" s="70" t="s">
        <v>2130</v>
      </c>
      <c r="N178" s="70" t="s">
        <v>2130</v>
      </c>
      <c r="O178" s="70" t="s">
        <v>2130</v>
      </c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s="73" customFormat="1" ht="15.75" thickBot="1" x14ac:dyDescent="0.3">
      <c r="A180" s="73" t="s">
        <v>191</v>
      </c>
      <c r="B180" s="85" t="s">
        <v>1562</v>
      </c>
      <c r="C180" s="85" t="s">
        <v>1067</v>
      </c>
      <c r="D180" s="73" t="s">
        <v>1563</v>
      </c>
      <c r="E180" s="85" t="s">
        <v>19</v>
      </c>
      <c r="F180" s="85" t="s">
        <v>1306</v>
      </c>
      <c r="G180" s="85"/>
      <c r="H180" s="85" t="s">
        <v>1564</v>
      </c>
      <c r="I180" s="143"/>
      <c r="J180" s="148" t="s">
        <v>1826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  <c r="AQ180" s="89"/>
    </row>
    <row r="181" spans="1:43" s="73" customFormat="1" ht="15.75" thickBot="1" x14ac:dyDescent="0.3">
      <c r="B181" s="85" t="s">
        <v>1543</v>
      </c>
      <c r="C181" s="85" t="s">
        <v>1067</v>
      </c>
      <c r="D181" s="73" t="s">
        <v>1544</v>
      </c>
      <c r="E181" s="85" t="s">
        <v>1118</v>
      </c>
      <c r="F181" s="85" t="s">
        <v>1545</v>
      </c>
      <c r="G181" s="85"/>
      <c r="H181" s="85" t="s">
        <v>1546</v>
      </c>
      <c r="I181" s="143"/>
      <c r="J181" s="148" t="s">
        <v>1827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1"/>
        <v>26</v>
      </c>
      <c r="J182" s="148" t="s">
        <v>1828</v>
      </c>
      <c r="K182" s="31">
        <f t="shared" si="12"/>
        <v>2</v>
      </c>
      <c r="L182" s="32">
        <f t="shared" si="13"/>
        <v>0.9285714285714286</v>
      </c>
      <c r="M182" s="70"/>
      <c r="N182" s="70" t="s">
        <v>2130</v>
      </c>
      <c r="O182" s="70" t="s">
        <v>2130</v>
      </c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1"/>
        <v>26</v>
      </c>
      <c r="J183" s="148" t="s">
        <v>1829</v>
      </c>
      <c r="K183" s="31">
        <f t="shared" si="12"/>
        <v>2</v>
      </c>
      <c r="L183" s="32">
        <f t="shared" si="13"/>
        <v>0.9285714285714286</v>
      </c>
      <c r="M183" s="70"/>
      <c r="N183" s="70" t="s">
        <v>2130</v>
      </c>
      <c r="O183" s="70" t="s">
        <v>2130</v>
      </c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1"/>
        <v>25</v>
      </c>
      <c r="J184" s="87"/>
      <c r="K184" s="138">
        <f t="shared" si="12"/>
        <v>3</v>
      </c>
      <c r="L184" s="139">
        <f t="shared" si="13"/>
        <v>0.8928571428571429</v>
      </c>
      <c r="M184" s="140" t="s">
        <v>2130</v>
      </c>
      <c r="N184" s="140" t="s">
        <v>2130</v>
      </c>
      <c r="O184" s="140" t="s">
        <v>2130</v>
      </c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</row>
    <row r="185" spans="1:43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1"/>
        <v>28</v>
      </c>
      <c r="J185" s="148" t="s">
        <v>1830</v>
      </c>
      <c r="K185" s="143">
        <f t="shared" si="12"/>
        <v>0</v>
      </c>
      <c r="L185" s="144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1"/>
        <v>28</v>
      </c>
      <c r="J186" s="148" t="s">
        <v>1831</v>
      </c>
      <c r="K186" s="143">
        <f t="shared" si="12"/>
        <v>0</v>
      </c>
      <c r="L186" s="144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1"/>
        <v>28</v>
      </c>
      <c r="J187" s="148" t="s">
        <v>1832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1"/>
        <v>28</v>
      </c>
      <c r="J188" s="148" t="s">
        <v>1833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1"/>
        <v>28</v>
      </c>
      <c r="J189" s="148" t="s">
        <v>1834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1"/>
        <v>25</v>
      </c>
      <c r="J190" s="87"/>
      <c r="K190" s="31">
        <f t="shared" si="12"/>
        <v>3</v>
      </c>
      <c r="L190" s="32">
        <f t="shared" si="13"/>
        <v>0.8928571428571429</v>
      </c>
      <c r="M190" s="70" t="s">
        <v>2130</v>
      </c>
      <c r="N190" s="70" t="s">
        <v>2130</v>
      </c>
      <c r="O190" s="70" t="s">
        <v>2130</v>
      </c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93"/>
      <c r="AF190" s="93"/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</row>
    <row r="191" spans="1:43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1601</v>
      </c>
      <c r="I191" s="143">
        <f t="shared" si="11"/>
        <v>25</v>
      </c>
      <c r="J191" s="148" t="s">
        <v>1835</v>
      </c>
      <c r="K191" s="143">
        <f t="shared" si="12"/>
        <v>3</v>
      </c>
      <c r="L191" s="144">
        <f t="shared" si="13"/>
        <v>0.8928571428571429</v>
      </c>
      <c r="M191" s="70" t="s">
        <v>2130</v>
      </c>
      <c r="N191" s="70" t="s">
        <v>2130</v>
      </c>
      <c r="O191" s="70" t="s">
        <v>2130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  <c r="AQ191" s="89"/>
    </row>
    <row r="192" spans="1:43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1306</v>
      </c>
      <c r="G192" s="30"/>
      <c r="H192" s="30" t="s">
        <v>1413</v>
      </c>
      <c r="I192" s="31">
        <f t="shared" si="11"/>
        <v>25</v>
      </c>
      <c r="J192" s="148" t="s">
        <v>1836</v>
      </c>
      <c r="K192" s="31">
        <f t="shared" si="12"/>
        <v>3</v>
      </c>
      <c r="L192" s="32">
        <f t="shared" si="13"/>
        <v>0.8928571428571429</v>
      </c>
      <c r="M192" s="70" t="s">
        <v>2130</v>
      </c>
      <c r="N192" s="70" t="s">
        <v>2130</v>
      </c>
      <c r="O192" s="70" t="s">
        <v>2130</v>
      </c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1"/>
        <v>28</v>
      </c>
      <c r="J193" s="148" t="s">
        <v>1837</v>
      </c>
      <c r="K193" s="31">
        <f t="shared" si="12"/>
        <v>0</v>
      </c>
      <c r="L193" s="32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1"/>
        <v>28</v>
      </c>
      <c r="J194" s="148" t="s">
        <v>1838</v>
      </c>
      <c r="K194" s="143">
        <f t="shared" si="12"/>
        <v>0</v>
      </c>
      <c r="L194" s="144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1"/>
        <v>28</v>
      </c>
      <c r="J195" s="148" t="s">
        <v>1839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1"/>
        <v>28</v>
      </c>
      <c r="J196" s="148" t="s">
        <v>1840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1"/>
        <v>28</v>
      </c>
      <c r="J197" s="148" t="s">
        <v>1841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1"/>
        <v>28</v>
      </c>
      <c r="J198" s="148" t="s">
        <v>1842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1"/>
        <v>28</v>
      </c>
      <c r="J199" s="148" t="s">
        <v>1843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1"/>
        <v>28</v>
      </c>
      <c r="J200" s="148" t="s">
        <v>1844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1"/>
        <v>28</v>
      </c>
      <c r="J201" s="148" t="s">
        <v>1701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1"/>
        <v>26</v>
      </c>
      <c r="J202" s="148" t="s">
        <v>1845</v>
      </c>
      <c r="K202" s="143">
        <f t="shared" si="12"/>
        <v>2</v>
      </c>
      <c r="L202" s="144">
        <f t="shared" si="13"/>
        <v>0.9285714285714286</v>
      </c>
      <c r="M202" s="70"/>
      <c r="N202" s="70" t="s">
        <v>2130</v>
      </c>
      <c r="O202" s="70" t="s">
        <v>2130</v>
      </c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s="73" customFormat="1" ht="15.75" thickBot="1" x14ac:dyDescent="0.3">
      <c r="A203" s="73" t="s">
        <v>219</v>
      </c>
      <c r="B203" s="73" t="s">
        <v>1598</v>
      </c>
      <c r="C203" s="73" t="s">
        <v>1066</v>
      </c>
      <c r="D203" s="73" t="s">
        <v>1599</v>
      </c>
      <c r="E203" s="85" t="s">
        <v>73</v>
      </c>
      <c r="F203" s="85" t="s">
        <v>1306</v>
      </c>
      <c r="H203" s="85" t="s">
        <v>1600</v>
      </c>
      <c r="I203" s="143"/>
      <c r="J203" s="148" t="s">
        <v>1846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1"/>
        <v>28</v>
      </c>
      <c r="J204" s="148" t="s">
        <v>1847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1"/>
        <v>28</v>
      </c>
      <c r="J205" s="148" t="s">
        <v>1848</v>
      </c>
      <c r="K205" s="143">
        <f t="shared" si="12"/>
        <v>0</v>
      </c>
      <c r="L205" s="144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  <c r="AQ205" s="89"/>
    </row>
    <row r="206" spans="1:43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1"/>
        <v>28</v>
      </c>
      <c r="J206" s="148" t="s">
        <v>1849</v>
      </c>
      <c r="K206" s="143">
        <f t="shared" si="12"/>
        <v>0</v>
      </c>
      <c r="L206" s="144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ht="15.75" thickBot="1" x14ac:dyDescent="0.3">
      <c r="A207" t="s">
        <v>101</v>
      </c>
      <c r="B207" t="s">
        <v>1526</v>
      </c>
      <c r="C207" t="s">
        <v>1066</v>
      </c>
      <c r="D207" t="s">
        <v>1527</v>
      </c>
      <c r="E207" s="30" t="s">
        <v>15</v>
      </c>
      <c r="F207" s="30" t="s">
        <v>28</v>
      </c>
      <c r="G207" s="30"/>
      <c r="H207" s="30" t="s">
        <v>1528</v>
      </c>
      <c r="I207" s="31"/>
      <c r="J207" s="148" t="s">
        <v>1850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1"/>
        <v>27</v>
      </c>
      <c r="J208" s="87"/>
      <c r="K208" s="31">
        <f t="shared" si="12"/>
        <v>1</v>
      </c>
      <c r="L208" s="32">
        <f t="shared" si="13"/>
        <v>0.9642857142857143</v>
      </c>
      <c r="M208" s="70" t="s">
        <v>2130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1"/>
        <v>27</v>
      </c>
      <c r="J209" s="87"/>
      <c r="K209" s="31">
        <f t="shared" si="12"/>
        <v>1</v>
      </c>
      <c r="L209" s="32">
        <f t="shared" si="13"/>
        <v>0.9642857142857143</v>
      </c>
      <c r="M209" s="70" t="s">
        <v>2130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1"/>
        <v>27</v>
      </c>
      <c r="J210" s="148" t="s">
        <v>1851</v>
      </c>
      <c r="K210" s="31">
        <f t="shared" si="12"/>
        <v>1</v>
      </c>
      <c r="L210" s="32">
        <f t="shared" si="13"/>
        <v>0.9642857142857143</v>
      </c>
      <c r="M210" s="70" t="s">
        <v>2130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1"/>
        <v>28</v>
      </c>
      <c r="J211" s="148" t="s">
        <v>1852</v>
      </c>
      <c r="K211" s="143">
        <f t="shared" si="12"/>
        <v>0</v>
      </c>
      <c r="L211" s="144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1"/>
        <v>27</v>
      </c>
      <c r="J212" s="148" t="s">
        <v>1853</v>
      </c>
      <c r="K212" s="31">
        <f t="shared" si="12"/>
        <v>1</v>
      </c>
      <c r="L212" s="32">
        <f t="shared" si="13"/>
        <v>0.9642857142857143</v>
      </c>
      <c r="M212" s="70" t="s">
        <v>2130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1"/>
        <v>27</v>
      </c>
      <c r="J213" s="148" t="s">
        <v>1854</v>
      </c>
      <c r="K213" s="31">
        <f t="shared" si="12"/>
        <v>1</v>
      </c>
      <c r="L213" s="32">
        <f t="shared" si="13"/>
        <v>0.9642857142857143</v>
      </c>
      <c r="M213" s="70" t="s">
        <v>2130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1"/>
        <v>28</v>
      </c>
      <c r="J214" s="148" t="s">
        <v>1855</v>
      </c>
      <c r="K214" s="143">
        <f t="shared" si="12"/>
        <v>0</v>
      </c>
      <c r="L214" s="144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1"/>
        <v>28</v>
      </c>
      <c r="J215" s="148" t="s">
        <v>1856</v>
      </c>
      <c r="K215" s="143">
        <f t="shared" si="12"/>
        <v>0</v>
      </c>
      <c r="L215" s="144">
        <f t="shared" si="13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3" s="73" customFormat="1" ht="15.75" thickBot="1" x14ac:dyDescent="0.3">
      <c r="A216" s="73" t="s">
        <v>254</v>
      </c>
      <c r="B216" s="73" t="s">
        <v>1602</v>
      </c>
      <c r="C216" s="73" t="s">
        <v>1066</v>
      </c>
      <c r="D216" s="73" t="s">
        <v>1603</v>
      </c>
      <c r="E216" s="85" t="s">
        <v>15</v>
      </c>
      <c r="F216" s="85" t="s">
        <v>1306</v>
      </c>
      <c r="G216" s="85"/>
      <c r="H216" s="85" t="s">
        <v>1604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1"/>
        <v>28</v>
      </c>
      <c r="J217" s="148" t="s">
        <v>1857</v>
      </c>
      <c r="K217" s="143">
        <f t="shared" si="12"/>
        <v>0</v>
      </c>
      <c r="L217" s="144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  <c r="AQ217" s="89"/>
    </row>
    <row r="218" spans="1:43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1"/>
        <v>28</v>
      </c>
      <c r="J218" s="148" t="s">
        <v>1858</v>
      </c>
      <c r="K218" s="143">
        <f t="shared" si="12"/>
        <v>0</v>
      </c>
      <c r="L218" s="144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1"/>
        <v>28</v>
      </c>
      <c r="J219" s="148" t="s">
        <v>1859</v>
      </c>
      <c r="K219" s="143">
        <f t="shared" si="12"/>
        <v>0</v>
      </c>
      <c r="L219" s="144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1"/>
        <v>28</v>
      </c>
      <c r="J220" s="148" t="s">
        <v>1860</v>
      </c>
      <c r="K220" s="31">
        <f t="shared" si="12"/>
        <v>0</v>
      </c>
      <c r="L220" s="32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1"/>
        <v>28</v>
      </c>
      <c r="J221" s="148" t="s">
        <v>1861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1"/>
        <v>28</v>
      </c>
      <c r="J222" s="148" t="s">
        <v>1862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1"/>
        <v>28</v>
      </c>
      <c r="J223" s="148" t="s">
        <v>1863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1"/>
        <v>28</v>
      </c>
      <c r="J224" s="148" t="s">
        <v>1864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1"/>
        <v>28</v>
      </c>
      <c r="J225" s="148" t="s">
        <v>1865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1"/>
        <v>28</v>
      </c>
      <c r="J226" s="148" t="s">
        <v>1866</v>
      </c>
      <c r="K226" s="31">
        <f t="shared" si="12"/>
        <v>0</v>
      </c>
      <c r="L226" s="3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1"/>
        <v>28</v>
      </c>
      <c r="J227" s="148" t="s">
        <v>1867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4">COUNTIF(M228:AN228,"")</f>
        <v>28</v>
      </c>
      <c r="J228" s="148" t="s">
        <v>1868</v>
      </c>
      <c r="K228" s="31">
        <f t="shared" ref="K228:K295" si="15">COUNTIF(M228:AN228,"APAGADO")</f>
        <v>0</v>
      </c>
      <c r="L228" s="32">
        <f t="shared" ref="L228:L295" si="16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4"/>
        <v>28</v>
      </c>
      <c r="J229" s="148" t="s">
        <v>1869</v>
      </c>
      <c r="K229" s="31">
        <f t="shared" si="15"/>
        <v>0</v>
      </c>
      <c r="L229" s="32">
        <f t="shared" si="16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4"/>
        <v>28</v>
      </c>
      <c r="J230" s="148" t="s">
        <v>1870</v>
      </c>
      <c r="K230" s="31">
        <f t="shared" si="15"/>
        <v>0</v>
      </c>
      <c r="L230" s="32">
        <f t="shared" si="16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4"/>
        <v>28</v>
      </c>
      <c r="J231" s="148" t="s">
        <v>1871</v>
      </c>
      <c r="K231" s="31">
        <f t="shared" si="15"/>
        <v>0</v>
      </c>
      <c r="L231" s="32">
        <f t="shared" si="16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4"/>
        <v>28</v>
      </c>
      <c r="J232" s="148" t="s">
        <v>1872</v>
      </c>
      <c r="K232" s="31">
        <f t="shared" si="15"/>
        <v>0</v>
      </c>
      <c r="L232" s="32">
        <f t="shared" si="16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4"/>
        <v>28</v>
      </c>
      <c r="J233" s="148" t="s">
        <v>1873</v>
      </c>
      <c r="K233" s="31">
        <f t="shared" si="15"/>
        <v>0</v>
      </c>
      <c r="L233" s="32">
        <f t="shared" si="16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4"/>
        <v>28</v>
      </c>
      <c r="J234" s="148" t="s">
        <v>1874</v>
      </c>
      <c r="K234" s="31">
        <f t="shared" si="15"/>
        <v>0</v>
      </c>
      <c r="L234" s="32">
        <f t="shared" si="16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4"/>
        <v>25</v>
      </c>
      <c r="J235" s="87"/>
      <c r="K235" s="31">
        <f t="shared" si="15"/>
        <v>3</v>
      </c>
      <c r="L235" s="32">
        <f t="shared" si="16"/>
        <v>0.8928571428571429</v>
      </c>
      <c r="M235" s="70" t="s">
        <v>2130</v>
      </c>
      <c r="N235" s="70" t="s">
        <v>2130</v>
      </c>
      <c r="O235" s="70" t="s">
        <v>2130</v>
      </c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93"/>
      <c r="AF235" s="93"/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</row>
    <row r="236" spans="1:43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4"/>
        <v>28</v>
      </c>
      <c r="J236" s="148" t="s">
        <v>1830</v>
      </c>
      <c r="K236" s="31">
        <f t="shared" si="15"/>
        <v>0</v>
      </c>
      <c r="L236" s="32">
        <f t="shared" si="16"/>
        <v>1</v>
      </c>
      <c r="M236" s="70"/>
      <c r="N236" s="70"/>
      <c r="O236" s="70"/>
      <c r="P236" s="70"/>
      <c r="Q236" s="70"/>
      <c r="R236" s="70"/>
      <c r="S236" s="71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4"/>
        <v>28</v>
      </c>
      <c r="J237" s="148" t="s">
        <v>1875</v>
      </c>
      <c r="K237" s="31">
        <f t="shared" si="15"/>
        <v>0</v>
      </c>
      <c r="L237" s="32">
        <f t="shared" si="16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4"/>
        <v>28</v>
      </c>
      <c r="J238" s="87"/>
      <c r="K238" s="31">
        <f t="shared" si="15"/>
        <v>0</v>
      </c>
      <c r="L238" s="32">
        <f t="shared" si="16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4"/>
        <v>28</v>
      </c>
      <c r="J239" s="148" t="s">
        <v>1876</v>
      </c>
      <c r="K239" s="31">
        <f t="shared" si="15"/>
        <v>0</v>
      </c>
      <c r="L239" s="32">
        <f t="shared" si="16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4"/>
        <v>28</v>
      </c>
      <c r="J240" s="148" t="s">
        <v>1877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4"/>
        <v>28</v>
      </c>
      <c r="J241" s="148" t="s">
        <v>1878</v>
      </c>
      <c r="K241" s="143">
        <f t="shared" si="15"/>
        <v>0</v>
      </c>
      <c r="L241" s="144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  <c r="AQ241" s="89"/>
    </row>
    <row r="242" spans="1:43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4"/>
        <v>28</v>
      </c>
      <c r="J242" s="148" t="s">
        <v>1879</v>
      </c>
      <c r="K242" s="143">
        <f t="shared" si="15"/>
        <v>0</v>
      </c>
      <c r="L242" s="144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4"/>
        <v>28</v>
      </c>
      <c r="J243" s="148" t="s">
        <v>1880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4"/>
        <v>28</v>
      </c>
      <c r="J244" s="87"/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4"/>
        <v>28</v>
      </c>
      <c r="J245" s="148" t="s">
        <v>1881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4"/>
        <v>28</v>
      </c>
      <c r="J246" s="148" t="s">
        <v>1882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4"/>
        <v>28</v>
      </c>
      <c r="J247" s="148" t="s">
        <v>1883</v>
      </c>
      <c r="K247" s="143">
        <f t="shared" si="15"/>
        <v>0</v>
      </c>
      <c r="L247" s="144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4"/>
        <v>28</v>
      </c>
      <c r="J248" s="148" t="s">
        <v>1884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4"/>
        <v>28</v>
      </c>
      <c r="J249" s="148" t="s">
        <v>1885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4"/>
        <v>28</v>
      </c>
      <c r="J250" s="148" t="s">
        <v>1872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4"/>
        <v>28</v>
      </c>
      <c r="J251" s="148" t="s">
        <v>1886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4"/>
        <v>28</v>
      </c>
      <c r="J252" s="148" t="s">
        <v>1887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4"/>
        <v>28</v>
      </c>
      <c r="J253" s="148" t="s">
        <v>1888</v>
      </c>
      <c r="K253" s="143">
        <f t="shared" si="15"/>
        <v>0</v>
      </c>
      <c r="L253" s="144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4"/>
        <v>28</v>
      </c>
      <c r="J254" s="148" t="s">
        <v>1889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4"/>
        <v>28</v>
      </c>
      <c r="J255" s="148" t="s">
        <v>1890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28</v>
      </c>
      <c r="G256" s="30"/>
      <c r="H256" s="30" t="s">
        <v>742</v>
      </c>
      <c r="I256" s="31">
        <f t="shared" si="14"/>
        <v>27</v>
      </c>
      <c r="J256" s="151" t="s">
        <v>1891</v>
      </c>
      <c r="K256" s="31">
        <f t="shared" si="15"/>
        <v>1</v>
      </c>
      <c r="L256" s="32">
        <f t="shared" si="16"/>
        <v>0.9642857142857143</v>
      </c>
      <c r="M256" s="70"/>
      <c r="N256" s="70" t="s">
        <v>2130</v>
      </c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4"/>
        <v>28</v>
      </c>
      <c r="J257" s="148" t="s">
        <v>1892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4"/>
        <v>28</v>
      </c>
      <c r="J258" s="148" t="s">
        <v>1893</v>
      </c>
      <c r="K258" s="143">
        <f t="shared" si="15"/>
        <v>0</v>
      </c>
      <c r="L258" s="144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1894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1895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4"/>
        <v>28</v>
      </c>
      <c r="J261" s="148" t="s">
        <v>1896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4"/>
        <v>28</v>
      </c>
      <c r="J262" s="148" t="s">
        <v>1897</v>
      </c>
      <c r="K262" s="143">
        <f t="shared" si="15"/>
        <v>0</v>
      </c>
      <c r="L262" s="144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4"/>
        <v>25</v>
      </c>
      <c r="J263" s="148" t="s">
        <v>1898</v>
      </c>
      <c r="K263" s="31">
        <f t="shared" si="15"/>
        <v>3</v>
      </c>
      <c r="L263" s="32">
        <f t="shared" si="16"/>
        <v>0.8928571428571429</v>
      </c>
      <c r="M263" s="70" t="s">
        <v>2130</v>
      </c>
      <c r="N263" s="70" t="s">
        <v>2130</v>
      </c>
      <c r="O263" s="70" t="s">
        <v>2130</v>
      </c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4"/>
        <v>25</v>
      </c>
      <c r="J264" s="148" t="s">
        <v>1899</v>
      </c>
      <c r="K264" s="143">
        <f t="shared" si="15"/>
        <v>3</v>
      </c>
      <c r="L264" s="144">
        <f t="shared" si="16"/>
        <v>0.8928571428571429</v>
      </c>
      <c r="M264" s="70" t="s">
        <v>2130</v>
      </c>
      <c r="N264" s="70" t="s">
        <v>2130</v>
      </c>
      <c r="O264" s="70" t="s">
        <v>2130</v>
      </c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4"/>
        <v>28</v>
      </c>
      <c r="J265" s="148" t="s">
        <v>1900</v>
      </c>
      <c r="K265" s="143">
        <f t="shared" si="15"/>
        <v>0</v>
      </c>
      <c r="L265" s="144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4"/>
        <v>28</v>
      </c>
      <c r="J266" s="148" t="s">
        <v>1702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4"/>
        <v>28</v>
      </c>
      <c r="J267" s="148" t="s">
        <v>1901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4"/>
        <v>28</v>
      </c>
      <c r="J268" s="148" t="s">
        <v>1902</v>
      </c>
      <c r="K268" s="143">
        <f t="shared" si="15"/>
        <v>0</v>
      </c>
      <c r="L268" s="144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4"/>
        <v>28</v>
      </c>
      <c r="J269" s="148" t="s">
        <v>1903</v>
      </c>
      <c r="K269" s="143">
        <f t="shared" si="15"/>
        <v>0</v>
      </c>
      <c r="L269" s="144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4"/>
        <v>28</v>
      </c>
      <c r="J270" s="148" t="s">
        <v>1904</v>
      </c>
      <c r="K270" s="143">
        <f t="shared" si="15"/>
        <v>0</v>
      </c>
      <c r="L270" s="144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5.75" thickBot="1" x14ac:dyDescent="0.3">
      <c r="A271" s="73" t="s">
        <v>1548</v>
      </c>
      <c r="B271" s="73" t="s">
        <v>1547</v>
      </c>
      <c r="C271" s="73" t="s">
        <v>1066</v>
      </c>
      <c r="D271" s="73" t="s">
        <v>1549</v>
      </c>
      <c r="E271" s="85" t="s">
        <v>19</v>
      </c>
      <c r="F271" s="85" t="s">
        <v>1306</v>
      </c>
      <c r="G271" s="85"/>
      <c r="H271" s="85" t="s">
        <v>1550</v>
      </c>
      <c r="I271" s="143"/>
      <c r="J271" s="148" t="s">
        <v>1905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.75" thickBot="1" x14ac:dyDescent="0.3">
      <c r="A272" s="73" t="s">
        <v>1548</v>
      </c>
      <c r="B272" s="73" t="s">
        <v>1662</v>
      </c>
      <c r="C272" s="73" t="s">
        <v>1066</v>
      </c>
      <c r="D272" s="73" t="s">
        <v>1663</v>
      </c>
      <c r="E272" s="85" t="s">
        <v>19</v>
      </c>
      <c r="F272" s="85" t="s">
        <v>28</v>
      </c>
      <c r="G272" s="85"/>
      <c r="H272" s="85" t="s">
        <v>1664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4"/>
        <v>28</v>
      </c>
      <c r="J273" s="148" t="s">
        <v>1906</v>
      </c>
      <c r="K273" s="31">
        <f t="shared" si="15"/>
        <v>0</v>
      </c>
      <c r="L273" s="32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4"/>
        <v>28</v>
      </c>
      <c r="J274" s="148" t="s">
        <v>1907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4"/>
        <v>28</v>
      </c>
      <c r="J275" s="148" t="s">
        <v>1908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4"/>
        <v>28</v>
      </c>
      <c r="J276" s="148" t="s">
        <v>1909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4"/>
        <v>28</v>
      </c>
      <c r="J277" s="148" t="s">
        <v>1910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4"/>
        <v>28</v>
      </c>
      <c r="J278" s="148" t="s">
        <v>1911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4"/>
        <v>28</v>
      </c>
      <c r="J279" s="148" t="s">
        <v>1912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4"/>
        <v>28</v>
      </c>
      <c r="J280" s="148" t="s">
        <v>1913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4"/>
        <v>28</v>
      </c>
      <c r="J281" s="148" t="s">
        <v>1914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4"/>
        <v>25</v>
      </c>
      <c r="J282" s="148" t="s">
        <v>1915</v>
      </c>
      <c r="K282" s="31">
        <f t="shared" si="15"/>
        <v>3</v>
      </c>
      <c r="L282" s="32">
        <f t="shared" si="16"/>
        <v>0.8928571428571429</v>
      </c>
      <c r="M282" s="70" t="s">
        <v>2130</v>
      </c>
      <c r="N282" s="70" t="s">
        <v>2130</v>
      </c>
      <c r="O282" s="70" t="s">
        <v>2130</v>
      </c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4"/>
        <v>25</v>
      </c>
      <c r="J283" s="148" t="s">
        <v>1916</v>
      </c>
      <c r="K283" s="31">
        <f t="shared" si="15"/>
        <v>3</v>
      </c>
      <c r="L283" s="32">
        <f t="shared" si="16"/>
        <v>0.8928571428571429</v>
      </c>
      <c r="M283" s="70" t="s">
        <v>2130</v>
      </c>
      <c r="N283" s="70" t="s">
        <v>2130</v>
      </c>
      <c r="O283" s="70" t="s">
        <v>2130</v>
      </c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4"/>
        <v>28</v>
      </c>
      <c r="J284" s="148" t="s">
        <v>1917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4"/>
        <v>28</v>
      </c>
      <c r="J285" s="148" t="s">
        <v>1918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4"/>
        <v>28</v>
      </c>
      <c r="J286" s="148" t="s">
        <v>1919</v>
      </c>
      <c r="K286" s="31">
        <f t="shared" si="15"/>
        <v>0</v>
      </c>
      <c r="L286" s="3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4"/>
        <v>28</v>
      </c>
      <c r="J287" s="148" t="s">
        <v>1920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4"/>
        <v>28</v>
      </c>
      <c r="J288" s="148" t="s">
        <v>1921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4"/>
        <v>28</v>
      </c>
      <c r="J289" s="148" t="s">
        <v>1922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4"/>
        <v>28</v>
      </c>
      <c r="J290" s="148" t="s">
        <v>1923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4"/>
        <v>28</v>
      </c>
      <c r="J291" s="148" t="s">
        <v>1924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4"/>
        <v>28</v>
      </c>
      <c r="J292" s="148" t="s">
        <v>1925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4"/>
        <v>28</v>
      </c>
      <c r="J293" s="87"/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4"/>
        <v>25</v>
      </c>
      <c r="J294" s="148" t="s">
        <v>1926</v>
      </c>
      <c r="K294" s="143">
        <f t="shared" si="15"/>
        <v>3</v>
      </c>
      <c r="L294" s="144">
        <f t="shared" si="16"/>
        <v>0.8928571428571429</v>
      </c>
      <c r="M294" s="70" t="s">
        <v>2130</v>
      </c>
      <c r="N294" s="70" t="s">
        <v>2130</v>
      </c>
      <c r="O294" s="70" t="s">
        <v>2130</v>
      </c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  <c r="AQ294" s="89"/>
    </row>
    <row r="295" spans="1:43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1640</v>
      </c>
      <c r="I295" s="143">
        <f t="shared" si="14"/>
        <v>28</v>
      </c>
      <c r="J295" s="148" t="s">
        <v>1927</v>
      </c>
      <c r="K295" s="143">
        <f t="shared" si="15"/>
        <v>0</v>
      </c>
      <c r="L295" s="144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7">COUNTIF(M296:AN296,"")</f>
        <v>25</v>
      </c>
      <c r="J296" s="148" t="s">
        <v>1928</v>
      </c>
      <c r="K296" s="31">
        <f t="shared" ref="K296:K363" si="18">COUNTIF(M296:AN296,"APAGADO")</f>
        <v>3</v>
      </c>
      <c r="L296" s="32">
        <f t="shared" ref="L296:L363" si="19">(I296)/(K296+I296)</f>
        <v>0.8928571428571429</v>
      </c>
      <c r="M296" s="70" t="s">
        <v>2130</v>
      </c>
      <c r="N296" s="70" t="s">
        <v>2130</v>
      </c>
      <c r="O296" s="70" t="s">
        <v>2130</v>
      </c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7"/>
        <v>28</v>
      </c>
      <c r="J297" s="148" t="s">
        <v>1929</v>
      </c>
      <c r="K297" s="143">
        <f t="shared" si="18"/>
        <v>0</v>
      </c>
      <c r="L297" s="144">
        <f t="shared" si="19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7"/>
        <v>28</v>
      </c>
      <c r="J298" s="87"/>
      <c r="K298" s="143">
        <f t="shared" si="18"/>
        <v>0</v>
      </c>
      <c r="L298" s="144">
        <f t="shared" si="19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7"/>
        <v>28</v>
      </c>
      <c r="J299" s="148" t="s">
        <v>1930</v>
      </c>
      <c r="K299" s="143">
        <f t="shared" si="18"/>
        <v>0</v>
      </c>
      <c r="L299" s="144">
        <f t="shared" si="19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7"/>
        <v>27</v>
      </c>
      <c r="J300" s="148" t="s">
        <v>1931</v>
      </c>
      <c r="K300" s="31">
        <f t="shared" si="18"/>
        <v>1</v>
      </c>
      <c r="L300" s="32">
        <f t="shared" si="19"/>
        <v>0.9642857142857143</v>
      </c>
      <c r="M300" s="70"/>
      <c r="N300" s="70" t="s">
        <v>2130</v>
      </c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7"/>
        <v>28</v>
      </c>
      <c r="J301" s="148" t="s">
        <v>1932</v>
      </c>
      <c r="K301" s="31">
        <f t="shared" si="18"/>
        <v>0</v>
      </c>
      <c r="L301" s="32">
        <f t="shared" si="19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7"/>
        <v>28</v>
      </c>
      <c r="J302" s="148" t="s">
        <v>1933</v>
      </c>
      <c r="K302" s="31">
        <f t="shared" si="18"/>
        <v>0</v>
      </c>
      <c r="L302" s="32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7"/>
        <v>28</v>
      </c>
      <c r="J303" s="148" t="s">
        <v>1934</v>
      </c>
      <c r="K303" s="31">
        <f t="shared" si="18"/>
        <v>0</v>
      </c>
      <c r="L303" s="32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7"/>
        <v>28</v>
      </c>
      <c r="J304" s="148" t="s">
        <v>1935</v>
      </c>
      <c r="K304" s="31">
        <f t="shared" si="18"/>
        <v>0</v>
      </c>
      <c r="L304" s="32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7"/>
        <v>28</v>
      </c>
      <c r="J305" s="148" t="s">
        <v>1936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7"/>
        <v>28</v>
      </c>
      <c r="J306" s="148" t="s">
        <v>1937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7"/>
        <v>28</v>
      </c>
      <c r="J307" s="148" t="s">
        <v>1938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7"/>
        <v>28</v>
      </c>
      <c r="J308" s="148" t="s">
        <v>1939</v>
      </c>
      <c r="K308" s="31">
        <f t="shared" si="18"/>
        <v>0</v>
      </c>
      <c r="L308" s="32">
        <f t="shared" si="19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7"/>
        <v>28</v>
      </c>
      <c r="J309" s="148" t="s">
        <v>1940</v>
      </c>
      <c r="K309" s="31">
        <f t="shared" si="18"/>
        <v>0</v>
      </c>
      <c r="L309" s="32">
        <f t="shared" si="19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7"/>
        <v>28</v>
      </c>
      <c r="J310" s="148" t="s">
        <v>1941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7"/>
        <v>28</v>
      </c>
      <c r="J311" s="148" t="s">
        <v>1942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7"/>
        <v>26</v>
      </c>
      <c r="J312" s="148" t="s">
        <v>1943</v>
      </c>
      <c r="K312" s="31">
        <f t="shared" si="18"/>
        <v>2</v>
      </c>
      <c r="L312" s="32">
        <f t="shared" si="19"/>
        <v>0.9285714285714286</v>
      </c>
      <c r="M312" s="70"/>
      <c r="N312" s="70" t="s">
        <v>2130</v>
      </c>
      <c r="O312" s="70" t="s">
        <v>2130</v>
      </c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7"/>
        <v>28</v>
      </c>
      <c r="J313" s="148" t="s">
        <v>1944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7"/>
        <v>28</v>
      </c>
      <c r="J314" s="148" t="s">
        <v>1945</v>
      </c>
      <c r="K314" s="31">
        <f t="shared" si="18"/>
        <v>0</v>
      </c>
      <c r="L314" s="32">
        <f t="shared" si="19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7"/>
        <v>28</v>
      </c>
      <c r="J315" s="148" t="s">
        <v>1946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7"/>
        <v>28</v>
      </c>
      <c r="J316" s="148" t="s">
        <v>1947</v>
      </c>
      <c r="K316" s="87">
        <f t="shared" si="18"/>
        <v>0</v>
      </c>
      <c r="L316" s="88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7"/>
        <v>28</v>
      </c>
      <c r="J317" s="148" t="s">
        <v>1948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7"/>
        <v>28</v>
      </c>
      <c r="J318" s="148" t="s">
        <v>1949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7"/>
        <v>28</v>
      </c>
      <c r="J319" s="148" t="s">
        <v>1950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7"/>
        <v>28</v>
      </c>
      <c r="J320" s="148" t="s">
        <v>1951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7"/>
        <v>28</v>
      </c>
      <c r="J321" s="148" t="s">
        <v>1952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7"/>
        <v>28</v>
      </c>
      <c r="J322" s="148" t="s">
        <v>1953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7"/>
        <v>28</v>
      </c>
      <c r="J323" s="148" t="s">
        <v>1954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7"/>
        <v>28</v>
      </c>
      <c r="J324" s="148" t="s">
        <v>1955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7"/>
        <v>28</v>
      </c>
      <c r="J325" s="148" t="s">
        <v>1956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7"/>
        <v>28</v>
      </c>
      <c r="J326" s="148" t="s">
        <v>1957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7"/>
        <v>28</v>
      </c>
      <c r="J327" s="148" t="s">
        <v>1958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7"/>
        <v>28</v>
      </c>
      <c r="J328" s="148" t="s">
        <v>1959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7"/>
        <v>28</v>
      </c>
      <c r="J329" s="87"/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7"/>
        <v>28</v>
      </c>
      <c r="J330" s="87"/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7"/>
        <v>28</v>
      </c>
      <c r="J331" s="148" t="s">
        <v>1960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7"/>
        <v>28</v>
      </c>
      <c r="J332" s="87"/>
      <c r="K332" s="143">
        <f t="shared" si="18"/>
        <v>0</v>
      </c>
      <c r="L332" s="144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  <c r="AQ332" s="89"/>
    </row>
    <row r="333" spans="1:43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7"/>
        <v>28</v>
      </c>
      <c r="J333" s="87"/>
      <c r="K333" s="143">
        <f t="shared" si="18"/>
        <v>0</v>
      </c>
      <c r="L333" s="144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7"/>
        <v>28</v>
      </c>
      <c r="J334" s="148" t="s">
        <v>1961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7"/>
        <v>27</v>
      </c>
      <c r="J335" s="148" t="s">
        <v>1962</v>
      </c>
      <c r="K335" s="143">
        <f t="shared" si="18"/>
        <v>1</v>
      </c>
      <c r="L335" s="144">
        <f t="shared" si="19"/>
        <v>0.9642857142857143</v>
      </c>
      <c r="M335" s="70"/>
      <c r="N335" s="70" t="s">
        <v>2130</v>
      </c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  <c r="AQ335" s="89"/>
    </row>
    <row r="336" spans="1:43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7"/>
        <v>28</v>
      </c>
      <c r="J336" s="148" t="s">
        <v>1963</v>
      </c>
      <c r="K336" s="143">
        <f t="shared" si="18"/>
        <v>0</v>
      </c>
      <c r="L336" s="144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7"/>
        <v>28</v>
      </c>
      <c r="J337" s="148" t="s">
        <v>1964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7"/>
        <v>28</v>
      </c>
      <c r="J338" s="148" t="s">
        <v>1965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7"/>
        <v>28</v>
      </c>
      <c r="J339" s="148" t="s">
        <v>1966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7"/>
        <v>28</v>
      </c>
      <c r="J340" s="148" t="s">
        <v>1967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7"/>
        <v>28</v>
      </c>
      <c r="J341" s="148" t="s">
        <v>1968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7"/>
        <v>28</v>
      </c>
      <c r="J342" s="148" t="s">
        <v>1969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7"/>
        <v>28</v>
      </c>
      <c r="J343" s="148" t="s">
        <v>1970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7"/>
        <v>28</v>
      </c>
      <c r="J344" s="148" t="s">
        <v>1971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1326</v>
      </c>
      <c r="B345" s="73" t="s">
        <v>1583</v>
      </c>
      <c r="C345" s="73" t="s">
        <v>1066</v>
      </c>
      <c r="D345" s="73" t="s">
        <v>1586</v>
      </c>
      <c r="E345" s="85" t="s">
        <v>73</v>
      </c>
      <c r="F345" s="85" t="s">
        <v>1306</v>
      </c>
      <c r="H345" s="85" t="s">
        <v>1587</v>
      </c>
      <c r="I345" s="143"/>
      <c r="J345" s="148" t="s">
        <v>1972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1326</v>
      </c>
      <c r="B346" s="73" t="s">
        <v>1584</v>
      </c>
      <c r="C346" s="73" t="s">
        <v>1066</v>
      </c>
      <c r="D346" s="73" t="s">
        <v>1588</v>
      </c>
      <c r="E346" s="73" t="s">
        <v>73</v>
      </c>
      <c r="F346" s="85" t="s">
        <v>1306</v>
      </c>
      <c r="H346" s="85" t="s">
        <v>1589</v>
      </c>
      <c r="I346" s="143"/>
      <c r="J346" s="148" t="s">
        <v>1973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.75" thickBot="1" x14ac:dyDescent="0.3">
      <c r="A347" s="73" t="s">
        <v>1326</v>
      </c>
      <c r="B347" s="73" t="s">
        <v>1585</v>
      </c>
      <c r="C347" s="73" t="s">
        <v>1066</v>
      </c>
      <c r="D347" s="73" t="s">
        <v>1590</v>
      </c>
      <c r="E347" s="73" t="s">
        <v>73</v>
      </c>
      <c r="F347" s="85" t="s">
        <v>1306</v>
      </c>
      <c r="H347" s="85" t="s">
        <v>1591</v>
      </c>
      <c r="I347" s="143"/>
      <c r="J347" s="148" t="s">
        <v>1974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1326</v>
      </c>
      <c r="B348" s="73" t="s">
        <v>1644</v>
      </c>
      <c r="C348" s="73" t="s">
        <v>1066</v>
      </c>
      <c r="D348" s="73" t="s">
        <v>1645</v>
      </c>
      <c r="E348" s="73" t="s">
        <v>19</v>
      </c>
      <c r="F348" s="85" t="s">
        <v>28</v>
      </c>
      <c r="H348" s="85" t="s">
        <v>1646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7"/>
        <v>28</v>
      </c>
      <c r="J349" s="148" t="s">
        <v>1975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7"/>
        <v>28</v>
      </c>
      <c r="J350" s="148" t="s">
        <v>1976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7"/>
        <v>28</v>
      </c>
      <c r="J351" s="87"/>
      <c r="K351" s="143">
        <f t="shared" si="18"/>
        <v>0</v>
      </c>
      <c r="L351" s="144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7"/>
        <v>28</v>
      </c>
      <c r="J352" s="148" t="s">
        <v>1977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7"/>
        <v>28</v>
      </c>
      <c r="J353" s="87"/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7"/>
        <v>28</v>
      </c>
      <c r="J354" s="148" t="s">
        <v>1978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7"/>
        <v>28</v>
      </c>
      <c r="J355" s="148" t="s">
        <v>1979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7"/>
        <v>28</v>
      </c>
      <c r="J356" s="148" t="s">
        <v>1980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7"/>
        <v>28</v>
      </c>
      <c r="J357" s="148" t="s">
        <v>1981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7"/>
        <v>25</v>
      </c>
      <c r="J358" s="73"/>
      <c r="K358" s="31">
        <f t="shared" si="18"/>
        <v>3</v>
      </c>
      <c r="L358" s="32">
        <f t="shared" si="19"/>
        <v>0.8928571428571429</v>
      </c>
      <c r="M358" s="70" t="s">
        <v>2130</v>
      </c>
      <c r="N358" s="70" t="s">
        <v>2130</v>
      </c>
      <c r="O358" s="70" t="s">
        <v>2130</v>
      </c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93"/>
      <c r="AF358" s="93"/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</row>
    <row r="359" spans="1:43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2135</v>
      </c>
      <c r="I359" s="143">
        <f t="shared" si="17"/>
        <v>26</v>
      </c>
      <c r="J359" s="148" t="s">
        <v>1982</v>
      </c>
      <c r="K359" s="143">
        <f t="shared" si="18"/>
        <v>2</v>
      </c>
      <c r="L359" s="144">
        <f t="shared" si="19"/>
        <v>0.9285714285714286</v>
      </c>
      <c r="M359" s="70" t="s">
        <v>2130</v>
      </c>
      <c r="N359" s="70" t="s">
        <v>2130</v>
      </c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7"/>
        <v>28</v>
      </c>
      <c r="J360" s="148" t="s">
        <v>1983</v>
      </c>
      <c r="K360" s="87">
        <f t="shared" si="18"/>
        <v>0</v>
      </c>
      <c r="L360" s="88">
        <f t="shared" si="19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</row>
    <row r="361" spans="1:43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7"/>
        <v>28</v>
      </c>
      <c r="J361" s="148" t="s">
        <v>1984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7"/>
        <v>28</v>
      </c>
      <c r="J362" s="148" t="s">
        <v>1985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7"/>
        <v>28</v>
      </c>
      <c r="J363" s="148" t="s">
        <v>1986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20">COUNTIF(M364:AN364,"")</f>
        <v>28</v>
      </c>
      <c r="J364" s="148" t="s">
        <v>1987</v>
      </c>
      <c r="K364" s="31">
        <f t="shared" ref="K364:K438" si="21">COUNTIF(M364:AN364,"APAGADO")</f>
        <v>0</v>
      </c>
      <c r="L364" s="32">
        <f t="shared" ref="L364:L438" si="22">(I364)/(K364+I364)</f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20"/>
        <v>28</v>
      </c>
      <c r="J365" s="148" t="s">
        <v>1988</v>
      </c>
      <c r="K365" s="31">
        <f t="shared" si="21"/>
        <v>0</v>
      </c>
      <c r="L365" s="32">
        <f t="shared" si="22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20"/>
        <v>28</v>
      </c>
      <c r="J366" s="148" t="s">
        <v>1989</v>
      </c>
      <c r="K366" s="31">
        <f t="shared" si="21"/>
        <v>0</v>
      </c>
      <c r="L366" s="32">
        <f t="shared" si="22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20"/>
        <v>28</v>
      </c>
      <c r="J367" s="148" t="s">
        <v>1990</v>
      </c>
      <c r="K367" s="31">
        <f t="shared" si="21"/>
        <v>0</v>
      </c>
      <c r="L367" s="32">
        <f t="shared" si="22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20"/>
        <v>28</v>
      </c>
      <c r="J368" s="148" t="s">
        <v>1991</v>
      </c>
      <c r="K368" s="31">
        <f t="shared" si="21"/>
        <v>0</v>
      </c>
      <c r="L368" s="32">
        <f t="shared" si="22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20"/>
        <v>28</v>
      </c>
      <c r="J369" s="148" t="s">
        <v>1992</v>
      </c>
      <c r="K369" s="31">
        <f t="shared" si="21"/>
        <v>0</v>
      </c>
      <c r="L369" s="32">
        <f t="shared" si="22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20"/>
        <v>28</v>
      </c>
      <c r="J370" s="148" t="s">
        <v>1993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20"/>
        <v>28</v>
      </c>
      <c r="J371" s="148" t="s">
        <v>1994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20"/>
        <v>27</v>
      </c>
      <c r="J372" s="148" t="s">
        <v>1995</v>
      </c>
      <c r="K372" s="31">
        <f t="shared" si="21"/>
        <v>1</v>
      </c>
      <c r="L372" s="32">
        <f t="shared" si="22"/>
        <v>0.9642857142857143</v>
      </c>
      <c r="M372" s="70" t="s">
        <v>2130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20"/>
        <v>28</v>
      </c>
      <c r="J373" s="148" t="s">
        <v>1996</v>
      </c>
      <c r="K373" s="143">
        <f t="shared" si="21"/>
        <v>0</v>
      </c>
      <c r="L373" s="144">
        <f t="shared" si="22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3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20"/>
        <v>28</v>
      </c>
      <c r="J374" s="148" t="s">
        <v>1997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  <c r="AQ374" s="90"/>
    </row>
    <row r="375" spans="1:43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20"/>
        <v>28</v>
      </c>
      <c r="J375" s="148" t="s">
        <v>1998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.75" thickBot="1" x14ac:dyDescent="0.3">
      <c r="A376" t="s">
        <v>402</v>
      </c>
      <c r="B376" t="s">
        <v>1641</v>
      </c>
      <c r="C376" t="s">
        <v>1066</v>
      </c>
      <c r="D376" t="s">
        <v>1642</v>
      </c>
      <c r="E376" s="30" t="s">
        <v>19</v>
      </c>
      <c r="F376" s="30" t="s">
        <v>28</v>
      </c>
      <c r="G376" s="30"/>
      <c r="H376" s="85" t="s">
        <v>1643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20"/>
        <v>27</v>
      </c>
      <c r="J377" s="87"/>
      <c r="K377" s="31">
        <f t="shared" si="21"/>
        <v>1</v>
      </c>
      <c r="L377" s="32">
        <f t="shared" si="22"/>
        <v>0.9642857142857143</v>
      </c>
      <c r="M377" s="70" t="s">
        <v>2130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20"/>
        <v>28</v>
      </c>
      <c r="J378" s="148" t="s">
        <v>1999</v>
      </c>
      <c r="K378" s="143">
        <f t="shared" si="21"/>
        <v>0</v>
      </c>
      <c r="L378" s="144">
        <f t="shared" si="22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  <c r="AQ378" s="89"/>
    </row>
    <row r="379" spans="1:43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20"/>
        <v>28</v>
      </c>
      <c r="J379" s="87"/>
      <c r="K379" s="31">
        <f t="shared" si="21"/>
        <v>0</v>
      </c>
      <c r="L379" s="32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20"/>
        <v>28</v>
      </c>
      <c r="J380" s="87"/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20"/>
        <v>28</v>
      </c>
      <c r="J381" s="148" t="s">
        <v>2000</v>
      </c>
      <c r="K381" s="87">
        <f t="shared" si="21"/>
        <v>0</v>
      </c>
      <c r="L381" s="88">
        <f t="shared" si="22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</row>
    <row r="382" spans="1:43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20"/>
        <v>28</v>
      </c>
      <c r="J382" s="87"/>
      <c r="K382" s="31">
        <f t="shared" si="21"/>
        <v>0</v>
      </c>
      <c r="L382" s="32">
        <f t="shared" si="22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20"/>
        <v>25</v>
      </c>
      <c r="J383" s="148" t="s">
        <v>2001</v>
      </c>
      <c r="K383" s="31">
        <f t="shared" si="21"/>
        <v>3</v>
      </c>
      <c r="L383" s="32">
        <f t="shared" si="22"/>
        <v>0.8928571428571429</v>
      </c>
      <c r="M383" s="70" t="s">
        <v>2130</v>
      </c>
      <c r="N383" s="70" t="s">
        <v>2130</v>
      </c>
      <c r="O383" s="70" t="s">
        <v>2130</v>
      </c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20"/>
        <v>25</v>
      </c>
      <c r="J384" s="148" t="s">
        <v>2002</v>
      </c>
      <c r="K384" s="31">
        <f t="shared" si="21"/>
        <v>3</v>
      </c>
      <c r="L384" s="32">
        <f t="shared" si="22"/>
        <v>0.8928571428571429</v>
      </c>
      <c r="M384" s="70" t="s">
        <v>2130</v>
      </c>
      <c r="N384" s="70" t="s">
        <v>2130</v>
      </c>
      <c r="O384" s="70" t="s">
        <v>2130</v>
      </c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20"/>
        <v>28</v>
      </c>
      <c r="J385" s="148" t="s">
        <v>2003</v>
      </c>
      <c r="K385" s="143">
        <f t="shared" si="21"/>
        <v>0</v>
      </c>
      <c r="L385" s="144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  <c r="AQ385" s="89"/>
    </row>
    <row r="386" spans="1:43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20"/>
        <v>28</v>
      </c>
      <c r="J386" s="148" t="s">
        <v>2004</v>
      </c>
      <c r="K386" s="143">
        <f t="shared" si="21"/>
        <v>0</v>
      </c>
      <c r="L386" s="144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5.75" thickBot="1" x14ac:dyDescent="0.3">
      <c r="A387" s="73" t="s">
        <v>196</v>
      </c>
      <c r="B387" s="73" t="s">
        <v>1554</v>
      </c>
      <c r="C387" s="73" t="s">
        <v>1067</v>
      </c>
      <c r="D387" s="73" t="s">
        <v>1555</v>
      </c>
      <c r="E387" s="85" t="s">
        <v>73</v>
      </c>
      <c r="F387" s="85" t="s">
        <v>1306</v>
      </c>
      <c r="G387" s="85"/>
      <c r="H387" s="85"/>
      <c r="I387" s="143">
        <f t="shared" si="20"/>
        <v>28</v>
      </c>
      <c r="J387" s="87"/>
      <c r="K387" s="143">
        <f t="shared" si="21"/>
        <v>0</v>
      </c>
      <c r="L387" s="144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.75" thickBot="1" x14ac:dyDescent="0.3">
      <c r="A388" s="73" t="s">
        <v>196</v>
      </c>
      <c r="B388" s="73" t="s">
        <v>1556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3">
        <f t="shared" si="20"/>
        <v>28</v>
      </c>
      <c r="J388" s="87"/>
      <c r="K388" s="143">
        <f t="shared" si="21"/>
        <v>0</v>
      </c>
      <c r="L388" s="144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.75" thickBot="1" x14ac:dyDescent="0.3">
      <c r="A389" s="73" t="s">
        <v>196</v>
      </c>
      <c r="B389" s="73" t="s">
        <v>1637</v>
      </c>
      <c r="C389" s="73" t="s">
        <v>1067</v>
      </c>
      <c r="D389" s="73" t="s">
        <v>1638</v>
      </c>
      <c r="E389" s="85" t="s">
        <v>73</v>
      </c>
      <c r="F389" s="85"/>
      <c r="G389" s="85"/>
      <c r="H389" s="85" t="s">
        <v>1639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20"/>
        <v>25</v>
      </c>
      <c r="J390" s="87"/>
      <c r="K390" s="31">
        <f t="shared" si="21"/>
        <v>3</v>
      </c>
      <c r="L390" s="32">
        <f t="shared" si="22"/>
        <v>0.8928571428571429</v>
      </c>
      <c r="M390" s="70" t="s">
        <v>2130</v>
      </c>
      <c r="N390" s="70" t="s">
        <v>2130</v>
      </c>
      <c r="O390" s="70" t="s">
        <v>2130</v>
      </c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93"/>
      <c r="AF390" s="93"/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spans="1:43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20"/>
        <v>28</v>
      </c>
      <c r="J391" s="148" t="s">
        <v>2005</v>
      </c>
      <c r="K391" s="143">
        <f t="shared" si="21"/>
        <v>0</v>
      </c>
      <c r="L391" s="144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20"/>
        <v>28</v>
      </c>
      <c r="J392" s="148" t="s">
        <v>2006</v>
      </c>
      <c r="K392" s="143">
        <f t="shared" si="21"/>
        <v>0</v>
      </c>
      <c r="L392" s="144">
        <f t="shared" si="22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3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20"/>
        <v>28</v>
      </c>
      <c r="J393" s="148" t="s">
        <v>2007</v>
      </c>
      <c r="K393" s="143">
        <f t="shared" si="21"/>
        <v>0</v>
      </c>
      <c r="L393" s="144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20"/>
        <v>27</v>
      </c>
      <c r="J394" s="148" t="s">
        <v>2008</v>
      </c>
      <c r="K394" s="143">
        <f t="shared" si="21"/>
        <v>1</v>
      </c>
      <c r="L394" s="144">
        <f t="shared" si="22"/>
        <v>0.9642857142857143</v>
      </c>
      <c r="M394" s="70" t="s">
        <v>2130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20"/>
        <v>25</v>
      </c>
      <c r="J395" s="87"/>
      <c r="K395" s="31">
        <f t="shared" si="21"/>
        <v>3</v>
      </c>
      <c r="L395" s="32">
        <f t="shared" si="22"/>
        <v>0.8928571428571429</v>
      </c>
      <c r="M395" s="70" t="s">
        <v>2130</v>
      </c>
      <c r="N395" s="70" t="s">
        <v>2130</v>
      </c>
      <c r="O395" s="70" t="s">
        <v>2130</v>
      </c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93"/>
      <c r="AF395" s="93"/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spans="1:43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20"/>
        <v>28</v>
      </c>
      <c r="J396" s="148" t="s">
        <v>2009</v>
      </c>
      <c r="K396" s="143">
        <f t="shared" si="21"/>
        <v>0</v>
      </c>
      <c r="L396" s="144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20"/>
        <v>28</v>
      </c>
      <c r="J397" s="148" t="s">
        <v>2010</v>
      </c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20"/>
        <v>28</v>
      </c>
      <c r="J399" s="73" t="s">
        <v>2011</v>
      </c>
      <c r="K399" s="143">
        <f t="shared" si="21"/>
        <v>0</v>
      </c>
      <c r="L399" s="144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20"/>
        <v>28</v>
      </c>
      <c r="J400" s="148" t="s">
        <v>2012</v>
      </c>
      <c r="K400" s="31">
        <f t="shared" si="21"/>
        <v>0</v>
      </c>
      <c r="L400" s="32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20"/>
        <v>28</v>
      </c>
      <c r="J401" s="148" t="s">
        <v>2013</v>
      </c>
      <c r="K401" s="31">
        <f t="shared" si="21"/>
        <v>0</v>
      </c>
      <c r="L401" s="32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s="73" customFormat="1" ht="16.899999999999999" customHeight="1" thickBot="1" x14ac:dyDescent="0.3">
      <c r="A402" t="s">
        <v>1128</v>
      </c>
      <c r="B402" s="73" t="s">
        <v>1569</v>
      </c>
      <c r="C402" s="73" t="s">
        <v>1067</v>
      </c>
      <c r="D402" s="73" t="s">
        <v>1570</v>
      </c>
      <c r="E402" s="85" t="s">
        <v>1118</v>
      </c>
      <c r="F402" s="85" t="s">
        <v>1306</v>
      </c>
      <c r="G402" s="85"/>
      <c r="H402" s="85" t="s">
        <v>1572</v>
      </c>
      <c r="I402" s="31"/>
      <c r="J402" s="148" t="s">
        <v>2014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6.899999999999999" customHeight="1" thickBot="1" x14ac:dyDescent="0.3">
      <c r="A403" t="s">
        <v>1128</v>
      </c>
      <c r="B403" s="73" t="s">
        <v>1568</v>
      </c>
      <c r="C403" s="73" t="s">
        <v>1067</v>
      </c>
      <c r="D403" s="73" t="s">
        <v>1571</v>
      </c>
      <c r="E403" s="85" t="s">
        <v>1118</v>
      </c>
      <c r="F403" s="85" t="s">
        <v>1306</v>
      </c>
      <c r="G403" s="85"/>
      <c r="H403" s="85" t="s">
        <v>1573</v>
      </c>
      <c r="I403" s="31"/>
      <c r="J403" s="148" t="s">
        <v>2015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20"/>
        <v>28</v>
      </c>
      <c r="J404" s="148" t="s">
        <v>2016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20"/>
        <v>28</v>
      </c>
      <c r="J405" s="148" t="s">
        <v>2017</v>
      </c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20"/>
        <v>28</v>
      </c>
      <c r="J406" s="148" t="s">
        <v>2018</v>
      </c>
      <c r="K406" s="31">
        <f t="shared" si="21"/>
        <v>0</v>
      </c>
      <c r="L406" s="32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20"/>
        <v>28</v>
      </c>
      <c r="J407" s="148" t="s">
        <v>2019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20"/>
        <v>28</v>
      </c>
      <c r="J408" s="148" t="s">
        <v>2020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20"/>
        <v>28</v>
      </c>
      <c r="J409" s="148" t="s">
        <v>2021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20"/>
        <v>27</v>
      </c>
      <c r="J410" s="148" t="s">
        <v>2022</v>
      </c>
      <c r="K410" s="143">
        <f t="shared" si="21"/>
        <v>1</v>
      </c>
      <c r="L410" s="144">
        <f t="shared" si="22"/>
        <v>0.9642857142857143</v>
      </c>
      <c r="M410" s="70"/>
      <c r="N410" s="70" t="s">
        <v>2130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20"/>
        <v>28</v>
      </c>
      <c r="J411" s="148" t="s">
        <v>2023</v>
      </c>
      <c r="K411" s="143">
        <f t="shared" si="21"/>
        <v>0</v>
      </c>
      <c r="L411" s="144">
        <f t="shared" si="22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20"/>
        <v>28</v>
      </c>
      <c r="J412" s="87"/>
      <c r="K412" s="31">
        <f t="shared" si="21"/>
        <v>0</v>
      </c>
      <c r="L412" s="3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20"/>
        <v>28</v>
      </c>
      <c r="J413" s="148" t="s">
        <v>2024</v>
      </c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20"/>
        <v>28</v>
      </c>
      <c r="J414" s="148" t="s">
        <v>2025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20"/>
        <v>28</v>
      </c>
      <c r="J415" s="148" t="s">
        <v>2026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20"/>
        <v>25</v>
      </c>
      <c r="J416" s="87"/>
      <c r="K416" s="31">
        <f t="shared" si="21"/>
        <v>3</v>
      </c>
      <c r="L416" s="32">
        <f t="shared" si="22"/>
        <v>0.8928571428571429</v>
      </c>
      <c r="M416" s="70" t="s">
        <v>2130</v>
      </c>
      <c r="N416" s="70" t="s">
        <v>2130</v>
      </c>
      <c r="O416" s="70" t="s">
        <v>2130</v>
      </c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20"/>
        <v>28</v>
      </c>
      <c r="J417" s="87"/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20"/>
        <v>28</v>
      </c>
      <c r="J420" s="148" t="s">
        <v>2027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20"/>
        <v>26</v>
      </c>
      <c r="J421" s="148" t="s">
        <v>2028</v>
      </c>
      <c r="K421" s="31">
        <f t="shared" si="21"/>
        <v>2</v>
      </c>
      <c r="L421" s="32">
        <f t="shared" si="22"/>
        <v>0.9285714285714286</v>
      </c>
      <c r="M421" s="70"/>
      <c r="N421" s="70" t="s">
        <v>2130</v>
      </c>
      <c r="O421" s="70" t="s">
        <v>2130</v>
      </c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20"/>
        <v>28</v>
      </c>
      <c r="J422" s="148" t="s">
        <v>2029</v>
      </c>
      <c r="K422" s="143">
        <f t="shared" si="21"/>
        <v>0</v>
      </c>
      <c r="L422" s="144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20"/>
        <v>28</v>
      </c>
      <c r="J423" s="148" t="s">
        <v>2030</v>
      </c>
      <c r="K423" s="143">
        <f t="shared" si="21"/>
        <v>0</v>
      </c>
      <c r="L423" s="144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20"/>
        <v>28</v>
      </c>
      <c r="J424" s="148" t="s">
        <v>2031</v>
      </c>
      <c r="K424" s="143">
        <f t="shared" si="21"/>
        <v>0</v>
      </c>
      <c r="L424" s="144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20"/>
        <v>28</v>
      </c>
      <c r="J425" s="148" t="s">
        <v>2032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20"/>
        <v>28</v>
      </c>
      <c r="J426" s="148" t="s">
        <v>2033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20"/>
        <v>28</v>
      </c>
      <c r="J427" s="148" t="s">
        <v>2034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20"/>
        <v>25</v>
      </c>
      <c r="J428" s="148" t="s">
        <v>2035</v>
      </c>
      <c r="K428" s="31">
        <f t="shared" si="21"/>
        <v>3</v>
      </c>
      <c r="L428" s="32">
        <f t="shared" si="22"/>
        <v>0.8928571428571429</v>
      </c>
      <c r="M428" s="70" t="s">
        <v>2130</v>
      </c>
      <c r="N428" s="70" t="s">
        <v>2130</v>
      </c>
      <c r="O428" s="70" t="s">
        <v>2130</v>
      </c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1613</v>
      </c>
      <c r="B429" s="73" t="s">
        <v>1614</v>
      </c>
      <c r="C429" s="73" t="s">
        <v>1067</v>
      </c>
      <c r="D429" s="147" t="s">
        <v>1615</v>
      </c>
      <c r="E429" s="85" t="s">
        <v>15</v>
      </c>
      <c r="F429" s="85" t="s">
        <v>1306</v>
      </c>
      <c r="G429" s="85"/>
      <c r="H429" s="85" t="s">
        <v>1616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1613</v>
      </c>
      <c r="B430" s="73" t="s">
        <v>1625</v>
      </c>
      <c r="C430" s="73" t="s">
        <v>1067</v>
      </c>
      <c r="D430" s="147" t="s">
        <v>1626</v>
      </c>
      <c r="E430" s="85" t="s">
        <v>19</v>
      </c>
      <c r="F430" s="85" t="s">
        <v>1306</v>
      </c>
      <c r="G430" s="85"/>
      <c r="H430" s="85" t="s">
        <v>1627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1619</v>
      </c>
      <c r="B431" s="73" t="s">
        <v>1618</v>
      </c>
      <c r="C431" s="73" t="s">
        <v>1067</v>
      </c>
      <c r="D431" s="147" t="s">
        <v>1620</v>
      </c>
      <c r="E431" s="85" t="s">
        <v>73</v>
      </c>
      <c r="F431" s="85" t="s">
        <v>1306</v>
      </c>
      <c r="G431" s="85"/>
      <c r="H431" s="85" t="s">
        <v>1621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1613</v>
      </c>
      <c r="B432" s="73" t="s">
        <v>1670</v>
      </c>
      <c r="C432" s="73" t="s">
        <v>1067</v>
      </c>
      <c r="D432" s="147" t="s">
        <v>1668</v>
      </c>
      <c r="E432" s="85" t="s">
        <v>73</v>
      </c>
      <c r="F432" s="85" t="s">
        <v>1306</v>
      </c>
      <c r="G432" s="85"/>
      <c r="H432" s="85" t="s">
        <v>1672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.75" thickBot="1" x14ac:dyDescent="0.3">
      <c r="A433" s="73" t="s">
        <v>1613</v>
      </c>
      <c r="B433" s="73" t="s">
        <v>1671</v>
      </c>
      <c r="C433" s="73" t="s">
        <v>1067</v>
      </c>
      <c r="D433" s="147" t="s">
        <v>1669</v>
      </c>
      <c r="E433" s="85" t="s">
        <v>73</v>
      </c>
      <c r="F433" s="85" t="s">
        <v>1306</v>
      </c>
      <c r="G433" s="85"/>
      <c r="H433" s="85" t="s">
        <v>1673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20"/>
        <v>28</v>
      </c>
      <c r="J434" s="148" t="s">
        <v>2036</v>
      </c>
      <c r="K434" s="143">
        <f t="shared" si="21"/>
        <v>0</v>
      </c>
      <c r="L434" s="144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20"/>
        <v>28</v>
      </c>
      <c r="J435" s="148" t="s">
        <v>2037</v>
      </c>
      <c r="K435" s="143">
        <f t="shared" si="21"/>
        <v>0</v>
      </c>
      <c r="L435" s="144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20"/>
        <v>25</v>
      </c>
      <c r="J436" s="87"/>
      <c r="K436" s="143">
        <f t="shared" si="21"/>
        <v>3</v>
      </c>
      <c r="L436" s="144">
        <f t="shared" si="22"/>
        <v>0.8928571428571429</v>
      </c>
      <c r="M436" s="70" t="s">
        <v>2130</v>
      </c>
      <c r="N436" s="70" t="s">
        <v>2130</v>
      </c>
      <c r="O436" s="70" t="s">
        <v>2130</v>
      </c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20"/>
        <v>28</v>
      </c>
      <c r="J437" s="148" t="s">
        <v>2038</v>
      </c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479</v>
      </c>
      <c r="B438" t="s">
        <v>480</v>
      </c>
      <c r="C438" t="s">
        <v>1066</v>
      </c>
      <c r="D438" t="s">
        <v>1623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20"/>
        <v>28</v>
      </c>
      <c r="J438" s="148" t="s">
        <v>2039</v>
      </c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3">COUNTIF(M439:AN439,"")</f>
        <v>28</v>
      </c>
      <c r="J439" s="148" t="s">
        <v>2040</v>
      </c>
      <c r="K439" s="31">
        <f t="shared" ref="K439:K509" si="24">COUNTIF(M439:AN439,"APAGADO")</f>
        <v>0</v>
      </c>
      <c r="L439" s="32">
        <f t="shared" ref="L439:L509" si="25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3"/>
        <v>28</v>
      </c>
      <c r="J440" s="148" t="s">
        <v>2041</v>
      </c>
      <c r="K440" s="31">
        <f t="shared" si="24"/>
        <v>0</v>
      </c>
      <c r="L440" s="32">
        <f t="shared" si="25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3"/>
        <v>28</v>
      </c>
      <c r="J441" s="148" t="s">
        <v>2042</v>
      </c>
      <c r="K441" s="31">
        <f t="shared" si="24"/>
        <v>0</v>
      </c>
      <c r="L441" s="32">
        <f t="shared" si="25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3"/>
        <v>28</v>
      </c>
      <c r="J442" s="148" t="s">
        <v>2043</v>
      </c>
      <c r="K442" s="31">
        <f t="shared" si="24"/>
        <v>0</v>
      </c>
      <c r="L442" s="32">
        <f t="shared" si="25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3"/>
        <v>28</v>
      </c>
      <c r="J443" s="148" t="s">
        <v>2044</v>
      </c>
      <c r="K443" s="143">
        <f t="shared" si="24"/>
        <v>0</v>
      </c>
      <c r="L443" s="144">
        <f t="shared" si="25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3"/>
        <v>28</v>
      </c>
      <c r="J444" s="148" t="s">
        <v>2045</v>
      </c>
      <c r="K444" s="31">
        <f t="shared" si="24"/>
        <v>0</v>
      </c>
      <c r="L444" s="32">
        <f t="shared" si="25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3"/>
        <v>28</v>
      </c>
      <c r="J445" s="148" t="s">
        <v>2046</v>
      </c>
      <c r="K445" s="31">
        <f t="shared" si="24"/>
        <v>0</v>
      </c>
      <c r="L445" s="32">
        <f t="shared" si="25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3"/>
        <v>28</v>
      </c>
      <c r="J446" s="148" t="s">
        <v>2047</v>
      </c>
      <c r="K446" s="143">
        <f t="shared" si="24"/>
        <v>0</v>
      </c>
      <c r="L446" s="144">
        <f t="shared" si="25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3"/>
        <v>28</v>
      </c>
      <c r="J447" s="148" t="s">
        <v>2048</v>
      </c>
      <c r="K447" s="87">
        <f t="shared" si="24"/>
        <v>0</v>
      </c>
      <c r="L447" s="88">
        <f t="shared" si="25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</row>
    <row r="448" spans="1:43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3"/>
        <v>28</v>
      </c>
      <c r="J448" s="148" t="s">
        <v>2049</v>
      </c>
      <c r="K448" s="31">
        <f t="shared" si="24"/>
        <v>0</v>
      </c>
      <c r="L448" s="32">
        <f t="shared" si="25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3"/>
        <v>28</v>
      </c>
      <c r="J449" s="148" t="s">
        <v>2050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3"/>
        <v>28</v>
      </c>
      <c r="J450" s="148" t="s">
        <v>2051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3"/>
        <v>28</v>
      </c>
      <c r="J451" s="148" t="s">
        <v>2052</v>
      </c>
      <c r="K451" s="87">
        <f t="shared" si="24"/>
        <v>0</v>
      </c>
      <c r="L451" s="88">
        <f t="shared" si="25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</row>
    <row r="452" spans="1:43" s="73" customFormat="1" ht="15.75" thickBot="1" x14ac:dyDescent="0.3">
      <c r="A452" s="73" t="s">
        <v>479</v>
      </c>
      <c r="B452" s="73" t="s">
        <v>1617</v>
      </c>
      <c r="C452" s="73" t="s">
        <v>1066</v>
      </c>
      <c r="D452" s="147" t="s">
        <v>1622</v>
      </c>
      <c r="E452" s="73" t="s">
        <v>15</v>
      </c>
      <c r="F452" s="73" t="s">
        <v>1306</v>
      </c>
      <c r="H452" s="85" t="s">
        <v>1624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.75" thickBot="1" x14ac:dyDescent="0.3">
      <c r="A453" s="73" t="s">
        <v>479</v>
      </c>
      <c r="B453" s="73" t="s">
        <v>1635</v>
      </c>
      <c r="C453" s="73" t="s">
        <v>1066</v>
      </c>
      <c r="D453" s="147" t="s">
        <v>1628</v>
      </c>
      <c r="E453" s="73" t="s">
        <v>19</v>
      </c>
      <c r="F453" s="73" t="s">
        <v>1306</v>
      </c>
      <c r="H453" s="85" t="s">
        <v>1636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.75" thickBot="1" x14ac:dyDescent="0.3">
      <c r="A454" s="73" t="s">
        <v>479</v>
      </c>
      <c r="B454" s="73" t="s">
        <v>1630</v>
      </c>
      <c r="C454" s="73" t="s">
        <v>1066</v>
      </c>
      <c r="D454" s="147" t="s">
        <v>1629</v>
      </c>
      <c r="E454" s="73" t="s">
        <v>1118</v>
      </c>
      <c r="F454" s="73" t="s">
        <v>1306</v>
      </c>
      <c r="H454" s="85" t="s">
        <v>1634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.75" thickBot="1" x14ac:dyDescent="0.3">
      <c r="A455" s="73" t="s">
        <v>479</v>
      </c>
      <c r="B455" s="73" t="s">
        <v>1631</v>
      </c>
      <c r="C455" s="73" t="s">
        <v>1066</v>
      </c>
      <c r="D455" s="147" t="s">
        <v>1632</v>
      </c>
      <c r="E455" s="73" t="s">
        <v>1118</v>
      </c>
      <c r="F455" s="73" t="s">
        <v>1306</v>
      </c>
      <c r="H455" s="85" t="s">
        <v>1633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3"/>
        <v>28</v>
      </c>
      <c r="J456" s="148" t="s">
        <v>2053</v>
      </c>
      <c r="K456" s="143">
        <f t="shared" si="24"/>
        <v>0</v>
      </c>
      <c r="L456" s="144">
        <f t="shared" si="25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3"/>
        <v>28</v>
      </c>
      <c r="J457" s="87"/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3"/>
        <v>28</v>
      </c>
      <c r="J458" s="87"/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3"/>
        <v>28</v>
      </c>
      <c r="J459" s="87"/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3"/>
        <v>28</v>
      </c>
      <c r="J460" s="87"/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3"/>
        <v>28</v>
      </c>
      <c r="J461" s="87"/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3"/>
        <v>28</v>
      </c>
      <c r="J462" s="148" t="s">
        <v>2054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3"/>
        <v>28</v>
      </c>
      <c r="J463" s="148" t="s">
        <v>2055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3"/>
        <v>28</v>
      </c>
      <c r="J464" s="148" t="s">
        <v>2056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3"/>
        <v>28</v>
      </c>
      <c r="J465" s="148" t="s">
        <v>2057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3"/>
        <v>28</v>
      </c>
      <c r="J466" s="148" t="s">
        <v>2058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3"/>
        <v>28</v>
      </c>
      <c r="J467" s="148" t="s">
        <v>2059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3"/>
        <v>28</v>
      </c>
      <c r="J468" s="148" t="s">
        <v>2060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3"/>
        <v>28</v>
      </c>
      <c r="J469" s="148" t="s">
        <v>2061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3"/>
        <v>28</v>
      </c>
      <c r="J470" s="148" t="s">
        <v>2062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3"/>
        <v>28</v>
      </c>
      <c r="J471" s="148" t="s">
        <v>2063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3"/>
        <v>28</v>
      </c>
      <c r="J472" s="148" t="s">
        <v>2064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3"/>
        <v>28</v>
      </c>
      <c r="J473" s="148" t="s">
        <v>2065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3"/>
        <v>28</v>
      </c>
      <c r="J474" s="148" t="s">
        <v>2066</v>
      </c>
      <c r="K474" s="143">
        <f t="shared" si="24"/>
        <v>0</v>
      </c>
      <c r="L474" s="144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3"/>
        <v>28</v>
      </c>
      <c r="J475" s="148" t="s">
        <v>2067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3"/>
        <v>28</v>
      </c>
      <c r="J476" s="148" t="s">
        <v>2068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3"/>
        <v>28</v>
      </c>
      <c r="J477" s="148" t="s">
        <v>2069</v>
      </c>
      <c r="K477" s="143">
        <f t="shared" si="24"/>
        <v>0</v>
      </c>
      <c r="L477" s="144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3"/>
        <v>28</v>
      </c>
      <c r="J478" s="148" t="s">
        <v>2070</v>
      </c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3"/>
        <v>28</v>
      </c>
      <c r="J479" s="148" t="s">
        <v>2071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3"/>
        <v>28</v>
      </c>
      <c r="J480" s="148" t="s">
        <v>2072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3"/>
        <v>28</v>
      </c>
      <c r="J481" s="148" t="s">
        <v>2073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3"/>
        <v>28</v>
      </c>
      <c r="J482" s="148" t="s">
        <v>2074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3"/>
        <v>28</v>
      </c>
      <c r="J483" s="148" t="s">
        <v>2075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3"/>
        <v>28</v>
      </c>
      <c r="J484" s="148" t="s">
        <v>2076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3"/>
        <v>28</v>
      </c>
      <c r="J485" s="148" t="s">
        <v>2077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3"/>
        <v>28</v>
      </c>
      <c r="J486" s="148" t="s">
        <v>2078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3"/>
        <v>28</v>
      </c>
      <c r="J487" s="148" t="s">
        <v>2079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3"/>
        <v>27</v>
      </c>
      <c r="J488" s="73"/>
      <c r="K488" s="31">
        <f t="shared" si="24"/>
        <v>1</v>
      </c>
      <c r="L488" s="32">
        <f t="shared" si="25"/>
        <v>0.9642857142857143</v>
      </c>
      <c r="M488" s="70" t="s">
        <v>2130</v>
      </c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3"/>
        <v>28</v>
      </c>
      <c r="J489" s="148" t="s">
        <v>2080</v>
      </c>
      <c r="K489" s="143">
        <f t="shared" si="24"/>
        <v>0</v>
      </c>
      <c r="L489" s="144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  <c r="AQ489" s="89"/>
    </row>
    <row r="490" spans="1:43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3"/>
        <v>28</v>
      </c>
      <c r="J490" s="148" t="s">
        <v>2081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3"/>
        <v>28</v>
      </c>
      <c r="J491" s="148" t="s">
        <v>2082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3"/>
        <v>28</v>
      </c>
      <c r="J492" s="148" t="s">
        <v>2083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3"/>
        <v>28</v>
      </c>
      <c r="J493" s="148" t="s">
        <v>2084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3"/>
        <v>28</v>
      </c>
      <c r="J494" s="148" t="s">
        <v>2085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3"/>
        <v>28</v>
      </c>
      <c r="J495" s="148" t="s">
        <v>2086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3"/>
        <v>28</v>
      </c>
      <c r="J496" s="148" t="s">
        <v>2087</v>
      </c>
      <c r="K496" s="143">
        <f t="shared" si="24"/>
        <v>0</v>
      </c>
      <c r="L496" s="144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  <c r="AQ496" s="89"/>
    </row>
    <row r="497" spans="1:43" ht="15.75" thickBot="1" x14ac:dyDescent="0.3">
      <c r="A497" t="s">
        <v>518</v>
      </c>
      <c r="B497" s="30" t="s">
        <v>1540</v>
      </c>
      <c r="C497" s="30" t="s">
        <v>1067</v>
      </c>
      <c r="D497" t="s">
        <v>1541</v>
      </c>
      <c r="E497" s="30" t="s">
        <v>1118</v>
      </c>
      <c r="F497" s="30" t="s">
        <v>28</v>
      </c>
      <c r="G497" s="30"/>
      <c r="H497" s="30" t="s">
        <v>1542</v>
      </c>
      <c r="I497" s="31"/>
      <c r="J497" s="148" t="s">
        <v>2088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85" t="s">
        <v>1592</v>
      </c>
      <c r="C498" s="85" t="s">
        <v>1067</v>
      </c>
      <c r="D498" s="73" t="s">
        <v>1593</v>
      </c>
      <c r="E498" s="85" t="s">
        <v>15</v>
      </c>
      <c r="F498" s="85" t="s">
        <v>1306</v>
      </c>
      <c r="G498" s="85"/>
      <c r="H498" s="85" t="s">
        <v>1594</v>
      </c>
      <c r="I498" s="143"/>
      <c r="J498" s="148" t="s">
        <v>2089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s="73" customFormat="1" ht="15.75" thickBot="1" x14ac:dyDescent="0.3">
      <c r="A499" s="73" t="s">
        <v>518</v>
      </c>
      <c r="B499" s="85" t="s">
        <v>1595</v>
      </c>
      <c r="C499" s="85" t="s">
        <v>1067</v>
      </c>
      <c r="D499" s="73" t="s">
        <v>1596</v>
      </c>
      <c r="E499" s="85" t="s">
        <v>15</v>
      </c>
      <c r="F499" s="85" t="s">
        <v>1306</v>
      </c>
      <c r="G499" s="85"/>
      <c r="H499" s="85" t="s">
        <v>1597</v>
      </c>
      <c r="I499" s="143"/>
      <c r="J499" s="148" t="s">
        <v>2090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3"/>
        <v>28</v>
      </c>
      <c r="J500" s="148" t="s">
        <v>2091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3"/>
        <v>28</v>
      </c>
      <c r="J501" s="148" t="s">
        <v>2092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3"/>
        <v>28</v>
      </c>
      <c r="J502" s="148" t="s">
        <v>2093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3"/>
        <v>28</v>
      </c>
      <c r="J503" s="148" t="s">
        <v>2094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3"/>
        <v>28</v>
      </c>
      <c r="J504" s="148" t="s">
        <v>2095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3"/>
        <v>28</v>
      </c>
      <c r="J505" s="148" t="s">
        <v>2096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3"/>
        <v>25</v>
      </c>
      <c r="J506" s="73"/>
      <c r="K506" s="31">
        <f t="shared" si="24"/>
        <v>3</v>
      </c>
      <c r="L506" s="32">
        <f t="shared" si="25"/>
        <v>0.8928571428571429</v>
      </c>
      <c r="M506" s="70" t="s">
        <v>2130</v>
      </c>
      <c r="N506" s="70" t="s">
        <v>2130</v>
      </c>
      <c r="O506" s="70" t="s">
        <v>2130</v>
      </c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3"/>
        <v>28</v>
      </c>
      <c r="J507" s="148" t="s">
        <v>2097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3"/>
        <v>28</v>
      </c>
      <c r="J508" s="148" t="s">
        <v>2098</v>
      </c>
      <c r="K508" s="143">
        <f t="shared" si="24"/>
        <v>0</v>
      </c>
      <c r="L508" s="144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3"/>
        <v>28</v>
      </c>
      <c r="J509" s="148" t="s">
        <v>2099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9" si="26">COUNTIF(M510:AN510,"")</f>
        <v>28</v>
      </c>
      <c r="J510" s="148" t="s">
        <v>2100</v>
      </c>
      <c r="K510" s="143">
        <f t="shared" ref="K510:K549" si="27">COUNTIF(M510:AN510,"APAGADO")</f>
        <v>0</v>
      </c>
      <c r="L510" s="144">
        <f t="shared" ref="L510:L549" si="28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6"/>
        <v>25</v>
      </c>
      <c r="J511" s="148" t="s">
        <v>2101</v>
      </c>
      <c r="K511" s="143">
        <f t="shared" si="27"/>
        <v>3</v>
      </c>
      <c r="L511" s="144">
        <f t="shared" si="28"/>
        <v>0.8928571428571429</v>
      </c>
      <c r="M511" s="70" t="s">
        <v>2130</v>
      </c>
      <c r="N511" s="70" t="s">
        <v>2130</v>
      </c>
      <c r="O511" s="70" t="s">
        <v>2130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6"/>
        <v>27</v>
      </c>
      <c r="J512" s="148" t="s">
        <v>2102</v>
      </c>
      <c r="K512" s="31">
        <f t="shared" si="27"/>
        <v>0</v>
      </c>
      <c r="L512" s="32">
        <f t="shared" si="28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6"/>
        <v>28</v>
      </c>
      <c r="J513" s="148" t="s">
        <v>2103</v>
      </c>
      <c r="K513" s="143">
        <f t="shared" si="27"/>
        <v>0</v>
      </c>
      <c r="L513" s="144">
        <f t="shared" si="28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6"/>
        <v>28</v>
      </c>
      <c r="J514" s="148" t="s">
        <v>2104</v>
      </c>
      <c r="K514" s="31">
        <f t="shared" si="27"/>
        <v>0</v>
      </c>
      <c r="L514" s="32">
        <f t="shared" si="28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6"/>
        <v>28</v>
      </c>
      <c r="J515" s="148" t="s">
        <v>2105</v>
      </c>
      <c r="K515" s="143">
        <f t="shared" si="27"/>
        <v>0</v>
      </c>
      <c r="L515" s="144">
        <f t="shared" si="28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  <c r="AQ515" s="89"/>
    </row>
    <row r="516" spans="1:43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6"/>
        <v>28</v>
      </c>
      <c r="J516" s="148" t="s">
        <v>2106</v>
      </c>
      <c r="K516" s="143">
        <f t="shared" si="27"/>
        <v>0</v>
      </c>
      <c r="L516" s="144">
        <f t="shared" si="28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6"/>
        <v>28</v>
      </c>
      <c r="J517" s="148" t="s">
        <v>2107</v>
      </c>
      <c r="K517" s="143">
        <f t="shared" si="27"/>
        <v>0</v>
      </c>
      <c r="L517" s="144">
        <f t="shared" si="28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6"/>
        <v>28</v>
      </c>
      <c r="J518" s="148" t="s">
        <v>2108</v>
      </c>
      <c r="K518" s="143">
        <f t="shared" si="27"/>
        <v>0</v>
      </c>
      <c r="L518" s="144">
        <f t="shared" si="28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570</v>
      </c>
      <c r="B519" s="73" t="s">
        <v>1652</v>
      </c>
      <c r="C519" s="73" t="s">
        <v>1067</v>
      </c>
      <c r="D519" s="73" t="s">
        <v>1659</v>
      </c>
      <c r="E519" s="85" t="s">
        <v>1118</v>
      </c>
      <c r="F519" s="85" t="s">
        <v>28</v>
      </c>
      <c r="G519" s="85"/>
      <c r="H519" s="85" t="s">
        <v>1654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570</v>
      </c>
      <c r="B520" s="73" t="s">
        <v>1665</v>
      </c>
      <c r="C520" s="73" t="s">
        <v>1067</v>
      </c>
      <c r="D520" s="73" t="s">
        <v>1666</v>
      </c>
      <c r="E520" s="85" t="s">
        <v>15</v>
      </c>
      <c r="F520" s="85" t="s">
        <v>1306</v>
      </c>
      <c r="G520" s="85"/>
      <c r="H520" s="85" t="s">
        <v>1667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6"/>
        <v>25</v>
      </c>
      <c r="J521" s="87"/>
      <c r="K521" s="31">
        <f t="shared" si="27"/>
        <v>3</v>
      </c>
      <c r="L521" s="32">
        <f t="shared" si="28"/>
        <v>0.8928571428571429</v>
      </c>
      <c r="M521" s="70" t="s">
        <v>2130</v>
      </c>
      <c r="N521" s="70" t="s">
        <v>2130</v>
      </c>
      <c r="O521" s="70" t="s">
        <v>2130</v>
      </c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6"/>
        <v>28</v>
      </c>
      <c r="J522" s="148" t="s">
        <v>2109</v>
      </c>
      <c r="K522" s="31">
        <f t="shared" si="27"/>
        <v>0</v>
      </c>
      <c r="L522" s="32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6"/>
        <v>25</v>
      </c>
      <c r="J523" s="87"/>
      <c r="K523" s="31">
        <f t="shared" si="27"/>
        <v>3</v>
      </c>
      <c r="L523" s="32">
        <f t="shared" si="28"/>
        <v>0.8928571428571429</v>
      </c>
      <c r="M523" s="70" t="s">
        <v>2130</v>
      </c>
      <c r="N523" s="70" t="s">
        <v>2130</v>
      </c>
      <c r="O523" s="70" t="s">
        <v>2130</v>
      </c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6"/>
        <v>28</v>
      </c>
      <c r="J524" s="148" t="s">
        <v>2110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6"/>
        <v>28</v>
      </c>
      <c r="J525" s="148" t="s">
        <v>2111</v>
      </c>
      <c r="K525" s="143">
        <f t="shared" si="27"/>
        <v>0</v>
      </c>
      <c r="L525" s="144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6"/>
        <v>28</v>
      </c>
      <c r="J526" s="87"/>
      <c r="K526" s="31">
        <f t="shared" si="27"/>
        <v>0</v>
      </c>
      <c r="L526" s="32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6"/>
        <v>28</v>
      </c>
      <c r="J527" s="148" t="s">
        <v>2112</v>
      </c>
      <c r="K527" s="31">
        <f t="shared" si="27"/>
        <v>0</v>
      </c>
      <c r="L527" s="32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6"/>
        <v>28</v>
      </c>
      <c r="J528" s="148" t="s">
        <v>2113</v>
      </c>
      <c r="K528" s="31">
        <f t="shared" si="27"/>
        <v>0</v>
      </c>
      <c r="L528" s="32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6"/>
        <v>28</v>
      </c>
      <c r="J529" s="148" t="s">
        <v>2114</v>
      </c>
      <c r="K529" s="31">
        <f t="shared" si="27"/>
        <v>0</v>
      </c>
      <c r="L529" s="32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6"/>
        <v>25</v>
      </c>
      <c r="J530" s="148" t="s">
        <v>2115</v>
      </c>
      <c r="K530" s="31">
        <f t="shared" si="27"/>
        <v>3</v>
      </c>
      <c r="L530" s="32">
        <f t="shared" si="28"/>
        <v>0.8928571428571429</v>
      </c>
      <c r="M530" s="70" t="s">
        <v>2130</v>
      </c>
      <c r="N530" s="70" t="s">
        <v>2130</v>
      </c>
      <c r="O530" s="70" t="s">
        <v>2130</v>
      </c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6"/>
        <v>28</v>
      </c>
      <c r="J531" s="148" t="s">
        <v>2116</v>
      </c>
      <c r="K531" s="31">
        <f t="shared" si="27"/>
        <v>0</v>
      </c>
      <c r="L531" s="32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6"/>
        <v>28</v>
      </c>
      <c r="J532" s="148" t="s">
        <v>2117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6"/>
        <v>28</v>
      </c>
      <c r="J533" s="148" t="s">
        <v>2118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6"/>
        <v>28</v>
      </c>
      <c r="J534" s="148" t="s">
        <v>2119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6"/>
        <v>28</v>
      </c>
      <c r="J535" s="87"/>
      <c r="K535" s="143">
        <f t="shared" si="27"/>
        <v>0</v>
      </c>
      <c r="L535" s="144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6"/>
        <v>28</v>
      </c>
      <c r="J536" s="87"/>
      <c r="K536" s="31">
        <f t="shared" si="27"/>
        <v>0</v>
      </c>
      <c r="L536" s="32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6"/>
        <v>28</v>
      </c>
      <c r="J537" s="87"/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6"/>
        <v>28</v>
      </c>
      <c r="J538" s="87"/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6"/>
        <v>25</v>
      </c>
      <c r="J539" s="148" t="s">
        <v>2121</v>
      </c>
      <c r="K539" s="31">
        <f t="shared" si="27"/>
        <v>3</v>
      </c>
      <c r="L539" s="32">
        <f t="shared" si="28"/>
        <v>0.8928571428571429</v>
      </c>
      <c r="M539" s="70" t="s">
        <v>2130</v>
      </c>
      <c r="N539" s="70" t="s">
        <v>2130</v>
      </c>
      <c r="O539" s="70" t="s">
        <v>2130</v>
      </c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6"/>
        <v>25</v>
      </c>
      <c r="J540" s="148" t="s">
        <v>2120</v>
      </c>
      <c r="K540" s="31">
        <f t="shared" si="27"/>
        <v>3</v>
      </c>
      <c r="L540" s="32">
        <f t="shared" si="28"/>
        <v>0.8928571428571429</v>
      </c>
      <c r="M540" s="70" t="s">
        <v>2130</v>
      </c>
      <c r="N540" s="70" t="s">
        <v>2130</v>
      </c>
      <c r="O540" s="70" t="s">
        <v>2130</v>
      </c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6"/>
        <v>25</v>
      </c>
      <c r="J541" s="148" t="s">
        <v>2122</v>
      </c>
      <c r="K541" s="31">
        <f t="shared" si="27"/>
        <v>3</v>
      </c>
      <c r="L541" s="32">
        <f t="shared" si="28"/>
        <v>0.8928571428571429</v>
      </c>
      <c r="M541" s="70" t="s">
        <v>2130</v>
      </c>
      <c r="N541" s="70" t="s">
        <v>2130</v>
      </c>
      <c r="O541" s="70" t="s">
        <v>2130</v>
      </c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6"/>
        <v>28</v>
      </c>
      <c r="J542" s="148" t="s">
        <v>2123</v>
      </c>
      <c r="K542" s="143">
        <f t="shared" si="27"/>
        <v>0</v>
      </c>
      <c r="L542" s="144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6"/>
        <v>28</v>
      </c>
      <c r="J543" s="148" t="s">
        <v>2124</v>
      </c>
      <c r="K543" s="143">
        <f t="shared" si="27"/>
        <v>0</v>
      </c>
      <c r="L543" s="144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6"/>
        <v>28</v>
      </c>
      <c r="J544" s="148" t="s">
        <v>2125</v>
      </c>
      <c r="K544" s="143">
        <f t="shared" si="27"/>
        <v>0</v>
      </c>
      <c r="L544" s="144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6"/>
        <v>28</v>
      </c>
      <c r="J545" s="148" t="s">
        <v>2126</v>
      </c>
      <c r="K545" s="143">
        <f t="shared" si="27"/>
        <v>0</v>
      </c>
      <c r="L545" s="144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6"/>
        <v>28</v>
      </c>
      <c r="J546" s="148" t="s">
        <v>2127</v>
      </c>
      <c r="K546" s="143">
        <f t="shared" si="27"/>
        <v>0</v>
      </c>
      <c r="L546" s="144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6"/>
        <v>28</v>
      </c>
      <c r="J547" s="148" t="s">
        <v>2128</v>
      </c>
      <c r="K547" s="143">
        <f t="shared" si="27"/>
        <v>0</v>
      </c>
      <c r="L547" s="144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6"/>
        <v>28</v>
      </c>
      <c r="J548" s="148" t="s">
        <v>2129</v>
      </c>
      <c r="K548" s="143">
        <f t="shared" si="27"/>
        <v>0</v>
      </c>
      <c r="L548" s="144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s="73" customFormat="1" ht="15.75" thickBot="1" x14ac:dyDescent="0.3">
      <c r="A549" s="73" t="s">
        <v>602</v>
      </c>
      <c r="B549" s="73" t="s">
        <v>2131</v>
      </c>
      <c r="C549" s="73" t="s">
        <v>1066</v>
      </c>
      <c r="D549" s="73" t="s">
        <v>2132</v>
      </c>
      <c r="E549" s="85" t="s">
        <v>15</v>
      </c>
      <c r="F549" s="85" t="s">
        <v>1306</v>
      </c>
      <c r="G549" s="85"/>
      <c r="H549" s="85" t="s">
        <v>2133</v>
      </c>
      <c r="I549" s="143">
        <f t="shared" si="26"/>
        <v>28</v>
      </c>
      <c r="J549" s="152" t="s">
        <v>2134</v>
      </c>
      <c r="K549" s="143">
        <f t="shared" si="27"/>
        <v>0</v>
      </c>
      <c r="L549" s="144">
        <f t="shared" si="28"/>
        <v>1</v>
      </c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153"/>
      <c r="AQ549" s="153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E798" s="30"/>
      <c r="F798" s="30"/>
      <c r="G798" s="30"/>
      <c r="H798" s="30"/>
      <c r="L798" s="13"/>
      <c r="O798" s="70"/>
    </row>
    <row r="799" spans="5:41" x14ac:dyDescent="0.25">
      <c r="L799" s="13"/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</sheetData>
  <autoFilter ref="A7:AQ549" xr:uid="{00000000-0001-0000-0000-000000000000}"/>
  <sortState xmlns:xlrd2="http://schemas.microsoft.com/office/spreadsheetml/2017/richdata2" ref="A622:AO627">
    <sortCondition ref="B622:B627"/>
  </sortState>
  <phoneticPr fontId="6" type="noConversion"/>
  <conditionalFormatting sqref="C1:C253 D20:D21 D126:D138 D146 D154 D202:D203 D207:D209 D214:D216 D245:D246 D253 C254:D254 C255:C549 D259:D260 D270:D272 D343:D348 D356 C357:D357 D373:D376 D388:D389 D392 D446:D449 D514 C632:C1048576">
    <cfRule type="cellIs" dxfId="129" priority="498" operator="equal">
      <formula>$C$256</formula>
    </cfRule>
  </conditionalFormatting>
  <conditionalFormatting sqref="C1:C253 D20:D21 D154 D207:D209 C254:D254 C255:C549 D259:D260 D270:D272 C357:D357 D373:D376 D388:D389 D392 C632:C1048576 D126:D138 D146 D202:D203 D214:D216 D245:D246 D253 D343:D348 D356 D446:D449 D514">
    <cfRule type="cellIs" dxfId="128" priority="497" operator="equal">
      <formula>$C$273</formula>
    </cfRule>
  </conditionalFormatting>
  <conditionalFormatting sqref="C1:C549 D20:D21 D154 D207 D259:D260 D270:D272 D373:D376 D388:D389 D392 C632:C1048576">
    <cfRule type="cellIs" dxfId="127" priority="43" operator="equal">
      <formula>"IPCOMS"</formula>
    </cfRule>
  </conditionalFormatting>
  <conditionalFormatting sqref="E1:E525 E538:E549 E632:E1048576">
    <cfRule type="containsText" dxfId="126" priority="504" operator="containsText" text="domo">
      <formula>NOT(ISERROR(SEARCH("domo",E1)))</formula>
    </cfRule>
    <cfRule type="containsText" dxfId="125" priority="503" operator="containsText" text="fija">
      <formula>NOT(ISERROR(SEARCH("fija",E1)))</formula>
    </cfRule>
  </conditionalFormatting>
  <conditionalFormatting sqref="E1:E549 E632:E1048576">
    <cfRule type="cellIs" dxfId="124" priority="499" operator="equal">
      <formula>$E$10</formula>
    </cfRule>
  </conditionalFormatting>
  <conditionalFormatting sqref="E35:E42">
    <cfRule type="containsText" dxfId="123" priority="27" operator="containsText" text="Radio">
      <formula>NOT(ISERROR(SEARCH("Radio",E35)))</formula>
    </cfRule>
  </conditionalFormatting>
  <conditionalFormatting sqref="E373:E376">
    <cfRule type="containsText" dxfId="122" priority="4" operator="containsText" text="Radio">
      <formula>NOT(ISERROR(SEARCH("Radio",E373)))</formula>
    </cfRule>
  </conditionalFormatting>
  <conditionalFormatting sqref="E527">
    <cfRule type="containsText" dxfId="121" priority="446" operator="containsText" text="Radio">
      <formula>NOT(ISERROR(SEARCH("Radio",E527)))</formula>
    </cfRule>
    <cfRule type="containsText" dxfId="120" priority="445" operator="containsText" text="domo">
      <formula>NOT(ISERROR(SEARCH("domo",E527)))</formula>
    </cfRule>
    <cfRule type="containsText" dxfId="119" priority="444" operator="containsText" text="fija">
      <formula>NOT(ISERROR(SEARCH("fija",E527)))</formula>
    </cfRule>
  </conditionalFormatting>
  <conditionalFormatting sqref="E527:E528">
    <cfRule type="containsText" dxfId="118" priority="440" operator="containsText" text="domo">
      <formula>NOT(ISERROR(SEARCH("domo",E527)))</formula>
    </cfRule>
    <cfRule type="containsText" dxfId="117" priority="439" operator="containsText" text="fija">
      <formula>NOT(ISERROR(SEARCH("fija",E527)))</formula>
    </cfRule>
  </conditionalFormatting>
  <conditionalFormatting sqref="E528">
    <cfRule type="containsText" dxfId="116" priority="438" operator="containsText" text="domo">
      <formula>NOT(ISERROR(SEARCH("domo",E528)))</formula>
    </cfRule>
    <cfRule type="containsText" dxfId="115" priority="441" operator="containsText" text="Radio">
      <formula>NOT(ISERROR(SEARCH("Radio",E528)))</formula>
    </cfRule>
    <cfRule type="containsText" dxfId="114" priority="437" operator="containsText" text="fija">
      <formula>NOT(ISERROR(SEARCH("fija",E528)))</formula>
    </cfRule>
  </conditionalFormatting>
  <conditionalFormatting sqref="E531">
    <cfRule type="containsText" dxfId="113" priority="436" operator="containsText" text="Radio">
      <formula>NOT(ISERROR(SEARCH("Radio",E531)))</formula>
    </cfRule>
    <cfRule type="containsText" dxfId="112" priority="435" operator="containsText" text="domo">
      <formula>NOT(ISERROR(SEARCH("domo",E531)))</formula>
    </cfRule>
    <cfRule type="containsText" dxfId="111" priority="434" operator="containsText" text="fija">
      <formula>NOT(ISERROR(SEARCH("fija",E531)))</formula>
    </cfRule>
  </conditionalFormatting>
  <conditionalFormatting sqref="E531:E532">
    <cfRule type="containsText" dxfId="110" priority="429" operator="containsText" text="fija">
      <formula>NOT(ISERROR(SEARCH("fija",E531)))</formula>
    </cfRule>
    <cfRule type="containsText" dxfId="109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9 E632:H1048576 E130:E138 H372 G372:G376">
    <cfRule type="containsText" dxfId="108" priority="431" operator="containsText" text="Radio">
      <formula>NOT(ISERROR(SEARCH("Radio",E35)))</formula>
    </cfRule>
  </conditionalFormatting>
  <conditionalFormatting sqref="E532:E533">
    <cfRule type="containsText" dxfId="107" priority="424" operator="containsText" text="fija">
      <formula>NOT(ISERROR(SEARCH("fija",E532)))</formula>
    </cfRule>
    <cfRule type="containsText" dxfId="106" priority="425" operator="containsText" text="domo">
      <formula>NOT(ISERROR(SEARCH("domo",E532)))</formula>
    </cfRule>
  </conditionalFormatting>
  <conditionalFormatting sqref="E533">
    <cfRule type="containsText" dxfId="105" priority="426" operator="containsText" text="Radio">
      <formula>NOT(ISERROR(SEARCH("Radio",E533)))</formula>
    </cfRule>
  </conditionalFormatting>
  <conditionalFormatting sqref="E533:E534">
    <cfRule type="containsText" dxfId="104" priority="420" operator="containsText" text="domo">
      <formula>NOT(ISERROR(SEARCH("domo",E533)))</formula>
    </cfRule>
    <cfRule type="containsText" dxfId="103" priority="419" operator="containsText" text="fija">
      <formula>NOT(ISERROR(SEARCH("fija",E533)))</formula>
    </cfRule>
  </conditionalFormatting>
  <conditionalFormatting sqref="E534">
    <cfRule type="containsText" dxfId="102" priority="421" operator="containsText" text="Radio">
      <formula>NOT(ISERROR(SEARCH("Radio",E534)))</formula>
    </cfRule>
    <cfRule type="containsText" dxfId="101" priority="417" operator="containsText" text="fija">
      <formula>NOT(ISERROR(SEARCH("fija",E534)))</formula>
    </cfRule>
    <cfRule type="containsText" dxfId="100" priority="418" operator="containsText" text="domo">
      <formula>NOT(ISERROR(SEARCH("domo",E534)))</formula>
    </cfRule>
  </conditionalFormatting>
  <conditionalFormatting sqref="E536">
    <cfRule type="containsText" dxfId="99" priority="715" operator="containsText" text="fija">
      <formula>NOT(ISERROR(SEARCH("fija",E536)))</formula>
    </cfRule>
    <cfRule type="containsText" dxfId="98" priority="716" operator="containsText" text="domo">
      <formula>NOT(ISERROR(SEARCH("domo",E536)))</formula>
    </cfRule>
  </conditionalFormatting>
  <conditionalFormatting sqref="E539:E541">
    <cfRule type="containsText" dxfId="97" priority="447" operator="containsText" text="fija">
      <formula>NOT(ISERROR(SEARCH("fija",E539)))</formula>
    </cfRule>
    <cfRule type="containsText" dxfId="96" priority="448" operator="containsText" text="domo">
      <formula>NOT(ISERROR(SEARCH("domo",E539)))</formula>
    </cfRule>
  </conditionalFormatting>
  <conditionalFormatting sqref="E215:F215">
    <cfRule type="containsText" dxfId="95" priority="6" operator="containsText" text="Radio">
      <formula>NOT(ISERROR(SEARCH("Radio",E215)))</formula>
    </cfRule>
  </conditionalFormatting>
  <conditionalFormatting sqref="E1:H34">
    <cfRule type="containsText" dxfId="94" priority="41" operator="containsText" text="Radio">
      <formula>NOT(ISERROR(SEARCH("Radio",E1)))</formula>
    </cfRule>
  </conditionalFormatting>
  <conditionalFormatting sqref="E536:H536">
    <cfRule type="containsText" dxfId="93" priority="972" operator="containsText" text="Radio">
      <formula>NOT(ISERROR(SEARCH("Radio",E536)))</formula>
    </cfRule>
  </conditionalFormatting>
  <conditionalFormatting sqref="F1:F131 F139:F549 F632:F1048576">
    <cfRule type="cellIs" dxfId="92" priority="45" operator="equal">
      <formula>"GPON"</formula>
    </cfRule>
    <cfRule type="cellIs" dxfId="91" priority="44" operator="equal">
      <formula>"GPON"</formula>
    </cfRule>
  </conditionalFormatting>
  <conditionalFormatting sqref="F134">
    <cfRule type="cellIs" dxfId="90" priority="32" operator="equal">
      <formula>"GPON"</formula>
    </cfRule>
    <cfRule type="cellIs" dxfId="89" priority="37" operator="equal">
      <formula>"PTP A FO"</formula>
    </cfRule>
    <cfRule type="cellIs" dxfId="88" priority="33" operator="equal">
      <formula>"GPON"</formula>
    </cfRule>
    <cfRule type="cellIs" dxfId="87" priority="36" operator="equal">
      <formula>"PTP A FO"</formula>
    </cfRule>
    <cfRule type="cellIs" dxfId="86" priority="35" operator="equal">
      <formula>$F$13</formula>
    </cfRule>
    <cfRule type="containsText" dxfId="85" priority="34" operator="containsText" text="Radio">
      <formula>NOT(ISERROR(SEARCH("Radio",F134)))</formula>
    </cfRule>
  </conditionalFormatting>
  <conditionalFormatting sqref="F137:F138">
    <cfRule type="cellIs" dxfId="84" priority="7" operator="equal">
      <formula>"GPON"</formula>
    </cfRule>
    <cfRule type="cellIs" dxfId="83" priority="8" operator="equal">
      <formula>"GPON"</formula>
    </cfRule>
    <cfRule type="containsText" dxfId="82" priority="9" operator="containsText" text="Radio">
      <formula>NOT(ISERROR(SEARCH("Radio",F137)))</formula>
    </cfRule>
    <cfRule type="cellIs" dxfId="81" priority="10" operator="equal">
      <formula>$F$13</formula>
    </cfRule>
    <cfRule type="cellIs" dxfId="80" priority="12" operator="equal">
      <formula>"PTP A FO"</formula>
    </cfRule>
    <cfRule type="cellIs" dxfId="79" priority="11" operator="equal">
      <formula>"PTP A FO"</formula>
    </cfRule>
  </conditionalFormatting>
  <conditionalFormatting sqref="F215:F216">
    <cfRule type="cellIs" dxfId="78" priority="25" operator="equal">
      <formula>"PTP A FO"</formula>
    </cfRule>
    <cfRule type="cellIs" dxfId="77" priority="24" operator="equal">
      <formula>"PTP A FO"</formula>
    </cfRule>
    <cfRule type="cellIs" dxfId="76" priority="23" operator="equal">
      <formula>$F$13</formula>
    </cfRule>
  </conditionalFormatting>
  <conditionalFormatting sqref="F216">
    <cfRule type="cellIs" dxfId="75" priority="21" operator="equal">
      <formula>"PTP A FO"</formula>
    </cfRule>
    <cfRule type="cellIs" dxfId="74" priority="20" operator="equal">
      <formula>"PTP A FO"</formula>
    </cfRule>
    <cfRule type="cellIs" dxfId="73" priority="19" operator="equal">
      <formula>$F$13</formula>
    </cfRule>
  </conditionalFormatting>
  <conditionalFormatting sqref="F392">
    <cfRule type="cellIs" dxfId="72" priority="31" operator="equal">
      <formula>"PTP A FO"</formula>
    </cfRule>
    <cfRule type="cellIs" dxfId="71" priority="30" operator="equal">
      <formula>"PTP A FO"</formula>
    </cfRule>
    <cfRule type="cellIs" dxfId="70" priority="29" operator="equal">
      <formula>$F$13</formula>
    </cfRule>
    <cfRule type="containsText" dxfId="69" priority="28" operator="containsText" text="Radio">
      <formula>NOT(ISERROR(SEARCH("Radio",F392)))</formula>
    </cfRule>
  </conditionalFormatting>
  <conditionalFormatting sqref="F526">
    <cfRule type="cellIs" dxfId="68" priority="95" operator="equal">
      <formula>"PTP A FO"</formula>
    </cfRule>
    <cfRule type="containsText" dxfId="67" priority="94" operator="containsText" text="Radio">
      <formula>NOT(ISERROR(SEARCH("Radio",F526)))</formula>
    </cfRule>
  </conditionalFormatting>
  <conditionalFormatting sqref="F1:G129 F130:F131 F139:G214 F217:G391 F392 F393:G525 F536:G536 F538:G549 F632:G1048576">
    <cfRule type="cellIs" dxfId="66" priority="696" operator="equal">
      <formula>"PTP A FO"</formula>
    </cfRule>
  </conditionalFormatting>
  <conditionalFormatting sqref="F1:G129 F130:F131 F139:G214 F217:G391 F392 F393:G549 F632:G1048576">
    <cfRule type="cellIs" dxfId="65" priority="500" operator="equal">
      <formula>$F$13</formula>
    </cfRule>
    <cfRule type="cellIs" dxfId="64" priority="501" operator="equal">
      <formula>"PTP A FO"</formula>
    </cfRule>
  </conditionalFormatting>
  <conditionalFormatting sqref="J165">
    <cfRule type="containsText" dxfId="63" priority="3" operator="containsText" text="Radio">
      <formula>NOT(ISERROR(SEARCH("Radio",J165)))</formula>
    </cfRule>
  </conditionalFormatting>
  <conditionalFormatting sqref="L7:L549">
    <cfRule type="cellIs" dxfId="62" priority="931" operator="lessThan">
      <formula>0.8</formula>
    </cfRule>
    <cfRule type="cellIs" dxfId="61" priority="932" operator="greaterThan">
      <formula>0.8</formula>
    </cfRule>
  </conditionalFormatting>
  <conditionalFormatting sqref="M632:AO708 W632:AH1048576">
    <cfRule type="cellIs" dxfId="60" priority="78" operator="equal">
      <formula>"apagado"</formula>
    </cfRule>
  </conditionalFormatting>
  <conditionalFormatting sqref="M632:AO1048576">
    <cfRule type="containsText" dxfId="59" priority="628" operator="containsText" text="Caida">
      <formula>NOT(ISERROR(SEARCH("Caida",M632)))</formula>
    </cfRule>
    <cfRule type="notContainsText" dxfId="58" priority="961" operator="notContains" text="Caida">
      <formula>ISERROR(SEARCH("Caida",M632))</formula>
    </cfRule>
  </conditionalFormatting>
  <conditionalFormatting sqref="M8:AP42 AQ8:AQ214 M43:AO89 AP43:AP129 M90:AG90 AI90:AO90 M91:AO128 AC129:AO129 M129:AB138 AC130:AP138 M139:AP214 Z215:Z216 M217:AQ316 M317:AO322 AP317:AQ372 M323:AB323 AD323:AO323 M324:AO372 N373:O373 M373:M376 N374:N376 O374:O377 M377:N377 P377:AP377 AQ377:AQ391 M378:AP385 O386:AP391 M386:N392 M393:AQ549 AI632:AO1048576">
    <cfRule type="cellIs" dxfId="57" priority="77" operator="equal">
      <formula>"APAGADO"</formula>
    </cfRule>
  </conditionalFormatting>
  <conditionalFormatting sqref="O632:O1151">
    <cfRule type="cellIs" dxfId="56" priority="260" operator="greaterThan">
      <formula>0.8</formula>
    </cfRule>
    <cfRule type="cellIs" dxfId="55" priority="259" operator="lessThan">
      <formula>0.8</formula>
    </cfRule>
    <cfRule type="containsText" dxfId="54" priority="258" operator="containsText" text="Caida">
      <formula>NOT(ISERROR(SEARCH("Caida",O632)))</formula>
    </cfRule>
    <cfRule type="notContainsText" dxfId="53" priority="257" operator="notContains" text="Caida">
      <formula>ISERROR(SEARCH("Caida",O632))</formula>
    </cfRule>
    <cfRule type="cellIs" dxfId="52" priority="387" operator="equal">
      <formula>"APAGADO"</formula>
    </cfRule>
    <cfRule type="cellIs" dxfId="51" priority="283" operator="greaterThan">
      <formula>0.8</formula>
    </cfRule>
  </conditionalFormatting>
  <conditionalFormatting sqref="O632:O1048576">
    <cfRule type="cellIs" dxfId="50" priority="27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="90" zoomScaleNormal="90" workbookViewId="0">
      <selection activeCell="D29" sqref="D2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542</v>
      </c>
      <c r="D2" s="101"/>
      <c r="E2" s="106"/>
      <c r="F2" s="154">
        <v>45931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47</v>
      </c>
      <c r="D3" s="54"/>
      <c r="E3" s="55">
        <f>C3/C2</f>
        <v>8.6715867158671592E-2</v>
      </c>
      <c r="F3" s="155"/>
    </row>
    <row r="4" spans="1:6" x14ac:dyDescent="0.25">
      <c r="A4" s="76"/>
      <c r="B4" s="53" t="s">
        <v>1248</v>
      </c>
      <c r="C4" s="67">
        <v>7</v>
      </c>
      <c r="D4" s="103">
        <v>40</v>
      </c>
      <c r="E4" s="55">
        <f>D4/C2</f>
        <v>7.3800738007380073E-2</v>
      </c>
      <c r="F4" s="155"/>
    </row>
    <row r="5" spans="1:6" x14ac:dyDescent="0.25">
      <c r="A5" s="76"/>
      <c r="B5" s="53" t="s">
        <v>1249</v>
      </c>
      <c r="C5" s="67">
        <v>6</v>
      </c>
      <c r="D5" s="103">
        <v>34</v>
      </c>
      <c r="E5" s="55">
        <f>D5/C2</f>
        <v>6.273062730627306E-2</v>
      </c>
      <c r="F5" s="155"/>
    </row>
    <row r="6" spans="1:6" x14ac:dyDescent="0.25">
      <c r="A6" s="97" t="s">
        <v>1483</v>
      </c>
      <c r="B6" s="53" t="s">
        <v>16</v>
      </c>
      <c r="C6" s="94">
        <v>13</v>
      </c>
      <c r="D6" s="103">
        <v>21</v>
      </c>
      <c r="E6" s="55">
        <f>D6/C2</f>
        <v>3.8745387453874541E-2</v>
      </c>
      <c r="F6" s="155"/>
    </row>
    <row r="7" spans="1:6" ht="15.75" thickBot="1" x14ac:dyDescent="0.3">
      <c r="A7" s="95"/>
      <c r="B7" s="56" t="s">
        <v>1470</v>
      </c>
      <c r="C7" s="131">
        <v>9</v>
      </c>
      <c r="D7" s="104">
        <v>12</v>
      </c>
      <c r="E7" s="74">
        <f>D7/C2</f>
        <v>2.2140221402214021E-2</v>
      </c>
      <c r="F7" s="155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5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542</v>
      </c>
      <c r="D13" s="101"/>
      <c r="E13" s="106"/>
      <c r="F13" s="154">
        <v>45932</v>
      </c>
    </row>
    <row r="14" spans="1:6" x14ac:dyDescent="0.25">
      <c r="A14" t="s">
        <v>1484</v>
      </c>
      <c r="B14" s="53" t="s">
        <v>6</v>
      </c>
      <c r="C14" s="66">
        <f>'RESUMEN TOTAL'!N3</f>
        <v>50</v>
      </c>
      <c r="D14" s="54"/>
      <c r="E14" s="55">
        <f>C14/C13</f>
        <v>9.2250922509225092E-2</v>
      </c>
      <c r="F14" s="155"/>
    </row>
    <row r="15" spans="1:6" x14ac:dyDescent="0.25">
      <c r="B15" s="53" t="s">
        <v>1248</v>
      </c>
      <c r="C15" s="67">
        <v>0</v>
      </c>
      <c r="D15" s="103">
        <f>C14-C15</f>
        <v>50</v>
      </c>
      <c r="E15" s="55">
        <f>D15/C13</f>
        <v>9.2250922509225092E-2</v>
      </c>
      <c r="F15" s="155"/>
    </row>
    <row r="16" spans="1:6" x14ac:dyDescent="0.25">
      <c r="B16" s="53" t="s">
        <v>1249</v>
      </c>
      <c r="C16" s="67">
        <v>0</v>
      </c>
      <c r="D16" s="103">
        <f>D15-C16</f>
        <v>50</v>
      </c>
      <c r="E16" s="55">
        <f>D16/C13</f>
        <v>9.2250922509225092E-2</v>
      </c>
      <c r="F16" s="155"/>
    </row>
    <row r="17" spans="1:6" x14ac:dyDescent="0.25">
      <c r="A17" t="s">
        <v>1484</v>
      </c>
      <c r="B17" s="53" t="s">
        <v>16</v>
      </c>
      <c r="C17" s="94">
        <f>'RESUMEN TOTAL'!N5</f>
        <v>8</v>
      </c>
      <c r="D17" s="103">
        <f>D16-C17</f>
        <v>42</v>
      </c>
      <c r="E17" s="55">
        <f>D17/C13</f>
        <v>7.7490774907749083E-2</v>
      </c>
      <c r="F17" s="155"/>
    </row>
    <row r="18" spans="1:6" ht="15.75" thickBot="1" x14ac:dyDescent="0.3">
      <c r="B18" s="56" t="s">
        <v>1470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5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20</v>
      </c>
      <c r="E20" s="105">
        <f>D20/C20</f>
        <v>6.8965517241379309E-2</v>
      </c>
      <c r="F20" s="155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30</v>
      </c>
      <c r="E21" s="114">
        <f>D21/C21</f>
        <v>0.11952191235059761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542</v>
      </c>
      <c r="D24" s="101"/>
      <c r="E24" s="106"/>
      <c r="F24" s="154">
        <v>45933</v>
      </c>
    </row>
    <row r="25" spans="1:6" x14ac:dyDescent="0.25">
      <c r="A25" t="s">
        <v>1477</v>
      </c>
      <c r="B25" s="53" t="s">
        <v>6</v>
      </c>
      <c r="C25" s="66">
        <f>'RESUMEN TOTAL'!O3</f>
        <v>46</v>
      </c>
      <c r="D25" s="54"/>
      <c r="E25" s="55">
        <f>C25/C24</f>
        <v>8.4870848708487087E-2</v>
      </c>
      <c r="F25" s="155"/>
    </row>
    <row r="26" spans="1:6" x14ac:dyDescent="0.25">
      <c r="B26" s="53" t="s">
        <v>1248</v>
      </c>
      <c r="C26" s="67">
        <v>0</v>
      </c>
      <c r="D26" s="103">
        <f>C25-C26</f>
        <v>46</v>
      </c>
      <c r="E26" s="55">
        <f>D26/C24</f>
        <v>8.4870848708487087E-2</v>
      </c>
      <c r="F26" s="155"/>
    </row>
    <row r="27" spans="1:6" x14ac:dyDescent="0.25">
      <c r="B27" s="53" t="s">
        <v>1249</v>
      </c>
      <c r="C27" s="67">
        <v>0</v>
      </c>
      <c r="D27" s="103">
        <f>D26-C27</f>
        <v>46</v>
      </c>
      <c r="E27" s="55">
        <f>D27/C24</f>
        <v>8.4870848708487087E-2</v>
      </c>
      <c r="F27" s="155"/>
    </row>
    <row r="28" spans="1:6" x14ac:dyDescent="0.25">
      <c r="A28" t="s">
        <v>1477</v>
      </c>
      <c r="B28" s="53" t="s">
        <v>16</v>
      </c>
      <c r="C28" s="94">
        <f>'RESUMEN TOTAL'!O5</f>
        <v>8</v>
      </c>
      <c r="D28" s="103">
        <f>D27-C28</f>
        <v>38</v>
      </c>
      <c r="E28" s="55">
        <f>D28/C24</f>
        <v>7.0110701107011064E-2</v>
      </c>
      <c r="F28" s="155"/>
    </row>
    <row r="29" spans="1:6" ht="15.75" thickBot="1" x14ac:dyDescent="0.3">
      <c r="B29" s="56" t="s">
        <v>1470</v>
      </c>
      <c r="C29" s="131">
        <v>0</v>
      </c>
      <c r="D29" s="104">
        <f>D28-C29</f>
        <v>38</v>
      </c>
      <c r="E29" s="74">
        <f>D29/C24</f>
        <v>7.0110701107011064E-2</v>
      </c>
      <c r="F29" s="155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5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17</v>
      </c>
      <c r="E31" s="105">
        <f>D31/C31</f>
        <v>5.8620689655172413E-2</v>
      </c>
      <c r="F31" s="155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29</v>
      </c>
      <c r="E32" s="114">
        <f>D32/C32</f>
        <v>0.11553784860557768</v>
      </c>
      <c r="F32" s="156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542</v>
      </c>
      <c r="D35" s="101"/>
      <c r="E35" s="106"/>
      <c r="F35" s="154">
        <v>45934</v>
      </c>
    </row>
    <row r="36" spans="1:6" x14ac:dyDescent="0.25">
      <c r="A36" t="s">
        <v>1476</v>
      </c>
      <c r="B36" s="53" t="s">
        <v>6</v>
      </c>
      <c r="C36" s="66">
        <f>'RESUMEN TOTAL'!P3</f>
        <v>0</v>
      </c>
      <c r="D36" s="54"/>
      <c r="E36" s="55">
        <f>C36/C35</f>
        <v>0</v>
      </c>
      <c r="F36" s="155"/>
    </row>
    <row r="37" spans="1:6" x14ac:dyDescent="0.25">
      <c r="B37" s="53" t="s">
        <v>1248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1249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1476</v>
      </c>
      <c r="B39" s="53" t="s">
        <v>16</v>
      </c>
      <c r="C39" s="94">
        <f>'RESUMEN TOTAL'!P5</f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 t="s">
        <v>1470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5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0</v>
      </c>
      <c r="E42" s="105">
        <f>D42/C42</f>
        <v>0</v>
      </c>
      <c r="F42" s="155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0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542</v>
      </c>
      <c r="D46" s="101"/>
      <c r="E46" s="106"/>
      <c r="F46" s="154">
        <v>45935</v>
      </c>
    </row>
    <row r="47" spans="1:6" x14ac:dyDescent="0.25">
      <c r="A47" t="s">
        <v>1478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1248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1249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1478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1470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5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542</v>
      </c>
      <c r="D57" s="101"/>
      <c r="E57" s="106"/>
      <c r="F57" s="154">
        <v>45936</v>
      </c>
    </row>
    <row r="58" spans="1:6" x14ac:dyDescent="0.25">
      <c r="A58" t="s">
        <v>1479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5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5"/>
    </row>
    <row r="61" spans="1:6" x14ac:dyDescent="0.25">
      <c r="A61" t="s">
        <v>1479</v>
      </c>
      <c r="B61" s="53" t="s">
        <v>16</v>
      </c>
      <c r="C61" s="94">
        <f>'RESUMEN TOTAL'!R5</f>
        <v>0</v>
      </c>
      <c r="D61" s="103">
        <v>0</v>
      </c>
      <c r="E61" s="55">
        <f>D61/C57</f>
        <v>0</v>
      </c>
      <c r="F61" s="155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5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5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542</v>
      </c>
      <c r="D68" s="101"/>
      <c r="E68" s="106"/>
      <c r="F68" s="154">
        <v>45937</v>
      </c>
    </row>
    <row r="69" spans="1:6" x14ac:dyDescent="0.25">
      <c r="A69" t="s">
        <v>1480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1248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1249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1480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 t="s">
        <v>1470</v>
      </c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5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542</v>
      </c>
      <c r="D79" s="101"/>
      <c r="E79" s="106"/>
      <c r="F79" s="154">
        <v>45938</v>
      </c>
    </row>
    <row r="80" spans="1:6" x14ac:dyDescent="0.25">
      <c r="A80" t="s">
        <v>1475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1248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1249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1475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1470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5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542</v>
      </c>
      <c r="D90" s="101"/>
      <c r="E90" s="106"/>
      <c r="F90" s="154">
        <v>45939</v>
      </c>
    </row>
    <row r="91" spans="1:6" x14ac:dyDescent="0.25">
      <c r="A91" t="s">
        <v>1481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5"/>
    </row>
    <row r="92" spans="1:6" x14ac:dyDescent="0.25">
      <c r="B92" s="53" t="s">
        <v>1248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1249</v>
      </c>
      <c r="C93" s="67">
        <v>0</v>
      </c>
      <c r="D93" s="103">
        <f>D92-C93</f>
        <v>0</v>
      </c>
      <c r="E93" s="55">
        <f>D93/C90</f>
        <v>0</v>
      </c>
      <c r="F93" s="155"/>
    </row>
    <row r="94" spans="1:6" x14ac:dyDescent="0.25">
      <c r="A94" t="s">
        <v>1481</v>
      </c>
      <c r="B94" s="53" t="s">
        <v>16</v>
      </c>
      <c r="C94" s="94">
        <v>0</v>
      </c>
      <c r="D94" s="103">
        <f>D93-C94</f>
        <v>0</v>
      </c>
      <c r="E94" s="55">
        <f>D94/C90</f>
        <v>0</v>
      </c>
      <c r="F94" s="155"/>
    </row>
    <row r="95" spans="1:6" ht="15.75" thickBot="1" x14ac:dyDescent="0.3">
      <c r="B95" s="56" t="s">
        <v>1470</v>
      </c>
      <c r="C95" s="131">
        <v>0</v>
      </c>
      <c r="D95" s="104">
        <v>0</v>
      </c>
      <c r="E95" s="74">
        <f>D95/C90</f>
        <v>0</v>
      </c>
      <c r="F95" s="155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5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542</v>
      </c>
      <c r="D101" s="101"/>
      <c r="E101" s="106"/>
      <c r="F101" s="154">
        <v>45940</v>
      </c>
    </row>
    <row r="102" spans="1:6" x14ac:dyDescent="0.25">
      <c r="A102" t="s">
        <v>1482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1248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1249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1482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 t="s">
        <v>1470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5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542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1249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1470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5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542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5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0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542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5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542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5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5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542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5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542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5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1067</v>
      </c>
      <c r="C175" s="113">
        <f>COSEIDIcam</f>
        <v>251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542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5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55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0</v>
      </c>
      <c r="E186" s="114">
        <v>0</v>
      </c>
      <c r="F186" s="156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542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5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1067</v>
      </c>
      <c r="C197" s="113">
        <f>COSEIDIcam</f>
        <v>251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542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5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1067</v>
      </c>
      <c r="C208" s="113">
        <f>COSEIDIcam</f>
        <v>251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542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5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542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5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542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5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542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5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542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5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542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5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542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5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542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5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542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5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542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5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542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5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915</v>
      </c>
      <c r="D336" s="108" t="s">
        <v>1471</v>
      </c>
      <c r="E336" s="109" t="s">
        <v>916</v>
      </c>
    </row>
    <row r="337" spans="2:6" ht="15.75" thickTop="1" x14ac:dyDescent="0.25">
      <c r="B337" s="52" t="s">
        <v>1247</v>
      </c>
      <c r="C337" s="100">
        <f>CANTIDAD_DE_CAMARAS</f>
        <v>542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1248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1249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 t="s">
        <v>1470</v>
      </c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915</v>
      </c>
      <c r="D343" s="96" t="s">
        <v>1471</v>
      </c>
      <c r="E343" s="102" t="s">
        <v>916</v>
      </c>
      <c r="F343" s="155"/>
    </row>
    <row r="344" spans="2:6" ht="16.5" thickTop="1" thickBot="1" x14ac:dyDescent="0.3">
      <c r="B344" s="98" t="s">
        <v>1066</v>
      </c>
      <c r="C344" s="99">
        <f>BONOMOcam</f>
        <v>290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1067</v>
      </c>
      <c r="C345" s="113">
        <f>COSEIDIcam</f>
        <v>251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>
        <f>'RESUMEN TOTAL'!U48</f>
        <v>0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>
        <f>'RESUMEN TOTAL'!M63</f>
        <v>0</v>
      </c>
      <c r="G45" s="70">
        <f>'RESUMEN TOTAL'!N63</f>
        <v>0</v>
      </c>
      <c r="H45" s="70">
        <f>'RESUMEN TOTAL'!O63</f>
        <v>0</v>
      </c>
      <c r="I45" s="70">
        <f>'RESUMEN TOTAL'!P63</f>
        <v>0</v>
      </c>
      <c r="J45" s="70">
        <f>'RESUMEN TOTAL'!Q63</f>
        <v>0</v>
      </c>
      <c r="K45" s="70">
        <f>'RESUMEN TOTAL'!R63</f>
        <v>0</v>
      </c>
      <c r="L45" s="70">
        <f>'RESUMEN TOTAL'!S63</f>
        <v>0</v>
      </c>
      <c r="M45" s="70">
        <f>'RESUMEN TOTAL'!T63</f>
        <v>0</v>
      </c>
      <c r="N45" s="70">
        <f>'RESUMEN TOTAL'!U63</f>
        <v>0</v>
      </c>
      <c r="O45" s="70">
        <f>'RESUMEN TOTAL'!V63</f>
        <v>0</v>
      </c>
      <c r="P45" s="70">
        <f>'RESUMEN TOTAL'!W63</f>
        <v>0</v>
      </c>
      <c r="Q45" s="70">
        <f>'RESUMEN TOTAL'!X63</f>
        <v>0</v>
      </c>
      <c r="R45" s="70">
        <f>'RESUMEN TOTAL'!Y63</f>
        <v>0</v>
      </c>
      <c r="S45" s="70">
        <f>'RESUMEN TOTAL'!Z63</f>
        <v>0</v>
      </c>
      <c r="T45" s="70">
        <f>'RESUMEN TOTAL'!AA63</f>
        <v>0</v>
      </c>
      <c r="U45" s="70">
        <f>'RESUMEN TOTAL'!AB63</f>
        <v>0</v>
      </c>
      <c r="V45" s="70">
        <f>'RESUMEN TOTAL'!AC63</f>
        <v>0</v>
      </c>
      <c r="W45" s="70">
        <f>'RESUMEN TOTAL'!AD63</f>
        <v>0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>
        <f>'RESUMEN TOTAL'!M66</f>
        <v>0</v>
      </c>
      <c r="G48" s="70">
        <f>'RESUMEN TOTAL'!N66</f>
        <v>0</v>
      </c>
      <c r="H48" s="70">
        <f>'RESUMEN TOTAL'!O66</f>
        <v>0</v>
      </c>
      <c r="I48" s="70">
        <f>'RESUMEN TOTAL'!P66</f>
        <v>0</v>
      </c>
      <c r="J48" s="70">
        <f>'RESUMEN TOTAL'!Q66</f>
        <v>0</v>
      </c>
      <c r="K48" s="70">
        <f>'RESUMEN TOTAL'!R66</f>
        <v>0</v>
      </c>
      <c r="L48" s="70">
        <f>'RESUMEN TOTAL'!S66</f>
        <v>0</v>
      </c>
      <c r="M48" s="70">
        <f>'RESUMEN TOTAL'!T66</f>
        <v>0</v>
      </c>
      <c r="N48" s="70">
        <f>'RESUMEN TOTAL'!U66</f>
        <v>0</v>
      </c>
      <c r="O48" s="70">
        <f>'RESUMEN TOTAL'!V66</f>
        <v>0</v>
      </c>
      <c r="P48" s="70">
        <f>'RESUMEN TOTAL'!W66</f>
        <v>0</v>
      </c>
      <c r="Q48" s="70">
        <f>'RESUMEN TOTAL'!X66</f>
        <v>0</v>
      </c>
      <c r="R48" s="70">
        <f>'RESUMEN TOTAL'!Y66</f>
        <v>0</v>
      </c>
      <c r="S48" s="70">
        <f>'RESUMEN TOTAL'!Z66</f>
        <v>0</v>
      </c>
      <c r="T48" s="70">
        <f>'RESUMEN TOTAL'!AA66</f>
        <v>0</v>
      </c>
      <c r="U48" s="70">
        <f>'RESUMEN TOTAL'!AB66</f>
        <v>0</v>
      </c>
      <c r="V48" s="70">
        <f>'RESUMEN TOTAL'!AC66</f>
        <v>0</v>
      </c>
      <c r="W48" s="70">
        <f>'RESUMEN TOTAL'!AD66</f>
        <v>0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>
        <f>'RESUMEN TOTAL'!V71</f>
        <v>0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>
        <f>'RESUMEN TOTAL'!M72</f>
        <v>0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>
        <f>'RESUMEN TOTAL'!AA73</f>
        <v>0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>
        <f>'RESUMEN TOTAL'!P80</f>
        <v>0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>
        <f>'RESUMEN TOTAL'!M95</f>
        <v>0</v>
      </c>
      <c r="G77" s="70">
        <f>'RESUMEN TOTAL'!N95</f>
        <v>0</v>
      </c>
      <c r="H77" s="70">
        <f>'RESUMEN TOTAL'!O95</f>
        <v>0</v>
      </c>
      <c r="I77" s="70">
        <f>'RESUMEN TOTAL'!P95</f>
        <v>0</v>
      </c>
      <c r="J77" s="70">
        <f>'RESUMEN TOTAL'!Q95</f>
        <v>0</v>
      </c>
      <c r="K77" s="70">
        <f>'RESUMEN TOTAL'!R95</f>
        <v>0</v>
      </c>
      <c r="L77" s="70">
        <f>'RESUMEN TOTAL'!S95</f>
        <v>0</v>
      </c>
      <c r="M77" s="70">
        <f>'RESUMEN TOTAL'!T95</f>
        <v>0</v>
      </c>
      <c r="N77" s="70">
        <f>'RESUMEN TOTAL'!U95</f>
        <v>0</v>
      </c>
      <c r="O77" s="70">
        <f>'RESUMEN TOTAL'!V95</f>
        <v>0</v>
      </c>
      <c r="P77" s="70">
        <f>'RESUMEN TOTAL'!W95</f>
        <v>0</v>
      </c>
      <c r="Q77" s="70">
        <f>'RESUMEN TOTAL'!X95</f>
        <v>0</v>
      </c>
      <c r="R77" s="70">
        <f>'RESUMEN TOTAL'!Y95</f>
        <v>0</v>
      </c>
      <c r="S77" s="70">
        <f>'RESUMEN TOTAL'!Z95</f>
        <v>0</v>
      </c>
      <c r="T77" s="70">
        <f>'RESUMEN TOTAL'!AA95</f>
        <v>0</v>
      </c>
      <c r="U77" s="70">
        <f>'RESUMEN TOTAL'!AB95</f>
        <v>0</v>
      </c>
      <c r="V77" s="70">
        <f>'RESUMEN TOTAL'!AC95</f>
        <v>0</v>
      </c>
      <c r="W77" s="70">
        <f>'RESUMEN TOTAL'!AD95</f>
        <v>0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>
        <f>'RESUMEN TOTAL'!M96</f>
        <v>0</v>
      </c>
      <c r="G78" s="70">
        <f>'RESUMEN TOTAL'!N96</f>
        <v>0</v>
      </c>
      <c r="H78" s="70">
        <f>'RESUMEN TOTAL'!O96</f>
        <v>0</v>
      </c>
      <c r="I78" s="70">
        <f>'RESUMEN TOTAL'!P96</f>
        <v>0</v>
      </c>
      <c r="J78" s="70">
        <f>'RESUMEN TOTAL'!Q96</f>
        <v>0</v>
      </c>
      <c r="K78" s="70">
        <f>'RESUMEN TOTAL'!R96</f>
        <v>0</v>
      </c>
      <c r="L78" s="70">
        <f>'RESUMEN TOTAL'!S96</f>
        <v>0</v>
      </c>
      <c r="M78" s="70">
        <f>'RESUMEN TOTAL'!T96</f>
        <v>0</v>
      </c>
      <c r="N78" s="70">
        <f>'RESUMEN TOTAL'!U96</f>
        <v>0</v>
      </c>
      <c r="O78" s="70">
        <f>'RESUMEN TOTAL'!V96</f>
        <v>0</v>
      </c>
      <c r="P78" s="70">
        <f>'RESUMEN TOTAL'!W96</f>
        <v>0</v>
      </c>
      <c r="Q78" s="70">
        <f>'RESUMEN TOTAL'!X96</f>
        <v>0</v>
      </c>
      <c r="R78" s="70">
        <f>'RESUMEN TOTAL'!Y96</f>
        <v>0</v>
      </c>
      <c r="S78" s="70">
        <f>'RESUMEN TOTAL'!Z96</f>
        <v>0</v>
      </c>
      <c r="T78" s="70">
        <f>'RESUMEN TOTAL'!AA96</f>
        <v>0</v>
      </c>
      <c r="U78" s="70">
        <f>'RESUMEN TOTAL'!AB96</f>
        <v>0</v>
      </c>
      <c r="V78" s="70">
        <f>'RESUMEN TOTAL'!AC96</f>
        <v>0</v>
      </c>
      <c r="W78" s="70">
        <f>'RESUMEN TOTAL'!AD96</f>
        <v>0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>
        <f>'RESUMEN TOTAL'!M98</f>
        <v>0</v>
      </c>
      <c r="G80" s="70">
        <f>'RESUMEN TOTAL'!N98</f>
        <v>0</v>
      </c>
      <c r="H80" s="70">
        <f>'RESUMEN TOTAL'!O98</f>
        <v>0</v>
      </c>
      <c r="I80" s="70">
        <f>'RESUMEN TOTAL'!P98</f>
        <v>0</v>
      </c>
      <c r="J80" s="70">
        <f>'RESUMEN TOTAL'!Q98</f>
        <v>0</v>
      </c>
      <c r="K80" s="70">
        <f>'RESUMEN TOTAL'!R98</f>
        <v>0</v>
      </c>
      <c r="L80" s="70">
        <f>'RESUMEN TOTAL'!S98</f>
        <v>0</v>
      </c>
      <c r="M80" s="70">
        <f>'RESUMEN TOTAL'!T98</f>
        <v>0</v>
      </c>
      <c r="N80" s="70">
        <f>'RESUMEN TOTAL'!U98</f>
        <v>0</v>
      </c>
      <c r="O80" s="70">
        <f>'RESUMEN TOTAL'!V98</f>
        <v>0</v>
      </c>
      <c r="P80" s="70">
        <f>'RESUMEN TOTAL'!W98</f>
        <v>0</v>
      </c>
      <c r="Q80" s="70">
        <f>'RESUMEN TOTAL'!X98</f>
        <v>0</v>
      </c>
      <c r="R80" s="70">
        <f>'RESUMEN TOTAL'!Y98</f>
        <v>0</v>
      </c>
      <c r="S80" s="70">
        <f>'RESUMEN TOTAL'!Z98</f>
        <v>0</v>
      </c>
      <c r="T80" s="70">
        <f>'RESUMEN TOTAL'!AA98</f>
        <v>0</v>
      </c>
      <c r="U80" s="70">
        <f>'RESUMEN TOTAL'!AB98</f>
        <v>0</v>
      </c>
      <c r="V80" s="70">
        <f>'RESUMEN TOTAL'!AC98</f>
        <v>0</v>
      </c>
      <c r="W80" s="70">
        <f>'RESUMEN TOTAL'!AD98</f>
        <v>0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>
        <f>'RESUMEN TOTAL'!Q103</f>
        <v>0</v>
      </c>
      <c r="K85" s="70">
        <f>'RESUMEN TOTAL'!R103</f>
        <v>0</v>
      </c>
      <c r="L85" s="70">
        <f>'RESUMEN TOTAL'!S103</f>
        <v>0</v>
      </c>
      <c r="M85" s="70">
        <f>'RESUMEN TOTAL'!T103</f>
        <v>0</v>
      </c>
      <c r="N85" s="70">
        <f>'RESUMEN TOTAL'!U103</f>
        <v>0</v>
      </c>
      <c r="O85" s="70">
        <f>'RESUMEN TOTAL'!V103</f>
        <v>0</v>
      </c>
      <c r="P85" s="70">
        <f>'RESUMEN TOTAL'!W103</f>
        <v>0</v>
      </c>
      <c r="Q85" s="70">
        <f>'RESUMEN TOTAL'!X103</f>
        <v>0</v>
      </c>
      <c r="R85" s="70">
        <f>'RESUMEN TOTAL'!Y103</f>
        <v>0</v>
      </c>
      <c r="S85" s="70">
        <f>'RESUMEN TOTAL'!Z103</f>
        <v>0</v>
      </c>
      <c r="T85" s="70">
        <f>'RESUMEN TOTAL'!AA103</f>
        <v>0</v>
      </c>
      <c r="U85" s="70">
        <f>'RESUMEN TOTAL'!AB103</f>
        <v>0</v>
      </c>
      <c r="V85" s="70">
        <f>'RESUMEN TOTAL'!AC103</f>
        <v>0</v>
      </c>
      <c r="W85" s="70">
        <f>'RESUMEN TOTAL'!AD103</f>
        <v>0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>
        <f>'RESUMEN TOTAL'!M116</f>
        <v>0</v>
      </c>
      <c r="G98" s="70">
        <f>'RESUMEN TOTAL'!N116</f>
        <v>0</v>
      </c>
      <c r="H98" s="70">
        <f>'RESUMEN TOTAL'!O116</f>
        <v>0</v>
      </c>
      <c r="I98" s="70">
        <f>'RESUMEN TOTAL'!P116</f>
        <v>0</v>
      </c>
      <c r="J98" s="70">
        <f>'RESUMEN TOTAL'!Q116</f>
        <v>0</v>
      </c>
      <c r="K98" s="70">
        <f>'RESUMEN TOTAL'!R116</f>
        <v>0</v>
      </c>
      <c r="L98" s="70">
        <f>'RESUMEN TOTAL'!S116</f>
        <v>0</v>
      </c>
      <c r="M98" s="70">
        <f>'RESUMEN TOTAL'!T116</f>
        <v>0</v>
      </c>
      <c r="N98" s="70">
        <f>'RESUMEN TOTAL'!U116</f>
        <v>0</v>
      </c>
      <c r="O98" s="70">
        <f>'RESUMEN TOTAL'!V116</f>
        <v>0</v>
      </c>
      <c r="P98" s="70">
        <f>'RESUMEN TOTAL'!W116</f>
        <v>0</v>
      </c>
      <c r="Q98" s="70">
        <f>'RESUMEN TOTAL'!X116</f>
        <v>0</v>
      </c>
      <c r="R98" s="70">
        <f>'RESUMEN TOTAL'!Y116</f>
        <v>0</v>
      </c>
      <c r="S98" s="70">
        <f>'RESUMEN TOTAL'!Z116</f>
        <v>0</v>
      </c>
      <c r="T98" s="70">
        <f>'RESUMEN TOTAL'!AA116</f>
        <v>0</v>
      </c>
      <c r="U98" s="70">
        <f>'RESUMEN TOTAL'!AB116</f>
        <v>0</v>
      </c>
      <c r="V98" s="70">
        <f>'RESUMEN TOTAL'!AC116</f>
        <v>0</v>
      </c>
      <c r="W98" s="70">
        <f>'RESUMEN TOTAL'!AD116</f>
        <v>0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>
        <f>'RESUMEN TOTAL'!M117</f>
        <v>0</v>
      </c>
      <c r="G99" s="70" t="str">
        <f>'RESUMEN TOTAL'!N117</f>
        <v>APAGADO</v>
      </c>
      <c r="H99" s="70" t="str">
        <f>'RESUMEN TOTAL'!O117</f>
        <v>APAGADO</v>
      </c>
      <c r="I99" s="70">
        <f>'RESUMEN TOTAL'!P117</f>
        <v>0</v>
      </c>
      <c r="J99" s="70">
        <f>'RESUMEN TOTAL'!Q117</f>
        <v>0</v>
      </c>
      <c r="K99" s="70">
        <f>'RESUMEN TOTAL'!R117</f>
        <v>0</v>
      </c>
      <c r="L99" s="70">
        <f>'RESUMEN TOTAL'!S117</f>
        <v>0</v>
      </c>
      <c r="M99" s="70">
        <f>'RESUMEN TOTAL'!T117</f>
        <v>0</v>
      </c>
      <c r="N99" s="70">
        <f>'RESUMEN TOTAL'!U117</f>
        <v>0</v>
      </c>
      <c r="O99" s="70">
        <f>'RESUMEN TOTAL'!V117</f>
        <v>0</v>
      </c>
      <c r="P99" s="70">
        <f>'RESUMEN TOTAL'!W117</f>
        <v>0</v>
      </c>
      <c r="Q99" s="70">
        <f>'RESUMEN TOTAL'!X117</f>
        <v>0</v>
      </c>
      <c r="R99" s="70">
        <f>'RESUMEN TOTAL'!Y117</f>
        <v>0</v>
      </c>
      <c r="S99" s="70">
        <f>'RESUMEN TOTAL'!Z117</f>
        <v>0</v>
      </c>
      <c r="T99" s="70">
        <f>'RESUMEN TOTAL'!AA117</f>
        <v>0</v>
      </c>
      <c r="U99" s="70">
        <f>'RESUMEN TOTAL'!AB117</f>
        <v>0</v>
      </c>
      <c r="V99" s="70">
        <f>'RESUMEN TOTAL'!AC117</f>
        <v>0</v>
      </c>
      <c r="W99" s="70">
        <f>'RESUMEN TOTAL'!AD117</f>
        <v>0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>
        <f>'RESUMEN TOTAL'!AA120</f>
        <v>0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>
        <f>'RESUMEN TOTAL'!M121</f>
        <v>0</v>
      </c>
      <c r="G103" s="70">
        <f>'RESUMEN TOTAL'!N121</f>
        <v>0</v>
      </c>
      <c r="H103" s="70">
        <f>'RESUMEN TOTAL'!O121</f>
        <v>0</v>
      </c>
      <c r="I103" s="70">
        <f>'RESUMEN TOTAL'!P121</f>
        <v>0</v>
      </c>
      <c r="J103" s="70">
        <f>'RESUMEN TOTAL'!Q121</f>
        <v>0</v>
      </c>
      <c r="K103" s="70">
        <f>'RESUMEN TOTAL'!R121</f>
        <v>0</v>
      </c>
      <c r="L103" s="70">
        <f>'RESUMEN TOTAL'!S121</f>
        <v>0</v>
      </c>
      <c r="M103" s="70">
        <f>'RESUMEN TOTAL'!T121</f>
        <v>0</v>
      </c>
      <c r="N103" s="70">
        <f>'RESUMEN TOTAL'!U121</f>
        <v>0</v>
      </c>
      <c r="O103" s="70">
        <f>'RESUMEN TOTAL'!V121</f>
        <v>0</v>
      </c>
      <c r="P103" s="70">
        <f>'RESUMEN TOTAL'!W121</f>
        <v>0</v>
      </c>
      <c r="Q103" s="70">
        <f>'RESUMEN TOTAL'!X121</f>
        <v>0</v>
      </c>
      <c r="R103" s="70">
        <f>'RESUMEN TOTAL'!Y121</f>
        <v>0</v>
      </c>
      <c r="S103" s="70">
        <f>'RESUMEN TOTAL'!Z121</f>
        <v>0</v>
      </c>
      <c r="T103" s="70">
        <f>'RESUMEN TOTAL'!AA121</f>
        <v>0</v>
      </c>
      <c r="U103" s="70">
        <f>'RESUMEN TOTAL'!AB121</f>
        <v>0</v>
      </c>
      <c r="V103" s="70">
        <f>'RESUMEN TOTAL'!AC121</f>
        <v>0</v>
      </c>
      <c r="W103" s="70">
        <f>'RESUMEN TOTAL'!AD121</f>
        <v>0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>
        <f>'RESUMEN TOTAL'!M122</f>
        <v>0</v>
      </c>
      <c r="G104" s="70">
        <f>'RESUMEN TOTAL'!N122</f>
        <v>0</v>
      </c>
      <c r="H104" s="70">
        <f>'RESUMEN TOTAL'!O122</f>
        <v>0</v>
      </c>
      <c r="I104" s="70">
        <f>'RESUMEN TOTAL'!P122</f>
        <v>0</v>
      </c>
      <c r="J104" s="70">
        <f>'RESUMEN TOTAL'!Q122</f>
        <v>0</v>
      </c>
      <c r="K104" s="70">
        <f>'RESUMEN TOTAL'!R122</f>
        <v>0</v>
      </c>
      <c r="L104" s="70">
        <f>'RESUMEN TOTAL'!S122</f>
        <v>0</v>
      </c>
      <c r="M104" s="70">
        <f>'RESUMEN TOTAL'!T122</f>
        <v>0</v>
      </c>
      <c r="N104" s="70">
        <f>'RESUMEN TOTAL'!U122</f>
        <v>0</v>
      </c>
      <c r="O104" s="70">
        <f>'RESUMEN TOTAL'!V122</f>
        <v>0</v>
      </c>
      <c r="P104" s="70">
        <f>'RESUMEN TOTAL'!W122</f>
        <v>0</v>
      </c>
      <c r="Q104" s="70">
        <f>'RESUMEN TOTAL'!X122</f>
        <v>0</v>
      </c>
      <c r="R104" s="70">
        <f>'RESUMEN TOTAL'!Y122</f>
        <v>0</v>
      </c>
      <c r="S104" s="70">
        <f>'RESUMEN TOTAL'!Z122</f>
        <v>0</v>
      </c>
      <c r="T104" s="70">
        <f>'RESUMEN TOTAL'!AA122</f>
        <v>0</v>
      </c>
      <c r="U104" s="70">
        <f>'RESUMEN TOTAL'!AB122</f>
        <v>0</v>
      </c>
      <c r="V104" s="70">
        <f>'RESUMEN TOTAL'!AC122</f>
        <v>0</v>
      </c>
      <c r="W104" s="70">
        <f>'RESUMEN TOTAL'!AD122</f>
        <v>0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>
        <f>'RESUMEN TOTAL'!M124</f>
        <v>0</v>
      </c>
      <c r="G106" s="70">
        <f>'RESUMEN TOTAL'!N124</f>
        <v>0</v>
      </c>
      <c r="H106" s="70">
        <f>'RESUMEN TOTAL'!O124</f>
        <v>0</v>
      </c>
      <c r="I106" s="70">
        <f>'RESUMEN TOTAL'!P124</f>
        <v>0</v>
      </c>
      <c r="J106" s="70">
        <f>'RESUMEN TOTAL'!Q124</f>
        <v>0</v>
      </c>
      <c r="K106" s="70">
        <f>'RESUMEN TOTAL'!R124</f>
        <v>0</v>
      </c>
      <c r="L106" s="70">
        <f>'RESUMEN TOTAL'!S124</f>
        <v>0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>
        <f>'RESUMEN TOTAL'!AC124</f>
        <v>0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>
        <f>'RESUMEN TOTAL'!M127</f>
        <v>0</v>
      </c>
      <c r="G109" s="70" t="str">
        <f>'RESUMEN TOTAL'!N127</f>
        <v>APAGADO</v>
      </c>
      <c r="H109" s="70" t="str">
        <f>'RESUMEN TOTAL'!O127</f>
        <v>APAGADO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>
        <f>'RESUMEN TOTAL'!AA127</f>
        <v>0</v>
      </c>
      <c r="U109" s="70">
        <f>'RESUMEN TOTAL'!AB127</f>
        <v>0</v>
      </c>
      <c r="V109" s="70">
        <f>'RESUMEN TOTAL'!AC127</f>
        <v>0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>
        <f>'RESUMEN TOTAL'!Y140</f>
        <v>0</v>
      </c>
      <c r="S112" s="70">
        <f>'RESUMEN TOTAL'!Z140</f>
        <v>0</v>
      </c>
      <c r="T112" s="70">
        <f>'RESUMEN TOTAL'!AA140</f>
        <v>0</v>
      </c>
      <c r="U112" s="70">
        <f>'RESUMEN TOTAL'!AB140</f>
        <v>0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>
        <f>'RESUMEN TOTAL'!Y142</f>
        <v>0</v>
      </c>
      <c r="S114" s="70">
        <f>'RESUMEN TOTAL'!Z142</f>
        <v>0</v>
      </c>
      <c r="T114" s="70">
        <f>'RESUMEN TOTAL'!AA142</f>
        <v>0</v>
      </c>
      <c r="U114" s="70">
        <f>'RESUMEN TOTAL'!AB142</f>
        <v>0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>
        <f>'RESUMEN TOTAL'!Q145</f>
        <v>0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>
        <f>'RESUMEN TOTAL'!P147</f>
        <v>0</v>
      </c>
      <c r="J119" s="70">
        <f>'RESUMEN TOTAL'!Q147</f>
        <v>0</v>
      </c>
      <c r="K119" s="70">
        <f>'RESUMEN TOTAL'!R147</f>
        <v>0</v>
      </c>
      <c r="L119" s="70">
        <f>'RESUMEN TOTAL'!S147</f>
        <v>0</v>
      </c>
      <c r="M119" s="70">
        <f>'RESUMEN TOTAL'!T147</f>
        <v>0</v>
      </c>
      <c r="N119" s="70">
        <f>'RESUMEN TOTAL'!U147</f>
        <v>0</v>
      </c>
      <c r="O119" s="70">
        <f>'RESUMEN TOTAL'!V147</f>
        <v>0</v>
      </c>
      <c r="P119" s="70">
        <f>'RESUMEN TOTAL'!W147</f>
        <v>0</v>
      </c>
      <c r="Q119" s="70">
        <f>'RESUMEN TOTAL'!X147</f>
        <v>0</v>
      </c>
      <c r="R119" s="70">
        <f>'RESUMEN TOTAL'!Y147</f>
        <v>0</v>
      </c>
      <c r="S119" s="70">
        <f>'RESUMEN TOTAL'!Z147</f>
        <v>0</v>
      </c>
      <c r="T119" s="70">
        <f>'RESUMEN TOTAL'!AA147</f>
        <v>0</v>
      </c>
      <c r="U119" s="70">
        <f>'RESUMEN TOTAL'!AB147</f>
        <v>0</v>
      </c>
      <c r="V119" s="70">
        <f>'RESUMEN TOTAL'!AC147</f>
        <v>0</v>
      </c>
      <c r="W119" s="70">
        <f>'RESUMEN TOTAL'!AD147</f>
        <v>0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>
        <f>'RESUMEN TOTAL'!P150</f>
        <v>0</v>
      </c>
      <c r="J122" s="70">
        <f>'RESUMEN TOTAL'!Q150</f>
        <v>0</v>
      </c>
      <c r="K122" s="70">
        <f>'RESUMEN TOTAL'!R150</f>
        <v>0</v>
      </c>
      <c r="L122" s="70">
        <f>'RESUMEN TOTAL'!S150</f>
        <v>0</v>
      </c>
      <c r="M122" s="70">
        <f>'RESUMEN TOTAL'!T150</f>
        <v>0</v>
      </c>
      <c r="N122" s="70">
        <f>'RESUMEN TOTAL'!U150</f>
        <v>0</v>
      </c>
      <c r="O122" s="70">
        <f>'RESUMEN TOTAL'!V150</f>
        <v>0</v>
      </c>
      <c r="P122" s="70">
        <f>'RESUMEN TOTAL'!W150</f>
        <v>0</v>
      </c>
      <c r="Q122" s="70">
        <f>'RESUMEN TOTAL'!X150</f>
        <v>0</v>
      </c>
      <c r="R122" s="70">
        <f>'RESUMEN TOTAL'!Y150</f>
        <v>0</v>
      </c>
      <c r="S122" s="70">
        <f>'RESUMEN TOTAL'!Z150</f>
        <v>0</v>
      </c>
      <c r="T122" s="70">
        <f>'RESUMEN TOTAL'!AA150</f>
        <v>0</v>
      </c>
      <c r="U122" s="70">
        <f>'RESUMEN TOTAL'!AB150</f>
        <v>0</v>
      </c>
      <c r="V122" s="70">
        <f>'RESUMEN TOTAL'!AC150</f>
        <v>0</v>
      </c>
      <c r="W122" s="70">
        <f>'RESUMEN TOTAL'!AD150</f>
        <v>0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>
        <f>'RESUMEN TOTAL'!P151</f>
        <v>0</v>
      </c>
      <c r="J123" s="70">
        <f>'RESUMEN TOTAL'!Q151</f>
        <v>0</v>
      </c>
      <c r="K123" s="70">
        <f>'RESUMEN TOTAL'!R151</f>
        <v>0</v>
      </c>
      <c r="L123" s="70">
        <f>'RESUMEN TOTAL'!S151</f>
        <v>0</v>
      </c>
      <c r="M123" s="70">
        <f>'RESUMEN TOTAL'!T151</f>
        <v>0</v>
      </c>
      <c r="N123" s="70">
        <f>'RESUMEN TOTAL'!U151</f>
        <v>0</v>
      </c>
      <c r="O123" s="70">
        <f>'RESUMEN TOTAL'!V151</f>
        <v>0</v>
      </c>
      <c r="P123" s="70">
        <f>'RESUMEN TOTAL'!W151</f>
        <v>0</v>
      </c>
      <c r="Q123" s="70">
        <f>'RESUMEN TOTAL'!X151</f>
        <v>0</v>
      </c>
      <c r="R123" s="70">
        <f>'RESUMEN TOTAL'!Y151</f>
        <v>0</v>
      </c>
      <c r="S123" s="70">
        <f>'RESUMEN TOTAL'!Z151</f>
        <v>0</v>
      </c>
      <c r="T123" s="70">
        <f>'RESUMEN TOTAL'!AA151</f>
        <v>0</v>
      </c>
      <c r="U123" s="70">
        <f>'RESUMEN TOTAL'!AB151</f>
        <v>0</v>
      </c>
      <c r="V123" s="70">
        <f>'RESUMEN TOTAL'!AC151</f>
        <v>0</v>
      </c>
      <c r="W123" s="70">
        <f>'RESUMEN TOTAL'!AD151</f>
        <v>0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>
        <f>'RESUMEN TOTAL'!P157</f>
        <v>0</v>
      </c>
      <c r="J126" s="70">
        <f>'RESUMEN TOTAL'!Q157</f>
        <v>0</v>
      </c>
      <c r="K126" s="70">
        <f>'RESUMEN TOTAL'!R157</f>
        <v>0</v>
      </c>
      <c r="L126" s="70">
        <f>'RESUMEN TOTAL'!S157</f>
        <v>0</v>
      </c>
      <c r="M126" s="70">
        <f>'RESUMEN TOTAL'!T157</f>
        <v>0</v>
      </c>
      <c r="N126" s="70">
        <f>'RESUMEN TOTAL'!U157</f>
        <v>0</v>
      </c>
      <c r="O126" s="70">
        <f>'RESUMEN TOTAL'!V157</f>
        <v>0</v>
      </c>
      <c r="P126" s="70">
        <f>'RESUMEN TOTAL'!W157</f>
        <v>0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 t="str">
        <f>'RESUMEN TOTAL'!M158</f>
        <v>APAGADO</v>
      </c>
      <c r="G127" s="70" t="str">
        <f>'RESUMEN TOTAL'!N158</f>
        <v>APAGADO</v>
      </c>
      <c r="H127" s="70" t="str">
        <f>'RESUMEN TOTAL'!O158</f>
        <v>APAGADO</v>
      </c>
      <c r="I127" s="70">
        <f>'RESUMEN TOTAL'!P158</f>
        <v>0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>
        <f>'RESUMEN TOTAL'!P160</f>
        <v>0</v>
      </c>
      <c r="J129" s="70">
        <f>'RESUMEN TOTAL'!Q160</f>
        <v>0</v>
      </c>
      <c r="K129" s="70">
        <f>'RESUMEN TOTAL'!R160</f>
        <v>0</v>
      </c>
      <c r="L129" s="70">
        <f>'RESUMEN TOTAL'!S160</f>
        <v>0</v>
      </c>
      <c r="M129" s="70">
        <f>'RESUMEN TOTAL'!T160</f>
        <v>0</v>
      </c>
      <c r="N129" s="70">
        <f>'RESUMEN TOTAL'!U160</f>
        <v>0</v>
      </c>
      <c r="O129" s="70">
        <f>'RESUMEN TOTAL'!V160</f>
        <v>0</v>
      </c>
      <c r="P129" s="70">
        <f>'RESUMEN TOTAL'!W160</f>
        <v>0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>
        <f>'RESUMEN TOTAL'!AF164</f>
        <v>0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 t="str">
        <f>'RESUMEN TOTAL'!M177</f>
        <v>APAGADO</v>
      </c>
      <c r="G144" s="70" t="str">
        <f>'RESUMEN TOTAL'!N177</f>
        <v>APAGADO</v>
      </c>
      <c r="H144" s="70" t="str">
        <f>'RESUMEN TOTAL'!O177</f>
        <v>APAGADO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>
        <f>'RESUMEN TOTAL'!U177</f>
        <v>0</v>
      </c>
      <c r="O144" s="70">
        <f>'RESUMEN TOTAL'!V177</f>
        <v>0</v>
      </c>
      <c r="P144" s="70">
        <f>'RESUMEN TOTAL'!W177</f>
        <v>0</v>
      </c>
      <c r="Q144" s="70">
        <f>'RESUMEN TOTAL'!X177</f>
        <v>0</v>
      </c>
      <c r="R144" s="70">
        <f>'RESUMEN TOTAL'!Y177</f>
        <v>0</v>
      </c>
      <c r="S144" s="70">
        <f>'RESUMEN TOTAL'!Z177</f>
        <v>0</v>
      </c>
      <c r="T144" s="70">
        <f>'RESUMEN TOTAL'!AA177</f>
        <v>0</v>
      </c>
      <c r="U144" s="70">
        <f>'RESUMEN TOTAL'!AB177</f>
        <v>0</v>
      </c>
      <c r="V144" s="70">
        <f>'RESUMEN TOTAL'!AC177</f>
        <v>0</v>
      </c>
      <c r="W144" s="70">
        <f>'RESUMEN TOTAL'!AD177</f>
        <v>0</v>
      </c>
      <c r="X144" s="70">
        <f>'RESUMEN TOTAL'!AE177</f>
        <v>0</v>
      </c>
      <c r="Y144" s="70">
        <f>'RESUMEN TOTAL'!AF177</f>
        <v>0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 t="str">
        <f>'RESUMEN TOTAL'!M178</f>
        <v>APAGADO</v>
      </c>
      <c r="G145" s="70" t="str">
        <f>'RESUMEN TOTAL'!N178</f>
        <v>APAGADO</v>
      </c>
      <c r="H145" s="70" t="str">
        <f>'RESUMEN TOTAL'!O178</f>
        <v>APAGADO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>
        <f>'RESUMEN TOTAL'!U178</f>
        <v>0</v>
      </c>
      <c r="O145" s="70">
        <f>'RESUMEN TOTAL'!V178</f>
        <v>0</v>
      </c>
      <c r="P145" s="70">
        <f>'RESUMEN TOTAL'!W178</f>
        <v>0</v>
      </c>
      <c r="Q145" s="70">
        <f>'RESUMEN TOTAL'!X178</f>
        <v>0</v>
      </c>
      <c r="R145" s="70">
        <f>'RESUMEN TOTAL'!Y178</f>
        <v>0</v>
      </c>
      <c r="S145" s="70">
        <f>'RESUMEN TOTAL'!Z178</f>
        <v>0</v>
      </c>
      <c r="T145" s="70">
        <f>'RESUMEN TOTAL'!AA178</f>
        <v>0</v>
      </c>
      <c r="U145" s="70">
        <f>'RESUMEN TOTAL'!AB178</f>
        <v>0</v>
      </c>
      <c r="V145" s="70">
        <f>'RESUMEN TOTAL'!AC178</f>
        <v>0</v>
      </c>
      <c r="W145" s="70">
        <f>'RESUMEN TOTAL'!AD178</f>
        <v>0</v>
      </c>
      <c r="X145" s="70">
        <f>'RESUMEN TOTAL'!AE178</f>
        <v>0</v>
      </c>
      <c r="Y145" s="70">
        <f>'RESUMEN TOTAL'!AF178</f>
        <v>0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 t="str">
        <f>'RESUMEN TOTAL'!N182</f>
        <v>APAGADO</v>
      </c>
      <c r="H146" s="70" t="str">
        <f>'RESUMEN TOTAL'!O182</f>
        <v>APAGADO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 t="str">
        <f>'RESUMEN TOTAL'!N183</f>
        <v>APAGADO</v>
      </c>
      <c r="H147" s="70" t="str">
        <f>'RESUMEN TOTAL'!O183</f>
        <v>APAGADO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>
        <f>'RESUMEN TOTAL'!P184</f>
        <v>0</v>
      </c>
      <c r="J148" s="70">
        <f>'RESUMEN TOTAL'!Q184</f>
        <v>0</v>
      </c>
      <c r="K148" s="70">
        <f>'RESUMEN TOTAL'!R184</f>
        <v>0</v>
      </c>
      <c r="L148" s="70">
        <f>'RESUMEN TOTAL'!S184</f>
        <v>0</v>
      </c>
      <c r="M148" s="70">
        <f>'RESUMEN TOTAL'!T184</f>
        <v>0</v>
      </c>
      <c r="N148" s="70">
        <f>'RESUMEN TOTAL'!U184</f>
        <v>0</v>
      </c>
      <c r="O148" s="70">
        <f>'RESUMEN TOTAL'!V184</f>
        <v>0</v>
      </c>
      <c r="P148" s="70">
        <f>'RESUMEN TOTAL'!W184</f>
        <v>0</v>
      </c>
      <c r="Q148" s="70">
        <f>'RESUMEN TOTAL'!X184</f>
        <v>0</v>
      </c>
      <c r="R148" s="70">
        <f>'RESUMEN TOTAL'!Y184</f>
        <v>0</v>
      </c>
      <c r="S148" s="70">
        <f>'RESUMEN TOTAL'!Z184</f>
        <v>0</v>
      </c>
      <c r="T148" s="70">
        <f>'RESUMEN TOTAL'!AA184</f>
        <v>0</v>
      </c>
      <c r="U148" s="70">
        <f>'RESUMEN TOTAL'!AB184</f>
        <v>0</v>
      </c>
      <c r="V148" s="70">
        <f>'RESUMEN TOTAL'!AC184</f>
        <v>0</v>
      </c>
      <c r="W148" s="70">
        <f>'RESUMEN TOTAL'!AD184</f>
        <v>0</v>
      </c>
      <c r="X148" s="70">
        <f>'RESUMEN TOTAL'!AE184</f>
        <v>0</v>
      </c>
      <c r="Y148" s="70">
        <f>'RESUMEN TOTAL'!AF184</f>
        <v>0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>
        <f>'RESUMEN TOTAL'!U186</f>
        <v>0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>
        <f>'RESUMEN TOTAL'!M188</f>
        <v>0</v>
      </c>
      <c r="G152" s="70">
        <f>'RESUMEN TOTAL'!N188</f>
        <v>0</v>
      </c>
      <c r="H152" s="70">
        <f>'RESUMEN TOTAL'!O188</f>
        <v>0</v>
      </c>
      <c r="I152" s="70">
        <f>'RESUMEN TOTAL'!P188</f>
        <v>0</v>
      </c>
      <c r="J152" s="70">
        <f>'RESUMEN TOTAL'!Q188</f>
        <v>0</v>
      </c>
      <c r="K152" s="70">
        <f>'RESUMEN TOTAL'!R188</f>
        <v>0</v>
      </c>
      <c r="L152" s="70">
        <f>'RESUMEN TOTAL'!S188</f>
        <v>0</v>
      </c>
      <c r="M152" s="70">
        <f>'RESUMEN TOTAL'!T188</f>
        <v>0</v>
      </c>
      <c r="N152" s="70">
        <f>'RESUMEN TOTAL'!U188</f>
        <v>0</v>
      </c>
      <c r="O152" s="70">
        <f>'RESUMEN TOTAL'!V188</f>
        <v>0</v>
      </c>
      <c r="P152" s="70">
        <f>'RESUMEN TOTAL'!W188</f>
        <v>0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>
        <f>'RESUMEN TOTAL'!N189</f>
        <v>0</v>
      </c>
      <c r="H153" s="70">
        <f>'RESUMEN TOTAL'!O189</f>
        <v>0</v>
      </c>
      <c r="I153" s="70">
        <f>'RESUMEN TOTAL'!P189</f>
        <v>0</v>
      </c>
      <c r="J153" s="70">
        <f>'RESUMEN TOTAL'!Q189</f>
        <v>0</v>
      </c>
      <c r="K153" s="70">
        <f>'RESUMEN TOTAL'!R189</f>
        <v>0</v>
      </c>
      <c r="L153" s="70">
        <f>'RESUMEN TOTAL'!S189</f>
        <v>0</v>
      </c>
      <c r="M153" s="70">
        <f>'RESUMEN TOTAL'!T189</f>
        <v>0</v>
      </c>
      <c r="N153" s="70">
        <f>'RESUMEN TOTAL'!U189</f>
        <v>0</v>
      </c>
      <c r="O153" s="70">
        <f>'RESUMEN TOTAL'!V189</f>
        <v>0</v>
      </c>
      <c r="P153" s="70">
        <f>'RESUMEN TOTAL'!W189</f>
        <v>0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>
        <f>'RESUMEN TOTAL'!AF189</f>
        <v>0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>
        <f>'RESUMEN TOTAL'!P190</f>
        <v>0</v>
      </c>
      <c r="J154" s="70">
        <f>'RESUMEN TOTAL'!Q190</f>
        <v>0</v>
      </c>
      <c r="K154" s="70">
        <f>'RESUMEN TOTAL'!R190</f>
        <v>0</v>
      </c>
      <c r="L154" s="70">
        <f>'RESUMEN TOTAL'!S190</f>
        <v>0</v>
      </c>
      <c r="M154" s="70">
        <f>'RESUMEN TOTAL'!T190</f>
        <v>0</v>
      </c>
      <c r="N154" s="70">
        <f>'RESUMEN TOTAL'!U190</f>
        <v>0</v>
      </c>
      <c r="O154" s="70">
        <f>'RESUMEN TOTAL'!V190</f>
        <v>0</v>
      </c>
      <c r="P154" s="70">
        <f>'RESUMEN TOTAL'!W190</f>
        <v>0</v>
      </c>
      <c r="Q154" s="70">
        <f>'RESUMEN TOTAL'!X190</f>
        <v>0</v>
      </c>
      <c r="R154" s="70">
        <f>'RESUMEN TOTAL'!Y190</f>
        <v>0</v>
      </c>
      <c r="S154" s="70">
        <f>'RESUMEN TOTAL'!Z190</f>
        <v>0</v>
      </c>
      <c r="T154" s="70">
        <f>'RESUMEN TOTAL'!AA190</f>
        <v>0</v>
      </c>
      <c r="U154" s="70">
        <f>'RESUMEN TOTAL'!AB190</f>
        <v>0</v>
      </c>
      <c r="V154" s="70">
        <f>'RESUMEN TOTAL'!AC190</f>
        <v>0</v>
      </c>
      <c r="W154" s="70">
        <f>'RESUMEN TOTAL'!AD190</f>
        <v>0</v>
      </c>
      <c r="X154" s="70">
        <f>'RESUMEN TOTAL'!AE190</f>
        <v>0</v>
      </c>
      <c r="Y154" s="70">
        <f>'RESUMEN TOTAL'!AF190</f>
        <v>0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>
        <f>'RESUMEN TOTAL'!R191</f>
        <v>0</v>
      </c>
      <c r="L155" s="70">
        <f>'RESUMEN TOTAL'!S191</f>
        <v>0</v>
      </c>
      <c r="M155" s="70">
        <f>'RESUMEN TOTAL'!T191</f>
        <v>0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>
        <f>'RESUMEN TOTAL'!X191</f>
        <v>0</v>
      </c>
      <c r="R155" s="70">
        <f>'RESUMEN TOTAL'!Y191</f>
        <v>0</v>
      </c>
      <c r="S155" s="70">
        <f>'RESUMEN TOTAL'!Z191</f>
        <v>0</v>
      </c>
      <c r="T155" s="70">
        <f>'RESUMEN TOTAL'!AA191</f>
        <v>0</v>
      </c>
      <c r="U155" s="70">
        <f>'RESUMEN TOTAL'!AB191</f>
        <v>0</v>
      </c>
      <c r="V155" s="70">
        <f>'RESUMEN TOTAL'!AC191</f>
        <v>0</v>
      </c>
      <c r="W155" s="70">
        <f>'RESUMEN TOTAL'!AD191</f>
        <v>0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GPON</v>
      </c>
      <c r="F156" s="70" t="str">
        <f>'RESUMEN TOTAL'!M192</f>
        <v>APAGADO</v>
      </c>
      <c r="G156" s="70" t="str">
        <f>'RESUMEN TOTAL'!N192</f>
        <v>APAGADO</v>
      </c>
      <c r="H156" s="70" t="str">
        <f>'RESUMEN TOTAL'!O192</f>
        <v>APAGADO</v>
      </c>
      <c r="I156" s="70">
        <f>'RESUMEN TOTAL'!P192</f>
        <v>0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 t="str">
        <f>'RESUMEN TOTAL'!N202</f>
        <v>APAGADO</v>
      </c>
      <c r="H166" s="70" t="str">
        <f>'RESUMEN TOTAL'!O202</f>
        <v>APAGADO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 t="str">
        <f>'RESUMEN TOTAL'!M208</f>
        <v>APAGADO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>
        <f>'RESUMEN TOTAL'!S208</f>
        <v>0</v>
      </c>
      <c r="M170" s="70">
        <f>'RESUMEN TOTAL'!T208</f>
        <v>0</v>
      </c>
      <c r="N170" s="70">
        <f>'RESUMEN TOTAL'!U208</f>
        <v>0</v>
      </c>
      <c r="O170" s="70">
        <f>'RESUMEN TOTAL'!V208</f>
        <v>0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>
        <f>'RESUMEN TOTAL'!AB208</f>
        <v>0</v>
      </c>
      <c r="V170" s="70">
        <f>'RESUMEN TOTAL'!AC208</f>
        <v>0</v>
      </c>
      <c r="W170" s="70">
        <f>'RESUMEN TOTAL'!AD208</f>
        <v>0</v>
      </c>
      <c r="X170" s="70">
        <f>'RESUMEN TOTAL'!AE208</f>
        <v>0</v>
      </c>
      <c r="Y170" s="70">
        <f>'RESUMEN TOTAL'!AF208</f>
        <v>0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 t="str">
        <f>'RESUMEN TOTAL'!M209</f>
        <v>APAGADO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>
        <f>'RESUMEN TOTAL'!S209</f>
        <v>0</v>
      </c>
      <c r="M171" s="70">
        <f>'RESUMEN TOTAL'!T209</f>
        <v>0</v>
      </c>
      <c r="N171" s="70">
        <f>'RESUMEN TOTAL'!U209</f>
        <v>0</v>
      </c>
      <c r="O171" s="70">
        <f>'RESUMEN TOTAL'!V209</f>
        <v>0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>
        <f>'RESUMEN TOTAL'!AB209</f>
        <v>0</v>
      </c>
      <c r="V171" s="70">
        <f>'RESUMEN TOTAL'!AC209</f>
        <v>0</v>
      </c>
      <c r="W171" s="70">
        <f>'RESUMEN TOTAL'!AD209</f>
        <v>0</v>
      </c>
      <c r="X171" s="70">
        <f>'RESUMEN TOTAL'!AE209</f>
        <v>0</v>
      </c>
      <c r="Y171" s="70">
        <f>'RESUMEN TOTAL'!AF209</f>
        <v>0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 t="str">
        <f>'RESUMEN TOTAL'!M210</f>
        <v>APAGADO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 t="str">
        <f>'RESUMEN TOTAL'!M212</f>
        <v>APAGADO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 t="str">
        <f>'RESUMEN TOTAL'!M213</f>
        <v>APAGADO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>
        <f>'RESUMEN TOTAL'!M221</f>
        <v>0</v>
      </c>
      <c r="G180" s="70">
        <f>'RESUMEN TOTAL'!N221</f>
        <v>0</v>
      </c>
      <c r="H180" s="70">
        <f>'RESUMEN TOTAL'!O221</f>
        <v>0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>
        <f>'RESUMEN TOTAL'!M223</f>
        <v>0</v>
      </c>
      <c r="G182" s="70">
        <f>'RESUMEN TOTAL'!N223</f>
        <v>0</v>
      </c>
      <c r="H182" s="70">
        <f>'RESUMEN TOTAL'!O223</f>
        <v>0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>
        <f>'RESUMEN TOTAL'!M224</f>
        <v>0</v>
      </c>
      <c r="G183" s="70">
        <f>'RESUMEN TOTAL'!N224</f>
        <v>0</v>
      </c>
      <c r="H183" s="70">
        <f>'RESUMEN TOTAL'!O224</f>
        <v>0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>
        <f>'RESUMEN TOTAL'!M234</f>
        <v>0</v>
      </c>
      <c r="G193" s="70">
        <f>'RESUMEN TOTAL'!N234</f>
        <v>0</v>
      </c>
      <c r="H193" s="70">
        <f>'RESUMEN TOTAL'!O234</f>
        <v>0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>
        <f>'RESUMEN TOTAL'!P235</f>
        <v>0</v>
      </c>
      <c r="J194" s="70">
        <f>'RESUMEN TOTAL'!Q235</f>
        <v>0</v>
      </c>
      <c r="K194" s="70">
        <f>'RESUMEN TOTAL'!R235</f>
        <v>0</v>
      </c>
      <c r="L194" s="70">
        <f>'RESUMEN TOTAL'!S235</f>
        <v>0</v>
      </c>
      <c r="M194" s="70">
        <f>'RESUMEN TOTAL'!T235</f>
        <v>0</v>
      </c>
      <c r="N194" s="70">
        <f>'RESUMEN TOTAL'!U235</f>
        <v>0</v>
      </c>
      <c r="O194" s="70">
        <f>'RESUMEN TOTAL'!V235</f>
        <v>0</v>
      </c>
      <c r="P194" s="70">
        <f>'RESUMEN TOTAL'!W235</f>
        <v>0</v>
      </c>
      <c r="Q194" s="70">
        <f>'RESUMEN TOTAL'!X235</f>
        <v>0</v>
      </c>
      <c r="R194" s="70">
        <f>'RESUMEN TOTAL'!Y235</f>
        <v>0</v>
      </c>
      <c r="S194" s="70">
        <f>'RESUMEN TOTAL'!Z235</f>
        <v>0</v>
      </c>
      <c r="T194" s="70">
        <f>'RESUMEN TOTAL'!AA235</f>
        <v>0</v>
      </c>
      <c r="U194" s="70">
        <f>'RESUMEN TOTAL'!AB235</f>
        <v>0</v>
      </c>
      <c r="V194" s="70">
        <f>'RESUMEN TOTAL'!AC235</f>
        <v>0</v>
      </c>
      <c r="W194" s="70">
        <f>'RESUMEN TOTAL'!AD235</f>
        <v>0</v>
      </c>
      <c r="X194" s="70">
        <f>'RESUMEN TOTAL'!AE235</f>
        <v>0</v>
      </c>
      <c r="Y194" s="70">
        <f>'RESUMEN TOTAL'!AF235</f>
        <v>0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>
        <f>'RESUMEN TOTAL'!M236</f>
        <v>0</v>
      </c>
      <c r="G195" s="70">
        <f>'RESUMEN TOTAL'!N236</f>
        <v>0</v>
      </c>
      <c r="H195" s="70">
        <f>'RESUMEN TOTAL'!O236</f>
        <v>0</v>
      </c>
      <c r="I195" s="70">
        <f>'RESUMEN TOTAL'!P236</f>
        <v>0</v>
      </c>
      <c r="J195" s="70">
        <f>'RESUMEN TOTAL'!Q236</f>
        <v>0</v>
      </c>
      <c r="K195" s="70">
        <f>'RESUMEN TOTAL'!R236</f>
        <v>0</v>
      </c>
      <c r="L195" s="70">
        <f>'RESUMEN TOTAL'!S236</f>
        <v>0</v>
      </c>
      <c r="M195" s="70">
        <f>'RESUMEN TOTAL'!T236</f>
        <v>0</v>
      </c>
      <c r="N195" s="70">
        <f>'RESUMEN TOTAL'!U236</f>
        <v>0</v>
      </c>
      <c r="O195" s="70">
        <f>'RESUMEN TOTAL'!V236</f>
        <v>0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>
        <f>'RESUMEN TOTAL'!AE238</f>
        <v>0</v>
      </c>
      <c r="Y197" s="70">
        <f>'RESUMEN TOTAL'!AF238</f>
        <v>0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>
        <f>'RESUMEN TOTAL'!AE239</f>
        <v>0</v>
      </c>
      <c r="Y198" s="70">
        <f>'RESUMEN TOTAL'!AF239</f>
        <v>0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>
        <f>'RESUMEN TOTAL'!AE240</f>
        <v>0</v>
      </c>
      <c r="Y199" s="70">
        <f>'RESUMEN TOTAL'!AF240</f>
        <v>0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>
        <f>'RESUMEN TOTAL'!N243</f>
        <v>0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>
        <f>'RESUMEN TOTAL'!R243</f>
        <v>0</v>
      </c>
      <c r="L202" s="70">
        <f>'RESUMEN TOTAL'!S243</f>
        <v>0</v>
      </c>
      <c r="M202" s="70">
        <f>'RESUMEN TOTAL'!T243</f>
        <v>0</v>
      </c>
      <c r="N202" s="70">
        <f>'RESUMEN TOTAL'!U243</f>
        <v>0</v>
      </c>
      <c r="O202" s="70">
        <f>'RESUMEN TOTAL'!V243</f>
        <v>0</v>
      </c>
      <c r="P202" s="70">
        <f>'RESUMEN TOTAL'!W243</f>
        <v>0</v>
      </c>
      <c r="Q202" s="70">
        <f>'RESUMEN TOTAL'!X243</f>
        <v>0</v>
      </c>
      <c r="R202" s="70">
        <f>'RESUMEN TOTAL'!Y243</f>
        <v>0</v>
      </c>
      <c r="S202" s="70">
        <f>'RESUMEN TOTAL'!Z243</f>
        <v>0</v>
      </c>
      <c r="T202" s="70">
        <f>'RESUMEN TOTAL'!AA243</f>
        <v>0</v>
      </c>
      <c r="U202" s="70">
        <f>'RESUMEN TOTAL'!AB243</f>
        <v>0</v>
      </c>
      <c r="V202" s="70">
        <f>'RESUMEN TOTAL'!AC243</f>
        <v>0</v>
      </c>
      <c r="W202" s="70">
        <f>'RESUMEN TOTAL'!AD243</f>
        <v>0</v>
      </c>
      <c r="X202" s="70">
        <f>'RESUMEN TOTAL'!AE243</f>
        <v>0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>
        <f>'RESUMEN TOTAL'!P245</f>
        <v>0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>
        <f>'RESUMEN TOTAL'!X245</f>
        <v>0</v>
      </c>
      <c r="R204" s="70">
        <f>'RESUMEN TOTAL'!Y245</f>
        <v>0</v>
      </c>
      <c r="S204" s="70">
        <f>'RESUMEN TOTAL'!Z245</f>
        <v>0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>
        <f>'RESUMEN TOTAL'!P246</f>
        <v>0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>
        <f>'RESUMEN TOTAL'!X253</f>
        <v>0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>
        <f>'RESUMEN TOTAL'!M254</f>
        <v>0</v>
      </c>
      <c r="G213" s="70">
        <f>'RESUMEN TOTAL'!N254</f>
        <v>0</v>
      </c>
      <c r="H213" s="70">
        <f>'RESUMEN TOTAL'!O254</f>
        <v>0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Fibra Optica</v>
      </c>
      <c r="F215" s="70">
        <f>'RESUMEN TOTAL'!M256</f>
        <v>0</v>
      </c>
      <c r="G215" s="70" t="str">
        <f>'RESUMEN TOTAL'!N256</f>
        <v>APAGADO</v>
      </c>
      <c r="H215" s="70">
        <f>'RESUMEN TOTAL'!O256</f>
        <v>0</v>
      </c>
      <c r="I215" s="70">
        <f>'RESUMEN TOTAL'!P256</f>
        <v>0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 t="str">
        <f>'RESUMEN TOTAL'!M263</f>
        <v>APAGADO</v>
      </c>
      <c r="G220" s="70" t="str">
        <f>'RESUMEN TOTAL'!N263</f>
        <v>APAGADO</v>
      </c>
      <c r="H220" s="70" t="str">
        <f>'RESUMEN TOTAL'!O263</f>
        <v>APAGADO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>
        <f>'RESUMEN TOTAL'!P264</f>
        <v>0</v>
      </c>
      <c r="J221" s="70">
        <f>'RESUMEN TOTAL'!Q264</f>
        <v>0</v>
      </c>
      <c r="K221" s="70">
        <f>'RESUMEN TOTAL'!R264</f>
        <v>0</v>
      </c>
      <c r="L221" s="70">
        <f>'RESUMEN TOTAL'!S264</f>
        <v>0</v>
      </c>
      <c r="M221" s="70">
        <f>'RESUMEN TOTAL'!T264</f>
        <v>0</v>
      </c>
      <c r="N221" s="70">
        <f>'RESUMEN TOTAL'!U264</f>
        <v>0</v>
      </c>
      <c r="O221" s="70">
        <f>'RESUMEN TOTAL'!V264</f>
        <v>0</v>
      </c>
      <c r="P221" s="70">
        <f>'RESUMEN TOTAL'!W264</f>
        <v>0</v>
      </c>
      <c r="Q221" s="70">
        <f>'RESUMEN TOTAL'!X264</f>
        <v>0</v>
      </c>
      <c r="R221" s="70">
        <f>'RESUMEN TOTAL'!Y264</f>
        <v>0</v>
      </c>
      <c r="S221" s="70">
        <f>'RESUMEN TOTAL'!Z264</f>
        <v>0</v>
      </c>
      <c r="T221" s="70">
        <f>'RESUMEN TOTAL'!AA264</f>
        <v>0</v>
      </c>
      <c r="U221" s="70">
        <f>'RESUMEN TOTAL'!AB264</f>
        <v>0</v>
      </c>
      <c r="V221" s="70">
        <f>'RESUMEN TOTAL'!AC264</f>
        <v>0</v>
      </c>
      <c r="W221" s="70">
        <f>'RESUMEN TOTAL'!AD264</f>
        <v>0</v>
      </c>
      <c r="X221" s="70">
        <f>'RESUMEN TOTAL'!AE264</f>
        <v>0</v>
      </c>
      <c r="Y221" s="70">
        <f>'RESUMEN TOTAL'!AF264</f>
        <v>0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>
        <f>'RESUMEN TOTAL'!V266</f>
        <v>0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>
        <f>'RESUMEN TOTAL'!O273</f>
        <v>0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 t="str">
        <f>'RESUMEN TOTAL'!M282</f>
        <v>APAGADO</v>
      </c>
      <c r="G236" s="70" t="str">
        <f>'RESUMEN TOTAL'!N282</f>
        <v>APAGADO</v>
      </c>
      <c r="H236" s="70" t="str">
        <f>'RESUMEN TOTAL'!O282</f>
        <v>APAGADO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>
        <f>'RESUMEN TOTAL'!P283</f>
        <v>0</v>
      </c>
      <c r="J237" s="70">
        <f>'RESUMEN TOTAL'!Q283</f>
        <v>0</v>
      </c>
      <c r="K237" s="70">
        <f>'RESUMEN TOTAL'!R283</f>
        <v>0</v>
      </c>
      <c r="L237" s="70">
        <f>'RESUMEN TOTAL'!S283</f>
        <v>0</v>
      </c>
      <c r="M237" s="70">
        <f>'RESUMEN TOTAL'!T283</f>
        <v>0</v>
      </c>
      <c r="N237" s="70">
        <f>'RESUMEN TOTAL'!U283</f>
        <v>0</v>
      </c>
      <c r="O237" s="70">
        <f>'RESUMEN TOTAL'!V283</f>
        <v>0</v>
      </c>
      <c r="P237" s="70">
        <f>'RESUMEN TOTAL'!W283</f>
        <v>0</v>
      </c>
      <c r="Q237" s="70">
        <f>'RESUMEN TOTAL'!X283</f>
        <v>0</v>
      </c>
      <c r="R237" s="70">
        <f>'RESUMEN TOTAL'!Y283</f>
        <v>0</v>
      </c>
      <c r="S237" s="70">
        <f>'RESUMEN TOTAL'!Z283</f>
        <v>0</v>
      </c>
      <c r="T237" s="70">
        <f>'RESUMEN TOTAL'!AA283</f>
        <v>0</v>
      </c>
      <c r="U237" s="70">
        <f>'RESUMEN TOTAL'!AB283</f>
        <v>0</v>
      </c>
      <c r="V237" s="70">
        <f>'RESUMEN TOTAL'!AC283</f>
        <v>0</v>
      </c>
      <c r="W237" s="70">
        <f>'RESUMEN TOTAL'!AD283</f>
        <v>0</v>
      </c>
      <c r="X237" s="70">
        <f>'RESUMEN TOTAL'!AE283</f>
        <v>0</v>
      </c>
      <c r="Y237" s="70">
        <f>'RESUMEN TOTAL'!AF283</f>
        <v>0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>
        <f>'RESUMEN TOTAL'!V290</f>
        <v>0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 t="str">
        <f>'RESUMEN TOTAL'!M294</f>
        <v>APAGADO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>
        <f>'RESUMEN TOTAL'!R294</f>
        <v>0</v>
      </c>
      <c r="L248" s="70">
        <f>'RESUMEN TOTAL'!S294</f>
        <v>0</v>
      </c>
      <c r="M248" s="70">
        <f>'RESUMEN TOTAL'!T294</f>
        <v>0</v>
      </c>
      <c r="N248" s="70">
        <f>'RESUMEN TOTAL'!U294</f>
        <v>0</v>
      </c>
      <c r="O248" s="70">
        <f>'RESUMEN TOTAL'!V294</f>
        <v>0</v>
      </c>
      <c r="P248" s="70">
        <f>'RESUMEN TOTAL'!W294</f>
        <v>0</v>
      </c>
      <c r="Q248" s="70">
        <f>'RESUMEN TOTAL'!X294</f>
        <v>0</v>
      </c>
      <c r="R248" s="70">
        <f>'RESUMEN TOTAL'!Y294</f>
        <v>0</v>
      </c>
      <c r="S248" s="70">
        <f>'RESUMEN TOTAL'!Z294</f>
        <v>0</v>
      </c>
      <c r="T248" s="70">
        <f>'RESUMEN TOTAL'!AA294</f>
        <v>0</v>
      </c>
      <c r="U248" s="70">
        <f>'RESUMEN TOTAL'!AB294</f>
        <v>0</v>
      </c>
      <c r="V248" s="70">
        <f>'RESUMEN TOTAL'!AC294</f>
        <v>0</v>
      </c>
      <c r="W248" s="70">
        <f>'RESUMEN TOTAL'!AD294</f>
        <v>0</v>
      </c>
      <c r="X248" s="70">
        <f>'RESUMEN TOTAL'!AE294</f>
        <v>0</v>
      </c>
      <c r="Y248" s="70">
        <f>'RESUMEN TOTAL'!AF294</f>
        <v>0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>
        <f>'RESUMEN TOTAL'!M295</f>
        <v>0</v>
      </c>
      <c r="G249" s="70">
        <f>'RESUMEN TOTAL'!N295</f>
        <v>0</v>
      </c>
      <c r="H249" s="70">
        <f>'RESUMEN TOTAL'!O295</f>
        <v>0</v>
      </c>
      <c r="I249" s="70">
        <f>'RESUMEN TOTAL'!P295</f>
        <v>0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>
        <f>'RESUMEN TOTAL'!R296</f>
        <v>0</v>
      </c>
      <c r="L250" s="70">
        <f>'RESUMEN TOTAL'!S296</f>
        <v>0</v>
      </c>
      <c r="M250" s="70">
        <f>'RESUMEN TOTAL'!T296</f>
        <v>0</v>
      </c>
      <c r="N250" s="70">
        <f>'RESUMEN TOTAL'!U296</f>
        <v>0</v>
      </c>
      <c r="O250" s="70">
        <f>'RESUMEN TOTAL'!V296</f>
        <v>0</v>
      </c>
      <c r="P250" s="70">
        <f>'RESUMEN TOTAL'!W296</f>
        <v>0</v>
      </c>
      <c r="Q250" s="70">
        <f>'RESUMEN TOTAL'!X296</f>
        <v>0</v>
      </c>
      <c r="R250" s="70">
        <f>'RESUMEN TOTAL'!Y296</f>
        <v>0</v>
      </c>
      <c r="S250" s="70">
        <f>'RESUMEN TOTAL'!Z296</f>
        <v>0</v>
      </c>
      <c r="T250" s="70">
        <f>'RESUMEN TOTAL'!AA296</f>
        <v>0</v>
      </c>
      <c r="U250" s="70">
        <f>'RESUMEN TOTAL'!AB296</f>
        <v>0</v>
      </c>
      <c r="V250" s="70">
        <f>'RESUMEN TOTAL'!AC296</f>
        <v>0</v>
      </c>
      <c r="W250" s="70">
        <f>'RESUMEN TOTAL'!AD296</f>
        <v>0</v>
      </c>
      <c r="X250" s="70">
        <f>'RESUMEN TOTAL'!AE296</f>
        <v>0</v>
      </c>
      <c r="Y250" s="70">
        <f>'RESUMEN TOTAL'!AF296</f>
        <v>0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>
        <f>'RESUMEN TOTAL'!N298</f>
        <v>0</v>
      </c>
      <c r="H252" s="70">
        <f>'RESUMEN TOTAL'!O298</f>
        <v>0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 t="str">
        <f>'RESUMEN TOTAL'!N300</f>
        <v>APAGADO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>
        <f>'RESUMEN TOTAL'!W300</f>
        <v>0</v>
      </c>
      <c r="Q254" s="70">
        <f>'RESUMEN TOTAL'!X300</f>
        <v>0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>
        <f>'RESUMEN TOTAL'!AC306</f>
        <v>0</v>
      </c>
      <c r="W260" s="70">
        <f>'RESUMEN TOTAL'!AD306</f>
        <v>0</v>
      </c>
      <c r="X260" s="70">
        <f>'RESUMEN TOTAL'!AE306</f>
        <v>0</v>
      </c>
      <c r="Y260" s="70">
        <f>'RESUMEN TOTAL'!AF306</f>
        <v>0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>
        <f>'RESUMEN TOTAL'!AC307</f>
        <v>0</v>
      </c>
      <c r="W261" s="70">
        <f>'RESUMEN TOTAL'!AD307</f>
        <v>0</v>
      </c>
      <c r="X261" s="70">
        <f>'RESUMEN TOTAL'!AE307</f>
        <v>0</v>
      </c>
      <c r="Y261" s="70">
        <f>'RESUMEN TOTAL'!AF307</f>
        <v>0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>
        <f>'RESUMEN TOTAL'!AC308</f>
        <v>0</v>
      </c>
      <c r="W262" s="70">
        <f>'RESUMEN TOTAL'!AD308</f>
        <v>0</v>
      </c>
      <c r="X262" s="70">
        <f>'RESUMEN TOTAL'!AE308</f>
        <v>0</v>
      </c>
      <c r="Y262" s="70">
        <f>'RESUMEN TOTAL'!AF308</f>
        <v>0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>
        <f>'RESUMEN TOTAL'!AC309</f>
        <v>0</v>
      </c>
      <c r="W263" s="70">
        <f>'RESUMEN TOTAL'!AD309</f>
        <v>0</v>
      </c>
      <c r="X263" s="70">
        <f>'RESUMEN TOTAL'!AE309</f>
        <v>0</v>
      </c>
      <c r="Y263" s="70">
        <f>'RESUMEN TOTAL'!AF309</f>
        <v>0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>
        <f>'RESUMEN TOTAL'!AC310</f>
        <v>0</v>
      </c>
      <c r="W264" s="70">
        <f>'RESUMEN TOTAL'!AD310</f>
        <v>0</v>
      </c>
      <c r="X264" s="70">
        <f>'RESUMEN TOTAL'!AE310</f>
        <v>0</v>
      </c>
      <c r="Y264" s="70">
        <f>'RESUMEN TOTAL'!AF310</f>
        <v>0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>
        <f>'RESUMEN TOTAL'!AC311</f>
        <v>0</v>
      </c>
      <c r="W265" s="70">
        <f>'RESUMEN TOTAL'!AD311</f>
        <v>0</v>
      </c>
      <c r="X265" s="70">
        <f>'RESUMEN TOTAL'!AE311</f>
        <v>0</v>
      </c>
      <c r="Y265" s="70">
        <f>'RESUMEN TOTAL'!AF311</f>
        <v>0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>
        <f>'RESUMEN TOTAL'!AE316</f>
        <v>0</v>
      </c>
      <c r="Y266" s="70">
        <f>'RESUMEN TOTAL'!AF316</f>
        <v>0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>
        <f>'RESUMEN TOTAL'!M317</f>
        <v>0</v>
      </c>
      <c r="G267" s="70">
        <f>'RESUMEN TOTAL'!N317</f>
        <v>0</v>
      </c>
      <c r="H267" s="70">
        <f>'RESUMEN TOTAL'!O317</f>
        <v>0</v>
      </c>
      <c r="I267" s="70">
        <f>'RESUMEN TOTAL'!P317</f>
        <v>0</v>
      </c>
      <c r="J267" s="70">
        <f>'RESUMEN TOTAL'!Q317</f>
        <v>0</v>
      </c>
      <c r="K267" s="70">
        <f>'RESUMEN TOTAL'!R317</f>
        <v>0</v>
      </c>
      <c r="L267" s="70">
        <f>'RESUMEN TOTAL'!S317</f>
        <v>0</v>
      </c>
      <c r="M267" s="70">
        <f>'RESUMEN TOTAL'!T317</f>
        <v>0</v>
      </c>
      <c r="N267" s="70">
        <f>'RESUMEN TOTAL'!U317</f>
        <v>0</v>
      </c>
      <c r="O267" s="70">
        <f>'RESUMEN TOTAL'!V317</f>
        <v>0</v>
      </c>
      <c r="P267" s="70">
        <f>'RESUMEN TOTAL'!W317</f>
        <v>0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>
        <f>'RESUMEN TOTAL'!AE317</f>
        <v>0</v>
      </c>
      <c r="Y267" s="70">
        <f>'RESUMEN TOTAL'!AF317</f>
        <v>0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>
        <f>'RESUMEN TOTAL'!AE318</f>
        <v>0</v>
      </c>
      <c r="Y268" s="70">
        <f>'RESUMEN TOTAL'!AF318</f>
        <v>0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>
        <f>'RESUMEN TOTAL'!AE319</f>
        <v>0</v>
      </c>
      <c r="Y269" s="70">
        <f>'RESUMEN TOTAL'!AF319</f>
        <v>0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>
        <f>'RESUMEN TOTAL'!AE320</f>
        <v>0</v>
      </c>
      <c r="Y270" s="70">
        <f>'RESUMEN TOTAL'!AF320</f>
        <v>0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>
        <f>'RESUMEN TOTAL'!AE321</f>
        <v>0</v>
      </c>
      <c r="Y271" s="70">
        <f>'RESUMEN TOTAL'!AF321</f>
        <v>0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>
        <f>'RESUMEN TOTAL'!AE322</f>
        <v>0</v>
      </c>
      <c r="Y272" s="70">
        <f>'RESUMEN TOTAL'!AF322</f>
        <v>0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>
        <f>'RESUMEN TOTAL'!AE323</f>
        <v>0</v>
      </c>
      <c r="Y273" s="70">
        <f>'RESUMEN TOTAL'!AF323</f>
        <v>0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>
        <f>'RESUMEN TOTAL'!AE324</f>
        <v>0</v>
      </c>
      <c r="Y274" s="70">
        <f>'RESUMEN TOTAL'!AF324</f>
        <v>0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>
        <f>'RESUMEN TOTAL'!M325</f>
        <v>0</v>
      </c>
      <c r="G275" s="70">
        <f>'RESUMEN TOTAL'!N325</f>
        <v>0</v>
      </c>
      <c r="H275" s="70">
        <f>'RESUMEN TOTAL'!O325</f>
        <v>0</v>
      </c>
      <c r="I275" s="70">
        <f>'RESUMEN TOTAL'!P325</f>
        <v>0</v>
      </c>
      <c r="J275" s="70">
        <f>'RESUMEN TOTAL'!Q325</f>
        <v>0</v>
      </c>
      <c r="K275" s="70">
        <f>'RESUMEN TOTAL'!R325</f>
        <v>0</v>
      </c>
      <c r="L275" s="70">
        <f>'RESUMEN TOTAL'!S325</f>
        <v>0</v>
      </c>
      <c r="M275" s="70">
        <f>'RESUMEN TOTAL'!T325</f>
        <v>0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>
        <f>'RESUMEN TOTAL'!AE325</f>
        <v>0</v>
      </c>
      <c r="Y275" s="70">
        <f>'RESUMEN TOTAL'!AF325</f>
        <v>0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>
        <f>'RESUMEN TOTAL'!M326</f>
        <v>0</v>
      </c>
      <c r="G276" s="70">
        <f>'RESUMEN TOTAL'!N326</f>
        <v>0</v>
      </c>
      <c r="H276" s="70">
        <f>'RESUMEN TOTAL'!O326</f>
        <v>0</v>
      </c>
      <c r="I276" s="70">
        <f>'RESUMEN TOTAL'!P326</f>
        <v>0</v>
      </c>
      <c r="J276" s="70">
        <f>'RESUMEN TOTAL'!Q326</f>
        <v>0</v>
      </c>
      <c r="K276" s="70">
        <f>'RESUMEN TOTAL'!R326</f>
        <v>0</v>
      </c>
      <c r="L276" s="70">
        <f>'RESUMEN TOTAL'!S326</f>
        <v>0</v>
      </c>
      <c r="M276" s="70">
        <f>'RESUMEN TOTAL'!T326</f>
        <v>0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>
        <f>'RESUMEN TOTAL'!AE326</f>
        <v>0</v>
      </c>
      <c r="Y276" s="70">
        <f>'RESUMEN TOTAL'!AF326</f>
        <v>0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>
        <f>'RESUMEN TOTAL'!AE327</f>
        <v>0</v>
      </c>
      <c r="Y277" s="70">
        <f>'RESUMEN TOTAL'!AF327</f>
        <v>0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>
        <f>'RESUMEN TOTAL'!AE328</f>
        <v>0</v>
      </c>
      <c r="Y278" s="70">
        <f>'RESUMEN TOTAL'!AF328</f>
        <v>0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>
        <f>'RESUMEN TOTAL'!M335</f>
        <v>0</v>
      </c>
      <c r="G282" s="70" t="str">
        <f>'RESUMEN TOTAL'!N335</f>
        <v>APAGADO</v>
      </c>
      <c r="H282" s="70">
        <f>'RESUMEN TOTAL'!O335</f>
        <v>0</v>
      </c>
      <c r="I282" s="70">
        <f>'RESUMEN TOTAL'!P335</f>
        <v>0</v>
      </c>
      <c r="J282" s="70">
        <f>'RESUMEN TOTAL'!Q335</f>
        <v>0</v>
      </c>
      <c r="K282" s="70">
        <f>'RESUMEN TOTAL'!R335</f>
        <v>0</v>
      </c>
      <c r="L282" s="70">
        <f>'RESUMEN TOTAL'!S335</f>
        <v>0</v>
      </c>
      <c r="M282" s="70">
        <f>'RESUMEN TOTAL'!T335</f>
        <v>0</v>
      </c>
      <c r="N282" s="70">
        <f>'RESUMEN TOTAL'!U335</f>
        <v>0</v>
      </c>
      <c r="O282" s="70">
        <f>'RESUMEN TOTAL'!V335</f>
        <v>0</v>
      </c>
      <c r="P282" s="70">
        <f>'RESUMEN TOTAL'!W335</f>
        <v>0</v>
      </c>
      <c r="Q282" s="70">
        <f>'RESUMEN TOTAL'!X335</f>
        <v>0</v>
      </c>
      <c r="R282" s="70">
        <f>'RESUMEN TOTAL'!Y335</f>
        <v>0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>
        <f>'RESUMEN TOTAL'!M336</f>
        <v>0</v>
      </c>
      <c r="G283" s="70">
        <f>'RESUMEN TOTAL'!N336</f>
        <v>0</v>
      </c>
      <c r="H283" s="70">
        <f>'RESUMEN TOTAL'!O336</f>
        <v>0</v>
      </c>
      <c r="I283" s="70">
        <f>'RESUMEN TOTAL'!P336</f>
        <v>0</v>
      </c>
      <c r="J283" s="70">
        <f>'RESUMEN TOTAL'!Q336</f>
        <v>0</v>
      </c>
      <c r="K283" s="70">
        <f>'RESUMEN TOTAL'!R336</f>
        <v>0</v>
      </c>
      <c r="L283" s="70">
        <f>'RESUMEN TOTAL'!S336</f>
        <v>0</v>
      </c>
      <c r="M283" s="70">
        <f>'RESUMEN TOTAL'!T336</f>
        <v>0</v>
      </c>
      <c r="N283" s="70">
        <f>'RESUMEN TOTAL'!U336</f>
        <v>0</v>
      </c>
      <c r="O283" s="70">
        <f>'RESUMEN TOTAL'!V336</f>
        <v>0</v>
      </c>
      <c r="P283" s="70">
        <f>'RESUMEN TOTAL'!W336</f>
        <v>0</v>
      </c>
      <c r="Q283" s="70">
        <f>'RESUMEN TOTAL'!X336</f>
        <v>0</v>
      </c>
      <c r="R283" s="70">
        <f>'RESUMEN TOTAL'!Y336</f>
        <v>0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>
        <f>'RESUMEN TOTAL'!Z338</f>
        <v>0</v>
      </c>
      <c r="T285" s="70">
        <f>'RESUMEN TOTAL'!AA338</f>
        <v>0</v>
      </c>
      <c r="U285" s="70">
        <f>'RESUMEN TOTAL'!AB338</f>
        <v>0</v>
      </c>
      <c r="V285" s="70">
        <f>'RESUMEN TOTAL'!AC338</f>
        <v>0</v>
      </c>
      <c r="W285" s="70">
        <f>'RESUMEN TOTAL'!AD338</f>
        <v>0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>
        <f>'RESUMEN TOTAL'!P343</f>
        <v>0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>
        <f>'RESUMEN TOTAL'!P344</f>
        <v>0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>
        <f>'RESUMEN TOTAL'!W349</f>
        <v>0</v>
      </c>
      <c r="Q292" s="70">
        <f>'RESUMEN TOTAL'!X349</f>
        <v>0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>
        <f>'RESUMEN TOTAL'!W352</f>
        <v>0</v>
      </c>
      <c r="Q295" s="70">
        <f>'RESUMEN TOTAL'!X352</f>
        <v>0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>
        <f>'RESUMEN TOTAL'!R354</f>
        <v>0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>
        <f>'RESUMEN TOTAL'!W354</f>
        <v>0</v>
      </c>
      <c r="Q297" s="70">
        <f>'RESUMEN TOTAL'!X354</f>
        <v>0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>
        <f>'RESUMEN TOTAL'!R355</f>
        <v>0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>
        <f>'RESUMEN TOTAL'!W355</f>
        <v>0</v>
      </c>
      <c r="Q298" s="70">
        <f>'RESUMEN TOTAL'!X355</f>
        <v>0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>
        <f>'RESUMEN TOTAL'!W356</f>
        <v>0</v>
      </c>
      <c r="Q299" s="70">
        <f>'RESUMEN TOTAL'!X356</f>
        <v>0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>
        <f>'RESUMEN TOTAL'!M357</f>
        <v>0</v>
      </c>
      <c r="G300" s="70">
        <f>'RESUMEN TOTAL'!N357</f>
        <v>0</v>
      </c>
      <c r="H300" s="70">
        <f>'RESUMEN TOTAL'!O357</f>
        <v>0</v>
      </c>
      <c r="I300" s="70">
        <f>'RESUMEN TOTAL'!P357</f>
        <v>0</v>
      </c>
      <c r="J300" s="70">
        <f>'RESUMEN TOTAL'!Q357</f>
        <v>0</v>
      </c>
      <c r="K300" s="70">
        <f>'RESUMEN TOTAL'!R357</f>
        <v>0</v>
      </c>
      <c r="L300" s="70">
        <f>'RESUMEN TOTAL'!S357</f>
        <v>0</v>
      </c>
      <c r="M300" s="70">
        <f>'RESUMEN TOTAL'!T357</f>
        <v>0</v>
      </c>
      <c r="N300" s="70">
        <f>'RESUMEN TOTAL'!U357</f>
        <v>0</v>
      </c>
      <c r="O300" s="70">
        <f>'RESUMEN TOTAL'!V357</f>
        <v>0</v>
      </c>
      <c r="P300" s="70">
        <f>'RESUMEN TOTAL'!W357</f>
        <v>0</v>
      </c>
      <c r="Q300" s="70">
        <f>'RESUMEN TOTAL'!X357</f>
        <v>0</v>
      </c>
      <c r="R300" s="70">
        <f>'RESUMEN TOTAL'!Y357</f>
        <v>0</v>
      </c>
      <c r="S300" s="70">
        <f>'RESUMEN TOTAL'!Z357</f>
        <v>0</v>
      </c>
      <c r="T300" s="70">
        <f>'RESUMEN TOTAL'!AA357</f>
        <v>0</v>
      </c>
      <c r="U300" s="70">
        <f>'RESUMEN TOTAL'!AB357</f>
        <v>0</v>
      </c>
      <c r="V300" s="70">
        <f>'RESUMEN TOTAL'!AC357</f>
        <v>0</v>
      </c>
      <c r="W300" s="70">
        <f>'RESUMEN TOTAL'!AD357</f>
        <v>0</v>
      </c>
      <c r="X300" s="70">
        <f>'RESUMEN TOTAL'!AE357</f>
        <v>0</v>
      </c>
      <c r="Y300" s="70">
        <f>'RESUMEN TOTAL'!AF357</f>
        <v>0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>
        <f>'RESUMEN TOTAL'!P358</f>
        <v>0</v>
      </c>
      <c r="J301" s="70">
        <f>'RESUMEN TOTAL'!Q358</f>
        <v>0</v>
      </c>
      <c r="K301" s="70">
        <f>'RESUMEN TOTAL'!R358</f>
        <v>0</v>
      </c>
      <c r="L301" s="70">
        <f>'RESUMEN TOTAL'!S358</f>
        <v>0</v>
      </c>
      <c r="M301" s="70">
        <f>'RESUMEN TOTAL'!T358</f>
        <v>0</v>
      </c>
      <c r="N301" s="70">
        <f>'RESUMEN TOTAL'!U358</f>
        <v>0</v>
      </c>
      <c r="O301" s="70">
        <f>'RESUMEN TOTAL'!V358</f>
        <v>0</v>
      </c>
      <c r="P301" s="70">
        <f>'RESUMEN TOTAL'!W358</f>
        <v>0</v>
      </c>
      <c r="Q301" s="70">
        <f>'RESUMEN TOTAL'!X358</f>
        <v>0</v>
      </c>
      <c r="R301" s="70">
        <f>'RESUMEN TOTAL'!Y358</f>
        <v>0</v>
      </c>
      <c r="S301" s="70">
        <f>'RESUMEN TOTAL'!Z358</f>
        <v>0</v>
      </c>
      <c r="T301" s="70">
        <f>'RESUMEN TOTAL'!AA358</f>
        <v>0</v>
      </c>
      <c r="U301" s="70">
        <f>'RESUMEN TOTAL'!AB358</f>
        <v>0</v>
      </c>
      <c r="V301" s="70">
        <f>'RESUMEN TOTAL'!AC358</f>
        <v>0</v>
      </c>
      <c r="W301" s="70">
        <f>'RESUMEN TOTAL'!AD358</f>
        <v>0</v>
      </c>
      <c r="X301" s="70">
        <f>'RESUMEN TOTAL'!AE358</f>
        <v>0</v>
      </c>
      <c r="Y301" s="70">
        <f>'RESUMEN TOTAL'!AF358</f>
        <v>0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>
        <f>'RESUMEN TOTAL'!O359</f>
        <v>0</v>
      </c>
      <c r="I302" s="70">
        <f>'RESUMEN TOTAL'!P359</f>
        <v>0</v>
      </c>
      <c r="J302" s="70">
        <f>'RESUMEN TOTAL'!Q359</f>
        <v>0</v>
      </c>
      <c r="K302" s="70">
        <f>'RESUMEN TOTAL'!R359</f>
        <v>0</v>
      </c>
      <c r="L302" s="70">
        <f>'RESUMEN TOTAL'!S359</f>
        <v>0</v>
      </c>
      <c r="M302" s="70">
        <f>'RESUMEN TOTAL'!T359</f>
        <v>0</v>
      </c>
      <c r="N302" s="70">
        <f>'RESUMEN TOTAL'!U359</f>
        <v>0</v>
      </c>
      <c r="O302" s="70">
        <f>'RESUMEN TOTAL'!V359</f>
        <v>0</v>
      </c>
      <c r="P302" s="70">
        <f>'RESUMEN TOTAL'!W359</f>
        <v>0</v>
      </c>
      <c r="Q302" s="70">
        <f>'RESUMEN TOTAL'!X359</f>
        <v>0</v>
      </c>
      <c r="R302" s="70">
        <f>'RESUMEN TOTAL'!Y359</f>
        <v>0</v>
      </c>
      <c r="S302" s="70">
        <f>'RESUMEN TOTAL'!Z359</f>
        <v>0</v>
      </c>
      <c r="T302" s="70">
        <f>'RESUMEN TOTAL'!AA359</f>
        <v>0</v>
      </c>
      <c r="U302" s="70">
        <f>'RESUMEN TOTAL'!AB359</f>
        <v>0</v>
      </c>
      <c r="V302" s="70">
        <f>'RESUMEN TOTAL'!AC359</f>
        <v>0</v>
      </c>
      <c r="W302" s="70">
        <f>'RESUMEN TOTAL'!AD359</f>
        <v>0</v>
      </c>
      <c r="X302" s="70">
        <f>'RESUMEN TOTAL'!AE359</f>
        <v>0</v>
      </c>
      <c r="Y302" s="70">
        <f>'RESUMEN TOTAL'!AF359</f>
        <v>0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>
        <f>'RESUMEN TOTAL'!R361</f>
        <v>0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>
        <f>'RESUMEN TOTAL'!W361</f>
        <v>0</v>
      </c>
      <c r="Q304" s="70">
        <f>'RESUMEN TOTAL'!X361</f>
        <v>0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>
        <f>'RESUMEN TOTAL'!R362</f>
        <v>0</v>
      </c>
      <c r="L305" s="70">
        <f>'RESUMEN TOTAL'!S362</f>
        <v>0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>
        <f>'RESUMEN TOTAL'!W362</f>
        <v>0</v>
      </c>
      <c r="Q305" s="70">
        <f>'RESUMEN TOTAL'!X362</f>
        <v>0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>
        <f>'RESUMEN TOTAL'!R363</f>
        <v>0</v>
      </c>
      <c r="L306" s="70">
        <f>'RESUMEN TOTAL'!S363</f>
        <v>0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>
        <f>'RESUMEN TOTAL'!W363</f>
        <v>0</v>
      </c>
      <c r="Q306" s="70">
        <f>'RESUMEN TOTAL'!X363</f>
        <v>0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>
        <f>'RESUMEN TOTAL'!R364</f>
        <v>0</v>
      </c>
      <c r="L307" s="70">
        <f>'RESUMEN TOTAL'!S364</f>
        <v>0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>
        <f>'RESUMEN TOTAL'!W364</f>
        <v>0</v>
      </c>
      <c r="Q307" s="70">
        <f>'RESUMEN TOTAL'!X364</f>
        <v>0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>
        <f>'RESUMEN TOTAL'!R365</f>
        <v>0</v>
      </c>
      <c r="L308" s="70">
        <f>'RESUMEN TOTAL'!S365</f>
        <v>0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>
        <f>'RESUMEN TOTAL'!W365</f>
        <v>0</v>
      </c>
      <c r="Q308" s="70">
        <f>'RESUMEN TOTAL'!X365</f>
        <v>0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>
        <f>'RESUMEN TOTAL'!R366</f>
        <v>0</v>
      </c>
      <c r="L309" s="70">
        <f>'RESUMEN TOTAL'!S366</f>
        <v>0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>
        <f>'RESUMEN TOTAL'!W366</f>
        <v>0</v>
      </c>
      <c r="Q309" s="70">
        <f>'RESUMEN TOTAL'!X366</f>
        <v>0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>
        <f>'RESUMEN TOTAL'!R367</f>
        <v>0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>
        <f>'RESUMEN TOTAL'!W367</f>
        <v>0</v>
      </c>
      <c r="Q310" s="70">
        <f>'RESUMEN TOTAL'!X367</f>
        <v>0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>
        <f>'RESUMEN TOTAL'!R368</f>
        <v>0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>
        <f>'RESUMEN TOTAL'!W368</f>
        <v>0</v>
      </c>
      <c r="Q311" s="70">
        <f>'RESUMEN TOTAL'!X368</f>
        <v>0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>
        <f>'RESUMEN TOTAL'!R369</f>
        <v>0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>
        <f>'RESUMEN TOTAL'!W369</f>
        <v>0</v>
      </c>
      <c r="Q312" s="70">
        <f>'RESUMEN TOTAL'!X369</f>
        <v>0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>
        <f>'RESUMEN TOTAL'!R370</f>
        <v>0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>
        <f>'RESUMEN TOTAL'!W370</f>
        <v>0</v>
      </c>
      <c r="Q313" s="70">
        <f>'RESUMEN TOTAL'!X370</f>
        <v>0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>
        <f>'RESUMEN TOTAL'!R371</f>
        <v>0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>
        <f>'RESUMEN TOTAL'!W371</f>
        <v>0</v>
      </c>
      <c r="Q314" s="70">
        <f>'RESUMEN TOTAL'!X371</f>
        <v>0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>
        <f>'RESUMEN TOTAL'!N372</f>
        <v>0</v>
      </c>
      <c r="H315" s="70">
        <f>'RESUMEN TOTAL'!O372</f>
        <v>0</v>
      </c>
      <c r="I315" s="70">
        <f>'RESUMEN TOTAL'!P372</f>
        <v>0</v>
      </c>
      <c r="J315" s="70">
        <f>'RESUMEN TOTAL'!Q372</f>
        <v>0</v>
      </c>
      <c r="K315" s="70">
        <f>'RESUMEN TOTAL'!R372</f>
        <v>0</v>
      </c>
      <c r="L315" s="70">
        <f>'RESUMEN TOTAL'!S372</f>
        <v>0</v>
      </c>
      <c r="M315" s="70">
        <f>'RESUMEN TOTAL'!T372</f>
        <v>0</v>
      </c>
      <c r="N315" s="70">
        <f>'RESUMEN TOTAL'!U372</f>
        <v>0</v>
      </c>
      <c r="O315" s="70">
        <f>'RESUMEN TOTAL'!V372</f>
        <v>0</v>
      </c>
      <c r="P315" s="70">
        <f>'RESUMEN TOTAL'!W372</f>
        <v>0</v>
      </c>
      <c r="Q315" s="70">
        <f>'RESUMEN TOTAL'!X372</f>
        <v>0</v>
      </c>
      <c r="R315" s="70">
        <f>'RESUMEN TOTAL'!Y372</f>
        <v>0</v>
      </c>
      <c r="S315" s="70">
        <f>'RESUMEN TOTAL'!Z372</f>
        <v>0</v>
      </c>
      <c r="T315" s="70">
        <f>'RESUMEN TOTAL'!AA372</f>
        <v>0</v>
      </c>
      <c r="U315" s="70">
        <f>'RESUMEN TOTAL'!AB372</f>
        <v>0</v>
      </c>
      <c r="V315" s="70">
        <f>'RESUMEN TOTAL'!AC372</f>
        <v>0</v>
      </c>
      <c r="W315" s="70">
        <f>'RESUMEN TOTAL'!AD372</f>
        <v>0</v>
      </c>
      <c r="X315" s="70">
        <f>'RESUMEN TOTAL'!AE372</f>
        <v>0</v>
      </c>
      <c r="Y315" s="70">
        <f>'RESUMEN TOTAL'!AF372</f>
        <v>0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 t="str">
        <f>'RESUMEN TOTAL'!M377</f>
        <v>APAGADO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>
        <f>'RESUMEN TOTAL'!S377</f>
        <v>0</v>
      </c>
      <c r="M316" s="70">
        <f>'RESUMEN TOTAL'!T377</f>
        <v>0</v>
      </c>
      <c r="N316" s="70">
        <f>'RESUMEN TOTAL'!U377</f>
        <v>0</v>
      </c>
      <c r="O316" s="70">
        <f>'RESUMEN TOTAL'!V377</f>
        <v>0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>
        <f>'RESUMEN TOTAL'!AB377</f>
        <v>0</v>
      </c>
      <c r="V316" s="70">
        <f>'RESUMEN TOTAL'!AC377</f>
        <v>0</v>
      </c>
      <c r="W316" s="70">
        <f>'RESUMEN TOTAL'!AD377</f>
        <v>0</v>
      </c>
      <c r="X316" s="70">
        <f>'RESUMEN TOTAL'!AE377</f>
        <v>0</v>
      </c>
      <c r="Y316" s="70">
        <f>'RESUMEN TOTAL'!AF377</f>
        <v>0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>
        <f>'RESUMEN TOTAL'!P383</f>
        <v>0</v>
      </c>
      <c r="I322" s="70" t="e">
        <f>'RESUMEN TOTAL'!#REF!</f>
        <v>#REF!</v>
      </c>
      <c r="J322" s="70">
        <f>'RESUMEN TOTAL'!Q383</f>
        <v>0</v>
      </c>
      <c r="K322" s="70">
        <f>'RESUMEN TOTAL'!R383</f>
        <v>0</v>
      </c>
      <c r="L322" s="70">
        <f>'RESUMEN TOTAL'!S383</f>
        <v>0</v>
      </c>
      <c r="M322" s="70">
        <f>'RESUMEN TOTAL'!T383</f>
        <v>0</v>
      </c>
      <c r="N322" s="70">
        <f>'RESUMEN TOTAL'!U383</f>
        <v>0</v>
      </c>
      <c r="O322" s="70">
        <f>'RESUMEN TOTAL'!V383</f>
        <v>0</v>
      </c>
      <c r="P322" s="70">
        <f>'RESUMEN TOTAL'!W383</f>
        <v>0</v>
      </c>
      <c r="Q322" s="70">
        <f>'RESUMEN TOTAL'!X383</f>
        <v>0</v>
      </c>
      <c r="R322" s="70">
        <f>'RESUMEN TOTAL'!Y383</f>
        <v>0</v>
      </c>
      <c r="S322" s="70">
        <f>'RESUMEN TOTAL'!Z383</f>
        <v>0</v>
      </c>
      <c r="T322" s="70">
        <f>'RESUMEN TOTAL'!AA383</f>
        <v>0</v>
      </c>
      <c r="U322" s="70">
        <f>'RESUMEN TOTAL'!AB383</f>
        <v>0</v>
      </c>
      <c r="V322" s="70">
        <f>'RESUMEN TOTAL'!AC383</f>
        <v>0</v>
      </c>
      <c r="W322" s="70">
        <f>'RESUMEN TOTAL'!AD383</f>
        <v>0</v>
      </c>
      <c r="X322" s="70">
        <f>'RESUMEN TOTAL'!AE383</f>
        <v>0</v>
      </c>
      <c r="Y322" s="70">
        <f>'RESUMEN TOTAL'!AF383</f>
        <v>0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>
        <f>'RESUMEN TOTAL'!P384</f>
        <v>0</v>
      </c>
      <c r="I323" s="70" t="e">
        <f>'RESUMEN TOTAL'!#REF!</f>
        <v>#REF!</v>
      </c>
      <c r="J323" s="70">
        <f>'RESUMEN TOTAL'!Q384</f>
        <v>0</v>
      </c>
      <c r="K323" s="70">
        <f>'RESUMEN TOTAL'!R384</f>
        <v>0</v>
      </c>
      <c r="L323" s="70">
        <f>'RESUMEN TOTAL'!S384</f>
        <v>0</v>
      </c>
      <c r="M323" s="70">
        <f>'RESUMEN TOTAL'!T384</f>
        <v>0</v>
      </c>
      <c r="N323" s="70">
        <f>'RESUMEN TOTAL'!U384</f>
        <v>0</v>
      </c>
      <c r="O323" s="70">
        <f>'RESUMEN TOTAL'!V384</f>
        <v>0</v>
      </c>
      <c r="P323" s="70">
        <f>'RESUMEN TOTAL'!W384</f>
        <v>0</v>
      </c>
      <c r="Q323" s="70">
        <f>'RESUMEN TOTAL'!X384</f>
        <v>0</v>
      </c>
      <c r="R323" s="70">
        <f>'RESUMEN TOTAL'!Y384</f>
        <v>0</v>
      </c>
      <c r="S323" s="70">
        <f>'RESUMEN TOTAL'!Z384</f>
        <v>0</v>
      </c>
      <c r="T323" s="70">
        <f>'RESUMEN TOTAL'!AA384</f>
        <v>0</v>
      </c>
      <c r="U323" s="70">
        <f>'RESUMEN TOTAL'!AB384</f>
        <v>0</v>
      </c>
      <c r="V323" s="70">
        <f>'RESUMEN TOTAL'!AC384</f>
        <v>0</v>
      </c>
      <c r="W323" s="70">
        <f>'RESUMEN TOTAL'!AD384</f>
        <v>0</v>
      </c>
      <c r="X323" s="70">
        <f>'RESUMEN TOTAL'!AE384</f>
        <v>0</v>
      </c>
      <c r="Y323" s="70">
        <f>'RESUMEN TOTAL'!AF384</f>
        <v>0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>
        <f>'RESUMEN TOTAL'!P390</f>
        <v>0</v>
      </c>
      <c r="J326" s="70">
        <f>'RESUMEN TOTAL'!Q390</f>
        <v>0</v>
      </c>
      <c r="K326" s="70">
        <f>'RESUMEN TOTAL'!R390</f>
        <v>0</v>
      </c>
      <c r="L326" s="70">
        <f>'RESUMEN TOTAL'!S390</f>
        <v>0</v>
      </c>
      <c r="M326" s="70">
        <f>'RESUMEN TOTAL'!T390</f>
        <v>0</v>
      </c>
      <c r="N326" s="70">
        <f>'RESUMEN TOTAL'!U390</f>
        <v>0</v>
      </c>
      <c r="O326" s="70">
        <f>'RESUMEN TOTAL'!V390</f>
        <v>0</v>
      </c>
      <c r="P326" s="70">
        <f>'RESUMEN TOTAL'!W390</f>
        <v>0</v>
      </c>
      <c r="Q326" s="70">
        <f>'RESUMEN TOTAL'!X390</f>
        <v>0</v>
      </c>
      <c r="R326" s="70">
        <f>'RESUMEN TOTAL'!Y390</f>
        <v>0</v>
      </c>
      <c r="S326" s="70">
        <f>'RESUMEN TOTAL'!Z390</f>
        <v>0</v>
      </c>
      <c r="T326" s="70">
        <f>'RESUMEN TOTAL'!AA390</f>
        <v>0</v>
      </c>
      <c r="U326" s="70">
        <f>'RESUMEN TOTAL'!AB390</f>
        <v>0</v>
      </c>
      <c r="V326" s="70">
        <f>'RESUMEN TOTAL'!AC390</f>
        <v>0</v>
      </c>
      <c r="W326" s="70">
        <f>'RESUMEN TOTAL'!AD390</f>
        <v>0</v>
      </c>
      <c r="X326" s="70">
        <f>'RESUMEN TOTAL'!AE390</f>
        <v>0</v>
      </c>
      <c r="Y326" s="70">
        <f>'RESUMEN TOTAL'!AF390</f>
        <v>0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 t="str">
        <f>'RESUMEN TOTAL'!M394</f>
        <v>APAGADO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>
        <f>'RESUMEN TOTAL'!P395</f>
        <v>0</v>
      </c>
      <c r="J329" s="70">
        <f>'RESUMEN TOTAL'!Q395</f>
        <v>0</v>
      </c>
      <c r="K329" s="70">
        <f>'RESUMEN TOTAL'!R395</f>
        <v>0</v>
      </c>
      <c r="L329" s="70">
        <f>'RESUMEN TOTAL'!S395</f>
        <v>0</v>
      </c>
      <c r="M329" s="70">
        <f>'RESUMEN TOTAL'!T395</f>
        <v>0</v>
      </c>
      <c r="N329" s="70">
        <f>'RESUMEN TOTAL'!U395</f>
        <v>0</v>
      </c>
      <c r="O329" s="70">
        <f>'RESUMEN TOTAL'!V395</f>
        <v>0</v>
      </c>
      <c r="P329" s="70">
        <f>'RESUMEN TOTAL'!W395</f>
        <v>0</v>
      </c>
      <c r="Q329" s="70">
        <f>'RESUMEN TOTAL'!X395</f>
        <v>0</v>
      </c>
      <c r="R329" s="70">
        <f>'RESUMEN TOTAL'!Y395</f>
        <v>0</v>
      </c>
      <c r="S329" s="70">
        <f>'RESUMEN TOTAL'!Z395</f>
        <v>0</v>
      </c>
      <c r="T329" s="70">
        <f>'RESUMEN TOTAL'!AA395</f>
        <v>0</v>
      </c>
      <c r="U329" s="70">
        <f>'RESUMEN TOTAL'!AB395</f>
        <v>0</v>
      </c>
      <c r="V329" s="70">
        <f>'RESUMEN TOTAL'!AC395</f>
        <v>0</v>
      </c>
      <c r="W329" s="70">
        <f>'RESUMEN TOTAL'!AD395</f>
        <v>0</v>
      </c>
      <c r="X329" s="70">
        <f>'RESUMEN TOTAL'!AE395</f>
        <v>0</v>
      </c>
      <c r="Y329" s="70">
        <f>'RESUMEN TOTAL'!AF395</f>
        <v>0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>
        <f>'RESUMEN TOTAL'!Y404</f>
        <v>0</v>
      </c>
      <c r="S336" s="70">
        <f>'RESUMEN TOTAL'!Z404</f>
        <v>0</v>
      </c>
      <c r="T336" s="70">
        <f>'RESUMEN TOTAL'!AA404</f>
        <v>0</v>
      </c>
      <c r="U336" s="70">
        <f>'RESUMEN TOTAL'!AB404</f>
        <v>0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>
        <f>'RESUMEN TOTAL'!Y405</f>
        <v>0</v>
      </c>
      <c r="S337" s="70">
        <f>'RESUMEN TOTAL'!Z405</f>
        <v>0</v>
      </c>
      <c r="T337" s="70">
        <f>'RESUMEN TOTAL'!AA405</f>
        <v>0</v>
      </c>
      <c r="U337" s="70">
        <f>'RESUMEN TOTAL'!AB405</f>
        <v>0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>
        <f>'RESUMEN TOTAL'!Y406</f>
        <v>0</v>
      </c>
      <c r="S338" s="70">
        <f>'RESUMEN TOTAL'!Z406</f>
        <v>0</v>
      </c>
      <c r="T338" s="70">
        <f>'RESUMEN TOTAL'!AA406</f>
        <v>0</v>
      </c>
      <c r="U338" s="70">
        <f>'RESUMEN TOTAL'!AB406</f>
        <v>0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>
        <f>'RESUMEN TOTAL'!Y407</f>
        <v>0</v>
      </c>
      <c r="S339" s="70">
        <f>'RESUMEN TOTAL'!Z407</f>
        <v>0</v>
      </c>
      <c r="T339" s="70">
        <f>'RESUMEN TOTAL'!AA407</f>
        <v>0</v>
      </c>
      <c r="U339" s="70">
        <f>'RESUMEN TOTAL'!AB407</f>
        <v>0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 t="str">
        <f>'RESUMEN TOTAL'!N410</f>
        <v>APAGADO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>
        <f>'RESUMEN TOTAL'!P416</f>
        <v>0</v>
      </c>
      <c r="J348" s="70">
        <f>'RESUMEN TOTAL'!Q416</f>
        <v>0</v>
      </c>
      <c r="K348" s="70">
        <f>'RESUMEN TOTAL'!R416</f>
        <v>0</v>
      </c>
      <c r="L348" s="70">
        <f>'RESUMEN TOTAL'!S416</f>
        <v>0</v>
      </c>
      <c r="M348" s="70">
        <f>'RESUMEN TOTAL'!T416</f>
        <v>0</v>
      </c>
      <c r="N348" s="70">
        <f>'RESUMEN TOTAL'!U416</f>
        <v>0</v>
      </c>
      <c r="O348" s="70">
        <f>'RESUMEN TOTAL'!V416</f>
        <v>0</v>
      </c>
      <c r="P348" s="70">
        <f>'RESUMEN TOTAL'!W416</f>
        <v>0</v>
      </c>
      <c r="Q348" s="70">
        <f>'RESUMEN TOTAL'!X416</f>
        <v>0</v>
      </c>
      <c r="R348" s="70">
        <f>'RESUMEN TOTAL'!Y416</f>
        <v>0</v>
      </c>
      <c r="S348" s="70">
        <f>'RESUMEN TOTAL'!Z416</f>
        <v>0</v>
      </c>
      <c r="T348" s="70">
        <f>'RESUMEN TOTAL'!AA416</f>
        <v>0</v>
      </c>
      <c r="U348" s="70">
        <f>'RESUMEN TOTAL'!AB416</f>
        <v>0</v>
      </c>
      <c r="V348" s="70">
        <f>'RESUMEN TOTAL'!AC416</f>
        <v>0</v>
      </c>
      <c r="W348" s="70">
        <f>'RESUMEN TOTAL'!AD416</f>
        <v>0</v>
      </c>
      <c r="X348" s="70">
        <f>'RESUMEN TOTAL'!AE416</f>
        <v>0</v>
      </c>
      <c r="Y348" s="70">
        <f>'RESUMEN TOTAL'!AF416</f>
        <v>0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 t="str">
        <f>'RESUMEN TOTAL'!N421</f>
        <v>APAGADO</v>
      </c>
      <c r="H353" s="70" t="str">
        <f>'RESUMEN TOTAL'!O421</f>
        <v>APAGADO</v>
      </c>
      <c r="I353" s="70">
        <f>'RESUMEN TOTAL'!P421</f>
        <v>0</v>
      </c>
      <c r="J353" s="70">
        <f>'RESUMEN TOTAL'!Q421</f>
        <v>0</v>
      </c>
      <c r="K353" s="70">
        <f>'RESUMEN TOTAL'!R421</f>
        <v>0</v>
      </c>
      <c r="L353" s="70">
        <f>'RESUMEN TOTAL'!S421</f>
        <v>0</v>
      </c>
      <c r="M353" s="70">
        <f>'RESUMEN TOTAL'!T421</f>
        <v>0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>
        <f>'RESUMEN TOTAL'!AB421</f>
        <v>0</v>
      </c>
      <c r="V353" s="70">
        <f>'RESUMEN TOTAL'!AC421</f>
        <v>0</v>
      </c>
      <c r="W353" s="70">
        <f>'RESUMEN TOTAL'!AD421</f>
        <v>0</v>
      </c>
      <c r="X353" s="70">
        <f>'RESUMEN TOTAL'!AE421</f>
        <v>0</v>
      </c>
      <c r="Y353" s="70">
        <f>'RESUMEN TOTAL'!AF421</f>
        <v>0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>
        <f>'RESUMEN TOTAL'!P428</f>
        <v>0</v>
      </c>
      <c r="J360" s="70">
        <f>'RESUMEN TOTAL'!Q428</f>
        <v>0</v>
      </c>
      <c r="K360" s="70">
        <f>'RESUMEN TOTAL'!R428</f>
        <v>0</v>
      </c>
      <c r="L360" s="70">
        <f>'RESUMEN TOTAL'!S428</f>
        <v>0</v>
      </c>
      <c r="M360" s="70">
        <f>'RESUMEN TOTAL'!T428</f>
        <v>0</v>
      </c>
      <c r="N360" s="70">
        <f>'RESUMEN TOTAL'!U428</f>
        <v>0</v>
      </c>
      <c r="O360" s="70">
        <f>'RESUMEN TOTAL'!V428</f>
        <v>0</v>
      </c>
      <c r="P360" s="70">
        <f>'RESUMEN TOTAL'!W428</f>
        <v>0</v>
      </c>
      <c r="Q360" s="70">
        <f>'RESUMEN TOTAL'!X428</f>
        <v>0</v>
      </c>
      <c r="R360" s="70">
        <f>'RESUMEN TOTAL'!Y428</f>
        <v>0</v>
      </c>
      <c r="S360" s="70">
        <f>'RESUMEN TOTAL'!Z428</f>
        <v>0</v>
      </c>
      <c r="T360" s="70">
        <f>'RESUMEN TOTAL'!AA428</f>
        <v>0</v>
      </c>
      <c r="U360" s="70">
        <f>'RESUMEN TOTAL'!AB428</f>
        <v>0</v>
      </c>
      <c r="V360" s="70">
        <f>'RESUMEN TOTAL'!AC428</f>
        <v>0</v>
      </c>
      <c r="W360" s="70">
        <f>'RESUMEN TOTAL'!AD428</f>
        <v>0</v>
      </c>
      <c r="X360" s="70">
        <f>'RESUMEN TOTAL'!AE428</f>
        <v>0</v>
      </c>
      <c r="Y360" s="70">
        <f>'RESUMEN TOTAL'!AF428</f>
        <v>0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>
        <f>'RESUMEN TOTAL'!P436</f>
        <v>0</v>
      </c>
      <c r="J363" s="70">
        <f>'RESUMEN TOTAL'!Q436</f>
        <v>0</v>
      </c>
      <c r="K363" s="70">
        <f>'RESUMEN TOTAL'!R436</f>
        <v>0</v>
      </c>
      <c r="L363" s="70">
        <f>'RESUMEN TOTAL'!S436</f>
        <v>0</v>
      </c>
      <c r="M363" s="70">
        <f>'RESUMEN TOTAL'!T436</f>
        <v>0</v>
      </c>
      <c r="N363" s="70">
        <f>'RESUMEN TOTAL'!U436</f>
        <v>0</v>
      </c>
      <c r="O363" s="70">
        <f>'RESUMEN TOTAL'!V436</f>
        <v>0</v>
      </c>
      <c r="P363" s="70">
        <f>'RESUMEN TOTAL'!W436</f>
        <v>0</v>
      </c>
      <c r="Q363" s="70">
        <f>'RESUMEN TOTAL'!X436</f>
        <v>0</v>
      </c>
      <c r="R363" s="70">
        <f>'RESUMEN TOTAL'!Y436</f>
        <v>0</v>
      </c>
      <c r="S363" s="70">
        <f>'RESUMEN TOTAL'!Z436</f>
        <v>0</v>
      </c>
      <c r="T363" s="70">
        <f>'RESUMEN TOTAL'!AA436</f>
        <v>0</v>
      </c>
      <c r="U363" s="70">
        <f>'RESUMEN TOTAL'!AB436</f>
        <v>0</v>
      </c>
      <c r="V363" s="70">
        <f>'RESUMEN TOTAL'!AC436</f>
        <v>0</v>
      </c>
      <c r="W363" s="70">
        <f>'RESUMEN TOTAL'!AD436</f>
        <v>0</v>
      </c>
      <c r="X363" s="70">
        <f>'RESUMEN TOTAL'!AE436</f>
        <v>0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>
        <f>'RESUMEN TOTAL'!AF437</f>
        <v>0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>
        <f>'RESUMEN TOTAL'!M461</f>
        <v>0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>
        <f>'RESUMEN TOTAL'!M462</f>
        <v>0</v>
      </c>
      <c r="G383" s="70">
        <f>'RESUMEN TOTAL'!N462</f>
        <v>0</v>
      </c>
      <c r="H383" s="70">
        <f>'RESUMEN TOTAL'!O462</f>
        <v>0</v>
      </c>
      <c r="I383" s="70">
        <f>'RESUMEN TOTAL'!P462</f>
        <v>0</v>
      </c>
      <c r="J383" s="70">
        <f>'RESUMEN TOTAL'!Q462</f>
        <v>0</v>
      </c>
      <c r="K383" s="70">
        <f>'RESUMEN TOTAL'!R462</f>
        <v>0</v>
      </c>
      <c r="L383" s="70">
        <f>'RESUMEN TOTAL'!S462</f>
        <v>0</v>
      </c>
      <c r="M383" s="70">
        <f>'RESUMEN TOTAL'!T462</f>
        <v>0</v>
      </c>
      <c r="N383" s="70">
        <f>'RESUMEN TOTAL'!U462</f>
        <v>0</v>
      </c>
      <c r="O383" s="70">
        <f>'RESUMEN TOTAL'!V462</f>
        <v>0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 t="str">
        <f>'RESUMEN TOTAL'!M488</f>
        <v>APAGADO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>
        <f>'RESUMEN TOTAL'!R500</f>
        <v>0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>
        <f>'RESUMEN TOTAL'!W500</f>
        <v>0</v>
      </c>
      <c r="Q418" s="70">
        <f>'RESUMEN TOTAL'!X500</f>
        <v>0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>
        <f>'RESUMEN TOTAL'!R501</f>
        <v>0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>
        <f>'RESUMEN TOTAL'!W501</f>
        <v>0</v>
      </c>
      <c r="Q419" s="70">
        <f>'RESUMEN TOTAL'!X501</f>
        <v>0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>
        <f>'RESUMEN TOTAL'!M502</f>
        <v>0</v>
      </c>
      <c r="G420" s="70">
        <f>'RESUMEN TOTAL'!N502</f>
        <v>0</v>
      </c>
      <c r="H420" s="70">
        <f>'RESUMEN TOTAL'!O502</f>
        <v>0</v>
      </c>
      <c r="I420" s="70">
        <f>'RESUMEN TOTAL'!P502</f>
        <v>0</v>
      </c>
      <c r="J420" s="70">
        <f>'RESUMEN TOTAL'!Q502</f>
        <v>0</v>
      </c>
      <c r="K420" s="70">
        <f>'RESUMEN TOTAL'!R502</f>
        <v>0</v>
      </c>
      <c r="L420" s="70">
        <f>'RESUMEN TOTAL'!S502</f>
        <v>0</v>
      </c>
      <c r="M420" s="70">
        <f>'RESUMEN TOTAL'!T502</f>
        <v>0</v>
      </c>
      <c r="N420" s="70">
        <f>'RESUMEN TOTAL'!U502</f>
        <v>0</v>
      </c>
      <c r="O420" s="70">
        <f>'RESUMEN TOTAL'!V502</f>
        <v>0</v>
      </c>
      <c r="P420" s="70">
        <f>'RESUMEN TOTAL'!W502</f>
        <v>0</v>
      </c>
      <c r="Q420" s="70">
        <f>'RESUMEN TOTAL'!X502</f>
        <v>0</v>
      </c>
      <c r="R420" s="70">
        <f>'RESUMEN TOTAL'!Y502</f>
        <v>0</v>
      </c>
      <c r="S420" s="70">
        <f>'RESUMEN TOTAL'!Z502</f>
        <v>0</v>
      </c>
      <c r="T420" s="70">
        <f>'RESUMEN TOTAL'!AA502</f>
        <v>0</v>
      </c>
      <c r="U420" s="70">
        <f>'RESUMEN TOTAL'!AB502</f>
        <v>0</v>
      </c>
      <c r="V420" s="70">
        <f>'RESUMEN TOTAL'!AC502</f>
        <v>0</v>
      </c>
      <c r="W420" s="70">
        <f>'RESUMEN TOTAL'!AD502</f>
        <v>0</v>
      </c>
      <c r="X420" s="70">
        <f>'RESUMEN TOTAL'!AE502</f>
        <v>0</v>
      </c>
      <c r="Y420" s="70">
        <f>'RESUMEN TOTAL'!AF502</f>
        <v>0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>
        <f>'RESUMEN TOTAL'!M503</f>
        <v>0</v>
      </c>
      <c r="G421" s="70">
        <f>'RESUMEN TOTAL'!N503</f>
        <v>0</v>
      </c>
      <c r="H421" s="70">
        <f>'RESUMEN TOTAL'!O503</f>
        <v>0</v>
      </c>
      <c r="I421" s="70">
        <f>'RESUMEN TOTAL'!P503</f>
        <v>0</v>
      </c>
      <c r="J421" s="70">
        <f>'RESUMEN TOTAL'!Q503</f>
        <v>0</v>
      </c>
      <c r="K421" s="70">
        <f>'RESUMEN TOTAL'!R503</f>
        <v>0</v>
      </c>
      <c r="L421" s="70">
        <f>'RESUMEN TOTAL'!S503</f>
        <v>0</v>
      </c>
      <c r="M421" s="70">
        <f>'RESUMEN TOTAL'!T503</f>
        <v>0</v>
      </c>
      <c r="N421" s="70">
        <f>'RESUMEN TOTAL'!U503</f>
        <v>0</v>
      </c>
      <c r="O421" s="70">
        <f>'RESUMEN TOTAL'!V503</f>
        <v>0</v>
      </c>
      <c r="P421" s="70">
        <f>'RESUMEN TOTAL'!W503</f>
        <v>0</v>
      </c>
      <c r="Q421" s="70">
        <f>'RESUMEN TOTAL'!X503</f>
        <v>0</v>
      </c>
      <c r="R421" s="70">
        <f>'RESUMEN TOTAL'!Y503</f>
        <v>0</v>
      </c>
      <c r="S421" s="70">
        <f>'RESUMEN TOTAL'!Z503</f>
        <v>0</v>
      </c>
      <c r="T421" s="70">
        <f>'RESUMEN TOTAL'!AA503</f>
        <v>0</v>
      </c>
      <c r="U421" s="70">
        <f>'RESUMEN TOTAL'!AB503</f>
        <v>0</v>
      </c>
      <c r="V421" s="70">
        <f>'RESUMEN TOTAL'!AC503</f>
        <v>0</v>
      </c>
      <c r="W421" s="70">
        <f>'RESUMEN TOTAL'!AD503</f>
        <v>0</v>
      </c>
      <c r="X421" s="70">
        <f>'RESUMEN TOTAL'!AE503</f>
        <v>0</v>
      </c>
      <c r="Y421" s="70">
        <f>'RESUMEN TOTAL'!AF503</f>
        <v>0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>
        <f>'RESUMEN TOTAL'!R504</f>
        <v>0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>
        <f>'RESUMEN TOTAL'!W504</f>
        <v>0</v>
      </c>
      <c r="Q422" s="70">
        <f>'RESUMEN TOTAL'!X504</f>
        <v>0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>
        <f>'RESUMEN TOTAL'!R505</f>
        <v>0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>
        <f>'RESUMEN TOTAL'!W505</f>
        <v>0</v>
      </c>
      <c r="Q423" s="70">
        <f>'RESUMEN TOTAL'!X505</f>
        <v>0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 t="str">
        <f>'RESUMEN TOTAL'!M506</f>
        <v>APAGADO</v>
      </c>
      <c r="G424" s="70" t="str">
        <f>'RESUMEN TOTAL'!N506</f>
        <v>APAGADO</v>
      </c>
      <c r="H424" s="70" t="str">
        <f>'RESUMEN TOTAL'!O506</f>
        <v>APAGADO</v>
      </c>
      <c r="I424" s="70">
        <f>'RESUMEN TOTAL'!P506</f>
        <v>0</v>
      </c>
      <c r="J424" s="70">
        <f>'RESUMEN TOTAL'!Q506</f>
        <v>0</v>
      </c>
      <c r="K424" s="70">
        <f>'RESUMEN TOTAL'!R506</f>
        <v>0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>
        <f>'RESUMEN TOTAL'!W506</f>
        <v>0</v>
      </c>
      <c r="Q424" s="70">
        <f>'RESUMEN TOTAL'!X506</f>
        <v>0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>
        <f>'RESUMEN TOTAL'!R507</f>
        <v>0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>
        <f>'RESUMEN TOTAL'!W507</f>
        <v>0</v>
      </c>
      <c r="Q425" s="70">
        <f>'RESUMEN TOTAL'!X507</f>
        <v>0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>
        <f>'RESUMEN TOTAL'!P511</f>
        <v>0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>
        <f>'RESUMEN TOTAL'!AC511</f>
        <v>0</v>
      </c>
      <c r="W428" s="70">
        <f>'RESUMEN TOTAL'!AD511</f>
        <v>0</v>
      </c>
      <c r="X428" s="70">
        <f>'RESUMEN TOTAL'!AE511</f>
        <v>0</v>
      </c>
      <c r="Y428" s="70">
        <f>'RESUMEN TOTAL'!AF511</f>
        <v>0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>
        <f>'RESUMEN TOTAL'!M513</f>
        <v>0</v>
      </c>
      <c r="G430" s="70">
        <f>'RESUMEN TOTAL'!N513</f>
        <v>0</v>
      </c>
      <c r="H430" s="70">
        <f>'RESUMEN TOTAL'!O513</f>
        <v>0</v>
      </c>
      <c r="I430" s="70">
        <f>'RESUMEN TOTAL'!P513</f>
        <v>0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>
        <f>'RESUMEN TOTAL'!Q521</f>
        <v>0</v>
      </c>
      <c r="K436" s="70">
        <f>'RESUMEN TOTAL'!R521</f>
        <v>0</v>
      </c>
      <c r="L436" s="70">
        <f>'RESUMEN TOTAL'!S521</f>
        <v>0</v>
      </c>
      <c r="M436" s="70">
        <f>'RESUMEN TOTAL'!T521</f>
        <v>0</v>
      </c>
      <c r="N436" s="70">
        <f>'RESUMEN TOTAL'!U521</f>
        <v>0</v>
      </c>
      <c r="O436" s="70">
        <f>'RESUMEN TOTAL'!V521</f>
        <v>0</v>
      </c>
      <c r="P436" s="70">
        <f>'RESUMEN TOTAL'!W521</f>
        <v>0</v>
      </c>
      <c r="Q436" s="70">
        <f>'RESUMEN TOTAL'!X521</f>
        <v>0</v>
      </c>
      <c r="R436" s="70">
        <f>'RESUMEN TOTAL'!Y521</f>
        <v>0</v>
      </c>
      <c r="S436" s="70">
        <f>'RESUMEN TOTAL'!Z521</f>
        <v>0</v>
      </c>
      <c r="T436" s="70">
        <f>'RESUMEN TOTAL'!AA521</f>
        <v>0</v>
      </c>
      <c r="U436" s="70">
        <f>'RESUMEN TOTAL'!AB521</f>
        <v>0</v>
      </c>
      <c r="V436" s="70">
        <f>'RESUMEN TOTAL'!AC521</f>
        <v>0</v>
      </c>
      <c r="W436" s="70">
        <f>'RESUMEN TOTAL'!AD521</f>
        <v>0</v>
      </c>
      <c r="X436" s="70">
        <f>'RESUMEN TOTAL'!AE521</f>
        <v>0</v>
      </c>
      <c r="Y436" s="70">
        <f>'RESUMEN TOTAL'!AF521</f>
        <v>0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>
        <f>'RESUMEN TOTAL'!Q523</f>
        <v>0</v>
      </c>
      <c r="K438" s="70">
        <f>'RESUMEN TOTAL'!R523</f>
        <v>0</v>
      </c>
      <c r="L438" s="70">
        <f>'RESUMEN TOTAL'!S523</f>
        <v>0</v>
      </c>
      <c r="M438" s="70">
        <f>'RESUMEN TOTAL'!T523</f>
        <v>0</v>
      </c>
      <c r="N438" s="70">
        <f>'RESUMEN TOTAL'!U523</f>
        <v>0</v>
      </c>
      <c r="O438" s="70">
        <f>'RESUMEN TOTAL'!V523</f>
        <v>0</v>
      </c>
      <c r="P438" s="70">
        <f>'RESUMEN TOTAL'!W523</f>
        <v>0</v>
      </c>
      <c r="Q438" s="70">
        <f>'RESUMEN TOTAL'!X523</f>
        <v>0</v>
      </c>
      <c r="R438" s="70">
        <f>'RESUMEN TOTAL'!Y523</f>
        <v>0</v>
      </c>
      <c r="S438" s="70">
        <f>'RESUMEN TOTAL'!Z523</f>
        <v>0</v>
      </c>
      <c r="T438" s="70">
        <f>'RESUMEN TOTAL'!AA523</f>
        <v>0</v>
      </c>
      <c r="U438" s="70">
        <f>'RESUMEN TOTAL'!AB523</f>
        <v>0</v>
      </c>
      <c r="V438" s="70">
        <f>'RESUMEN TOTAL'!AC523</f>
        <v>0</v>
      </c>
      <c r="W438" s="70">
        <f>'RESUMEN TOTAL'!AD523</f>
        <v>0</v>
      </c>
      <c r="X438" s="70">
        <f>'RESUMEN TOTAL'!AE523</f>
        <v>0</v>
      </c>
      <c r="Y438" s="70">
        <f>'RESUMEN TOTAL'!AF523</f>
        <v>0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 t="str">
        <f>'RESUMEN TOTAL'!M530</f>
        <v>APAGADO</v>
      </c>
      <c r="G445" s="70" t="str">
        <f>'RESUMEN TOTAL'!N530</f>
        <v>APAGADO</v>
      </c>
      <c r="H445" s="70" t="str">
        <f>'RESUMEN TOTAL'!O530</f>
        <v>APAGADO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>
        <f>'RESUMEN TOTAL'!AA530</f>
        <v>0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 t="str">
        <f>'RESUMEN TOTAL'!M539</f>
        <v>APAGADO</v>
      </c>
      <c r="G454" s="70" t="str">
        <f>'RESUMEN TOTAL'!N539</f>
        <v>APAGADO</v>
      </c>
      <c r="H454" s="70" t="str">
        <f>'RESUMEN TOTAL'!O539</f>
        <v>APAGADO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 t="str">
        <f>'RESUMEN TOTAL'!M540</f>
        <v>APAGADO</v>
      </c>
      <c r="G455" s="70" t="str">
        <f>'RESUMEN TOTAL'!N540</f>
        <v>APAGADO</v>
      </c>
      <c r="H455" s="70" t="str">
        <f>'RESUMEN TOTAL'!O540</f>
        <v>APAGADO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 t="str">
        <f>'RESUMEN TOTAL'!M541</f>
        <v>APAGADO</v>
      </c>
      <c r="G456" s="70" t="str">
        <f>'RESUMEN TOTAL'!N541</f>
        <v>APAGADO</v>
      </c>
      <c r="H456" s="70" t="str">
        <f>'RESUMEN TOTAL'!O541</f>
        <v>APAGADO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>
        <f>'RESUMEN TOTAL'!M544</f>
        <v>0</v>
      </c>
      <c r="G459" s="70">
        <f>'RESUMEN TOTAL'!N544</f>
        <v>0</v>
      </c>
      <c r="H459" s="70">
        <f>'RESUMEN TOTAL'!O544</f>
        <v>0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>
        <f>'RESUMEN TOTAL'!M545</f>
        <v>0</v>
      </c>
      <c r="G460" s="70">
        <f>'RESUMEN TOTAL'!N545</f>
        <v>0</v>
      </c>
      <c r="H460" s="70">
        <f>'RESUMEN TOTAL'!O545</f>
        <v>0</v>
      </c>
      <c r="I460" s="70">
        <f>'RESUMEN TOTAL'!P545</f>
        <v>0</v>
      </c>
      <c r="J460" s="70">
        <f>'RESUMEN TOTAL'!Q545</f>
        <v>0</v>
      </c>
      <c r="K460" s="70">
        <f>'RESUMEN TOTAL'!R545</f>
        <v>0</v>
      </c>
      <c r="L460" s="70">
        <f>'RESUMEN TOTAL'!S545</f>
        <v>0</v>
      </c>
      <c r="M460" s="70">
        <f>'RESUMEN TOTAL'!T545</f>
        <v>0</v>
      </c>
      <c r="N460" s="70">
        <f>'RESUMEN TOTAL'!U545</f>
        <v>0</v>
      </c>
      <c r="O460" s="70">
        <f>'RESUMEN TOTAL'!V545</f>
        <v>0</v>
      </c>
      <c r="P460" s="70">
        <f>'RESUMEN TOTAL'!W545</f>
        <v>0</v>
      </c>
      <c r="Q460" s="70">
        <f>'RESUMEN TOTAL'!X545</f>
        <v>0</v>
      </c>
      <c r="R460" s="70">
        <f>'RESUMEN TOTAL'!Y545</f>
        <v>0</v>
      </c>
      <c r="S460" s="70">
        <f>'RESUMEN TOTAL'!Z545</f>
        <v>0</v>
      </c>
      <c r="T460" s="70">
        <f>'RESUMEN TOTAL'!AA545</f>
        <v>0</v>
      </c>
      <c r="U460" s="70">
        <f>'RESUMEN TOTAL'!AB545</f>
        <v>0</v>
      </c>
      <c r="V460" s="70">
        <f>'RESUMEN TOTAL'!AC545</f>
        <v>0</v>
      </c>
      <c r="W460" s="70">
        <f>'RESUMEN TOTAL'!AD545</f>
        <v>0</v>
      </c>
      <c r="X460" s="70">
        <f>'RESUMEN TOTAL'!AE545</f>
        <v>0</v>
      </c>
      <c r="Y460" s="70">
        <f>'RESUMEN TOTAL'!AF545</f>
        <v>0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TOTAL'!A632</f>
        <v>0</v>
      </c>
      <c r="B549">
        <f>'RESUMEN TOTAL'!B632</f>
        <v>0</v>
      </c>
      <c r="C549">
        <f>'RESUMEN TOTAL'!D632</f>
        <v>0</v>
      </c>
      <c r="D549" s="30">
        <f>'RESUMEN TOTAL'!E632</f>
        <v>0</v>
      </c>
      <c r="E549" s="30">
        <f>'RESUMEN TOTAL'!F632</f>
        <v>0</v>
      </c>
      <c r="F549" s="70">
        <f>'RESUMEN TOTAL'!M632</f>
        <v>0</v>
      </c>
      <c r="G549" s="70">
        <f>'RESUMEN TOTAL'!N632</f>
        <v>0</v>
      </c>
      <c r="H549" s="70">
        <f>'RESUMEN TOTAL'!O632</f>
        <v>0</v>
      </c>
      <c r="I549" s="70">
        <f>'RESUMEN TOTAL'!P632</f>
        <v>0</v>
      </c>
      <c r="J549" s="70">
        <f>'RESUMEN TOTAL'!Q632</f>
        <v>0</v>
      </c>
      <c r="K549" s="70">
        <f>'RESUMEN TOTAL'!R632</f>
        <v>0</v>
      </c>
      <c r="L549" s="70">
        <f>'RESUMEN TOTAL'!S632</f>
        <v>0</v>
      </c>
      <c r="M549" s="70">
        <f>'RESUMEN TOTAL'!T632</f>
        <v>0</v>
      </c>
      <c r="N549" s="70">
        <f>'RESUMEN TOTAL'!U632</f>
        <v>0</v>
      </c>
      <c r="O549" s="70">
        <f>'RESUMEN TOTAL'!V632</f>
        <v>0</v>
      </c>
      <c r="P549" s="70">
        <f>'RESUMEN TOTAL'!W632</f>
        <v>0</v>
      </c>
      <c r="Q549" s="70">
        <f>'RESUMEN TOTAL'!X632</f>
        <v>0</v>
      </c>
      <c r="R549" s="70">
        <f>'RESUMEN TOTAL'!Y632</f>
        <v>0</v>
      </c>
      <c r="S549" s="70">
        <f>'RESUMEN TOTAL'!Z632</f>
        <v>0</v>
      </c>
      <c r="T549" s="70">
        <f>'RESUMEN TOTAL'!AA632</f>
        <v>0</v>
      </c>
      <c r="U549" s="70">
        <f>'RESUMEN TOTAL'!AB632</f>
        <v>0</v>
      </c>
      <c r="V549" s="70">
        <f>'RESUMEN TOTAL'!AC632</f>
        <v>0</v>
      </c>
      <c r="W549" s="70">
        <f>'RESUMEN TOTAL'!AD632</f>
        <v>0</v>
      </c>
      <c r="X549" s="70">
        <f>'RESUMEN TOTAL'!AE632</f>
        <v>0</v>
      </c>
      <c r="Y549" s="70">
        <f>'RESUMEN TOTAL'!AF632</f>
        <v>0</v>
      </c>
      <c r="Z549" s="70">
        <f>'RESUMEN TOTAL'!AG632</f>
        <v>0</v>
      </c>
      <c r="AA549" s="70">
        <f>'RESUMEN TOTAL'!AH632</f>
        <v>0</v>
      </c>
      <c r="AB549" s="70">
        <f>'RESUMEN TOTAL'!AI632</f>
        <v>0</v>
      </c>
      <c r="AC549" s="70">
        <f>'RESUMEN TOTAL'!AJ632</f>
        <v>0</v>
      </c>
      <c r="AD549" s="70">
        <f>'RESUMEN TOTAL'!AK632</f>
        <v>0</v>
      </c>
      <c r="AE549" s="70">
        <f>'RESUMEN TOTAL'!AL632</f>
        <v>0</v>
      </c>
      <c r="AF549" s="70">
        <f>'RESUMEN TOTAL'!AM632</f>
        <v>0</v>
      </c>
      <c r="AG549" s="70">
        <f>'RESUMEN TOTAL'!AN632</f>
        <v>0</v>
      </c>
      <c r="AH549" s="70">
        <f>'RESUMEN TOTAL'!AO632</f>
        <v>0</v>
      </c>
      <c r="AI549" s="70">
        <f>'RESUMEN TOTAL'!AP632</f>
        <v>0</v>
      </c>
    </row>
    <row r="550" spans="1:35" x14ac:dyDescent="0.25">
      <c r="A550">
        <f>'RESUMEN TOTAL'!A633</f>
        <v>0</v>
      </c>
      <c r="B550">
        <f>'RESUMEN TOTAL'!B633</f>
        <v>0</v>
      </c>
      <c r="C550">
        <f>'RESUMEN TOTAL'!D633</f>
        <v>0</v>
      </c>
      <c r="D550" s="30">
        <f>'RESUMEN TOTAL'!E633</f>
        <v>0</v>
      </c>
      <c r="E550" s="30">
        <f>'RESUMEN TOTAL'!F633</f>
        <v>0</v>
      </c>
      <c r="F550" s="70">
        <f>'RESUMEN TOTAL'!M633</f>
        <v>0</v>
      </c>
      <c r="G550" s="70">
        <f>'RESUMEN TOTAL'!N633</f>
        <v>0</v>
      </c>
      <c r="H550" s="70">
        <f>'RESUMEN TOTAL'!O633</f>
        <v>0</v>
      </c>
      <c r="I550" s="70">
        <f>'RESUMEN TOTAL'!P633</f>
        <v>0</v>
      </c>
      <c r="J550" s="70">
        <f>'RESUMEN TOTAL'!Q633</f>
        <v>0</v>
      </c>
      <c r="K550" s="70">
        <f>'RESUMEN TOTAL'!R633</f>
        <v>0</v>
      </c>
      <c r="L550" s="70">
        <f>'RESUMEN TOTAL'!S633</f>
        <v>0</v>
      </c>
      <c r="M550" s="70">
        <f>'RESUMEN TOTAL'!T633</f>
        <v>0</v>
      </c>
      <c r="N550" s="70">
        <f>'RESUMEN TOTAL'!U633</f>
        <v>0</v>
      </c>
      <c r="O550" s="70">
        <f>'RESUMEN TOTAL'!V633</f>
        <v>0</v>
      </c>
      <c r="P550" s="70">
        <f>'RESUMEN TOTAL'!W633</f>
        <v>0</v>
      </c>
      <c r="Q550" s="70">
        <f>'RESUMEN TOTAL'!X633</f>
        <v>0</v>
      </c>
      <c r="R550" s="70">
        <f>'RESUMEN TOTAL'!Y633</f>
        <v>0</v>
      </c>
      <c r="S550" s="70">
        <f>'RESUMEN TOTAL'!Z633</f>
        <v>0</v>
      </c>
      <c r="T550" s="70">
        <f>'RESUMEN TOTAL'!AA633</f>
        <v>0</v>
      </c>
      <c r="U550" s="70">
        <f>'RESUMEN TOTAL'!AB633</f>
        <v>0</v>
      </c>
      <c r="V550" s="70">
        <f>'RESUMEN TOTAL'!AC633</f>
        <v>0</v>
      </c>
      <c r="W550" s="70">
        <f>'RESUMEN TOTAL'!AD633</f>
        <v>0</v>
      </c>
      <c r="X550" s="70">
        <f>'RESUMEN TOTAL'!AE633</f>
        <v>0</v>
      </c>
      <c r="Y550" s="70">
        <f>'RESUMEN TOTAL'!AF633</f>
        <v>0</v>
      </c>
      <c r="Z550" s="70">
        <f>'RESUMEN TOTAL'!AG633</f>
        <v>0</v>
      </c>
      <c r="AA550" s="70">
        <f>'RESUMEN TOTAL'!AH633</f>
        <v>0</v>
      </c>
      <c r="AB550" s="70">
        <f>'RESUMEN TOTAL'!AI633</f>
        <v>0</v>
      </c>
      <c r="AC550" s="70">
        <f>'RESUMEN TOTAL'!AJ633</f>
        <v>0</v>
      </c>
      <c r="AD550" s="70">
        <f>'RESUMEN TOTAL'!AK633</f>
        <v>0</v>
      </c>
      <c r="AE550" s="70">
        <f>'RESUMEN TOTAL'!AL633</f>
        <v>0</v>
      </c>
      <c r="AF550" s="70">
        <f>'RESUMEN TOTAL'!AM633</f>
        <v>0</v>
      </c>
      <c r="AG550" s="70">
        <f>'RESUMEN TOTAL'!AN633</f>
        <v>0</v>
      </c>
      <c r="AH550" s="70">
        <f>'RESUMEN TOTAL'!AO633</f>
        <v>0</v>
      </c>
      <c r="AI550" s="70">
        <f>'RESUMEN TOTAL'!AP633</f>
        <v>0</v>
      </c>
    </row>
    <row r="551" spans="1:35" x14ac:dyDescent="0.25">
      <c r="A551">
        <f>'RESUMEN TOTAL'!A634</f>
        <v>0</v>
      </c>
      <c r="B551">
        <f>'RESUMEN TOTAL'!B634</f>
        <v>0</v>
      </c>
      <c r="C551">
        <f>'RESUMEN TOTAL'!D634</f>
        <v>0</v>
      </c>
      <c r="D551" s="30">
        <f>'RESUMEN TOTAL'!E634</f>
        <v>0</v>
      </c>
      <c r="E551" s="30">
        <f>'RESUMEN TOTAL'!F634</f>
        <v>0</v>
      </c>
      <c r="F551" s="70">
        <f>'RESUMEN TOTAL'!M634</f>
        <v>0</v>
      </c>
      <c r="G551" s="70">
        <f>'RESUMEN TOTAL'!N634</f>
        <v>0</v>
      </c>
      <c r="H551" s="70">
        <f>'RESUMEN TOTAL'!O634</f>
        <v>0</v>
      </c>
      <c r="I551" s="70">
        <f>'RESUMEN TOTAL'!P634</f>
        <v>0</v>
      </c>
      <c r="J551" s="70">
        <f>'RESUMEN TOTAL'!Q634</f>
        <v>0</v>
      </c>
      <c r="K551" s="70">
        <f>'RESUMEN TOTAL'!R634</f>
        <v>0</v>
      </c>
      <c r="L551" s="70">
        <f>'RESUMEN TOTAL'!S634</f>
        <v>0</v>
      </c>
      <c r="M551" s="70">
        <f>'RESUMEN TOTAL'!T634</f>
        <v>0</v>
      </c>
      <c r="N551" s="70">
        <f>'RESUMEN TOTAL'!U634</f>
        <v>0</v>
      </c>
      <c r="O551" s="70">
        <f>'RESUMEN TOTAL'!V634</f>
        <v>0</v>
      </c>
      <c r="P551" s="70">
        <f>'RESUMEN TOTAL'!W634</f>
        <v>0</v>
      </c>
      <c r="Q551" s="70">
        <f>'RESUMEN TOTAL'!X634</f>
        <v>0</v>
      </c>
      <c r="R551" s="70">
        <f>'RESUMEN TOTAL'!Y634</f>
        <v>0</v>
      </c>
      <c r="S551" s="70">
        <f>'RESUMEN TOTAL'!Z634</f>
        <v>0</v>
      </c>
      <c r="T551" s="70">
        <f>'RESUMEN TOTAL'!AA634</f>
        <v>0</v>
      </c>
      <c r="U551" s="70">
        <f>'RESUMEN TOTAL'!AB634</f>
        <v>0</v>
      </c>
      <c r="V551" s="70">
        <f>'RESUMEN TOTAL'!AC634</f>
        <v>0</v>
      </c>
      <c r="W551" s="70">
        <f>'RESUMEN TOTAL'!AD634</f>
        <v>0</v>
      </c>
      <c r="X551" s="70">
        <f>'RESUMEN TOTAL'!AE634</f>
        <v>0</v>
      </c>
      <c r="Y551" s="70">
        <f>'RESUMEN TOTAL'!AF634</f>
        <v>0</v>
      </c>
      <c r="Z551" s="70">
        <f>'RESUMEN TOTAL'!AG634</f>
        <v>0</v>
      </c>
      <c r="AA551" s="70">
        <f>'RESUMEN TOTAL'!AH634</f>
        <v>0</v>
      </c>
      <c r="AB551" s="70">
        <f>'RESUMEN TOTAL'!AI634</f>
        <v>0</v>
      </c>
      <c r="AC551" s="70">
        <f>'RESUMEN TOTAL'!AJ634</f>
        <v>0</v>
      </c>
      <c r="AD551" s="70">
        <f>'RESUMEN TOTAL'!AK634</f>
        <v>0</v>
      </c>
      <c r="AE551" s="70">
        <f>'RESUMEN TOTAL'!AL634</f>
        <v>0</v>
      </c>
      <c r="AF551" s="70">
        <f>'RESUMEN TOTAL'!AM634</f>
        <v>0</v>
      </c>
      <c r="AG551" s="70">
        <f>'RESUMEN TOTAL'!AN634</f>
        <v>0</v>
      </c>
      <c r="AH551" s="70">
        <f>'RESUMEN TOTAL'!AO634</f>
        <v>0</v>
      </c>
      <c r="AI551" s="70">
        <f>'RESUMEN TOTAL'!AP634</f>
        <v>0</v>
      </c>
    </row>
    <row r="552" spans="1:35" x14ac:dyDescent="0.25">
      <c r="A552">
        <f>'RESUMEN TOTAL'!A635</f>
        <v>0</v>
      </c>
      <c r="B552">
        <f>'RESUMEN TOTAL'!B635</f>
        <v>0</v>
      </c>
      <c r="C552">
        <f>'RESUMEN TOTAL'!D635</f>
        <v>0</v>
      </c>
      <c r="D552" s="30">
        <f>'RESUMEN TOTAL'!E635</f>
        <v>0</v>
      </c>
      <c r="E552" s="30">
        <f>'RESUMEN TOTAL'!F635</f>
        <v>0</v>
      </c>
      <c r="F552" s="70">
        <f>'RESUMEN TOTAL'!M635</f>
        <v>0</v>
      </c>
      <c r="G552" s="70">
        <f>'RESUMEN TOTAL'!N635</f>
        <v>0</v>
      </c>
      <c r="H552" s="70">
        <f>'RESUMEN TOTAL'!O635</f>
        <v>0</v>
      </c>
      <c r="I552" s="70">
        <f>'RESUMEN TOTAL'!P635</f>
        <v>0</v>
      </c>
      <c r="J552" s="70">
        <f>'RESUMEN TOTAL'!Q635</f>
        <v>0</v>
      </c>
      <c r="K552" s="70">
        <f>'RESUMEN TOTAL'!R635</f>
        <v>0</v>
      </c>
      <c r="L552" s="70">
        <f>'RESUMEN TOTAL'!S635</f>
        <v>0</v>
      </c>
      <c r="M552" s="70">
        <f>'RESUMEN TOTAL'!T635</f>
        <v>0</v>
      </c>
      <c r="N552" s="70">
        <f>'RESUMEN TOTAL'!U635</f>
        <v>0</v>
      </c>
      <c r="O552" s="70">
        <f>'RESUMEN TOTAL'!V635</f>
        <v>0</v>
      </c>
      <c r="P552" s="70">
        <f>'RESUMEN TOTAL'!W635</f>
        <v>0</v>
      </c>
      <c r="Q552" s="70">
        <f>'RESUMEN TOTAL'!X635</f>
        <v>0</v>
      </c>
      <c r="R552" s="70">
        <f>'RESUMEN TOTAL'!Y635</f>
        <v>0</v>
      </c>
      <c r="S552" s="70">
        <f>'RESUMEN TOTAL'!Z635</f>
        <v>0</v>
      </c>
      <c r="T552" s="70">
        <f>'RESUMEN TOTAL'!AA635</f>
        <v>0</v>
      </c>
      <c r="U552" s="70">
        <f>'RESUMEN TOTAL'!AB635</f>
        <v>0</v>
      </c>
      <c r="V552" s="70">
        <f>'RESUMEN TOTAL'!AC635</f>
        <v>0</v>
      </c>
      <c r="W552" s="70">
        <f>'RESUMEN TOTAL'!AD635</f>
        <v>0</v>
      </c>
      <c r="X552" s="70">
        <f>'RESUMEN TOTAL'!AE635</f>
        <v>0</v>
      </c>
      <c r="Y552" s="70">
        <f>'RESUMEN TOTAL'!AF635</f>
        <v>0</v>
      </c>
      <c r="Z552" s="70">
        <f>'RESUMEN TOTAL'!AG635</f>
        <v>0</v>
      </c>
      <c r="AA552" s="70">
        <f>'RESUMEN TOTAL'!AH635</f>
        <v>0</v>
      </c>
      <c r="AB552" s="70">
        <f>'RESUMEN TOTAL'!AI635</f>
        <v>0</v>
      </c>
      <c r="AC552" s="70">
        <f>'RESUMEN TOTAL'!AJ635</f>
        <v>0</v>
      </c>
      <c r="AD552" s="70">
        <f>'RESUMEN TOTAL'!AK635</f>
        <v>0</v>
      </c>
      <c r="AE552" s="70">
        <f>'RESUMEN TOTAL'!AL635</f>
        <v>0</v>
      </c>
      <c r="AF552" s="70">
        <f>'RESUMEN TOTAL'!AM635</f>
        <v>0</v>
      </c>
      <c r="AG552" s="70">
        <f>'RESUMEN TOTAL'!AN635</f>
        <v>0</v>
      </c>
      <c r="AH552" s="70">
        <f>'RESUMEN TOTAL'!AO635</f>
        <v>0</v>
      </c>
      <c r="AI552" s="70">
        <f>'RESUMEN TOTAL'!AP635</f>
        <v>0</v>
      </c>
    </row>
    <row r="553" spans="1:35" x14ac:dyDescent="0.25">
      <c r="A553">
        <f>'RESUMEN TOTAL'!A636</f>
        <v>0</v>
      </c>
      <c r="B553">
        <f>'RESUMEN TOTAL'!B636</f>
        <v>0</v>
      </c>
      <c r="C553">
        <f>'RESUMEN TOTAL'!D636</f>
        <v>0</v>
      </c>
      <c r="D553" s="30">
        <f>'RESUMEN TOTAL'!E636</f>
        <v>0</v>
      </c>
      <c r="E553" s="30">
        <f>'RESUMEN TOTAL'!F636</f>
        <v>0</v>
      </c>
      <c r="F553" s="70">
        <f>'RESUMEN TOTAL'!M636</f>
        <v>0</v>
      </c>
      <c r="G553" s="70">
        <f>'RESUMEN TOTAL'!N636</f>
        <v>0</v>
      </c>
      <c r="H553" s="70">
        <f>'RESUMEN TOTAL'!O636</f>
        <v>0</v>
      </c>
      <c r="I553" s="70">
        <f>'RESUMEN TOTAL'!P636</f>
        <v>0</v>
      </c>
      <c r="J553" s="70">
        <f>'RESUMEN TOTAL'!Q636</f>
        <v>0</v>
      </c>
      <c r="K553" s="70">
        <f>'RESUMEN TOTAL'!R636</f>
        <v>0</v>
      </c>
      <c r="L553" s="70">
        <f>'RESUMEN TOTAL'!S636</f>
        <v>0</v>
      </c>
      <c r="M553" s="70">
        <f>'RESUMEN TOTAL'!T636</f>
        <v>0</v>
      </c>
      <c r="N553" s="70">
        <f>'RESUMEN TOTAL'!U636</f>
        <v>0</v>
      </c>
      <c r="O553" s="70">
        <f>'RESUMEN TOTAL'!V636</f>
        <v>0</v>
      </c>
      <c r="P553" s="70">
        <f>'RESUMEN TOTAL'!W636</f>
        <v>0</v>
      </c>
      <c r="Q553" s="70">
        <f>'RESUMEN TOTAL'!X636</f>
        <v>0</v>
      </c>
      <c r="R553" s="70">
        <f>'RESUMEN TOTAL'!Y636</f>
        <v>0</v>
      </c>
      <c r="S553" s="70">
        <f>'RESUMEN TOTAL'!Z636</f>
        <v>0</v>
      </c>
      <c r="T553" s="70">
        <f>'RESUMEN TOTAL'!AA636</f>
        <v>0</v>
      </c>
      <c r="U553" s="70">
        <f>'RESUMEN TOTAL'!AB636</f>
        <v>0</v>
      </c>
      <c r="V553" s="70">
        <f>'RESUMEN TOTAL'!AC636</f>
        <v>0</v>
      </c>
      <c r="W553" s="70">
        <f>'RESUMEN TOTAL'!AD636</f>
        <v>0</v>
      </c>
      <c r="X553" s="70">
        <f>'RESUMEN TOTAL'!AE636</f>
        <v>0</v>
      </c>
      <c r="Y553" s="70">
        <f>'RESUMEN TOTAL'!AF636</f>
        <v>0</v>
      </c>
      <c r="Z553" s="70">
        <f>'RESUMEN TOTAL'!AG636</f>
        <v>0</v>
      </c>
      <c r="AA553" s="70">
        <f>'RESUMEN TOTAL'!AH636</f>
        <v>0</v>
      </c>
      <c r="AB553" s="70">
        <f>'RESUMEN TOTAL'!AI636</f>
        <v>0</v>
      </c>
      <c r="AC553" s="70">
        <f>'RESUMEN TOTAL'!AJ636</f>
        <v>0</v>
      </c>
      <c r="AD553" s="70">
        <f>'RESUMEN TOTAL'!AK636</f>
        <v>0</v>
      </c>
      <c r="AE553" s="70">
        <f>'RESUMEN TOTAL'!AL636</f>
        <v>0</v>
      </c>
      <c r="AF553" s="70">
        <f>'RESUMEN TOTAL'!AM636</f>
        <v>0</v>
      </c>
      <c r="AG553" s="70">
        <f>'RESUMEN TOTAL'!AN636</f>
        <v>0</v>
      </c>
      <c r="AH553" s="70">
        <f>'RESUMEN TOTAL'!AO636</f>
        <v>0</v>
      </c>
      <c r="AI553" s="70">
        <f>'RESUMEN TOTAL'!AP636</f>
        <v>0</v>
      </c>
    </row>
    <row r="554" spans="1:35" x14ac:dyDescent="0.25">
      <c r="A554">
        <f>'RESUMEN TOTAL'!A637</f>
        <v>0</v>
      </c>
      <c r="B554">
        <f>'RESUMEN TOTAL'!B637</f>
        <v>0</v>
      </c>
      <c r="C554">
        <f>'RESUMEN TOTAL'!D637</f>
        <v>0</v>
      </c>
      <c r="D554" s="30">
        <f>'RESUMEN TOTAL'!E637</f>
        <v>0</v>
      </c>
      <c r="E554" s="30">
        <f>'RESUMEN TOTAL'!F637</f>
        <v>0</v>
      </c>
      <c r="F554" s="70">
        <f>'RESUMEN TOTAL'!M637</f>
        <v>0</v>
      </c>
      <c r="G554" s="70">
        <f>'RESUMEN TOTAL'!N637</f>
        <v>0</v>
      </c>
      <c r="H554" s="70">
        <f>'RESUMEN TOTAL'!O637</f>
        <v>0</v>
      </c>
      <c r="I554" s="70">
        <f>'RESUMEN TOTAL'!P637</f>
        <v>0</v>
      </c>
      <c r="J554" s="70">
        <f>'RESUMEN TOTAL'!Q637</f>
        <v>0</v>
      </c>
      <c r="K554" s="70">
        <f>'RESUMEN TOTAL'!R637</f>
        <v>0</v>
      </c>
      <c r="L554" s="70">
        <f>'RESUMEN TOTAL'!S637</f>
        <v>0</v>
      </c>
      <c r="M554" s="70">
        <f>'RESUMEN TOTAL'!T637</f>
        <v>0</v>
      </c>
      <c r="N554" s="70">
        <f>'RESUMEN TOTAL'!U637</f>
        <v>0</v>
      </c>
      <c r="O554" s="70">
        <f>'RESUMEN TOTAL'!V637</f>
        <v>0</v>
      </c>
      <c r="P554" s="70">
        <f>'RESUMEN TOTAL'!W637</f>
        <v>0</v>
      </c>
      <c r="Q554" s="70">
        <f>'RESUMEN TOTAL'!X637</f>
        <v>0</v>
      </c>
      <c r="R554" s="70">
        <f>'RESUMEN TOTAL'!Y637</f>
        <v>0</v>
      </c>
      <c r="S554" s="70">
        <f>'RESUMEN TOTAL'!Z637</f>
        <v>0</v>
      </c>
      <c r="T554" s="70">
        <f>'RESUMEN TOTAL'!AA637</f>
        <v>0</v>
      </c>
      <c r="U554" s="70">
        <f>'RESUMEN TOTAL'!AB637</f>
        <v>0</v>
      </c>
      <c r="V554" s="70">
        <f>'RESUMEN TOTAL'!AC637</f>
        <v>0</v>
      </c>
      <c r="W554" s="70">
        <f>'RESUMEN TOTAL'!AD637</f>
        <v>0</v>
      </c>
      <c r="X554" s="70">
        <f>'RESUMEN TOTAL'!AE637</f>
        <v>0</v>
      </c>
      <c r="Y554" s="70">
        <f>'RESUMEN TOTAL'!AF637</f>
        <v>0</v>
      </c>
      <c r="Z554" s="70">
        <f>'RESUMEN TOTAL'!AG637</f>
        <v>0</v>
      </c>
      <c r="AA554" s="70">
        <f>'RESUMEN TOTAL'!AH637</f>
        <v>0</v>
      </c>
      <c r="AB554" s="70">
        <f>'RESUMEN TOTAL'!AI637</f>
        <v>0</v>
      </c>
      <c r="AC554" s="70">
        <f>'RESUMEN TOTAL'!AJ637</f>
        <v>0</v>
      </c>
      <c r="AD554" s="70">
        <f>'RESUMEN TOTAL'!AK637</f>
        <v>0</v>
      </c>
      <c r="AE554" s="70">
        <f>'RESUMEN TOTAL'!AL637</f>
        <v>0</v>
      </c>
      <c r="AF554" s="70">
        <f>'RESUMEN TOTAL'!AM637</f>
        <v>0</v>
      </c>
      <c r="AG554" s="70">
        <f>'RESUMEN TOTAL'!AN637</f>
        <v>0</v>
      </c>
      <c r="AH554" s="70">
        <f>'RESUMEN TOTAL'!AO637</f>
        <v>0</v>
      </c>
      <c r="AI554" s="70">
        <f>'RESUMEN TOTAL'!AP637</f>
        <v>0</v>
      </c>
    </row>
    <row r="555" spans="1:35" x14ac:dyDescent="0.25">
      <c r="A555">
        <f>'RESUMEN TOTAL'!A638</f>
        <v>0</v>
      </c>
      <c r="B555">
        <f>'RESUMEN TOTAL'!B638</f>
        <v>0</v>
      </c>
      <c r="C555">
        <f>'RESUMEN TOTAL'!D638</f>
        <v>0</v>
      </c>
      <c r="D555" s="30">
        <f>'RESUMEN TOTAL'!E638</f>
        <v>0</v>
      </c>
      <c r="E555" s="30">
        <f>'RESUMEN TOTAL'!F638</f>
        <v>0</v>
      </c>
      <c r="F555" s="70">
        <f>'RESUMEN TOTAL'!M638</f>
        <v>0</v>
      </c>
      <c r="G555" s="70">
        <f>'RESUMEN TOTAL'!N638</f>
        <v>0</v>
      </c>
      <c r="H555" s="70">
        <f>'RESUMEN TOTAL'!O638</f>
        <v>0</v>
      </c>
      <c r="I555" s="70">
        <f>'RESUMEN TOTAL'!P638</f>
        <v>0</v>
      </c>
      <c r="J555" s="70">
        <f>'RESUMEN TOTAL'!Q638</f>
        <v>0</v>
      </c>
      <c r="K555" s="70">
        <f>'RESUMEN TOTAL'!R638</f>
        <v>0</v>
      </c>
      <c r="L555" s="70">
        <f>'RESUMEN TOTAL'!S638</f>
        <v>0</v>
      </c>
      <c r="M555" s="70">
        <f>'RESUMEN TOTAL'!T638</f>
        <v>0</v>
      </c>
      <c r="N555" s="70">
        <f>'RESUMEN TOTAL'!U638</f>
        <v>0</v>
      </c>
      <c r="O555" s="70">
        <f>'RESUMEN TOTAL'!V638</f>
        <v>0</v>
      </c>
      <c r="P555" s="70">
        <f>'RESUMEN TOTAL'!W638</f>
        <v>0</v>
      </c>
      <c r="Q555" s="70">
        <f>'RESUMEN TOTAL'!X638</f>
        <v>0</v>
      </c>
      <c r="R555" s="70">
        <f>'RESUMEN TOTAL'!Y638</f>
        <v>0</v>
      </c>
      <c r="S555" s="70">
        <f>'RESUMEN TOTAL'!Z638</f>
        <v>0</v>
      </c>
      <c r="T555" s="70">
        <f>'RESUMEN TOTAL'!AA638</f>
        <v>0</v>
      </c>
      <c r="U555" s="70">
        <f>'RESUMEN TOTAL'!AB638</f>
        <v>0</v>
      </c>
      <c r="V555" s="70">
        <f>'RESUMEN TOTAL'!AC638</f>
        <v>0</v>
      </c>
      <c r="W555" s="70">
        <f>'RESUMEN TOTAL'!AD638</f>
        <v>0</v>
      </c>
      <c r="X555" s="70">
        <f>'RESUMEN TOTAL'!AE638</f>
        <v>0</v>
      </c>
      <c r="Y555" s="70">
        <f>'RESUMEN TOTAL'!AF638</f>
        <v>0</v>
      </c>
      <c r="Z555" s="70">
        <f>'RESUMEN TOTAL'!AG638</f>
        <v>0</v>
      </c>
      <c r="AA555" s="70">
        <f>'RESUMEN TOTAL'!AH638</f>
        <v>0</v>
      </c>
      <c r="AB555" s="70">
        <f>'RESUMEN TOTAL'!AI638</f>
        <v>0</v>
      </c>
      <c r="AC555" s="70">
        <f>'RESUMEN TOTAL'!AJ638</f>
        <v>0</v>
      </c>
      <c r="AD555" s="70">
        <f>'RESUMEN TOTAL'!AK638</f>
        <v>0</v>
      </c>
      <c r="AE555" s="70">
        <f>'RESUMEN TOTAL'!AL638</f>
        <v>0</v>
      </c>
      <c r="AF555" s="70">
        <f>'RESUMEN TOTAL'!AM638</f>
        <v>0</v>
      </c>
      <c r="AG555" s="70">
        <f>'RESUMEN TOTAL'!AN638</f>
        <v>0</v>
      </c>
      <c r="AH555" s="70">
        <f>'RESUMEN TOTAL'!AO638</f>
        <v>0</v>
      </c>
      <c r="AI555" s="70">
        <f>'RESUMEN TOTAL'!AP638</f>
        <v>0</v>
      </c>
    </row>
    <row r="556" spans="1:35" x14ac:dyDescent="0.25">
      <c r="A556">
        <f>'RESUMEN TOTAL'!A639</f>
        <v>0</v>
      </c>
      <c r="B556">
        <f>'RESUMEN TOTAL'!B639</f>
        <v>0</v>
      </c>
      <c r="C556">
        <f>'RESUMEN TOTAL'!D639</f>
        <v>0</v>
      </c>
      <c r="D556" s="30">
        <f>'RESUMEN TOTAL'!E639</f>
        <v>0</v>
      </c>
      <c r="E556" s="30">
        <f>'RESUMEN TOTAL'!F639</f>
        <v>0</v>
      </c>
      <c r="F556" s="70">
        <f>'RESUMEN TOTAL'!M639</f>
        <v>0</v>
      </c>
      <c r="G556" s="70">
        <f>'RESUMEN TOTAL'!N639</f>
        <v>0</v>
      </c>
      <c r="H556" s="70">
        <f>'RESUMEN TOTAL'!O639</f>
        <v>0</v>
      </c>
      <c r="I556" s="70">
        <f>'RESUMEN TOTAL'!P639</f>
        <v>0</v>
      </c>
      <c r="J556" s="70">
        <f>'RESUMEN TOTAL'!Q639</f>
        <v>0</v>
      </c>
      <c r="K556" s="70">
        <f>'RESUMEN TOTAL'!R639</f>
        <v>0</v>
      </c>
      <c r="L556" s="70">
        <f>'RESUMEN TOTAL'!S639</f>
        <v>0</v>
      </c>
      <c r="M556" s="70">
        <f>'RESUMEN TOTAL'!T639</f>
        <v>0</v>
      </c>
      <c r="N556" s="70">
        <f>'RESUMEN TOTAL'!U639</f>
        <v>0</v>
      </c>
      <c r="O556" s="70">
        <f>'RESUMEN TOTAL'!V639</f>
        <v>0</v>
      </c>
      <c r="P556" s="70">
        <f>'RESUMEN TOTAL'!W639</f>
        <v>0</v>
      </c>
      <c r="Q556" s="70">
        <f>'RESUMEN TOTAL'!X639</f>
        <v>0</v>
      </c>
      <c r="R556" s="70">
        <f>'RESUMEN TOTAL'!Y639</f>
        <v>0</v>
      </c>
      <c r="S556" s="70">
        <f>'RESUMEN TOTAL'!Z639</f>
        <v>0</v>
      </c>
      <c r="T556" s="70">
        <f>'RESUMEN TOTAL'!AA639</f>
        <v>0</v>
      </c>
      <c r="U556" s="70">
        <f>'RESUMEN TOTAL'!AB639</f>
        <v>0</v>
      </c>
      <c r="V556" s="70">
        <f>'RESUMEN TOTAL'!AC639</f>
        <v>0</v>
      </c>
      <c r="W556" s="70">
        <f>'RESUMEN TOTAL'!AD639</f>
        <v>0</v>
      </c>
      <c r="X556" s="70">
        <f>'RESUMEN TOTAL'!AE639</f>
        <v>0</v>
      </c>
      <c r="Y556" s="70">
        <f>'RESUMEN TOTAL'!AF639</f>
        <v>0</v>
      </c>
      <c r="Z556" s="70">
        <f>'RESUMEN TOTAL'!AG639</f>
        <v>0</v>
      </c>
      <c r="AA556" s="70">
        <f>'RESUMEN TOTAL'!AH639</f>
        <v>0</v>
      </c>
      <c r="AB556" s="70">
        <f>'RESUMEN TOTAL'!AI639</f>
        <v>0</v>
      </c>
      <c r="AC556" s="70">
        <f>'RESUMEN TOTAL'!AJ639</f>
        <v>0</v>
      </c>
      <c r="AD556" s="70">
        <f>'RESUMEN TOTAL'!AK639</f>
        <v>0</v>
      </c>
      <c r="AE556" s="70">
        <f>'RESUMEN TOTAL'!AL639</f>
        <v>0</v>
      </c>
      <c r="AF556" s="70">
        <f>'RESUMEN TOTAL'!AM639</f>
        <v>0</v>
      </c>
      <c r="AG556" s="70">
        <f>'RESUMEN TOTAL'!AN639</f>
        <v>0</v>
      </c>
      <c r="AH556" s="70">
        <f>'RESUMEN TOTAL'!AO639</f>
        <v>0</v>
      </c>
      <c r="AI556" s="70">
        <f>'RESUMEN TOTAL'!AP639</f>
        <v>0</v>
      </c>
    </row>
    <row r="557" spans="1:35" x14ac:dyDescent="0.25">
      <c r="A557">
        <f>'RESUMEN TOTAL'!A640</f>
        <v>0</v>
      </c>
      <c r="B557">
        <f>'RESUMEN TOTAL'!B640</f>
        <v>0</v>
      </c>
      <c r="C557">
        <f>'RESUMEN TOTAL'!D640</f>
        <v>0</v>
      </c>
      <c r="D557" s="30">
        <f>'RESUMEN TOTAL'!E640</f>
        <v>0</v>
      </c>
      <c r="E557" s="30">
        <f>'RESUMEN TOTAL'!F640</f>
        <v>0</v>
      </c>
      <c r="F557" s="70">
        <f>'RESUMEN TOTAL'!M640</f>
        <v>0</v>
      </c>
      <c r="G557" s="70">
        <f>'RESUMEN TOTAL'!N640</f>
        <v>0</v>
      </c>
      <c r="H557" s="70">
        <f>'RESUMEN TOTAL'!O640</f>
        <v>0</v>
      </c>
      <c r="I557" s="70">
        <f>'RESUMEN TOTAL'!P640</f>
        <v>0</v>
      </c>
      <c r="J557" s="70">
        <f>'RESUMEN TOTAL'!Q640</f>
        <v>0</v>
      </c>
      <c r="K557" s="70">
        <f>'RESUMEN TOTAL'!R640</f>
        <v>0</v>
      </c>
      <c r="L557" s="70">
        <f>'RESUMEN TOTAL'!S640</f>
        <v>0</v>
      </c>
      <c r="M557" s="70">
        <f>'RESUMEN TOTAL'!T640</f>
        <v>0</v>
      </c>
      <c r="N557" s="70">
        <f>'RESUMEN TOTAL'!U640</f>
        <v>0</v>
      </c>
      <c r="O557" s="70">
        <f>'RESUMEN TOTAL'!V640</f>
        <v>0</v>
      </c>
      <c r="P557" s="70">
        <f>'RESUMEN TOTAL'!W640</f>
        <v>0</v>
      </c>
      <c r="Q557" s="70">
        <f>'RESUMEN TOTAL'!X640</f>
        <v>0</v>
      </c>
      <c r="R557" s="70">
        <f>'RESUMEN TOTAL'!Y640</f>
        <v>0</v>
      </c>
      <c r="S557" s="70">
        <f>'RESUMEN TOTAL'!Z640</f>
        <v>0</v>
      </c>
      <c r="T557" s="70">
        <f>'RESUMEN TOTAL'!AA640</f>
        <v>0</v>
      </c>
      <c r="U557" s="70">
        <f>'RESUMEN TOTAL'!AB640</f>
        <v>0</v>
      </c>
      <c r="V557" s="70">
        <f>'RESUMEN TOTAL'!AC640</f>
        <v>0</v>
      </c>
      <c r="W557" s="70">
        <f>'RESUMEN TOTAL'!AD640</f>
        <v>0</v>
      </c>
      <c r="X557" s="70">
        <f>'RESUMEN TOTAL'!AE640</f>
        <v>0</v>
      </c>
      <c r="Y557" s="70">
        <f>'RESUMEN TOTAL'!AF640</f>
        <v>0</v>
      </c>
      <c r="Z557" s="70">
        <f>'RESUMEN TOTAL'!AG640</f>
        <v>0</v>
      </c>
      <c r="AA557" s="70">
        <f>'RESUMEN TOTAL'!AH640</f>
        <v>0</v>
      </c>
      <c r="AB557" s="70">
        <f>'RESUMEN TOTAL'!AI640</f>
        <v>0</v>
      </c>
      <c r="AC557" s="70">
        <f>'RESUMEN TOTAL'!AJ640</f>
        <v>0</v>
      </c>
      <c r="AD557" s="70">
        <f>'RESUMEN TOTAL'!AK640</f>
        <v>0</v>
      </c>
      <c r="AE557" s="70">
        <f>'RESUMEN TOTAL'!AL640</f>
        <v>0</v>
      </c>
      <c r="AF557" s="70">
        <f>'RESUMEN TOTAL'!AM640</f>
        <v>0</v>
      </c>
      <c r="AG557" s="70">
        <f>'RESUMEN TOTAL'!AN640</f>
        <v>0</v>
      </c>
      <c r="AH557" s="70">
        <f>'RESUMEN TOTAL'!AO640</f>
        <v>0</v>
      </c>
      <c r="AI557" s="70">
        <f>'RESUMEN TOTAL'!AP640</f>
        <v>0</v>
      </c>
    </row>
    <row r="558" spans="1:35" x14ac:dyDescent="0.25">
      <c r="A558">
        <f>'RESUMEN TOTAL'!A641</f>
        <v>0</v>
      </c>
      <c r="B558">
        <f>'RESUMEN TOTAL'!B641</f>
        <v>0</v>
      </c>
      <c r="C558">
        <f>'RESUMEN TOTAL'!D641</f>
        <v>0</v>
      </c>
      <c r="D558" s="30">
        <f>'RESUMEN TOTAL'!E641</f>
        <v>0</v>
      </c>
      <c r="E558" s="30">
        <f>'RESUMEN TOTAL'!F641</f>
        <v>0</v>
      </c>
      <c r="F558" s="70">
        <f>'RESUMEN TOTAL'!M641</f>
        <v>0</v>
      </c>
      <c r="G558" s="70">
        <f>'RESUMEN TOTAL'!N641</f>
        <v>0</v>
      </c>
      <c r="H558" s="70">
        <f>'RESUMEN TOTAL'!O641</f>
        <v>0</v>
      </c>
      <c r="I558" s="70">
        <f>'RESUMEN TOTAL'!P641</f>
        <v>0</v>
      </c>
      <c r="J558" s="70">
        <f>'RESUMEN TOTAL'!Q641</f>
        <v>0</v>
      </c>
      <c r="K558" s="70">
        <f>'RESUMEN TOTAL'!R641</f>
        <v>0</v>
      </c>
      <c r="L558" s="70">
        <f>'RESUMEN TOTAL'!S641</f>
        <v>0</v>
      </c>
      <c r="M558" s="70">
        <f>'RESUMEN TOTAL'!T641</f>
        <v>0</v>
      </c>
      <c r="N558" s="70">
        <f>'RESUMEN TOTAL'!U641</f>
        <v>0</v>
      </c>
      <c r="O558" s="70">
        <f>'RESUMEN TOTAL'!V641</f>
        <v>0</v>
      </c>
      <c r="P558" s="70">
        <f>'RESUMEN TOTAL'!W641</f>
        <v>0</v>
      </c>
      <c r="Q558" s="70">
        <f>'RESUMEN TOTAL'!X641</f>
        <v>0</v>
      </c>
      <c r="R558" s="70">
        <f>'RESUMEN TOTAL'!Y641</f>
        <v>0</v>
      </c>
      <c r="S558" s="70">
        <f>'RESUMEN TOTAL'!Z641</f>
        <v>0</v>
      </c>
      <c r="T558" s="70">
        <f>'RESUMEN TOTAL'!AA641</f>
        <v>0</v>
      </c>
      <c r="U558" s="70">
        <f>'RESUMEN TOTAL'!AB641</f>
        <v>0</v>
      </c>
      <c r="V558" s="70">
        <f>'RESUMEN TOTAL'!AC641</f>
        <v>0</v>
      </c>
      <c r="W558" s="70">
        <f>'RESUMEN TOTAL'!AD641</f>
        <v>0</v>
      </c>
      <c r="X558" s="70">
        <f>'RESUMEN TOTAL'!AE641</f>
        <v>0</v>
      </c>
      <c r="Y558" s="70">
        <f>'RESUMEN TOTAL'!AF641</f>
        <v>0</v>
      </c>
      <c r="Z558" s="70">
        <f>'RESUMEN TOTAL'!AG641</f>
        <v>0</v>
      </c>
      <c r="AA558" s="70">
        <f>'RESUMEN TOTAL'!AH641</f>
        <v>0</v>
      </c>
      <c r="AB558" s="70">
        <f>'RESUMEN TOTAL'!AI641</f>
        <v>0</v>
      </c>
      <c r="AC558" s="70">
        <f>'RESUMEN TOTAL'!AJ641</f>
        <v>0</v>
      </c>
      <c r="AD558" s="70">
        <f>'RESUMEN TOTAL'!AK641</f>
        <v>0</v>
      </c>
      <c r="AE558" s="70">
        <f>'RESUMEN TOTAL'!AL641</f>
        <v>0</v>
      </c>
      <c r="AF558" s="70">
        <f>'RESUMEN TOTAL'!AM641</f>
        <v>0</v>
      </c>
      <c r="AG558" s="70">
        <f>'RESUMEN TOTAL'!AN641</f>
        <v>0</v>
      </c>
      <c r="AH558" s="70">
        <f>'RESUMEN TOTAL'!AO641</f>
        <v>0</v>
      </c>
      <c r="AI558" s="70">
        <f>'RESUMEN TOTAL'!AP641</f>
        <v>0</v>
      </c>
    </row>
    <row r="559" spans="1:35" x14ac:dyDescent="0.25">
      <c r="A559">
        <f>'RESUMEN TOTAL'!A642</f>
        <v>0</v>
      </c>
      <c r="B559">
        <f>'RESUMEN TOTAL'!B642</f>
        <v>0</v>
      </c>
      <c r="C559">
        <f>'RESUMEN TOTAL'!D642</f>
        <v>0</v>
      </c>
      <c r="D559" s="30">
        <f>'RESUMEN TOTAL'!E642</f>
        <v>0</v>
      </c>
      <c r="E559" s="30">
        <f>'RESUMEN TOTAL'!F642</f>
        <v>0</v>
      </c>
      <c r="F559" s="70">
        <f>'RESUMEN TOTAL'!M642</f>
        <v>0</v>
      </c>
      <c r="G559" s="70">
        <f>'RESUMEN TOTAL'!N642</f>
        <v>0</v>
      </c>
      <c r="H559" s="70">
        <f>'RESUMEN TOTAL'!O642</f>
        <v>0</v>
      </c>
      <c r="I559" s="70">
        <f>'RESUMEN TOTAL'!P642</f>
        <v>0</v>
      </c>
      <c r="J559" s="70">
        <f>'RESUMEN TOTAL'!Q642</f>
        <v>0</v>
      </c>
      <c r="K559" s="70">
        <f>'RESUMEN TOTAL'!R642</f>
        <v>0</v>
      </c>
      <c r="L559" s="70">
        <f>'RESUMEN TOTAL'!S642</f>
        <v>0</v>
      </c>
      <c r="M559" s="70">
        <f>'RESUMEN TOTAL'!T642</f>
        <v>0</v>
      </c>
      <c r="N559" s="70">
        <f>'RESUMEN TOTAL'!U642</f>
        <v>0</v>
      </c>
      <c r="O559" s="70">
        <f>'RESUMEN TOTAL'!V642</f>
        <v>0</v>
      </c>
      <c r="P559" s="70">
        <f>'RESUMEN TOTAL'!W642</f>
        <v>0</v>
      </c>
      <c r="Q559" s="70">
        <f>'RESUMEN TOTAL'!X642</f>
        <v>0</v>
      </c>
      <c r="R559" s="70">
        <f>'RESUMEN TOTAL'!Y642</f>
        <v>0</v>
      </c>
      <c r="S559" s="70">
        <f>'RESUMEN TOTAL'!Z642</f>
        <v>0</v>
      </c>
      <c r="T559" s="70">
        <f>'RESUMEN TOTAL'!AA642</f>
        <v>0</v>
      </c>
      <c r="U559" s="70">
        <f>'RESUMEN TOTAL'!AB642</f>
        <v>0</v>
      </c>
      <c r="V559" s="70">
        <f>'RESUMEN TOTAL'!AC642</f>
        <v>0</v>
      </c>
      <c r="W559" s="70">
        <f>'RESUMEN TOTAL'!AD642</f>
        <v>0</v>
      </c>
      <c r="X559" s="70">
        <f>'RESUMEN TOTAL'!AE642</f>
        <v>0</v>
      </c>
      <c r="Y559" s="70">
        <f>'RESUMEN TOTAL'!AF642</f>
        <v>0</v>
      </c>
      <c r="Z559" s="70">
        <f>'RESUMEN TOTAL'!AG642</f>
        <v>0</v>
      </c>
      <c r="AA559" s="70">
        <f>'RESUMEN TOTAL'!AH642</f>
        <v>0</v>
      </c>
      <c r="AB559" s="70">
        <f>'RESUMEN TOTAL'!AI642</f>
        <v>0</v>
      </c>
      <c r="AC559" s="70">
        <f>'RESUMEN TOTAL'!AJ642</f>
        <v>0</v>
      </c>
      <c r="AD559" s="70">
        <f>'RESUMEN TOTAL'!AK642</f>
        <v>0</v>
      </c>
      <c r="AE559" s="70">
        <f>'RESUMEN TOTAL'!AL642</f>
        <v>0</v>
      </c>
      <c r="AF559" s="70">
        <f>'RESUMEN TOTAL'!AM642</f>
        <v>0</v>
      </c>
      <c r="AG559" s="70">
        <f>'RESUMEN TOTAL'!AN642</f>
        <v>0</v>
      </c>
      <c r="AH559" s="70">
        <f>'RESUMEN TOTAL'!AO642</f>
        <v>0</v>
      </c>
      <c r="AI559" s="70">
        <f>'RESUMEN TOTAL'!AP642</f>
        <v>0</v>
      </c>
    </row>
    <row r="560" spans="1:35" x14ac:dyDescent="0.25">
      <c r="A560">
        <f>'RESUMEN TOTAL'!A643</f>
        <v>0</v>
      </c>
      <c r="B560">
        <f>'RESUMEN TOTAL'!B643</f>
        <v>0</v>
      </c>
      <c r="C560">
        <f>'RESUMEN TOTAL'!D643</f>
        <v>0</v>
      </c>
      <c r="D560" s="30">
        <f>'RESUMEN TOTAL'!E643</f>
        <v>0</v>
      </c>
      <c r="E560" s="30">
        <f>'RESUMEN TOTAL'!F643</f>
        <v>0</v>
      </c>
      <c r="F560" s="70">
        <f>'RESUMEN TOTAL'!M643</f>
        <v>0</v>
      </c>
      <c r="G560" s="70">
        <f>'RESUMEN TOTAL'!N643</f>
        <v>0</v>
      </c>
      <c r="H560" s="70">
        <f>'RESUMEN TOTAL'!O643</f>
        <v>0</v>
      </c>
      <c r="I560" s="70">
        <f>'RESUMEN TOTAL'!P643</f>
        <v>0</v>
      </c>
      <c r="J560" s="70">
        <f>'RESUMEN TOTAL'!Q643</f>
        <v>0</v>
      </c>
      <c r="K560" s="70">
        <f>'RESUMEN TOTAL'!R643</f>
        <v>0</v>
      </c>
      <c r="L560" s="70">
        <f>'RESUMEN TOTAL'!S643</f>
        <v>0</v>
      </c>
      <c r="M560" s="70">
        <f>'RESUMEN TOTAL'!T643</f>
        <v>0</v>
      </c>
      <c r="N560" s="70">
        <f>'RESUMEN TOTAL'!U643</f>
        <v>0</v>
      </c>
      <c r="O560" s="70">
        <f>'RESUMEN TOTAL'!V643</f>
        <v>0</v>
      </c>
      <c r="P560" s="70">
        <f>'RESUMEN TOTAL'!W643</f>
        <v>0</v>
      </c>
      <c r="Q560" s="70">
        <f>'RESUMEN TOTAL'!X643</f>
        <v>0</v>
      </c>
      <c r="R560" s="70">
        <f>'RESUMEN TOTAL'!Y643</f>
        <v>0</v>
      </c>
      <c r="S560" s="70">
        <f>'RESUMEN TOTAL'!Z643</f>
        <v>0</v>
      </c>
      <c r="T560" s="70">
        <f>'RESUMEN TOTAL'!AA643</f>
        <v>0</v>
      </c>
      <c r="U560" s="70">
        <f>'RESUMEN TOTAL'!AB643</f>
        <v>0</v>
      </c>
      <c r="V560" s="70">
        <f>'RESUMEN TOTAL'!AC643</f>
        <v>0</v>
      </c>
      <c r="W560" s="70">
        <f>'RESUMEN TOTAL'!AD643</f>
        <v>0</v>
      </c>
      <c r="X560" s="70">
        <f>'RESUMEN TOTAL'!AE643</f>
        <v>0</v>
      </c>
      <c r="Y560" s="70">
        <f>'RESUMEN TOTAL'!AF643</f>
        <v>0</v>
      </c>
      <c r="Z560" s="70">
        <f>'RESUMEN TOTAL'!AG643</f>
        <v>0</v>
      </c>
      <c r="AA560" s="70">
        <f>'RESUMEN TOTAL'!AH643</f>
        <v>0</v>
      </c>
      <c r="AB560" s="70">
        <f>'RESUMEN TOTAL'!AI643</f>
        <v>0</v>
      </c>
      <c r="AC560" s="70">
        <f>'RESUMEN TOTAL'!AJ643</f>
        <v>0</v>
      </c>
      <c r="AD560" s="70">
        <f>'RESUMEN TOTAL'!AK643</f>
        <v>0</v>
      </c>
      <c r="AE560" s="70">
        <f>'RESUMEN TOTAL'!AL643</f>
        <v>0</v>
      </c>
      <c r="AF560" s="70">
        <f>'RESUMEN TOTAL'!AM643</f>
        <v>0</v>
      </c>
      <c r="AG560" s="70">
        <f>'RESUMEN TOTAL'!AN643</f>
        <v>0</v>
      </c>
      <c r="AH560" s="70">
        <f>'RESUMEN TOTAL'!AO643</f>
        <v>0</v>
      </c>
      <c r="AI560" s="70">
        <f>'RESUMEN TOTAL'!AP643</f>
        <v>0</v>
      </c>
    </row>
    <row r="561" spans="1:35" x14ac:dyDescent="0.25">
      <c r="A561">
        <f>'RESUMEN TOTAL'!A644</f>
        <v>0</v>
      </c>
      <c r="B561">
        <f>'RESUMEN TOTAL'!B644</f>
        <v>0</v>
      </c>
      <c r="C561">
        <f>'RESUMEN TOTAL'!D644</f>
        <v>0</v>
      </c>
      <c r="D561" s="30">
        <f>'RESUMEN TOTAL'!E644</f>
        <v>0</v>
      </c>
      <c r="E561" s="30">
        <f>'RESUMEN TOTAL'!F644</f>
        <v>0</v>
      </c>
      <c r="F561" s="70">
        <f>'RESUMEN TOTAL'!M644</f>
        <v>0</v>
      </c>
      <c r="G561" s="70">
        <f>'RESUMEN TOTAL'!N644</f>
        <v>0</v>
      </c>
      <c r="H561" s="70">
        <f>'RESUMEN TOTAL'!O644</f>
        <v>0</v>
      </c>
      <c r="I561" s="70">
        <f>'RESUMEN TOTAL'!P644</f>
        <v>0</v>
      </c>
      <c r="J561" s="70">
        <f>'RESUMEN TOTAL'!Q644</f>
        <v>0</v>
      </c>
      <c r="K561" s="70">
        <f>'RESUMEN TOTAL'!R644</f>
        <v>0</v>
      </c>
      <c r="L561" s="70">
        <f>'RESUMEN TOTAL'!S644</f>
        <v>0</v>
      </c>
      <c r="M561" s="70">
        <f>'RESUMEN TOTAL'!T644</f>
        <v>0</v>
      </c>
      <c r="N561" s="70">
        <f>'RESUMEN TOTAL'!U644</f>
        <v>0</v>
      </c>
      <c r="O561" s="70">
        <f>'RESUMEN TOTAL'!V644</f>
        <v>0</v>
      </c>
      <c r="P561" s="70">
        <f>'RESUMEN TOTAL'!W644</f>
        <v>0</v>
      </c>
      <c r="Q561" s="70">
        <f>'RESUMEN TOTAL'!X644</f>
        <v>0</v>
      </c>
      <c r="R561" s="70">
        <f>'RESUMEN TOTAL'!Y644</f>
        <v>0</v>
      </c>
      <c r="S561" s="70">
        <f>'RESUMEN TOTAL'!Z644</f>
        <v>0</v>
      </c>
      <c r="T561" s="70">
        <f>'RESUMEN TOTAL'!AA644</f>
        <v>0</v>
      </c>
      <c r="U561" s="70">
        <f>'RESUMEN TOTAL'!AB644</f>
        <v>0</v>
      </c>
      <c r="V561" s="70">
        <f>'RESUMEN TOTAL'!AC644</f>
        <v>0</v>
      </c>
      <c r="W561" s="70">
        <f>'RESUMEN TOTAL'!AD644</f>
        <v>0</v>
      </c>
      <c r="X561" s="70">
        <f>'RESUMEN TOTAL'!AE644</f>
        <v>0</v>
      </c>
      <c r="Y561" s="70">
        <f>'RESUMEN TOTAL'!AF644</f>
        <v>0</v>
      </c>
      <c r="Z561" s="70">
        <f>'RESUMEN TOTAL'!AG644</f>
        <v>0</v>
      </c>
      <c r="AA561" s="70">
        <f>'RESUMEN TOTAL'!AH644</f>
        <v>0</v>
      </c>
      <c r="AB561" s="70">
        <f>'RESUMEN TOTAL'!AI644</f>
        <v>0</v>
      </c>
      <c r="AC561" s="70">
        <f>'RESUMEN TOTAL'!AJ644</f>
        <v>0</v>
      </c>
      <c r="AD561" s="70">
        <f>'RESUMEN TOTAL'!AK644</f>
        <v>0</v>
      </c>
      <c r="AE561" s="70">
        <f>'RESUMEN TOTAL'!AL644</f>
        <v>0</v>
      </c>
      <c r="AF561" s="70">
        <f>'RESUMEN TOTAL'!AM644</f>
        <v>0</v>
      </c>
      <c r="AG561" s="70">
        <f>'RESUMEN TOTAL'!AN644</f>
        <v>0</v>
      </c>
      <c r="AH561" s="70">
        <f>'RESUMEN TOTAL'!AO644</f>
        <v>0</v>
      </c>
      <c r="AI561" s="70">
        <f>'RESUMEN TOTAL'!AP644</f>
        <v>0</v>
      </c>
    </row>
    <row r="562" spans="1:35" x14ac:dyDescent="0.25">
      <c r="A562">
        <f>'RESUMEN TOTAL'!A645</f>
        <v>0</v>
      </c>
      <c r="B562">
        <f>'RESUMEN TOTAL'!B645</f>
        <v>0</v>
      </c>
      <c r="C562">
        <f>'RESUMEN TOTAL'!D645</f>
        <v>0</v>
      </c>
      <c r="D562" s="30">
        <f>'RESUMEN TOTAL'!E645</f>
        <v>0</v>
      </c>
      <c r="E562" s="30">
        <f>'RESUMEN TOTAL'!F645</f>
        <v>0</v>
      </c>
      <c r="F562" s="70">
        <f>'RESUMEN TOTAL'!M645</f>
        <v>0</v>
      </c>
      <c r="G562" s="70">
        <f>'RESUMEN TOTAL'!N645</f>
        <v>0</v>
      </c>
      <c r="H562" s="70">
        <f>'RESUMEN TOTAL'!O645</f>
        <v>0</v>
      </c>
      <c r="I562" s="70">
        <f>'RESUMEN TOTAL'!P645</f>
        <v>0</v>
      </c>
      <c r="J562" s="70">
        <f>'RESUMEN TOTAL'!Q645</f>
        <v>0</v>
      </c>
      <c r="K562" s="70">
        <f>'RESUMEN TOTAL'!R645</f>
        <v>0</v>
      </c>
      <c r="L562" s="70">
        <f>'RESUMEN TOTAL'!S645</f>
        <v>0</v>
      </c>
      <c r="M562" s="70">
        <f>'RESUMEN TOTAL'!T645</f>
        <v>0</v>
      </c>
      <c r="N562" s="70">
        <f>'RESUMEN TOTAL'!U645</f>
        <v>0</v>
      </c>
      <c r="O562" s="70">
        <f>'RESUMEN TOTAL'!V645</f>
        <v>0</v>
      </c>
      <c r="P562" s="70">
        <f>'RESUMEN TOTAL'!W645</f>
        <v>0</v>
      </c>
      <c r="Q562" s="70">
        <f>'RESUMEN TOTAL'!X645</f>
        <v>0</v>
      </c>
      <c r="R562" s="70">
        <f>'RESUMEN TOTAL'!Y645</f>
        <v>0</v>
      </c>
      <c r="S562" s="70">
        <f>'RESUMEN TOTAL'!Z645</f>
        <v>0</v>
      </c>
      <c r="T562" s="70">
        <f>'RESUMEN TOTAL'!AA645</f>
        <v>0</v>
      </c>
      <c r="U562" s="70">
        <f>'RESUMEN TOTAL'!AB645</f>
        <v>0</v>
      </c>
      <c r="V562" s="70">
        <f>'RESUMEN TOTAL'!AC645</f>
        <v>0</v>
      </c>
      <c r="W562" s="70">
        <f>'RESUMEN TOTAL'!AD645</f>
        <v>0</v>
      </c>
      <c r="X562" s="70">
        <f>'RESUMEN TOTAL'!AE645</f>
        <v>0</v>
      </c>
      <c r="Y562" s="70">
        <f>'RESUMEN TOTAL'!AF645</f>
        <v>0</v>
      </c>
      <c r="Z562" s="70">
        <f>'RESUMEN TOTAL'!AG645</f>
        <v>0</v>
      </c>
      <c r="AA562" s="70">
        <f>'RESUMEN TOTAL'!AH645</f>
        <v>0</v>
      </c>
      <c r="AB562" s="70">
        <f>'RESUMEN TOTAL'!AI645</f>
        <v>0</v>
      </c>
      <c r="AC562" s="70">
        <f>'RESUMEN TOTAL'!AJ645</f>
        <v>0</v>
      </c>
      <c r="AD562" s="70">
        <f>'RESUMEN TOTAL'!AK645</f>
        <v>0</v>
      </c>
      <c r="AE562" s="70">
        <f>'RESUMEN TOTAL'!AL645</f>
        <v>0</v>
      </c>
      <c r="AF562" s="70">
        <f>'RESUMEN TOTAL'!AM645</f>
        <v>0</v>
      </c>
      <c r="AG562" s="70">
        <f>'RESUMEN TOTAL'!AN645</f>
        <v>0</v>
      </c>
      <c r="AH562" s="70">
        <f>'RESUMEN TOTAL'!AO645</f>
        <v>0</v>
      </c>
      <c r="AI562" s="70">
        <f>'RESUMEN TOTAL'!AP645</f>
        <v>0</v>
      </c>
    </row>
    <row r="563" spans="1:35" x14ac:dyDescent="0.25">
      <c r="A563">
        <f>'RESUMEN TOTAL'!A646</f>
        <v>0</v>
      </c>
      <c r="B563">
        <f>'RESUMEN TOTAL'!B646</f>
        <v>0</v>
      </c>
      <c r="C563">
        <f>'RESUMEN TOTAL'!D646</f>
        <v>0</v>
      </c>
      <c r="D563" s="30">
        <f>'RESUMEN TOTAL'!E646</f>
        <v>0</v>
      </c>
      <c r="E563" s="30">
        <f>'RESUMEN TOTAL'!F646</f>
        <v>0</v>
      </c>
      <c r="F563" s="70">
        <f>'RESUMEN TOTAL'!M646</f>
        <v>0</v>
      </c>
      <c r="G563" s="70">
        <f>'RESUMEN TOTAL'!N646</f>
        <v>0</v>
      </c>
      <c r="H563" s="70">
        <f>'RESUMEN TOTAL'!O646</f>
        <v>0</v>
      </c>
      <c r="I563" s="70">
        <f>'RESUMEN TOTAL'!P646</f>
        <v>0</v>
      </c>
      <c r="J563" s="70">
        <f>'RESUMEN TOTAL'!Q646</f>
        <v>0</v>
      </c>
      <c r="K563" s="70">
        <f>'RESUMEN TOTAL'!R646</f>
        <v>0</v>
      </c>
      <c r="L563" s="70">
        <f>'RESUMEN TOTAL'!S646</f>
        <v>0</v>
      </c>
      <c r="M563" s="70">
        <f>'RESUMEN TOTAL'!T646</f>
        <v>0</v>
      </c>
      <c r="N563" s="70">
        <f>'RESUMEN TOTAL'!U646</f>
        <v>0</v>
      </c>
      <c r="O563" s="70">
        <f>'RESUMEN TOTAL'!V646</f>
        <v>0</v>
      </c>
      <c r="P563" s="70">
        <f>'RESUMEN TOTAL'!W646</f>
        <v>0</v>
      </c>
      <c r="Q563" s="70">
        <f>'RESUMEN TOTAL'!X646</f>
        <v>0</v>
      </c>
      <c r="R563" s="70">
        <f>'RESUMEN TOTAL'!Y646</f>
        <v>0</v>
      </c>
      <c r="S563" s="70">
        <f>'RESUMEN TOTAL'!Z646</f>
        <v>0</v>
      </c>
      <c r="T563" s="70">
        <f>'RESUMEN TOTAL'!AA646</f>
        <v>0</v>
      </c>
      <c r="U563" s="70">
        <f>'RESUMEN TOTAL'!AB646</f>
        <v>0</v>
      </c>
      <c r="V563" s="70">
        <f>'RESUMEN TOTAL'!AC646</f>
        <v>0</v>
      </c>
      <c r="W563" s="70">
        <f>'RESUMEN TOTAL'!AD646</f>
        <v>0</v>
      </c>
      <c r="X563" s="70">
        <f>'RESUMEN TOTAL'!AE646</f>
        <v>0</v>
      </c>
      <c r="Y563" s="70">
        <f>'RESUMEN TOTAL'!AF646</f>
        <v>0</v>
      </c>
      <c r="Z563" s="70">
        <f>'RESUMEN TOTAL'!AG646</f>
        <v>0</v>
      </c>
      <c r="AA563" s="70">
        <f>'RESUMEN TOTAL'!AH646</f>
        <v>0</v>
      </c>
      <c r="AB563" s="70">
        <f>'RESUMEN TOTAL'!AI646</f>
        <v>0</v>
      </c>
      <c r="AC563" s="70">
        <f>'RESUMEN TOTAL'!AJ646</f>
        <v>0</v>
      </c>
      <c r="AD563" s="70">
        <f>'RESUMEN TOTAL'!AK646</f>
        <v>0</v>
      </c>
      <c r="AE563" s="70">
        <f>'RESUMEN TOTAL'!AL646</f>
        <v>0</v>
      </c>
      <c r="AF563" s="70">
        <f>'RESUMEN TOTAL'!AM646</f>
        <v>0</v>
      </c>
      <c r="AG563" s="70">
        <f>'RESUMEN TOTAL'!AN646</f>
        <v>0</v>
      </c>
      <c r="AH563" s="70">
        <f>'RESUMEN TOTAL'!AO646</f>
        <v>0</v>
      </c>
      <c r="AI563" s="70">
        <f>'RESUMEN TOTAL'!AP646</f>
        <v>0</v>
      </c>
    </row>
    <row r="564" spans="1:35" x14ac:dyDescent="0.25">
      <c r="A564">
        <f>'RESUMEN TOTAL'!A647</f>
        <v>0</v>
      </c>
      <c r="B564">
        <f>'RESUMEN TOTAL'!B647</f>
        <v>0</v>
      </c>
      <c r="C564">
        <f>'RESUMEN TOTAL'!D647</f>
        <v>0</v>
      </c>
      <c r="D564" s="30">
        <f>'RESUMEN TOTAL'!E647</f>
        <v>0</v>
      </c>
      <c r="E564" s="30">
        <f>'RESUMEN TOTAL'!F647</f>
        <v>0</v>
      </c>
      <c r="F564" s="70">
        <f>'RESUMEN TOTAL'!M647</f>
        <v>0</v>
      </c>
      <c r="G564" s="70">
        <f>'RESUMEN TOTAL'!N647</f>
        <v>0</v>
      </c>
      <c r="H564" s="70">
        <f>'RESUMEN TOTAL'!O647</f>
        <v>0</v>
      </c>
      <c r="I564" s="70">
        <f>'RESUMEN TOTAL'!P647</f>
        <v>0</v>
      </c>
      <c r="J564" s="70">
        <f>'RESUMEN TOTAL'!Q647</f>
        <v>0</v>
      </c>
      <c r="K564" s="70">
        <f>'RESUMEN TOTAL'!R647</f>
        <v>0</v>
      </c>
      <c r="L564" s="70">
        <f>'RESUMEN TOTAL'!S647</f>
        <v>0</v>
      </c>
      <c r="M564" s="70">
        <f>'RESUMEN TOTAL'!T647</f>
        <v>0</v>
      </c>
      <c r="N564" s="70">
        <f>'RESUMEN TOTAL'!U647</f>
        <v>0</v>
      </c>
      <c r="O564" s="70">
        <f>'RESUMEN TOTAL'!V647</f>
        <v>0</v>
      </c>
      <c r="P564" s="70">
        <f>'RESUMEN TOTAL'!W647</f>
        <v>0</v>
      </c>
      <c r="Q564" s="70">
        <f>'RESUMEN TOTAL'!X647</f>
        <v>0</v>
      </c>
      <c r="R564" s="70">
        <f>'RESUMEN TOTAL'!Y647</f>
        <v>0</v>
      </c>
      <c r="S564" s="70">
        <f>'RESUMEN TOTAL'!Z647</f>
        <v>0</v>
      </c>
      <c r="T564" s="70">
        <f>'RESUMEN TOTAL'!AA647</f>
        <v>0</v>
      </c>
      <c r="U564" s="70">
        <f>'RESUMEN TOTAL'!AB647</f>
        <v>0</v>
      </c>
      <c r="V564" s="70">
        <f>'RESUMEN TOTAL'!AC647</f>
        <v>0</v>
      </c>
      <c r="W564" s="70">
        <f>'RESUMEN TOTAL'!AD647</f>
        <v>0</v>
      </c>
      <c r="X564" s="70">
        <f>'RESUMEN TOTAL'!AE647</f>
        <v>0</v>
      </c>
      <c r="Y564" s="70">
        <f>'RESUMEN TOTAL'!AF647</f>
        <v>0</v>
      </c>
      <c r="Z564" s="70">
        <f>'RESUMEN TOTAL'!AG647</f>
        <v>0</v>
      </c>
      <c r="AA564" s="70">
        <f>'RESUMEN TOTAL'!AH647</f>
        <v>0</v>
      </c>
      <c r="AB564" s="70">
        <f>'RESUMEN TOTAL'!AI647</f>
        <v>0</v>
      </c>
      <c r="AC564" s="70">
        <f>'RESUMEN TOTAL'!AJ647</f>
        <v>0</v>
      </c>
      <c r="AD564" s="70">
        <f>'RESUMEN TOTAL'!AK647</f>
        <v>0</v>
      </c>
      <c r="AE564" s="70">
        <f>'RESUMEN TOTAL'!AL647</f>
        <v>0</v>
      </c>
      <c r="AF564" s="70">
        <f>'RESUMEN TOTAL'!AM647</f>
        <v>0</v>
      </c>
      <c r="AG564" s="70">
        <f>'RESUMEN TOTAL'!AN647</f>
        <v>0</v>
      </c>
      <c r="AH564" s="70">
        <f>'RESUMEN TOTAL'!AO647</f>
        <v>0</v>
      </c>
      <c r="AI564" s="70">
        <f>'RESUMEN TOTAL'!AP647</f>
        <v>0</v>
      </c>
    </row>
    <row r="565" spans="1:35" x14ac:dyDescent="0.25">
      <c r="A565">
        <f>'RESUMEN TOTAL'!A648</f>
        <v>0</v>
      </c>
      <c r="B565">
        <f>'RESUMEN TOTAL'!B648</f>
        <v>0</v>
      </c>
      <c r="C565">
        <f>'RESUMEN TOTAL'!D648</f>
        <v>0</v>
      </c>
      <c r="D565" s="30">
        <f>'RESUMEN TOTAL'!E648</f>
        <v>0</v>
      </c>
      <c r="E565" s="30">
        <f>'RESUMEN TOTAL'!F648</f>
        <v>0</v>
      </c>
      <c r="F565" s="70">
        <f>'RESUMEN TOTAL'!M648</f>
        <v>0</v>
      </c>
      <c r="G565" s="70">
        <f>'RESUMEN TOTAL'!N648</f>
        <v>0</v>
      </c>
      <c r="H565" s="70">
        <f>'RESUMEN TOTAL'!O648</f>
        <v>0</v>
      </c>
      <c r="I565" s="70">
        <f>'RESUMEN TOTAL'!P648</f>
        <v>0</v>
      </c>
      <c r="J565" s="70">
        <f>'RESUMEN TOTAL'!Q648</f>
        <v>0</v>
      </c>
      <c r="K565" s="70">
        <f>'RESUMEN TOTAL'!R648</f>
        <v>0</v>
      </c>
      <c r="L565" s="70">
        <f>'RESUMEN TOTAL'!S648</f>
        <v>0</v>
      </c>
      <c r="M565" s="70">
        <f>'RESUMEN TOTAL'!T648</f>
        <v>0</v>
      </c>
      <c r="N565" s="70">
        <f>'RESUMEN TOTAL'!U648</f>
        <v>0</v>
      </c>
      <c r="O565" s="70">
        <f>'RESUMEN TOTAL'!V648</f>
        <v>0</v>
      </c>
      <c r="P565" s="70">
        <f>'RESUMEN TOTAL'!W648</f>
        <v>0</v>
      </c>
      <c r="Q565" s="70">
        <f>'RESUMEN TOTAL'!X648</f>
        <v>0</v>
      </c>
      <c r="R565" s="70">
        <f>'RESUMEN TOTAL'!Y648</f>
        <v>0</v>
      </c>
      <c r="S565" s="70">
        <f>'RESUMEN TOTAL'!Z648</f>
        <v>0</v>
      </c>
      <c r="T565" s="70">
        <f>'RESUMEN TOTAL'!AA648</f>
        <v>0</v>
      </c>
      <c r="U565" s="70">
        <f>'RESUMEN TOTAL'!AB648</f>
        <v>0</v>
      </c>
      <c r="V565" s="70">
        <f>'RESUMEN TOTAL'!AC648</f>
        <v>0</v>
      </c>
      <c r="W565" s="70">
        <f>'RESUMEN TOTAL'!AD648</f>
        <v>0</v>
      </c>
      <c r="X565" s="70">
        <f>'RESUMEN TOTAL'!AE648</f>
        <v>0</v>
      </c>
      <c r="Y565" s="70">
        <f>'RESUMEN TOTAL'!AF648</f>
        <v>0</v>
      </c>
      <c r="Z565" s="70">
        <f>'RESUMEN TOTAL'!AG648</f>
        <v>0</v>
      </c>
      <c r="AA565" s="70">
        <f>'RESUMEN TOTAL'!AH648</f>
        <v>0</v>
      </c>
      <c r="AB565" s="70">
        <f>'RESUMEN TOTAL'!AI648</f>
        <v>0</v>
      </c>
      <c r="AC565" s="70">
        <f>'RESUMEN TOTAL'!AJ648</f>
        <v>0</v>
      </c>
      <c r="AD565" s="70">
        <f>'RESUMEN TOTAL'!AK648</f>
        <v>0</v>
      </c>
      <c r="AE565" s="70">
        <f>'RESUMEN TOTAL'!AL648</f>
        <v>0</v>
      </c>
      <c r="AF565" s="70">
        <f>'RESUMEN TOTAL'!AM648</f>
        <v>0</v>
      </c>
      <c r="AG565" s="70">
        <f>'RESUMEN TOTAL'!AN648</f>
        <v>0</v>
      </c>
      <c r="AH565" s="70">
        <f>'RESUMEN TOTAL'!AO648</f>
        <v>0</v>
      </c>
      <c r="AI565" s="70">
        <f>'RESUMEN TOTAL'!AP648</f>
        <v>0</v>
      </c>
    </row>
    <row r="566" spans="1:35" x14ac:dyDescent="0.25">
      <c r="A566">
        <f>'RESUMEN TOTAL'!A649</f>
        <v>0</v>
      </c>
      <c r="B566">
        <f>'RESUMEN TOTAL'!B649</f>
        <v>0</v>
      </c>
      <c r="C566">
        <f>'RESUMEN TOTAL'!D649</f>
        <v>0</v>
      </c>
      <c r="D566" s="30">
        <f>'RESUMEN TOTAL'!E649</f>
        <v>0</v>
      </c>
      <c r="E566" s="30">
        <f>'RESUMEN TOTAL'!F649</f>
        <v>0</v>
      </c>
      <c r="F566" s="70">
        <f>'RESUMEN TOTAL'!M649</f>
        <v>0</v>
      </c>
      <c r="G566" s="70">
        <f>'RESUMEN TOTAL'!N649</f>
        <v>0</v>
      </c>
      <c r="H566" s="70">
        <f>'RESUMEN TOTAL'!O649</f>
        <v>0</v>
      </c>
      <c r="I566" s="70">
        <f>'RESUMEN TOTAL'!P649</f>
        <v>0</v>
      </c>
      <c r="J566" s="70">
        <f>'RESUMEN TOTAL'!Q649</f>
        <v>0</v>
      </c>
      <c r="K566" s="70">
        <f>'RESUMEN TOTAL'!R649</f>
        <v>0</v>
      </c>
      <c r="L566" s="70">
        <f>'RESUMEN TOTAL'!S649</f>
        <v>0</v>
      </c>
      <c r="M566" s="70">
        <f>'RESUMEN TOTAL'!T649</f>
        <v>0</v>
      </c>
      <c r="N566" s="70">
        <f>'RESUMEN TOTAL'!U649</f>
        <v>0</v>
      </c>
      <c r="O566" s="70">
        <f>'RESUMEN TOTAL'!V649</f>
        <v>0</v>
      </c>
      <c r="P566" s="70">
        <f>'RESUMEN TOTAL'!W649</f>
        <v>0</v>
      </c>
      <c r="Q566" s="70">
        <f>'RESUMEN TOTAL'!X649</f>
        <v>0</v>
      </c>
      <c r="R566" s="70">
        <f>'RESUMEN TOTAL'!Y649</f>
        <v>0</v>
      </c>
      <c r="S566" s="70">
        <f>'RESUMEN TOTAL'!Z649</f>
        <v>0</v>
      </c>
      <c r="T566" s="70">
        <f>'RESUMEN TOTAL'!AA649</f>
        <v>0</v>
      </c>
      <c r="U566" s="70">
        <f>'RESUMEN TOTAL'!AB649</f>
        <v>0</v>
      </c>
      <c r="V566" s="70">
        <f>'RESUMEN TOTAL'!AC649</f>
        <v>0</v>
      </c>
      <c r="W566" s="70">
        <f>'RESUMEN TOTAL'!AD649</f>
        <v>0</v>
      </c>
      <c r="X566" s="70">
        <f>'RESUMEN TOTAL'!AE649</f>
        <v>0</v>
      </c>
      <c r="Y566" s="70">
        <f>'RESUMEN TOTAL'!AF649</f>
        <v>0</v>
      </c>
      <c r="Z566" s="70">
        <f>'RESUMEN TOTAL'!AG649</f>
        <v>0</v>
      </c>
      <c r="AA566" s="70">
        <f>'RESUMEN TOTAL'!AH649</f>
        <v>0</v>
      </c>
      <c r="AB566" s="70">
        <f>'RESUMEN TOTAL'!AI649</f>
        <v>0</v>
      </c>
      <c r="AC566" s="70">
        <f>'RESUMEN TOTAL'!AJ649</f>
        <v>0</v>
      </c>
      <c r="AD566" s="70">
        <f>'RESUMEN TOTAL'!AK649</f>
        <v>0</v>
      </c>
      <c r="AE566" s="70">
        <f>'RESUMEN TOTAL'!AL649</f>
        <v>0</v>
      </c>
      <c r="AF566" s="70">
        <f>'RESUMEN TOTAL'!AM649</f>
        <v>0</v>
      </c>
      <c r="AG566" s="70">
        <f>'RESUMEN TOTAL'!AN649</f>
        <v>0</v>
      </c>
      <c r="AH566" s="70">
        <f>'RESUMEN TOTAL'!AO649</f>
        <v>0</v>
      </c>
      <c r="AI566" s="70">
        <f>'RESUMEN TOTAL'!AP649</f>
        <v>0</v>
      </c>
    </row>
    <row r="567" spans="1:35" x14ac:dyDescent="0.25">
      <c r="A567">
        <f>'RESUMEN TOTAL'!A650</f>
        <v>0</v>
      </c>
      <c r="B567">
        <f>'RESUMEN TOTAL'!B650</f>
        <v>0</v>
      </c>
      <c r="C567">
        <f>'RESUMEN TOTAL'!D650</f>
        <v>0</v>
      </c>
      <c r="D567" s="30">
        <f>'RESUMEN TOTAL'!E650</f>
        <v>0</v>
      </c>
      <c r="E567" s="30">
        <f>'RESUMEN TOTAL'!F650</f>
        <v>0</v>
      </c>
      <c r="F567" s="70">
        <f>'RESUMEN TOTAL'!M650</f>
        <v>0</v>
      </c>
      <c r="G567" s="70">
        <f>'RESUMEN TOTAL'!N650</f>
        <v>0</v>
      </c>
      <c r="H567" s="70">
        <f>'RESUMEN TOTAL'!O650</f>
        <v>0</v>
      </c>
      <c r="I567" s="70">
        <f>'RESUMEN TOTAL'!P650</f>
        <v>0</v>
      </c>
      <c r="J567" s="70">
        <f>'RESUMEN TOTAL'!Q650</f>
        <v>0</v>
      </c>
      <c r="K567" s="70">
        <f>'RESUMEN TOTAL'!R650</f>
        <v>0</v>
      </c>
      <c r="L567" s="70">
        <f>'RESUMEN TOTAL'!S650</f>
        <v>0</v>
      </c>
      <c r="M567" s="70">
        <f>'RESUMEN TOTAL'!T650</f>
        <v>0</v>
      </c>
      <c r="N567" s="70">
        <f>'RESUMEN TOTAL'!U650</f>
        <v>0</v>
      </c>
      <c r="O567" s="70">
        <f>'RESUMEN TOTAL'!V650</f>
        <v>0</v>
      </c>
      <c r="P567" s="70">
        <f>'RESUMEN TOTAL'!W650</f>
        <v>0</v>
      </c>
      <c r="Q567" s="70">
        <f>'RESUMEN TOTAL'!X650</f>
        <v>0</v>
      </c>
      <c r="R567" s="70">
        <f>'RESUMEN TOTAL'!Y650</f>
        <v>0</v>
      </c>
      <c r="S567" s="70">
        <f>'RESUMEN TOTAL'!Z650</f>
        <v>0</v>
      </c>
      <c r="T567" s="70">
        <f>'RESUMEN TOTAL'!AA650</f>
        <v>0</v>
      </c>
      <c r="U567" s="70">
        <f>'RESUMEN TOTAL'!AB650</f>
        <v>0</v>
      </c>
      <c r="V567" s="70">
        <f>'RESUMEN TOTAL'!AC650</f>
        <v>0</v>
      </c>
      <c r="W567" s="70">
        <f>'RESUMEN TOTAL'!AD650</f>
        <v>0</v>
      </c>
      <c r="X567" s="70">
        <f>'RESUMEN TOTAL'!AE650</f>
        <v>0</v>
      </c>
      <c r="Y567" s="70">
        <f>'RESUMEN TOTAL'!AF650</f>
        <v>0</v>
      </c>
      <c r="Z567" s="70">
        <f>'RESUMEN TOTAL'!AG650</f>
        <v>0</v>
      </c>
      <c r="AA567" s="70">
        <f>'RESUMEN TOTAL'!AH650</f>
        <v>0</v>
      </c>
      <c r="AB567" s="70">
        <f>'RESUMEN TOTAL'!AI650</f>
        <v>0</v>
      </c>
      <c r="AC567" s="70">
        <f>'RESUMEN TOTAL'!AJ650</f>
        <v>0</v>
      </c>
      <c r="AD567" s="70">
        <f>'RESUMEN TOTAL'!AK650</f>
        <v>0</v>
      </c>
      <c r="AE567" s="70">
        <f>'RESUMEN TOTAL'!AL650</f>
        <v>0</v>
      </c>
      <c r="AF567" s="70">
        <f>'RESUMEN TOTAL'!AM650</f>
        <v>0</v>
      </c>
      <c r="AG567" s="70">
        <f>'RESUMEN TOTAL'!AN650</f>
        <v>0</v>
      </c>
      <c r="AH567" s="70">
        <f>'RESUMEN TOTAL'!AO650</f>
        <v>0</v>
      </c>
      <c r="AI567" s="70">
        <f>'RESUMEN TOTAL'!AP650</f>
        <v>0</v>
      </c>
    </row>
    <row r="568" spans="1:35" x14ac:dyDescent="0.25">
      <c r="A568">
        <f>'RESUMEN TOTAL'!A651</f>
        <v>0</v>
      </c>
      <c r="B568">
        <f>'RESUMEN TOTAL'!B651</f>
        <v>0</v>
      </c>
      <c r="C568">
        <f>'RESUMEN TOTAL'!D651</f>
        <v>0</v>
      </c>
      <c r="D568" s="30">
        <f>'RESUMEN TOTAL'!E651</f>
        <v>0</v>
      </c>
      <c r="E568" s="30">
        <f>'RESUMEN TOTAL'!F651</f>
        <v>0</v>
      </c>
      <c r="F568" s="70">
        <f>'RESUMEN TOTAL'!M651</f>
        <v>0</v>
      </c>
      <c r="G568" s="70">
        <f>'RESUMEN TOTAL'!N651</f>
        <v>0</v>
      </c>
      <c r="H568" s="70">
        <f>'RESUMEN TOTAL'!O651</f>
        <v>0</v>
      </c>
      <c r="I568" s="70">
        <f>'RESUMEN TOTAL'!P651</f>
        <v>0</v>
      </c>
      <c r="J568" s="70">
        <f>'RESUMEN TOTAL'!Q651</f>
        <v>0</v>
      </c>
      <c r="K568" s="70">
        <f>'RESUMEN TOTAL'!R651</f>
        <v>0</v>
      </c>
      <c r="L568" s="70">
        <f>'RESUMEN TOTAL'!S651</f>
        <v>0</v>
      </c>
      <c r="M568" s="70">
        <f>'RESUMEN TOTAL'!T651</f>
        <v>0</v>
      </c>
      <c r="N568" s="70">
        <f>'RESUMEN TOTAL'!U651</f>
        <v>0</v>
      </c>
      <c r="O568" s="70">
        <f>'RESUMEN TOTAL'!V651</f>
        <v>0</v>
      </c>
      <c r="P568" s="70">
        <f>'RESUMEN TOTAL'!W651</f>
        <v>0</v>
      </c>
      <c r="Q568" s="70">
        <f>'RESUMEN TOTAL'!X651</f>
        <v>0</v>
      </c>
      <c r="R568" s="70">
        <f>'RESUMEN TOTAL'!Y651</f>
        <v>0</v>
      </c>
      <c r="S568" s="70">
        <f>'RESUMEN TOTAL'!Z651</f>
        <v>0</v>
      </c>
      <c r="T568" s="70">
        <f>'RESUMEN TOTAL'!AA651</f>
        <v>0</v>
      </c>
      <c r="U568" s="70">
        <f>'RESUMEN TOTAL'!AB651</f>
        <v>0</v>
      </c>
      <c r="V568" s="70">
        <f>'RESUMEN TOTAL'!AC651</f>
        <v>0</v>
      </c>
      <c r="W568" s="70">
        <f>'RESUMEN TOTAL'!AD651</f>
        <v>0</v>
      </c>
      <c r="X568" s="70">
        <f>'RESUMEN TOTAL'!AE651</f>
        <v>0</v>
      </c>
      <c r="Y568" s="70">
        <f>'RESUMEN TOTAL'!AF651</f>
        <v>0</v>
      </c>
      <c r="Z568" s="70">
        <f>'RESUMEN TOTAL'!AG651</f>
        <v>0</v>
      </c>
      <c r="AA568" s="70">
        <f>'RESUMEN TOTAL'!AH651</f>
        <v>0</v>
      </c>
      <c r="AB568" s="70">
        <f>'RESUMEN TOTAL'!AI651</f>
        <v>0</v>
      </c>
      <c r="AC568" s="70">
        <f>'RESUMEN TOTAL'!AJ651</f>
        <v>0</v>
      </c>
      <c r="AD568" s="70">
        <f>'RESUMEN TOTAL'!AK651</f>
        <v>0</v>
      </c>
      <c r="AE568" s="70">
        <f>'RESUMEN TOTAL'!AL651</f>
        <v>0</v>
      </c>
      <c r="AF568" s="70">
        <f>'RESUMEN TOTAL'!AM651</f>
        <v>0</v>
      </c>
      <c r="AG568" s="70">
        <f>'RESUMEN TOTAL'!AN651</f>
        <v>0</v>
      </c>
      <c r="AH568" s="70">
        <f>'RESUMEN TOTAL'!AO651</f>
        <v>0</v>
      </c>
      <c r="AI568" s="70">
        <f>'RESUMEN TOTAL'!AP651</f>
        <v>0</v>
      </c>
    </row>
    <row r="569" spans="1:35" x14ac:dyDescent="0.25">
      <c r="A569">
        <f>'RESUMEN TOTAL'!A652</f>
        <v>0</v>
      </c>
      <c r="B569">
        <f>'RESUMEN TOTAL'!B652</f>
        <v>0</v>
      </c>
      <c r="C569">
        <f>'RESUMEN TOTAL'!D652</f>
        <v>0</v>
      </c>
      <c r="D569" s="30">
        <f>'RESUMEN TOTAL'!E652</f>
        <v>0</v>
      </c>
      <c r="E569" s="30">
        <f>'RESUMEN TOTAL'!F652</f>
        <v>0</v>
      </c>
      <c r="F569" s="70">
        <f>'RESUMEN TOTAL'!M652</f>
        <v>0</v>
      </c>
      <c r="G569" s="70">
        <f>'RESUMEN TOTAL'!N652</f>
        <v>0</v>
      </c>
      <c r="H569" s="70">
        <f>'RESUMEN TOTAL'!O652</f>
        <v>0</v>
      </c>
      <c r="I569" s="70">
        <f>'RESUMEN TOTAL'!P652</f>
        <v>0</v>
      </c>
      <c r="J569" s="70">
        <f>'RESUMEN TOTAL'!Q652</f>
        <v>0</v>
      </c>
      <c r="K569" s="70">
        <f>'RESUMEN TOTAL'!R652</f>
        <v>0</v>
      </c>
      <c r="L569" s="70">
        <f>'RESUMEN TOTAL'!S652</f>
        <v>0</v>
      </c>
      <c r="M569" s="70">
        <f>'RESUMEN TOTAL'!T652</f>
        <v>0</v>
      </c>
      <c r="N569" s="70">
        <f>'RESUMEN TOTAL'!U652</f>
        <v>0</v>
      </c>
      <c r="O569" s="70">
        <f>'RESUMEN TOTAL'!V652</f>
        <v>0</v>
      </c>
      <c r="P569" s="70">
        <f>'RESUMEN TOTAL'!W652</f>
        <v>0</v>
      </c>
      <c r="Q569" s="70">
        <f>'RESUMEN TOTAL'!X652</f>
        <v>0</v>
      </c>
      <c r="R569" s="70">
        <f>'RESUMEN TOTAL'!Y652</f>
        <v>0</v>
      </c>
      <c r="S569" s="70">
        <f>'RESUMEN TOTAL'!Z652</f>
        <v>0</v>
      </c>
      <c r="T569" s="70">
        <f>'RESUMEN TOTAL'!AA652</f>
        <v>0</v>
      </c>
      <c r="U569" s="70">
        <f>'RESUMEN TOTAL'!AB652</f>
        <v>0</v>
      </c>
      <c r="V569" s="70">
        <f>'RESUMEN TOTAL'!AC652</f>
        <v>0</v>
      </c>
      <c r="W569" s="70">
        <f>'RESUMEN TOTAL'!AD652</f>
        <v>0</v>
      </c>
      <c r="X569" s="70">
        <f>'RESUMEN TOTAL'!AE652</f>
        <v>0</v>
      </c>
      <c r="Y569" s="70">
        <f>'RESUMEN TOTAL'!AF652</f>
        <v>0</v>
      </c>
      <c r="Z569" s="70">
        <f>'RESUMEN TOTAL'!AG652</f>
        <v>0</v>
      </c>
      <c r="AA569" s="70">
        <f>'RESUMEN TOTAL'!AH652</f>
        <v>0</v>
      </c>
      <c r="AB569" s="70">
        <f>'RESUMEN TOTAL'!AI652</f>
        <v>0</v>
      </c>
      <c r="AC569" s="70">
        <f>'RESUMEN TOTAL'!AJ652</f>
        <v>0</v>
      </c>
      <c r="AD569" s="70">
        <f>'RESUMEN TOTAL'!AK652</f>
        <v>0</v>
      </c>
      <c r="AE569" s="70">
        <f>'RESUMEN TOTAL'!AL652</f>
        <v>0</v>
      </c>
      <c r="AF569" s="70">
        <f>'RESUMEN TOTAL'!AM652</f>
        <v>0</v>
      </c>
      <c r="AG569" s="70">
        <f>'RESUMEN TOTAL'!AN652</f>
        <v>0</v>
      </c>
      <c r="AH569" s="70">
        <f>'RESUMEN TOTAL'!AO652</f>
        <v>0</v>
      </c>
      <c r="AI569" s="70">
        <f>'RESUMEN TOTAL'!AP652</f>
        <v>0</v>
      </c>
    </row>
    <row r="570" spans="1:35" x14ac:dyDescent="0.25">
      <c r="A570">
        <f>'RESUMEN TOTAL'!A653</f>
        <v>0</v>
      </c>
      <c r="B570">
        <f>'RESUMEN TOTAL'!B653</f>
        <v>0</v>
      </c>
      <c r="C570">
        <f>'RESUMEN TOTAL'!D653</f>
        <v>0</v>
      </c>
      <c r="D570" s="30">
        <f>'RESUMEN TOTAL'!E653</f>
        <v>0</v>
      </c>
      <c r="E570" s="30">
        <f>'RESUMEN TOTAL'!F653</f>
        <v>0</v>
      </c>
      <c r="F570" s="70">
        <f>'RESUMEN TOTAL'!M653</f>
        <v>0</v>
      </c>
      <c r="G570" s="70">
        <f>'RESUMEN TOTAL'!N653</f>
        <v>0</v>
      </c>
      <c r="H570" s="70">
        <f>'RESUMEN TOTAL'!O653</f>
        <v>0</v>
      </c>
      <c r="I570" s="70">
        <f>'RESUMEN TOTAL'!P653</f>
        <v>0</v>
      </c>
      <c r="J570" s="70">
        <f>'RESUMEN TOTAL'!Q653</f>
        <v>0</v>
      </c>
      <c r="K570" s="70">
        <f>'RESUMEN TOTAL'!R653</f>
        <v>0</v>
      </c>
      <c r="L570" s="70">
        <f>'RESUMEN TOTAL'!S653</f>
        <v>0</v>
      </c>
      <c r="M570" s="70">
        <f>'RESUMEN TOTAL'!T653</f>
        <v>0</v>
      </c>
      <c r="N570" s="70">
        <f>'RESUMEN TOTAL'!U653</f>
        <v>0</v>
      </c>
      <c r="O570" s="70">
        <f>'RESUMEN TOTAL'!V653</f>
        <v>0</v>
      </c>
      <c r="P570" s="70">
        <f>'RESUMEN TOTAL'!W653</f>
        <v>0</v>
      </c>
      <c r="Q570" s="70">
        <f>'RESUMEN TOTAL'!X653</f>
        <v>0</v>
      </c>
      <c r="R570" s="70">
        <f>'RESUMEN TOTAL'!Y653</f>
        <v>0</v>
      </c>
      <c r="S570" s="70">
        <f>'RESUMEN TOTAL'!Z653</f>
        <v>0</v>
      </c>
      <c r="T570" s="70">
        <f>'RESUMEN TOTAL'!AA653</f>
        <v>0</v>
      </c>
      <c r="U570" s="70">
        <f>'RESUMEN TOTAL'!AB653</f>
        <v>0</v>
      </c>
      <c r="V570" s="70">
        <f>'RESUMEN TOTAL'!AC653</f>
        <v>0</v>
      </c>
      <c r="W570" s="70">
        <f>'RESUMEN TOTAL'!AD653</f>
        <v>0</v>
      </c>
      <c r="X570" s="70">
        <f>'RESUMEN TOTAL'!AE653</f>
        <v>0</v>
      </c>
      <c r="Y570" s="70">
        <f>'RESUMEN TOTAL'!AF653</f>
        <v>0</v>
      </c>
      <c r="Z570" s="70">
        <f>'RESUMEN TOTAL'!AG653</f>
        <v>0</v>
      </c>
      <c r="AA570" s="70">
        <f>'RESUMEN TOTAL'!AH653</f>
        <v>0</v>
      </c>
      <c r="AB570" s="70">
        <f>'RESUMEN TOTAL'!AI653</f>
        <v>0</v>
      </c>
      <c r="AC570" s="70">
        <f>'RESUMEN TOTAL'!AJ653</f>
        <v>0</v>
      </c>
      <c r="AD570" s="70">
        <f>'RESUMEN TOTAL'!AK653</f>
        <v>0</v>
      </c>
      <c r="AE570" s="70">
        <f>'RESUMEN TOTAL'!AL653</f>
        <v>0</v>
      </c>
      <c r="AF570" s="70">
        <f>'RESUMEN TOTAL'!AM653</f>
        <v>0</v>
      </c>
      <c r="AG570" s="70">
        <f>'RESUMEN TOTAL'!AN653</f>
        <v>0</v>
      </c>
      <c r="AH570" s="70">
        <f>'RESUMEN TOTAL'!AO653</f>
        <v>0</v>
      </c>
      <c r="AI570" s="70">
        <f>'RESUMEN TOTAL'!AP653</f>
        <v>0</v>
      </c>
    </row>
    <row r="571" spans="1:35" x14ac:dyDescent="0.25">
      <c r="A571">
        <f>'RESUMEN TOTAL'!A654</f>
        <v>0</v>
      </c>
      <c r="B571">
        <f>'RESUMEN TOTAL'!B654</f>
        <v>0</v>
      </c>
      <c r="C571">
        <f>'RESUMEN TOTAL'!D654</f>
        <v>0</v>
      </c>
      <c r="D571" s="30">
        <f>'RESUMEN TOTAL'!E654</f>
        <v>0</v>
      </c>
      <c r="E571" s="30">
        <f>'RESUMEN TOTAL'!F654</f>
        <v>0</v>
      </c>
      <c r="F571" s="70">
        <f>'RESUMEN TOTAL'!M654</f>
        <v>0</v>
      </c>
      <c r="G571" s="70">
        <f>'RESUMEN TOTAL'!N654</f>
        <v>0</v>
      </c>
      <c r="H571" s="70">
        <f>'RESUMEN TOTAL'!O654</f>
        <v>0</v>
      </c>
      <c r="I571" s="70">
        <f>'RESUMEN TOTAL'!P654</f>
        <v>0</v>
      </c>
      <c r="J571" s="70">
        <f>'RESUMEN TOTAL'!Q654</f>
        <v>0</v>
      </c>
      <c r="K571" s="70">
        <f>'RESUMEN TOTAL'!R654</f>
        <v>0</v>
      </c>
      <c r="L571" s="70">
        <f>'RESUMEN TOTAL'!S654</f>
        <v>0</v>
      </c>
      <c r="M571" s="70">
        <f>'RESUMEN TOTAL'!T654</f>
        <v>0</v>
      </c>
      <c r="N571" s="70">
        <f>'RESUMEN TOTAL'!U654</f>
        <v>0</v>
      </c>
      <c r="O571" s="70">
        <f>'RESUMEN TOTAL'!V654</f>
        <v>0</v>
      </c>
      <c r="P571" s="70">
        <f>'RESUMEN TOTAL'!W654</f>
        <v>0</v>
      </c>
      <c r="Q571" s="70">
        <f>'RESUMEN TOTAL'!X654</f>
        <v>0</v>
      </c>
      <c r="R571" s="70">
        <f>'RESUMEN TOTAL'!Y654</f>
        <v>0</v>
      </c>
      <c r="S571" s="70">
        <f>'RESUMEN TOTAL'!Z654</f>
        <v>0</v>
      </c>
      <c r="T571" s="70">
        <f>'RESUMEN TOTAL'!AA654</f>
        <v>0</v>
      </c>
      <c r="U571" s="70">
        <f>'RESUMEN TOTAL'!AB654</f>
        <v>0</v>
      </c>
      <c r="V571" s="70">
        <f>'RESUMEN TOTAL'!AC654</f>
        <v>0</v>
      </c>
      <c r="W571" s="70">
        <f>'RESUMEN TOTAL'!AD654</f>
        <v>0</v>
      </c>
      <c r="X571" s="70">
        <f>'RESUMEN TOTAL'!AE654</f>
        <v>0</v>
      </c>
      <c r="Y571" s="70">
        <f>'RESUMEN TOTAL'!AF654</f>
        <v>0</v>
      </c>
      <c r="Z571" s="70">
        <f>'RESUMEN TOTAL'!AG654</f>
        <v>0</v>
      </c>
      <c r="AA571" s="70">
        <f>'RESUMEN TOTAL'!AH654</f>
        <v>0</v>
      </c>
      <c r="AB571" s="70">
        <f>'RESUMEN TOTAL'!AI654</f>
        <v>0</v>
      </c>
      <c r="AC571" s="70">
        <f>'RESUMEN TOTAL'!AJ654</f>
        <v>0</v>
      </c>
      <c r="AD571" s="70">
        <f>'RESUMEN TOTAL'!AK654</f>
        <v>0</v>
      </c>
      <c r="AE571" s="70">
        <f>'RESUMEN TOTAL'!AL654</f>
        <v>0</v>
      </c>
      <c r="AF571" s="70">
        <f>'RESUMEN TOTAL'!AM654</f>
        <v>0</v>
      </c>
      <c r="AG571" s="70">
        <f>'RESUMEN TOTAL'!AN654</f>
        <v>0</v>
      </c>
      <c r="AH571" s="70">
        <f>'RESUMEN TOTAL'!AO654</f>
        <v>0</v>
      </c>
      <c r="AI571" s="70">
        <f>'RESUMEN TOTAL'!AP654</f>
        <v>0</v>
      </c>
    </row>
    <row r="572" spans="1:35" x14ac:dyDescent="0.25">
      <c r="A572">
        <f>'RESUMEN TOTAL'!A655</f>
        <v>0</v>
      </c>
      <c r="B572">
        <f>'RESUMEN TOTAL'!B655</f>
        <v>0</v>
      </c>
      <c r="C572">
        <f>'RESUMEN TOTAL'!D655</f>
        <v>0</v>
      </c>
      <c r="D572" s="30">
        <f>'RESUMEN TOTAL'!E655</f>
        <v>0</v>
      </c>
      <c r="E572" s="30">
        <f>'RESUMEN TOTAL'!F655</f>
        <v>0</v>
      </c>
      <c r="F572" s="70">
        <f>'RESUMEN TOTAL'!M655</f>
        <v>0</v>
      </c>
      <c r="G572" s="70">
        <f>'RESUMEN TOTAL'!N655</f>
        <v>0</v>
      </c>
      <c r="H572" s="70">
        <f>'RESUMEN TOTAL'!O655</f>
        <v>0</v>
      </c>
      <c r="I572" s="70">
        <f>'RESUMEN TOTAL'!P655</f>
        <v>0</v>
      </c>
      <c r="J572" s="70">
        <f>'RESUMEN TOTAL'!Q655</f>
        <v>0</v>
      </c>
      <c r="K572" s="70">
        <f>'RESUMEN TOTAL'!R655</f>
        <v>0</v>
      </c>
      <c r="L572" s="70">
        <f>'RESUMEN TOTAL'!S655</f>
        <v>0</v>
      </c>
      <c r="M572" s="70">
        <f>'RESUMEN TOTAL'!T655</f>
        <v>0</v>
      </c>
      <c r="N572" s="70">
        <f>'RESUMEN TOTAL'!U655</f>
        <v>0</v>
      </c>
      <c r="O572" s="70">
        <f>'RESUMEN TOTAL'!V655</f>
        <v>0</v>
      </c>
      <c r="P572" s="70">
        <f>'RESUMEN TOTAL'!W655</f>
        <v>0</v>
      </c>
      <c r="Q572" s="70">
        <f>'RESUMEN TOTAL'!X655</f>
        <v>0</v>
      </c>
      <c r="R572" s="70">
        <f>'RESUMEN TOTAL'!Y655</f>
        <v>0</v>
      </c>
      <c r="S572" s="70">
        <f>'RESUMEN TOTAL'!Z655</f>
        <v>0</v>
      </c>
      <c r="T572" s="70">
        <f>'RESUMEN TOTAL'!AA655</f>
        <v>0</v>
      </c>
      <c r="U572" s="70">
        <f>'RESUMEN TOTAL'!AB655</f>
        <v>0</v>
      </c>
      <c r="V572" s="70">
        <f>'RESUMEN TOTAL'!AC655</f>
        <v>0</v>
      </c>
      <c r="W572" s="70">
        <f>'RESUMEN TOTAL'!AD655</f>
        <v>0</v>
      </c>
      <c r="X572" s="70">
        <f>'RESUMEN TOTAL'!AE655</f>
        <v>0</v>
      </c>
      <c r="Y572" s="70">
        <f>'RESUMEN TOTAL'!AF655</f>
        <v>0</v>
      </c>
      <c r="Z572" s="70">
        <f>'RESUMEN TOTAL'!AG655</f>
        <v>0</v>
      </c>
      <c r="AA572" s="70">
        <f>'RESUMEN TOTAL'!AH655</f>
        <v>0</v>
      </c>
      <c r="AB572" s="70">
        <f>'RESUMEN TOTAL'!AI655</f>
        <v>0</v>
      </c>
      <c r="AC572" s="70">
        <f>'RESUMEN TOTAL'!AJ655</f>
        <v>0</v>
      </c>
      <c r="AD572" s="70">
        <f>'RESUMEN TOTAL'!AK655</f>
        <v>0</v>
      </c>
      <c r="AE572" s="70">
        <f>'RESUMEN TOTAL'!AL655</f>
        <v>0</v>
      </c>
      <c r="AF572" s="70">
        <f>'RESUMEN TOTAL'!AM655</f>
        <v>0</v>
      </c>
      <c r="AG572" s="70">
        <f>'RESUMEN TOTAL'!AN655</f>
        <v>0</v>
      </c>
      <c r="AH572" s="70">
        <f>'RESUMEN TOTAL'!AO655</f>
        <v>0</v>
      </c>
      <c r="AI572" s="70">
        <f>'RESUMEN TOTAL'!AP655</f>
        <v>0</v>
      </c>
    </row>
    <row r="573" spans="1:35" x14ac:dyDescent="0.25">
      <c r="A573">
        <f>'RESUMEN TOTAL'!A656</f>
        <v>0</v>
      </c>
      <c r="B573">
        <f>'RESUMEN TOTAL'!B656</f>
        <v>0</v>
      </c>
      <c r="C573">
        <f>'RESUMEN TOTAL'!D656</f>
        <v>0</v>
      </c>
      <c r="D573" s="30">
        <f>'RESUMEN TOTAL'!E656</f>
        <v>0</v>
      </c>
      <c r="E573" s="30">
        <f>'RESUMEN TOTAL'!F656</f>
        <v>0</v>
      </c>
      <c r="F573" s="70">
        <f>'RESUMEN TOTAL'!M656</f>
        <v>0</v>
      </c>
      <c r="G573" s="70">
        <f>'RESUMEN TOTAL'!N656</f>
        <v>0</v>
      </c>
      <c r="H573" s="70">
        <f>'RESUMEN TOTAL'!O656</f>
        <v>0</v>
      </c>
      <c r="I573" s="70">
        <f>'RESUMEN TOTAL'!P656</f>
        <v>0</v>
      </c>
      <c r="J573" s="70">
        <f>'RESUMEN TOTAL'!Q656</f>
        <v>0</v>
      </c>
      <c r="K573" s="70">
        <f>'RESUMEN TOTAL'!R656</f>
        <v>0</v>
      </c>
      <c r="L573" s="70">
        <f>'RESUMEN TOTAL'!S656</f>
        <v>0</v>
      </c>
      <c r="M573" s="70">
        <f>'RESUMEN TOTAL'!T656</f>
        <v>0</v>
      </c>
      <c r="N573" s="70">
        <f>'RESUMEN TOTAL'!U656</f>
        <v>0</v>
      </c>
      <c r="O573" s="70">
        <f>'RESUMEN TOTAL'!V656</f>
        <v>0</v>
      </c>
      <c r="P573" s="70">
        <f>'RESUMEN TOTAL'!W656</f>
        <v>0</v>
      </c>
      <c r="Q573" s="70">
        <f>'RESUMEN TOTAL'!X656</f>
        <v>0</v>
      </c>
      <c r="R573" s="70">
        <f>'RESUMEN TOTAL'!Y656</f>
        <v>0</v>
      </c>
      <c r="S573" s="70">
        <f>'RESUMEN TOTAL'!Z656</f>
        <v>0</v>
      </c>
      <c r="T573" s="70">
        <f>'RESUMEN TOTAL'!AA656</f>
        <v>0</v>
      </c>
      <c r="U573" s="70">
        <f>'RESUMEN TOTAL'!AB656</f>
        <v>0</v>
      </c>
      <c r="V573" s="70">
        <f>'RESUMEN TOTAL'!AC656</f>
        <v>0</v>
      </c>
      <c r="W573" s="70">
        <f>'RESUMEN TOTAL'!AD656</f>
        <v>0</v>
      </c>
      <c r="X573" s="70">
        <f>'RESUMEN TOTAL'!AE656</f>
        <v>0</v>
      </c>
      <c r="Y573" s="70">
        <f>'RESUMEN TOTAL'!AF656</f>
        <v>0</v>
      </c>
      <c r="Z573" s="70">
        <f>'RESUMEN TOTAL'!AG656</f>
        <v>0</v>
      </c>
      <c r="AA573" s="70">
        <f>'RESUMEN TOTAL'!AH656</f>
        <v>0</v>
      </c>
      <c r="AB573" s="70">
        <f>'RESUMEN TOTAL'!AI656</f>
        <v>0</v>
      </c>
      <c r="AC573" s="70">
        <f>'RESUMEN TOTAL'!AJ656</f>
        <v>0</v>
      </c>
      <c r="AD573" s="70">
        <f>'RESUMEN TOTAL'!AK656</f>
        <v>0</v>
      </c>
      <c r="AE573" s="70">
        <f>'RESUMEN TOTAL'!AL656</f>
        <v>0</v>
      </c>
      <c r="AF573" s="70">
        <f>'RESUMEN TOTAL'!AM656</f>
        <v>0</v>
      </c>
      <c r="AG573" s="70">
        <f>'RESUMEN TOTAL'!AN656</f>
        <v>0</v>
      </c>
      <c r="AH573" s="70">
        <f>'RESUMEN TOTAL'!AO656</f>
        <v>0</v>
      </c>
      <c r="AI573" s="70">
        <f>'RESUMEN TOTAL'!AP656</f>
        <v>0</v>
      </c>
    </row>
    <row r="574" spans="1:35" x14ac:dyDescent="0.25">
      <c r="A574">
        <f>'RESUMEN TOTAL'!A657</f>
        <v>0</v>
      </c>
      <c r="B574">
        <f>'RESUMEN TOTAL'!B657</f>
        <v>0</v>
      </c>
      <c r="C574">
        <f>'RESUMEN TOTAL'!D657</f>
        <v>0</v>
      </c>
      <c r="D574" s="30">
        <f>'RESUMEN TOTAL'!E657</f>
        <v>0</v>
      </c>
      <c r="E574" s="30">
        <f>'RESUMEN TOTAL'!F657</f>
        <v>0</v>
      </c>
      <c r="F574" s="70">
        <f>'RESUMEN TOTAL'!M657</f>
        <v>0</v>
      </c>
      <c r="G574" s="70">
        <f>'RESUMEN TOTAL'!N657</f>
        <v>0</v>
      </c>
      <c r="H574" s="70">
        <f>'RESUMEN TOTAL'!O657</f>
        <v>0</v>
      </c>
      <c r="I574" s="70">
        <f>'RESUMEN TOTAL'!P657</f>
        <v>0</v>
      </c>
      <c r="J574" s="70">
        <f>'RESUMEN TOTAL'!Q657</f>
        <v>0</v>
      </c>
      <c r="K574" s="70">
        <f>'RESUMEN TOTAL'!R657</f>
        <v>0</v>
      </c>
      <c r="L574" s="70">
        <f>'RESUMEN TOTAL'!S657</f>
        <v>0</v>
      </c>
      <c r="M574" s="70">
        <f>'RESUMEN TOTAL'!T657</f>
        <v>0</v>
      </c>
      <c r="N574" s="70">
        <f>'RESUMEN TOTAL'!U657</f>
        <v>0</v>
      </c>
      <c r="O574" s="70">
        <f>'RESUMEN TOTAL'!V657</f>
        <v>0</v>
      </c>
      <c r="P574" s="70">
        <f>'RESUMEN TOTAL'!W657</f>
        <v>0</v>
      </c>
      <c r="Q574" s="70">
        <f>'RESUMEN TOTAL'!X657</f>
        <v>0</v>
      </c>
      <c r="R574" s="70">
        <f>'RESUMEN TOTAL'!Y657</f>
        <v>0</v>
      </c>
      <c r="S574" s="70">
        <f>'RESUMEN TOTAL'!Z657</f>
        <v>0</v>
      </c>
      <c r="T574" s="70">
        <f>'RESUMEN TOTAL'!AA657</f>
        <v>0</v>
      </c>
      <c r="U574" s="70">
        <f>'RESUMEN TOTAL'!AB657</f>
        <v>0</v>
      </c>
      <c r="V574" s="70">
        <f>'RESUMEN TOTAL'!AC657</f>
        <v>0</v>
      </c>
      <c r="W574" s="70">
        <f>'RESUMEN TOTAL'!AD657</f>
        <v>0</v>
      </c>
      <c r="X574" s="70">
        <f>'RESUMEN TOTAL'!AE657</f>
        <v>0</v>
      </c>
      <c r="Y574" s="70">
        <f>'RESUMEN TOTAL'!AF657</f>
        <v>0</v>
      </c>
      <c r="Z574" s="70">
        <f>'RESUMEN TOTAL'!AG657</f>
        <v>0</v>
      </c>
      <c r="AA574" s="70">
        <f>'RESUMEN TOTAL'!AH657</f>
        <v>0</v>
      </c>
      <c r="AB574" s="70">
        <f>'RESUMEN TOTAL'!AI657</f>
        <v>0</v>
      </c>
      <c r="AC574" s="70">
        <f>'RESUMEN TOTAL'!AJ657</f>
        <v>0</v>
      </c>
      <c r="AD574" s="70">
        <f>'RESUMEN TOTAL'!AK657</f>
        <v>0</v>
      </c>
      <c r="AE574" s="70">
        <f>'RESUMEN TOTAL'!AL657</f>
        <v>0</v>
      </c>
      <c r="AF574" s="70">
        <f>'RESUMEN TOTAL'!AM657</f>
        <v>0</v>
      </c>
      <c r="AG574" s="70">
        <f>'RESUMEN TOTAL'!AN657</f>
        <v>0</v>
      </c>
      <c r="AH574" s="70">
        <f>'RESUMEN TOTAL'!AO657</f>
        <v>0</v>
      </c>
      <c r="AI574" s="70">
        <f>'RESUMEN TOTAL'!AP657</f>
        <v>0</v>
      </c>
    </row>
    <row r="575" spans="1:35" x14ac:dyDescent="0.25">
      <c r="A575">
        <f>'RESUMEN TOTAL'!A658</f>
        <v>0</v>
      </c>
      <c r="B575">
        <f>'RESUMEN TOTAL'!B658</f>
        <v>0</v>
      </c>
      <c r="C575">
        <f>'RESUMEN TOTAL'!D658</f>
        <v>0</v>
      </c>
      <c r="D575" s="30">
        <f>'RESUMEN TOTAL'!E658</f>
        <v>0</v>
      </c>
      <c r="E575" s="30">
        <f>'RESUMEN TOTAL'!F658</f>
        <v>0</v>
      </c>
      <c r="F575" s="70">
        <f>'RESUMEN TOTAL'!M658</f>
        <v>0</v>
      </c>
      <c r="G575" s="70">
        <f>'RESUMEN TOTAL'!N658</f>
        <v>0</v>
      </c>
      <c r="H575" s="70">
        <f>'RESUMEN TOTAL'!O658</f>
        <v>0</v>
      </c>
      <c r="I575" s="70">
        <f>'RESUMEN TOTAL'!P658</f>
        <v>0</v>
      </c>
      <c r="J575" s="70">
        <f>'RESUMEN TOTAL'!Q658</f>
        <v>0</v>
      </c>
      <c r="K575" s="70">
        <f>'RESUMEN TOTAL'!R658</f>
        <v>0</v>
      </c>
      <c r="L575" s="70">
        <f>'RESUMEN TOTAL'!S658</f>
        <v>0</v>
      </c>
      <c r="M575" s="70">
        <f>'RESUMEN TOTAL'!T658</f>
        <v>0</v>
      </c>
      <c r="N575" s="70">
        <f>'RESUMEN TOTAL'!U658</f>
        <v>0</v>
      </c>
      <c r="O575" s="70">
        <f>'RESUMEN TOTAL'!V658</f>
        <v>0</v>
      </c>
      <c r="P575" s="70">
        <f>'RESUMEN TOTAL'!W658</f>
        <v>0</v>
      </c>
      <c r="Q575" s="70">
        <f>'RESUMEN TOTAL'!X658</f>
        <v>0</v>
      </c>
      <c r="R575" s="70">
        <f>'RESUMEN TOTAL'!Y658</f>
        <v>0</v>
      </c>
      <c r="S575" s="70">
        <f>'RESUMEN TOTAL'!Z658</f>
        <v>0</v>
      </c>
      <c r="T575" s="70">
        <f>'RESUMEN TOTAL'!AA658</f>
        <v>0</v>
      </c>
      <c r="U575" s="70">
        <f>'RESUMEN TOTAL'!AB658</f>
        <v>0</v>
      </c>
      <c r="V575" s="70">
        <f>'RESUMEN TOTAL'!AC658</f>
        <v>0</v>
      </c>
      <c r="W575" s="70">
        <f>'RESUMEN TOTAL'!AD658</f>
        <v>0</v>
      </c>
      <c r="X575" s="70">
        <f>'RESUMEN TOTAL'!AE658</f>
        <v>0</v>
      </c>
      <c r="Y575" s="70">
        <f>'RESUMEN TOTAL'!AF658</f>
        <v>0</v>
      </c>
      <c r="Z575" s="70">
        <f>'RESUMEN TOTAL'!AG658</f>
        <v>0</v>
      </c>
      <c r="AA575" s="70">
        <f>'RESUMEN TOTAL'!AH658</f>
        <v>0</v>
      </c>
      <c r="AB575" s="70">
        <f>'RESUMEN TOTAL'!AI658</f>
        <v>0</v>
      </c>
      <c r="AC575" s="70">
        <f>'RESUMEN TOTAL'!AJ658</f>
        <v>0</v>
      </c>
      <c r="AD575" s="70">
        <f>'RESUMEN TOTAL'!AK658</f>
        <v>0</v>
      </c>
      <c r="AE575" s="70">
        <f>'RESUMEN TOTAL'!AL658</f>
        <v>0</v>
      </c>
      <c r="AF575" s="70">
        <f>'RESUMEN TOTAL'!AM658</f>
        <v>0</v>
      </c>
      <c r="AG575" s="70">
        <f>'RESUMEN TOTAL'!AN658</f>
        <v>0</v>
      </c>
      <c r="AH575" s="70">
        <f>'RESUMEN TOTAL'!AO658</f>
        <v>0</v>
      </c>
      <c r="AI575" s="70">
        <f>'RESUMEN TOTAL'!AP658</f>
        <v>0</v>
      </c>
    </row>
    <row r="576" spans="1:35" x14ac:dyDescent="0.25">
      <c r="A576">
        <f>'RESUMEN TOTAL'!A659</f>
        <v>0</v>
      </c>
      <c r="B576">
        <f>'RESUMEN TOTAL'!B659</f>
        <v>0</v>
      </c>
      <c r="C576">
        <f>'RESUMEN TOTAL'!D659</f>
        <v>0</v>
      </c>
      <c r="D576" s="30">
        <f>'RESUMEN TOTAL'!E659</f>
        <v>0</v>
      </c>
      <c r="E576" s="30">
        <f>'RESUMEN TOTAL'!F659</f>
        <v>0</v>
      </c>
      <c r="F576" s="70">
        <f>'RESUMEN TOTAL'!M659</f>
        <v>0</v>
      </c>
      <c r="G576" s="70">
        <f>'RESUMEN TOTAL'!N659</f>
        <v>0</v>
      </c>
      <c r="H576" s="70">
        <f>'RESUMEN TOTAL'!O659</f>
        <v>0</v>
      </c>
      <c r="I576" s="70">
        <f>'RESUMEN TOTAL'!P659</f>
        <v>0</v>
      </c>
      <c r="J576" s="70">
        <f>'RESUMEN TOTAL'!Q659</f>
        <v>0</v>
      </c>
      <c r="K576" s="70">
        <f>'RESUMEN TOTAL'!R659</f>
        <v>0</v>
      </c>
      <c r="L576" s="70">
        <f>'RESUMEN TOTAL'!S659</f>
        <v>0</v>
      </c>
      <c r="M576" s="70">
        <f>'RESUMEN TOTAL'!T659</f>
        <v>0</v>
      </c>
      <c r="N576" s="70">
        <f>'RESUMEN TOTAL'!U659</f>
        <v>0</v>
      </c>
      <c r="O576" s="70">
        <f>'RESUMEN TOTAL'!V659</f>
        <v>0</v>
      </c>
      <c r="P576" s="70">
        <f>'RESUMEN TOTAL'!W659</f>
        <v>0</v>
      </c>
      <c r="Q576" s="70">
        <f>'RESUMEN TOTAL'!X659</f>
        <v>0</v>
      </c>
      <c r="R576" s="70">
        <f>'RESUMEN TOTAL'!Y659</f>
        <v>0</v>
      </c>
      <c r="S576" s="70">
        <f>'RESUMEN TOTAL'!Z659</f>
        <v>0</v>
      </c>
      <c r="T576" s="70">
        <f>'RESUMEN TOTAL'!AA659</f>
        <v>0</v>
      </c>
      <c r="U576" s="70">
        <f>'RESUMEN TOTAL'!AB659</f>
        <v>0</v>
      </c>
      <c r="V576" s="70">
        <f>'RESUMEN TOTAL'!AC659</f>
        <v>0</v>
      </c>
      <c r="W576" s="70">
        <f>'RESUMEN TOTAL'!AD659</f>
        <v>0</v>
      </c>
      <c r="X576" s="70">
        <f>'RESUMEN TOTAL'!AE659</f>
        <v>0</v>
      </c>
      <c r="Y576" s="70">
        <f>'RESUMEN TOTAL'!AF659</f>
        <v>0</v>
      </c>
      <c r="Z576" s="70">
        <f>'RESUMEN TOTAL'!AG659</f>
        <v>0</v>
      </c>
      <c r="AA576" s="70">
        <f>'RESUMEN TOTAL'!AH659</f>
        <v>0</v>
      </c>
      <c r="AB576" s="70">
        <f>'RESUMEN TOTAL'!AI659</f>
        <v>0</v>
      </c>
      <c r="AC576" s="70">
        <f>'RESUMEN TOTAL'!AJ659</f>
        <v>0</v>
      </c>
      <c r="AD576" s="70">
        <f>'RESUMEN TOTAL'!AK659</f>
        <v>0</v>
      </c>
      <c r="AE576" s="70">
        <f>'RESUMEN TOTAL'!AL659</f>
        <v>0</v>
      </c>
      <c r="AF576" s="70">
        <f>'RESUMEN TOTAL'!AM659</f>
        <v>0</v>
      </c>
      <c r="AG576" s="70">
        <f>'RESUMEN TOTAL'!AN659</f>
        <v>0</v>
      </c>
      <c r="AH576" s="70">
        <f>'RESUMEN TOTAL'!AO659</f>
        <v>0</v>
      </c>
      <c r="AI576" s="70">
        <f>'RESUMEN TOTAL'!AP659</f>
        <v>0</v>
      </c>
    </row>
    <row r="577" spans="1:35" x14ac:dyDescent="0.25">
      <c r="A577">
        <f>'RESUMEN TOTAL'!A660</f>
        <v>0</v>
      </c>
      <c r="B577">
        <f>'RESUMEN TOTAL'!B660</f>
        <v>0</v>
      </c>
      <c r="C577">
        <f>'RESUMEN TOTAL'!D660</f>
        <v>0</v>
      </c>
      <c r="D577" s="30">
        <f>'RESUMEN TOTAL'!E660</f>
        <v>0</v>
      </c>
      <c r="E577" s="30">
        <f>'RESUMEN TOTAL'!F660</f>
        <v>0</v>
      </c>
      <c r="F577" s="70">
        <f>'RESUMEN TOTAL'!M660</f>
        <v>0</v>
      </c>
      <c r="G577" s="70">
        <f>'RESUMEN TOTAL'!N660</f>
        <v>0</v>
      </c>
      <c r="H577" s="70">
        <f>'RESUMEN TOTAL'!O660</f>
        <v>0</v>
      </c>
      <c r="I577" s="70">
        <f>'RESUMEN TOTAL'!P660</f>
        <v>0</v>
      </c>
      <c r="J577" s="70">
        <f>'RESUMEN TOTAL'!Q660</f>
        <v>0</v>
      </c>
      <c r="K577" s="70">
        <f>'RESUMEN TOTAL'!R660</f>
        <v>0</v>
      </c>
      <c r="L577" s="70">
        <f>'RESUMEN TOTAL'!S660</f>
        <v>0</v>
      </c>
      <c r="M577" s="70">
        <f>'RESUMEN TOTAL'!T660</f>
        <v>0</v>
      </c>
      <c r="N577" s="70">
        <f>'RESUMEN TOTAL'!U660</f>
        <v>0</v>
      </c>
      <c r="O577" s="70">
        <f>'RESUMEN TOTAL'!V660</f>
        <v>0</v>
      </c>
      <c r="P577" s="70">
        <f>'RESUMEN TOTAL'!W660</f>
        <v>0</v>
      </c>
      <c r="Q577" s="70">
        <f>'RESUMEN TOTAL'!X660</f>
        <v>0</v>
      </c>
      <c r="R577" s="70">
        <f>'RESUMEN TOTAL'!Y660</f>
        <v>0</v>
      </c>
      <c r="S577" s="70">
        <f>'RESUMEN TOTAL'!Z660</f>
        <v>0</v>
      </c>
      <c r="T577" s="70">
        <f>'RESUMEN TOTAL'!AA660</f>
        <v>0</v>
      </c>
      <c r="U577" s="70">
        <f>'RESUMEN TOTAL'!AB660</f>
        <v>0</v>
      </c>
      <c r="V577" s="70">
        <f>'RESUMEN TOTAL'!AC660</f>
        <v>0</v>
      </c>
      <c r="W577" s="70">
        <f>'RESUMEN TOTAL'!AD660</f>
        <v>0</v>
      </c>
      <c r="X577" s="70">
        <f>'RESUMEN TOTAL'!AE660</f>
        <v>0</v>
      </c>
      <c r="Y577" s="70">
        <f>'RESUMEN TOTAL'!AF660</f>
        <v>0</v>
      </c>
      <c r="Z577" s="70">
        <f>'RESUMEN TOTAL'!AG660</f>
        <v>0</v>
      </c>
      <c r="AA577" s="70">
        <f>'RESUMEN TOTAL'!AH660</f>
        <v>0</v>
      </c>
      <c r="AB577" s="70">
        <f>'RESUMEN TOTAL'!AI660</f>
        <v>0</v>
      </c>
      <c r="AC577" s="70">
        <f>'RESUMEN TOTAL'!AJ660</f>
        <v>0</v>
      </c>
      <c r="AD577" s="70">
        <f>'RESUMEN TOTAL'!AK660</f>
        <v>0</v>
      </c>
      <c r="AE577" s="70">
        <f>'RESUMEN TOTAL'!AL660</f>
        <v>0</v>
      </c>
      <c r="AF577" s="70">
        <f>'RESUMEN TOTAL'!AM660</f>
        <v>0</v>
      </c>
      <c r="AG577" s="70">
        <f>'RESUMEN TOTAL'!AN660</f>
        <v>0</v>
      </c>
      <c r="AH577" s="70">
        <f>'RESUMEN TOTAL'!AO660</f>
        <v>0</v>
      </c>
      <c r="AI577" s="70">
        <f>'RESUMEN TOTAL'!AP660</f>
        <v>0</v>
      </c>
    </row>
    <row r="578" spans="1:35" x14ac:dyDescent="0.25">
      <c r="A578">
        <f>'RESUMEN TOTAL'!A661</f>
        <v>0</v>
      </c>
      <c r="B578">
        <f>'RESUMEN TOTAL'!B661</f>
        <v>0</v>
      </c>
      <c r="C578">
        <f>'RESUMEN TOTAL'!D661</f>
        <v>0</v>
      </c>
      <c r="D578" s="30">
        <f>'RESUMEN TOTAL'!E661</f>
        <v>0</v>
      </c>
      <c r="E578" s="30">
        <f>'RESUMEN TOTAL'!F661</f>
        <v>0</v>
      </c>
      <c r="F578" s="70">
        <f>'RESUMEN TOTAL'!M661</f>
        <v>0</v>
      </c>
      <c r="G578" s="70">
        <f>'RESUMEN TOTAL'!N661</f>
        <v>0</v>
      </c>
      <c r="H578" s="70">
        <f>'RESUMEN TOTAL'!O661</f>
        <v>0</v>
      </c>
      <c r="I578" s="70">
        <f>'RESUMEN TOTAL'!P661</f>
        <v>0</v>
      </c>
      <c r="J578" s="70">
        <f>'RESUMEN TOTAL'!Q661</f>
        <v>0</v>
      </c>
      <c r="K578" s="70">
        <f>'RESUMEN TOTAL'!R661</f>
        <v>0</v>
      </c>
      <c r="L578" s="70">
        <f>'RESUMEN TOTAL'!S661</f>
        <v>0</v>
      </c>
      <c r="M578" s="70">
        <f>'RESUMEN TOTAL'!T661</f>
        <v>0</v>
      </c>
      <c r="N578" s="70">
        <f>'RESUMEN TOTAL'!U661</f>
        <v>0</v>
      </c>
      <c r="O578" s="70">
        <f>'RESUMEN TOTAL'!V661</f>
        <v>0</v>
      </c>
      <c r="P578" s="70">
        <f>'RESUMEN TOTAL'!W661</f>
        <v>0</v>
      </c>
      <c r="Q578" s="70">
        <f>'RESUMEN TOTAL'!X661</f>
        <v>0</v>
      </c>
      <c r="R578" s="70">
        <f>'RESUMEN TOTAL'!Y661</f>
        <v>0</v>
      </c>
      <c r="S578" s="70">
        <f>'RESUMEN TOTAL'!Z661</f>
        <v>0</v>
      </c>
      <c r="T578" s="70">
        <f>'RESUMEN TOTAL'!AA661</f>
        <v>0</v>
      </c>
      <c r="U578" s="70">
        <f>'RESUMEN TOTAL'!AB661</f>
        <v>0</v>
      </c>
      <c r="V578" s="70">
        <f>'RESUMEN TOTAL'!AC661</f>
        <v>0</v>
      </c>
      <c r="W578" s="70">
        <f>'RESUMEN TOTAL'!AD661</f>
        <v>0</v>
      </c>
      <c r="X578" s="70">
        <f>'RESUMEN TOTAL'!AE661</f>
        <v>0</v>
      </c>
      <c r="Y578" s="70">
        <f>'RESUMEN TOTAL'!AF661</f>
        <v>0</v>
      </c>
      <c r="Z578" s="70">
        <f>'RESUMEN TOTAL'!AG661</f>
        <v>0</v>
      </c>
      <c r="AA578" s="70">
        <f>'RESUMEN TOTAL'!AH661</f>
        <v>0</v>
      </c>
      <c r="AB578" s="70">
        <f>'RESUMEN TOTAL'!AI661</f>
        <v>0</v>
      </c>
      <c r="AC578" s="70">
        <f>'RESUMEN TOTAL'!AJ661</f>
        <v>0</v>
      </c>
      <c r="AD578" s="70">
        <f>'RESUMEN TOTAL'!AK661</f>
        <v>0</v>
      </c>
      <c r="AE578" s="70">
        <f>'RESUMEN TOTAL'!AL661</f>
        <v>0</v>
      </c>
      <c r="AF578" s="70">
        <f>'RESUMEN TOTAL'!AM661</f>
        <v>0</v>
      </c>
      <c r="AG578" s="70">
        <f>'RESUMEN TOTAL'!AN661</f>
        <v>0</v>
      </c>
      <c r="AH578" s="70">
        <f>'RESUMEN TOTAL'!AO661</f>
        <v>0</v>
      </c>
      <c r="AI578" s="70">
        <f>'RESUMEN TOTAL'!AP661</f>
        <v>0</v>
      </c>
    </row>
    <row r="579" spans="1:35" x14ac:dyDescent="0.25">
      <c r="A579">
        <f>'RESUMEN TOTAL'!A662</f>
        <v>0</v>
      </c>
      <c r="B579">
        <f>'RESUMEN TOTAL'!B662</f>
        <v>0</v>
      </c>
      <c r="C579">
        <f>'RESUMEN TOTAL'!D662</f>
        <v>0</v>
      </c>
      <c r="D579" s="30">
        <f>'RESUMEN TOTAL'!E662</f>
        <v>0</v>
      </c>
      <c r="E579" s="30">
        <f>'RESUMEN TOTAL'!F662</f>
        <v>0</v>
      </c>
      <c r="F579" s="70">
        <f>'RESUMEN TOTAL'!M662</f>
        <v>0</v>
      </c>
      <c r="G579" s="70">
        <f>'RESUMEN TOTAL'!N662</f>
        <v>0</v>
      </c>
      <c r="H579" s="70">
        <f>'RESUMEN TOTAL'!O662</f>
        <v>0</v>
      </c>
      <c r="I579" s="70">
        <f>'RESUMEN TOTAL'!P662</f>
        <v>0</v>
      </c>
      <c r="J579" s="70">
        <f>'RESUMEN TOTAL'!Q662</f>
        <v>0</v>
      </c>
      <c r="K579" s="70">
        <f>'RESUMEN TOTAL'!R662</f>
        <v>0</v>
      </c>
      <c r="L579" s="70">
        <f>'RESUMEN TOTAL'!S662</f>
        <v>0</v>
      </c>
      <c r="M579" s="70">
        <f>'RESUMEN TOTAL'!T662</f>
        <v>0</v>
      </c>
      <c r="N579" s="70">
        <f>'RESUMEN TOTAL'!U662</f>
        <v>0</v>
      </c>
      <c r="O579" s="70">
        <f>'RESUMEN TOTAL'!V662</f>
        <v>0</v>
      </c>
      <c r="P579" s="70">
        <f>'RESUMEN TOTAL'!W662</f>
        <v>0</v>
      </c>
      <c r="Q579" s="70">
        <f>'RESUMEN TOTAL'!X662</f>
        <v>0</v>
      </c>
      <c r="R579" s="70">
        <f>'RESUMEN TOTAL'!Y662</f>
        <v>0</v>
      </c>
      <c r="S579" s="70">
        <f>'RESUMEN TOTAL'!Z662</f>
        <v>0</v>
      </c>
      <c r="T579" s="70">
        <f>'RESUMEN TOTAL'!AA662</f>
        <v>0</v>
      </c>
      <c r="U579" s="70">
        <f>'RESUMEN TOTAL'!AB662</f>
        <v>0</v>
      </c>
      <c r="V579" s="70">
        <f>'RESUMEN TOTAL'!AC662</f>
        <v>0</v>
      </c>
      <c r="W579" s="70">
        <f>'RESUMEN TOTAL'!AD662</f>
        <v>0</v>
      </c>
      <c r="X579" s="70">
        <f>'RESUMEN TOTAL'!AE662</f>
        <v>0</v>
      </c>
      <c r="Y579" s="70">
        <f>'RESUMEN TOTAL'!AF662</f>
        <v>0</v>
      </c>
      <c r="Z579" s="70">
        <f>'RESUMEN TOTAL'!AG662</f>
        <v>0</v>
      </c>
      <c r="AA579" s="70">
        <f>'RESUMEN TOTAL'!AH662</f>
        <v>0</v>
      </c>
      <c r="AB579" s="70">
        <f>'RESUMEN TOTAL'!AI662</f>
        <v>0</v>
      </c>
      <c r="AC579" s="70">
        <f>'RESUMEN TOTAL'!AJ662</f>
        <v>0</v>
      </c>
      <c r="AD579" s="70">
        <f>'RESUMEN TOTAL'!AK662</f>
        <v>0</v>
      </c>
      <c r="AE579" s="70">
        <f>'RESUMEN TOTAL'!AL662</f>
        <v>0</v>
      </c>
      <c r="AF579" s="70">
        <f>'RESUMEN TOTAL'!AM662</f>
        <v>0</v>
      </c>
      <c r="AG579" s="70">
        <f>'RESUMEN TOTAL'!AN662</f>
        <v>0</v>
      </c>
      <c r="AH579" s="70">
        <f>'RESUMEN TOTAL'!AO662</f>
        <v>0</v>
      </c>
      <c r="AI579" s="70">
        <f>'RESUMEN TOTAL'!AP662</f>
        <v>0</v>
      </c>
    </row>
    <row r="580" spans="1:35" x14ac:dyDescent="0.25">
      <c r="A580">
        <f>'RESUMEN TOTAL'!A663</f>
        <v>0</v>
      </c>
      <c r="B580">
        <f>'RESUMEN TOTAL'!B663</f>
        <v>0</v>
      </c>
      <c r="C580">
        <f>'RESUMEN TOTAL'!D663</f>
        <v>0</v>
      </c>
      <c r="D580" s="30">
        <f>'RESUMEN TOTAL'!E663</f>
        <v>0</v>
      </c>
      <c r="E580" s="30">
        <f>'RESUMEN TOTAL'!F663</f>
        <v>0</v>
      </c>
      <c r="F580" s="70">
        <f>'RESUMEN TOTAL'!M663</f>
        <v>0</v>
      </c>
      <c r="G580" s="70">
        <f>'RESUMEN TOTAL'!N663</f>
        <v>0</v>
      </c>
      <c r="H580" s="70">
        <f>'RESUMEN TOTAL'!O663</f>
        <v>0</v>
      </c>
      <c r="I580" s="70">
        <f>'RESUMEN TOTAL'!P663</f>
        <v>0</v>
      </c>
      <c r="J580" s="70">
        <f>'RESUMEN TOTAL'!Q663</f>
        <v>0</v>
      </c>
      <c r="K580" s="70">
        <f>'RESUMEN TOTAL'!R663</f>
        <v>0</v>
      </c>
      <c r="L580" s="70">
        <f>'RESUMEN TOTAL'!S663</f>
        <v>0</v>
      </c>
      <c r="M580" s="70">
        <f>'RESUMEN TOTAL'!T663</f>
        <v>0</v>
      </c>
      <c r="N580" s="70">
        <f>'RESUMEN TOTAL'!U663</f>
        <v>0</v>
      </c>
      <c r="O580" s="70">
        <f>'RESUMEN TOTAL'!V663</f>
        <v>0</v>
      </c>
      <c r="P580" s="70">
        <f>'RESUMEN TOTAL'!W663</f>
        <v>0</v>
      </c>
      <c r="Q580" s="70">
        <f>'RESUMEN TOTAL'!X663</f>
        <v>0</v>
      </c>
      <c r="R580" s="70">
        <f>'RESUMEN TOTAL'!Y663</f>
        <v>0</v>
      </c>
      <c r="S580" s="70">
        <f>'RESUMEN TOTAL'!Z663</f>
        <v>0</v>
      </c>
      <c r="T580" s="70">
        <f>'RESUMEN TOTAL'!AA663</f>
        <v>0</v>
      </c>
      <c r="U580" s="70">
        <f>'RESUMEN TOTAL'!AB663</f>
        <v>0</v>
      </c>
      <c r="V580" s="70">
        <f>'RESUMEN TOTAL'!AC663</f>
        <v>0</v>
      </c>
      <c r="W580" s="70">
        <f>'RESUMEN TOTAL'!AD663</f>
        <v>0</v>
      </c>
      <c r="X580" s="70">
        <f>'RESUMEN TOTAL'!AE663</f>
        <v>0</v>
      </c>
      <c r="Y580" s="70">
        <f>'RESUMEN TOTAL'!AF663</f>
        <v>0</v>
      </c>
      <c r="Z580" s="70">
        <f>'RESUMEN TOTAL'!AG663</f>
        <v>0</v>
      </c>
      <c r="AA580" s="70">
        <f>'RESUMEN TOTAL'!AH663</f>
        <v>0</v>
      </c>
      <c r="AB580" s="70">
        <f>'RESUMEN TOTAL'!AI663</f>
        <v>0</v>
      </c>
      <c r="AC580" s="70">
        <f>'RESUMEN TOTAL'!AJ663</f>
        <v>0</v>
      </c>
      <c r="AD580" s="70">
        <f>'RESUMEN TOTAL'!AK663</f>
        <v>0</v>
      </c>
      <c r="AE580" s="70">
        <f>'RESUMEN TOTAL'!AL663</f>
        <v>0</v>
      </c>
      <c r="AF580" s="70">
        <f>'RESUMEN TOTAL'!AM663</f>
        <v>0</v>
      </c>
      <c r="AG580" s="70">
        <f>'RESUMEN TOTAL'!AN663</f>
        <v>0</v>
      </c>
      <c r="AH580" s="70">
        <f>'RESUMEN TOTAL'!AO663</f>
        <v>0</v>
      </c>
      <c r="AI580" s="70">
        <f>'RESUMEN TOTAL'!AP663</f>
        <v>0</v>
      </c>
    </row>
    <row r="581" spans="1:35" x14ac:dyDescent="0.25">
      <c r="A581">
        <f>'RESUMEN TOTAL'!A664</f>
        <v>0</v>
      </c>
      <c r="B581">
        <f>'RESUMEN TOTAL'!B664</f>
        <v>0</v>
      </c>
      <c r="C581">
        <f>'RESUMEN TOTAL'!D664</f>
        <v>0</v>
      </c>
      <c r="D581" s="30">
        <f>'RESUMEN TOTAL'!E664</f>
        <v>0</v>
      </c>
      <c r="E581" s="30">
        <f>'RESUMEN TOTAL'!F664</f>
        <v>0</v>
      </c>
      <c r="F581" s="70">
        <f>'RESUMEN TOTAL'!M664</f>
        <v>0</v>
      </c>
      <c r="G581" s="70">
        <f>'RESUMEN TOTAL'!N664</f>
        <v>0</v>
      </c>
      <c r="H581" s="70">
        <f>'RESUMEN TOTAL'!O664</f>
        <v>0</v>
      </c>
      <c r="I581" s="70">
        <f>'RESUMEN TOTAL'!P664</f>
        <v>0</v>
      </c>
      <c r="J581" s="70">
        <f>'RESUMEN TOTAL'!Q664</f>
        <v>0</v>
      </c>
      <c r="K581" s="70">
        <f>'RESUMEN TOTAL'!R664</f>
        <v>0</v>
      </c>
      <c r="L581" s="70">
        <f>'RESUMEN TOTAL'!S664</f>
        <v>0</v>
      </c>
      <c r="M581" s="70">
        <f>'RESUMEN TOTAL'!T664</f>
        <v>0</v>
      </c>
      <c r="N581" s="70">
        <f>'RESUMEN TOTAL'!U664</f>
        <v>0</v>
      </c>
      <c r="O581" s="70">
        <f>'RESUMEN TOTAL'!V664</f>
        <v>0</v>
      </c>
      <c r="P581" s="70">
        <f>'RESUMEN TOTAL'!W664</f>
        <v>0</v>
      </c>
      <c r="Q581" s="70">
        <f>'RESUMEN TOTAL'!X664</f>
        <v>0</v>
      </c>
      <c r="R581" s="70">
        <f>'RESUMEN TOTAL'!Y664</f>
        <v>0</v>
      </c>
      <c r="S581" s="70">
        <f>'RESUMEN TOTAL'!Z664</f>
        <v>0</v>
      </c>
      <c r="T581" s="70">
        <f>'RESUMEN TOTAL'!AA664</f>
        <v>0</v>
      </c>
      <c r="U581" s="70">
        <f>'RESUMEN TOTAL'!AB664</f>
        <v>0</v>
      </c>
      <c r="V581" s="70">
        <f>'RESUMEN TOTAL'!AC664</f>
        <v>0</v>
      </c>
      <c r="W581" s="70">
        <f>'RESUMEN TOTAL'!AD664</f>
        <v>0</v>
      </c>
      <c r="X581" s="70">
        <f>'RESUMEN TOTAL'!AE664</f>
        <v>0</v>
      </c>
      <c r="Y581" s="70">
        <f>'RESUMEN TOTAL'!AF664</f>
        <v>0</v>
      </c>
      <c r="Z581" s="70">
        <f>'RESUMEN TOTAL'!AG664</f>
        <v>0</v>
      </c>
      <c r="AA581" s="70">
        <f>'RESUMEN TOTAL'!AH664</f>
        <v>0</v>
      </c>
      <c r="AB581" s="70">
        <f>'RESUMEN TOTAL'!AI664</f>
        <v>0</v>
      </c>
      <c r="AC581" s="70">
        <f>'RESUMEN TOTAL'!AJ664</f>
        <v>0</v>
      </c>
      <c r="AD581" s="70">
        <f>'RESUMEN TOTAL'!AK664</f>
        <v>0</v>
      </c>
      <c r="AE581" s="70">
        <f>'RESUMEN TOTAL'!AL664</f>
        <v>0</v>
      </c>
      <c r="AF581" s="70">
        <f>'RESUMEN TOTAL'!AM664</f>
        <v>0</v>
      </c>
      <c r="AG581" s="70">
        <f>'RESUMEN TOTAL'!AN664</f>
        <v>0</v>
      </c>
      <c r="AH581" s="70">
        <f>'RESUMEN TOTAL'!AO664</f>
        <v>0</v>
      </c>
      <c r="AI581" s="70">
        <f>'RESUMEN TOTAL'!AP664</f>
        <v>0</v>
      </c>
    </row>
    <row r="582" spans="1:35" x14ac:dyDescent="0.25">
      <c r="A582">
        <f>'RESUMEN TOTAL'!A665</f>
        <v>0</v>
      </c>
      <c r="B582">
        <f>'RESUMEN TOTAL'!B665</f>
        <v>0</v>
      </c>
      <c r="C582">
        <f>'RESUMEN TOTAL'!D665</f>
        <v>0</v>
      </c>
      <c r="D582" s="30">
        <f>'RESUMEN TOTAL'!E665</f>
        <v>0</v>
      </c>
      <c r="E582" s="30">
        <f>'RESUMEN TOTAL'!F665</f>
        <v>0</v>
      </c>
      <c r="F582" s="70">
        <f>'RESUMEN TOTAL'!M665</f>
        <v>0</v>
      </c>
      <c r="G582" s="70">
        <f>'RESUMEN TOTAL'!N665</f>
        <v>0</v>
      </c>
      <c r="H582" s="70">
        <f>'RESUMEN TOTAL'!O665</f>
        <v>0</v>
      </c>
      <c r="I582" s="70">
        <f>'RESUMEN TOTAL'!P665</f>
        <v>0</v>
      </c>
      <c r="J582" s="70">
        <f>'RESUMEN TOTAL'!Q665</f>
        <v>0</v>
      </c>
      <c r="K582" s="70">
        <f>'RESUMEN TOTAL'!R665</f>
        <v>0</v>
      </c>
      <c r="L582" s="70">
        <f>'RESUMEN TOTAL'!S665</f>
        <v>0</v>
      </c>
      <c r="M582" s="70">
        <f>'RESUMEN TOTAL'!T665</f>
        <v>0</v>
      </c>
      <c r="N582" s="70">
        <f>'RESUMEN TOTAL'!U665</f>
        <v>0</v>
      </c>
      <c r="O582" s="70">
        <f>'RESUMEN TOTAL'!V665</f>
        <v>0</v>
      </c>
      <c r="P582" s="70">
        <f>'RESUMEN TOTAL'!W665</f>
        <v>0</v>
      </c>
      <c r="Q582" s="70">
        <f>'RESUMEN TOTAL'!X665</f>
        <v>0</v>
      </c>
      <c r="R582" s="70">
        <f>'RESUMEN TOTAL'!Y665</f>
        <v>0</v>
      </c>
      <c r="S582" s="70">
        <f>'RESUMEN TOTAL'!Z665</f>
        <v>0</v>
      </c>
      <c r="T582" s="70">
        <f>'RESUMEN TOTAL'!AA665</f>
        <v>0</v>
      </c>
      <c r="U582" s="70">
        <f>'RESUMEN TOTAL'!AB665</f>
        <v>0</v>
      </c>
      <c r="V582" s="70">
        <f>'RESUMEN TOTAL'!AC665</f>
        <v>0</v>
      </c>
      <c r="W582" s="70">
        <f>'RESUMEN TOTAL'!AD665</f>
        <v>0</v>
      </c>
      <c r="X582" s="70">
        <f>'RESUMEN TOTAL'!AE665</f>
        <v>0</v>
      </c>
      <c r="Y582" s="70">
        <f>'RESUMEN TOTAL'!AF665</f>
        <v>0</v>
      </c>
      <c r="Z582" s="70">
        <f>'RESUMEN TOTAL'!AG665</f>
        <v>0</v>
      </c>
      <c r="AA582" s="70">
        <f>'RESUMEN TOTAL'!AH665</f>
        <v>0</v>
      </c>
      <c r="AB582" s="70">
        <f>'RESUMEN TOTAL'!AI665</f>
        <v>0</v>
      </c>
      <c r="AC582" s="70">
        <f>'RESUMEN TOTAL'!AJ665</f>
        <v>0</v>
      </c>
      <c r="AD582" s="70">
        <f>'RESUMEN TOTAL'!AK665</f>
        <v>0</v>
      </c>
      <c r="AE582" s="70">
        <f>'RESUMEN TOTAL'!AL665</f>
        <v>0</v>
      </c>
      <c r="AF582" s="70">
        <f>'RESUMEN TOTAL'!AM665</f>
        <v>0</v>
      </c>
      <c r="AG582" s="70">
        <f>'RESUMEN TOTAL'!AN665</f>
        <v>0</v>
      </c>
      <c r="AH582" s="70">
        <f>'RESUMEN TOTAL'!AO665</f>
        <v>0</v>
      </c>
      <c r="AI582" s="70">
        <f>'RESUMEN TOTAL'!AP665</f>
        <v>0</v>
      </c>
    </row>
    <row r="583" spans="1:35" x14ac:dyDescent="0.25">
      <c r="A583">
        <f>'RESUMEN TOTAL'!A666</f>
        <v>0</v>
      </c>
      <c r="B583">
        <f>'RESUMEN TOTAL'!B666</f>
        <v>0</v>
      </c>
      <c r="C583">
        <f>'RESUMEN TOTAL'!D666</f>
        <v>0</v>
      </c>
      <c r="D583" s="30">
        <f>'RESUMEN TOTAL'!E666</f>
        <v>0</v>
      </c>
      <c r="E583" s="30">
        <f>'RESUMEN TOTAL'!F666</f>
        <v>0</v>
      </c>
      <c r="F583" s="70">
        <f>'RESUMEN TOTAL'!M666</f>
        <v>0</v>
      </c>
      <c r="G583" s="70">
        <f>'RESUMEN TOTAL'!N666</f>
        <v>0</v>
      </c>
      <c r="H583" s="70">
        <f>'RESUMEN TOTAL'!O666</f>
        <v>0</v>
      </c>
      <c r="I583" s="70">
        <f>'RESUMEN TOTAL'!P666</f>
        <v>0</v>
      </c>
      <c r="J583" s="70">
        <f>'RESUMEN TOTAL'!Q666</f>
        <v>0</v>
      </c>
      <c r="K583" s="70">
        <f>'RESUMEN TOTAL'!R666</f>
        <v>0</v>
      </c>
      <c r="L583" s="70">
        <f>'RESUMEN TOTAL'!S666</f>
        <v>0</v>
      </c>
      <c r="M583" s="70">
        <f>'RESUMEN TOTAL'!T666</f>
        <v>0</v>
      </c>
      <c r="N583" s="70">
        <f>'RESUMEN TOTAL'!U666</f>
        <v>0</v>
      </c>
      <c r="O583" s="70">
        <f>'RESUMEN TOTAL'!V666</f>
        <v>0</v>
      </c>
      <c r="P583" s="70">
        <f>'RESUMEN TOTAL'!W666</f>
        <v>0</v>
      </c>
      <c r="Q583" s="70">
        <f>'RESUMEN TOTAL'!X666</f>
        <v>0</v>
      </c>
      <c r="R583" s="70">
        <f>'RESUMEN TOTAL'!Y666</f>
        <v>0</v>
      </c>
      <c r="S583" s="70">
        <f>'RESUMEN TOTAL'!Z666</f>
        <v>0</v>
      </c>
      <c r="T583" s="70">
        <f>'RESUMEN TOTAL'!AA666</f>
        <v>0</v>
      </c>
      <c r="U583" s="70">
        <f>'RESUMEN TOTAL'!AB666</f>
        <v>0</v>
      </c>
      <c r="V583" s="70">
        <f>'RESUMEN TOTAL'!AC666</f>
        <v>0</v>
      </c>
      <c r="W583" s="70">
        <f>'RESUMEN TOTAL'!AD666</f>
        <v>0</v>
      </c>
      <c r="X583" s="70">
        <f>'RESUMEN TOTAL'!AE666</f>
        <v>0</v>
      </c>
      <c r="Y583" s="70">
        <f>'RESUMEN TOTAL'!AF666</f>
        <v>0</v>
      </c>
      <c r="Z583" s="70">
        <f>'RESUMEN TOTAL'!AG666</f>
        <v>0</v>
      </c>
      <c r="AA583" s="70">
        <f>'RESUMEN TOTAL'!AH666</f>
        <v>0</v>
      </c>
      <c r="AB583" s="70">
        <f>'RESUMEN TOTAL'!AI666</f>
        <v>0</v>
      </c>
      <c r="AC583" s="70">
        <f>'RESUMEN TOTAL'!AJ666</f>
        <v>0</v>
      </c>
      <c r="AD583" s="70">
        <f>'RESUMEN TOTAL'!AK666</f>
        <v>0</v>
      </c>
      <c r="AE583" s="70">
        <f>'RESUMEN TOTAL'!AL666</f>
        <v>0</v>
      </c>
      <c r="AF583" s="70">
        <f>'RESUMEN TOTAL'!AM666</f>
        <v>0</v>
      </c>
      <c r="AG583" s="70">
        <f>'RESUMEN TOTAL'!AN666</f>
        <v>0</v>
      </c>
      <c r="AH583" s="70">
        <f>'RESUMEN TOTAL'!AO666</f>
        <v>0</v>
      </c>
      <c r="AI583" s="70">
        <f>'RESUMEN TOTAL'!AP666</f>
        <v>0</v>
      </c>
    </row>
    <row r="584" spans="1:35" x14ac:dyDescent="0.25">
      <c r="A584">
        <f>'RESUMEN TOTAL'!A667</f>
        <v>0</v>
      </c>
      <c r="B584">
        <f>'RESUMEN TOTAL'!B667</f>
        <v>0</v>
      </c>
      <c r="C584">
        <f>'RESUMEN TOTAL'!D667</f>
        <v>0</v>
      </c>
      <c r="D584" s="30">
        <f>'RESUMEN TOTAL'!E667</f>
        <v>0</v>
      </c>
      <c r="E584" s="30">
        <f>'RESUMEN TOTAL'!F667</f>
        <v>0</v>
      </c>
      <c r="F584" s="70">
        <f>'RESUMEN TOTAL'!M667</f>
        <v>0</v>
      </c>
      <c r="G584" s="70">
        <f>'RESUMEN TOTAL'!N667</f>
        <v>0</v>
      </c>
      <c r="H584" s="70">
        <f>'RESUMEN TOTAL'!O667</f>
        <v>0</v>
      </c>
      <c r="I584" s="70">
        <f>'RESUMEN TOTAL'!P667</f>
        <v>0</v>
      </c>
      <c r="J584" s="70">
        <f>'RESUMEN TOTAL'!Q667</f>
        <v>0</v>
      </c>
      <c r="K584" s="70">
        <f>'RESUMEN TOTAL'!R667</f>
        <v>0</v>
      </c>
      <c r="L584" s="70">
        <f>'RESUMEN TOTAL'!S667</f>
        <v>0</v>
      </c>
      <c r="M584" s="70">
        <f>'RESUMEN TOTAL'!T667</f>
        <v>0</v>
      </c>
      <c r="N584" s="70">
        <f>'RESUMEN TOTAL'!U667</f>
        <v>0</v>
      </c>
      <c r="O584" s="70">
        <f>'RESUMEN TOTAL'!V667</f>
        <v>0</v>
      </c>
      <c r="P584" s="70">
        <f>'RESUMEN TOTAL'!W667</f>
        <v>0</v>
      </c>
      <c r="Q584" s="70">
        <f>'RESUMEN TOTAL'!X667</f>
        <v>0</v>
      </c>
      <c r="R584" s="70">
        <f>'RESUMEN TOTAL'!Y667</f>
        <v>0</v>
      </c>
      <c r="S584" s="70">
        <f>'RESUMEN TOTAL'!Z667</f>
        <v>0</v>
      </c>
      <c r="T584" s="70">
        <f>'RESUMEN TOTAL'!AA667</f>
        <v>0</v>
      </c>
      <c r="U584" s="70">
        <f>'RESUMEN TOTAL'!AB667</f>
        <v>0</v>
      </c>
      <c r="V584" s="70">
        <f>'RESUMEN TOTAL'!AC667</f>
        <v>0</v>
      </c>
      <c r="W584" s="70">
        <f>'RESUMEN TOTAL'!AD667</f>
        <v>0</v>
      </c>
      <c r="X584" s="70">
        <f>'RESUMEN TOTAL'!AE667</f>
        <v>0</v>
      </c>
      <c r="Y584" s="70">
        <f>'RESUMEN TOTAL'!AF667</f>
        <v>0</v>
      </c>
      <c r="Z584" s="70">
        <f>'RESUMEN TOTAL'!AG667</f>
        <v>0</v>
      </c>
      <c r="AA584" s="70">
        <f>'RESUMEN TOTAL'!AH667</f>
        <v>0</v>
      </c>
      <c r="AB584" s="70">
        <f>'RESUMEN TOTAL'!AI667</f>
        <v>0</v>
      </c>
      <c r="AC584" s="70">
        <f>'RESUMEN TOTAL'!AJ667</f>
        <v>0</v>
      </c>
      <c r="AD584" s="70">
        <f>'RESUMEN TOTAL'!AK667</f>
        <v>0</v>
      </c>
      <c r="AE584" s="70">
        <f>'RESUMEN TOTAL'!AL667</f>
        <v>0</v>
      </c>
      <c r="AF584" s="70">
        <f>'RESUMEN TOTAL'!AM667</f>
        <v>0</v>
      </c>
      <c r="AG584" s="70">
        <f>'RESUMEN TOTAL'!AN667</f>
        <v>0</v>
      </c>
      <c r="AH584" s="70">
        <f>'RESUMEN TOTAL'!AO667</f>
        <v>0</v>
      </c>
      <c r="AI584" s="70">
        <f>'RESUMEN TOTAL'!AP667</f>
        <v>0</v>
      </c>
    </row>
    <row r="585" spans="1:35" x14ac:dyDescent="0.25">
      <c r="A585">
        <f>'RESUMEN TOTAL'!A668</f>
        <v>0</v>
      </c>
      <c r="B585">
        <f>'RESUMEN TOTAL'!B668</f>
        <v>0</v>
      </c>
      <c r="C585">
        <f>'RESUMEN TOTAL'!D668</f>
        <v>0</v>
      </c>
      <c r="D585" s="30">
        <f>'RESUMEN TOTAL'!E668</f>
        <v>0</v>
      </c>
      <c r="E585" s="30">
        <f>'RESUMEN TOTAL'!F668</f>
        <v>0</v>
      </c>
      <c r="F585" s="70">
        <f>'RESUMEN TOTAL'!M668</f>
        <v>0</v>
      </c>
      <c r="G585" s="70">
        <f>'RESUMEN TOTAL'!N668</f>
        <v>0</v>
      </c>
      <c r="H585" s="70">
        <f>'RESUMEN TOTAL'!O668</f>
        <v>0</v>
      </c>
      <c r="I585" s="70">
        <f>'RESUMEN TOTAL'!P668</f>
        <v>0</v>
      </c>
      <c r="J585" s="70">
        <f>'RESUMEN TOTAL'!Q668</f>
        <v>0</v>
      </c>
      <c r="K585" s="70">
        <f>'RESUMEN TOTAL'!R668</f>
        <v>0</v>
      </c>
      <c r="L585" s="70">
        <f>'RESUMEN TOTAL'!S668</f>
        <v>0</v>
      </c>
      <c r="M585" s="70">
        <f>'RESUMEN TOTAL'!T668</f>
        <v>0</v>
      </c>
      <c r="N585" s="70">
        <f>'RESUMEN TOTAL'!U668</f>
        <v>0</v>
      </c>
      <c r="O585" s="70">
        <f>'RESUMEN TOTAL'!V668</f>
        <v>0</v>
      </c>
      <c r="P585" s="70">
        <f>'RESUMEN TOTAL'!W668</f>
        <v>0</v>
      </c>
      <c r="Q585" s="70">
        <f>'RESUMEN TOTAL'!X668</f>
        <v>0</v>
      </c>
      <c r="R585" s="70">
        <f>'RESUMEN TOTAL'!Y668</f>
        <v>0</v>
      </c>
      <c r="S585" s="70">
        <f>'RESUMEN TOTAL'!Z668</f>
        <v>0</v>
      </c>
      <c r="T585" s="70">
        <f>'RESUMEN TOTAL'!AA668</f>
        <v>0</v>
      </c>
      <c r="U585" s="70">
        <f>'RESUMEN TOTAL'!AB668</f>
        <v>0</v>
      </c>
      <c r="V585" s="70">
        <f>'RESUMEN TOTAL'!AC668</f>
        <v>0</v>
      </c>
      <c r="W585" s="70">
        <f>'RESUMEN TOTAL'!AD668</f>
        <v>0</v>
      </c>
      <c r="X585" s="70">
        <f>'RESUMEN TOTAL'!AE668</f>
        <v>0</v>
      </c>
      <c r="Y585" s="70">
        <f>'RESUMEN TOTAL'!AF668</f>
        <v>0</v>
      </c>
      <c r="Z585" s="70">
        <f>'RESUMEN TOTAL'!AG668</f>
        <v>0</v>
      </c>
      <c r="AA585" s="70">
        <f>'RESUMEN TOTAL'!AH668</f>
        <v>0</v>
      </c>
      <c r="AB585" s="70">
        <f>'RESUMEN TOTAL'!AI668</f>
        <v>0</v>
      </c>
      <c r="AC585" s="70">
        <f>'RESUMEN TOTAL'!AJ668</f>
        <v>0</v>
      </c>
      <c r="AD585" s="70">
        <f>'RESUMEN TOTAL'!AK668</f>
        <v>0</v>
      </c>
      <c r="AE585" s="70">
        <f>'RESUMEN TOTAL'!AL668</f>
        <v>0</v>
      </c>
      <c r="AF585" s="70">
        <f>'RESUMEN TOTAL'!AM668</f>
        <v>0</v>
      </c>
      <c r="AG585" s="70">
        <f>'RESUMEN TOTAL'!AN668</f>
        <v>0</v>
      </c>
      <c r="AH585" s="70">
        <f>'RESUMEN TOTAL'!AO668</f>
        <v>0</v>
      </c>
      <c r="AI585" s="70">
        <f>'RESUMEN TOTAL'!AP668</f>
        <v>0</v>
      </c>
    </row>
    <row r="586" spans="1:35" x14ac:dyDescent="0.25">
      <c r="A586">
        <f>'RESUMEN TOTAL'!A669</f>
        <v>0</v>
      </c>
      <c r="B586">
        <f>'RESUMEN TOTAL'!B669</f>
        <v>0</v>
      </c>
      <c r="C586">
        <f>'RESUMEN TOTAL'!D669</f>
        <v>0</v>
      </c>
      <c r="D586" s="30">
        <f>'RESUMEN TOTAL'!E669</f>
        <v>0</v>
      </c>
      <c r="E586" s="30">
        <f>'RESUMEN TOTAL'!F669</f>
        <v>0</v>
      </c>
      <c r="F586" s="70">
        <f>'RESUMEN TOTAL'!M669</f>
        <v>0</v>
      </c>
      <c r="G586" s="70">
        <f>'RESUMEN TOTAL'!N669</f>
        <v>0</v>
      </c>
      <c r="H586" s="70">
        <f>'RESUMEN TOTAL'!O669</f>
        <v>0</v>
      </c>
      <c r="I586" s="70">
        <f>'RESUMEN TOTAL'!P669</f>
        <v>0</v>
      </c>
      <c r="J586" s="70">
        <f>'RESUMEN TOTAL'!Q669</f>
        <v>0</v>
      </c>
      <c r="K586" s="70">
        <f>'RESUMEN TOTAL'!R669</f>
        <v>0</v>
      </c>
      <c r="L586" s="70">
        <f>'RESUMEN TOTAL'!S669</f>
        <v>0</v>
      </c>
      <c r="M586" s="70">
        <f>'RESUMEN TOTAL'!T669</f>
        <v>0</v>
      </c>
      <c r="N586" s="70">
        <f>'RESUMEN TOTAL'!U669</f>
        <v>0</v>
      </c>
      <c r="O586" s="70">
        <f>'RESUMEN TOTAL'!V669</f>
        <v>0</v>
      </c>
      <c r="P586" s="70">
        <f>'RESUMEN TOTAL'!W669</f>
        <v>0</v>
      </c>
      <c r="Q586" s="70">
        <f>'RESUMEN TOTAL'!X669</f>
        <v>0</v>
      </c>
      <c r="R586" s="70">
        <f>'RESUMEN TOTAL'!Y669</f>
        <v>0</v>
      </c>
      <c r="S586" s="70">
        <f>'RESUMEN TOTAL'!Z669</f>
        <v>0</v>
      </c>
      <c r="T586" s="70">
        <f>'RESUMEN TOTAL'!AA669</f>
        <v>0</v>
      </c>
      <c r="U586" s="70">
        <f>'RESUMEN TOTAL'!AB669</f>
        <v>0</v>
      </c>
      <c r="V586" s="70">
        <f>'RESUMEN TOTAL'!AC669</f>
        <v>0</v>
      </c>
      <c r="W586" s="70">
        <f>'RESUMEN TOTAL'!AD669</f>
        <v>0</v>
      </c>
      <c r="X586" s="70">
        <f>'RESUMEN TOTAL'!AE669</f>
        <v>0</v>
      </c>
      <c r="Y586" s="70">
        <f>'RESUMEN TOTAL'!AF669</f>
        <v>0</v>
      </c>
      <c r="Z586" s="70">
        <f>'RESUMEN TOTAL'!AG669</f>
        <v>0</v>
      </c>
      <c r="AA586" s="70">
        <f>'RESUMEN TOTAL'!AH669</f>
        <v>0</v>
      </c>
      <c r="AB586" s="70">
        <f>'RESUMEN TOTAL'!AI669</f>
        <v>0</v>
      </c>
      <c r="AC586" s="70">
        <f>'RESUMEN TOTAL'!AJ669</f>
        <v>0</v>
      </c>
      <c r="AD586" s="70">
        <f>'RESUMEN TOTAL'!AK669</f>
        <v>0</v>
      </c>
      <c r="AE586" s="70">
        <f>'RESUMEN TOTAL'!AL669</f>
        <v>0</v>
      </c>
      <c r="AF586" s="70">
        <f>'RESUMEN TOTAL'!AM669</f>
        <v>0</v>
      </c>
      <c r="AG586" s="70">
        <f>'RESUMEN TOTAL'!AN669</f>
        <v>0</v>
      </c>
      <c r="AH586" s="70">
        <f>'RESUMEN TOTAL'!AO669</f>
        <v>0</v>
      </c>
      <c r="AI586" s="70">
        <f>'RESUMEN TOTAL'!AP669</f>
        <v>0</v>
      </c>
    </row>
    <row r="587" spans="1:35" x14ac:dyDescent="0.25">
      <c r="A587">
        <f>'RESUMEN TOTAL'!A670</f>
        <v>0</v>
      </c>
      <c r="B587">
        <f>'RESUMEN TOTAL'!B670</f>
        <v>0</v>
      </c>
      <c r="C587">
        <f>'RESUMEN TOTAL'!D670</f>
        <v>0</v>
      </c>
      <c r="D587" s="30">
        <f>'RESUMEN TOTAL'!E670</f>
        <v>0</v>
      </c>
      <c r="E587" s="30">
        <f>'RESUMEN TOTAL'!F670</f>
        <v>0</v>
      </c>
      <c r="F587" s="70">
        <f>'RESUMEN TOTAL'!M670</f>
        <v>0</v>
      </c>
      <c r="G587" s="70">
        <f>'RESUMEN TOTAL'!N670</f>
        <v>0</v>
      </c>
      <c r="H587" s="70">
        <f>'RESUMEN TOTAL'!O670</f>
        <v>0</v>
      </c>
      <c r="I587" s="70">
        <f>'RESUMEN TOTAL'!P670</f>
        <v>0</v>
      </c>
      <c r="J587" s="70">
        <f>'RESUMEN TOTAL'!Q670</f>
        <v>0</v>
      </c>
      <c r="K587" s="70">
        <f>'RESUMEN TOTAL'!R670</f>
        <v>0</v>
      </c>
      <c r="L587" s="70">
        <f>'RESUMEN TOTAL'!S670</f>
        <v>0</v>
      </c>
      <c r="M587" s="70">
        <f>'RESUMEN TOTAL'!T670</f>
        <v>0</v>
      </c>
      <c r="N587" s="70">
        <f>'RESUMEN TOTAL'!U670</f>
        <v>0</v>
      </c>
      <c r="O587" s="70">
        <f>'RESUMEN TOTAL'!V670</f>
        <v>0</v>
      </c>
      <c r="P587" s="70">
        <f>'RESUMEN TOTAL'!W670</f>
        <v>0</v>
      </c>
      <c r="Q587" s="70">
        <f>'RESUMEN TOTAL'!X670</f>
        <v>0</v>
      </c>
      <c r="R587" s="70">
        <f>'RESUMEN TOTAL'!Y670</f>
        <v>0</v>
      </c>
      <c r="S587" s="70">
        <f>'RESUMEN TOTAL'!Z670</f>
        <v>0</v>
      </c>
      <c r="T587" s="70">
        <f>'RESUMEN TOTAL'!AA670</f>
        <v>0</v>
      </c>
      <c r="U587" s="70">
        <f>'RESUMEN TOTAL'!AB670</f>
        <v>0</v>
      </c>
      <c r="V587" s="70">
        <f>'RESUMEN TOTAL'!AC670</f>
        <v>0</v>
      </c>
      <c r="W587" s="70">
        <f>'RESUMEN TOTAL'!AD670</f>
        <v>0</v>
      </c>
      <c r="X587" s="70">
        <f>'RESUMEN TOTAL'!AE670</f>
        <v>0</v>
      </c>
      <c r="Y587" s="70">
        <f>'RESUMEN TOTAL'!AF670</f>
        <v>0</v>
      </c>
      <c r="Z587" s="70">
        <f>'RESUMEN TOTAL'!AG670</f>
        <v>0</v>
      </c>
      <c r="AA587" s="70">
        <f>'RESUMEN TOTAL'!AH670</f>
        <v>0</v>
      </c>
      <c r="AB587" s="70">
        <f>'RESUMEN TOTAL'!AI670</f>
        <v>0</v>
      </c>
      <c r="AC587" s="70">
        <f>'RESUMEN TOTAL'!AJ670</f>
        <v>0</v>
      </c>
      <c r="AD587" s="70">
        <f>'RESUMEN TOTAL'!AK670</f>
        <v>0</v>
      </c>
      <c r="AE587" s="70">
        <f>'RESUMEN TOTAL'!AL670</f>
        <v>0</v>
      </c>
      <c r="AF587" s="70">
        <f>'RESUMEN TOTAL'!AM670</f>
        <v>0</v>
      </c>
      <c r="AG587" s="70">
        <f>'RESUMEN TOTAL'!AN670</f>
        <v>0</v>
      </c>
      <c r="AH587" s="70">
        <f>'RESUMEN TOTAL'!AO670</f>
        <v>0</v>
      </c>
      <c r="AI587" s="70">
        <f>'RESUMEN TOTAL'!AP670</f>
        <v>0</v>
      </c>
    </row>
    <row r="588" spans="1:35" x14ac:dyDescent="0.25">
      <c r="A588">
        <f>'RESUMEN TOTAL'!A671</f>
        <v>0</v>
      </c>
      <c r="B588">
        <f>'RESUMEN TOTAL'!B671</f>
        <v>0</v>
      </c>
      <c r="C588">
        <f>'RESUMEN TOTAL'!D671</f>
        <v>0</v>
      </c>
      <c r="D588" s="30">
        <f>'RESUMEN TOTAL'!E671</f>
        <v>0</v>
      </c>
      <c r="E588" s="30">
        <f>'RESUMEN TOTAL'!F671</f>
        <v>0</v>
      </c>
      <c r="F588" s="70">
        <f>'RESUMEN TOTAL'!M671</f>
        <v>0</v>
      </c>
      <c r="G588" s="70">
        <f>'RESUMEN TOTAL'!N671</f>
        <v>0</v>
      </c>
      <c r="H588" s="70">
        <f>'RESUMEN TOTAL'!O671</f>
        <v>0</v>
      </c>
      <c r="I588" s="70">
        <f>'RESUMEN TOTAL'!P671</f>
        <v>0</v>
      </c>
      <c r="J588" s="70">
        <f>'RESUMEN TOTAL'!Q671</f>
        <v>0</v>
      </c>
      <c r="K588" s="70">
        <f>'RESUMEN TOTAL'!R671</f>
        <v>0</v>
      </c>
      <c r="L588" s="70">
        <f>'RESUMEN TOTAL'!S671</f>
        <v>0</v>
      </c>
      <c r="M588" s="70">
        <f>'RESUMEN TOTAL'!T671</f>
        <v>0</v>
      </c>
      <c r="N588" s="70">
        <f>'RESUMEN TOTAL'!U671</f>
        <v>0</v>
      </c>
      <c r="O588" s="70">
        <f>'RESUMEN TOTAL'!V671</f>
        <v>0</v>
      </c>
      <c r="P588" s="70">
        <f>'RESUMEN TOTAL'!W671</f>
        <v>0</v>
      </c>
      <c r="Q588" s="70">
        <f>'RESUMEN TOTAL'!X671</f>
        <v>0</v>
      </c>
      <c r="R588" s="70">
        <f>'RESUMEN TOTAL'!Y671</f>
        <v>0</v>
      </c>
      <c r="S588" s="70">
        <f>'RESUMEN TOTAL'!Z671</f>
        <v>0</v>
      </c>
      <c r="T588" s="70">
        <f>'RESUMEN TOTAL'!AA671</f>
        <v>0</v>
      </c>
      <c r="U588" s="70">
        <f>'RESUMEN TOTAL'!AB671</f>
        <v>0</v>
      </c>
      <c r="V588" s="70">
        <f>'RESUMEN TOTAL'!AC671</f>
        <v>0</v>
      </c>
      <c r="W588" s="70">
        <f>'RESUMEN TOTAL'!AD671</f>
        <v>0</v>
      </c>
      <c r="X588" s="70">
        <f>'RESUMEN TOTAL'!AE671</f>
        <v>0</v>
      </c>
      <c r="Y588" s="70">
        <f>'RESUMEN TOTAL'!AF671</f>
        <v>0</v>
      </c>
      <c r="Z588" s="70">
        <f>'RESUMEN TOTAL'!AG671</f>
        <v>0</v>
      </c>
      <c r="AA588" s="70">
        <f>'RESUMEN TOTAL'!AH671</f>
        <v>0</v>
      </c>
      <c r="AB588" s="70">
        <f>'RESUMEN TOTAL'!AI671</f>
        <v>0</v>
      </c>
      <c r="AC588" s="70">
        <f>'RESUMEN TOTAL'!AJ671</f>
        <v>0</v>
      </c>
      <c r="AD588" s="70">
        <f>'RESUMEN TOTAL'!AK671</f>
        <v>0</v>
      </c>
      <c r="AE588" s="70">
        <f>'RESUMEN TOTAL'!AL671</f>
        <v>0</v>
      </c>
      <c r="AF588" s="70">
        <f>'RESUMEN TOTAL'!AM671</f>
        <v>0</v>
      </c>
      <c r="AG588" s="70">
        <f>'RESUMEN TOTAL'!AN671</f>
        <v>0</v>
      </c>
      <c r="AH588" s="70">
        <f>'RESUMEN TOTAL'!AO671</f>
        <v>0</v>
      </c>
      <c r="AI588" s="70">
        <f>'RESUMEN TOTAL'!AP671</f>
        <v>0</v>
      </c>
    </row>
    <row r="589" spans="1:35" x14ac:dyDescent="0.25">
      <c r="A589">
        <f>'RESUMEN TOTAL'!A672</f>
        <v>0</v>
      </c>
      <c r="B589">
        <f>'RESUMEN TOTAL'!B672</f>
        <v>0</v>
      </c>
      <c r="C589">
        <f>'RESUMEN TOTAL'!D672</f>
        <v>0</v>
      </c>
      <c r="D589" s="30">
        <f>'RESUMEN TOTAL'!E672</f>
        <v>0</v>
      </c>
      <c r="E589" s="30">
        <f>'RESUMEN TOTAL'!F672</f>
        <v>0</v>
      </c>
      <c r="F589" s="70">
        <f>'RESUMEN TOTAL'!M672</f>
        <v>0</v>
      </c>
      <c r="G589" s="70">
        <f>'RESUMEN TOTAL'!N672</f>
        <v>0</v>
      </c>
      <c r="H589" s="70">
        <f>'RESUMEN TOTAL'!O672</f>
        <v>0</v>
      </c>
      <c r="I589" s="70">
        <f>'RESUMEN TOTAL'!P672</f>
        <v>0</v>
      </c>
      <c r="J589" s="70">
        <f>'RESUMEN TOTAL'!Q672</f>
        <v>0</v>
      </c>
      <c r="K589" s="70">
        <f>'RESUMEN TOTAL'!R672</f>
        <v>0</v>
      </c>
      <c r="L589" s="70">
        <f>'RESUMEN TOTAL'!S672</f>
        <v>0</v>
      </c>
      <c r="M589" s="70">
        <f>'RESUMEN TOTAL'!T672</f>
        <v>0</v>
      </c>
      <c r="N589" s="70">
        <f>'RESUMEN TOTAL'!U672</f>
        <v>0</v>
      </c>
      <c r="O589" s="70">
        <f>'RESUMEN TOTAL'!V672</f>
        <v>0</v>
      </c>
      <c r="P589" s="70">
        <f>'RESUMEN TOTAL'!W672</f>
        <v>0</v>
      </c>
      <c r="Q589" s="70">
        <f>'RESUMEN TOTAL'!X672</f>
        <v>0</v>
      </c>
      <c r="R589" s="70">
        <f>'RESUMEN TOTAL'!Y672</f>
        <v>0</v>
      </c>
      <c r="S589" s="70">
        <f>'RESUMEN TOTAL'!Z672</f>
        <v>0</v>
      </c>
      <c r="T589" s="70">
        <f>'RESUMEN TOTAL'!AA672</f>
        <v>0</v>
      </c>
      <c r="U589" s="70">
        <f>'RESUMEN TOTAL'!AB672</f>
        <v>0</v>
      </c>
      <c r="V589" s="70">
        <f>'RESUMEN TOTAL'!AC672</f>
        <v>0</v>
      </c>
      <c r="W589" s="70">
        <f>'RESUMEN TOTAL'!AD672</f>
        <v>0</v>
      </c>
      <c r="X589" s="70">
        <f>'RESUMEN TOTAL'!AE672</f>
        <v>0</v>
      </c>
      <c r="Y589" s="70">
        <f>'RESUMEN TOTAL'!AF672</f>
        <v>0</v>
      </c>
      <c r="Z589" s="70">
        <f>'RESUMEN TOTAL'!AG672</f>
        <v>0</v>
      </c>
      <c r="AA589" s="70">
        <f>'RESUMEN TOTAL'!AH672</f>
        <v>0</v>
      </c>
      <c r="AB589" s="70">
        <f>'RESUMEN TOTAL'!AI672</f>
        <v>0</v>
      </c>
      <c r="AC589" s="70">
        <f>'RESUMEN TOTAL'!AJ672</f>
        <v>0</v>
      </c>
      <c r="AD589" s="70">
        <f>'RESUMEN TOTAL'!AK672</f>
        <v>0</v>
      </c>
      <c r="AE589" s="70">
        <f>'RESUMEN TOTAL'!AL672</f>
        <v>0</v>
      </c>
      <c r="AF589" s="70">
        <f>'RESUMEN TOTAL'!AM672</f>
        <v>0</v>
      </c>
      <c r="AG589" s="70">
        <f>'RESUMEN TOTAL'!AN672</f>
        <v>0</v>
      </c>
      <c r="AH589" s="70">
        <f>'RESUMEN TOTAL'!AO672</f>
        <v>0</v>
      </c>
      <c r="AI589" s="70">
        <f>'RESUMEN TOTAL'!AP672</f>
        <v>0</v>
      </c>
    </row>
    <row r="590" spans="1:35" x14ac:dyDescent="0.25">
      <c r="A590">
        <f>'RESUMEN TOTAL'!A673</f>
        <v>0</v>
      </c>
      <c r="B590">
        <f>'RESUMEN TOTAL'!B673</f>
        <v>0</v>
      </c>
      <c r="C590">
        <f>'RESUMEN TOTAL'!D673</f>
        <v>0</v>
      </c>
      <c r="D590" s="30">
        <f>'RESUMEN TOTAL'!E673</f>
        <v>0</v>
      </c>
      <c r="E590" s="30">
        <f>'RESUMEN TOTAL'!F673</f>
        <v>0</v>
      </c>
      <c r="F590" s="70">
        <f>'RESUMEN TOTAL'!M673</f>
        <v>0</v>
      </c>
      <c r="G590" s="70">
        <f>'RESUMEN TOTAL'!N673</f>
        <v>0</v>
      </c>
      <c r="H590" s="70">
        <f>'RESUMEN TOTAL'!O673</f>
        <v>0</v>
      </c>
      <c r="I590" s="70">
        <f>'RESUMEN TOTAL'!P673</f>
        <v>0</v>
      </c>
      <c r="J590" s="70">
        <f>'RESUMEN TOTAL'!Q673</f>
        <v>0</v>
      </c>
      <c r="K590" s="70">
        <f>'RESUMEN TOTAL'!R673</f>
        <v>0</v>
      </c>
      <c r="L590" s="70">
        <f>'RESUMEN TOTAL'!S673</f>
        <v>0</v>
      </c>
      <c r="M590" s="70">
        <f>'RESUMEN TOTAL'!T673</f>
        <v>0</v>
      </c>
      <c r="N590" s="70">
        <f>'RESUMEN TOTAL'!U673</f>
        <v>0</v>
      </c>
      <c r="O590" s="70">
        <f>'RESUMEN TOTAL'!V673</f>
        <v>0</v>
      </c>
      <c r="P590" s="70">
        <f>'RESUMEN TOTAL'!W673</f>
        <v>0</v>
      </c>
      <c r="Q590" s="70">
        <f>'RESUMEN TOTAL'!X673</f>
        <v>0</v>
      </c>
      <c r="R590" s="70">
        <f>'RESUMEN TOTAL'!Y673</f>
        <v>0</v>
      </c>
      <c r="S590" s="70">
        <f>'RESUMEN TOTAL'!Z673</f>
        <v>0</v>
      </c>
      <c r="T590" s="70">
        <f>'RESUMEN TOTAL'!AA673</f>
        <v>0</v>
      </c>
      <c r="U590" s="70">
        <f>'RESUMEN TOTAL'!AB673</f>
        <v>0</v>
      </c>
      <c r="V590" s="70">
        <f>'RESUMEN TOTAL'!AC673</f>
        <v>0</v>
      </c>
      <c r="W590" s="70">
        <f>'RESUMEN TOTAL'!AD673</f>
        <v>0</v>
      </c>
      <c r="X590" s="70">
        <f>'RESUMEN TOTAL'!AE673</f>
        <v>0</v>
      </c>
      <c r="Y590" s="70">
        <f>'RESUMEN TOTAL'!AF673</f>
        <v>0</v>
      </c>
      <c r="Z590" s="70">
        <f>'RESUMEN TOTAL'!AG673</f>
        <v>0</v>
      </c>
      <c r="AA590" s="70">
        <f>'RESUMEN TOTAL'!AH673</f>
        <v>0</v>
      </c>
      <c r="AB590" s="70">
        <f>'RESUMEN TOTAL'!AI673</f>
        <v>0</v>
      </c>
      <c r="AC590" s="70">
        <f>'RESUMEN TOTAL'!AJ673</f>
        <v>0</v>
      </c>
      <c r="AD590" s="70">
        <f>'RESUMEN TOTAL'!AK673</f>
        <v>0</v>
      </c>
      <c r="AE590" s="70">
        <f>'RESUMEN TOTAL'!AL673</f>
        <v>0</v>
      </c>
      <c r="AF590" s="70">
        <f>'RESUMEN TOTAL'!AM673</f>
        <v>0</v>
      </c>
      <c r="AG590" s="70">
        <f>'RESUMEN TOTAL'!AN673</f>
        <v>0</v>
      </c>
      <c r="AH590" s="70">
        <f>'RESUMEN TOTAL'!AO673</f>
        <v>0</v>
      </c>
      <c r="AI590" s="70">
        <f>'RESUMEN TOTAL'!AP673</f>
        <v>0</v>
      </c>
    </row>
    <row r="591" spans="1:35" x14ac:dyDescent="0.25">
      <c r="A591">
        <f>'RESUMEN TOTAL'!A674</f>
        <v>0</v>
      </c>
      <c r="B591">
        <f>'RESUMEN TOTAL'!B674</f>
        <v>0</v>
      </c>
      <c r="C591">
        <f>'RESUMEN TOTAL'!D674</f>
        <v>0</v>
      </c>
      <c r="D591" s="30">
        <f>'RESUMEN TOTAL'!E674</f>
        <v>0</v>
      </c>
      <c r="E591" s="30">
        <f>'RESUMEN TOTAL'!F674</f>
        <v>0</v>
      </c>
      <c r="F591" s="70">
        <f>'RESUMEN TOTAL'!M674</f>
        <v>0</v>
      </c>
      <c r="G591" s="70">
        <f>'RESUMEN TOTAL'!N674</f>
        <v>0</v>
      </c>
      <c r="H591" s="70">
        <f>'RESUMEN TOTAL'!O674</f>
        <v>0</v>
      </c>
      <c r="I591" s="70">
        <f>'RESUMEN TOTAL'!P674</f>
        <v>0</v>
      </c>
      <c r="J591" s="70">
        <f>'RESUMEN TOTAL'!Q674</f>
        <v>0</v>
      </c>
      <c r="K591" s="70">
        <f>'RESUMEN TOTAL'!R674</f>
        <v>0</v>
      </c>
      <c r="L591" s="70">
        <f>'RESUMEN TOTAL'!S674</f>
        <v>0</v>
      </c>
      <c r="M591" s="70">
        <f>'RESUMEN TOTAL'!T674</f>
        <v>0</v>
      </c>
      <c r="N591" s="70">
        <f>'RESUMEN TOTAL'!U674</f>
        <v>0</v>
      </c>
      <c r="O591" s="70">
        <f>'RESUMEN TOTAL'!V674</f>
        <v>0</v>
      </c>
      <c r="P591" s="70">
        <f>'RESUMEN TOTAL'!W674</f>
        <v>0</v>
      </c>
      <c r="Q591" s="70">
        <f>'RESUMEN TOTAL'!X674</f>
        <v>0</v>
      </c>
      <c r="R591" s="70">
        <f>'RESUMEN TOTAL'!Y674</f>
        <v>0</v>
      </c>
      <c r="S591" s="70">
        <f>'RESUMEN TOTAL'!Z674</f>
        <v>0</v>
      </c>
      <c r="T591" s="70">
        <f>'RESUMEN TOTAL'!AA674</f>
        <v>0</v>
      </c>
      <c r="U591" s="70">
        <f>'RESUMEN TOTAL'!AB674</f>
        <v>0</v>
      </c>
      <c r="V591" s="70">
        <f>'RESUMEN TOTAL'!AC674</f>
        <v>0</v>
      </c>
      <c r="W591" s="70">
        <f>'RESUMEN TOTAL'!AD674</f>
        <v>0</v>
      </c>
      <c r="X591" s="70">
        <f>'RESUMEN TOTAL'!AE674</f>
        <v>0</v>
      </c>
      <c r="Y591" s="70">
        <f>'RESUMEN TOTAL'!AF674</f>
        <v>0</v>
      </c>
      <c r="Z591" s="70">
        <f>'RESUMEN TOTAL'!AG674</f>
        <v>0</v>
      </c>
      <c r="AA591" s="70">
        <f>'RESUMEN TOTAL'!AH674</f>
        <v>0</v>
      </c>
      <c r="AB591" s="70">
        <f>'RESUMEN TOTAL'!AI674</f>
        <v>0</v>
      </c>
      <c r="AC591" s="70">
        <f>'RESUMEN TOTAL'!AJ674</f>
        <v>0</v>
      </c>
      <c r="AD591" s="70">
        <f>'RESUMEN TOTAL'!AK674</f>
        <v>0</v>
      </c>
      <c r="AE591" s="70">
        <f>'RESUMEN TOTAL'!AL674</f>
        <v>0</v>
      </c>
      <c r="AF591" s="70">
        <f>'RESUMEN TOTAL'!AM674</f>
        <v>0</v>
      </c>
      <c r="AG591" s="70">
        <f>'RESUMEN TOTAL'!AN674</f>
        <v>0</v>
      </c>
      <c r="AH591" s="70">
        <f>'RESUMEN TOTAL'!AO674</f>
        <v>0</v>
      </c>
      <c r="AI591" s="70">
        <f>'RESUMEN TOTAL'!AP674</f>
        <v>0</v>
      </c>
    </row>
    <row r="592" spans="1:35" x14ac:dyDescent="0.25">
      <c r="A592">
        <f>'RESUMEN TOTAL'!A675</f>
        <v>0</v>
      </c>
      <c r="B592">
        <f>'RESUMEN TOTAL'!B675</f>
        <v>0</v>
      </c>
      <c r="C592">
        <f>'RESUMEN TOTAL'!D675</f>
        <v>0</v>
      </c>
      <c r="D592" s="30">
        <f>'RESUMEN TOTAL'!E675</f>
        <v>0</v>
      </c>
      <c r="E592" s="30">
        <f>'RESUMEN TOTAL'!F675</f>
        <v>0</v>
      </c>
      <c r="F592" s="70">
        <f>'RESUMEN TOTAL'!M675</f>
        <v>0</v>
      </c>
      <c r="G592" s="70">
        <f>'RESUMEN TOTAL'!N675</f>
        <v>0</v>
      </c>
      <c r="H592" s="70">
        <f>'RESUMEN TOTAL'!O675</f>
        <v>0</v>
      </c>
      <c r="I592" s="70">
        <f>'RESUMEN TOTAL'!P675</f>
        <v>0</v>
      </c>
      <c r="J592" s="70">
        <f>'RESUMEN TOTAL'!Q675</f>
        <v>0</v>
      </c>
      <c r="K592" s="70">
        <f>'RESUMEN TOTAL'!R675</f>
        <v>0</v>
      </c>
      <c r="L592" s="70">
        <f>'RESUMEN TOTAL'!S675</f>
        <v>0</v>
      </c>
      <c r="M592" s="70">
        <f>'RESUMEN TOTAL'!T675</f>
        <v>0</v>
      </c>
      <c r="N592" s="70">
        <f>'RESUMEN TOTAL'!U675</f>
        <v>0</v>
      </c>
      <c r="O592" s="70">
        <f>'RESUMEN TOTAL'!V675</f>
        <v>0</v>
      </c>
      <c r="P592" s="70">
        <f>'RESUMEN TOTAL'!W675</f>
        <v>0</v>
      </c>
      <c r="Q592" s="70">
        <f>'RESUMEN TOTAL'!X675</f>
        <v>0</v>
      </c>
      <c r="R592" s="70">
        <f>'RESUMEN TOTAL'!Y675</f>
        <v>0</v>
      </c>
      <c r="S592" s="70">
        <f>'RESUMEN TOTAL'!Z675</f>
        <v>0</v>
      </c>
      <c r="T592" s="70">
        <f>'RESUMEN TOTAL'!AA675</f>
        <v>0</v>
      </c>
      <c r="U592" s="70">
        <f>'RESUMEN TOTAL'!AB675</f>
        <v>0</v>
      </c>
      <c r="V592" s="70">
        <f>'RESUMEN TOTAL'!AC675</f>
        <v>0</v>
      </c>
      <c r="W592" s="70">
        <f>'RESUMEN TOTAL'!AD675</f>
        <v>0</v>
      </c>
      <c r="X592" s="70">
        <f>'RESUMEN TOTAL'!AE675</f>
        <v>0</v>
      </c>
      <c r="Y592" s="70">
        <f>'RESUMEN TOTAL'!AF675</f>
        <v>0</v>
      </c>
      <c r="Z592" s="70">
        <f>'RESUMEN TOTAL'!AG675</f>
        <v>0</v>
      </c>
      <c r="AA592" s="70">
        <f>'RESUMEN TOTAL'!AH675</f>
        <v>0</v>
      </c>
      <c r="AB592" s="70">
        <f>'RESUMEN TOTAL'!AI675</f>
        <v>0</v>
      </c>
      <c r="AC592" s="70">
        <f>'RESUMEN TOTAL'!AJ675</f>
        <v>0</v>
      </c>
      <c r="AD592" s="70">
        <f>'RESUMEN TOTAL'!AK675</f>
        <v>0</v>
      </c>
      <c r="AE592" s="70">
        <f>'RESUMEN TOTAL'!AL675</f>
        <v>0</v>
      </c>
      <c r="AF592" s="70">
        <f>'RESUMEN TOTAL'!AM675</f>
        <v>0</v>
      </c>
      <c r="AG592" s="70">
        <f>'RESUMEN TOTAL'!AN675</f>
        <v>0</v>
      </c>
      <c r="AH592" s="70">
        <f>'RESUMEN TOTAL'!AO675</f>
        <v>0</v>
      </c>
      <c r="AI592" s="70">
        <f>'RESUMEN TOTAL'!AP675</f>
        <v>0</v>
      </c>
    </row>
    <row r="593" spans="1:35" x14ac:dyDescent="0.25">
      <c r="A593">
        <f>'RESUMEN TOTAL'!A676</f>
        <v>0</v>
      </c>
      <c r="B593">
        <f>'RESUMEN TOTAL'!B676</f>
        <v>0</v>
      </c>
      <c r="C593">
        <f>'RESUMEN TOTAL'!D676</f>
        <v>0</v>
      </c>
      <c r="D593" s="30">
        <f>'RESUMEN TOTAL'!E676</f>
        <v>0</v>
      </c>
      <c r="E593" s="30">
        <f>'RESUMEN TOTAL'!F676</f>
        <v>0</v>
      </c>
      <c r="F593" s="70">
        <f>'RESUMEN TOTAL'!M676</f>
        <v>0</v>
      </c>
      <c r="G593" s="70">
        <f>'RESUMEN TOTAL'!N676</f>
        <v>0</v>
      </c>
      <c r="H593" s="70">
        <f>'RESUMEN TOTAL'!O676</f>
        <v>0</v>
      </c>
      <c r="I593" s="70">
        <f>'RESUMEN TOTAL'!P676</f>
        <v>0</v>
      </c>
      <c r="J593" s="70">
        <f>'RESUMEN TOTAL'!Q676</f>
        <v>0</v>
      </c>
      <c r="K593" s="70">
        <f>'RESUMEN TOTAL'!R676</f>
        <v>0</v>
      </c>
      <c r="L593" s="70">
        <f>'RESUMEN TOTAL'!S676</f>
        <v>0</v>
      </c>
      <c r="M593" s="70">
        <f>'RESUMEN TOTAL'!T676</f>
        <v>0</v>
      </c>
      <c r="N593" s="70">
        <f>'RESUMEN TOTAL'!U676</f>
        <v>0</v>
      </c>
      <c r="O593" s="70">
        <f>'RESUMEN TOTAL'!V676</f>
        <v>0</v>
      </c>
      <c r="P593" s="70">
        <f>'RESUMEN TOTAL'!W676</f>
        <v>0</v>
      </c>
      <c r="Q593" s="70">
        <f>'RESUMEN TOTAL'!X676</f>
        <v>0</v>
      </c>
      <c r="R593" s="70">
        <f>'RESUMEN TOTAL'!Y676</f>
        <v>0</v>
      </c>
      <c r="S593" s="70">
        <f>'RESUMEN TOTAL'!Z676</f>
        <v>0</v>
      </c>
      <c r="T593" s="70">
        <f>'RESUMEN TOTAL'!AA676</f>
        <v>0</v>
      </c>
      <c r="U593" s="70">
        <f>'RESUMEN TOTAL'!AB676</f>
        <v>0</v>
      </c>
      <c r="V593" s="70">
        <f>'RESUMEN TOTAL'!AC676</f>
        <v>0</v>
      </c>
      <c r="W593" s="70">
        <f>'RESUMEN TOTAL'!AD676</f>
        <v>0</v>
      </c>
      <c r="X593" s="70">
        <f>'RESUMEN TOTAL'!AE676</f>
        <v>0</v>
      </c>
      <c r="Y593" s="70">
        <f>'RESUMEN TOTAL'!AF676</f>
        <v>0</v>
      </c>
      <c r="Z593" s="70">
        <f>'RESUMEN TOTAL'!AG676</f>
        <v>0</v>
      </c>
      <c r="AA593" s="70">
        <f>'RESUMEN TOTAL'!AH676</f>
        <v>0</v>
      </c>
      <c r="AB593" s="70">
        <f>'RESUMEN TOTAL'!AI676</f>
        <v>0</v>
      </c>
      <c r="AC593" s="70">
        <f>'RESUMEN TOTAL'!AJ676</f>
        <v>0</v>
      </c>
      <c r="AD593" s="70">
        <f>'RESUMEN TOTAL'!AK676</f>
        <v>0</v>
      </c>
      <c r="AE593" s="70">
        <f>'RESUMEN TOTAL'!AL676</f>
        <v>0</v>
      </c>
      <c r="AF593" s="70">
        <f>'RESUMEN TOTAL'!AM676</f>
        <v>0</v>
      </c>
      <c r="AG593" s="70">
        <f>'RESUMEN TOTAL'!AN676</f>
        <v>0</v>
      </c>
      <c r="AH593" s="70">
        <f>'RESUMEN TOTAL'!AO676</f>
        <v>0</v>
      </c>
      <c r="AI593" s="70">
        <f>'RESUMEN TOTAL'!AP676</f>
        <v>0</v>
      </c>
    </row>
    <row r="594" spans="1:35" x14ac:dyDescent="0.25">
      <c r="A594">
        <f>'RESUMEN TOTAL'!A677</f>
        <v>0</v>
      </c>
      <c r="B594">
        <f>'RESUMEN TOTAL'!B677</f>
        <v>0</v>
      </c>
      <c r="C594">
        <f>'RESUMEN TOTAL'!D677</f>
        <v>0</v>
      </c>
      <c r="D594" s="30">
        <f>'RESUMEN TOTAL'!E677</f>
        <v>0</v>
      </c>
      <c r="E594" s="30">
        <f>'RESUMEN TOTAL'!F677</f>
        <v>0</v>
      </c>
      <c r="F594" s="70">
        <f>'RESUMEN TOTAL'!M677</f>
        <v>0</v>
      </c>
      <c r="G594" s="70">
        <f>'RESUMEN TOTAL'!N677</f>
        <v>0</v>
      </c>
      <c r="H594" s="70">
        <f>'RESUMEN TOTAL'!O677</f>
        <v>0</v>
      </c>
      <c r="I594" s="70">
        <f>'RESUMEN TOTAL'!P677</f>
        <v>0</v>
      </c>
      <c r="J594" s="70">
        <f>'RESUMEN TOTAL'!Q677</f>
        <v>0</v>
      </c>
      <c r="K594" s="70">
        <f>'RESUMEN TOTAL'!R677</f>
        <v>0</v>
      </c>
      <c r="L594" s="70">
        <f>'RESUMEN TOTAL'!S677</f>
        <v>0</v>
      </c>
      <c r="M594" s="70">
        <f>'RESUMEN TOTAL'!T677</f>
        <v>0</v>
      </c>
      <c r="N594" s="70">
        <f>'RESUMEN TOTAL'!U677</f>
        <v>0</v>
      </c>
      <c r="O594" s="70">
        <f>'RESUMEN TOTAL'!V677</f>
        <v>0</v>
      </c>
      <c r="P594" s="70">
        <f>'RESUMEN TOTAL'!W677</f>
        <v>0</v>
      </c>
      <c r="Q594" s="70">
        <f>'RESUMEN TOTAL'!X677</f>
        <v>0</v>
      </c>
      <c r="R594" s="70">
        <f>'RESUMEN TOTAL'!Y677</f>
        <v>0</v>
      </c>
      <c r="S594" s="70">
        <f>'RESUMEN TOTAL'!Z677</f>
        <v>0</v>
      </c>
      <c r="T594" s="70">
        <f>'RESUMEN TOTAL'!AA677</f>
        <v>0</v>
      </c>
      <c r="U594" s="70">
        <f>'RESUMEN TOTAL'!AB677</f>
        <v>0</v>
      </c>
      <c r="V594" s="70">
        <f>'RESUMEN TOTAL'!AC677</f>
        <v>0</v>
      </c>
      <c r="W594" s="70">
        <f>'RESUMEN TOTAL'!AD677</f>
        <v>0</v>
      </c>
      <c r="X594" s="70">
        <f>'RESUMEN TOTAL'!AE677</f>
        <v>0</v>
      </c>
      <c r="Y594" s="70">
        <f>'RESUMEN TOTAL'!AF677</f>
        <v>0</v>
      </c>
      <c r="Z594" s="70">
        <f>'RESUMEN TOTAL'!AG677</f>
        <v>0</v>
      </c>
      <c r="AA594" s="70">
        <f>'RESUMEN TOTAL'!AH677</f>
        <v>0</v>
      </c>
      <c r="AB594" s="70">
        <f>'RESUMEN TOTAL'!AI677</f>
        <v>0</v>
      </c>
      <c r="AC594" s="70">
        <f>'RESUMEN TOTAL'!AJ677</f>
        <v>0</v>
      </c>
      <c r="AD594" s="70">
        <f>'RESUMEN TOTAL'!AK677</f>
        <v>0</v>
      </c>
      <c r="AE594" s="70">
        <f>'RESUMEN TOTAL'!AL677</f>
        <v>0</v>
      </c>
      <c r="AF594" s="70">
        <f>'RESUMEN TOTAL'!AM677</f>
        <v>0</v>
      </c>
      <c r="AG594" s="70">
        <f>'RESUMEN TOTAL'!AN677</f>
        <v>0</v>
      </c>
      <c r="AH594" s="70">
        <f>'RESUMEN TOTAL'!AO677</f>
        <v>0</v>
      </c>
      <c r="AI594" s="70">
        <f>'RESUMEN TOTAL'!AP677</f>
        <v>0</v>
      </c>
    </row>
    <row r="595" spans="1:35" x14ac:dyDescent="0.25">
      <c r="A595">
        <f>'RESUMEN TOTAL'!A678</f>
        <v>0</v>
      </c>
      <c r="B595">
        <f>'RESUMEN TOTAL'!B678</f>
        <v>0</v>
      </c>
      <c r="C595">
        <f>'RESUMEN TOTAL'!D678</f>
        <v>0</v>
      </c>
      <c r="D595" s="30">
        <f>'RESUMEN TOTAL'!E678</f>
        <v>0</v>
      </c>
      <c r="E595" s="30">
        <f>'RESUMEN TOTAL'!F678</f>
        <v>0</v>
      </c>
      <c r="F595" s="70">
        <f>'RESUMEN TOTAL'!M678</f>
        <v>0</v>
      </c>
      <c r="G595" s="70">
        <f>'RESUMEN TOTAL'!N678</f>
        <v>0</v>
      </c>
      <c r="H595" s="70">
        <f>'RESUMEN TOTAL'!O678</f>
        <v>0</v>
      </c>
      <c r="I595" s="70">
        <f>'RESUMEN TOTAL'!P678</f>
        <v>0</v>
      </c>
      <c r="J595" s="70">
        <f>'RESUMEN TOTAL'!Q678</f>
        <v>0</v>
      </c>
      <c r="K595" s="70">
        <f>'RESUMEN TOTAL'!R678</f>
        <v>0</v>
      </c>
      <c r="L595" s="70">
        <f>'RESUMEN TOTAL'!S678</f>
        <v>0</v>
      </c>
      <c r="M595" s="70">
        <f>'RESUMEN TOTAL'!T678</f>
        <v>0</v>
      </c>
      <c r="N595" s="70">
        <f>'RESUMEN TOTAL'!U678</f>
        <v>0</v>
      </c>
      <c r="O595" s="70">
        <f>'RESUMEN TOTAL'!V678</f>
        <v>0</v>
      </c>
      <c r="P595" s="70">
        <f>'RESUMEN TOTAL'!W678</f>
        <v>0</v>
      </c>
      <c r="Q595" s="70">
        <f>'RESUMEN TOTAL'!X678</f>
        <v>0</v>
      </c>
      <c r="R595" s="70">
        <f>'RESUMEN TOTAL'!Y678</f>
        <v>0</v>
      </c>
      <c r="S595" s="70">
        <f>'RESUMEN TOTAL'!Z678</f>
        <v>0</v>
      </c>
      <c r="T595" s="70">
        <f>'RESUMEN TOTAL'!AA678</f>
        <v>0</v>
      </c>
      <c r="U595" s="70">
        <f>'RESUMEN TOTAL'!AB678</f>
        <v>0</v>
      </c>
      <c r="V595" s="70">
        <f>'RESUMEN TOTAL'!AC678</f>
        <v>0</v>
      </c>
      <c r="W595" s="70">
        <f>'RESUMEN TOTAL'!AD678</f>
        <v>0</v>
      </c>
      <c r="X595" s="70">
        <f>'RESUMEN TOTAL'!AE678</f>
        <v>0</v>
      </c>
      <c r="Y595" s="70">
        <f>'RESUMEN TOTAL'!AF678</f>
        <v>0</v>
      </c>
      <c r="Z595" s="70">
        <f>'RESUMEN TOTAL'!AG678</f>
        <v>0</v>
      </c>
      <c r="AA595" s="70">
        <f>'RESUMEN TOTAL'!AH678</f>
        <v>0</v>
      </c>
      <c r="AB595" s="70">
        <f>'RESUMEN TOTAL'!AI678</f>
        <v>0</v>
      </c>
      <c r="AC595" s="70">
        <f>'RESUMEN TOTAL'!AJ678</f>
        <v>0</v>
      </c>
      <c r="AD595" s="70">
        <f>'RESUMEN TOTAL'!AK678</f>
        <v>0</v>
      </c>
      <c r="AE595" s="70">
        <f>'RESUMEN TOTAL'!AL678</f>
        <v>0</v>
      </c>
      <c r="AF595" s="70">
        <f>'RESUMEN TOTAL'!AM678</f>
        <v>0</v>
      </c>
      <c r="AG595" s="70">
        <f>'RESUMEN TOTAL'!AN678</f>
        <v>0</v>
      </c>
      <c r="AH595" s="70">
        <f>'RESUMEN TOTAL'!AO678</f>
        <v>0</v>
      </c>
      <c r="AI595" s="70">
        <f>'RESUMEN TOTAL'!AP678</f>
        <v>0</v>
      </c>
    </row>
    <row r="596" spans="1:35" x14ac:dyDescent="0.25">
      <c r="A596">
        <f>'RESUMEN TOTAL'!A679</f>
        <v>0</v>
      </c>
      <c r="B596">
        <f>'RESUMEN TOTAL'!B679</f>
        <v>0</v>
      </c>
      <c r="C596">
        <f>'RESUMEN TOTAL'!D679</f>
        <v>0</v>
      </c>
      <c r="D596" s="30">
        <f>'RESUMEN TOTAL'!E679</f>
        <v>0</v>
      </c>
      <c r="E596" s="30">
        <f>'RESUMEN TOTAL'!F679</f>
        <v>0</v>
      </c>
      <c r="F596" s="70">
        <f>'RESUMEN TOTAL'!M679</f>
        <v>0</v>
      </c>
      <c r="G596" s="70">
        <f>'RESUMEN TOTAL'!N679</f>
        <v>0</v>
      </c>
      <c r="H596" s="70">
        <f>'RESUMEN TOTAL'!O679</f>
        <v>0</v>
      </c>
      <c r="I596" s="70">
        <f>'RESUMEN TOTAL'!P679</f>
        <v>0</v>
      </c>
      <c r="J596" s="70">
        <f>'RESUMEN TOTAL'!Q679</f>
        <v>0</v>
      </c>
      <c r="K596" s="70">
        <f>'RESUMEN TOTAL'!R679</f>
        <v>0</v>
      </c>
      <c r="L596" s="70">
        <f>'RESUMEN TOTAL'!S679</f>
        <v>0</v>
      </c>
      <c r="M596" s="70">
        <f>'RESUMEN TOTAL'!T679</f>
        <v>0</v>
      </c>
      <c r="N596" s="70">
        <f>'RESUMEN TOTAL'!U679</f>
        <v>0</v>
      </c>
      <c r="O596" s="70">
        <f>'RESUMEN TOTAL'!V679</f>
        <v>0</v>
      </c>
      <c r="P596" s="70">
        <f>'RESUMEN TOTAL'!W679</f>
        <v>0</v>
      </c>
      <c r="Q596" s="70">
        <f>'RESUMEN TOTAL'!X679</f>
        <v>0</v>
      </c>
      <c r="R596" s="70">
        <f>'RESUMEN TOTAL'!Y679</f>
        <v>0</v>
      </c>
      <c r="S596" s="70">
        <f>'RESUMEN TOTAL'!Z679</f>
        <v>0</v>
      </c>
      <c r="T596" s="70">
        <f>'RESUMEN TOTAL'!AA679</f>
        <v>0</v>
      </c>
      <c r="U596" s="70">
        <f>'RESUMEN TOTAL'!AB679</f>
        <v>0</v>
      </c>
      <c r="V596" s="70">
        <f>'RESUMEN TOTAL'!AC679</f>
        <v>0</v>
      </c>
      <c r="W596" s="70">
        <f>'RESUMEN TOTAL'!AD679</f>
        <v>0</v>
      </c>
      <c r="X596" s="70">
        <f>'RESUMEN TOTAL'!AE679</f>
        <v>0</v>
      </c>
      <c r="Y596" s="70">
        <f>'RESUMEN TOTAL'!AF679</f>
        <v>0</v>
      </c>
      <c r="Z596" s="70">
        <f>'RESUMEN TOTAL'!AG679</f>
        <v>0</v>
      </c>
      <c r="AA596" s="70">
        <f>'RESUMEN TOTAL'!AH679</f>
        <v>0</v>
      </c>
      <c r="AB596" s="70">
        <f>'RESUMEN TOTAL'!AI679</f>
        <v>0</v>
      </c>
      <c r="AC596" s="70">
        <f>'RESUMEN TOTAL'!AJ679</f>
        <v>0</v>
      </c>
      <c r="AD596" s="70">
        <f>'RESUMEN TOTAL'!AK679</f>
        <v>0</v>
      </c>
      <c r="AE596" s="70">
        <f>'RESUMEN TOTAL'!AL679</f>
        <v>0</v>
      </c>
      <c r="AF596" s="70">
        <f>'RESUMEN TOTAL'!AM679</f>
        <v>0</v>
      </c>
      <c r="AG596" s="70">
        <f>'RESUMEN TOTAL'!AN679</f>
        <v>0</v>
      </c>
      <c r="AH596" s="70">
        <f>'RESUMEN TOTAL'!AO679</f>
        <v>0</v>
      </c>
      <c r="AI596" s="70">
        <f>'RESUMEN TOTAL'!AP679</f>
        <v>0</v>
      </c>
    </row>
    <row r="597" spans="1:35" x14ac:dyDescent="0.25">
      <c r="A597">
        <f>'RESUMEN TOTAL'!A680</f>
        <v>0</v>
      </c>
      <c r="B597">
        <f>'RESUMEN TOTAL'!B680</f>
        <v>0</v>
      </c>
      <c r="C597">
        <f>'RESUMEN TOTAL'!D680</f>
        <v>0</v>
      </c>
      <c r="D597" s="30">
        <f>'RESUMEN TOTAL'!E680</f>
        <v>0</v>
      </c>
      <c r="E597" s="30">
        <f>'RESUMEN TOTAL'!F680</f>
        <v>0</v>
      </c>
      <c r="F597" s="70">
        <f>'RESUMEN TOTAL'!M680</f>
        <v>0</v>
      </c>
      <c r="G597" s="70">
        <f>'RESUMEN TOTAL'!N680</f>
        <v>0</v>
      </c>
      <c r="H597" s="70">
        <f>'RESUMEN TOTAL'!O680</f>
        <v>0</v>
      </c>
      <c r="I597" s="70">
        <f>'RESUMEN TOTAL'!P680</f>
        <v>0</v>
      </c>
      <c r="J597" s="70">
        <f>'RESUMEN TOTAL'!Q680</f>
        <v>0</v>
      </c>
      <c r="K597" s="70">
        <f>'RESUMEN TOTAL'!R680</f>
        <v>0</v>
      </c>
      <c r="L597" s="70">
        <f>'RESUMEN TOTAL'!S680</f>
        <v>0</v>
      </c>
      <c r="M597" s="70">
        <f>'RESUMEN TOTAL'!T680</f>
        <v>0</v>
      </c>
      <c r="N597" s="70">
        <f>'RESUMEN TOTAL'!U680</f>
        <v>0</v>
      </c>
      <c r="O597" s="70">
        <f>'RESUMEN TOTAL'!V680</f>
        <v>0</v>
      </c>
      <c r="P597" s="70">
        <f>'RESUMEN TOTAL'!W680</f>
        <v>0</v>
      </c>
      <c r="Q597" s="70">
        <f>'RESUMEN TOTAL'!X680</f>
        <v>0</v>
      </c>
      <c r="R597" s="70">
        <f>'RESUMEN TOTAL'!Y680</f>
        <v>0</v>
      </c>
      <c r="S597" s="70">
        <f>'RESUMEN TOTAL'!Z680</f>
        <v>0</v>
      </c>
      <c r="T597" s="70">
        <f>'RESUMEN TOTAL'!AA680</f>
        <v>0</v>
      </c>
      <c r="U597" s="70">
        <f>'RESUMEN TOTAL'!AB680</f>
        <v>0</v>
      </c>
      <c r="V597" s="70">
        <f>'RESUMEN TOTAL'!AC680</f>
        <v>0</v>
      </c>
      <c r="W597" s="70">
        <f>'RESUMEN TOTAL'!AD680</f>
        <v>0</v>
      </c>
      <c r="X597" s="70">
        <f>'RESUMEN TOTAL'!AE680</f>
        <v>0</v>
      </c>
      <c r="Y597" s="70">
        <f>'RESUMEN TOTAL'!AF680</f>
        <v>0</v>
      </c>
      <c r="Z597" s="70">
        <f>'RESUMEN TOTAL'!AG680</f>
        <v>0</v>
      </c>
      <c r="AA597" s="70">
        <f>'RESUMEN TOTAL'!AH680</f>
        <v>0</v>
      </c>
      <c r="AB597" s="70">
        <f>'RESUMEN TOTAL'!AI680</f>
        <v>0</v>
      </c>
      <c r="AC597" s="70">
        <f>'RESUMEN TOTAL'!AJ680</f>
        <v>0</v>
      </c>
      <c r="AD597" s="70">
        <f>'RESUMEN TOTAL'!AK680</f>
        <v>0</v>
      </c>
      <c r="AE597" s="70">
        <f>'RESUMEN TOTAL'!AL680</f>
        <v>0</v>
      </c>
      <c r="AF597" s="70">
        <f>'RESUMEN TOTAL'!AM680</f>
        <v>0</v>
      </c>
      <c r="AG597" s="70">
        <f>'RESUMEN TOTAL'!AN680</f>
        <v>0</v>
      </c>
      <c r="AH597" s="70">
        <f>'RESUMEN TOTAL'!AO680</f>
        <v>0</v>
      </c>
      <c r="AI597" s="70">
        <f>'RESUMEN TOTAL'!AP680</f>
        <v>0</v>
      </c>
    </row>
    <row r="598" spans="1:35" x14ac:dyDescent="0.25">
      <c r="A598">
        <f>'RESUMEN TOTAL'!A681</f>
        <v>0</v>
      </c>
      <c r="B598">
        <f>'RESUMEN TOTAL'!B681</f>
        <v>0</v>
      </c>
      <c r="C598">
        <f>'RESUMEN TOTAL'!D681</f>
        <v>0</v>
      </c>
      <c r="D598" s="30">
        <f>'RESUMEN TOTAL'!E681</f>
        <v>0</v>
      </c>
      <c r="E598" s="30">
        <f>'RESUMEN TOTAL'!F681</f>
        <v>0</v>
      </c>
      <c r="F598" s="70">
        <f>'RESUMEN TOTAL'!M681</f>
        <v>0</v>
      </c>
      <c r="G598" s="70">
        <f>'RESUMEN TOTAL'!N681</f>
        <v>0</v>
      </c>
      <c r="H598" s="70">
        <f>'RESUMEN TOTAL'!O681</f>
        <v>0</v>
      </c>
      <c r="I598" s="70">
        <f>'RESUMEN TOTAL'!P681</f>
        <v>0</v>
      </c>
      <c r="J598" s="70">
        <f>'RESUMEN TOTAL'!Q681</f>
        <v>0</v>
      </c>
      <c r="K598" s="70">
        <f>'RESUMEN TOTAL'!R681</f>
        <v>0</v>
      </c>
      <c r="L598" s="70">
        <f>'RESUMEN TOTAL'!S681</f>
        <v>0</v>
      </c>
      <c r="M598" s="70">
        <f>'RESUMEN TOTAL'!T681</f>
        <v>0</v>
      </c>
      <c r="N598" s="70">
        <f>'RESUMEN TOTAL'!U681</f>
        <v>0</v>
      </c>
      <c r="O598" s="70">
        <f>'RESUMEN TOTAL'!V681</f>
        <v>0</v>
      </c>
      <c r="P598" s="70">
        <f>'RESUMEN TOTAL'!W681</f>
        <v>0</v>
      </c>
      <c r="Q598" s="70">
        <f>'RESUMEN TOTAL'!X681</f>
        <v>0</v>
      </c>
      <c r="R598" s="70">
        <f>'RESUMEN TOTAL'!Y681</f>
        <v>0</v>
      </c>
      <c r="S598" s="70">
        <f>'RESUMEN TOTAL'!Z681</f>
        <v>0</v>
      </c>
      <c r="T598" s="70">
        <f>'RESUMEN TOTAL'!AA681</f>
        <v>0</v>
      </c>
      <c r="U598" s="70">
        <f>'RESUMEN TOTAL'!AB681</f>
        <v>0</v>
      </c>
      <c r="V598" s="70">
        <f>'RESUMEN TOTAL'!AC681</f>
        <v>0</v>
      </c>
      <c r="W598" s="70">
        <f>'RESUMEN TOTAL'!AD681</f>
        <v>0</v>
      </c>
      <c r="X598" s="70">
        <f>'RESUMEN TOTAL'!AE681</f>
        <v>0</v>
      </c>
      <c r="Y598" s="70">
        <f>'RESUMEN TOTAL'!AF681</f>
        <v>0</v>
      </c>
      <c r="Z598" s="70">
        <f>'RESUMEN TOTAL'!AG681</f>
        <v>0</v>
      </c>
      <c r="AA598" s="70">
        <f>'RESUMEN TOTAL'!AH681</f>
        <v>0</v>
      </c>
      <c r="AB598" s="70">
        <f>'RESUMEN TOTAL'!AI681</f>
        <v>0</v>
      </c>
      <c r="AC598" s="70">
        <f>'RESUMEN TOTAL'!AJ681</f>
        <v>0</v>
      </c>
      <c r="AD598" s="70">
        <f>'RESUMEN TOTAL'!AK681</f>
        <v>0</v>
      </c>
      <c r="AE598" s="70">
        <f>'RESUMEN TOTAL'!AL681</f>
        <v>0</v>
      </c>
      <c r="AF598" s="70">
        <f>'RESUMEN TOTAL'!AM681</f>
        <v>0</v>
      </c>
      <c r="AG598" s="70">
        <f>'RESUMEN TOTAL'!AN681</f>
        <v>0</v>
      </c>
      <c r="AH598" s="70">
        <f>'RESUMEN TOTAL'!AO681</f>
        <v>0</v>
      </c>
      <c r="AI598" s="70">
        <f>'RESUMEN TOTAL'!AP681</f>
        <v>0</v>
      </c>
    </row>
    <row r="599" spans="1:35" x14ac:dyDescent="0.25">
      <c r="A599">
        <f>'RESUMEN TOTAL'!A682</f>
        <v>0</v>
      </c>
      <c r="B599">
        <f>'RESUMEN TOTAL'!B682</f>
        <v>0</v>
      </c>
      <c r="C599">
        <f>'RESUMEN TOTAL'!D682</f>
        <v>0</v>
      </c>
      <c r="D599" s="30">
        <f>'RESUMEN TOTAL'!E682</f>
        <v>0</v>
      </c>
      <c r="E599" s="30">
        <f>'RESUMEN TOTAL'!F682</f>
        <v>0</v>
      </c>
      <c r="F599" s="70">
        <f>'RESUMEN TOTAL'!M682</f>
        <v>0</v>
      </c>
      <c r="G599" s="70">
        <f>'RESUMEN TOTAL'!N682</f>
        <v>0</v>
      </c>
      <c r="H599" s="70">
        <f>'RESUMEN TOTAL'!O682</f>
        <v>0</v>
      </c>
      <c r="I599" s="70">
        <f>'RESUMEN TOTAL'!P682</f>
        <v>0</v>
      </c>
      <c r="J599" s="70">
        <f>'RESUMEN TOTAL'!Q682</f>
        <v>0</v>
      </c>
      <c r="K599" s="70">
        <f>'RESUMEN TOTAL'!R682</f>
        <v>0</v>
      </c>
      <c r="L599" s="70">
        <f>'RESUMEN TOTAL'!S682</f>
        <v>0</v>
      </c>
      <c r="M599" s="70">
        <f>'RESUMEN TOTAL'!T682</f>
        <v>0</v>
      </c>
      <c r="N599" s="70">
        <f>'RESUMEN TOTAL'!U682</f>
        <v>0</v>
      </c>
      <c r="O599" s="70">
        <f>'RESUMEN TOTAL'!V682</f>
        <v>0</v>
      </c>
      <c r="P599" s="70">
        <f>'RESUMEN TOTAL'!W682</f>
        <v>0</v>
      </c>
      <c r="Q599" s="70">
        <f>'RESUMEN TOTAL'!X682</f>
        <v>0</v>
      </c>
      <c r="R599" s="70">
        <f>'RESUMEN TOTAL'!Y682</f>
        <v>0</v>
      </c>
      <c r="S599" s="70">
        <f>'RESUMEN TOTAL'!Z682</f>
        <v>0</v>
      </c>
      <c r="T599" s="70">
        <f>'RESUMEN TOTAL'!AA682</f>
        <v>0</v>
      </c>
      <c r="U599" s="70">
        <f>'RESUMEN TOTAL'!AB682</f>
        <v>0</v>
      </c>
      <c r="V599" s="70">
        <f>'RESUMEN TOTAL'!AC682</f>
        <v>0</v>
      </c>
      <c r="W599" s="70">
        <f>'RESUMEN TOTAL'!AD682</f>
        <v>0</v>
      </c>
      <c r="X599" s="70">
        <f>'RESUMEN TOTAL'!AE682</f>
        <v>0</v>
      </c>
      <c r="Y599" s="70">
        <f>'RESUMEN TOTAL'!AF682</f>
        <v>0</v>
      </c>
      <c r="Z599" s="70">
        <f>'RESUMEN TOTAL'!AG682</f>
        <v>0</v>
      </c>
      <c r="AA599" s="70">
        <f>'RESUMEN TOTAL'!AH682</f>
        <v>0</v>
      </c>
      <c r="AB599" s="70">
        <f>'RESUMEN TOTAL'!AI682</f>
        <v>0</v>
      </c>
      <c r="AC599" s="70">
        <f>'RESUMEN TOTAL'!AJ682</f>
        <v>0</v>
      </c>
      <c r="AD599" s="70">
        <f>'RESUMEN TOTAL'!AK682</f>
        <v>0</v>
      </c>
      <c r="AE599" s="70">
        <f>'RESUMEN TOTAL'!AL682</f>
        <v>0</v>
      </c>
      <c r="AF599" s="70">
        <f>'RESUMEN TOTAL'!AM682</f>
        <v>0</v>
      </c>
      <c r="AG599" s="70">
        <f>'RESUMEN TOTAL'!AN682</f>
        <v>0</v>
      </c>
      <c r="AH599" s="70">
        <f>'RESUMEN TOTAL'!AO682</f>
        <v>0</v>
      </c>
      <c r="AI599" s="70">
        <f>'RESUMEN TOTAL'!AP682</f>
        <v>0</v>
      </c>
    </row>
    <row r="600" spans="1:35" x14ac:dyDescent="0.25">
      <c r="A600">
        <f>'RESUMEN TOTAL'!A683</f>
        <v>0</v>
      </c>
      <c r="B600">
        <f>'RESUMEN TOTAL'!B683</f>
        <v>0</v>
      </c>
      <c r="C600">
        <f>'RESUMEN TOTAL'!D683</f>
        <v>0</v>
      </c>
      <c r="D600" s="30">
        <f>'RESUMEN TOTAL'!E683</f>
        <v>0</v>
      </c>
      <c r="E600" s="30">
        <f>'RESUMEN TOTAL'!F683</f>
        <v>0</v>
      </c>
      <c r="F600" s="70">
        <f>'RESUMEN TOTAL'!M683</f>
        <v>0</v>
      </c>
      <c r="G600" s="70">
        <f>'RESUMEN TOTAL'!N683</f>
        <v>0</v>
      </c>
      <c r="H600" s="70">
        <f>'RESUMEN TOTAL'!O683</f>
        <v>0</v>
      </c>
      <c r="I600" s="70">
        <f>'RESUMEN TOTAL'!P683</f>
        <v>0</v>
      </c>
      <c r="J600" s="70">
        <f>'RESUMEN TOTAL'!Q683</f>
        <v>0</v>
      </c>
      <c r="K600" s="70">
        <f>'RESUMEN TOTAL'!R683</f>
        <v>0</v>
      </c>
      <c r="L600" s="70">
        <f>'RESUMEN TOTAL'!S683</f>
        <v>0</v>
      </c>
      <c r="M600" s="70">
        <f>'RESUMEN TOTAL'!T683</f>
        <v>0</v>
      </c>
      <c r="N600" s="70">
        <f>'RESUMEN TOTAL'!U683</f>
        <v>0</v>
      </c>
      <c r="O600" s="70">
        <f>'RESUMEN TOTAL'!V683</f>
        <v>0</v>
      </c>
      <c r="P600" s="70">
        <f>'RESUMEN TOTAL'!W683</f>
        <v>0</v>
      </c>
      <c r="Q600" s="70">
        <f>'RESUMEN TOTAL'!X683</f>
        <v>0</v>
      </c>
      <c r="R600" s="70">
        <f>'RESUMEN TOTAL'!Y683</f>
        <v>0</v>
      </c>
      <c r="S600" s="70">
        <f>'RESUMEN TOTAL'!Z683</f>
        <v>0</v>
      </c>
      <c r="T600" s="70">
        <f>'RESUMEN TOTAL'!AA683</f>
        <v>0</v>
      </c>
      <c r="U600" s="70">
        <f>'RESUMEN TOTAL'!AB683</f>
        <v>0</v>
      </c>
      <c r="V600" s="70">
        <f>'RESUMEN TOTAL'!AC683</f>
        <v>0</v>
      </c>
      <c r="W600" s="70">
        <f>'RESUMEN TOTAL'!AD683</f>
        <v>0</v>
      </c>
      <c r="X600" s="70">
        <f>'RESUMEN TOTAL'!AE683</f>
        <v>0</v>
      </c>
      <c r="Y600" s="70">
        <f>'RESUMEN TOTAL'!AF683</f>
        <v>0</v>
      </c>
      <c r="Z600" s="70">
        <f>'RESUMEN TOTAL'!AG683</f>
        <v>0</v>
      </c>
      <c r="AA600" s="70">
        <f>'RESUMEN TOTAL'!AH683</f>
        <v>0</v>
      </c>
      <c r="AB600" s="70">
        <f>'RESUMEN TOTAL'!AI683</f>
        <v>0</v>
      </c>
      <c r="AC600" s="70">
        <f>'RESUMEN TOTAL'!AJ683</f>
        <v>0</v>
      </c>
      <c r="AD600" s="70">
        <f>'RESUMEN TOTAL'!AK683</f>
        <v>0</v>
      </c>
      <c r="AE600" s="70">
        <f>'RESUMEN TOTAL'!AL683</f>
        <v>0</v>
      </c>
      <c r="AF600" s="70">
        <f>'RESUMEN TOTAL'!AM683</f>
        <v>0</v>
      </c>
      <c r="AG600" s="70">
        <f>'RESUMEN TOTAL'!AN683</f>
        <v>0</v>
      </c>
      <c r="AH600" s="70">
        <f>'RESUMEN TOTAL'!AO683</f>
        <v>0</v>
      </c>
      <c r="AI600" s="70">
        <f>'RESUMEN TOTAL'!AP683</f>
        <v>0</v>
      </c>
    </row>
    <row r="601" spans="1:35" x14ac:dyDescent="0.25">
      <c r="A601">
        <f>'RESUMEN TOTAL'!A684</f>
        <v>0</v>
      </c>
      <c r="B601">
        <f>'RESUMEN TOTAL'!B684</f>
        <v>0</v>
      </c>
      <c r="C601">
        <f>'RESUMEN TOTAL'!D684</f>
        <v>0</v>
      </c>
      <c r="D601" s="30">
        <f>'RESUMEN TOTAL'!E684</f>
        <v>0</v>
      </c>
      <c r="E601" s="30">
        <f>'RESUMEN TOTAL'!F684</f>
        <v>0</v>
      </c>
      <c r="F601" s="70">
        <f>'RESUMEN TOTAL'!M684</f>
        <v>0</v>
      </c>
      <c r="G601" s="70">
        <f>'RESUMEN TOTAL'!N684</f>
        <v>0</v>
      </c>
      <c r="H601" s="70">
        <f>'RESUMEN TOTAL'!O684</f>
        <v>0</v>
      </c>
      <c r="I601" s="70">
        <f>'RESUMEN TOTAL'!P684</f>
        <v>0</v>
      </c>
      <c r="J601" s="70">
        <f>'RESUMEN TOTAL'!Q684</f>
        <v>0</v>
      </c>
      <c r="K601" s="70">
        <f>'RESUMEN TOTAL'!R684</f>
        <v>0</v>
      </c>
      <c r="L601" s="70">
        <f>'RESUMEN TOTAL'!S684</f>
        <v>0</v>
      </c>
      <c r="M601" s="70">
        <f>'RESUMEN TOTAL'!T684</f>
        <v>0</v>
      </c>
      <c r="N601" s="70">
        <f>'RESUMEN TOTAL'!U684</f>
        <v>0</v>
      </c>
      <c r="O601" s="70">
        <f>'RESUMEN TOTAL'!V684</f>
        <v>0</v>
      </c>
      <c r="P601" s="70">
        <f>'RESUMEN TOTAL'!W684</f>
        <v>0</v>
      </c>
      <c r="Q601" s="70">
        <f>'RESUMEN TOTAL'!X684</f>
        <v>0</v>
      </c>
      <c r="R601" s="70">
        <f>'RESUMEN TOTAL'!Y684</f>
        <v>0</v>
      </c>
      <c r="S601" s="70">
        <f>'RESUMEN TOTAL'!Z684</f>
        <v>0</v>
      </c>
      <c r="T601" s="70">
        <f>'RESUMEN TOTAL'!AA684</f>
        <v>0</v>
      </c>
      <c r="U601" s="70">
        <f>'RESUMEN TOTAL'!AB684</f>
        <v>0</v>
      </c>
      <c r="V601" s="70">
        <f>'RESUMEN TOTAL'!AC684</f>
        <v>0</v>
      </c>
      <c r="W601" s="70">
        <f>'RESUMEN TOTAL'!AD684</f>
        <v>0</v>
      </c>
      <c r="X601" s="70">
        <f>'RESUMEN TOTAL'!AE684</f>
        <v>0</v>
      </c>
      <c r="Y601" s="70">
        <f>'RESUMEN TOTAL'!AF684</f>
        <v>0</v>
      </c>
      <c r="Z601" s="70">
        <f>'RESUMEN TOTAL'!AG684</f>
        <v>0</v>
      </c>
      <c r="AA601" s="70">
        <f>'RESUMEN TOTAL'!AH684</f>
        <v>0</v>
      </c>
      <c r="AB601" s="70">
        <f>'RESUMEN TOTAL'!AI684</f>
        <v>0</v>
      </c>
      <c r="AC601" s="70">
        <f>'RESUMEN TOTAL'!AJ684</f>
        <v>0</v>
      </c>
      <c r="AD601" s="70">
        <f>'RESUMEN TOTAL'!AK684</f>
        <v>0</v>
      </c>
      <c r="AE601" s="70">
        <f>'RESUMEN TOTAL'!AL684</f>
        <v>0</v>
      </c>
      <c r="AF601" s="70">
        <f>'RESUMEN TOTAL'!AM684</f>
        <v>0</v>
      </c>
      <c r="AG601" s="70">
        <f>'RESUMEN TOTAL'!AN684</f>
        <v>0</v>
      </c>
      <c r="AH601" s="70">
        <f>'RESUMEN TOTAL'!AO684</f>
        <v>0</v>
      </c>
      <c r="AI601" s="70">
        <f>'RESUMEN TOTAL'!AP684</f>
        <v>0</v>
      </c>
    </row>
    <row r="602" spans="1:35" x14ac:dyDescent="0.25">
      <c r="A602">
        <f>'RESUMEN TOTAL'!A685</f>
        <v>0</v>
      </c>
      <c r="B602">
        <f>'RESUMEN TOTAL'!B685</f>
        <v>0</v>
      </c>
      <c r="C602">
        <f>'RESUMEN TOTAL'!D685</f>
        <v>0</v>
      </c>
      <c r="D602" s="30">
        <f>'RESUMEN TOTAL'!E685</f>
        <v>0</v>
      </c>
      <c r="E602" s="30">
        <f>'RESUMEN TOTAL'!F685</f>
        <v>0</v>
      </c>
      <c r="F602" s="70">
        <f>'RESUMEN TOTAL'!M685</f>
        <v>0</v>
      </c>
      <c r="G602" s="70">
        <f>'RESUMEN TOTAL'!N685</f>
        <v>0</v>
      </c>
      <c r="H602" s="70">
        <f>'RESUMEN TOTAL'!O685</f>
        <v>0</v>
      </c>
      <c r="I602" s="70">
        <f>'RESUMEN TOTAL'!P685</f>
        <v>0</v>
      </c>
      <c r="J602" s="70">
        <f>'RESUMEN TOTAL'!Q685</f>
        <v>0</v>
      </c>
      <c r="K602" s="70">
        <f>'RESUMEN TOTAL'!R685</f>
        <v>0</v>
      </c>
      <c r="L602" s="70">
        <f>'RESUMEN TOTAL'!S685</f>
        <v>0</v>
      </c>
      <c r="M602" s="70">
        <f>'RESUMEN TOTAL'!T685</f>
        <v>0</v>
      </c>
      <c r="N602" s="70">
        <f>'RESUMEN TOTAL'!U685</f>
        <v>0</v>
      </c>
      <c r="O602" s="70">
        <f>'RESUMEN TOTAL'!V685</f>
        <v>0</v>
      </c>
      <c r="P602" s="70">
        <f>'RESUMEN TOTAL'!W685</f>
        <v>0</v>
      </c>
      <c r="Q602" s="70">
        <f>'RESUMEN TOTAL'!X685</f>
        <v>0</v>
      </c>
      <c r="R602" s="70">
        <f>'RESUMEN TOTAL'!Y685</f>
        <v>0</v>
      </c>
      <c r="S602" s="70">
        <f>'RESUMEN TOTAL'!Z685</f>
        <v>0</v>
      </c>
      <c r="T602" s="70">
        <f>'RESUMEN TOTAL'!AA685</f>
        <v>0</v>
      </c>
      <c r="U602" s="70">
        <f>'RESUMEN TOTAL'!AB685</f>
        <v>0</v>
      </c>
      <c r="V602" s="70">
        <f>'RESUMEN TOTAL'!AC685</f>
        <v>0</v>
      </c>
      <c r="W602" s="70">
        <f>'RESUMEN TOTAL'!AD685</f>
        <v>0</v>
      </c>
      <c r="X602" s="70">
        <f>'RESUMEN TOTAL'!AE685</f>
        <v>0</v>
      </c>
      <c r="Y602" s="70">
        <f>'RESUMEN TOTAL'!AF685</f>
        <v>0</v>
      </c>
      <c r="Z602" s="70">
        <f>'RESUMEN TOTAL'!AG685</f>
        <v>0</v>
      </c>
      <c r="AA602" s="70">
        <f>'RESUMEN TOTAL'!AH685</f>
        <v>0</v>
      </c>
      <c r="AB602" s="70">
        <f>'RESUMEN TOTAL'!AI685</f>
        <v>0</v>
      </c>
      <c r="AC602" s="70">
        <f>'RESUMEN TOTAL'!AJ685</f>
        <v>0</v>
      </c>
      <c r="AD602" s="70">
        <f>'RESUMEN TOTAL'!AK685</f>
        <v>0</v>
      </c>
      <c r="AE602" s="70">
        <f>'RESUMEN TOTAL'!AL685</f>
        <v>0</v>
      </c>
      <c r="AF602" s="70">
        <f>'RESUMEN TOTAL'!AM685</f>
        <v>0</v>
      </c>
      <c r="AG602" s="70">
        <f>'RESUMEN TOTAL'!AN685</f>
        <v>0</v>
      </c>
      <c r="AH602" s="70">
        <f>'RESUMEN TOTAL'!AO685</f>
        <v>0</v>
      </c>
      <c r="AI602" s="70">
        <f>'RESUMEN TOTAL'!AP685</f>
        <v>0</v>
      </c>
    </row>
    <row r="603" spans="1:35" x14ac:dyDescent="0.25">
      <c r="A603">
        <f>'RESUMEN TOTAL'!A686</f>
        <v>0</v>
      </c>
      <c r="B603">
        <f>'RESUMEN TOTAL'!B686</f>
        <v>0</v>
      </c>
      <c r="C603">
        <f>'RESUMEN TOTAL'!D686</f>
        <v>0</v>
      </c>
      <c r="D603" s="30">
        <f>'RESUMEN TOTAL'!E686</f>
        <v>0</v>
      </c>
      <c r="E603" s="30">
        <f>'RESUMEN TOTAL'!F686</f>
        <v>0</v>
      </c>
      <c r="F603" s="70">
        <f>'RESUMEN TOTAL'!M686</f>
        <v>0</v>
      </c>
      <c r="G603" s="70">
        <f>'RESUMEN TOTAL'!N686</f>
        <v>0</v>
      </c>
      <c r="H603" s="70">
        <f>'RESUMEN TOTAL'!O686</f>
        <v>0</v>
      </c>
      <c r="I603" s="70">
        <f>'RESUMEN TOTAL'!P686</f>
        <v>0</v>
      </c>
      <c r="J603" s="70">
        <f>'RESUMEN TOTAL'!Q686</f>
        <v>0</v>
      </c>
      <c r="K603" s="70">
        <f>'RESUMEN TOTAL'!R686</f>
        <v>0</v>
      </c>
      <c r="L603" s="70">
        <f>'RESUMEN TOTAL'!S686</f>
        <v>0</v>
      </c>
      <c r="M603" s="70">
        <f>'RESUMEN TOTAL'!T686</f>
        <v>0</v>
      </c>
      <c r="N603" s="70">
        <f>'RESUMEN TOTAL'!U686</f>
        <v>0</v>
      </c>
      <c r="O603" s="70">
        <f>'RESUMEN TOTAL'!V686</f>
        <v>0</v>
      </c>
      <c r="P603" s="70">
        <f>'RESUMEN TOTAL'!W686</f>
        <v>0</v>
      </c>
      <c r="Q603" s="70">
        <f>'RESUMEN TOTAL'!X686</f>
        <v>0</v>
      </c>
      <c r="R603" s="70">
        <f>'RESUMEN TOTAL'!Y686</f>
        <v>0</v>
      </c>
      <c r="S603" s="70">
        <f>'RESUMEN TOTAL'!Z686</f>
        <v>0</v>
      </c>
      <c r="T603" s="70">
        <f>'RESUMEN TOTAL'!AA686</f>
        <v>0</v>
      </c>
      <c r="U603" s="70">
        <f>'RESUMEN TOTAL'!AB686</f>
        <v>0</v>
      </c>
      <c r="V603" s="70">
        <f>'RESUMEN TOTAL'!AC686</f>
        <v>0</v>
      </c>
      <c r="W603" s="70">
        <f>'RESUMEN TOTAL'!AD686</f>
        <v>0</v>
      </c>
      <c r="X603" s="70">
        <f>'RESUMEN TOTAL'!AE686</f>
        <v>0</v>
      </c>
      <c r="Y603" s="70">
        <f>'RESUMEN TOTAL'!AF686</f>
        <v>0</v>
      </c>
      <c r="Z603" s="70">
        <f>'RESUMEN TOTAL'!AG686</f>
        <v>0</v>
      </c>
      <c r="AA603" s="70">
        <f>'RESUMEN TOTAL'!AH686</f>
        <v>0</v>
      </c>
      <c r="AB603" s="70">
        <f>'RESUMEN TOTAL'!AI686</f>
        <v>0</v>
      </c>
      <c r="AC603" s="70">
        <f>'RESUMEN TOTAL'!AJ686</f>
        <v>0</v>
      </c>
      <c r="AD603" s="70">
        <f>'RESUMEN TOTAL'!AK686</f>
        <v>0</v>
      </c>
      <c r="AE603" s="70">
        <f>'RESUMEN TOTAL'!AL686</f>
        <v>0</v>
      </c>
      <c r="AF603" s="70">
        <f>'RESUMEN TOTAL'!AM686</f>
        <v>0</v>
      </c>
      <c r="AG603" s="70">
        <f>'RESUMEN TOTAL'!AN686</f>
        <v>0</v>
      </c>
      <c r="AH603" s="70">
        <f>'RESUMEN TOTAL'!AO686</f>
        <v>0</v>
      </c>
      <c r="AI603" s="70">
        <f>'RESUMEN TOTAL'!AP686</f>
        <v>0</v>
      </c>
    </row>
    <row r="604" spans="1:35" x14ac:dyDescent="0.25">
      <c r="A604">
        <f>'RESUMEN TOTAL'!A687</f>
        <v>0</v>
      </c>
      <c r="B604">
        <f>'RESUMEN TOTAL'!B687</f>
        <v>0</v>
      </c>
      <c r="C604">
        <f>'RESUMEN TOTAL'!D687</f>
        <v>0</v>
      </c>
      <c r="D604" s="30">
        <f>'RESUMEN TOTAL'!E687</f>
        <v>0</v>
      </c>
      <c r="E604" s="30">
        <f>'RESUMEN TOTAL'!F687</f>
        <v>0</v>
      </c>
      <c r="F604" s="70">
        <f>'RESUMEN TOTAL'!M687</f>
        <v>0</v>
      </c>
      <c r="G604" s="70">
        <f>'RESUMEN TOTAL'!N687</f>
        <v>0</v>
      </c>
      <c r="H604" s="70">
        <f>'RESUMEN TOTAL'!O687</f>
        <v>0</v>
      </c>
      <c r="I604" s="70">
        <f>'RESUMEN TOTAL'!P687</f>
        <v>0</v>
      </c>
      <c r="J604" s="70">
        <f>'RESUMEN TOTAL'!Q687</f>
        <v>0</v>
      </c>
      <c r="K604" s="70">
        <f>'RESUMEN TOTAL'!R687</f>
        <v>0</v>
      </c>
      <c r="L604" s="70">
        <f>'RESUMEN TOTAL'!S687</f>
        <v>0</v>
      </c>
      <c r="M604" s="70">
        <f>'RESUMEN TOTAL'!T687</f>
        <v>0</v>
      </c>
      <c r="N604" s="70">
        <f>'RESUMEN TOTAL'!U687</f>
        <v>0</v>
      </c>
      <c r="O604" s="70">
        <f>'RESUMEN TOTAL'!V687</f>
        <v>0</v>
      </c>
      <c r="P604" s="70">
        <f>'RESUMEN TOTAL'!W687</f>
        <v>0</v>
      </c>
      <c r="Q604" s="70">
        <f>'RESUMEN TOTAL'!X687</f>
        <v>0</v>
      </c>
      <c r="R604" s="70">
        <f>'RESUMEN TOTAL'!Y687</f>
        <v>0</v>
      </c>
      <c r="S604" s="70">
        <f>'RESUMEN TOTAL'!Z687</f>
        <v>0</v>
      </c>
      <c r="T604" s="70">
        <f>'RESUMEN TOTAL'!AA687</f>
        <v>0</v>
      </c>
      <c r="U604" s="70">
        <f>'RESUMEN TOTAL'!AB687</f>
        <v>0</v>
      </c>
      <c r="V604" s="70">
        <f>'RESUMEN TOTAL'!AC687</f>
        <v>0</v>
      </c>
      <c r="W604" s="70">
        <f>'RESUMEN TOTAL'!AD687</f>
        <v>0</v>
      </c>
      <c r="X604" s="70">
        <f>'RESUMEN TOTAL'!AE687</f>
        <v>0</v>
      </c>
      <c r="Y604" s="70">
        <f>'RESUMEN TOTAL'!AF687</f>
        <v>0</v>
      </c>
      <c r="Z604" s="70">
        <f>'RESUMEN TOTAL'!AG687</f>
        <v>0</v>
      </c>
      <c r="AA604" s="70">
        <f>'RESUMEN TOTAL'!AH687</f>
        <v>0</v>
      </c>
      <c r="AB604" s="70">
        <f>'RESUMEN TOTAL'!AI687</f>
        <v>0</v>
      </c>
      <c r="AC604" s="70">
        <f>'RESUMEN TOTAL'!AJ687</f>
        <v>0</v>
      </c>
      <c r="AD604" s="70">
        <f>'RESUMEN TOTAL'!AK687</f>
        <v>0</v>
      </c>
      <c r="AE604" s="70">
        <f>'RESUMEN TOTAL'!AL687</f>
        <v>0</v>
      </c>
      <c r="AF604" s="70">
        <f>'RESUMEN TOTAL'!AM687</f>
        <v>0</v>
      </c>
      <c r="AG604" s="70">
        <f>'RESUMEN TOTAL'!AN687</f>
        <v>0</v>
      </c>
      <c r="AH604" s="70">
        <f>'RESUMEN TOTAL'!AO687</f>
        <v>0</v>
      </c>
      <c r="AI604" s="70">
        <f>'RESUMEN TOTAL'!AP687</f>
        <v>0</v>
      </c>
    </row>
    <row r="605" spans="1:35" x14ac:dyDescent="0.25">
      <c r="A605">
        <f>'RESUMEN TOTAL'!A688</f>
        <v>0</v>
      </c>
      <c r="B605">
        <f>'RESUMEN TOTAL'!B688</f>
        <v>0</v>
      </c>
      <c r="C605">
        <f>'RESUMEN TOTAL'!D688</f>
        <v>0</v>
      </c>
      <c r="D605" s="30">
        <f>'RESUMEN TOTAL'!E688</f>
        <v>0</v>
      </c>
      <c r="E605" s="30">
        <f>'RESUMEN TOTAL'!F688</f>
        <v>0</v>
      </c>
      <c r="F605" s="70">
        <f>'RESUMEN TOTAL'!M688</f>
        <v>0</v>
      </c>
      <c r="G605" s="70">
        <f>'RESUMEN TOTAL'!N688</f>
        <v>0</v>
      </c>
      <c r="H605" s="70">
        <f>'RESUMEN TOTAL'!O688</f>
        <v>0</v>
      </c>
      <c r="I605" s="70">
        <f>'RESUMEN TOTAL'!P688</f>
        <v>0</v>
      </c>
      <c r="J605" s="70">
        <f>'RESUMEN TOTAL'!Q688</f>
        <v>0</v>
      </c>
      <c r="K605" s="70">
        <f>'RESUMEN TOTAL'!R688</f>
        <v>0</v>
      </c>
      <c r="L605" s="70">
        <f>'RESUMEN TOTAL'!S688</f>
        <v>0</v>
      </c>
      <c r="M605" s="70">
        <f>'RESUMEN TOTAL'!T688</f>
        <v>0</v>
      </c>
      <c r="N605" s="70">
        <f>'RESUMEN TOTAL'!U688</f>
        <v>0</v>
      </c>
      <c r="O605" s="70">
        <f>'RESUMEN TOTAL'!V688</f>
        <v>0</v>
      </c>
      <c r="P605" s="70">
        <f>'RESUMEN TOTAL'!W688</f>
        <v>0</v>
      </c>
      <c r="Q605" s="70">
        <f>'RESUMEN TOTAL'!X688</f>
        <v>0</v>
      </c>
      <c r="R605" s="70">
        <f>'RESUMEN TOTAL'!Y688</f>
        <v>0</v>
      </c>
      <c r="S605" s="70">
        <f>'RESUMEN TOTAL'!Z688</f>
        <v>0</v>
      </c>
      <c r="T605" s="70">
        <f>'RESUMEN TOTAL'!AA688</f>
        <v>0</v>
      </c>
      <c r="U605" s="70">
        <f>'RESUMEN TOTAL'!AB688</f>
        <v>0</v>
      </c>
      <c r="V605" s="70">
        <f>'RESUMEN TOTAL'!AC688</f>
        <v>0</v>
      </c>
      <c r="W605" s="70">
        <f>'RESUMEN TOTAL'!AD688</f>
        <v>0</v>
      </c>
      <c r="X605" s="70">
        <f>'RESUMEN TOTAL'!AE688</f>
        <v>0</v>
      </c>
      <c r="Y605" s="70">
        <f>'RESUMEN TOTAL'!AF688</f>
        <v>0</v>
      </c>
      <c r="Z605" s="70">
        <f>'RESUMEN TOTAL'!AG688</f>
        <v>0</v>
      </c>
      <c r="AA605" s="70">
        <f>'RESUMEN TOTAL'!AH688</f>
        <v>0</v>
      </c>
      <c r="AB605" s="70">
        <f>'RESUMEN TOTAL'!AI688</f>
        <v>0</v>
      </c>
      <c r="AC605" s="70">
        <f>'RESUMEN TOTAL'!AJ688</f>
        <v>0</v>
      </c>
      <c r="AD605" s="70">
        <f>'RESUMEN TOTAL'!AK688</f>
        <v>0</v>
      </c>
      <c r="AE605" s="70">
        <f>'RESUMEN TOTAL'!AL688</f>
        <v>0</v>
      </c>
      <c r="AF605" s="70">
        <f>'RESUMEN TOTAL'!AM688</f>
        <v>0</v>
      </c>
      <c r="AG605" s="70">
        <f>'RESUMEN TOTAL'!AN688</f>
        <v>0</v>
      </c>
      <c r="AH605" s="70">
        <f>'RESUMEN TOTAL'!AO688</f>
        <v>0</v>
      </c>
      <c r="AI605" s="70">
        <f>'RESUMEN TOTAL'!AP688</f>
        <v>0</v>
      </c>
    </row>
    <row r="606" spans="1:35" x14ac:dyDescent="0.25">
      <c r="A606">
        <f>'RESUMEN TOTAL'!A689</f>
        <v>0</v>
      </c>
      <c r="B606">
        <f>'RESUMEN TOTAL'!B689</f>
        <v>0</v>
      </c>
      <c r="C606">
        <f>'RESUMEN TOTAL'!D689</f>
        <v>0</v>
      </c>
      <c r="D606" s="30">
        <f>'RESUMEN TOTAL'!E689</f>
        <v>0</v>
      </c>
      <c r="E606" s="30">
        <f>'RESUMEN TOTAL'!F689</f>
        <v>0</v>
      </c>
      <c r="F606" s="70">
        <f>'RESUMEN TOTAL'!M689</f>
        <v>0</v>
      </c>
      <c r="G606" s="70">
        <f>'RESUMEN TOTAL'!N689</f>
        <v>0</v>
      </c>
      <c r="H606" s="70">
        <f>'RESUMEN TOTAL'!O689</f>
        <v>0</v>
      </c>
      <c r="I606" s="70">
        <f>'RESUMEN TOTAL'!P689</f>
        <v>0</v>
      </c>
      <c r="J606" s="70">
        <f>'RESUMEN TOTAL'!Q689</f>
        <v>0</v>
      </c>
      <c r="K606" s="70">
        <f>'RESUMEN TOTAL'!R689</f>
        <v>0</v>
      </c>
      <c r="L606" s="70">
        <f>'RESUMEN TOTAL'!S689</f>
        <v>0</v>
      </c>
      <c r="M606" s="70">
        <f>'RESUMEN TOTAL'!T689</f>
        <v>0</v>
      </c>
      <c r="N606" s="70">
        <f>'RESUMEN TOTAL'!U689</f>
        <v>0</v>
      </c>
      <c r="O606" s="70">
        <f>'RESUMEN TOTAL'!V689</f>
        <v>0</v>
      </c>
      <c r="P606" s="70">
        <f>'RESUMEN TOTAL'!W689</f>
        <v>0</v>
      </c>
      <c r="Q606" s="70">
        <f>'RESUMEN TOTAL'!X689</f>
        <v>0</v>
      </c>
      <c r="R606" s="70">
        <f>'RESUMEN TOTAL'!Y689</f>
        <v>0</v>
      </c>
      <c r="S606" s="70">
        <f>'RESUMEN TOTAL'!Z689</f>
        <v>0</v>
      </c>
      <c r="T606" s="70">
        <f>'RESUMEN TOTAL'!AA689</f>
        <v>0</v>
      </c>
      <c r="U606" s="70">
        <f>'RESUMEN TOTAL'!AB689</f>
        <v>0</v>
      </c>
      <c r="V606" s="70">
        <f>'RESUMEN TOTAL'!AC689</f>
        <v>0</v>
      </c>
      <c r="W606" s="70">
        <f>'RESUMEN TOTAL'!AD689</f>
        <v>0</v>
      </c>
      <c r="X606" s="70">
        <f>'RESUMEN TOTAL'!AE689</f>
        <v>0</v>
      </c>
      <c r="Y606" s="70">
        <f>'RESUMEN TOTAL'!AF689</f>
        <v>0</v>
      </c>
      <c r="Z606" s="70">
        <f>'RESUMEN TOTAL'!AG689</f>
        <v>0</v>
      </c>
      <c r="AA606" s="70">
        <f>'RESUMEN TOTAL'!AH689</f>
        <v>0</v>
      </c>
      <c r="AB606" s="70">
        <f>'RESUMEN TOTAL'!AI689</f>
        <v>0</v>
      </c>
      <c r="AC606" s="70">
        <f>'RESUMEN TOTAL'!AJ689</f>
        <v>0</v>
      </c>
      <c r="AD606" s="70">
        <f>'RESUMEN TOTAL'!AK689</f>
        <v>0</v>
      </c>
      <c r="AE606" s="70">
        <f>'RESUMEN TOTAL'!AL689</f>
        <v>0</v>
      </c>
      <c r="AF606" s="70">
        <f>'RESUMEN TOTAL'!AM689</f>
        <v>0</v>
      </c>
      <c r="AG606" s="70">
        <f>'RESUMEN TOTAL'!AN689</f>
        <v>0</v>
      </c>
      <c r="AH606" s="70">
        <f>'RESUMEN TOTAL'!AO689</f>
        <v>0</v>
      </c>
      <c r="AI606" s="70">
        <f>'RESUMEN TOTAL'!AP689</f>
        <v>0</v>
      </c>
    </row>
    <row r="607" spans="1:35" x14ac:dyDescent="0.25">
      <c r="A607">
        <f>'RESUMEN TOTAL'!A690</f>
        <v>0</v>
      </c>
      <c r="B607">
        <f>'RESUMEN TOTAL'!B690</f>
        <v>0</v>
      </c>
      <c r="C607">
        <f>'RESUMEN TOTAL'!D690</f>
        <v>0</v>
      </c>
      <c r="D607" s="30">
        <f>'RESUMEN TOTAL'!E690</f>
        <v>0</v>
      </c>
      <c r="E607" s="30">
        <f>'RESUMEN TOTAL'!F690</f>
        <v>0</v>
      </c>
      <c r="F607" s="70">
        <f>'RESUMEN TOTAL'!M690</f>
        <v>0</v>
      </c>
      <c r="G607" s="70">
        <f>'RESUMEN TOTAL'!N690</f>
        <v>0</v>
      </c>
      <c r="H607" s="70">
        <f>'RESUMEN TOTAL'!O690</f>
        <v>0</v>
      </c>
      <c r="I607" s="70">
        <f>'RESUMEN TOTAL'!P690</f>
        <v>0</v>
      </c>
      <c r="J607" s="70">
        <f>'RESUMEN TOTAL'!Q690</f>
        <v>0</v>
      </c>
      <c r="K607" s="70">
        <f>'RESUMEN TOTAL'!R690</f>
        <v>0</v>
      </c>
      <c r="L607" s="70">
        <f>'RESUMEN TOTAL'!S690</f>
        <v>0</v>
      </c>
      <c r="M607" s="70">
        <f>'RESUMEN TOTAL'!T690</f>
        <v>0</v>
      </c>
      <c r="N607" s="70">
        <f>'RESUMEN TOTAL'!U690</f>
        <v>0</v>
      </c>
      <c r="O607" s="70">
        <f>'RESUMEN TOTAL'!V690</f>
        <v>0</v>
      </c>
      <c r="P607" s="70">
        <f>'RESUMEN TOTAL'!W690</f>
        <v>0</v>
      </c>
      <c r="Q607" s="70">
        <f>'RESUMEN TOTAL'!X690</f>
        <v>0</v>
      </c>
      <c r="R607" s="70">
        <f>'RESUMEN TOTAL'!Y690</f>
        <v>0</v>
      </c>
      <c r="S607" s="70">
        <f>'RESUMEN TOTAL'!Z690</f>
        <v>0</v>
      </c>
      <c r="T607" s="70">
        <f>'RESUMEN TOTAL'!AA690</f>
        <v>0</v>
      </c>
      <c r="U607" s="70">
        <f>'RESUMEN TOTAL'!AB690</f>
        <v>0</v>
      </c>
      <c r="V607" s="70">
        <f>'RESUMEN TOTAL'!AC690</f>
        <v>0</v>
      </c>
      <c r="W607" s="70">
        <f>'RESUMEN TOTAL'!AD690</f>
        <v>0</v>
      </c>
      <c r="X607" s="70">
        <f>'RESUMEN TOTAL'!AE690</f>
        <v>0</v>
      </c>
      <c r="Y607" s="70">
        <f>'RESUMEN TOTAL'!AF690</f>
        <v>0</v>
      </c>
      <c r="Z607" s="70">
        <f>'RESUMEN TOTAL'!AG690</f>
        <v>0</v>
      </c>
      <c r="AA607" s="70">
        <f>'RESUMEN TOTAL'!AH690</f>
        <v>0</v>
      </c>
      <c r="AB607" s="70">
        <f>'RESUMEN TOTAL'!AI690</f>
        <v>0</v>
      </c>
      <c r="AC607" s="70">
        <f>'RESUMEN TOTAL'!AJ690</f>
        <v>0</v>
      </c>
      <c r="AD607" s="70">
        <f>'RESUMEN TOTAL'!AK690</f>
        <v>0</v>
      </c>
      <c r="AE607" s="70">
        <f>'RESUMEN TOTAL'!AL690</f>
        <v>0</v>
      </c>
      <c r="AF607" s="70">
        <f>'RESUMEN TOTAL'!AM690</f>
        <v>0</v>
      </c>
      <c r="AG607" s="70">
        <f>'RESUMEN TOTAL'!AN690</f>
        <v>0</v>
      </c>
      <c r="AH607" s="70">
        <f>'RESUMEN TOTAL'!AO690</f>
        <v>0</v>
      </c>
      <c r="AI607" s="70">
        <f>'RESUMEN TOTAL'!AP690</f>
        <v>0</v>
      </c>
    </row>
    <row r="608" spans="1:35" x14ac:dyDescent="0.25">
      <c r="A608">
        <f>'RESUMEN TOTAL'!A691</f>
        <v>0</v>
      </c>
      <c r="B608">
        <f>'RESUMEN TOTAL'!B691</f>
        <v>0</v>
      </c>
      <c r="C608">
        <f>'RESUMEN TOTAL'!D691</f>
        <v>0</v>
      </c>
      <c r="D608" s="30">
        <f>'RESUMEN TOTAL'!E691</f>
        <v>0</v>
      </c>
      <c r="E608" s="30">
        <f>'RESUMEN TOTAL'!F691</f>
        <v>0</v>
      </c>
      <c r="F608" s="70">
        <f>'RESUMEN TOTAL'!M691</f>
        <v>0</v>
      </c>
      <c r="G608" s="70">
        <f>'RESUMEN TOTAL'!N691</f>
        <v>0</v>
      </c>
      <c r="H608" s="70">
        <f>'RESUMEN TOTAL'!O691</f>
        <v>0</v>
      </c>
      <c r="I608" s="70">
        <f>'RESUMEN TOTAL'!P691</f>
        <v>0</v>
      </c>
      <c r="J608" s="70">
        <f>'RESUMEN TOTAL'!Q691</f>
        <v>0</v>
      </c>
      <c r="K608" s="70">
        <f>'RESUMEN TOTAL'!R691</f>
        <v>0</v>
      </c>
      <c r="L608" s="70">
        <f>'RESUMEN TOTAL'!S691</f>
        <v>0</v>
      </c>
      <c r="M608" s="70">
        <f>'RESUMEN TOTAL'!T691</f>
        <v>0</v>
      </c>
      <c r="N608" s="70">
        <f>'RESUMEN TOTAL'!U691</f>
        <v>0</v>
      </c>
      <c r="O608" s="70">
        <f>'RESUMEN TOTAL'!V691</f>
        <v>0</v>
      </c>
      <c r="P608" s="70">
        <f>'RESUMEN TOTAL'!W691</f>
        <v>0</v>
      </c>
      <c r="Q608" s="70">
        <f>'RESUMEN TOTAL'!X691</f>
        <v>0</v>
      </c>
      <c r="R608" s="70">
        <f>'RESUMEN TOTAL'!Y691</f>
        <v>0</v>
      </c>
      <c r="S608" s="70">
        <f>'RESUMEN TOTAL'!Z691</f>
        <v>0</v>
      </c>
      <c r="T608" s="70">
        <f>'RESUMEN TOTAL'!AA691</f>
        <v>0</v>
      </c>
      <c r="U608" s="70">
        <f>'RESUMEN TOTAL'!AB691</f>
        <v>0</v>
      </c>
      <c r="V608" s="70">
        <f>'RESUMEN TOTAL'!AC691</f>
        <v>0</v>
      </c>
      <c r="W608" s="70">
        <f>'RESUMEN TOTAL'!AD691</f>
        <v>0</v>
      </c>
      <c r="X608" s="70">
        <f>'RESUMEN TOTAL'!AE691</f>
        <v>0</v>
      </c>
      <c r="Y608" s="70">
        <f>'RESUMEN TOTAL'!AF691</f>
        <v>0</v>
      </c>
      <c r="Z608" s="70">
        <f>'RESUMEN TOTAL'!AG691</f>
        <v>0</v>
      </c>
      <c r="AA608" s="70">
        <f>'RESUMEN TOTAL'!AH691</f>
        <v>0</v>
      </c>
      <c r="AB608" s="70">
        <f>'RESUMEN TOTAL'!AI691</f>
        <v>0</v>
      </c>
      <c r="AC608" s="70">
        <f>'RESUMEN TOTAL'!AJ691</f>
        <v>0</v>
      </c>
      <c r="AD608" s="70">
        <f>'RESUMEN TOTAL'!AK691</f>
        <v>0</v>
      </c>
      <c r="AE608" s="70">
        <f>'RESUMEN TOTAL'!AL691</f>
        <v>0</v>
      </c>
      <c r="AF608" s="70">
        <f>'RESUMEN TOTAL'!AM691</f>
        <v>0</v>
      </c>
      <c r="AG608" s="70">
        <f>'RESUMEN TOTAL'!AN691</f>
        <v>0</v>
      </c>
      <c r="AH608" s="70">
        <f>'RESUMEN TOTAL'!AO691</f>
        <v>0</v>
      </c>
      <c r="AI608" s="70">
        <f>'RESUMEN TOTAL'!AP691</f>
        <v>0</v>
      </c>
    </row>
    <row r="609" spans="1:35" x14ac:dyDescent="0.25">
      <c r="A609">
        <f>'RESUMEN TOTAL'!A692</f>
        <v>0</v>
      </c>
      <c r="B609">
        <f>'RESUMEN TOTAL'!B692</f>
        <v>0</v>
      </c>
      <c r="C609">
        <f>'RESUMEN TOTAL'!D692</f>
        <v>0</v>
      </c>
      <c r="D609" s="30">
        <f>'RESUMEN TOTAL'!E692</f>
        <v>0</v>
      </c>
      <c r="E609" s="30">
        <f>'RESUMEN TOTAL'!F692</f>
        <v>0</v>
      </c>
      <c r="F609" s="70">
        <f>'RESUMEN TOTAL'!M692</f>
        <v>0</v>
      </c>
      <c r="G609" s="70">
        <f>'RESUMEN TOTAL'!N692</f>
        <v>0</v>
      </c>
      <c r="H609" s="70">
        <f>'RESUMEN TOTAL'!O692</f>
        <v>0</v>
      </c>
      <c r="I609" s="70">
        <f>'RESUMEN TOTAL'!P692</f>
        <v>0</v>
      </c>
      <c r="J609" s="70">
        <f>'RESUMEN TOTAL'!Q692</f>
        <v>0</v>
      </c>
      <c r="K609" s="70">
        <f>'RESUMEN TOTAL'!R692</f>
        <v>0</v>
      </c>
      <c r="L609" s="70">
        <f>'RESUMEN TOTAL'!S692</f>
        <v>0</v>
      </c>
      <c r="M609" s="70">
        <f>'RESUMEN TOTAL'!T692</f>
        <v>0</v>
      </c>
      <c r="N609" s="70">
        <f>'RESUMEN TOTAL'!U692</f>
        <v>0</v>
      </c>
      <c r="O609" s="70">
        <f>'RESUMEN TOTAL'!V692</f>
        <v>0</v>
      </c>
      <c r="P609" s="70">
        <f>'RESUMEN TOTAL'!W692</f>
        <v>0</v>
      </c>
      <c r="Q609" s="70">
        <f>'RESUMEN TOTAL'!X692</f>
        <v>0</v>
      </c>
      <c r="R609" s="70">
        <f>'RESUMEN TOTAL'!Y692</f>
        <v>0</v>
      </c>
      <c r="S609" s="70">
        <f>'RESUMEN TOTAL'!Z692</f>
        <v>0</v>
      </c>
      <c r="T609" s="70">
        <f>'RESUMEN TOTAL'!AA692</f>
        <v>0</v>
      </c>
      <c r="U609" s="70">
        <f>'RESUMEN TOTAL'!AB692</f>
        <v>0</v>
      </c>
      <c r="V609" s="70">
        <f>'RESUMEN TOTAL'!AC692</f>
        <v>0</v>
      </c>
      <c r="W609" s="70">
        <f>'RESUMEN TOTAL'!AD692</f>
        <v>0</v>
      </c>
      <c r="X609" s="70">
        <f>'RESUMEN TOTAL'!AE692</f>
        <v>0</v>
      </c>
      <c r="Y609" s="70">
        <f>'RESUMEN TOTAL'!AF692</f>
        <v>0</v>
      </c>
      <c r="Z609" s="70">
        <f>'RESUMEN TOTAL'!AG692</f>
        <v>0</v>
      </c>
      <c r="AA609" s="70">
        <f>'RESUMEN TOTAL'!AH692</f>
        <v>0</v>
      </c>
      <c r="AB609" s="70">
        <f>'RESUMEN TOTAL'!AI692</f>
        <v>0</v>
      </c>
      <c r="AC609" s="70">
        <f>'RESUMEN TOTAL'!AJ692</f>
        <v>0</v>
      </c>
      <c r="AD609" s="70">
        <f>'RESUMEN TOTAL'!AK692</f>
        <v>0</v>
      </c>
      <c r="AE609" s="70">
        <f>'RESUMEN TOTAL'!AL692</f>
        <v>0</v>
      </c>
      <c r="AF609" s="70">
        <f>'RESUMEN TOTAL'!AM692</f>
        <v>0</v>
      </c>
      <c r="AG609" s="70">
        <f>'RESUMEN TOTAL'!AN692</f>
        <v>0</v>
      </c>
      <c r="AH609" s="70">
        <f>'RESUMEN TOTAL'!AO692</f>
        <v>0</v>
      </c>
      <c r="AI609" s="70">
        <f>'RESUMEN TOTAL'!AP692</f>
        <v>0</v>
      </c>
    </row>
    <row r="610" spans="1:35" x14ac:dyDescent="0.25">
      <c r="A610">
        <f>'RESUMEN TOTAL'!A693</f>
        <v>0</v>
      </c>
      <c r="B610">
        <f>'RESUMEN TOTAL'!B693</f>
        <v>0</v>
      </c>
      <c r="C610">
        <f>'RESUMEN TOTAL'!D693</f>
        <v>0</v>
      </c>
      <c r="D610" s="30">
        <f>'RESUMEN TOTAL'!E693</f>
        <v>0</v>
      </c>
      <c r="E610" s="30">
        <f>'RESUMEN TOTAL'!F693</f>
        <v>0</v>
      </c>
      <c r="F610" s="70">
        <f>'RESUMEN TOTAL'!M693</f>
        <v>0</v>
      </c>
      <c r="G610" s="70">
        <f>'RESUMEN TOTAL'!N693</f>
        <v>0</v>
      </c>
      <c r="H610" s="70">
        <f>'RESUMEN TOTAL'!O693</f>
        <v>0</v>
      </c>
      <c r="I610" s="70">
        <f>'RESUMEN TOTAL'!P693</f>
        <v>0</v>
      </c>
      <c r="J610" s="70">
        <f>'RESUMEN TOTAL'!Q693</f>
        <v>0</v>
      </c>
      <c r="K610" s="70">
        <f>'RESUMEN TOTAL'!R693</f>
        <v>0</v>
      </c>
      <c r="L610" s="70">
        <f>'RESUMEN TOTAL'!S693</f>
        <v>0</v>
      </c>
      <c r="M610" s="70">
        <f>'RESUMEN TOTAL'!T693</f>
        <v>0</v>
      </c>
      <c r="N610" s="70">
        <f>'RESUMEN TOTAL'!U693</f>
        <v>0</v>
      </c>
      <c r="O610" s="70">
        <f>'RESUMEN TOTAL'!V693</f>
        <v>0</v>
      </c>
      <c r="P610" s="70">
        <f>'RESUMEN TOTAL'!W693</f>
        <v>0</v>
      </c>
      <c r="Q610" s="70">
        <f>'RESUMEN TOTAL'!X693</f>
        <v>0</v>
      </c>
      <c r="R610" s="70">
        <f>'RESUMEN TOTAL'!Y693</f>
        <v>0</v>
      </c>
      <c r="S610" s="70">
        <f>'RESUMEN TOTAL'!Z693</f>
        <v>0</v>
      </c>
      <c r="T610" s="70">
        <f>'RESUMEN TOTAL'!AA693</f>
        <v>0</v>
      </c>
      <c r="U610" s="70">
        <f>'RESUMEN TOTAL'!AB693</f>
        <v>0</v>
      </c>
      <c r="V610" s="70">
        <f>'RESUMEN TOTAL'!AC693</f>
        <v>0</v>
      </c>
      <c r="W610" s="70">
        <f>'RESUMEN TOTAL'!AD693</f>
        <v>0</v>
      </c>
      <c r="X610" s="70">
        <f>'RESUMEN TOTAL'!AE693</f>
        <v>0</v>
      </c>
      <c r="Y610" s="70">
        <f>'RESUMEN TOTAL'!AF693</f>
        <v>0</v>
      </c>
      <c r="Z610" s="70">
        <f>'RESUMEN TOTAL'!AG693</f>
        <v>0</v>
      </c>
      <c r="AA610" s="70">
        <f>'RESUMEN TOTAL'!AH693</f>
        <v>0</v>
      </c>
      <c r="AB610" s="70">
        <f>'RESUMEN TOTAL'!AI693</f>
        <v>0</v>
      </c>
      <c r="AC610" s="70">
        <f>'RESUMEN TOTAL'!AJ693</f>
        <v>0</v>
      </c>
      <c r="AD610" s="70">
        <f>'RESUMEN TOTAL'!AK693</f>
        <v>0</v>
      </c>
      <c r="AE610" s="70">
        <f>'RESUMEN TOTAL'!AL693</f>
        <v>0</v>
      </c>
      <c r="AF610" s="70">
        <f>'RESUMEN TOTAL'!AM693</f>
        <v>0</v>
      </c>
      <c r="AG610" s="70">
        <f>'RESUMEN TOTAL'!AN693</f>
        <v>0</v>
      </c>
      <c r="AH610" s="70">
        <f>'RESUMEN TOTAL'!AO693</f>
        <v>0</v>
      </c>
      <c r="AI610" s="70">
        <f>'RESUMEN TOTAL'!AP693</f>
        <v>0</v>
      </c>
    </row>
    <row r="611" spans="1:35" x14ac:dyDescent="0.25">
      <c r="A611">
        <f>'RESUMEN TOTAL'!A694</f>
        <v>0</v>
      </c>
      <c r="B611">
        <f>'RESUMEN TOTAL'!B694</f>
        <v>0</v>
      </c>
      <c r="C611">
        <f>'RESUMEN TOTAL'!D694</f>
        <v>0</v>
      </c>
      <c r="D611" s="30">
        <f>'RESUMEN TOTAL'!E694</f>
        <v>0</v>
      </c>
      <c r="E611" s="30">
        <f>'RESUMEN TOTAL'!F694</f>
        <v>0</v>
      </c>
      <c r="F611" s="70">
        <f>'RESUMEN TOTAL'!M694</f>
        <v>0</v>
      </c>
      <c r="G611" s="70">
        <f>'RESUMEN TOTAL'!N694</f>
        <v>0</v>
      </c>
      <c r="H611" s="70">
        <f>'RESUMEN TOTAL'!O694</f>
        <v>0</v>
      </c>
      <c r="I611" s="70">
        <f>'RESUMEN TOTAL'!P694</f>
        <v>0</v>
      </c>
      <c r="J611" s="70">
        <f>'RESUMEN TOTAL'!Q694</f>
        <v>0</v>
      </c>
      <c r="K611" s="70">
        <f>'RESUMEN TOTAL'!R694</f>
        <v>0</v>
      </c>
      <c r="L611" s="70">
        <f>'RESUMEN TOTAL'!S694</f>
        <v>0</v>
      </c>
      <c r="M611" s="70">
        <f>'RESUMEN TOTAL'!T694</f>
        <v>0</v>
      </c>
      <c r="N611" s="70">
        <f>'RESUMEN TOTAL'!U694</f>
        <v>0</v>
      </c>
      <c r="O611" s="70">
        <f>'RESUMEN TOTAL'!V694</f>
        <v>0</v>
      </c>
      <c r="P611" s="70">
        <f>'RESUMEN TOTAL'!W694</f>
        <v>0</v>
      </c>
      <c r="Q611" s="70">
        <f>'RESUMEN TOTAL'!X694</f>
        <v>0</v>
      </c>
      <c r="R611" s="70">
        <f>'RESUMEN TOTAL'!Y694</f>
        <v>0</v>
      </c>
      <c r="S611" s="70">
        <f>'RESUMEN TOTAL'!Z694</f>
        <v>0</v>
      </c>
      <c r="T611" s="70">
        <f>'RESUMEN TOTAL'!AA694</f>
        <v>0</v>
      </c>
      <c r="U611" s="70">
        <f>'RESUMEN TOTAL'!AB694</f>
        <v>0</v>
      </c>
      <c r="V611" s="70">
        <f>'RESUMEN TOTAL'!AC694</f>
        <v>0</v>
      </c>
      <c r="W611" s="70">
        <f>'RESUMEN TOTAL'!AD694</f>
        <v>0</v>
      </c>
      <c r="X611" s="70">
        <f>'RESUMEN TOTAL'!AE694</f>
        <v>0</v>
      </c>
      <c r="Y611" s="70">
        <f>'RESUMEN TOTAL'!AF694</f>
        <v>0</v>
      </c>
      <c r="Z611" s="70">
        <f>'RESUMEN TOTAL'!AG694</f>
        <v>0</v>
      </c>
      <c r="AA611" s="70">
        <f>'RESUMEN TOTAL'!AH694</f>
        <v>0</v>
      </c>
      <c r="AB611" s="70">
        <f>'RESUMEN TOTAL'!AI694</f>
        <v>0</v>
      </c>
      <c r="AC611" s="70">
        <f>'RESUMEN TOTAL'!AJ694</f>
        <v>0</v>
      </c>
      <c r="AD611" s="70">
        <f>'RESUMEN TOTAL'!AK694</f>
        <v>0</v>
      </c>
      <c r="AE611" s="70">
        <f>'RESUMEN TOTAL'!AL694</f>
        <v>0</v>
      </c>
      <c r="AF611" s="70">
        <f>'RESUMEN TOTAL'!AM694</f>
        <v>0</v>
      </c>
      <c r="AG611" s="70">
        <f>'RESUMEN TOTAL'!AN694</f>
        <v>0</v>
      </c>
      <c r="AH611" s="70">
        <f>'RESUMEN TOTAL'!AO694</f>
        <v>0</v>
      </c>
      <c r="AI611" s="70">
        <f>'RESUMEN TOTAL'!AP694</f>
        <v>0</v>
      </c>
    </row>
    <row r="612" spans="1:35" x14ac:dyDescent="0.25">
      <c r="A612">
        <f>'RESUMEN TOTAL'!A695</f>
        <v>0</v>
      </c>
      <c r="B612">
        <f>'RESUMEN TOTAL'!B695</f>
        <v>0</v>
      </c>
      <c r="C612">
        <f>'RESUMEN TOTAL'!D695</f>
        <v>0</v>
      </c>
      <c r="D612" s="30">
        <f>'RESUMEN TOTAL'!E695</f>
        <v>0</v>
      </c>
      <c r="E612" s="30">
        <f>'RESUMEN TOTAL'!F695</f>
        <v>0</v>
      </c>
      <c r="F612" s="70">
        <f>'RESUMEN TOTAL'!M695</f>
        <v>0</v>
      </c>
      <c r="G612" s="70">
        <f>'RESUMEN TOTAL'!N695</f>
        <v>0</v>
      </c>
      <c r="H612" s="70">
        <f>'RESUMEN TOTAL'!O695</f>
        <v>0</v>
      </c>
      <c r="I612" s="70">
        <f>'RESUMEN TOTAL'!P695</f>
        <v>0</v>
      </c>
      <c r="J612" s="70">
        <f>'RESUMEN TOTAL'!Q695</f>
        <v>0</v>
      </c>
      <c r="K612" s="70">
        <f>'RESUMEN TOTAL'!R695</f>
        <v>0</v>
      </c>
      <c r="L612" s="70">
        <f>'RESUMEN TOTAL'!S695</f>
        <v>0</v>
      </c>
      <c r="M612" s="70">
        <f>'RESUMEN TOTAL'!T695</f>
        <v>0</v>
      </c>
      <c r="N612" s="70">
        <f>'RESUMEN TOTAL'!U695</f>
        <v>0</v>
      </c>
      <c r="O612" s="70">
        <f>'RESUMEN TOTAL'!V695</f>
        <v>0</v>
      </c>
      <c r="P612" s="70">
        <f>'RESUMEN TOTAL'!W695</f>
        <v>0</v>
      </c>
      <c r="Q612" s="70">
        <f>'RESUMEN TOTAL'!X695</f>
        <v>0</v>
      </c>
      <c r="R612" s="70">
        <f>'RESUMEN TOTAL'!Y695</f>
        <v>0</v>
      </c>
      <c r="S612" s="70">
        <f>'RESUMEN TOTAL'!Z695</f>
        <v>0</v>
      </c>
      <c r="T612" s="70">
        <f>'RESUMEN TOTAL'!AA695</f>
        <v>0</v>
      </c>
      <c r="U612" s="70">
        <f>'RESUMEN TOTAL'!AB695</f>
        <v>0</v>
      </c>
      <c r="V612" s="70">
        <f>'RESUMEN TOTAL'!AC695</f>
        <v>0</v>
      </c>
      <c r="W612" s="70">
        <f>'RESUMEN TOTAL'!AD695</f>
        <v>0</v>
      </c>
      <c r="X612" s="70">
        <f>'RESUMEN TOTAL'!AE695</f>
        <v>0</v>
      </c>
      <c r="Y612" s="70">
        <f>'RESUMEN TOTAL'!AF695</f>
        <v>0</v>
      </c>
      <c r="Z612" s="70">
        <f>'RESUMEN TOTAL'!AG695</f>
        <v>0</v>
      </c>
      <c r="AA612" s="70">
        <f>'RESUMEN TOTAL'!AH695</f>
        <v>0</v>
      </c>
      <c r="AB612" s="70">
        <f>'RESUMEN TOTAL'!AI695</f>
        <v>0</v>
      </c>
      <c r="AC612" s="70">
        <f>'RESUMEN TOTAL'!AJ695</f>
        <v>0</v>
      </c>
      <c r="AD612" s="70">
        <f>'RESUMEN TOTAL'!AK695</f>
        <v>0</v>
      </c>
      <c r="AE612" s="70">
        <f>'RESUMEN TOTAL'!AL695</f>
        <v>0</v>
      </c>
      <c r="AF612" s="70">
        <f>'RESUMEN TOTAL'!AM695</f>
        <v>0</v>
      </c>
      <c r="AG612" s="70">
        <f>'RESUMEN TOTAL'!AN695</f>
        <v>0</v>
      </c>
      <c r="AH612" s="70">
        <f>'RESUMEN TOTAL'!AO695</f>
        <v>0</v>
      </c>
      <c r="AI612" s="70">
        <f>'RESUMEN TOTAL'!AP695</f>
        <v>0</v>
      </c>
    </row>
    <row r="613" spans="1:35" x14ac:dyDescent="0.25">
      <c r="A613">
        <f>'RESUMEN TOTAL'!A696</f>
        <v>0</v>
      </c>
      <c r="B613">
        <f>'RESUMEN TOTAL'!B696</f>
        <v>0</v>
      </c>
      <c r="C613">
        <f>'RESUMEN TOTAL'!D696</f>
        <v>0</v>
      </c>
      <c r="D613" s="30">
        <f>'RESUMEN TOTAL'!E696</f>
        <v>0</v>
      </c>
      <c r="E613" s="30">
        <f>'RESUMEN TOTAL'!F696</f>
        <v>0</v>
      </c>
      <c r="F613" s="70">
        <f>'RESUMEN TOTAL'!M696</f>
        <v>0</v>
      </c>
      <c r="G613" s="70">
        <f>'RESUMEN TOTAL'!N696</f>
        <v>0</v>
      </c>
      <c r="H613" s="70">
        <f>'RESUMEN TOTAL'!O696</f>
        <v>0</v>
      </c>
      <c r="I613" s="70">
        <f>'RESUMEN TOTAL'!P696</f>
        <v>0</v>
      </c>
      <c r="J613" s="70">
        <f>'RESUMEN TOTAL'!Q696</f>
        <v>0</v>
      </c>
      <c r="K613" s="70">
        <f>'RESUMEN TOTAL'!R696</f>
        <v>0</v>
      </c>
      <c r="L613" s="70">
        <f>'RESUMEN TOTAL'!S696</f>
        <v>0</v>
      </c>
      <c r="M613" s="70">
        <f>'RESUMEN TOTAL'!T696</f>
        <v>0</v>
      </c>
      <c r="N613" s="70">
        <f>'RESUMEN TOTAL'!U696</f>
        <v>0</v>
      </c>
      <c r="O613" s="70">
        <f>'RESUMEN TOTAL'!V696</f>
        <v>0</v>
      </c>
      <c r="P613" s="70">
        <f>'RESUMEN TOTAL'!W696</f>
        <v>0</v>
      </c>
      <c r="Q613" s="70">
        <f>'RESUMEN TOTAL'!X696</f>
        <v>0</v>
      </c>
      <c r="R613" s="70">
        <f>'RESUMEN TOTAL'!Y696</f>
        <v>0</v>
      </c>
      <c r="S613" s="70">
        <f>'RESUMEN TOTAL'!Z696</f>
        <v>0</v>
      </c>
      <c r="T613" s="70">
        <f>'RESUMEN TOTAL'!AA696</f>
        <v>0</v>
      </c>
      <c r="U613" s="70">
        <f>'RESUMEN TOTAL'!AB696</f>
        <v>0</v>
      </c>
      <c r="V613" s="70">
        <f>'RESUMEN TOTAL'!AC696</f>
        <v>0</v>
      </c>
      <c r="W613" s="70">
        <f>'RESUMEN TOTAL'!AD696</f>
        <v>0</v>
      </c>
      <c r="X613" s="70">
        <f>'RESUMEN TOTAL'!AE696</f>
        <v>0</v>
      </c>
      <c r="Y613" s="70">
        <f>'RESUMEN TOTAL'!AF696</f>
        <v>0</v>
      </c>
      <c r="Z613" s="70">
        <f>'RESUMEN TOTAL'!AG696</f>
        <v>0</v>
      </c>
      <c r="AA613" s="70">
        <f>'RESUMEN TOTAL'!AH696</f>
        <v>0</v>
      </c>
      <c r="AB613" s="70">
        <f>'RESUMEN TOTAL'!AI696</f>
        <v>0</v>
      </c>
      <c r="AC613" s="70">
        <f>'RESUMEN TOTAL'!AJ696</f>
        <v>0</v>
      </c>
      <c r="AD613" s="70">
        <f>'RESUMEN TOTAL'!AK696</f>
        <v>0</v>
      </c>
      <c r="AE613" s="70">
        <f>'RESUMEN TOTAL'!AL696</f>
        <v>0</v>
      </c>
      <c r="AF613" s="70">
        <f>'RESUMEN TOTAL'!AM696</f>
        <v>0</v>
      </c>
      <c r="AG613" s="70">
        <f>'RESUMEN TOTAL'!AN696</f>
        <v>0</v>
      </c>
      <c r="AH613" s="70">
        <f>'RESUMEN TOTAL'!AO696</f>
        <v>0</v>
      </c>
      <c r="AI613" s="70">
        <f>'RESUMEN TOTAL'!AP696</f>
        <v>0</v>
      </c>
    </row>
    <row r="614" spans="1:35" x14ac:dyDescent="0.25">
      <c r="A614">
        <f>'RESUMEN TOTAL'!A697</f>
        <v>0</v>
      </c>
      <c r="B614">
        <f>'RESUMEN TOTAL'!B697</f>
        <v>0</v>
      </c>
      <c r="C614">
        <f>'RESUMEN TOTAL'!D697</f>
        <v>0</v>
      </c>
      <c r="D614" s="30">
        <f>'RESUMEN TOTAL'!E697</f>
        <v>0</v>
      </c>
      <c r="E614" s="30">
        <f>'RESUMEN TOTAL'!F697</f>
        <v>0</v>
      </c>
      <c r="F614" s="70">
        <f>'RESUMEN TOTAL'!M697</f>
        <v>0</v>
      </c>
      <c r="G614" s="70">
        <f>'RESUMEN TOTAL'!N697</f>
        <v>0</v>
      </c>
      <c r="H614" s="70">
        <f>'RESUMEN TOTAL'!O697</f>
        <v>0</v>
      </c>
      <c r="I614" s="70">
        <f>'RESUMEN TOTAL'!P697</f>
        <v>0</v>
      </c>
      <c r="J614" s="70">
        <f>'RESUMEN TOTAL'!Q697</f>
        <v>0</v>
      </c>
      <c r="K614" s="70">
        <f>'RESUMEN TOTAL'!R697</f>
        <v>0</v>
      </c>
      <c r="L614" s="70">
        <f>'RESUMEN TOTAL'!S697</f>
        <v>0</v>
      </c>
      <c r="M614" s="70">
        <f>'RESUMEN TOTAL'!T697</f>
        <v>0</v>
      </c>
      <c r="N614" s="70">
        <f>'RESUMEN TOTAL'!U697</f>
        <v>0</v>
      </c>
      <c r="O614" s="70">
        <f>'RESUMEN TOTAL'!V697</f>
        <v>0</v>
      </c>
      <c r="P614" s="70">
        <f>'RESUMEN TOTAL'!W697</f>
        <v>0</v>
      </c>
      <c r="Q614" s="70">
        <f>'RESUMEN TOTAL'!X697</f>
        <v>0</v>
      </c>
      <c r="R614" s="70">
        <f>'RESUMEN TOTAL'!Y697</f>
        <v>0</v>
      </c>
      <c r="S614" s="70">
        <f>'RESUMEN TOTAL'!Z697</f>
        <v>0</v>
      </c>
      <c r="T614" s="70">
        <f>'RESUMEN TOTAL'!AA697</f>
        <v>0</v>
      </c>
      <c r="U614" s="70">
        <f>'RESUMEN TOTAL'!AB697</f>
        <v>0</v>
      </c>
      <c r="V614" s="70">
        <f>'RESUMEN TOTAL'!AC697</f>
        <v>0</v>
      </c>
      <c r="W614" s="70">
        <f>'RESUMEN TOTAL'!AD697</f>
        <v>0</v>
      </c>
      <c r="X614" s="70">
        <f>'RESUMEN TOTAL'!AE697</f>
        <v>0</v>
      </c>
      <c r="Y614" s="70">
        <f>'RESUMEN TOTAL'!AF697</f>
        <v>0</v>
      </c>
      <c r="Z614" s="70">
        <f>'RESUMEN TOTAL'!AG697</f>
        <v>0</v>
      </c>
      <c r="AA614" s="70">
        <f>'RESUMEN TOTAL'!AH697</f>
        <v>0</v>
      </c>
      <c r="AB614" s="70">
        <f>'RESUMEN TOTAL'!AI697</f>
        <v>0</v>
      </c>
      <c r="AC614" s="70">
        <f>'RESUMEN TOTAL'!AJ697</f>
        <v>0</v>
      </c>
      <c r="AD614" s="70">
        <f>'RESUMEN TOTAL'!AK697</f>
        <v>0</v>
      </c>
      <c r="AE614" s="70">
        <f>'RESUMEN TOTAL'!AL697</f>
        <v>0</v>
      </c>
      <c r="AF614" s="70">
        <f>'RESUMEN TOTAL'!AM697</f>
        <v>0</v>
      </c>
      <c r="AG614" s="70">
        <f>'RESUMEN TOTAL'!AN697</f>
        <v>0</v>
      </c>
      <c r="AH614" s="70">
        <f>'RESUMEN TOTAL'!AO697</f>
        <v>0</v>
      </c>
      <c r="AI614" s="70">
        <f>'RESUMEN TOTAL'!AP697</f>
        <v>0</v>
      </c>
    </row>
    <row r="615" spans="1:35" x14ac:dyDescent="0.25">
      <c r="A615">
        <f>'RESUMEN TOTAL'!A698</f>
        <v>0</v>
      </c>
      <c r="B615">
        <f>'RESUMEN TOTAL'!B698</f>
        <v>0</v>
      </c>
      <c r="C615">
        <f>'RESUMEN TOTAL'!D698</f>
        <v>0</v>
      </c>
      <c r="D615" s="30">
        <f>'RESUMEN TOTAL'!E698</f>
        <v>0</v>
      </c>
      <c r="E615" s="30">
        <f>'RESUMEN TOTAL'!F698</f>
        <v>0</v>
      </c>
      <c r="F615" s="70">
        <f>'RESUMEN TOTAL'!M698</f>
        <v>0</v>
      </c>
      <c r="G615" s="70">
        <f>'RESUMEN TOTAL'!N698</f>
        <v>0</v>
      </c>
      <c r="H615" s="70">
        <f>'RESUMEN TOTAL'!O698</f>
        <v>0</v>
      </c>
      <c r="I615" s="70">
        <f>'RESUMEN TOTAL'!P698</f>
        <v>0</v>
      </c>
      <c r="J615" s="70">
        <f>'RESUMEN TOTAL'!Q698</f>
        <v>0</v>
      </c>
      <c r="K615" s="70">
        <f>'RESUMEN TOTAL'!R698</f>
        <v>0</v>
      </c>
      <c r="L615" s="70">
        <f>'RESUMEN TOTAL'!S698</f>
        <v>0</v>
      </c>
      <c r="M615" s="70">
        <f>'RESUMEN TOTAL'!T698</f>
        <v>0</v>
      </c>
      <c r="N615" s="70">
        <f>'RESUMEN TOTAL'!U698</f>
        <v>0</v>
      </c>
      <c r="O615" s="70">
        <f>'RESUMEN TOTAL'!V698</f>
        <v>0</v>
      </c>
      <c r="P615" s="70">
        <f>'RESUMEN TOTAL'!W698</f>
        <v>0</v>
      </c>
      <c r="Q615" s="70">
        <f>'RESUMEN TOTAL'!X698</f>
        <v>0</v>
      </c>
      <c r="R615" s="70">
        <f>'RESUMEN TOTAL'!Y698</f>
        <v>0</v>
      </c>
      <c r="S615" s="70">
        <f>'RESUMEN TOTAL'!Z698</f>
        <v>0</v>
      </c>
      <c r="T615" s="70">
        <f>'RESUMEN TOTAL'!AA698</f>
        <v>0</v>
      </c>
      <c r="U615" s="70">
        <f>'RESUMEN TOTAL'!AB698</f>
        <v>0</v>
      </c>
      <c r="V615" s="70">
        <f>'RESUMEN TOTAL'!AC698</f>
        <v>0</v>
      </c>
      <c r="W615" s="70">
        <f>'RESUMEN TOTAL'!AD698</f>
        <v>0</v>
      </c>
      <c r="X615" s="70">
        <f>'RESUMEN TOTAL'!AE698</f>
        <v>0</v>
      </c>
      <c r="Y615" s="70">
        <f>'RESUMEN TOTAL'!AF698</f>
        <v>0</v>
      </c>
      <c r="Z615" s="70">
        <f>'RESUMEN TOTAL'!AG698</f>
        <v>0</v>
      </c>
      <c r="AA615" s="70">
        <f>'RESUMEN TOTAL'!AH698</f>
        <v>0</v>
      </c>
      <c r="AB615" s="70">
        <f>'RESUMEN TOTAL'!AI698</f>
        <v>0</v>
      </c>
      <c r="AC615" s="70">
        <f>'RESUMEN TOTAL'!AJ698</f>
        <v>0</v>
      </c>
      <c r="AD615" s="70">
        <f>'RESUMEN TOTAL'!AK698</f>
        <v>0</v>
      </c>
      <c r="AE615" s="70">
        <f>'RESUMEN TOTAL'!AL698</f>
        <v>0</v>
      </c>
      <c r="AF615" s="70">
        <f>'RESUMEN TOTAL'!AM698</f>
        <v>0</v>
      </c>
      <c r="AG615" s="70">
        <f>'RESUMEN TOTAL'!AN698</f>
        <v>0</v>
      </c>
      <c r="AH615" s="70">
        <f>'RESUMEN TOTAL'!AO698</f>
        <v>0</v>
      </c>
      <c r="AI615" s="70">
        <f>'RESUMEN TOTAL'!AP698</f>
        <v>0</v>
      </c>
    </row>
    <row r="616" spans="1:35" x14ac:dyDescent="0.25">
      <c r="A616">
        <f>'RESUMEN TOTAL'!A699</f>
        <v>0</v>
      </c>
      <c r="B616">
        <f>'RESUMEN TOTAL'!B699</f>
        <v>0</v>
      </c>
      <c r="C616">
        <f>'RESUMEN TOTAL'!D699</f>
        <v>0</v>
      </c>
      <c r="D616" s="30">
        <f>'RESUMEN TOTAL'!E699</f>
        <v>0</v>
      </c>
      <c r="E616" s="30">
        <f>'RESUMEN TOTAL'!F699</f>
        <v>0</v>
      </c>
      <c r="F616" s="70">
        <f>'RESUMEN TOTAL'!M699</f>
        <v>0</v>
      </c>
      <c r="G616" s="70">
        <f>'RESUMEN TOTAL'!N699</f>
        <v>0</v>
      </c>
      <c r="H616" s="70">
        <f>'RESUMEN TOTAL'!O699</f>
        <v>0</v>
      </c>
      <c r="I616" s="70">
        <f>'RESUMEN TOTAL'!P699</f>
        <v>0</v>
      </c>
      <c r="J616" s="70">
        <f>'RESUMEN TOTAL'!Q699</f>
        <v>0</v>
      </c>
      <c r="K616" s="70">
        <f>'RESUMEN TOTAL'!R699</f>
        <v>0</v>
      </c>
      <c r="L616" s="70">
        <f>'RESUMEN TOTAL'!S699</f>
        <v>0</v>
      </c>
      <c r="M616" s="70">
        <f>'RESUMEN TOTAL'!T699</f>
        <v>0</v>
      </c>
      <c r="N616" s="70">
        <f>'RESUMEN TOTAL'!U699</f>
        <v>0</v>
      </c>
      <c r="O616" s="70">
        <f>'RESUMEN TOTAL'!V699</f>
        <v>0</v>
      </c>
      <c r="P616" s="70">
        <f>'RESUMEN TOTAL'!W699</f>
        <v>0</v>
      </c>
      <c r="Q616" s="70">
        <f>'RESUMEN TOTAL'!X699</f>
        <v>0</v>
      </c>
      <c r="R616" s="70">
        <f>'RESUMEN TOTAL'!Y699</f>
        <v>0</v>
      </c>
      <c r="S616" s="70">
        <f>'RESUMEN TOTAL'!Z699</f>
        <v>0</v>
      </c>
      <c r="T616" s="70">
        <f>'RESUMEN TOTAL'!AA699</f>
        <v>0</v>
      </c>
      <c r="U616" s="70">
        <f>'RESUMEN TOTAL'!AB699</f>
        <v>0</v>
      </c>
      <c r="V616" s="70">
        <f>'RESUMEN TOTAL'!AC699</f>
        <v>0</v>
      </c>
      <c r="W616" s="70">
        <f>'RESUMEN TOTAL'!AD699</f>
        <v>0</v>
      </c>
      <c r="X616" s="70">
        <f>'RESUMEN TOTAL'!AE699</f>
        <v>0</v>
      </c>
      <c r="Y616" s="70">
        <f>'RESUMEN TOTAL'!AF699</f>
        <v>0</v>
      </c>
      <c r="Z616" s="70">
        <f>'RESUMEN TOTAL'!AG699</f>
        <v>0</v>
      </c>
      <c r="AA616" s="70">
        <f>'RESUMEN TOTAL'!AH699</f>
        <v>0</v>
      </c>
      <c r="AB616" s="70">
        <f>'RESUMEN TOTAL'!AI699</f>
        <v>0</v>
      </c>
      <c r="AC616" s="70">
        <f>'RESUMEN TOTAL'!AJ699</f>
        <v>0</v>
      </c>
      <c r="AD616" s="70">
        <f>'RESUMEN TOTAL'!AK699</f>
        <v>0</v>
      </c>
      <c r="AE616" s="70">
        <f>'RESUMEN TOTAL'!AL699</f>
        <v>0</v>
      </c>
      <c r="AF616" s="70">
        <f>'RESUMEN TOTAL'!AM699</f>
        <v>0</v>
      </c>
      <c r="AG616" s="70">
        <f>'RESUMEN TOTAL'!AN699</f>
        <v>0</v>
      </c>
      <c r="AH616" s="70">
        <f>'RESUMEN TOTAL'!AO699</f>
        <v>0</v>
      </c>
      <c r="AI616" s="70">
        <f>'RESUMEN TOTAL'!AP699</f>
        <v>0</v>
      </c>
    </row>
    <row r="617" spans="1:35" x14ac:dyDescent="0.25">
      <c r="A617">
        <f>'RESUMEN TOTAL'!A700</f>
        <v>0</v>
      </c>
      <c r="B617">
        <f>'RESUMEN TOTAL'!B700</f>
        <v>0</v>
      </c>
      <c r="C617">
        <f>'RESUMEN TOTAL'!D700</f>
        <v>0</v>
      </c>
      <c r="D617" s="30">
        <f>'RESUMEN TOTAL'!E700</f>
        <v>0</v>
      </c>
      <c r="E617" s="30">
        <f>'RESUMEN TOTAL'!F700</f>
        <v>0</v>
      </c>
      <c r="F617" s="70">
        <f>'RESUMEN TOTAL'!M700</f>
        <v>0</v>
      </c>
      <c r="G617" s="70">
        <f>'RESUMEN TOTAL'!N700</f>
        <v>0</v>
      </c>
      <c r="H617" s="70">
        <f>'RESUMEN TOTAL'!O700</f>
        <v>0</v>
      </c>
      <c r="I617" s="70">
        <f>'RESUMEN TOTAL'!P700</f>
        <v>0</v>
      </c>
      <c r="J617" s="70">
        <f>'RESUMEN TOTAL'!Q700</f>
        <v>0</v>
      </c>
      <c r="K617" s="70">
        <f>'RESUMEN TOTAL'!R700</f>
        <v>0</v>
      </c>
      <c r="L617" s="70">
        <f>'RESUMEN TOTAL'!S700</f>
        <v>0</v>
      </c>
      <c r="M617" s="70">
        <f>'RESUMEN TOTAL'!T700</f>
        <v>0</v>
      </c>
      <c r="N617" s="70">
        <f>'RESUMEN TOTAL'!U700</f>
        <v>0</v>
      </c>
      <c r="O617" s="70">
        <f>'RESUMEN TOTAL'!V700</f>
        <v>0</v>
      </c>
      <c r="P617" s="70">
        <f>'RESUMEN TOTAL'!W700</f>
        <v>0</v>
      </c>
      <c r="Q617" s="70">
        <f>'RESUMEN TOTAL'!X700</f>
        <v>0</v>
      </c>
      <c r="R617" s="70">
        <f>'RESUMEN TOTAL'!Y700</f>
        <v>0</v>
      </c>
      <c r="S617" s="70">
        <f>'RESUMEN TOTAL'!Z700</f>
        <v>0</v>
      </c>
      <c r="T617" s="70">
        <f>'RESUMEN TOTAL'!AA700</f>
        <v>0</v>
      </c>
      <c r="U617" s="70">
        <f>'RESUMEN TOTAL'!AB700</f>
        <v>0</v>
      </c>
      <c r="V617" s="70">
        <f>'RESUMEN TOTAL'!AC700</f>
        <v>0</v>
      </c>
      <c r="W617" s="70">
        <f>'RESUMEN TOTAL'!AD700</f>
        <v>0</v>
      </c>
      <c r="X617" s="70">
        <f>'RESUMEN TOTAL'!AE700</f>
        <v>0</v>
      </c>
      <c r="Y617" s="70">
        <f>'RESUMEN TOTAL'!AF700</f>
        <v>0</v>
      </c>
      <c r="Z617" s="70">
        <f>'RESUMEN TOTAL'!AG700</f>
        <v>0</v>
      </c>
      <c r="AA617" s="70">
        <f>'RESUMEN TOTAL'!AH700</f>
        <v>0</v>
      </c>
      <c r="AB617" s="70">
        <f>'RESUMEN TOTAL'!AI700</f>
        <v>0</v>
      </c>
      <c r="AC617" s="70">
        <f>'RESUMEN TOTAL'!AJ700</f>
        <v>0</v>
      </c>
      <c r="AD617" s="70">
        <f>'RESUMEN TOTAL'!AK700</f>
        <v>0</v>
      </c>
      <c r="AE617" s="70">
        <f>'RESUMEN TOTAL'!AL700</f>
        <v>0</v>
      </c>
      <c r="AF617" s="70">
        <f>'RESUMEN TOTAL'!AM700</f>
        <v>0</v>
      </c>
      <c r="AG617" s="70">
        <f>'RESUMEN TOTAL'!AN700</f>
        <v>0</v>
      </c>
      <c r="AH617" s="70">
        <f>'RESUMEN TOTAL'!AO700</f>
        <v>0</v>
      </c>
      <c r="AI617" s="70">
        <f>'RESUMEN TOTAL'!AP700</f>
        <v>0</v>
      </c>
    </row>
    <row r="618" spans="1:35" x14ac:dyDescent="0.25">
      <c r="A618">
        <f>'RESUMEN TOTAL'!A701</f>
        <v>0</v>
      </c>
      <c r="B618">
        <f>'RESUMEN TOTAL'!B701</f>
        <v>0</v>
      </c>
      <c r="C618">
        <f>'RESUMEN TOTAL'!D701</f>
        <v>0</v>
      </c>
      <c r="D618" s="30">
        <f>'RESUMEN TOTAL'!E701</f>
        <v>0</v>
      </c>
      <c r="E618" s="30">
        <f>'RESUMEN TOTAL'!F701</f>
        <v>0</v>
      </c>
      <c r="F618" s="70">
        <f>'RESUMEN TOTAL'!M701</f>
        <v>0</v>
      </c>
      <c r="G618" s="70">
        <f>'RESUMEN TOTAL'!N701</f>
        <v>0</v>
      </c>
      <c r="H618" s="70">
        <f>'RESUMEN TOTAL'!O701</f>
        <v>0</v>
      </c>
      <c r="I618" s="70">
        <f>'RESUMEN TOTAL'!P701</f>
        <v>0</v>
      </c>
      <c r="J618" s="70">
        <f>'RESUMEN TOTAL'!Q701</f>
        <v>0</v>
      </c>
      <c r="K618" s="70">
        <f>'RESUMEN TOTAL'!R701</f>
        <v>0</v>
      </c>
      <c r="L618" s="70">
        <f>'RESUMEN TOTAL'!S701</f>
        <v>0</v>
      </c>
      <c r="M618" s="70">
        <f>'RESUMEN TOTAL'!T701</f>
        <v>0</v>
      </c>
      <c r="N618" s="70">
        <f>'RESUMEN TOTAL'!U701</f>
        <v>0</v>
      </c>
      <c r="O618" s="70">
        <f>'RESUMEN TOTAL'!V701</f>
        <v>0</v>
      </c>
      <c r="P618" s="70">
        <f>'RESUMEN TOTAL'!W701</f>
        <v>0</v>
      </c>
      <c r="Q618" s="70">
        <f>'RESUMEN TOTAL'!X701</f>
        <v>0</v>
      </c>
      <c r="R618" s="70">
        <f>'RESUMEN TOTAL'!Y701</f>
        <v>0</v>
      </c>
      <c r="S618" s="70">
        <f>'RESUMEN TOTAL'!Z701</f>
        <v>0</v>
      </c>
      <c r="T618" s="70">
        <f>'RESUMEN TOTAL'!AA701</f>
        <v>0</v>
      </c>
      <c r="U618" s="70">
        <f>'RESUMEN TOTAL'!AB701</f>
        <v>0</v>
      </c>
      <c r="V618" s="70">
        <f>'RESUMEN TOTAL'!AC701</f>
        <v>0</v>
      </c>
      <c r="W618" s="70">
        <f>'RESUMEN TOTAL'!AD701</f>
        <v>0</v>
      </c>
      <c r="X618" s="70">
        <f>'RESUMEN TOTAL'!AE701</f>
        <v>0</v>
      </c>
      <c r="Y618" s="70">
        <f>'RESUMEN TOTAL'!AF701</f>
        <v>0</v>
      </c>
      <c r="Z618" s="70">
        <f>'RESUMEN TOTAL'!AG701</f>
        <v>0</v>
      </c>
      <c r="AA618" s="70">
        <f>'RESUMEN TOTAL'!AH701</f>
        <v>0</v>
      </c>
      <c r="AB618" s="70">
        <f>'RESUMEN TOTAL'!AI701</f>
        <v>0</v>
      </c>
      <c r="AC618" s="70">
        <f>'RESUMEN TOTAL'!AJ701</f>
        <v>0</v>
      </c>
      <c r="AD618" s="70">
        <f>'RESUMEN TOTAL'!AK701</f>
        <v>0</v>
      </c>
      <c r="AE618" s="70">
        <f>'RESUMEN TOTAL'!AL701</f>
        <v>0</v>
      </c>
      <c r="AF618" s="70">
        <f>'RESUMEN TOTAL'!AM701</f>
        <v>0</v>
      </c>
      <c r="AG618" s="70">
        <f>'RESUMEN TOTAL'!AN701</f>
        <v>0</v>
      </c>
      <c r="AH618" s="70">
        <f>'RESUMEN TOTAL'!AO701</f>
        <v>0</v>
      </c>
      <c r="AI618" s="70">
        <f>'RESUMEN TOTAL'!AP701</f>
        <v>0</v>
      </c>
    </row>
    <row r="619" spans="1:35" x14ac:dyDescent="0.25">
      <c r="A619">
        <f>'RESUMEN TOTAL'!A702</f>
        <v>0</v>
      </c>
      <c r="B619">
        <f>'RESUMEN TOTAL'!B702</f>
        <v>0</v>
      </c>
      <c r="C619">
        <f>'RESUMEN TOTAL'!D702</f>
        <v>0</v>
      </c>
      <c r="D619" s="30">
        <f>'RESUMEN TOTAL'!E702</f>
        <v>0</v>
      </c>
      <c r="E619" s="30">
        <f>'RESUMEN TOTAL'!F702</f>
        <v>0</v>
      </c>
      <c r="F619" s="70">
        <f>'RESUMEN TOTAL'!M702</f>
        <v>0</v>
      </c>
      <c r="G619" s="70">
        <f>'RESUMEN TOTAL'!N702</f>
        <v>0</v>
      </c>
      <c r="H619" s="70">
        <f>'RESUMEN TOTAL'!O702</f>
        <v>0</v>
      </c>
      <c r="I619" s="70">
        <f>'RESUMEN TOTAL'!P702</f>
        <v>0</v>
      </c>
      <c r="J619" s="70">
        <f>'RESUMEN TOTAL'!Q702</f>
        <v>0</v>
      </c>
      <c r="K619" s="70">
        <f>'RESUMEN TOTAL'!R702</f>
        <v>0</v>
      </c>
      <c r="L619" s="70">
        <f>'RESUMEN TOTAL'!S702</f>
        <v>0</v>
      </c>
      <c r="M619" s="70">
        <f>'RESUMEN TOTAL'!T702</f>
        <v>0</v>
      </c>
      <c r="N619" s="70">
        <f>'RESUMEN TOTAL'!U702</f>
        <v>0</v>
      </c>
      <c r="O619" s="70">
        <f>'RESUMEN TOTAL'!V702</f>
        <v>0</v>
      </c>
      <c r="P619" s="70">
        <f>'RESUMEN TOTAL'!W702</f>
        <v>0</v>
      </c>
      <c r="Q619" s="70">
        <f>'RESUMEN TOTAL'!X702</f>
        <v>0</v>
      </c>
      <c r="R619" s="70">
        <f>'RESUMEN TOTAL'!Y702</f>
        <v>0</v>
      </c>
      <c r="S619" s="70">
        <f>'RESUMEN TOTAL'!Z702</f>
        <v>0</v>
      </c>
      <c r="T619" s="70">
        <f>'RESUMEN TOTAL'!AA702</f>
        <v>0</v>
      </c>
      <c r="U619" s="70">
        <f>'RESUMEN TOTAL'!AB702</f>
        <v>0</v>
      </c>
      <c r="V619" s="70">
        <f>'RESUMEN TOTAL'!AC702</f>
        <v>0</v>
      </c>
      <c r="W619" s="70">
        <f>'RESUMEN TOTAL'!AD702</f>
        <v>0</v>
      </c>
      <c r="X619" s="70">
        <f>'RESUMEN TOTAL'!AE702</f>
        <v>0</v>
      </c>
      <c r="Y619" s="70">
        <f>'RESUMEN TOTAL'!AF702</f>
        <v>0</v>
      </c>
      <c r="Z619" s="70">
        <f>'RESUMEN TOTAL'!AG702</f>
        <v>0</v>
      </c>
      <c r="AA619" s="70">
        <f>'RESUMEN TOTAL'!AH702</f>
        <v>0</v>
      </c>
      <c r="AB619" s="70">
        <f>'RESUMEN TOTAL'!AI702</f>
        <v>0</v>
      </c>
      <c r="AC619" s="70">
        <f>'RESUMEN TOTAL'!AJ702</f>
        <v>0</v>
      </c>
      <c r="AD619" s="70">
        <f>'RESUMEN TOTAL'!AK702</f>
        <v>0</v>
      </c>
      <c r="AE619" s="70">
        <f>'RESUMEN TOTAL'!AL702</f>
        <v>0</v>
      </c>
      <c r="AF619" s="70">
        <f>'RESUMEN TOTAL'!AM702</f>
        <v>0</v>
      </c>
      <c r="AG619" s="70">
        <f>'RESUMEN TOTAL'!AN702</f>
        <v>0</v>
      </c>
      <c r="AH619" s="70">
        <f>'RESUMEN TOTAL'!AO702</f>
        <v>0</v>
      </c>
      <c r="AI619" s="70">
        <f>'RESUMEN TOTAL'!AP702</f>
        <v>0</v>
      </c>
    </row>
    <row r="620" spans="1:35" x14ac:dyDescent="0.25">
      <c r="A620">
        <f>'RESUMEN TOTAL'!A703</f>
        <v>0</v>
      </c>
      <c r="B620">
        <f>'RESUMEN TOTAL'!B703</f>
        <v>0</v>
      </c>
      <c r="C620">
        <f>'RESUMEN TOTAL'!D703</f>
        <v>0</v>
      </c>
      <c r="D620" s="30">
        <f>'RESUMEN TOTAL'!E703</f>
        <v>0</v>
      </c>
      <c r="E620" s="30">
        <f>'RESUMEN TOTAL'!F703</f>
        <v>0</v>
      </c>
      <c r="F620" s="70">
        <f>'RESUMEN TOTAL'!M703</f>
        <v>0</v>
      </c>
      <c r="G620" s="70">
        <f>'RESUMEN TOTAL'!N703</f>
        <v>0</v>
      </c>
      <c r="H620" s="70">
        <f>'RESUMEN TOTAL'!O703</f>
        <v>0</v>
      </c>
      <c r="I620" s="70">
        <f>'RESUMEN TOTAL'!P703</f>
        <v>0</v>
      </c>
      <c r="J620" s="70">
        <f>'RESUMEN TOTAL'!Q703</f>
        <v>0</v>
      </c>
      <c r="K620" s="70">
        <f>'RESUMEN TOTAL'!R703</f>
        <v>0</v>
      </c>
      <c r="L620" s="70">
        <f>'RESUMEN TOTAL'!S703</f>
        <v>0</v>
      </c>
      <c r="M620" s="70">
        <f>'RESUMEN TOTAL'!T703</f>
        <v>0</v>
      </c>
      <c r="N620" s="70">
        <f>'RESUMEN TOTAL'!U703</f>
        <v>0</v>
      </c>
      <c r="O620" s="70">
        <f>'RESUMEN TOTAL'!V703</f>
        <v>0</v>
      </c>
      <c r="P620" s="70">
        <f>'RESUMEN TOTAL'!W703</f>
        <v>0</v>
      </c>
      <c r="Q620" s="70">
        <f>'RESUMEN TOTAL'!X703</f>
        <v>0</v>
      </c>
      <c r="R620" s="70">
        <f>'RESUMEN TOTAL'!Y703</f>
        <v>0</v>
      </c>
      <c r="S620" s="70">
        <f>'RESUMEN TOTAL'!Z703</f>
        <v>0</v>
      </c>
      <c r="T620" s="70">
        <f>'RESUMEN TOTAL'!AA703</f>
        <v>0</v>
      </c>
      <c r="U620" s="70">
        <f>'RESUMEN TOTAL'!AB703</f>
        <v>0</v>
      </c>
      <c r="V620" s="70">
        <f>'RESUMEN TOTAL'!AC703</f>
        <v>0</v>
      </c>
      <c r="W620" s="70">
        <f>'RESUMEN TOTAL'!AD703</f>
        <v>0</v>
      </c>
      <c r="X620" s="70">
        <f>'RESUMEN TOTAL'!AE703</f>
        <v>0</v>
      </c>
      <c r="Y620" s="70">
        <f>'RESUMEN TOTAL'!AF703</f>
        <v>0</v>
      </c>
      <c r="Z620" s="70">
        <f>'RESUMEN TOTAL'!AG703</f>
        <v>0</v>
      </c>
      <c r="AA620" s="70">
        <f>'RESUMEN TOTAL'!AH703</f>
        <v>0</v>
      </c>
      <c r="AB620" s="70">
        <f>'RESUMEN TOTAL'!AI703</f>
        <v>0</v>
      </c>
      <c r="AC620" s="70">
        <f>'RESUMEN TOTAL'!AJ703</f>
        <v>0</v>
      </c>
      <c r="AD620" s="70">
        <f>'RESUMEN TOTAL'!AK703</f>
        <v>0</v>
      </c>
      <c r="AE620" s="70">
        <f>'RESUMEN TOTAL'!AL703</f>
        <v>0</v>
      </c>
      <c r="AF620" s="70">
        <f>'RESUMEN TOTAL'!AM703</f>
        <v>0</v>
      </c>
      <c r="AG620" s="70">
        <f>'RESUMEN TOTAL'!AN703</f>
        <v>0</v>
      </c>
      <c r="AH620" s="70">
        <f>'RESUMEN TOTAL'!AO703</f>
        <v>0</v>
      </c>
      <c r="AI620" s="70">
        <f>'RESUMEN TOTAL'!AP703</f>
        <v>0</v>
      </c>
    </row>
    <row r="621" spans="1:35" x14ac:dyDescent="0.25">
      <c r="A621">
        <f>'RESUMEN TOTAL'!A704</f>
        <v>0</v>
      </c>
      <c r="B621">
        <f>'RESUMEN TOTAL'!B704</f>
        <v>0</v>
      </c>
      <c r="C621">
        <f>'RESUMEN TOTAL'!D704</f>
        <v>0</v>
      </c>
      <c r="D621" s="30">
        <f>'RESUMEN TOTAL'!E704</f>
        <v>0</v>
      </c>
      <c r="E621" s="30">
        <f>'RESUMEN TOTAL'!F704</f>
        <v>0</v>
      </c>
      <c r="F621" s="70">
        <f>'RESUMEN TOTAL'!M704</f>
        <v>0</v>
      </c>
      <c r="G621" s="70">
        <f>'RESUMEN TOTAL'!N704</f>
        <v>0</v>
      </c>
      <c r="H621" s="70">
        <f>'RESUMEN TOTAL'!O704</f>
        <v>0</v>
      </c>
      <c r="I621" s="70">
        <f>'RESUMEN TOTAL'!P704</f>
        <v>0</v>
      </c>
      <c r="J621" s="70">
        <f>'RESUMEN TOTAL'!Q704</f>
        <v>0</v>
      </c>
      <c r="K621" s="70">
        <f>'RESUMEN TOTAL'!R704</f>
        <v>0</v>
      </c>
      <c r="L621" s="70">
        <f>'RESUMEN TOTAL'!S704</f>
        <v>0</v>
      </c>
      <c r="M621" s="70">
        <f>'RESUMEN TOTAL'!T704</f>
        <v>0</v>
      </c>
      <c r="N621" s="70">
        <f>'RESUMEN TOTAL'!U704</f>
        <v>0</v>
      </c>
      <c r="O621" s="70">
        <f>'RESUMEN TOTAL'!V704</f>
        <v>0</v>
      </c>
      <c r="P621" s="70">
        <f>'RESUMEN TOTAL'!W704</f>
        <v>0</v>
      </c>
      <c r="Q621" s="70">
        <f>'RESUMEN TOTAL'!X704</f>
        <v>0</v>
      </c>
      <c r="R621" s="70">
        <f>'RESUMEN TOTAL'!Y704</f>
        <v>0</v>
      </c>
      <c r="S621" s="70">
        <f>'RESUMEN TOTAL'!Z704</f>
        <v>0</v>
      </c>
      <c r="T621" s="70">
        <f>'RESUMEN TOTAL'!AA704</f>
        <v>0</v>
      </c>
      <c r="U621" s="70">
        <f>'RESUMEN TOTAL'!AB704</f>
        <v>0</v>
      </c>
      <c r="V621" s="70">
        <f>'RESUMEN TOTAL'!AC704</f>
        <v>0</v>
      </c>
      <c r="W621" s="70">
        <f>'RESUMEN TOTAL'!AD704</f>
        <v>0</v>
      </c>
      <c r="X621" s="70">
        <f>'RESUMEN TOTAL'!AE704</f>
        <v>0</v>
      </c>
      <c r="Y621" s="70">
        <f>'RESUMEN TOTAL'!AF704</f>
        <v>0</v>
      </c>
      <c r="Z621" s="70">
        <f>'RESUMEN TOTAL'!AG704</f>
        <v>0</v>
      </c>
      <c r="AA621" s="70">
        <f>'RESUMEN TOTAL'!AH704</f>
        <v>0</v>
      </c>
      <c r="AB621" s="70">
        <f>'RESUMEN TOTAL'!AI704</f>
        <v>0</v>
      </c>
      <c r="AC621" s="70">
        <f>'RESUMEN TOTAL'!AJ704</f>
        <v>0</v>
      </c>
      <c r="AD621" s="70">
        <f>'RESUMEN TOTAL'!AK704</f>
        <v>0</v>
      </c>
      <c r="AE621" s="70">
        <f>'RESUMEN TOTAL'!AL704</f>
        <v>0</v>
      </c>
      <c r="AF621" s="70">
        <f>'RESUMEN TOTAL'!AM704</f>
        <v>0</v>
      </c>
      <c r="AG621" s="70">
        <f>'RESUMEN TOTAL'!AN704</f>
        <v>0</v>
      </c>
      <c r="AH621" s="70">
        <f>'RESUMEN TOTAL'!AO704</f>
        <v>0</v>
      </c>
      <c r="AI621" s="70">
        <f>'RESUMEN TOTAL'!AP704</f>
        <v>0</v>
      </c>
    </row>
    <row r="622" spans="1:35" x14ac:dyDescent="0.25">
      <c r="A622">
        <f>'RESUMEN TOTAL'!A705</f>
        <v>0</v>
      </c>
      <c r="B622">
        <f>'RESUMEN TOTAL'!B705</f>
        <v>0</v>
      </c>
      <c r="C622">
        <f>'RESUMEN TOTAL'!D705</f>
        <v>0</v>
      </c>
      <c r="D622" s="30">
        <f>'RESUMEN TOTAL'!E705</f>
        <v>0</v>
      </c>
      <c r="E622" s="30">
        <f>'RESUMEN TOTAL'!F705</f>
        <v>0</v>
      </c>
      <c r="F622" s="70">
        <f>'RESUMEN TOTAL'!M705</f>
        <v>0</v>
      </c>
      <c r="G622" s="70">
        <f>'RESUMEN TOTAL'!N705</f>
        <v>0</v>
      </c>
      <c r="H622" s="70">
        <f>'RESUMEN TOTAL'!O705</f>
        <v>0</v>
      </c>
      <c r="I622" s="70">
        <f>'RESUMEN TOTAL'!P705</f>
        <v>0</v>
      </c>
      <c r="J622" s="70">
        <f>'RESUMEN TOTAL'!Q705</f>
        <v>0</v>
      </c>
      <c r="K622" s="70">
        <f>'RESUMEN TOTAL'!R705</f>
        <v>0</v>
      </c>
      <c r="L622" s="70">
        <f>'RESUMEN TOTAL'!S705</f>
        <v>0</v>
      </c>
      <c r="M622" s="70">
        <f>'RESUMEN TOTAL'!T705</f>
        <v>0</v>
      </c>
      <c r="N622" s="70">
        <f>'RESUMEN TOTAL'!U705</f>
        <v>0</v>
      </c>
      <c r="O622" s="70">
        <f>'RESUMEN TOTAL'!V705</f>
        <v>0</v>
      </c>
      <c r="P622" s="70">
        <f>'RESUMEN TOTAL'!W705</f>
        <v>0</v>
      </c>
      <c r="Q622" s="70">
        <f>'RESUMEN TOTAL'!X705</f>
        <v>0</v>
      </c>
      <c r="R622" s="70">
        <f>'RESUMEN TOTAL'!Y705</f>
        <v>0</v>
      </c>
      <c r="S622" s="70">
        <f>'RESUMEN TOTAL'!Z705</f>
        <v>0</v>
      </c>
      <c r="T622" s="70">
        <f>'RESUMEN TOTAL'!AA705</f>
        <v>0</v>
      </c>
      <c r="U622" s="70">
        <f>'RESUMEN TOTAL'!AB705</f>
        <v>0</v>
      </c>
      <c r="V622" s="70">
        <f>'RESUMEN TOTAL'!AC705</f>
        <v>0</v>
      </c>
      <c r="W622" s="70">
        <f>'RESUMEN TOTAL'!AD705</f>
        <v>0</v>
      </c>
      <c r="X622" s="70">
        <f>'RESUMEN TOTAL'!AE705</f>
        <v>0</v>
      </c>
      <c r="Y622" s="70">
        <f>'RESUMEN TOTAL'!AF705</f>
        <v>0</v>
      </c>
      <c r="Z622" s="70">
        <f>'RESUMEN TOTAL'!AG705</f>
        <v>0</v>
      </c>
      <c r="AA622" s="70">
        <f>'RESUMEN TOTAL'!AH705</f>
        <v>0</v>
      </c>
      <c r="AB622" s="70">
        <f>'RESUMEN TOTAL'!AI705</f>
        <v>0</v>
      </c>
      <c r="AC622" s="70">
        <f>'RESUMEN TOTAL'!AJ705</f>
        <v>0</v>
      </c>
      <c r="AD622" s="70">
        <f>'RESUMEN TOTAL'!AK705</f>
        <v>0</v>
      </c>
      <c r="AE622" s="70">
        <f>'RESUMEN TOTAL'!AL705</f>
        <v>0</v>
      </c>
      <c r="AF622" s="70">
        <f>'RESUMEN TOTAL'!AM705</f>
        <v>0</v>
      </c>
      <c r="AG622" s="70">
        <f>'RESUMEN TOTAL'!AN705</f>
        <v>0</v>
      </c>
      <c r="AH622" s="70">
        <f>'RESUMEN TOTAL'!AO705</f>
        <v>0</v>
      </c>
      <c r="AI622" s="70">
        <f>'RESUMEN TOTAL'!AP705</f>
        <v>0</v>
      </c>
    </row>
    <row r="623" spans="1:35" x14ac:dyDescent="0.25">
      <c r="A623">
        <f>'RESUMEN TOTAL'!A706</f>
        <v>0</v>
      </c>
      <c r="B623">
        <f>'RESUMEN TOTAL'!B706</f>
        <v>0</v>
      </c>
      <c r="C623">
        <f>'RESUMEN TOTAL'!D706</f>
        <v>0</v>
      </c>
      <c r="D623" s="30">
        <f>'RESUMEN TOTAL'!E706</f>
        <v>0</v>
      </c>
      <c r="E623" s="30">
        <f>'RESUMEN TOTAL'!F706</f>
        <v>0</v>
      </c>
      <c r="F623" s="70">
        <f>'RESUMEN TOTAL'!M706</f>
        <v>0</v>
      </c>
      <c r="G623" s="70">
        <f>'RESUMEN TOTAL'!N706</f>
        <v>0</v>
      </c>
      <c r="H623" s="70">
        <f>'RESUMEN TOTAL'!O706</f>
        <v>0</v>
      </c>
      <c r="I623" s="70">
        <f>'RESUMEN TOTAL'!P706</f>
        <v>0</v>
      </c>
      <c r="J623" s="70">
        <f>'RESUMEN TOTAL'!Q706</f>
        <v>0</v>
      </c>
      <c r="K623" s="70">
        <f>'RESUMEN TOTAL'!R706</f>
        <v>0</v>
      </c>
      <c r="L623" s="70">
        <f>'RESUMEN TOTAL'!S706</f>
        <v>0</v>
      </c>
      <c r="M623" s="70">
        <f>'RESUMEN TOTAL'!T706</f>
        <v>0</v>
      </c>
      <c r="N623" s="70">
        <f>'RESUMEN TOTAL'!U706</f>
        <v>0</v>
      </c>
      <c r="O623" s="70">
        <f>'RESUMEN TOTAL'!V706</f>
        <v>0</v>
      </c>
      <c r="P623" s="70">
        <f>'RESUMEN TOTAL'!W706</f>
        <v>0</v>
      </c>
      <c r="Q623" s="70">
        <f>'RESUMEN TOTAL'!X706</f>
        <v>0</v>
      </c>
      <c r="R623" s="70">
        <f>'RESUMEN TOTAL'!Y706</f>
        <v>0</v>
      </c>
      <c r="S623" s="70">
        <f>'RESUMEN TOTAL'!Z706</f>
        <v>0</v>
      </c>
      <c r="T623" s="70">
        <f>'RESUMEN TOTAL'!AA706</f>
        <v>0</v>
      </c>
      <c r="U623" s="70">
        <f>'RESUMEN TOTAL'!AB706</f>
        <v>0</v>
      </c>
      <c r="V623" s="70">
        <f>'RESUMEN TOTAL'!AC706</f>
        <v>0</v>
      </c>
      <c r="W623" s="70">
        <f>'RESUMEN TOTAL'!AD706</f>
        <v>0</v>
      </c>
      <c r="X623" s="70">
        <f>'RESUMEN TOTAL'!AE706</f>
        <v>0</v>
      </c>
      <c r="Y623" s="70">
        <f>'RESUMEN TOTAL'!AF706</f>
        <v>0</v>
      </c>
      <c r="Z623" s="70">
        <f>'RESUMEN TOTAL'!AG706</f>
        <v>0</v>
      </c>
      <c r="AA623" s="70">
        <f>'RESUMEN TOTAL'!AH706</f>
        <v>0</v>
      </c>
      <c r="AB623" s="70">
        <f>'RESUMEN TOTAL'!AI706</f>
        <v>0</v>
      </c>
      <c r="AC623" s="70">
        <f>'RESUMEN TOTAL'!AJ706</f>
        <v>0</v>
      </c>
      <c r="AD623" s="70">
        <f>'RESUMEN TOTAL'!AK706</f>
        <v>0</v>
      </c>
      <c r="AE623" s="70">
        <f>'RESUMEN TOTAL'!AL706</f>
        <v>0</v>
      </c>
      <c r="AF623" s="70">
        <f>'RESUMEN TOTAL'!AM706</f>
        <v>0</v>
      </c>
      <c r="AG623" s="70">
        <f>'RESUMEN TOTAL'!AN706</f>
        <v>0</v>
      </c>
      <c r="AH623" s="70">
        <f>'RESUMEN TOTAL'!AO706</f>
        <v>0</v>
      </c>
      <c r="AI623" s="70">
        <f>'RESUMEN TOTAL'!AP706</f>
        <v>0</v>
      </c>
    </row>
    <row r="624" spans="1:35" x14ac:dyDescent="0.25">
      <c r="A624">
        <f>'RESUMEN TOTAL'!A707</f>
        <v>0</v>
      </c>
      <c r="B624">
        <f>'RESUMEN TOTAL'!B707</f>
        <v>0</v>
      </c>
      <c r="C624">
        <f>'RESUMEN TOTAL'!D707</f>
        <v>0</v>
      </c>
      <c r="D624" s="30">
        <f>'RESUMEN TOTAL'!E707</f>
        <v>0</v>
      </c>
      <c r="E624" s="30">
        <f>'RESUMEN TOTAL'!F707</f>
        <v>0</v>
      </c>
      <c r="F624" s="70">
        <f>'RESUMEN TOTAL'!M707</f>
        <v>0</v>
      </c>
      <c r="G624" s="70">
        <f>'RESUMEN TOTAL'!N707</f>
        <v>0</v>
      </c>
      <c r="H624" s="70">
        <f>'RESUMEN TOTAL'!O707</f>
        <v>0</v>
      </c>
      <c r="I624" s="70">
        <f>'RESUMEN TOTAL'!P707</f>
        <v>0</v>
      </c>
      <c r="J624" s="70">
        <f>'RESUMEN TOTAL'!Q707</f>
        <v>0</v>
      </c>
      <c r="K624" s="70">
        <f>'RESUMEN TOTAL'!R707</f>
        <v>0</v>
      </c>
      <c r="L624" s="70">
        <f>'RESUMEN TOTAL'!S707</f>
        <v>0</v>
      </c>
      <c r="M624" s="70">
        <f>'RESUMEN TOTAL'!T707</f>
        <v>0</v>
      </c>
      <c r="N624" s="70">
        <f>'RESUMEN TOTAL'!U707</f>
        <v>0</v>
      </c>
      <c r="O624" s="70">
        <f>'RESUMEN TOTAL'!V707</f>
        <v>0</v>
      </c>
      <c r="P624" s="70">
        <f>'RESUMEN TOTAL'!W707</f>
        <v>0</v>
      </c>
      <c r="Q624" s="70">
        <f>'RESUMEN TOTAL'!X707</f>
        <v>0</v>
      </c>
      <c r="R624" s="70">
        <f>'RESUMEN TOTAL'!Y707</f>
        <v>0</v>
      </c>
      <c r="S624" s="70">
        <f>'RESUMEN TOTAL'!Z707</f>
        <v>0</v>
      </c>
      <c r="T624" s="70">
        <f>'RESUMEN TOTAL'!AA707</f>
        <v>0</v>
      </c>
      <c r="U624" s="70">
        <f>'RESUMEN TOTAL'!AB707</f>
        <v>0</v>
      </c>
      <c r="V624" s="70">
        <f>'RESUMEN TOTAL'!AC707</f>
        <v>0</v>
      </c>
      <c r="W624" s="70">
        <f>'RESUMEN TOTAL'!AD707</f>
        <v>0</v>
      </c>
      <c r="X624" s="70">
        <f>'RESUMEN TOTAL'!AE707</f>
        <v>0</v>
      </c>
      <c r="Y624" s="70">
        <f>'RESUMEN TOTAL'!AF707</f>
        <v>0</v>
      </c>
      <c r="Z624" s="70">
        <f>'RESUMEN TOTAL'!AG707</f>
        <v>0</v>
      </c>
      <c r="AA624" s="70">
        <f>'RESUMEN TOTAL'!AH707</f>
        <v>0</v>
      </c>
      <c r="AB624" s="70">
        <f>'RESUMEN TOTAL'!AI707</f>
        <v>0</v>
      </c>
      <c r="AC624" s="70">
        <f>'RESUMEN TOTAL'!AJ707</f>
        <v>0</v>
      </c>
      <c r="AD624" s="70">
        <f>'RESUMEN TOTAL'!AK707</f>
        <v>0</v>
      </c>
      <c r="AE624" s="70">
        <f>'RESUMEN TOTAL'!AL707</f>
        <v>0</v>
      </c>
      <c r="AF624" s="70">
        <f>'RESUMEN TOTAL'!AM707</f>
        <v>0</v>
      </c>
      <c r="AG624" s="70">
        <f>'RESUMEN TOTAL'!AN707</f>
        <v>0</v>
      </c>
      <c r="AH624" s="70">
        <f>'RESUMEN TOTAL'!AO707</f>
        <v>0</v>
      </c>
      <c r="AI624" s="70">
        <f>'RESUMEN TOTAL'!AP707</f>
        <v>0</v>
      </c>
    </row>
    <row r="625" spans="1:35" x14ac:dyDescent="0.25">
      <c r="A625">
        <f>'RESUMEN TOTAL'!A708</f>
        <v>0</v>
      </c>
      <c r="B625">
        <f>'RESUMEN TOTAL'!B708</f>
        <v>0</v>
      </c>
      <c r="C625">
        <f>'RESUMEN TOTAL'!D708</f>
        <v>0</v>
      </c>
      <c r="D625" s="30">
        <f>'RESUMEN TOTAL'!E708</f>
        <v>0</v>
      </c>
      <c r="E625" s="30">
        <f>'RESUMEN TOTAL'!F708</f>
        <v>0</v>
      </c>
      <c r="F625" s="70">
        <f>'RESUMEN TOTAL'!M708</f>
        <v>0</v>
      </c>
      <c r="G625" s="70">
        <f>'RESUMEN TOTAL'!N708</f>
        <v>0</v>
      </c>
      <c r="H625" s="70">
        <f>'RESUMEN TOTAL'!O708</f>
        <v>0</v>
      </c>
      <c r="I625" s="70">
        <f>'RESUMEN TOTAL'!P708</f>
        <v>0</v>
      </c>
      <c r="J625" s="70">
        <f>'RESUMEN TOTAL'!Q708</f>
        <v>0</v>
      </c>
      <c r="K625" s="70">
        <f>'RESUMEN TOTAL'!R708</f>
        <v>0</v>
      </c>
      <c r="L625" s="70">
        <f>'RESUMEN TOTAL'!S708</f>
        <v>0</v>
      </c>
      <c r="M625" s="70">
        <f>'RESUMEN TOTAL'!T708</f>
        <v>0</v>
      </c>
      <c r="N625" s="70">
        <f>'RESUMEN TOTAL'!U708</f>
        <v>0</v>
      </c>
      <c r="O625" s="70">
        <f>'RESUMEN TOTAL'!V708</f>
        <v>0</v>
      </c>
      <c r="P625" s="70">
        <f>'RESUMEN TOTAL'!W708</f>
        <v>0</v>
      </c>
      <c r="Q625" s="70">
        <f>'RESUMEN TOTAL'!X708</f>
        <v>0</v>
      </c>
      <c r="R625" s="70">
        <f>'RESUMEN TOTAL'!Y708</f>
        <v>0</v>
      </c>
      <c r="S625" s="70">
        <f>'RESUMEN TOTAL'!Z708</f>
        <v>0</v>
      </c>
      <c r="T625" s="70">
        <f>'RESUMEN TOTAL'!AA708</f>
        <v>0</v>
      </c>
      <c r="U625" s="70">
        <f>'RESUMEN TOTAL'!AB708</f>
        <v>0</v>
      </c>
      <c r="V625" s="70">
        <f>'RESUMEN TOTAL'!AC708</f>
        <v>0</v>
      </c>
      <c r="W625" s="70">
        <f>'RESUMEN TOTAL'!AD708</f>
        <v>0</v>
      </c>
      <c r="X625" s="70">
        <f>'RESUMEN TOTAL'!AE708</f>
        <v>0</v>
      </c>
      <c r="Y625" s="70">
        <f>'RESUMEN TOTAL'!AF708</f>
        <v>0</v>
      </c>
      <c r="Z625" s="70">
        <f>'RESUMEN TOTAL'!AG708</f>
        <v>0</v>
      </c>
      <c r="AA625" s="70">
        <f>'RESUMEN TOTAL'!AH708</f>
        <v>0</v>
      </c>
      <c r="AB625" s="70">
        <f>'RESUMEN TOTAL'!AI708</f>
        <v>0</v>
      </c>
      <c r="AC625" s="70">
        <f>'RESUMEN TOTAL'!AJ708</f>
        <v>0</v>
      </c>
      <c r="AD625" s="70">
        <f>'RESUMEN TOTAL'!AK708</f>
        <v>0</v>
      </c>
      <c r="AE625" s="70">
        <f>'RESUMEN TOTAL'!AL708</f>
        <v>0</v>
      </c>
      <c r="AF625" s="70">
        <f>'RESUMEN TOTAL'!AM708</f>
        <v>0</v>
      </c>
      <c r="AG625" s="70">
        <f>'RESUMEN TOTAL'!AN708</f>
        <v>0</v>
      </c>
      <c r="AH625" s="70">
        <f>'RESUMEN TOTAL'!AO708</f>
        <v>0</v>
      </c>
      <c r="AI625" s="70">
        <f>'RESUMEN TOTAL'!AP708</f>
        <v>0</v>
      </c>
    </row>
    <row r="626" spans="1:35" x14ac:dyDescent="0.25">
      <c r="A626">
        <f>'RESUMEN TOTAL'!A709</f>
        <v>0</v>
      </c>
      <c r="B626">
        <f>'RESUMEN TOTAL'!B709</f>
        <v>0</v>
      </c>
      <c r="C626">
        <f>'RESUMEN TOTAL'!D709</f>
        <v>0</v>
      </c>
      <c r="D626" s="30">
        <f>'RESUMEN TOTAL'!E709</f>
        <v>0</v>
      </c>
      <c r="E626" s="30">
        <f>'RESUMEN TOTAL'!F709</f>
        <v>0</v>
      </c>
      <c r="F626" s="70">
        <f>'RESUMEN TOTAL'!M709</f>
        <v>0</v>
      </c>
      <c r="G626" s="70">
        <f>'RESUMEN TOTAL'!N709</f>
        <v>0</v>
      </c>
      <c r="H626" s="70">
        <f>'RESUMEN TOTAL'!O709</f>
        <v>0</v>
      </c>
      <c r="I626" s="70">
        <f>'RESUMEN TOTAL'!P709</f>
        <v>0</v>
      </c>
      <c r="J626" s="70">
        <f>'RESUMEN TOTAL'!Q709</f>
        <v>0</v>
      </c>
      <c r="K626" s="70">
        <f>'RESUMEN TOTAL'!R709</f>
        <v>0</v>
      </c>
      <c r="L626" s="70">
        <f>'RESUMEN TOTAL'!S709</f>
        <v>0</v>
      </c>
      <c r="M626" s="70">
        <f>'RESUMEN TOTAL'!T709</f>
        <v>0</v>
      </c>
      <c r="N626" s="70">
        <f>'RESUMEN TOTAL'!U709</f>
        <v>0</v>
      </c>
      <c r="O626" s="70">
        <f>'RESUMEN TOTAL'!V709</f>
        <v>0</v>
      </c>
      <c r="P626" s="70">
        <f>'RESUMEN TOTAL'!W709</f>
        <v>0</v>
      </c>
      <c r="Q626" s="70">
        <f>'RESUMEN TOTAL'!X709</f>
        <v>0</v>
      </c>
      <c r="R626" s="70">
        <f>'RESUMEN TOTAL'!Y709</f>
        <v>0</v>
      </c>
      <c r="S626" s="70">
        <f>'RESUMEN TOTAL'!Z709</f>
        <v>0</v>
      </c>
      <c r="T626" s="70">
        <f>'RESUMEN TOTAL'!AA709</f>
        <v>0</v>
      </c>
      <c r="U626" s="70">
        <f>'RESUMEN TOTAL'!AB709</f>
        <v>0</v>
      </c>
      <c r="V626" s="70">
        <f>'RESUMEN TOTAL'!AC709</f>
        <v>0</v>
      </c>
      <c r="W626" s="70">
        <f>'RESUMEN TOTAL'!AD709</f>
        <v>0</v>
      </c>
      <c r="X626" s="70">
        <f>'RESUMEN TOTAL'!AE709</f>
        <v>0</v>
      </c>
      <c r="Y626" s="70">
        <f>'RESUMEN TOTAL'!AF709</f>
        <v>0</v>
      </c>
      <c r="Z626" s="70">
        <f>'RESUMEN TOTAL'!AG709</f>
        <v>0</v>
      </c>
      <c r="AA626" s="70">
        <f>'RESUMEN TOTAL'!AH709</f>
        <v>0</v>
      </c>
      <c r="AB626" s="70">
        <f>'RESUMEN TOTAL'!AI709</f>
        <v>0</v>
      </c>
      <c r="AC626" s="70">
        <f>'RESUMEN TOTAL'!AJ709</f>
        <v>0</v>
      </c>
      <c r="AD626" s="70">
        <f>'RESUMEN TOTAL'!AK709</f>
        <v>0</v>
      </c>
      <c r="AE626" s="70">
        <f>'RESUMEN TOTAL'!AL709</f>
        <v>0</v>
      </c>
      <c r="AF626" s="70">
        <f>'RESUMEN TOTAL'!AM709</f>
        <v>0</v>
      </c>
      <c r="AG626" s="70">
        <f>'RESUMEN TOTAL'!AN709</f>
        <v>0</v>
      </c>
      <c r="AH626" s="70">
        <f>'RESUMEN TOTAL'!AO709</f>
        <v>0</v>
      </c>
      <c r="AI626" s="70">
        <f>'RESUMEN TOTAL'!AP709</f>
        <v>0</v>
      </c>
    </row>
    <row r="627" spans="1:35" x14ac:dyDescent="0.25">
      <c r="A627">
        <f>'RESUMEN TOTAL'!A710</f>
        <v>0</v>
      </c>
      <c r="B627">
        <f>'RESUMEN TOTAL'!B710</f>
        <v>0</v>
      </c>
      <c r="C627">
        <f>'RESUMEN TOTAL'!D710</f>
        <v>0</v>
      </c>
      <c r="D627" s="30">
        <f>'RESUMEN TOTAL'!E710</f>
        <v>0</v>
      </c>
      <c r="E627" s="30">
        <f>'RESUMEN TOTAL'!F710</f>
        <v>0</v>
      </c>
      <c r="F627" s="70">
        <f>'RESUMEN TOTAL'!M710</f>
        <v>0</v>
      </c>
      <c r="G627" s="70">
        <f>'RESUMEN TOTAL'!N710</f>
        <v>0</v>
      </c>
      <c r="H627" s="70">
        <f>'RESUMEN TOTAL'!O710</f>
        <v>0</v>
      </c>
      <c r="I627" s="70">
        <f>'RESUMEN TOTAL'!P710</f>
        <v>0</v>
      </c>
      <c r="J627" s="70">
        <f>'RESUMEN TOTAL'!Q710</f>
        <v>0</v>
      </c>
      <c r="K627" s="70">
        <f>'RESUMEN TOTAL'!R710</f>
        <v>0</v>
      </c>
      <c r="L627" s="70">
        <f>'RESUMEN TOTAL'!S710</f>
        <v>0</v>
      </c>
      <c r="M627" s="70">
        <f>'RESUMEN TOTAL'!T710</f>
        <v>0</v>
      </c>
      <c r="N627" s="70">
        <f>'RESUMEN TOTAL'!U710</f>
        <v>0</v>
      </c>
      <c r="O627" s="70">
        <f>'RESUMEN TOTAL'!V710</f>
        <v>0</v>
      </c>
      <c r="P627" s="70">
        <f>'RESUMEN TOTAL'!W710</f>
        <v>0</v>
      </c>
      <c r="Q627" s="70">
        <f>'RESUMEN TOTAL'!X710</f>
        <v>0</v>
      </c>
      <c r="R627" s="70">
        <f>'RESUMEN TOTAL'!Y710</f>
        <v>0</v>
      </c>
      <c r="S627" s="70">
        <f>'RESUMEN TOTAL'!Z710</f>
        <v>0</v>
      </c>
      <c r="T627" s="70">
        <f>'RESUMEN TOTAL'!AA710</f>
        <v>0</v>
      </c>
      <c r="U627" s="70">
        <f>'RESUMEN TOTAL'!AB710</f>
        <v>0</v>
      </c>
      <c r="V627" s="70">
        <f>'RESUMEN TOTAL'!AC710</f>
        <v>0</v>
      </c>
      <c r="W627" s="70">
        <f>'RESUMEN TOTAL'!AD710</f>
        <v>0</v>
      </c>
      <c r="X627" s="70">
        <f>'RESUMEN TOTAL'!AE710</f>
        <v>0</v>
      </c>
      <c r="Y627" s="70">
        <f>'RESUMEN TOTAL'!AF710</f>
        <v>0</v>
      </c>
      <c r="Z627" s="70">
        <f>'RESUMEN TOTAL'!AG710</f>
        <v>0</v>
      </c>
      <c r="AA627" s="70">
        <f>'RESUMEN TOTAL'!AH710</f>
        <v>0</v>
      </c>
      <c r="AB627" s="70">
        <f>'RESUMEN TOTAL'!AI710</f>
        <v>0</v>
      </c>
      <c r="AC627" s="70">
        <f>'RESUMEN TOTAL'!AJ710</f>
        <v>0</v>
      </c>
      <c r="AD627" s="70">
        <f>'RESUMEN TOTAL'!AK710</f>
        <v>0</v>
      </c>
      <c r="AE627" s="70">
        <f>'RESUMEN TOTAL'!AL710</f>
        <v>0</v>
      </c>
      <c r="AF627" s="70">
        <f>'RESUMEN TOTAL'!AM710</f>
        <v>0</v>
      </c>
      <c r="AG627" s="70">
        <f>'RESUMEN TOTAL'!AN710</f>
        <v>0</v>
      </c>
      <c r="AH627" s="70">
        <f>'RESUMEN TOTAL'!AO710</f>
        <v>0</v>
      </c>
      <c r="AI627" s="70">
        <f>'RESUMEN TOTAL'!AP710</f>
        <v>0</v>
      </c>
    </row>
    <row r="628" spans="1:35" x14ac:dyDescent="0.25">
      <c r="A628">
        <f>'RESUMEN TOTAL'!A711</f>
        <v>0</v>
      </c>
      <c r="B628">
        <f>'RESUMEN TOTAL'!B711</f>
        <v>0</v>
      </c>
      <c r="C628">
        <f>'RESUMEN TOTAL'!D711</f>
        <v>0</v>
      </c>
      <c r="D628" s="30">
        <f>'RESUMEN TOTAL'!E711</f>
        <v>0</v>
      </c>
      <c r="E628" s="30">
        <f>'RESUMEN TOTAL'!F711</f>
        <v>0</v>
      </c>
      <c r="F628" s="70">
        <f>'RESUMEN TOTAL'!M711</f>
        <v>0</v>
      </c>
      <c r="G628" s="70">
        <f>'RESUMEN TOTAL'!N711</f>
        <v>0</v>
      </c>
      <c r="H628" s="70">
        <f>'RESUMEN TOTAL'!O711</f>
        <v>0</v>
      </c>
      <c r="I628" s="70">
        <f>'RESUMEN TOTAL'!P711</f>
        <v>0</v>
      </c>
      <c r="J628" s="70">
        <f>'RESUMEN TOTAL'!Q711</f>
        <v>0</v>
      </c>
      <c r="K628" s="70">
        <f>'RESUMEN TOTAL'!R711</f>
        <v>0</v>
      </c>
      <c r="L628" s="70">
        <f>'RESUMEN TOTAL'!S711</f>
        <v>0</v>
      </c>
      <c r="M628" s="70">
        <f>'RESUMEN TOTAL'!T711</f>
        <v>0</v>
      </c>
      <c r="N628" s="70">
        <f>'RESUMEN TOTAL'!U711</f>
        <v>0</v>
      </c>
      <c r="O628" s="70">
        <f>'RESUMEN TOTAL'!V711</f>
        <v>0</v>
      </c>
      <c r="P628" s="70">
        <f>'RESUMEN TOTAL'!W711</f>
        <v>0</v>
      </c>
      <c r="Q628" s="70">
        <f>'RESUMEN TOTAL'!X711</f>
        <v>0</v>
      </c>
      <c r="R628" s="70">
        <f>'RESUMEN TOTAL'!Y711</f>
        <v>0</v>
      </c>
      <c r="S628" s="70">
        <f>'RESUMEN TOTAL'!Z711</f>
        <v>0</v>
      </c>
      <c r="T628" s="70">
        <f>'RESUMEN TOTAL'!AA711</f>
        <v>0</v>
      </c>
      <c r="U628" s="70">
        <f>'RESUMEN TOTAL'!AB711</f>
        <v>0</v>
      </c>
      <c r="V628" s="70">
        <f>'RESUMEN TOTAL'!AC711</f>
        <v>0</v>
      </c>
      <c r="W628" s="70">
        <f>'RESUMEN TOTAL'!AD711</f>
        <v>0</v>
      </c>
      <c r="X628" s="70">
        <f>'RESUMEN TOTAL'!AE711</f>
        <v>0</v>
      </c>
      <c r="Y628" s="70">
        <f>'RESUMEN TOTAL'!AF711</f>
        <v>0</v>
      </c>
      <c r="Z628" s="70">
        <f>'RESUMEN TOTAL'!AG711</f>
        <v>0</v>
      </c>
      <c r="AA628" s="70">
        <f>'RESUMEN TOTAL'!AH711</f>
        <v>0</v>
      </c>
      <c r="AB628" s="70">
        <f>'RESUMEN TOTAL'!AI711</f>
        <v>0</v>
      </c>
      <c r="AC628" s="70">
        <f>'RESUMEN TOTAL'!AJ711</f>
        <v>0</v>
      </c>
      <c r="AD628" s="70">
        <f>'RESUMEN TOTAL'!AK711</f>
        <v>0</v>
      </c>
      <c r="AE628" s="70">
        <f>'RESUMEN TOTAL'!AL711</f>
        <v>0</v>
      </c>
      <c r="AF628" s="70">
        <f>'RESUMEN TOTAL'!AM711</f>
        <v>0</v>
      </c>
      <c r="AG628" s="70">
        <f>'RESUMEN TOTAL'!AN711</f>
        <v>0</v>
      </c>
      <c r="AH628" s="70">
        <f>'RESUMEN TOTAL'!AO711</f>
        <v>0</v>
      </c>
      <c r="AI628" s="70">
        <f>'RESUMEN TOTAL'!AP711</f>
        <v>0</v>
      </c>
    </row>
    <row r="629" spans="1:35" x14ac:dyDescent="0.25">
      <c r="A629">
        <f>'RESUMEN TOTAL'!A712</f>
        <v>0</v>
      </c>
      <c r="B629">
        <f>'RESUMEN TOTAL'!B712</f>
        <v>0</v>
      </c>
      <c r="C629">
        <f>'RESUMEN TOTAL'!D712</f>
        <v>0</v>
      </c>
      <c r="D629" s="30">
        <f>'RESUMEN TOTAL'!E712</f>
        <v>0</v>
      </c>
      <c r="E629" s="30">
        <f>'RESUMEN TOTAL'!F712</f>
        <v>0</v>
      </c>
      <c r="F629" s="70">
        <f>'RESUMEN TOTAL'!M712</f>
        <v>0</v>
      </c>
      <c r="G629" s="70">
        <f>'RESUMEN TOTAL'!N712</f>
        <v>0</v>
      </c>
      <c r="H629" s="70">
        <f>'RESUMEN TOTAL'!O712</f>
        <v>0</v>
      </c>
      <c r="I629" s="70">
        <f>'RESUMEN TOTAL'!P712</f>
        <v>0</v>
      </c>
      <c r="J629" s="70">
        <f>'RESUMEN TOTAL'!Q712</f>
        <v>0</v>
      </c>
      <c r="K629" s="70">
        <f>'RESUMEN TOTAL'!R712</f>
        <v>0</v>
      </c>
      <c r="L629" s="70">
        <f>'RESUMEN TOTAL'!S712</f>
        <v>0</v>
      </c>
      <c r="M629" s="70">
        <f>'RESUMEN TOTAL'!T712</f>
        <v>0</v>
      </c>
      <c r="N629" s="70">
        <f>'RESUMEN TOTAL'!U712</f>
        <v>0</v>
      </c>
      <c r="O629" s="70">
        <f>'RESUMEN TOTAL'!V712</f>
        <v>0</v>
      </c>
      <c r="P629" s="70">
        <f>'RESUMEN TOTAL'!W712</f>
        <v>0</v>
      </c>
      <c r="Q629" s="70">
        <f>'RESUMEN TOTAL'!X712</f>
        <v>0</v>
      </c>
      <c r="R629" s="70">
        <f>'RESUMEN TOTAL'!Y712</f>
        <v>0</v>
      </c>
      <c r="S629" s="70">
        <f>'RESUMEN TOTAL'!Z712</f>
        <v>0</v>
      </c>
      <c r="T629" s="70">
        <f>'RESUMEN TOTAL'!AA712</f>
        <v>0</v>
      </c>
      <c r="U629" s="70">
        <f>'RESUMEN TOTAL'!AB712</f>
        <v>0</v>
      </c>
      <c r="V629" s="70">
        <f>'RESUMEN TOTAL'!AC712</f>
        <v>0</v>
      </c>
      <c r="W629" s="70">
        <f>'RESUMEN TOTAL'!AD712</f>
        <v>0</v>
      </c>
      <c r="X629" s="70">
        <f>'RESUMEN TOTAL'!AE712</f>
        <v>0</v>
      </c>
      <c r="Y629" s="70">
        <f>'RESUMEN TOTAL'!AF712</f>
        <v>0</v>
      </c>
      <c r="Z629" s="70">
        <f>'RESUMEN TOTAL'!AG712</f>
        <v>0</v>
      </c>
      <c r="AA629" s="70">
        <f>'RESUMEN TOTAL'!AH712</f>
        <v>0</v>
      </c>
      <c r="AB629" s="70">
        <f>'RESUMEN TOTAL'!AI712</f>
        <v>0</v>
      </c>
      <c r="AC629" s="70">
        <f>'RESUMEN TOTAL'!AJ712</f>
        <v>0</v>
      </c>
      <c r="AD629" s="70">
        <f>'RESUMEN TOTAL'!AK712</f>
        <v>0</v>
      </c>
      <c r="AE629" s="70">
        <f>'RESUMEN TOTAL'!AL712</f>
        <v>0</v>
      </c>
      <c r="AF629" s="70">
        <f>'RESUMEN TOTAL'!AM712</f>
        <v>0</v>
      </c>
      <c r="AG629" s="70">
        <f>'RESUMEN TOTAL'!AN712</f>
        <v>0</v>
      </c>
      <c r="AH629" s="70">
        <f>'RESUMEN TOTAL'!AO712</f>
        <v>0</v>
      </c>
      <c r="AI629" s="70">
        <f>'RESUMEN TOTAL'!AP712</f>
        <v>0</v>
      </c>
    </row>
    <row r="630" spans="1:35" x14ac:dyDescent="0.25">
      <c r="A630">
        <f>'RESUMEN TOTAL'!A713</f>
        <v>0</v>
      </c>
      <c r="B630">
        <f>'RESUMEN TOTAL'!B713</f>
        <v>0</v>
      </c>
      <c r="C630">
        <f>'RESUMEN TOTAL'!D713</f>
        <v>0</v>
      </c>
      <c r="D630" s="30">
        <f>'RESUMEN TOTAL'!E713</f>
        <v>0</v>
      </c>
      <c r="E630" s="30">
        <f>'RESUMEN TOTAL'!F713</f>
        <v>0</v>
      </c>
      <c r="F630" s="70">
        <f>'RESUMEN TOTAL'!M713</f>
        <v>0</v>
      </c>
      <c r="G630" s="70">
        <f>'RESUMEN TOTAL'!N713</f>
        <v>0</v>
      </c>
      <c r="H630" s="70">
        <f>'RESUMEN TOTAL'!O713</f>
        <v>0</v>
      </c>
      <c r="I630" s="70">
        <f>'RESUMEN TOTAL'!P713</f>
        <v>0</v>
      </c>
      <c r="J630" s="70">
        <f>'RESUMEN TOTAL'!Q713</f>
        <v>0</v>
      </c>
      <c r="K630" s="70">
        <f>'RESUMEN TOTAL'!R713</f>
        <v>0</v>
      </c>
      <c r="L630" s="70">
        <f>'RESUMEN TOTAL'!S713</f>
        <v>0</v>
      </c>
      <c r="M630" s="70">
        <f>'RESUMEN TOTAL'!T713</f>
        <v>0</v>
      </c>
      <c r="N630" s="70">
        <f>'RESUMEN TOTAL'!U713</f>
        <v>0</v>
      </c>
      <c r="O630" s="70">
        <f>'RESUMEN TOTAL'!V713</f>
        <v>0</v>
      </c>
      <c r="P630" s="70">
        <f>'RESUMEN TOTAL'!W713</f>
        <v>0</v>
      </c>
      <c r="Q630" s="70">
        <f>'RESUMEN TOTAL'!X713</f>
        <v>0</v>
      </c>
      <c r="R630" s="70">
        <f>'RESUMEN TOTAL'!Y713</f>
        <v>0</v>
      </c>
      <c r="S630" s="70">
        <f>'RESUMEN TOTAL'!Z713</f>
        <v>0</v>
      </c>
      <c r="T630" s="70">
        <f>'RESUMEN TOTAL'!AA713</f>
        <v>0</v>
      </c>
      <c r="U630" s="70">
        <f>'RESUMEN TOTAL'!AB713</f>
        <v>0</v>
      </c>
      <c r="V630" s="70">
        <f>'RESUMEN TOTAL'!AC713</f>
        <v>0</v>
      </c>
      <c r="W630" s="70">
        <f>'RESUMEN TOTAL'!AD713</f>
        <v>0</v>
      </c>
      <c r="X630" s="70">
        <f>'RESUMEN TOTAL'!AE713</f>
        <v>0</v>
      </c>
      <c r="Y630" s="70">
        <f>'RESUMEN TOTAL'!AF713</f>
        <v>0</v>
      </c>
      <c r="Z630" s="70">
        <f>'RESUMEN TOTAL'!AG713</f>
        <v>0</v>
      </c>
      <c r="AA630" s="70">
        <f>'RESUMEN TOTAL'!AH713</f>
        <v>0</v>
      </c>
      <c r="AB630" s="70">
        <f>'RESUMEN TOTAL'!AI713</f>
        <v>0</v>
      </c>
      <c r="AC630" s="70">
        <f>'RESUMEN TOTAL'!AJ713</f>
        <v>0</v>
      </c>
      <c r="AD630" s="70">
        <f>'RESUMEN TOTAL'!AK713</f>
        <v>0</v>
      </c>
      <c r="AE630" s="70">
        <f>'RESUMEN TOTAL'!AL713</f>
        <v>0</v>
      </c>
      <c r="AF630" s="70">
        <f>'RESUMEN TOTAL'!AM713</f>
        <v>0</v>
      </c>
      <c r="AG630" s="70">
        <f>'RESUMEN TOTAL'!AN713</f>
        <v>0</v>
      </c>
      <c r="AH630" s="70">
        <f>'RESUMEN TOTAL'!AO713</f>
        <v>0</v>
      </c>
      <c r="AI630" s="70">
        <f>'RESUMEN TOTAL'!AP713</f>
        <v>0</v>
      </c>
    </row>
    <row r="631" spans="1:35" x14ac:dyDescent="0.25">
      <c r="A631">
        <f>'RESUMEN TOTAL'!A714</f>
        <v>0</v>
      </c>
      <c r="B631">
        <f>'RESUMEN TOTAL'!B714</f>
        <v>0</v>
      </c>
      <c r="C631">
        <f>'RESUMEN TOTAL'!D714</f>
        <v>0</v>
      </c>
      <c r="D631" s="30">
        <f>'RESUMEN TOTAL'!E714</f>
        <v>0</v>
      </c>
      <c r="E631" s="30">
        <f>'RESUMEN TOTAL'!F714</f>
        <v>0</v>
      </c>
      <c r="F631" s="70">
        <f>'RESUMEN TOTAL'!M714</f>
        <v>0</v>
      </c>
      <c r="G631" s="70">
        <f>'RESUMEN TOTAL'!N714</f>
        <v>0</v>
      </c>
      <c r="H631" s="70">
        <f>'RESUMEN TOTAL'!O714</f>
        <v>0</v>
      </c>
      <c r="I631" s="70">
        <f>'RESUMEN TOTAL'!P714</f>
        <v>0</v>
      </c>
      <c r="J631" s="70">
        <f>'RESUMEN TOTAL'!Q714</f>
        <v>0</v>
      </c>
      <c r="K631" s="70">
        <f>'RESUMEN TOTAL'!R714</f>
        <v>0</v>
      </c>
      <c r="L631" s="70">
        <f>'RESUMEN TOTAL'!S714</f>
        <v>0</v>
      </c>
      <c r="M631" s="70">
        <f>'RESUMEN TOTAL'!T714</f>
        <v>0</v>
      </c>
      <c r="N631" s="70">
        <f>'RESUMEN TOTAL'!U714</f>
        <v>0</v>
      </c>
      <c r="O631" s="70">
        <f>'RESUMEN TOTAL'!V714</f>
        <v>0</v>
      </c>
      <c r="P631" s="70">
        <f>'RESUMEN TOTAL'!W714</f>
        <v>0</v>
      </c>
      <c r="Q631" s="70">
        <f>'RESUMEN TOTAL'!X714</f>
        <v>0</v>
      </c>
      <c r="R631" s="70">
        <f>'RESUMEN TOTAL'!Y714</f>
        <v>0</v>
      </c>
      <c r="S631" s="70">
        <f>'RESUMEN TOTAL'!Z714</f>
        <v>0</v>
      </c>
      <c r="T631" s="70">
        <f>'RESUMEN TOTAL'!AA714</f>
        <v>0</v>
      </c>
      <c r="U631" s="70">
        <f>'RESUMEN TOTAL'!AB714</f>
        <v>0</v>
      </c>
      <c r="V631" s="70">
        <f>'RESUMEN TOTAL'!AC714</f>
        <v>0</v>
      </c>
      <c r="W631" s="70">
        <f>'RESUMEN TOTAL'!AD714</f>
        <v>0</v>
      </c>
      <c r="X631" s="70">
        <f>'RESUMEN TOTAL'!AE714</f>
        <v>0</v>
      </c>
      <c r="Y631" s="70">
        <f>'RESUMEN TOTAL'!AF714</f>
        <v>0</v>
      </c>
      <c r="Z631" s="70">
        <f>'RESUMEN TOTAL'!AG714</f>
        <v>0</v>
      </c>
      <c r="AA631" s="70">
        <f>'RESUMEN TOTAL'!AH714</f>
        <v>0</v>
      </c>
      <c r="AB631" s="70">
        <f>'RESUMEN TOTAL'!AI714</f>
        <v>0</v>
      </c>
      <c r="AC631" s="70">
        <f>'RESUMEN TOTAL'!AJ714</f>
        <v>0</v>
      </c>
      <c r="AD631" s="70">
        <f>'RESUMEN TOTAL'!AK714</f>
        <v>0</v>
      </c>
      <c r="AE631" s="70">
        <f>'RESUMEN TOTAL'!AL714</f>
        <v>0</v>
      </c>
      <c r="AF631" s="70">
        <f>'RESUMEN TOTAL'!AM714</f>
        <v>0</v>
      </c>
      <c r="AG631" s="70">
        <f>'RESUMEN TOTAL'!AN714</f>
        <v>0</v>
      </c>
      <c r="AH631" s="70">
        <f>'RESUMEN TOTAL'!AO714</f>
        <v>0</v>
      </c>
      <c r="AI631" s="70">
        <f>'RESUMEN TOTAL'!AP714</f>
        <v>0</v>
      </c>
    </row>
    <row r="632" spans="1:35" x14ac:dyDescent="0.25">
      <c r="A632">
        <f>'RESUMEN TOTAL'!A715</f>
        <v>0</v>
      </c>
      <c r="B632">
        <f>'RESUMEN TOTAL'!B715</f>
        <v>0</v>
      </c>
      <c r="C632">
        <f>'RESUMEN TOTAL'!D715</f>
        <v>0</v>
      </c>
      <c r="D632" s="30">
        <f>'RESUMEN TOTAL'!E715</f>
        <v>0</v>
      </c>
      <c r="E632" s="30">
        <f>'RESUMEN TOTAL'!F715</f>
        <v>0</v>
      </c>
      <c r="F632" s="70">
        <f>'RESUMEN TOTAL'!M715</f>
        <v>0</v>
      </c>
      <c r="G632" s="70">
        <f>'RESUMEN TOTAL'!N715</f>
        <v>0</v>
      </c>
      <c r="H632" s="70">
        <f>'RESUMEN TOTAL'!O715</f>
        <v>0</v>
      </c>
      <c r="I632" s="70">
        <f>'RESUMEN TOTAL'!P715</f>
        <v>0</v>
      </c>
      <c r="J632" s="70">
        <f>'RESUMEN TOTAL'!Q715</f>
        <v>0</v>
      </c>
      <c r="K632" s="70">
        <f>'RESUMEN TOTAL'!R715</f>
        <v>0</v>
      </c>
      <c r="L632" s="70">
        <f>'RESUMEN TOTAL'!S715</f>
        <v>0</v>
      </c>
      <c r="M632" s="70">
        <f>'RESUMEN TOTAL'!T715</f>
        <v>0</v>
      </c>
      <c r="N632" s="70">
        <f>'RESUMEN TOTAL'!U715</f>
        <v>0</v>
      </c>
      <c r="O632" s="70">
        <f>'RESUMEN TOTAL'!V715</f>
        <v>0</v>
      </c>
      <c r="P632" s="70">
        <f>'RESUMEN TOTAL'!W715</f>
        <v>0</v>
      </c>
      <c r="Q632" s="70">
        <f>'RESUMEN TOTAL'!X715</f>
        <v>0</v>
      </c>
      <c r="R632" s="70">
        <f>'RESUMEN TOTAL'!Y715</f>
        <v>0</v>
      </c>
      <c r="S632" s="70">
        <f>'RESUMEN TOTAL'!Z715</f>
        <v>0</v>
      </c>
      <c r="T632" s="70">
        <f>'RESUMEN TOTAL'!AA715</f>
        <v>0</v>
      </c>
      <c r="U632" s="70">
        <f>'RESUMEN TOTAL'!AB715</f>
        <v>0</v>
      </c>
      <c r="V632" s="70">
        <f>'RESUMEN TOTAL'!AC715</f>
        <v>0</v>
      </c>
      <c r="W632" s="70">
        <f>'RESUMEN TOTAL'!AD715</f>
        <v>0</v>
      </c>
      <c r="X632" s="70">
        <f>'RESUMEN TOTAL'!AE715</f>
        <v>0</v>
      </c>
      <c r="Y632" s="70">
        <f>'RESUMEN TOTAL'!AF715</f>
        <v>0</v>
      </c>
      <c r="Z632" s="70">
        <f>'RESUMEN TOTAL'!AG715</f>
        <v>0</v>
      </c>
      <c r="AA632" s="70">
        <f>'RESUMEN TOTAL'!AH715</f>
        <v>0</v>
      </c>
      <c r="AB632" s="70">
        <f>'RESUMEN TOTAL'!AI715</f>
        <v>0</v>
      </c>
      <c r="AC632" s="70">
        <f>'RESUMEN TOTAL'!AJ715</f>
        <v>0</v>
      </c>
      <c r="AD632" s="70">
        <f>'RESUMEN TOTAL'!AK715</f>
        <v>0</v>
      </c>
      <c r="AE632" s="70">
        <f>'RESUMEN TOTAL'!AL715</f>
        <v>0</v>
      </c>
      <c r="AF632" s="70">
        <f>'RESUMEN TOTAL'!AM715</f>
        <v>0</v>
      </c>
      <c r="AG632" s="70">
        <f>'RESUMEN TOTAL'!AN715</f>
        <v>0</v>
      </c>
      <c r="AH632" s="70">
        <f>'RESUMEN TOTAL'!AO715</f>
        <v>0</v>
      </c>
      <c r="AI632" s="70">
        <f>'RESUMEN TOTAL'!AP715</f>
        <v>0</v>
      </c>
    </row>
    <row r="633" spans="1:35" x14ac:dyDescent="0.25">
      <c r="A633">
        <f>'RESUMEN TOTAL'!A716</f>
        <v>0</v>
      </c>
      <c r="B633">
        <f>'RESUMEN TOTAL'!B716</f>
        <v>0</v>
      </c>
      <c r="C633">
        <f>'RESUMEN TOTAL'!D716</f>
        <v>0</v>
      </c>
      <c r="D633" s="30">
        <f>'RESUMEN TOTAL'!E716</f>
        <v>0</v>
      </c>
      <c r="E633" s="30">
        <f>'RESUMEN TOTAL'!F716</f>
        <v>0</v>
      </c>
      <c r="F633" s="70">
        <f>'RESUMEN TOTAL'!M716</f>
        <v>0</v>
      </c>
      <c r="G633" s="70">
        <f>'RESUMEN TOTAL'!N716</f>
        <v>0</v>
      </c>
      <c r="H633" s="70">
        <f>'RESUMEN TOTAL'!O716</f>
        <v>0</v>
      </c>
      <c r="I633" s="70">
        <f>'RESUMEN TOTAL'!P716</f>
        <v>0</v>
      </c>
      <c r="J633" s="70">
        <f>'RESUMEN TOTAL'!Q716</f>
        <v>0</v>
      </c>
      <c r="K633" s="70">
        <f>'RESUMEN TOTAL'!R716</f>
        <v>0</v>
      </c>
      <c r="L633" s="70">
        <f>'RESUMEN TOTAL'!S716</f>
        <v>0</v>
      </c>
      <c r="M633" s="70">
        <f>'RESUMEN TOTAL'!T716</f>
        <v>0</v>
      </c>
      <c r="N633" s="70">
        <f>'RESUMEN TOTAL'!U716</f>
        <v>0</v>
      </c>
      <c r="O633" s="70">
        <f>'RESUMEN TOTAL'!V716</f>
        <v>0</v>
      </c>
      <c r="P633" s="70">
        <f>'RESUMEN TOTAL'!W716</f>
        <v>0</v>
      </c>
      <c r="Q633" s="70">
        <f>'RESUMEN TOTAL'!X716</f>
        <v>0</v>
      </c>
      <c r="R633" s="70">
        <f>'RESUMEN TOTAL'!Y716</f>
        <v>0</v>
      </c>
      <c r="S633" s="70">
        <f>'RESUMEN TOTAL'!Z716</f>
        <v>0</v>
      </c>
      <c r="T633" s="70">
        <f>'RESUMEN TOTAL'!AA716</f>
        <v>0</v>
      </c>
      <c r="U633" s="70">
        <f>'RESUMEN TOTAL'!AB716</f>
        <v>0</v>
      </c>
      <c r="V633" s="70">
        <f>'RESUMEN TOTAL'!AC716</f>
        <v>0</v>
      </c>
      <c r="W633" s="70">
        <f>'RESUMEN TOTAL'!AD716</f>
        <v>0</v>
      </c>
      <c r="X633" s="70">
        <f>'RESUMEN TOTAL'!AE716</f>
        <v>0</v>
      </c>
      <c r="Y633" s="70">
        <f>'RESUMEN TOTAL'!AF716</f>
        <v>0</v>
      </c>
      <c r="Z633" s="70">
        <f>'RESUMEN TOTAL'!AG716</f>
        <v>0</v>
      </c>
      <c r="AA633" s="70">
        <f>'RESUMEN TOTAL'!AH716</f>
        <v>0</v>
      </c>
      <c r="AB633" s="70">
        <f>'RESUMEN TOTAL'!AI716</f>
        <v>0</v>
      </c>
      <c r="AC633" s="70">
        <f>'RESUMEN TOTAL'!AJ716</f>
        <v>0</v>
      </c>
      <c r="AD633" s="70">
        <f>'RESUMEN TOTAL'!AK716</f>
        <v>0</v>
      </c>
      <c r="AE633" s="70">
        <f>'RESUMEN TOTAL'!AL716</f>
        <v>0</v>
      </c>
      <c r="AF633" s="70">
        <f>'RESUMEN TOTAL'!AM716</f>
        <v>0</v>
      </c>
      <c r="AG633" s="70">
        <f>'RESUMEN TOTAL'!AN716</f>
        <v>0</v>
      </c>
      <c r="AH633" s="70">
        <f>'RESUMEN TOTAL'!AO716</f>
        <v>0</v>
      </c>
      <c r="AI633" s="70">
        <f>'RESUMEN TOTAL'!AP716</f>
        <v>0</v>
      </c>
    </row>
    <row r="634" spans="1:35" x14ac:dyDescent="0.25">
      <c r="A634">
        <f>'RESUMEN TOTAL'!A717</f>
        <v>0</v>
      </c>
      <c r="B634">
        <f>'RESUMEN TOTAL'!B717</f>
        <v>0</v>
      </c>
      <c r="C634">
        <f>'RESUMEN TOTAL'!D717</f>
        <v>0</v>
      </c>
      <c r="D634" s="30">
        <f>'RESUMEN TOTAL'!E717</f>
        <v>0</v>
      </c>
      <c r="E634" s="30">
        <f>'RESUMEN TOTAL'!F717</f>
        <v>0</v>
      </c>
      <c r="F634" s="70">
        <f>'RESUMEN TOTAL'!M717</f>
        <v>0</v>
      </c>
      <c r="G634" s="70">
        <f>'RESUMEN TOTAL'!N717</f>
        <v>0</v>
      </c>
      <c r="H634" s="70">
        <f>'RESUMEN TOTAL'!O717</f>
        <v>0</v>
      </c>
      <c r="I634" s="70">
        <f>'RESUMEN TOTAL'!P717</f>
        <v>0</v>
      </c>
      <c r="J634" s="70">
        <f>'RESUMEN TOTAL'!Q717</f>
        <v>0</v>
      </c>
      <c r="K634" s="70">
        <f>'RESUMEN TOTAL'!R717</f>
        <v>0</v>
      </c>
      <c r="L634" s="70">
        <f>'RESUMEN TOTAL'!S717</f>
        <v>0</v>
      </c>
      <c r="M634" s="70">
        <f>'RESUMEN TOTAL'!T717</f>
        <v>0</v>
      </c>
      <c r="N634" s="70">
        <f>'RESUMEN TOTAL'!U717</f>
        <v>0</v>
      </c>
      <c r="O634" s="70">
        <f>'RESUMEN TOTAL'!V717</f>
        <v>0</v>
      </c>
      <c r="P634" s="70">
        <f>'RESUMEN TOTAL'!W717</f>
        <v>0</v>
      </c>
      <c r="Q634" s="70">
        <f>'RESUMEN TOTAL'!X717</f>
        <v>0</v>
      </c>
      <c r="R634" s="70">
        <f>'RESUMEN TOTAL'!Y717</f>
        <v>0</v>
      </c>
      <c r="S634" s="70">
        <f>'RESUMEN TOTAL'!Z717</f>
        <v>0</v>
      </c>
      <c r="T634" s="70">
        <f>'RESUMEN TOTAL'!AA717</f>
        <v>0</v>
      </c>
      <c r="U634" s="70">
        <f>'RESUMEN TOTAL'!AB717</f>
        <v>0</v>
      </c>
      <c r="V634" s="70">
        <f>'RESUMEN TOTAL'!AC717</f>
        <v>0</v>
      </c>
      <c r="W634" s="70">
        <f>'RESUMEN TOTAL'!AD717</f>
        <v>0</v>
      </c>
      <c r="X634" s="70">
        <f>'RESUMEN TOTAL'!AE717</f>
        <v>0</v>
      </c>
      <c r="Y634" s="70">
        <f>'RESUMEN TOTAL'!AF717</f>
        <v>0</v>
      </c>
      <c r="Z634" s="70">
        <f>'RESUMEN TOTAL'!AG717</f>
        <v>0</v>
      </c>
      <c r="AA634" s="70">
        <f>'RESUMEN TOTAL'!AH717</f>
        <v>0</v>
      </c>
      <c r="AB634" s="70">
        <f>'RESUMEN TOTAL'!AI717</f>
        <v>0</v>
      </c>
      <c r="AC634" s="70">
        <f>'RESUMEN TOTAL'!AJ717</f>
        <v>0</v>
      </c>
      <c r="AD634" s="70">
        <f>'RESUMEN TOTAL'!AK717</f>
        <v>0</v>
      </c>
      <c r="AE634" s="70">
        <f>'RESUMEN TOTAL'!AL717</f>
        <v>0</v>
      </c>
      <c r="AF634" s="70">
        <f>'RESUMEN TOTAL'!AM717</f>
        <v>0</v>
      </c>
      <c r="AG634" s="70">
        <f>'RESUMEN TOTAL'!AN717</f>
        <v>0</v>
      </c>
      <c r="AH634" s="70">
        <f>'RESUMEN TOTAL'!AO717</f>
        <v>0</v>
      </c>
      <c r="AI634" s="70">
        <f>'RESUMEN TOTAL'!AP717</f>
        <v>0</v>
      </c>
    </row>
    <row r="635" spans="1:35" x14ac:dyDescent="0.25">
      <c r="A635">
        <f>'RESUMEN TOTAL'!A718</f>
        <v>0</v>
      </c>
      <c r="B635">
        <f>'RESUMEN TOTAL'!B718</f>
        <v>0</v>
      </c>
      <c r="C635">
        <f>'RESUMEN TOTAL'!D718</f>
        <v>0</v>
      </c>
      <c r="D635" s="30">
        <f>'RESUMEN TOTAL'!E718</f>
        <v>0</v>
      </c>
      <c r="E635" s="30">
        <f>'RESUMEN TOTAL'!F718</f>
        <v>0</v>
      </c>
      <c r="F635" s="70">
        <f>'RESUMEN TOTAL'!M718</f>
        <v>0</v>
      </c>
      <c r="G635" s="70">
        <f>'RESUMEN TOTAL'!N718</f>
        <v>0</v>
      </c>
      <c r="H635" s="70">
        <f>'RESUMEN TOTAL'!O718</f>
        <v>0</v>
      </c>
      <c r="I635" s="70">
        <f>'RESUMEN TOTAL'!P718</f>
        <v>0</v>
      </c>
      <c r="J635" s="70">
        <f>'RESUMEN TOTAL'!Q718</f>
        <v>0</v>
      </c>
      <c r="K635" s="70">
        <f>'RESUMEN TOTAL'!R718</f>
        <v>0</v>
      </c>
      <c r="L635" s="70">
        <f>'RESUMEN TOTAL'!S718</f>
        <v>0</v>
      </c>
      <c r="M635" s="70">
        <f>'RESUMEN TOTAL'!T718</f>
        <v>0</v>
      </c>
      <c r="N635" s="70">
        <f>'RESUMEN TOTAL'!U718</f>
        <v>0</v>
      </c>
      <c r="O635" s="70">
        <f>'RESUMEN TOTAL'!V718</f>
        <v>0</v>
      </c>
      <c r="P635" s="70">
        <f>'RESUMEN TOTAL'!W718</f>
        <v>0</v>
      </c>
      <c r="Q635" s="70">
        <f>'RESUMEN TOTAL'!X718</f>
        <v>0</v>
      </c>
      <c r="R635" s="70">
        <f>'RESUMEN TOTAL'!Y718</f>
        <v>0</v>
      </c>
      <c r="S635" s="70">
        <f>'RESUMEN TOTAL'!Z718</f>
        <v>0</v>
      </c>
      <c r="T635" s="70">
        <f>'RESUMEN TOTAL'!AA718</f>
        <v>0</v>
      </c>
      <c r="U635" s="70">
        <f>'RESUMEN TOTAL'!AB718</f>
        <v>0</v>
      </c>
      <c r="V635" s="70">
        <f>'RESUMEN TOTAL'!AC718</f>
        <v>0</v>
      </c>
      <c r="W635" s="70">
        <f>'RESUMEN TOTAL'!AD718</f>
        <v>0</v>
      </c>
      <c r="X635" s="70">
        <f>'RESUMEN TOTAL'!AE718</f>
        <v>0</v>
      </c>
      <c r="Y635" s="70">
        <f>'RESUMEN TOTAL'!AF718</f>
        <v>0</v>
      </c>
      <c r="Z635" s="70">
        <f>'RESUMEN TOTAL'!AG718</f>
        <v>0</v>
      </c>
      <c r="AA635" s="70">
        <f>'RESUMEN TOTAL'!AH718</f>
        <v>0</v>
      </c>
      <c r="AB635" s="70">
        <f>'RESUMEN TOTAL'!AI718</f>
        <v>0</v>
      </c>
      <c r="AC635" s="70">
        <f>'RESUMEN TOTAL'!AJ718</f>
        <v>0</v>
      </c>
      <c r="AD635" s="70">
        <f>'RESUMEN TOTAL'!AK718</f>
        <v>0</v>
      </c>
      <c r="AE635" s="70">
        <f>'RESUMEN TOTAL'!AL718</f>
        <v>0</v>
      </c>
      <c r="AF635" s="70">
        <f>'RESUMEN TOTAL'!AM718</f>
        <v>0</v>
      </c>
      <c r="AG635" s="70">
        <f>'RESUMEN TOTAL'!AN718</f>
        <v>0</v>
      </c>
      <c r="AH635" s="70">
        <f>'RESUMEN TOTAL'!AO718</f>
        <v>0</v>
      </c>
      <c r="AI635" s="70">
        <f>'RESUMEN TOTAL'!AP718</f>
        <v>0</v>
      </c>
    </row>
    <row r="636" spans="1:35" x14ac:dyDescent="0.25">
      <c r="A636">
        <f>'RESUMEN TOTAL'!A719</f>
        <v>0</v>
      </c>
      <c r="B636">
        <f>'RESUMEN TOTAL'!B719</f>
        <v>0</v>
      </c>
      <c r="C636">
        <f>'RESUMEN TOTAL'!D719</f>
        <v>0</v>
      </c>
      <c r="D636" s="30">
        <f>'RESUMEN TOTAL'!E719</f>
        <v>0</v>
      </c>
      <c r="E636" s="30">
        <f>'RESUMEN TOTAL'!F719</f>
        <v>0</v>
      </c>
      <c r="F636" s="70">
        <f>'RESUMEN TOTAL'!M719</f>
        <v>0</v>
      </c>
      <c r="G636" s="70">
        <f>'RESUMEN TOTAL'!N719</f>
        <v>0</v>
      </c>
      <c r="H636" s="70">
        <f>'RESUMEN TOTAL'!O719</f>
        <v>0</v>
      </c>
      <c r="I636" s="70">
        <f>'RESUMEN TOTAL'!P719</f>
        <v>0</v>
      </c>
      <c r="J636" s="70">
        <f>'RESUMEN TOTAL'!Q719</f>
        <v>0</v>
      </c>
      <c r="K636" s="70">
        <f>'RESUMEN TOTAL'!R719</f>
        <v>0</v>
      </c>
      <c r="L636" s="70">
        <f>'RESUMEN TOTAL'!S719</f>
        <v>0</v>
      </c>
      <c r="M636" s="70">
        <f>'RESUMEN TOTAL'!T719</f>
        <v>0</v>
      </c>
      <c r="N636" s="70">
        <f>'RESUMEN TOTAL'!U719</f>
        <v>0</v>
      </c>
      <c r="O636" s="70">
        <f>'RESUMEN TOTAL'!V719</f>
        <v>0</v>
      </c>
      <c r="P636" s="70">
        <f>'RESUMEN TOTAL'!W719</f>
        <v>0</v>
      </c>
      <c r="Q636" s="70">
        <f>'RESUMEN TOTAL'!X719</f>
        <v>0</v>
      </c>
      <c r="R636" s="70">
        <f>'RESUMEN TOTAL'!Y719</f>
        <v>0</v>
      </c>
      <c r="S636" s="70">
        <f>'RESUMEN TOTAL'!Z719</f>
        <v>0</v>
      </c>
      <c r="T636" s="70">
        <f>'RESUMEN TOTAL'!AA719</f>
        <v>0</v>
      </c>
      <c r="U636" s="70">
        <f>'RESUMEN TOTAL'!AB719</f>
        <v>0</v>
      </c>
      <c r="V636" s="70">
        <f>'RESUMEN TOTAL'!AC719</f>
        <v>0</v>
      </c>
      <c r="W636" s="70">
        <f>'RESUMEN TOTAL'!AD719</f>
        <v>0</v>
      </c>
      <c r="X636" s="70">
        <f>'RESUMEN TOTAL'!AE719</f>
        <v>0</v>
      </c>
      <c r="Y636" s="70">
        <f>'RESUMEN TOTAL'!AF719</f>
        <v>0</v>
      </c>
      <c r="Z636" s="70">
        <f>'RESUMEN TOTAL'!AG719</f>
        <v>0</v>
      </c>
      <c r="AA636" s="70">
        <f>'RESUMEN TOTAL'!AH719</f>
        <v>0</v>
      </c>
      <c r="AB636" s="70">
        <f>'RESUMEN TOTAL'!AI719</f>
        <v>0</v>
      </c>
      <c r="AC636" s="70">
        <f>'RESUMEN TOTAL'!AJ719</f>
        <v>0</v>
      </c>
      <c r="AD636" s="70">
        <f>'RESUMEN TOTAL'!AK719</f>
        <v>0</v>
      </c>
      <c r="AE636" s="70">
        <f>'RESUMEN TOTAL'!AL719</f>
        <v>0</v>
      </c>
      <c r="AF636" s="70">
        <f>'RESUMEN TOTAL'!AM719</f>
        <v>0</v>
      </c>
      <c r="AG636" s="70">
        <f>'RESUMEN TOTAL'!AN719</f>
        <v>0</v>
      </c>
      <c r="AH636" s="70">
        <f>'RESUMEN TOTAL'!AO719</f>
        <v>0</v>
      </c>
      <c r="AI636" s="70">
        <f>'RESUMEN TOTAL'!AP719</f>
        <v>0</v>
      </c>
    </row>
    <row r="637" spans="1:35" x14ac:dyDescent="0.25">
      <c r="A637">
        <f>'RESUMEN TOTAL'!A720</f>
        <v>0</v>
      </c>
      <c r="B637">
        <f>'RESUMEN TOTAL'!B720</f>
        <v>0</v>
      </c>
      <c r="C637">
        <f>'RESUMEN TOTAL'!D720</f>
        <v>0</v>
      </c>
      <c r="D637" s="30">
        <f>'RESUMEN TOTAL'!E720</f>
        <v>0</v>
      </c>
      <c r="E637" s="30">
        <f>'RESUMEN TOTAL'!F720</f>
        <v>0</v>
      </c>
      <c r="F637" s="70">
        <f>'RESUMEN TOTAL'!M720</f>
        <v>0</v>
      </c>
      <c r="G637" s="70">
        <f>'RESUMEN TOTAL'!N720</f>
        <v>0</v>
      </c>
      <c r="H637" s="70">
        <f>'RESUMEN TOTAL'!O720</f>
        <v>0</v>
      </c>
      <c r="I637" s="70">
        <f>'RESUMEN TOTAL'!P720</f>
        <v>0</v>
      </c>
      <c r="J637" s="70">
        <f>'RESUMEN TOTAL'!Q720</f>
        <v>0</v>
      </c>
      <c r="K637" s="70">
        <f>'RESUMEN TOTAL'!R720</f>
        <v>0</v>
      </c>
      <c r="L637" s="70">
        <f>'RESUMEN TOTAL'!S720</f>
        <v>0</v>
      </c>
      <c r="M637" s="70">
        <f>'RESUMEN TOTAL'!T720</f>
        <v>0</v>
      </c>
      <c r="N637" s="70">
        <f>'RESUMEN TOTAL'!U720</f>
        <v>0</v>
      </c>
      <c r="O637" s="70">
        <f>'RESUMEN TOTAL'!V720</f>
        <v>0</v>
      </c>
      <c r="P637" s="70">
        <f>'RESUMEN TOTAL'!W720</f>
        <v>0</v>
      </c>
      <c r="Q637" s="70">
        <f>'RESUMEN TOTAL'!X720</f>
        <v>0</v>
      </c>
      <c r="R637" s="70">
        <f>'RESUMEN TOTAL'!Y720</f>
        <v>0</v>
      </c>
      <c r="S637" s="70">
        <f>'RESUMEN TOTAL'!Z720</f>
        <v>0</v>
      </c>
      <c r="T637" s="70">
        <f>'RESUMEN TOTAL'!AA720</f>
        <v>0</v>
      </c>
      <c r="U637" s="70">
        <f>'RESUMEN TOTAL'!AB720</f>
        <v>0</v>
      </c>
      <c r="V637" s="70">
        <f>'RESUMEN TOTAL'!AC720</f>
        <v>0</v>
      </c>
      <c r="W637" s="70">
        <f>'RESUMEN TOTAL'!AD720</f>
        <v>0</v>
      </c>
      <c r="X637" s="70">
        <f>'RESUMEN TOTAL'!AE720</f>
        <v>0</v>
      </c>
      <c r="Y637" s="70">
        <f>'RESUMEN TOTAL'!AF720</f>
        <v>0</v>
      </c>
      <c r="Z637" s="70">
        <f>'RESUMEN TOTAL'!AG720</f>
        <v>0</v>
      </c>
      <c r="AA637" s="70">
        <f>'RESUMEN TOTAL'!AH720</f>
        <v>0</v>
      </c>
      <c r="AB637" s="70">
        <f>'RESUMEN TOTAL'!AI720</f>
        <v>0</v>
      </c>
      <c r="AC637" s="70">
        <f>'RESUMEN TOTAL'!AJ720</f>
        <v>0</v>
      </c>
      <c r="AD637" s="70">
        <f>'RESUMEN TOTAL'!AK720</f>
        <v>0</v>
      </c>
      <c r="AE637" s="70">
        <f>'RESUMEN TOTAL'!AL720</f>
        <v>0</v>
      </c>
      <c r="AF637" s="70">
        <f>'RESUMEN TOTAL'!AM720</f>
        <v>0</v>
      </c>
      <c r="AG637" s="70">
        <f>'RESUMEN TOTAL'!AN720</f>
        <v>0</v>
      </c>
      <c r="AH637" s="70">
        <f>'RESUMEN TOTAL'!AO720</f>
        <v>0</v>
      </c>
      <c r="AI637" s="70">
        <f>'RESUMEN TOTAL'!AP720</f>
        <v>0</v>
      </c>
    </row>
    <row r="638" spans="1:35" x14ac:dyDescent="0.25">
      <c r="A638">
        <f>'RESUMEN TOTAL'!A721</f>
        <v>0</v>
      </c>
      <c r="B638">
        <f>'RESUMEN TOTAL'!B721</f>
        <v>0</v>
      </c>
      <c r="C638">
        <f>'RESUMEN TOTAL'!D721</f>
        <v>0</v>
      </c>
      <c r="D638" s="30">
        <f>'RESUMEN TOTAL'!E721</f>
        <v>0</v>
      </c>
      <c r="E638" s="30">
        <f>'RESUMEN TOTAL'!F721</f>
        <v>0</v>
      </c>
      <c r="F638" s="70">
        <f>'RESUMEN TOTAL'!M721</f>
        <v>0</v>
      </c>
      <c r="G638" s="70">
        <f>'RESUMEN TOTAL'!N721</f>
        <v>0</v>
      </c>
      <c r="H638" s="70">
        <f>'RESUMEN TOTAL'!O721</f>
        <v>0</v>
      </c>
      <c r="I638" s="70">
        <f>'RESUMEN TOTAL'!P721</f>
        <v>0</v>
      </c>
      <c r="J638" s="70">
        <f>'RESUMEN TOTAL'!Q721</f>
        <v>0</v>
      </c>
      <c r="K638" s="70">
        <f>'RESUMEN TOTAL'!R721</f>
        <v>0</v>
      </c>
      <c r="L638" s="70">
        <f>'RESUMEN TOTAL'!S721</f>
        <v>0</v>
      </c>
      <c r="M638" s="70">
        <f>'RESUMEN TOTAL'!T721</f>
        <v>0</v>
      </c>
      <c r="N638" s="70">
        <f>'RESUMEN TOTAL'!U721</f>
        <v>0</v>
      </c>
      <c r="O638" s="70">
        <f>'RESUMEN TOTAL'!V721</f>
        <v>0</v>
      </c>
      <c r="P638" s="70">
        <f>'RESUMEN TOTAL'!W721</f>
        <v>0</v>
      </c>
      <c r="Q638" s="70">
        <f>'RESUMEN TOTAL'!X721</f>
        <v>0</v>
      </c>
      <c r="R638" s="70">
        <f>'RESUMEN TOTAL'!Y721</f>
        <v>0</v>
      </c>
      <c r="S638" s="70">
        <f>'RESUMEN TOTAL'!Z721</f>
        <v>0</v>
      </c>
      <c r="T638" s="70">
        <f>'RESUMEN TOTAL'!AA721</f>
        <v>0</v>
      </c>
      <c r="U638" s="70">
        <f>'RESUMEN TOTAL'!AB721</f>
        <v>0</v>
      </c>
      <c r="V638" s="70">
        <f>'RESUMEN TOTAL'!AC721</f>
        <v>0</v>
      </c>
      <c r="W638" s="70">
        <f>'RESUMEN TOTAL'!AD721</f>
        <v>0</v>
      </c>
      <c r="X638" s="70">
        <f>'RESUMEN TOTAL'!AE721</f>
        <v>0</v>
      </c>
      <c r="Y638" s="70">
        <f>'RESUMEN TOTAL'!AF721</f>
        <v>0</v>
      </c>
      <c r="Z638" s="70">
        <f>'RESUMEN TOTAL'!AG721</f>
        <v>0</v>
      </c>
      <c r="AA638" s="70">
        <f>'RESUMEN TOTAL'!AH721</f>
        <v>0</v>
      </c>
      <c r="AB638" s="70">
        <f>'RESUMEN TOTAL'!AI721</f>
        <v>0</v>
      </c>
      <c r="AC638" s="70">
        <f>'RESUMEN TOTAL'!AJ721</f>
        <v>0</v>
      </c>
      <c r="AD638" s="70">
        <f>'RESUMEN TOTAL'!AK721</f>
        <v>0</v>
      </c>
      <c r="AE638" s="70">
        <f>'RESUMEN TOTAL'!AL721</f>
        <v>0</v>
      </c>
      <c r="AF638" s="70">
        <f>'RESUMEN TOTAL'!AM721</f>
        <v>0</v>
      </c>
      <c r="AG638" s="70">
        <f>'RESUMEN TOTAL'!AN721</f>
        <v>0</v>
      </c>
      <c r="AH638" s="70">
        <f>'RESUMEN TOTAL'!AO721</f>
        <v>0</v>
      </c>
      <c r="AI638" s="70">
        <f>'RESUMEN TOTAL'!AP721</f>
        <v>0</v>
      </c>
    </row>
    <row r="639" spans="1:35" x14ac:dyDescent="0.25">
      <c r="A639">
        <f>'RESUMEN TOTAL'!A722</f>
        <v>0</v>
      </c>
      <c r="B639">
        <f>'RESUMEN TOTAL'!B722</f>
        <v>0</v>
      </c>
      <c r="C639">
        <f>'RESUMEN TOTAL'!D722</f>
        <v>0</v>
      </c>
      <c r="D639" s="30">
        <f>'RESUMEN TOTAL'!E722</f>
        <v>0</v>
      </c>
      <c r="E639" s="30">
        <f>'RESUMEN TOTAL'!F722</f>
        <v>0</v>
      </c>
      <c r="F639" s="70">
        <f>'RESUMEN TOTAL'!M722</f>
        <v>0</v>
      </c>
      <c r="G639" s="70">
        <f>'RESUMEN TOTAL'!N722</f>
        <v>0</v>
      </c>
      <c r="H639" s="70">
        <f>'RESUMEN TOTAL'!O722</f>
        <v>0</v>
      </c>
      <c r="I639" s="70">
        <f>'RESUMEN TOTAL'!P722</f>
        <v>0</v>
      </c>
      <c r="J639" s="70">
        <f>'RESUMEN TOTAL'!Q722</f>
        <v>0</v>
      </c>
      <c r="K639" s="70">
        <f>'RESUMEN TOTAL'!R722</f>
        <v>0</v>
      </c>
      <c r="L639" s="70">
        <f>'RESUMEN TOTAL'!S722</f>
        <v>0</v>
      </c>
      <c r="M639" s="70">
        <f>'RESUMEN TOTAL'!T722</f>
        <v>0</v>
      </c>
      <c r="N639" s="70">
        <f>'RESUMEN TOTAL'!U722</f>
        <v>0</v>
      </c>
      <c r="O639" s="70">
        <f>'RESUMEN TOTAL'!V722</f>
        <v>0</v>
      </c>
      <c r="P639" s="70">
        <f>'RESUMEN TOTAL'!W722</f>
        <v>0</v>
      </c>
      <c r="Q639" s="70">
        <f>'RESUMEN TOTAL'!X722</f>
        <v>0</v>
      </c>
      <c r="R639" s="70">
        <f>'RESUMEN TOTAL'!Y722</f>
        <v>0</v>
      </c>
      <c r="S639" s="70">
        <f>'RESUMEN TOTAL'!Z722</f>
        <v>0</v>
      </c>
      <c r="T639" s="70">
        <f>'RESUMEN TOTAL'!AA722</f>
        <v>0</v>
      </c>
      <c r="U639" s="70">
        <f>'RESUMEN TOTAL'!AB722</f>
        <v>0</v>
      </c>
      <c r="V639" s="70">
        <f>'RESUMEN TOTAL'!AC722</f>
        <v>0</v>
      </c>
      <c r="W639" s="70">
        <f>'RESUMEN TOTAL'!AD722</f>
        <v>0</v>
      </c>
      <c r="X639" s="70">
        <f>'RESUMEN TOTAL'!AE722</f>
        <v>0</v>
      </c>
      <c r="Y639" s="70">
        <f>'RESUMEN TOTAL'!AF722</f>
        <v>0</v>
      </c>
      <c r="Z639" s="70">
        <f>'RESUMEN TOTAL'!AG722</f>
        <v>0</v>
      </c>
      <c r="AA639" s="70">
        <f>'RESUMEN TOTAL'!AH722</f>
        <v>0</v>
      </c>
      <c r="AB639" s="70">
        <f>'RESUMEN TOTAL'!AI722</f>
        <v>0</v>
      </c>
      <c r="AC639" s="70">
        <f>'RESUMEN TOTAL'!AJ722</f>
        <v>0</v>
      </c>
      <c r="AD639" s="70">
        <f>'RESUMEN TOTAL'!AK722</f>
        <v>0</v>
      </c>
      <c r="AE639" s="70">
        <f>'RESUMEN TOTAL'!AL722</f>
        <v>0</v>
      </c>
      <c r="AF639" s="70">
        <f>'RESUMEN TOTAL'!AM722</f>
        <v>0</v>
      </c>
      <c r="AG639" s="70">
        <f>'RESUMEN TOTAL'!AN722</f>
        <v>0</v>
      </c>
      <c r="AH639" s="70">
        <f>'RESUMEN TOTAL'!AO722</f>
        <v>0</v>
      </c>
      <c r="AI639" s="70">
        <f>'RESUMEN TOTAL'!AP722</f>
        <v>0</v>
      </c>
    </row>
    <row r="640" spans="1:35" x14ac:dyDescent="0.25">
      <c r="A640">
        <f>'RESUMEN TOTAL'!A723</f>
        <v>0</v>
      </c>
      <c r="B640">
        <f>'RESUMEN TOTAL'!B723</f>
        <v>0</v>
      </c>
      <c r="C640">
        <f>'RESUMEN TOTAL'!D723</f>
        <v>0</v>
      </c>
      <c r="D640" s="30">
        <f>'RESUMEN TOTAL'!E723</f>
        <v>0</v>
      </c>
      <c r="E640" s="30">
        <f>'RESUMEN TOTAL'!F723</f>
        <v>0</v>
      </c>
      <c r="F640" s="70">
        <f>'RESUMEN TOTAL'!M723</f>
        <v>0</v>
      </c>
      <c r="G640" s="70">
        <f>'RESUMEN TOTAL'!N723</f>
        <v>0</v>
      </c>
      <c r="H640" s="70">
        <f>'RESUMEN TOTAL'!O723</f>
        <v>0</v>
      </c>
      <c r="I640" s="70">
        <f>'RESUMEN TOTAL'!P723</f>
        <v>0</v>
      </c>
      <c r="J640" s="70">
        <f>'RESUMEN TOTAL'!Q723</f>
        <v>0</v>
      </c>
      <c r="K640" s="70">
        <f>'RESUMEN TOTAL'!R723</f>
        <v>0</v>
      </c>
      <c r="L640" s="70">
        <f>'RESUMEN TOTAL'!S723</f>
        <v>0</v>
      </c>
      <c r="M640" s="70">
        <f>'RESUMEN TOTAL'!T723</f>
        <v>0</v>
      </c>
      <c r="N640" s="70">
        <f>'RESUMEN TOTAL'!U723</f>
        <v>0</v>
      </c>
      <c r="O640" s="70">
        <f>'RESUMEN TOTAL'!V723</f>
        <v>0</v>
      </c>
      <c r="P640" s="70">
        <f>'RESUMEN TOTAL'!W723</f>
        <v>0</v>
      </c>
      <c r="Q640" s="70">
        <f>'RESUMEN TOTAL'!X723</f>
        <v>0</v>
      </c>
      <c r="R640" s="70">
        <f>'RESUMEN TOTAL'!Y723</f>
        <v>0</v>
      </c>
      <c r="S640" s="70">
        <f>'RESUMEN TOTAL'!Z723</f>
        <v>0</v>
      </c>
      <c r="T640" s="70">
        <f>'RESUMEN TOTAL'!AA723</f>
        <v>0</v>
      </c>
      <c r="U640" s="70">
        <f>'RESUMEN TOTAL'!AB723</f>
        <v>0</v>
      </c>
      <c r="V640" s="70">
        <f>'RESUMEN TOTAL'!AC723</f>
        <v>0</v>
      </c>
      <c r="W640" s="70">
        <f>'RESUMEN TOTAL'!AD723</f>
        <v>0</v>
      </c>
      <c r="X640" s="70">
        <f>'RESUMEN TOTAL'!AE723</f>
        <v>0</v>
      </c>
      <c r="Y640" s="70">
        <f>'RESUMEN TOTAL'!AF723</f>
        <v>0</v>
      </c>
      <c r="Z640" s="70">
        <f>'RESUMEN TOTAL'!AG723</f>
        <v>0</v>
      </c>
      <c r="AA640" s="70">
        <f>'RESUMEN TOTAL'!AH723</f>
        <v>0</v>
      </c>
      <c r="AB640" s="70">
        <f>'RESUMEN TOTAL'!AI723</f>
        <v>0</v>
      </c>
      <c r="AC640" s="70">
        <f>'RESUMEN TOTAL'!AJ723</f>
        <v>0</v>
      </c>
      <c r="AD640" s="70">
        <f>'RESUMEN TOTAL'!AK723</f>
        <v>0</v>
      </c>
      <c r="AE640" s="70">
        <f>'RESUMEN TOTAL'!AL723</f>
        <v>0</v>
      </c>
      <c r="AF640" s="70">
        <f>'RESUMEN TOTAL'!AM723</f>
        <v>0</v>
      </c>
      <c r="AG640" s="70">
        <f>'RESUMEN TOTAL'!AN723</f>
        <v>0</v>
      </c>
      <c r="AH640" s="70">
        <f>'RESUMEN TOTAL'!AO723</f>
        <v>0</v>
      </c>
      <c r="AI640" s="70">
        <f>'RESUMEN TOTAL'!AP723</f>
        <v>0</v>
      </c>
    </row>
    <row r="641" spans="1:35" x14ac:dyDescent="0.25">
      <c r="A641">
        <f>'RESUMEN TOTAL'!A724</f>
        <v>0</v>
      </c>
      <c r="B641">
        <f>'RESUMEN TOTAL'!B724</f>
        <v>0</v>
      </c>
      <c r="C641">
        <f>'RESUMEN TOTAL'!D724</f>
        <v>0</v>
      </c>
      <c r="D641" s="30">
        <f>'RESUMEN TOTAL'!E724</f>
        <v>0</v>
      </c>
      <c r="E641" s="30">
        <f>'RESUMEN TOTAL'!F724</f>
        <v>0</v>
      </c>
      <c r="F641" s="70">
        <f>'RESUMEN TOTAL'!M724</f>
        <v>0</v>
      </c>
      <c r="G641" s="70">
        <f>'RESUMEN TOTAL'!N724</f>
        <v>0</v>
      </c>
      <c r="H641" s="70">
        <f>'RESUMEN TOTAL'!O724</f>
        <v>0</v>
      </c>
      <c r="I641" s="70">
        <f>'RESUMEN TOTAL'!P724</f>
        <v>0</v>
      </c>
      <c r="J641" s="70">
        <f>'RESUMEN TOTAL'!Q724</f>
        <v>0</v>
      </c>
      <c r="K641" s="70">
        <f>'RESUMEN TOTAL'!R724</f>
        <v>0</v>
      </c>
      <c r="L641" s="70">
        <f>'RESUMEN TOTAL'!S724</f>
        <v>0</v>
      </c>
      <c r="M641" s="70">
        <f>'RESUMEN TOTAL'!T724</f>
        <v>0</v>
      </c>
      <c r="N641" s="70">
        <f>'RESUMEN TOTAL'!U724</f>
        <v>0</v>
      </c>
      <c r="O641" s="70">
        <f>'RESUMEN TOTAL'!V724</f>
        <v>0</v>
      </c>
      <c r="P641" s="70">
        <f>'RESUMEN TOTAL'!W724</f>
        <v>0</v>
      </c>
      <c r="Q641" s="70">
        <f>'RESUMEN TOTAL'!X724</f>
        <v>0</v>
      </c>
      <c r="R641" s="70">
        <f>'RESUMEN TOTAL'!Y724</f>
        <v>0</v>
      </c>
      <c r="S641" s="70">
        <f>'RESUMEN TOTAL'!Z724</f>
        <v>0</v>
      </c>
      <c r="T641" s="70">
        <f>'RESUMEN TOTAL'!AA724</f>
        <v>0</v>
      </c>
      <c r="U641" s="70">
        <f>'RESUMEN TOTAL'!AB724</f>
        <v>0</v>
      </c>
      <c r="V641" s="70">
        <f>'RESUMEN TOTAL'!AC724</f>
        <v>0</v>
      </c>
      <c r="W641" s="70">
        <f>'RESUMEN TOTAL'!AD724</f>
        <v>0</v>
      </c>
      <c r="X641" s="70">
        <f>'RESUMEN TOTAL'!AE724</f>
        <v>0</v>
      </c>
      <c r="Y641" s="70">
        <f>'RESUMEN TOTAL'!AF724</f>
        <v>0</v>
      </c>
      <c r="Z641" s="70">
        <f>'RESUMEN TOTAL'!AG724</f>
        <v>0</v>
      </c>
      <c r="AA641" s="70">
        <f>'RESUMEN TOTAL'!AH724</f>
        <v>0</v>
      </c>
      <c r="AB641" s="70">
        <f>'RESUMEN TOTAL'!AI724</f>
        <v>0</v>
      </c>
      <c r="AC641" s="70">
        <f>'RESUMEN TOTAL'!AJ724</f>
        <v>0</v>
      </c>
      <c r="AD641" s="70">
        <f>'RESUMEN TOTAL'!AK724</f>
        <v>0</v>
      </c>
      <c r="AE641" s="70">
        <f>'RESUMEN TOTAL'!AL724</f>
        <v>0</v>
      </c>
      <c r="AF641" s="70">
        <f>'RESUMEN TOTAL'!AM724</f>
        <v>0</v>
      </c>
      <c r="AG641" s="70">
        <f>'RESUMEN TOTAL'!AN724</f>
        <v>0</v>
      </c>
      <c r="AH641" s="70">
        <f>'RESUMEN TOTAL'!AO724</f>
        <v>0</v>
      </c>
      <c r="AI641" s="70">
        <f>'RESUMEN TOTAL'!AP724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TOTAL'!M725</f>
        <v>0</v>
      </c>
      <c r="G642" s="70">
        <f>'RESUMEN TOTAL'!N725</f>
        <v>0</v>
      </c>
      <c r="H642" s="70">
        <f>'RESUMEN TOTAL'!O725</f>
        <v>0</v>
      </c>
      <c r="I642" s="70">
        <f>'RESUMEN TOTAL'!P725</f>
        <v>0</v>
      </c>
      <c r="J642" s="70">
        <f>'RESUMEN TOTAL'!Q725</f>
        <v>0</v>
      </c>
      <c r="K642" s="70">
        <f>'RESUMEN TOTAL'!R725</f>
        <v>0</v>
      </c>
      <c r="L642" s="70">
        <f>'RESUMEN TOTAL'!S725</f>
        <v>0</v>
      </c>
      <c r="M642" s="70">
        <f>'RESUMEN TOTAL'!T725</f>
        <v>0</v>
      </c>
      <c r="N642" s="70">
        <f>'RESUMEN TOTAL'!U725</f>
        <v>0</v>
      </c>
      <c r="O642" s="70">
        <f>'RESUMEN TOTAL'!V725</f>
        <v>0</v>
      </c>
      <c r="P642" s="70">
        <f>'RESUMEN TOTAL'!W725</f>
        <v>0</v>
      </c>
      <c r="Q642" s="70">
        <f>'RESUMEN TOTAL'!X725</f>
        <v>0</v>
      </c>
      <c r="R642" s="70">
        <f>'RESUMEN TOTAL'!Y725</f>
        <v>0</v>
      </c>
      <c r="S642" s="70">
        <f>'RESUMEN TOTAL'!Z725</f>
        <v>0</v>
      </c>
      <c r="T642" s="70">
        <f>'RESUMEN TOTAL'!AA725</f>
        <v>0</v>
      </c>
      <c r="U642" s="70">
        <f>'RESUMEN TOTAL'!AB725</f>
        <v>0</v>
      </c>
      <c r="V642" s="70">
        <f>'RESUMEN TOTAL'!AC725</f>
        <v>0</v>
      </c>
      <c r="W642" s="70">
        <f>'RESUMEN TOTAL'!AD725</f>
        <v>0</v>
      </c>
      <c r="X642" s="70">
        <f>'RESUMEN TOTAL'!AE725</f>
        <v>0</v>
      </c>
      <c r="Y642" s="70">
        <f>'RESUMEN TOTAL'!AF725</f>
        <v>0</v>
      </c>
      <c r="Z642" s="70">
        <f>'RESUMEN TOTAL'!AG725</f>
        <v>0</v>
      </c>
      <c r="AA642" s="70">
        <f>'RESUMEN TOTAL'!AH725</f>
        <v>0</v>
      </c>
      <c r="AB642" s="70">
        <f>'RESUMEN TOTAL'!AI725</f>
        <v>0</v>
      </c>
      <c r="AC642" s="70">
        <f>'RESUMEN TOTAL'!AJ725</f>
        <v>0</v>
      </c>
      <c r="AD642" s="70">
        <f>'RESUMEN TOTAL'!AK725</f>
        <v>0</v>
      </c>
      <c r="AE642" s="70">
        <f>'RESUMEN TOTAL'!AL725</f>
        <v>0</v>
      </c>
      <c r="AF642" s="70">
        <f>'RESUMEN TOTAL'!AM725</f>
        <v>0</v>
      </c>
      <c r="AG642" s="70">
        <f>'RESUMEN TOTAL'!AN725</f>
        <v>0</v>
      </c>
      <c r="AH642" s="70">
        <f>'RESUMEN TOTAL'!AO725</f>
        <v>0</v>
      </c>
      <c r="AI642" s="70">
        <f>'RESUMEN TOTAL'!AP725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TOTAL'!M726</f>
        <v>0</v>
      </c>
      <c r="G643" s="70">
        <f>'RESUMEN TOTAL'!N726</f>
        <v>0</v>
      </c>
      <c r="H643" s="70">
        <f>'RESUMEN TOTAL'!O726</f>
        <v>0</v>
      </c>
      <c r="I643" s="70">
        <f>'RESUMEN TOTAL'!P726</f>
        <v>0</v>
      </c>
      <c r="J643" s="70">
        <f>'RESUMEN TOTAL'!Q726</f>
        <v>0</v>
      </c>
      <c r="K643" s="70">
        <f>'RESUMEN TOTAL'!R726</f>
        <v>0</v>
      </c>
      <c r="L643" s="70">
        <f>'RESUMEN TOTAL'!S726</f>
        <v>0</v>
      </c>
      <c r="M643" s="70">
        <f>'RESUMEN TOTAL'!T726</f>
        <v>0</v>
      </c>
      <c r="N643" s="70">
        <f>'RESUMEN TOTAL'!U726</f>
        <v>0</v>
      </c>
      <c r="O643" s="70">
        <f>'RESUMEN TOTAL'!V726</f>
        <v>0</v>
      </c>
      <c r="P643" s="70">
        <f>'RESUMEN TOTAL'!W726</f>
        <v>0</v>
      </c>
      <c r="Q643" s="70">
        <f>'RESUMEN TOTAL'!X726</f>
        <v>0</v>
      </c>
      <c r="R643" s="70">
        <f>'RESUMEN TOTAL'!Y726</f>
        <v>0</v>
      </c>
      <c r="S643" s="70">
        <f>'RESUMEN TOTAL'!Z726</f>
        <v>0</v>
      </c>
      <c r="T643" s="70">
        <f>'RESUMEN TOTAL'!AA726</f>
        <v>0</v>
      </c>
      <c r="U643" s="70">
        <f>'RESUMEN TOTAL'!AB726</f>
        <v>0</v>
      </c>
      <c r="V643" s="70">
        <f>'RESUMEN TOTAL'!AC726</f>
        <v>0</v>
      </c>
      <c r="W643" s="70">
        <f>'RESUMEN TOTAL'!AD726</f>
        <v>0</v>
      </c>
      <c r="X643" s="70">
        <f>'RESUMEN TOTAL'!AE726</f>
        <v>0</v>
      </c>
      <c r="Y643" s="70">
        <f>'RESUMEN TOTAL'!AF726</f>
        <v>0</v>
      </c>
      <c r="Z643" s="70">
        <f>'RESUMEN TOTAL'!AG726</f>
        <v>0</v>
      </c>
      <c r="AA643" s="70">
        <f>'RESUMEN TOTAL'!AH726</f>
        <v>0</v>
      </c>
      <c r="AB643" s="70">
        <f>'RESUMEN TOTAL'!AI726</f>
        <v>0</v>
      </c>
      <c r="AC643" s="70">
        <f>'RESUMEN TOTAL'!AJ726</f>
        <v>0</v>
      </c>
      <c r="AD643" s="70">
        <f>'RESUMEN TOTAL'!AK726</f>
        <v>0</v>
      </c>
      <c r="AE643" s="70">
        <f>'RESUMEN TOTAL'!AL726</f>
        <v>0</v>
      </c>
      <c r="AF643" s="70">
        <f>'RESUMEN TOTAL'!AM726</f>
        <v>0</v>
      </c>
      <c r="AG643" s="70">
        <f>'RESUMEN TOTAL'!AN726</f>
        <v>0</v>
      </c>
      <c r="AH643" s="70">
        <f>'RESUMEN TOTAL'!AO726</f>
        <v>0</v>
      </c>
      <c r="AI643" s="70">
        <f>'RESUMEN TOTAL'!AP726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0" zoomScale="90" zoomScaleNormal="9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1074</v>
      </c>
      <c r="C1" s="36">
        <v>45931</v>
      </c>
    </row>
    <row r="2" spans="1:36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v>16</v>
      </c>
      <c r="G3" s="46">
        <f>COUNTIFS('RESUMEN TOTAL'!N8:N657,"=APAGADO",'RESUMEN TOTAL'!C8:C657,"=BONOMO")</f>
        <v>20</v>
      </c>
      <c r="H3" s="46">
        <f>COUNTIFS('RESUMEN TOTAL'!O8:O657,"=APAGADO",'RESUMEN TOTAL'!C8:C657,"=BONOMO")</f>
        <v>17</v>
      </c>
      <c r="I3" s="46">
        <f>COUNTIFS('RESUMEN TOTAL'!P8:P657,"=APAGADO",'RESUMEN TOTAL'!C8:C657,"=BONOMO")</f>
        <v>0</v>
      </c>
      <c r="J3" s="46">
        <f>COUNTIFS('RESUMEN TOTAL'!Q8:Q657,"=APAGADO",'RESUMEN TOTAL'!C8:C657,"=BONOMO")</f>
        <v>0</v>
      </c>
      <c r="K3" s="46">
        <f>COUNTIFS('RESUMEN TOTAL'!R8:R657,"=APAGADO",'RESUMEN TOTAL'!C8:C657,"=BONOMO")</f>
        <v>0</v>
      </c>
      <c r="L3" s="46">
        <f>COUNTIFS('RESUMEN TOTAL'!S8:S657,"=APAGADO",'RESUMEN TOTAL'!C8:C657,"=BONOMO")</f>
        <v>0</v>
      </c>
      <c r="M3" s="46">
        <f>COUNTIFS('RESUMEN TOTAL'!T8:T657,"=APAGADO",'RESUMEN TOTAL'!C8:C657,"=BONOMO")</f>
        <v>0</v>
      </c>
      <c r="N3" s="46">
        <f>COUNTIFS('RESUMEN TOTAL'!U8:U657,"=APAGADO",'RESUMEN TOTAL'!C8:C657,"=BONOMO")</f>
        <v>0</v>
      </c>
      <c r="O3" s="46">
        <f>COUNTIFS('RESUMEN TOTAL'!V8:V657,"=APAGADO",'RESUMEN TOTAL'!C8:C657,"=BONOMO")</f>
        <v>0</v>
      </c>
      <c r="P3" s="46">
        <f>COUNTIFS('RESUMEN TOTAL'!W8:W657,"=APAGADO",'RESUMEN TOTAL'!C8:C657,"=BONOMO")</f>
        <v>0</v>
      </c>
      <c r="Q3" s="46">
        <f>COUNTIFS('RESUMEN TOTAL'!X8:X657,"=APAGADO",'RESUMEN TOTAL'!C8:C657,"=BONOMO")</f>
        <v>0</v>
      </c>
      <c r="R3" s="46">
        <f>COUNTIFS('RESUMEN TOTAL'!Y8:Y657,"=APAGADO",'RESUMEN TOTAL'!C8:C657,"=BONOMO")</f>
        <v>0</v>
      </c>
      <c r="S3" s="46">
        <f>COUNTIFS('RESUMEN TOTAL'!Z8:Z657,"=APAGADO",'RESUMEN TOTAL'!C8:C657,"=BONOMO")</f>
        <v>0</v>
      </c>
      <c r="T3" s="46">
        <f>COUNTIFS('RESUMEN TOTAL'!AA8:AA657,"=APAGADO",'RESUMEN TOTAL'!C8:C657,"=BONOMO")</f>
        <v>0</v>
      </c>
      <c r="U3" s="46">
        <f>COUNTIFS('RESUMEN TOTAL'!AB8:AB657,"=APAGADO",'RESUMEN TOTAL'!C8:C657,"=BONOMO")</f>
        <v>0</v>
      </c>
      <c r="V3" s="46">
        <f>COUNTIFS('RESUMEN TOTAL'!AC8:AC657,"=APAGADO",'RESUMEN TOTAL'!C8:C657,"=BONOMO")</f>
        <v>0</v>
      </c>
      <c r="W3" s="46">
        <f>COUNTIFS('RESUMEN TOTAL'!AD8:AD657,"=APAGADO",'RESUMEN TOTAL'!C8:C657,"=BONOMO")</f>
        <v>0</v>
      </c>
      <c r="X3" s="46">
        <f>COUNTIFS('RESUMEN TOTAL'!AE8:AE657,"=APAGADO",'RESUMEN TOTAL'!C8:C657,"=BONOMO")</f>
        <v>0</v>
      </c>
      <c r="Y3" s="46">
        <f>COUNTIFS('RESUMEN TOTAL'!AF8:AF657,"=APAGADO",'RESUMEN TOTAL'!C8:C657,"=BONOMO")</f>
        <v>0</v>
      </c>
      <c r="Z3" s="46">
        <f>COUNTIFS('RESUMEN TOTAL'!AG8:AG657,"=APAGADO",'RESUMEN TOTAL'!C8:C657,"=BONOMO")</f>
        <v>0</v>
      </c>
      <c r="AA3" s="46">
        <f>COUNTIFS('RESUMEN TOTAL'!AH8:AH657,"=APAGADO",'RESUMEN TOTAL'!C8:C657,"=BONOMO")</f>
        <v>0</v>
      </c>
      <c r="AB3" s="46">
        <f>COUNTIFS('RESUMEN TOTAL'!AI8:AI657,"=APAGADO",'RESUMEN TOTAL'!C8:C657,"=BONOMO")</f>
        <v>0</v>
      </c>
      <c r="AC3" s="46">
        <f>COUNTIFS('RESUMEN TOTAL'!AJ8:AJ657,"=APAGADO",'RESUMEN TOTAL'!C8:C657,"=BONOMO")</f>
        <v>0</v>
      </c>
      <c r="AD3" s="46">
        <f>COUNTIFS('RESUMEN TOTAL'!AK8:AK657,"=APAGADO",'RESUMEN TOTAL'!C8:C657,"=BONOMO")</f>
        <v>0</v>
      </c>
      <c r="AE3" s="46"/>
      <c r="AF3" s="46">
        <f>COUNTIFS('RESUMEN TOTAL'!AM8:AM657,"=APAGADO",'RESUMEN TOTAL'!C8:C657,"=BONOMO")</f>
        <v>0</v>
      </c>
      <c r="AG3" s="46">
        <f>COUNTIFS('RESUMEN TOTAL'!AN8:AN657,"=APAGADO",'RESUMEN TOTAL'!C8:C657,"=BONOMO")</f>
        <v>0</v>
      </c>
      <c r="AH3" s="46">
        <f>COUNTIFS('RESUMEN TOTAL'!AO8:AO657,"=APAGADO",'RESUMEN TOTAL'!C8:C657,"=BONOMO")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5.5172413793103448E-2</v>
      </c>
      <c r="G4" s="50">
        <f t="shared" si="0"/>
        <v>6.8965517241379309E-2</v>
      </c>
      <c r="H4" s="50">
        <f t="shared" si="0"/>
        <v>5.8620689655172413E-2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TOTAL'!M8:M659,"=APAGADO",'RESUMEN TOTAL'!C8:C659,"=COSEIDI")</f>
        <v>31</v>
      </c>
      <c r="G5" s="46">
        <f>COUNTIFS('RESUMEN TOTAL'!N8:N657,"=APAGADO",'RESUMEN TOTAL'!C8:C657,"=COSEIDI")</f>
        <v>30</v>
      </c>
      <c r="H5" s="46">
        <f>COUNTIFS('RESUMEN TOTAL'!O10:O659,"=APAGADO",'RESUMEN TOTAL'!C10:C659,"=COSEIDI")</f>
        <v>29</v>
      </c>
      <c r="I5" s="46">
        <f>COUNTIFS('RESUMEN TOTAL'!P10:P659,"=APAGADO",'RESUMEN TOTAL'!C10:C659,"=COSEIDI")</f>
        <v>0</v>
      </c>
      <c r="J5" s="46">
        <f>COUNTIFS('RESUMEN TOTAL'!Q10:Q659,"=APAGADO",'RESUMEN TOTAL'!C10:C659,"=COSEIDI")</f>
        <v>0</v>
      </c>
      <c r="K5" s="46">
        <f>COUNTIFS('RESUMEN TOTAL'!R10:R659,"=APAGADO",'RESUMEN TOTAL'!C10:C659,"=COSEIDI")</f>
        <v>0</v>
      </c>
      <c r="L5" s="46">
        <f>COUNTIFS('RESUMEN TOTAL'!S10:S659,"=APAGADO",'RESUMEN TOTAL'!C10:C659,"=COSEIDI")</f>
        <v>0</v>
      </c>
      <c r="M5" s="46">
        <f>COUNTIFS('RESUMEN TOTAL'!T10:T659,"=APAGADO",'RESUMEN TOTAL'!C10:C659,"=COSEIDI")</f>
        <v>0</v>
      </c>
      <c r="N5" s="46">
        <f>COUNTIFS('RESUMEN TOTAL'!U10:U659,"=APAGADO",'RESUMEN TOTAL'!C10:C659,"=COSEIDI")</f>
        <v>0</v>
      </c>
      <c r="O5" s="46">
        <f>COUNTIFS('RESUMEN TOTAL'!V10:V659,"=APAGADO",'RESUMEN TOTAL'!C10:C659,"=COSEIDI")</f>
        <v>0</v>
      </c>
      <c r="P5" s="46">
        <f>COUNTIFS('RESUMEN TOTAL'!W10:W659,"=APAGADO",'RESUMEN TOTAL'!C10:C659,"=COSEIDI")</f>
        <v>0</v>
      </c>
      <c r="Q5" s="46">
        <f>COUNTIFS('RESUMEN TOTAL'!X10:X659,"=APAGADO",'RESUMEN TOTAL'!C10:C659,"=COSEIDI")</f>
        <v>0</v>
      </c>
      <c r="R5" s="46">
        <f>COUNTIFS('RESUMEN TOTAL'!Y10:Y659,"=APAGADO",'RESUMEN TOTAL'!C10:C659,"=COSEIDI")</f>
        <v>0</v>
      </c>
      <c r="S5" s="46">
        <f>COUNTIFS('RESUMEN TOTAL'!Z10:Z659,"=APAGADO",'RESUMEN TOTAL'!C10:C659,"=COSEIDI")</f>
        <v>0</v>
      </c>
      <c r="T5" s="46">
        <f>COUNTIFS('RESUMEN TOTAL'!AA10:AA659,"=APAGADO",'RESUMEN TOTAL'!C10:C659,"=COSEIDI")</f>
        <v>0</v>
      </c>
      <c r="U5" s="46">
        <v>0</v>
      </c>
      <c r="V5" s="46">
        <f>COUNTIFS('RESUMEN TOTAL'!AC10:AC659,"=APAGADO",'RESUMEN TOTAL'!C10:C659,"=COSEIDI")</f>
        <v>0</v>
      </c>
      <c r="W5" s="46">
        <f>COUNTIFS('RESUMEN TOTAL'!AD10:AD659,"=APAGADO",'RESUMEN TOTAL'!C10:C659,"=COSEIDI")</f>
        <v>0</v>
      </c>
      <c r="X5" s="46">
        <f>COUNTIFS('RESUMEN TOTAL'!AE10:AE659,"=APAGADO",'RESUMEN TOTAL'!C10:C659,"=COSEIDI")</f>
        <v>0</v>
      </c>
      <c r="Y5" s="46">
        <f>COUNTIFS('RESUMEN TOTAL'!AF10:AF659,"=APAGADO",'RESUMEN TOTAL'!C10:C659,"=COSEIDI")</f>
        <v>0</v>
      </c>
      <c r="Z5" s="46">
        <f>COUNTIFS('RESUMEN TOTAL'!AG10:AG659,"=APAGADO",'RESUMEN TOTAL'!C10:C659,"=COSEIDI")</f>
        <v>0</v>
      </c>
      <c r="AA5" s="46">
        <f>COUNTIFS('RESUMEN TOTAL'!AH10:AH659,"=APAGADO",'RESUMEN TOTAL'!C10:C659,"=COSEIDI")</f>
        <v>0</v>
      </c>
      <c r="AB5" s="46">
        <f>COUNTIFS('RESUMEN TOTAL'!AI10:AI659,"=APAGADO",'RESUMEN TOTAL'!C10:C659,"=COSEIDI")</f>
        <v>0</v>
      </c>
      <c r="AC5" s="46">
        <f>COUNTIFS('RESUMEN TOTAL'!AJ10:AJ659,"=APAGADO",'RESUMEN TOTAL'!C10:C659,"=COSEIDI")</f>
        <v>0</v>
      </c>
      <c r="AD5" s="46">
        <f>COUNTIFS('RESUMEN TOTAL'!AK10:AK659,"=APAGADO",'RESUMEN TOTAL'!C10:C659,"=COSEIDI")</f>
        <v>0</v>
      </c>
      <c r="AE5" s="46">
        <f>COUNTIFS('RESUMEN TOTAL'!AL10:AL659,"=APAGADO",'RESUMEN TOTAL'!C10:C659,"=COSEIDI")</f>
        <v>0</v>
      </c>
      <c r="AF5" s="46">
        <f>COUNTIFS('RESUMEN TOTAL'!AM10:AM659,"=APAGADO",'RESUMEN TOTAL'!C10:C659,"=COSEIDI")</f>
        <v>0</v>
      </c>
      <c r="AG5" s="46">
        <f>COUNTIFS('RESUMEN TOTAL'!AN10:AN659,"=APAGADO",'RESUMEN TOTAL'!C10:C659,"=COSEIDI")</f>
        <v>0</v>
      </c>
      <c r="AH5" s="46">
        <f>COUNTIFS('RESUMEN TOTAL'!AO10:AO659,"=APAGADO",'RESUMEN TOTAL'!C10:C659,"=COSEIDI")</f>
        <v>0</v>
      </c>
      <c r="AI5" s="46">
        <f>COUNTIFS('RESUMEN TOTAL'!AP10:AP659,"=APAGADO",'RESUMEN TOTAL'!C10:C659,"=COSEIDI")</f>
        <v>0</v>
      </c>
      <c r="AJ5" s="46">
        <f>COUNTIFS('RESUMEN TOTAL'!AQ10:AQ659,"=APAGADO",'RESUMEN TOTAL'!D10:D659,"=COSEIDI")</f>
        <v>0</v>
      </c>
    </row>
    <row r="6" spans="1:36" ht="16.5" thickTop="1" thickBot="1" x14ac:dyDescent="0.3">
      <c r="D6" s="39"/>
      <c r="E6" s="37" t="s">
        <v>1078</v>
      </c>
      <c r="F6" s="50">
        <v>0.11</v>
      </c>
      <c r="G6" s="50">
        <f>G5/COSEIDIcam</f>
        <v>0.11952191235059761</v>
      </c>
      <c r="H6" s="50">
        <f t="shared" ref="H6:AH6" si="1">H5/COSEIDIcam</f>
        <v>0.11553784860557768</v>
      </c>
      <c r="I6" s="50">
        <v>0.1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2025-10-02T12:07:41Z</cp:lastPrinted>
  <dcterms:created xsi:type="dcterms:W3CDTF">2022-01-21T13:32:57Z</dcterms:created>
  <dcterms:modified xsi:type="dcterms:W3CDTF">2025-10-06T10:05:09Z</dcterms:modified>
</cp:coreProperties>
</file>