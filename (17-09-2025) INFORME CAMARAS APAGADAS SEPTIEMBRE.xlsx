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40E0ABAF-D533-4342-B814-59798C274626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<sst xmlns="http://schemas.openxmlformats.org/spreadsheetml/2006/main" count="5339" uniqueCount="1669">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</sst>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8.4337349397590355E-2</c:v>
                      </c:pt>
                      <c:pt idx="15">
                        <c:v>0.10441767068273092</c:v>
                      </c:pt>
                      <c:pt idx="16">
                        <c:v>0.11646586345381527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8.4337349397590355E-2</c:v>
                </c:pt>
                <c:pt idx="15">
                  <c:v>0.10441767068273092</c:v>
                </c:pt>
                <c:pt idx="16">
                  <c:v>0.11646586345381527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8.4337349397590355E-2</c:v>
                      </c:pt>
                      <c:pt idx="15">
                        <c:v>0.10441767068273092</c:v>
                      </c:pt>
                      <c:pt idx="16">
                        <c:v>0.11646586345381527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8.4337349397590355E-2</c:v>
                </c:pt>
                <c:pt idx="15">
                  <c:v>0.10441767068273092</c:v>
                </c:pt>
                <c:pt idx="16">
                  <c:v>0.11646586345381527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zoomScale="60" zoomScaleNormal="60" workbookViewId="0">
      <pane xSplit="11" ySplit="7" topLeftCell="AB294" activePane="bottomRight" state="frozen"/>
      <selection pane="topRight" activeCell="M1" sqref="M1"/>
      <selection pane="bottomLeft" activeCell="A5" sqref="A5"/>
      <selection pane="bottomRight" activeCell="E357" sqref="E357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0.11348684210526316</v>
      </c>
      <c r="X1" s="3">
        <f t="shared" si="0"/>
        <v>8.6440677966101692E-2</v>
      </c>
      <c r="Y1" s="3"/>
      <c r="Z1" s="3">
        <f t="shared" ref="Z1:AO1" si="1">(Z3)/(Z2+Z3)</f>
        <v>9.1062394603709948E-2</v>
      </c>
      <c r="AA1" s="3">
        <f t="shared" si="1"/>
        <v>9.1062394603709948E-2</v>
      </c>
      <c r="AB1" s="3">
        <f t="shared" si="1"/>
        <v>9.2592592592592587E-2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5"/>
      <c r="L3" s="126">
        <f t="shared" ref="L3:AO3" si="3">COUNTIF(L7:L700, "apagado")</f>
        <v>69</v>
      </c>
      <c r="M3" s="126">
        <f t="shared" si="3"/>
        <v>70</v>
      </c>
      <c r="N3" s="126">
        <f t="shared" si="3"/>
        <v>68</v>
      </c>
      <c r="O3" s="126">
        <f t="shared" si="3"/>
        <v>63</v>
      </c>
      <c r="P3" s="126">
        <f t="shared" si="3"/>
        <v>53</v>
      </c>
      <c r="Q3" s="126">
        <f t="shared" si="3"/>
        <v>80</v>
      </c>
      <c r="R3" s="126">
        <f t="shared" si="3"/>
        <v>71</v>
      </c>
      <c r="S3" s="126">
        <f t="shared" si="3"/>
        <v>62</v>
      </c>
      <c r="T3" s="126">
        <f t="shared" si="3"/>
        <v>54</v>
      </c>
      <c r="U3" s="126">
        <f t="shared" si="3"/>
        <v>60</v>
      </c>
      <c r="V3" s="126">
        <f t="shared" si="3"/>
        <v>74</v>
      </c>
      <c r="W3" s="126">
        <f t="shared" si="3"/>
        <v>69</v>
      </c>
      <c r="X3" s="126">
        <f t="shared" si="3"/>
        <v>51</v>
      </c>
      <c r="Y3" s="126">
        <f t="shared" si="3"/>
        <v>45</v>
      </c>
      <c r="Z3" s="126">
        <f t="shared" si="3"/>
        <v>54</v>
      </c>
      <c r="AA3" s="126">
        <f t="shared" si="3"/>
        <v>54</v>
      </c>
      <c r="AB3" s="126">
        <f t="shared" si="3"/>
        <v>55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</row>
    <row r="4" spans="1:41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42</v>
      </c>
      <c r="X4" s="10">
        <f>COUNTIFS(X8:X654, "=APAGADO",F8:F654,"=Fibra Optica")</f>
        <v>24</v>
      </c>
      <c r="Y4" s="10">
        <f>COUNTIFS(Y8:Y654, "=APAGADO",F8:F654,"=Fibra Optica")</f>
        <v>22</v>
      </c>
      <c r="Z4" s="10">
        <f>COUNTIFS(Z8:Z654, "=APAGADO",F8:F654,"=Fibra Optica")</f>
        <v>28</v>
      </c>
      <c r="AA4" s="10">
        <f>COUNTIFS(AA8:AA654, "=APAGADO",F8:F654,"=Fibra Optica")</f>
        <v>24</v>
      </c>
      <c r="AB4" s="10">
        <f>COUNTIFS(AB8:AB654, "=APAGADO",F8:F654,"=Fibra Optica")</f>
        <v>25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9"/>
      <c r="L5" s="130">
        <f>COUNTIFS(L8:L654, "=APAGADO",F8:F654,"=RADIO")</f>
        <v>11</v>
      </c>
      <c r="M5" s="130">
        <f>COUNTIFS(M8:M654, "=APAGADO",F8:F654,"=RADIO")</f>
        <v>12</v>
      </c>
      <c r="N5" s="130">
        <f>COUNTIFS(N8:N654, "=APAGADO",F8:F654,"=RADIO")</f>
        <v>11</v>
      </c>
      <c r="O5" s="130">
        <f>COUNTIFS(O8:O654, "=APAGADO",F8:F654,"=RADIO")</f>
        <v>12</v>
      </c>
      <c r="P5" s="130">
        <f>COUNTIFS(P8:P654, "=APAGADO",F8:F654,"=RADIO")</f>
        <v>11</v>
      </c>
      <c r="Q5" s="130">
        <f>COUNTIFS(Q8:Q654, "=APAGADO",F8:F654,"=RADIO")</f>
        <v>11</v>
      </c>
      <c r="R5" s="130">
        <f>COUNTIFS(R8:R654, "=APAGADO",F8:F654,"=RADIO")</f>
        <v>14</v>
      </c>
      <c r="S5" s="130">
        <f>COUNTIFS(S8:S654, "=APAGADO",F8:F654,"=RADIO")</f>
        <v>14</v>
      </c>
      <c r="T5" s="130">
        <f>COUNTIFS(T8:T654, "=APAGADO",F8:F654,"=RADIO")</f>
        <v>10</v>
      </c>
      <c r="U5" s="130">
        <f>COUNTIFS(U8:U654, "=APAGADO",F8:F654,"=RADIO")</f>
        <v>13</v>
      </c>
      <c r="V5" s="130">
        <f>COUNTIFS(V8:V654, "=APAGADO",F8:F654,"=RADIO")</f>
        <v>10</v>
      </c>
      <c r="W5" s="130">
        <f>COUNTIFS(W8:W654, "=APAGADO",F8:F654,"=RADIO")</f>
        <v>8</v>
      </c>
      <c r="X5" s="130">
        <f>COUNTIFS(X8:X654, "=APAGADO",F8:F654,"=RADIO")</f>
        <v>8</v>
      </c>
      <c r="Y5" s="130">
        <f>COUNTIFS(Y8:Y654, "=APAGADO",F8:F654,"=RADIO")</f>
        <v>8</v>
      </c>
      <c r="Z5" s="130">
        <f>COUNTIFS(Z8:Z654, "=APAGADO",F8:F654,"=RADIO")</f>
        <v>9</v>
      </c>
      <c r="AA5" s="130">
        <f>COUNTIFS(AA8:AA654, "=APAGADO",F8:F654,"=RADIO")</f>
        <v>13</v>
      </c>
      <c r="AB5" s="130">
        <f>COUNTIFS(AB8:AB654, "=APAGADO",F8:F654,"=RADIO")</f>
        <v>11</v>
      </c>
      <c r="AC5" s="130">
        <f>COUNTIFS(AC8:AC654, "=APAGADO",F8:F654,"=RADIO")</f>
        <v>0</v>
      </c>
      <c r="AD5" s="130">
        <f>COUNTIFS(AD8:AD654, "=APAGADO",F8:F654,"=RADIO")</f>
        <v>0</v>
      </c>
      <c r="AE5" s="130">
        <f>COUNTIFS(AE8:AE654, "=APAGADO",F8:F654,"=RADIO")</f>
        <v>0</v>
      </c>
      <c r="AF5" s="130">
        <f>COUNTIFS(AF8:AF654, "=APAGADO",F8:F654,"=RADIO")</f>
        <v>0</v>
      </c>
      <c r="AG5" s="130">
        <f>COUNTIFS(AG8:AG654, "=APAGADO",F8:F654,"=RADIO")</f>
        <v>0</v>
      </c>
      <c r="AH5" s="130">
        <f>COUNTIFS(AH8:AH654, "=APAGADO",F8:F654,"=RADIO")</f>
        <v>0</v>
      </c>
      <c r="AI5" s="130">
        <f>COUNTIFS(AI8:AI654, "=APAGADO",F8:F654,"=RADIO")</f>
        <v>0</v>
      </c>
      <c r="AJ5" s="130">
        <f>COUNTIFS(AJ8:AJ654, "=APAGADO",F8:F654,"=RADIO")</f>
        <v>0</v>
      </c>
      <c r="AK5" s="130">
        <f>COUNTIFS(AK8:AK654, "=APAGADO",F8:F654,"=RADIO")</f>
        <v>0</v>
      </c>
      <c r="AL5" s="130">
        <f>COUNTIFS(AL8:AL654, "=APAGADO",F8:F654,"=RADIO")</f>
        <v>0</v>
      </c>
      <c r="AM5" s="130">
        <f>COUNTIFS(AM8:AM654, "=APAGADO",F8:F654,"=RADIO")</f>
        <v>0</v>
      </c>
      <c r="AN5" s="130">
        <f>COUNTIFS(AN8:AN654, "=APAGADO",F8:F654,"=RADIO")</f>
        <v>0</v>
      </c>
      <c r="AO5" s="130">
        <f>COUNTIFS(AO8:AO654, "=APAGADO",F8:F654,"=RADIO")</f>
        <v>0</v>
      </c>
    </row>
    <row r="6" spans="1:41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4</v>
      </c>
      <c r="X6" s="10">
        <f>COUNTIFS(X8:X654, "=APAGADO",F8:F654,"=PTO A FO")</f>
        <v>3</v>
      </c>
      <c r="Y6" s="10">
        <f>COUNTIFS(Y8:Y654, "=APAGADO",F8:F654,"=PTO A FO")</f>
        <v>3</v>
      </c>
      <c r="Z6" s="10">
        <f>COUNTIFS(Z8:Z654, "=APAGADO",F8:F654,"=PTO A FO")</f>
        <v>3</v>
      </c>
      <c r="AA6" s="10">
        <f>COUNTIFS(AA8:AA654, "=APAGADO",F8:F654,"=PTO A FO")</f>
        <v>3</v>
      </c>
      <c r="AB6" s="10">
        <f>COUNTIFS(AB8:AB654, "=APAGADO",F8:F654,"=PTO A FO")</f>
        <v>3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3</v>
      </c>
      <c r="K7" s="118" t="s">
        <v>4</v>
      </c>
      <c r="L7" s="119">
        <v>45901</v>
      </c>
      <c r="M7" s="119">
        <v>45902</v>
      </c>
      <c r="N7" s="119">
        <v>45903</v>
      </c>
      <c r="O7" s="119">
        <v>45904</v>
      </c>
      <c r="P7" s="119">
        <v>45905</v>
      </c>
      <c r="Q7" s="119">
        <v>45906</v>
      </c>
      <c r="R7" s="119">
        <v>45907</v>
      </c>
      <c r="S7" s="119">
        <v>45908</v>
      </c>
      <c r="T7" s="119">
        <v>45909</v>
      </c>
      <c r="U7" s="119">
        <v>45910</v>
      </c>
      <c r="V7" s="119">
        <v>45911</v>
      </c>
      <c r="W7" s="119">
        <v>45912</v>
      </c>
      <c r="X7" s="119">
        <v>45913</v>
      </c>
      <c r="Y7" s="119">
        <v>45914</v>
      </c>
      <c r="Z7" s="119">
        <v>45915</v>
      </c>
      <c r="AA7" s="119">
        <v>45916</v>
      </c>
      <c r="AB7" s="119">
        <v>45917</v>
      </c>
      <c r="AC7" s="119">
        <v>45918</v>
      </c>
      <c r="AD7" s="119">
        <v>45919</v>
      </c>
      <c r="AE7" s="119">
        <v>45920</v>
      </c>
      <c r="AF7" s="119">
        <v>45921</v>
      </c>
      <c r="AG7" s="119">
        <v>45922</v>
      </c>
      <c r="AH7" s="119">
        <v>45923</v>
      </c>
      <c r="AI7" s="119">
        <v>45924</v>
      </c>
      <c r="AJ7" s="119">
        <v>45925</v>
      </c>
      <c r="AK7" s="119">
        <v>45926</v>
      </c>
      <c r="AL7" s="119">
        <v>45927</v>
      </c>
      <c r="AM7" s="119">
        <v>45928</v>
      </c>
      <c r="AN7" s="119">
        <v>45929</v>
      </c>
      <c r="AO7" s="119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3">
        <f t="shared" si="5"/>
        <v>0</v>
      </c>
      <c r="K10" s="144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89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3">
        <f t="shared" si="5"/>
        <v>0</v>
      </c>
      <c r="K11" s="144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89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43">
        <f t="shared" si="5"/>
        <v>0</v>
      </c>
      <c r="K12" s="144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89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3">
        <f t="shared" si="5"/>
        <v>0</v>
      </c>
      <c r="K13" s="144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89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43">
        <f t="shared" si="5"/>
        <v>3</v>
      </c>
      <c r="K17" s="144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89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3"/>
      <c r="K20" s="144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89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3"/>
      <c r="K21" s="144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89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11</v>
      </c>
      <c r="J22" s="31">
        <f t="shared" si="5"/>
        <v>17</v>
      </c>
      <c r="K22" s="32">
        <f t="shared" si="6"/>
        <v>0.39285714285714285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3">
        <f t="shared" si="5"/>
        <v>0</v>
      </c>
      <c r="K30" s="144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89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143"/>
      <c r="K31" s="144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89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89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89"/>
    </row>
    <row r="34" spans="1:41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12</v>
      </c>
      <c r="J34" s="134">
        <f t="shared" si="5"/>
        <v>16</v>
      </c>
      <c r="K34" s="135">
        <f t="shared" si="6"/>
        <v>0.42857142857142855</v>
      </c>
      <c r="L34" s="136" t="s">
        <v>1526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/>
      <c r="Z34" s="136" t="s">
        <v>1526</v>
      </c>
      <c r="AA34" s="136" t="s">
        <v>1526</v>
      </c>
      <c r="AB34" s="136" t="s">
        <v>1526</v>
      </c>
      <c r="AC34" s="136"/>
      <c r="AD34" s="136"/>
      <c r="AE34" s="136"/>
      <c r="AF34" s="70"/>
      <c r="AG34" s="136"/>
      <c r="AH34" s="136"/>
      <c r="AI34" s="136"/>
      <c r="AJ34" s="136"/>
      <c r="AK34" s="136"/>
      <c r="AL34" s="136"/>
      <c r="AM34" s="136"/>
      <c r="AN34" s="136"/>
      <c r="AO34" s="136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12</v>
      </c>
      <c r="J35" s="143">
        <f t="shared" si="5"/>
        <v>16</v>
      </c>
      <c r="K35" s="144">
        <f t="shared" si="6"/>
        <v>0.42857142857142855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/>
      <c r="Z35" s="70" t="s">
        <v>1526</v>
      </c>
      <c r="AA35" s="70" t="s">
        <v>1526</v>
      </c>
      <c r="AB35" s="70" t="s">
        <v>1526</v>
      </c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89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143"/>
      <c r="K36" s="144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89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3">
        <f t="shared" si="5"/>
        <v>0</v>
      </c>
      <c r="K55" s="144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89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3">
        <f t="shared" si="5"/>
        <v>0</v>
      </c>
      <c r="K57" s="144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89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3">
        <f t="shared" si="5"/>
        <v>0</v>
      </c>
      <c r="K62" s="144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89"/>
    </row>
    <row r="63" spans="1:41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11</v>
      </c>
      <c r="J63" s="31">
        <f t="shared" si="5"/>
        <v>17</v>
      </c>
      <c r="K63" s="32">
        <f t="shared" si="6"/>
        <v>0.39285714285714285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/>
      <c r="AD63" s="93"/>
      <c r="AE63" s="93"/>
      <c r="AF63" s="70"/>
      <c r="AG63" s="93"/>
      <c r="AH63" s="93"/>
      <c r="AI63" s="93"/>
      <c r="AJ63" s="93"/>
      <c r="AK63" s="93"/>
      <c r="AL63" s="93"/>
      <c r="AM63" s="93"/>
      <c r="AN63" s="93"/>
      <c r="AO63" s="93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3">
        <f t="shared" si="5"/>
        <v>0</v>
      </c>
      <c r="K64" s="144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89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11</v>
      </c>
      <c r="J66" s="31">
        <f t="shared" si="5"/>
        <v>17</v>
      </c>
      <c r="K66" s="32">
        <f t="shared" si="6"/>
        <v>0.39285714285714285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31">
        <f t="shared" si="5"/>
        <v>1</v>
      </c>
      <c r="K73" s="32">
        <f t="shared" si="6"/>
        <v>0.9642857142857143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1526</v>
      </c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3">
        <f t="shared" si="8"/>
        <v>0</v>
      </c>
      <c r="K84" s="144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89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3">
        <f t="shared" si="8"/>
        <v>0</v>
      </c>
      <c r="K90" s="144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89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3">
        <f t="shared" si="8"/>
        <v>0</v>
      </c>
      <c r="K92" s="144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89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3">
        <f t="shared" si="8"/>
        <v>0</v>
      </c>
      <c r="K93" s="144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89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3">
        <f t="shared" si="8"/>
        <v>0</v>
      </c>
      <c r="K94" s="144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89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11</v>
      </c>
      <c r="J95" s="143">
        <f t="shared" si="8"/>
        <v>17</v>
      </c>
      <c r="K95" s="144">
        <f t="shared" si="9"/>
        <v>0.39285714285714285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89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11</v>
      </c>
      <c r="J96" s="143">
        <f t="shared" si="8"/>
        <v>17</v>
      </c>
      <c r="K96" s="144">
        <f t="shared" si="9"/>
        <v>0.39285714285714285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89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3">
        <f t="shared" si="8"/>
        <v>0</v>
      </c>
      <c r="K97" s="144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89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12</v>
      </c>
      <c r="J98" s="143">
        <f t="shared" si="8"/>
        <v>16</v>
      </c>
      <c r="K98" s="144">
        <f t="shared" si="9"/>
        <v>0.42857142857142855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/>
      <c r="AB98" s="70" t="s">
        <v>1526</v>
      </c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89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3">
        <f t="shared" si="8"/>
        <v>0</v>
      </c>
      <c r="K99" s="144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89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3">
        <f t="shared" si="8"/>
        <v>0</v>
      </c>
      <c r="K101" s="144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89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15</v>
      </c>
      <c r="J103" s="143">
        <f t="shared" si="8"/>
        <v>13</v>
      </c>
      <c r="K103" s="144">
        <f t="shared" si="9"/>
        <v>0.5357142857142857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89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3">
        <f t="shared" si="8"/>
        <v>0</v>
      </c>
      <c r="K107" s="144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89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3">
        <f t="shared" si="8"/>
        <v>0</v>
      </c>
      <c r="K108" s="144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89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3">
        <f t="shared" si="8"/>
        <v>0</v>
      </c>
      <c r="K109" s="144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89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3">
        <f t="shared" si="8"/>
        <v>0</v>
      </c>
      <c r="K110" s="144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89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3">
        <f t="shared" si="8"/>
        <v>0</v>
      </c>
      <c r="K113" s="144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89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11</v>
      </c>
      <c r="J116" s="31">
        <f t="shared" si="8"/>
        <v>17</v>
      </c>
      <c r="K116" s="32">
        <f t="shared" si="9"/>
        <v>0.39285714285714285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11</v>
      </c>
      <c r="J117" s="143">
        <f t="shared" si="8"/>
        <v>17</v>
      </c>
      <c r="K117" s="144">
        <f t="shared" si="9"/>
        <v>0.39285714285714285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89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 t="s">
        <v>1526</v>
      </c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11</v>
      </c>
      <c r="J121" s="31">
        <f t="shared" si="8"/>
        <v>17</v>
      </c>
      <c r="K121" s="32">
        <f t="shared" si="9"/>
        <v>0.39285714285714285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11</v>
      </c>
      <c r="J122" s="31">
        <f t="shared" si="8"/>
        <v>17</v>
      </c>
      <c r="K122" s="32">
        <f t="shared" si="9"/>
        <v>0.39285714285714285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3">
        <f t="shared" si="8"/>
        <v>6</v>
      </c>
      <c r="K124" s="144">
        <f t="shared" si="9"/>
        <v>0.7857142857142857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 t="s">
        <v>1526</v>
      </c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89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3">
        <f t="shared" si="8"/>
        <v>0</v>
      </c>
      <c r="K125" s="144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89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3">
        <f t="shared" si="8"/>
        <v>0</v>
      </c>
      <c r="K126" s="144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89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24</v>
      </c>
      <c r="J127" s="31">
        <f t="shared" si="8"/>
        <v>4</v>
      </c>
      <c r="K127" s="32">
        <f t="shared" si="9"/>
        <v>0.8571428571428571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 t="s">
        <v>1526</v>
      </c>
      <c r="AA127" s="70"/>
      <c r="AB127" s="70" t="s">
        <v>1526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3">
        <f t="shared" si="8"/>
        <v>0</v>
      </c>
      <c r="K129" s="144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89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3">
        <f t="shared" si="8"/>
        <v>0</v>
      </c>
      <c r="K130" s="144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89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3"/>
      <c r="K131" s="144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89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3"/>
      <c r="K134" s="144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89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89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89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31">
        <f t="shared" si="8"/>
        <v>4</v>
      </c>
      <c r="K140" s="32">
        <f t="shared" si="9"/>
        <v>0.8571428571428571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 t="s">
        <v>1526</v>
      </c>
      <c r="Y140" s="70" t="s">
        <v>1526</v>
      </c>
      <c r="Z140" s="70" t="s">
        <v>1526</v>
      </c>
      <c r="AA140" s="70" t="s">
        <v>1526</v>
      </c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31">
        <f t="shared" si="8"/>
        <v>4</v>
      </c>
      <c r="K142" s="32">
        <f t="shared" si="9"/>
        <v>0.8571428571428571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 t="s">
        <v>1526</v>
      </c>
      <c r="Y142" s="70" t="s">
        <v>1526</v>
      </c>
      <c r="Z142" s="70" t="s">
        <v>1526</v>
      </c>
      <c r="AA142" s="70" t="s">
        <v>1526</v>
      </c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11</v>
      </c>
      <c r="J147" s="141">
        <f t="shared" si="8"/>
        <v>17</v>
      </c>
      <c r="K147" s="142">
        <f t="shared" si="9"/>
        <v>0.39285714285714285</v>
      </c>
      <c r="L147" s="93" t="s">
        <v>1526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/>
      <c r="AD147" s="93"/>
      <c r="AE147" s="93"/>
      <c r="AF147" s="70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11</v>
      </c>
      <c r="J150" s="31">
        <f t="shared" si="8"/>
        <v>17</v>
      </c>
      <c r="K150" s="32">
        <f t="shared" si="9"/>
        <v>0.39285714285714285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/>
      <c r="AD150" s="93"/>
      <c r="AE150" s="93"/>
      <c r="AF150" s="70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 spans="1:41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11</v>
      </c>
      <c r="J151" s="31">
        <f t="shared" si="8"/>
        <v>17</v>
      </c>
      <c r="K151" s="32">
        <f t="shared" si="9"/>
        <v>0.39285714285714285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/>
      <c r="AD151" s="93"/>
      <c r="AE151" s="93"/>
      <c r="AF151" s="70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3"/>
      <c r="K154" s="144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89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12</v>
      </c>
      <c r="J155" s="143">
        <f t="shared" si="8"/>
        <v>16</v>
      </c>
      <c r="K155" s="144">
        <f t="shared" si="9"/>
        <v>0.42857142857142855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 t="s">
        <v>1526</v>
      </c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89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COUNTIF(L156:AM156,"")</f>
        <v>28</v>
      </c>
      <c r="J156" s="143">
        <f t="shared" ref="J156:J227" si="11">COUNTIF(L156:AM156,"APAGADO")</f>
        <v>0</v>
      </c>
      <c r="K156" s="144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89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3">
        <f t="shared" si="11"/>
        <v>0</v>
      </c>
      <c r="K168" s="144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89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19</v>
      </c>
      <c r="J177" s="31">
        <f t="shared" si="11"/>
        <v>9</v>
      </c>
      <c r="K177" s="32">
        <f t="shared" si="12"/>
        <v>0.6785714285714286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19</v>
      </c>
      <c r="J178" s="31">
        <f t="shared" si="11"/>
        <v>9</v>
      </c>
      <c r="K178" s="32">
        <f t="shared" si="12"/>
        <v>0.6785714285714286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3"/>
      <c r="K180" s="144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89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3"/>
      <c r="K181" s="144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89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11</v>
      </c>
      <c r="J184" s="138">
        <f t="shared" si="11"/>
        <v>17</v>
      </c>
      <c r="K184" s="139">
        <f t="shared" si="12"/>
        <v>0.39285714285714285</v>
      </c>
      <c r="L184" s="140" t="s">
        <v>1526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/>
      <c r="AD184" s="140"/>
      <c r="AE184" s="140"/>
      <c r="AF184" s="70"/>
      <c r="AG184" s="140"/>
      <c r="AH184" s="140"/>
      <c r="AI184" s="140"/>
      <c r="AJ184" s="140"/>
      <c r="AK184" s="140"/>
      <c r="AL184" s="140"/>
      <c r="AM184" s="140"/>
      <c r="AN184" s="140"/>
      <c r="AO184" s="140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3">
        <f t="shared" si="11"/>
        <v>0</v>
      </c>
      <c r="K185" s="144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89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3">
        <f t="shared" si="11"/>
        <v>1</v>
      </c>
      <c r="K186" s="144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89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12</v>
      </c>
      <c r="J190" s="31">
        <f t="shared" si="11"/>
        <v>16</v>
      </c>
      <c r="K190" s="32">
        <f t="shared" si="12"/>
        <v>0.42857142857142855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/>
      <c r="Y190" s="70" t="s">
        <v>1526</v>
      </c>
      <c r="Z190" s="70" t="s">
        <v>1526</v>
      </c>
      <c r="AA190" s="70" t="s">
        <v>1526</v>
      </c>
      <c r="AB190" s="70" t="s">
        <v>1526</v>
      </c>
      <c r="AC190" s="70"/>
      <c r="AD190" s="93"/>
      <c r="AE190" s="93"/>
      <c r="AF190" s="70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18</v>
      </c>
      <c r="J191" s="143">
        <f t="shared" si="11"/>
        <v>10</v>
      </c>
      <c r="K191" s="144">
        <f t="shared" si="12"/>
        <v>0.6428571428571429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 t="s">
        <v>1526</v>
      </c>
      <c r="X191" s="70"/>
      <c r="Y191" s="70"/>
      <c r="Z191" s="70" t="s">
        <v>1526</v>
      </c>
      <c r="AA191" s="70" t="s">
        <v>1526</v>
      </c>
      <c r="AB191" s="70" t="s">
        <v>1526</v>
      </c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89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3">
        <f t="shared" si="11"/>
        <v>0</v>
      </c>
      <c r="K194" s="144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89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3">
        <f t="shared" si="11"/>
        <v>0</v>
      </c>
      <c r="K202" s="144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89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3"/>
      <c r="K203" s="144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89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3">
        <f t="shared" si="11"/>
        <v>0</v>
      </c>
      <c r="K205" s="144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89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3">
        <f t="shared" si="11"/>
        <v>0</v>
      </c>
      <c r="K206" s="144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89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23</v>
      </c>
      <c r="J208" s="31">
        <f t="shared" si="11"/>
        <v>5</v>
      </c>
      <c r="K208" s="32">
        <f t="shared" si="12"/>
        <v>0.8214285714285714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 t="s">
        <v>1526</v>
      </c>
      <c r="AB208" s="70" t="s">
        <v>1526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23</v>
      </c>
      <c r="J209" s="31">
        <f t="shared" si="11"/>
        <v>5</v>
      </c>
      <c r="K209" s="32">
        <f t="shared" si="12"/>
        <v>0.8214285714285714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 t="s">
        <v>1526</v>
      </c>
      <c r="AB209" s="70" t="s">
        <v>1526</v>
      </c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3">
        <f t="shared" si="11"/>
        <v>0</v>
      </c>
      <c r="K211" s="144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89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3">
        <f t="shared" si="11"/>
        <v>0</v>
      </c>
      <c r="K214" s="144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89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3">
        <f t="shared" si="11"/>
        <v>0</v>
      </c>
      <c r="K215" s="144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143"/>
      <c r="K216" s="144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3">
        <f t="shared" si="11"/>
        <v>0</v>
      </c>
      <c r="K217" s="144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89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3">
        <f t="shared" si="11"/>
        <v>0</v>
      </c>
      <c r="K218" s="144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89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3">
        <f t="shared" si="11"/>
        <v>0</v>
      </c>
      <c r="K219" s="144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89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11</v>
      </c>
      <c r="J235" s="31">
        <f t="shared" si="14"/>
        <v>17</v>
      </c>
      <c r="K235" s="32">
        <f t="shared" si="15"/>
        <v>0.39285714285714285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/>
      <c r="AD235" s="93"/>
      <c r="AE235" s="93"/>
      <c r="AF235" s="70"/>
      <c r="AG235" s="93"/>
      <c r="AH235" s="93"/>
      <c r="AI235" s="93"/>
      <c r="AJ235" s="93"/>
      <c r="AK235" s="93"/>
      <c r="AL235" s="93"/>
      <c r="AM235" s="93"/>
      <c r="AN235" s="93"/>
      <c r="AO235" s="93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3">
        <f t="shared" si="14"/>
        <v>0</v>
      </c>
      <c r="K241" s="144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89"/>
    </row>
    <row r="242" spans="1:41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3">
        <f t="shared" si="14"/>
        <v>0</v>
      </c>
      <c r="K242" s="144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89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15</v>
      </c>
      <c r="J243" s="31">
        <f t="shared" si="14"/>
        <v>13</v>
      </c>
      <c r="K243" s="32">
        <f t="shared" si="15"/>
        <v>0.5357142857142857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31">
        <f t="shared" si="14"/>
        <v>4</v>
      </c>
      <c r="K245" s="32">
        <f t="shared" si="15"/>
        <v>0.8571428571428571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 t="s">
        <v>1526</v>
      </c>
      <c r="X245" s="70" t="s">
        <v>1526</v>
      </c>
      <c r="Y245" s="70" t="s">
        <v>1526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3">
        <f t="shared" si="14"/>
        <v>0</v>
      </c>
      <c r="K247" s="144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89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3">
        <f t="shared" si="14"/>
        <v>1</v>
      </c>
      <c r="K253" s="144">
        <f t="shared" si="15"/>
        <v>0.9642857142857143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 t="s">
        <v>1526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89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3">
        <f t="shared" si="14"/>
        <v>0</v>
      </c>
      <c r="K258" s="144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89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3">
        <f t="shared" si="14"/>
        <v>0</v>
      </c>
      <c r="K262" s="144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89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11</v>
      </c>
      <c r="J264" s="143">
        <f t="shared" si="14"/>
        <v>17</v>
      </c>
      <c r="K264" s="144">
        <f t="shared" si="15"/>
        <v>0.39285714285714285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89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3">
        <f t="shared" si="14"/>
        <v>0</v>
      </c>
      <c r="K265" s="144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89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3">
        <f t="shared" si="14"/>
        <v>0</v>
      </c>
      <c r="K268" s="144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89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3">
        <f t="shared" si="14"/>
        <v>0</v>
      </c>
      <c r="K269" s="144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89"/>
    </row>
    <row r="270" spans="1:41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3">
        <f t="shared" si="14"/>
        <v>0</v>
      </c>
      <c r="K270" s="144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89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3"/>
      <c r="K271" s="144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89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143"/>
      <c r="K272" s="144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89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11</v>
      </c>
      <c r="J283" s="31">
        <f t="shared" si="14"/>
        <v>17</v>
      </c>
      <c r="K283" s="32">
        <f t="shared" si="15"/>
        <v>0.39285714285714285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16</v>
      </c>
      <c r="J294" s="143">
        <f t="shared" si="14"/>
        <v>12</v>
      </c>
      <c r="K294" s="144">
        <f t="shared" si="15"/>
        <v>0.5714285714285714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89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24</v>
      </c>
      <c r="J295" s="143">
        <f t="shared" si="14"/>
        <v>4</v>
      </c>
      <c r="K295" s="144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89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15</v>
      </c>
      <c r="J296" s="31">
        <f t="shared" ref="J296:J363" si="17">COUNTIF(L296:AM296,"APAGADO")</f>
        <v>13</v>
      </c>
      <c r="K296" s="32">
        <f t="shared" ref="K296:K363" si="18">(I296)/(J296+I296)</f>
        <v>0.5357142857142857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89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3">
        <f t="shared" si="17"/>
        <v>0</v>
      </c>
      <c r="K297" s="144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89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143">
        <f t="shared" si="17"/>
        <v>2</v>
      </c>
      <c r="K298" s="144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89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3">
        <f t="shared" si="17"/>
        <v>0</v>
      </c>
      <c r="K299" s="144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89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 t="s">
        <v>1526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1526</v>
      </c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27</v>
      </c>
      <c r="J307" s="31">
        <f t="shared" si="17"/>
        <v>1</v>
      </c>
      <c r="K307" s="32">
        <f t="shared" si="18"/>
        <v>0.9642857142857143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1526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 t="s">
        <v>1526</v>
      </c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 t="s">
        <v>1526</v>
      </c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 t="s">
        <v>1526</v>
      </c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 t="s">
        <v>1526</v>
      </c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28</v>
      </c>
      <c r="J316" s="87">
        <f t="shared" si="17"/>
        <v>0</v>
      </c>
      <c r="K316" s="88">
        <f t="shared" si="18"/>
        <v>1</v>
      </c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143">
        <f t="shared" si="17"/>
        <v>0</v>
      </c>
      <c r="K332" s="144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89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143">
        <f t="shared" si="17"/>
        <v>0</v>
      </c>
      <c r="K333" s="144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89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3">
        <f t="shared" si="17"/>
        <v>5</v>
      </c>
      <c r="K335" s="144">
        <f t="shared" si="18"/>
        <v>0.8214285714285714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 t="s">
        <v>1526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89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3">
        <f t="shared" si="17"/>
        <v>5</v>
      </c>
      <c r="K336" s="144">
        <f t="shared" si="18"/>
        <v>0.8214285714285714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 t="s">
        <v>1526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89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25</v>
      </c>
      <c r="J338" s="31">
        <f t="shared" si="17"/>
        <v>3</v>
      </c>
      <c r="K338" s="32">
        <f t="shared" si="18"/>
        <v>0.8928571428571429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1526</v>
      </c>
      <c r="Z338" s="70" t="s">
        <v>1526</v>
      </c>
      <c r="AA338" s="70" t="s">
        <v>1526</v>
      </c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3"/>
      <c r="K345" s="144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89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3"/>
      <c r="K346" s="144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89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3"/>
      <c r="K347" s="144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89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3"/>
      <c r="K348" s="144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89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31">
        <f t="shared" si="17"/>
        <v>2</v>
      </c>
      <c r="K349" s="32">
        <f t="shared" si="18"/>
        <v>0.9285714285714286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 t="s">
        <v>1526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143">
        <f t="shared" si="17"/>
        <v>0</v>
      </c>
      <c r="K351" s="144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89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31">
        <f t="shared" si="17"/>
        <v>2</v>
      </c>
      <c r="K352" s="32">
        <f t="shared" si="18"/>
        <v>0.9285714285714286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 t="s">
        <v>1526</v>
      </c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31">
        <f t="shared" si="17"/>
        <v>3</v>
      </c>
      <c r="K354" s="32">
        <f t="shared" si="18"/>
        <v>0.8928571428571429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 t="s">
        <v>1526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31">
        <f t="shared" si="17"/>
        <v>3</v>
      </c>
      <c r="K355" s="32">
        <f t="shared" si="18"/>
        <v>0.8928571428571429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 t="s">
        <v>1526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 t="s">
        <v>1526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11</v>
      </c>
      <c r="J357" s="31">
        <f t="shared" si="17"/>
        <v>17</v>
      </c>
      <c r="K357" s="32">
        <f t="shared" si="18"/>
        <v>0.39285714285714285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89"/>
    </row>
    <row r="358" spans="1:41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11</v>
      </c>
      <c r="J358" s="31">
        <f t="shared" si="17"/>
        <v>17</v>
      </c>
      <c r="K358" s="32">
        <f t="shared" si="18"/>
        <v>0.39285714285714285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/>
      <c r="AD358" s="93"/>
      <c r="AE358" s="93"/>
      <c r="AF358" s="70"/>
      <c r="AG358" s="93"/>
      <c r="AH358" s="93"/>
      <c r="AI358" s="93"/>
      <c r="AJ358" s="93"/>
      <c r="AK358" s="93"/>
      <c r="AL358" s="93"/>
      <c r="AM358" s="93"/>
      <c r="AN358" s="93"/>
      <c r="AO358" s="93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11</v>
      </c>
      <c r="J359" s="143">
        <f t="shared" si="17"/>
        <v>17</v>
      </c>
      <c r="K359" s="144">
        <f t="shared" si="18"/>
        <v>0.39285714285714285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89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87">
        <f t="shared" si="17"/>
        <v>0</v>
      </c>
      <c r="K360" s="88">
        <f t="shared" si="18"/>
        <v>1</v>
      </c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31">
        <f t="shared" si="17"/>
        <v>3</v>
      </c>
      <c r="K361" s="32">
        <f t="shared" si="18"/>
        <v>0.8928571428571429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 t="s">
        <v>1526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31">
        <f t="shared" si="17"/>
        <v>4</v>
      </c>
      <c r="K362" s="32">
        <f t="shared" si="18"/>
        <v>0.8571428571428571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 t="s">
        <v>1526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31">
        <f t="shared" si="17"/>
        <v>4</v>
      </c>
      <c r="K363" s="32">
        <f t="shared" si="18"/>
        <v>0.8571428571428571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 t="s">
        <v>1526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24</v>
      </c>
      <c r="J364" s="31">
        <f t="shared" ref="J364:J436" si="20">COUNTIF(L364:AM364,"APAGADO")</f>
        <v>4</v>
      </c>
      <c r="K364" s="32">
        <f t="shared" ref="K364:K436" si="21">(I364)/(J364+I364)</f>
        <v>0.8571428571428571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 t="s">
        <v>1526</v>
      </c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 t="s">
        <v>1526</v>
      </c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31">
        <f t="shared" si="20"/>
        <v>4</v>
      </c>
      <c r="K366" s="32">
        <f t="shared" si="21"/>
        <v>0.8571428571428571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 t="s">
        <v>1526</v>
      </c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 t="s">
        <v>1526</v>
      </c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 t="s">
        <v>1526</v>
      </c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 t="s">
        <v>1526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 t="s">
        <v>1526</v>
      </c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31">
        <f t="shared" si="20"/>
        <v>3</v>
      </c>
      <c r="K371" s="32">
        <f t="shared" si="21"/>
        <v>0.8928571428571429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 t="s">
        <v>1526</v>
      </c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11</v>
      </c>
      <c r="J372" s="31">
        <f t="shared" si="20"/>
        <v>17</v>
      </c>
      <c r="K372" s="32">
        <f t="shared" si="21"/>
        <v>0.39285714285714285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3">
        <f t="shared" si="20"/>
        <v>0</v>
      </c>
      <c r="K373" s="144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0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0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 t="s">
        <v>1526</v>
      </c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0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23</v>
      </c>
      <c r="J377" s="31">
        <f t="shared" si="20"/>
        <v>5</v>
      </c>
      <c r="K377" s="32">
        <f t="shared" si="21"/>
        <v>0.8214285714285714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 t="s">
        <v>1526</v>
      </c>
      <c r="AB377" s="70" t="s">
        <v>1526</v>
      </c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3">
        <f t="shared" si="20"/>
        <v>0</v>
      </c>
      <c r="K378" s="144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89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87">
        <f t="shared" si="20"/>
        <v>0</v>
      </c>
      <c r="K381" s="88">
        <f t="shared" si="21"/>
        <v>1</v>
      </c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11</v>
      </c>
      <c r="J383" s="31">
        <f t="shared" si="20"/>
        <v>17</v>
      </c>
      <c r="K383" s="32">
        <f t="shared" si="21"/>
        <v>0.39285714285714285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11</v>
      </c>
      <c r="J384" s="31">
        <f t="shared" si="20"/>
        <v>17</v>
      </c>
      <c r="K384" s="32">
        <f t="shared" si="21"/>
        <v>0.39285714285714285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3">
        <f t="shared" si="20"/>
        <v>0</v>
      </c>
      <c r="K385" s="144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89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3">
        <f t="shared" si="20"/>
        <v>0</v>
      </c>
      <c r="K386" s="144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89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143">
        <f t="shared" si="20"/>
        <v>0</v>
      </c>
      <c r="K387" s="144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89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143">
        <f t="shared" si="20"/>
        <v>0</v>
      </c>
      <c r="K388" s="144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89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143"/>
      <c r="K389" s="144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89"/>
    </row>
    <row r="390" spans="1:41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11</v>
      </c>
      <c r="J390" s="31">
        <f t="shared" si="20"/>
        <v>17</v>
      </c>
      <c r="K390" s="32">
        <f t="shared" si="21"/>
        <v>0.39285714285714285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/>
      <c r="AD390" s="93"/>
      <c r="AE390" s="93"/>
      <c r="AF390" s="70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3">
        <f t="shared" si="20"/>
        <v>9</v>
      </c>
      <c r="K391" s="144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89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3">
        <f t="shared" si="20"/>
        <v>0</v>
      </c>
      <c r="K392" s="144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3">
        <f t="shared" si="20"/>
        <v>0</v>
      </c>
      <c r="K393" s="144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89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3">
        <f t="shared" si="20"/>
        <v>0</v>
      </c>
      <c r="K394" s="144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89"/>
    </row>
    <row r="395" spans="1:41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12</v>
      </c>
      <c r="J395" s="31">
        <f t="shared" si="20"/>
        <v>16</v>
      </c>
      <c r="K395" s="32">
        <f t="shared" si="21"/>
        <v>0.42857142857142855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/>
      <c r="Z395" s="70" t="s">
        <v>1526</v>
      </c>
      <c r="AA395" s="70" t="s">
        <v>1526</v>
      </c>
      <c r="AB395" s="70" t="s">
        <v>1526</v>
      </c>
      <c r="AC395" s="70"/>
      <c r="AD395" s="93"/>
      <c r="AE395" s="93"/>
      <c r="AF395" s="70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3">
        <f t="shared" si="20"/>
        <v>0</v>
      </c>
      <c r="K396" s="144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89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143">
        <f t="shared" si="20"/>
        <v>0</v>
      </c>
      <c r="K399" s="144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89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89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89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31">
        <f t="shared" si="20"/>
        <v>4</v>
      </c>
      <c r="K404" s="32">
        <f t="shared" si="21"/>
        <v>0.8571428571428571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 t="s">
        <v>1526</v>
      </c>
      <c r="Y404" s="70" t="s">
        <v>1526</v>
      </c>
      <c r="Z404" s="70" t="s">
        <v>1526</v>
      </c>
      <c r="AA404" s="70" t="s">
        <v>1526</v>
      </c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31">
        <f t="shared" si="20"/>
        <v>4</v>
      </c>
      <c r="K405" s="32">
        <f t="shared" si="21"/>
        <v>0.8571428571428571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 t="s">
        <v>1526</v>
      </c>
      <c r="Y405" s="70" t="s">
        <v>1526</v>
      </c>
      <c r="Z405" s="70" t="s">
        <v>1526</v>
      </c>
      <c r="AA405" s="70" t="s">
        <v>1526</v>
      </c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31">
        <f t="shared" si="20"/>
        <v>4</v>
      </c>
      <c r="K406" s="32">
        <f t="shared" si="21"/>
        <v>0.8571428571428571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 t="s">
        <v>1526</v>
      </c>
      <c r="Y406" s="70" t="s">
        <v>1526</v>
      </c>
      <c r="Z406" s="70" t="s">
        <v>1526</v>
      </c>
      <c r="AA406" s="70" t="s">
        <v>1526</v>
      </c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31">
        <f t="shared" si="20"/>
        <v>4</v>
      </c>
      <c r="K407" s="32">
        <f t="shared" si="21"/>
        <v>0.8571428571428571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 t="s">
        <v>1526</v>
      </c>
      <c r="Y407" s="70" t="s">
        <v>1526</v>
      </c>
      <c r="Z407" s="70" t="s">
        <v>1526</v>
      </c>
      <c r="AA407" s="70" t="s">
        <v>1526</v>
      </c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3">
        <f t="shared" si="20"/>
        <v>0</v>
      </c>
      <c r="K410" s="144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89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3">
        <f t="shared" si="20"/>
        <v>0</v>
      </c>
      <c r="K411" s="144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89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11</v>
      </c>
      <c r="J416" s="31">
        <f t="shared" si="20"/>
        <v>17</v>
      </c>
      <c r="K416" s="32">
        <f t="shared" si="21"/>
        <v>0.39285714285714285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24</v>
      </c>
      <c r="J421" s="31">
        <f t="shared" si="20"/>
        <v>4</v>
      </c>
      <c r="K421" s="32">
        <f t="shared" si="21"/>
        <v>0.8571428571428571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 t="s">
        <v>1526</v>
      </c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3">
        <f t="shared" si="20"/>
        <v>0</v>
      </c>
      <c r="K422" s="144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89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3">
        <f t="shared" si="20"/>
        <v>0</v>
      </c>
      <c r="K423" s="144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89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3">
        <f t="shared" si="20"/>
        <v>0</v>
      </c>
      <c r="K424" s="144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89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11</v>
      </c>
      <c r="J428" s="31">
        <f t="shared" si="20"/>
        <v>17</v>
      </c>
      <c r="K428" s="32">
        <f t="shared" si="21"/>
        <v>0.39285714285714285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143"/>
      <c r="K429" s="144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89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143"/>
      <c r="K430" s="144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89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143"/>
      <c r="K431" s="144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89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3">
        <f t="shared" si="19"/>
        <v>28</v>
      </c>
      <c r="J432" s="143">
        <f t="shared" si="20"/>
        <v>0</v>
      </c>
      <c r="K432" s="144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89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3">
        <f t="shared" si="19"/>
        <v>28</v>
      </c>
      <c r="J433" s="143">
        <f t="shared" si="20"/>
        <v>0</v>
      </c>
      <c r="K433" s="144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89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3">
        <f t="shared" si="19"/>
        <v>15</v>
      </c>
      <c r="J434" s="143">
        <f t="shared" si="20"/>
        <v>13</v>
      </c>
      <c r="K434" s="144">
        <f t="shared" si="21"/>
        <v>0.5357142857142857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 t="s">
        <v>1526</v>
      </c>
      <c r="X434" s="70" t="s">
        <v>1526</v>
      </c>
      <c r="Y434" s="70"/>
      <c r="Z434" s="70"/>
      <c r="AA434" s="70" t="s">
        <v>1526</v>
      </c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89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3">
        <f t="shared" si="22"/>
        <v>28</v>
      </c>
      <c r="J441" s="143">
        <f t="shared" si="23"/>
        <v>0</v>
      </c>
      <c r="K441" s="144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89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89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3">
        <f t="shared" si="22"/>
        <v>28</v>
      </c>
      <c r="J444" s="143">
        <f t="shared" si="23"/>
        <v>0</v>
      </c>
      <c r="K444" s="144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89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7">
        <f t="shared" si="22"/>
        <v>28</v>
      </c>
      <c r="J445" s="87">
        <f t="shared" si="23"/>
        <v>0</v>
      </c>
      <c r="K445" s="88">
        <f t="shared" si="24"/>
        <v>1</v>
      </c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 t="s">
        <v>73</v>
      </c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7" t="s">
        <v>1365</v>
      </c>
      <c r="E449" s="73" t="s">
        <v>15</v>
      </c>
      <c r="F449" s="73" t="s">
        <v>1306</v>
      </c>
      <c r="H449" s="85" t="s">
        <v>1428</v>
      </c>
      <c r="I449" s="87">
        <f t="shared" si="22"/>
        <v>28</v>
      </c>
      <c r="J449" s="87">
        <f t="shared" si="23"/>
        <v>0</v>
      </c>
      <c r="K449" s="88">
        <f t="shared" si="24"/>
        <v>1</v>
      </c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7" t="s">
        <v>1623</v>
      </c>
      <c r="E450" s="73" t="s">
        <v>15</v>
      </c>
      <c r="F450" s="73" t="s">
        <v>1306</v>
      </c>
      <c r="H450" s="85" t="s">
        <v>1625</v>
      </c>
      <c r="I450" s="87"/>
      <c r="J450" s="87"/>
      <c r="K450" s="88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7" t="s">
        <v>1629</v>
      </c>
      <c r="E451" s="73" t="s">
        <v>19</v>
      </c>
      <c r="F451" s="73" t="s">
        <v>1306</v>
      </c>
      <c r="H451" s="85" t="s">
        <v>1637</v>
      </c>
      <c r="I451" s="87"/>
      <c r="J451" s="87"/>
      <c r="K451" s="88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7" t="s">
        <v>1630</v>
      </c>
      <c r="E452" s="73" t="s">
        <v>1118</v>
      </c>
      <c r="F452" s="73" t="s">
        <v>1306</v>
      </c>
      <c r="H452" s="85" t="s">
        <v>1635</v>
      </c>
      <c r="I452" s="87"/>
      <c r="J452" s="87"/>
      <c r="K452" s="88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7" t="s">
        <v>1633</v>
      </c>
      <c r="E453" s="73" t="s">
        <v>1118</v>
      </c>
      <c r="F453" s="73" t="s">
        <v>1306</v>
      </c>
      <c r="H453" s="85" t="s">
        <v>1634</v>
      </c>
      <c r="I453" s="87"/>
      <c r="J453" s="87"/>
      <c r="K453" s="88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3">
        <f t="shared" si="22"/>
        <v>28</v>
      </c>
      <c r="J454" s="143">
        <f t="shared" si="23"/>
        <v>0</v>
      </c>
      <c r="K454" s="144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89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3">
        <f t="shared" si="22"/>
        <v>28</v>
      </c>
      <c r="J472" s="143">
        <f t="shared" si="23"/>
        <v>0</v>
      </c>
      <c r="K472" s="144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89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 t="s">
        <v>19</v>
      </c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3">
        <f t="shared" si="22"/>
        <v>28</v>
      </c>
      <c r="J475" s="143">
        <f t="shared" si="23"/>
        <v>0</v>
      </c>
      <c r="K475" s="144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89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3">
        <f t="shared" si="22"/>
        <v>28</v>
      </c>
      <c r="J487" s="143">
        <f t="shared" si="23"/>
        <v>0</v>
      </c>
      <c r="K487" s="144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89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3">
        <f t="shared" si="22"/>
        <v>28</v>
      </c>
      <c r="J494" s="143">
        <f t="shared" si="23"/>
        <v>0</v>
      </c>
      <c r="K494" s="144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89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3"/>
      <c r="J496" s="143"/>
      <c r="K496" s="144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89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3"/>
      <c r="J497" s="143"/>
      <c r="K497" s="144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89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25</v>
      </c>
      <c r="J498" s="31">
        <f t="shared" si="23"/>
        <v>3</v>
      </c>
      <c r="K498" s="32">
        <f t="shared" si="24"/>
        <v>0.8928571428571429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 t="s">
        <v>1526</v>
      </c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25</v>
      </c>
      <c r="J499" s="31">
        <f t="shared" si="23"/>
        <v>3</v>
      </c>
      <c r="K499" s="32">
        <f t="shared" si="24"/>
        <v>0.8928571428571429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 t="s">
        <v>1526</v>
      </c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11</v>
      </c>
      <c r="J500" s="31">
        <f t="shared" si="23"/>
        <v>17</v>
      </c>
      <c r="K500" s="32">
        <f t="shared" si="24"/>
        <v>0.39285714285714285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 t="s">
        <v>1526</v>
      </c>
      <c r="X500" s="70" t="s">
        <v>1526</v>
      </c>
      <c r="Y500" s="70" t="s">
        <v>1526</v>
      </c>
      <c r="Z500" s="70" t="s">
        <v>1526</v>
      </c>
      <c r="AA500" s="70" t="s">
        <v>1526</v>
      </c>
      <c r="AB500" s="70" t="s">
        <v>1526</v>
      </c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12</v>
      </c>
      <c r="J501" s="31">
        <f t="shared" si="23"/>
        <v>16</v>
      </c>
      <c r="K501" s="32">
        <f t="shared" si="24"/>
        <v>0.42857142857142855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 t="s">
        <v>1526</v>
      </c>
      <c r="X501" s="70" t="s">
        <v>1526</v>
      </c>
      <c r="Y501" s="70"/>
      <c r="Z501" s="70" t="s">
        <v>1526</v>
      </c>
      <c r="AA501" s="70" t="s">
        <v>1526</v>
      </c>
      <c r="AB501" s="70" t="s">
        <v>1526</v>
      </c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25</v>
      </c>
      <c r="J502" s="31">
        <f t="shared" si="23"/>
        <v>3</v>
      </c>
      <c r="K502" s="32">
        <f t="shared" si="24"/>
        <v>0.8928571428571429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 t="s">
        <v>1526</v>
      </c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25</v>
      </c>
      <c r="J503" s="31">
        <f t="shared" si="23"/>
        <v>3</v>
      </c>
      <c r="K503" s="32">
        <f t="shared" si="24"/>
        <v>0.8928571428571429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 t="s">
        <v>1526</v>
      </c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1" customFormat="1" ht="15.75" thickBot="1" x14ac:dyDescent="0.3">
      <c r="A504" s="73" t="s">
        <v>409</v>
      </c>
      <c r="B504" s="73" t="s">
        <v>548</v>
      </c>
      <c r="C504" s="91" t="s">
        <v>1066</v>
      </c>
      <c r="D504" s="73" t="s">
        <v>549</v>
      </c>
      <c r="E504" s="92" t="s">
        <v>19</v>
      </c>
      <c r="F504" s="85" t="s">
        <v>28</v>
      </c>
      <c r="G504" s="85"/>
      <c r="H504" s="85" t="s">
        <v>878</v>
      </c>
      <c r="I504" s="31">
        <f t="shared" si="22"/>
        <v>25</v>
      </c>
      <c r="J504" s="31">
        <f t="shared" si="23"/>
        <v>3</v>
      </c>
      <c r="K504" s="32">
        <f t="shared" si="24"/>
        <v>0.8928571428571429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 t="s">
        <v>1526</v>
      </c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1" customFormat="1" ht="15.75" thickBot="1" x14ac:dyDescent="0.3">
      <c r="A505" s="73" t="s">
        <v>409</v>
      </c>
      <c r="B505" s="73" t="s">
        <v>558</v>
      </c>
      <c r="C505" s="91" t="s">
        <v>1066</v>
      </c>
      <c r="D505" s="73" t="s">
        <v>559</v>
      </c>
      <c r="E505" s="92" t="s">
        <v>15</v>
      </c>
      <c r="F505" s="85" t="s">
        <v>28</v>
      </c>
      <c r="G505" s="85"/>
      <c r="H505" s="85" t="s">
        <v>1514</v>
      </c>
      <c r="I505" s="31">
        <f t="shared" si="22"/>
        <v>25</v>
      </c>
      <c r="J505" s="31">
        <f t="shared" si="23"/>
        <v>3</v>
      </c>
      <c r="K505" s="32">
        <f t="shared" si="24"/>
        <v>0.8928571428571429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 t="s">
        <v>1526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92" t="s">
        <v>15</v>
      </c>
      <c r="F506" s="85" t="s">
        <v>1306</v>
      </c>
      <c r="G506" s="85"/>
      <c r="H506" s="85" t="s">
        <v>1357</v>
      </c>
      <c r="I506" s="143">
        <f t="shared" si="22"/>
        <v>28</v>
      </c>
      <c r="J506" s="143">
        <f t="shared" si="23"/>
        <v>0</v>
      </c>
      <c r="K506" s="144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89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3">
        <f t="shared" ref="I508:I546" si="25">COUNTIF(L508:AM508,"")</f>
        <v>28</v>
      </c>
      <c r="J508" s="143">
        <f t="shared" ref="J508:J546" si="26">COUNTIF(L508:AM508,"APAGADO")</f>
        <v>0</v>
      </c>
      <c r="K508" s="144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89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3">
        <f t="shared" si="25"/>
        <v>23</v>
      </c>
      <c r="J509" s="143">
        <f t="shared" si="26"/>
        <v>5</v>
      </c>
      <c r="K509" s="144">
        <f t="shared" si="27"/>
        <v>0.8214285714285714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 t="s">
        <v>1526</v>
      </c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89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3">
        <f t="shared" si="25"/>
        <v>24</v>
      </c>
      <c r="J511" s="143">
        <f t="shared" si="26"/>
        <v>4</v>
      </c>
      <c r="K511" s="144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89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3">
        <f t="shared" si="25"/>
        <v>28</v>
      </c>
      <c r="J513" s="143">
        <f t="shared" si="26"/>
        <v>0</v>
      </c>
      <c r="K513" s="144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89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3">
        <f t="shared" si="25"/>
        <v>28</v>
      </c>
      <c r="J514" s="143">
        <f t="shared" si="26"/>
        <v>0</v>
      </c>
      <c r="K514" s="144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89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3">
        <f t="shared" si="25"/>
        <v>28</v>
      </c>
      <c r="J515" s="143">
        <f t="shared" si="26"/>
        <v>0</v>
      </c>
      <c r="K515" s="144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89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3">
        <f t="shared" si="25"/>
        <v>28</v>
      </c>
      <c r="J516" s="143">
        <f t="shared" si="26"/>
        <v>0</v>
      </c>
      <c r="K516" s="144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89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3"/>
      <c r="J517" s="143"/>
      <c r="K517" s="144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89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3"/>
      <c r="J518" s="143"/>
      <c r="K518" s="144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89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12</v>
      </c>
      <c r="J519" s="31">
        <f t="shared" si="26"/>
        <v>16</v>
      </c>
      <c r="K519" s="32">
        <f t="shared" si="27"/>
        <v>0.42857142857142855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 t="s">
        <v>1526</v>
      </c>
      <c r="X519" s="70" t="s">
        <v>1526</v>
      </c>
      <c r="Y519" s="70" t="s">
        <v>1526</v>
      </c>
      <c r="Z519" s="70" t="s">
        <v>1526</v>
      </c>
      <c r="AA519" s="70" t="s">
        <v>1526</v>
      </c>
      <c r="AB519" s="70" t="s">
        <v>1526</v>
      </c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13</v>
      </c>
      <c r="J521" s="31">
        <f t="shared" si="26"/>
        <v>15</v>
      </c>
      <c r="K521" s="32">
        <f t="shared" si="27"/>
        <v>0.4642857142857143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/>
      <c r="Z521" s="70" t="s">
        <v>1526</v>
      </c>
      <c r="AA521" s="70" t="s">
        <v>1526</v>
      </c>
      <c r="AB521" s="70" t="s">
        <v>1526</v>
      </c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3">
        <f t="shared" si="25"/>
        <v>28</v>
      </c>
      <c r="J523" s="143">
        <f t="shared" si="26"/>
        <v>0</v>
      </c>
      <c r="K523" s="144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89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27</v>
      </c>
      <c r="J528" s="31">
        <f t="shared" si="26"/>
        <v>1</v>
      </c>
      <c r="K528" s="32">
        <f t="shared" si="27"/>
        <v>0.9642857142857143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 t="s">
        <v>1526</v>
      </c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3">
        <f t="shared" si="25"/>
        <v>28</v>
      </c>
      <c r="J533" s="143">
        <f t="shared" si="26"/>
        <v>0</v>
      </c>
      <c r="K533" s="144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89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3">
        <f t="shared" si="25"/>
        <v>28</v>
      </c>
      <c r="J540" s="143">
        <f t="shared" si="26"/>
        <v>0</v>
      </c>
      <c r="K540" s="144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89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3">
        <f t="shared" si="25"/>
        <v>28</v>
      </c>
      <c r="J541" s="143">
        <f t="shared" si="26"/>
        <v>0</v>
      </c>
      <c r="K541" s="144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89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3">
        <f t="shared" si="25"/>
        <v>25</v>
      </c>
      <c r="J542" s="143">
        <f t="shared" si="26"/>
        <v>3</v>
      </c>
      <c r="K542" s="144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89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3">
        <f t="shared" si="25"/>
        <v>11</v>
      </c>
      <c r="J543" s="143">
        <f t="shared" si="26"/>
        <v>17</v>
      </c>
      <c r="K543" s="144">
        <f t="shared" si="27"/>
        <v>0.39285714285714285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 t="s">
        <v>1526</v>
      </c>
      <c r="X543" s="70" t="s">
        <v>1526</v>
      </c>
      <c r="Y543" s="70" t="s">
        <v>1526</v>
      </c>
      <c r="Z543" s="70" t="s">
        <v>1526</v>
      </c>
      <c r="AA543" s="70" t="s">
        <v>1526</v>
      </c>
      <c r="AB543" s="70" t="s">
        <v>1526</v>
      </c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89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3">
        <f t="shared" si="25"/>
        <v>28</v>
      </c>
      <c r="J544" s="143">
        <f t="shared" si="26"/>
        <v>0</v>
      </c>
      <c r="K544" s="144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89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3">
        <f t="shared" si="25"/>
        <v>28</v>
      </c>
      <c r="J545" s="143">
        <f t="shared" si="26"/>
        <v>0</v>
      </c>
      <c r="K545" s="144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89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3">
        <f t="shared" si="25"/>
        <v>28</v>
      </c>
      <c r="J546" s="143">
        <f t="shared" si="26"/>
        <v>0</v>
      </c>
      <c r="K546" s="144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89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0" priority="495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29" priority="494" operator="equal">
      <formula>$C$273</formula>
    </cfRule>
  </conditionalFormatting>
  <conditionalFormatting sqref="C1:C546 D20:D21 D154 D207 D259:D260 D270:D272 D373:D376 D388:D389 D392 C629:C1048576">
    <cfRule type="cellIs" dxfId="128" priority="40" operator="equal">
      <formula>"IPCOMS"</formula>
    </cfRule>
  </conditionalFormatting>
  <conditionalFormatting sqref="E1:E523 E536:E546 E629:E1048576">
    <cfRule type="containsText" dxfId="127" priority="500" operator="containsText" text="fija">
      <formula>NOT(ISERROR(SEARCH("fija",E1)))</formula>
    </cfRule>
    <cfRule type="containsText" dxfId="126" priority="501" operator="containsText" text="domo">
      <formula>NOT(ISERROR(SEARCH("domo",E1)))</formula>
    </cfRule>
  </conditionalFormatting>
  <conditionalFormatting sqref="E1:E546 E629:E1048576">
    <cfRule type="cellIs" dxfId="125" priority="496" operator="equal">
      <formula>$E$10</formula>
    </cfRule>
  </conditionalFormatting>
  <conditionalFormatting sqref="E35:E42">
    <cfRule type="containsText" dxfId="124" priority="24" operator="containsText" text="Radio">
      <formula>NOT(ISERROR(SEARCH("Radio",E35)))</formula>
    </cfRule>
  </conditionalFormatting>
  <conditionalFormatting sqref="E373:E376">
    <cfRule type="containsText" dxfId="123" priority="1" operator="containsText" text="Radio">
      <formula>NOT(ISERROR(SEARCH("Radio",E373)))</formula>
    </cfRule>
  </conditionalFormatting>
  <conditionalFormatting sqref="E525">
    <cfRule type="containsText" dxfId="122" priority="443" operator="containsText" text="Radio">
      <formula>NOT(ISERROR(SEARCH("Radio",E525)))</formula>
    </cfRule>
    <cfRule type="containsText" dxfId="121" priority="441" operator="containsText" text="fija">
      <formula>NOT(ISERROR(SEARCH("fija",E525)))</formula>
    </cfRule>
    <cfRule type="containsText" dxfId="120" priority="442" operator="containsText" text="domo">
      <formula>NOT(ISERROR(SEARCH("domo",E525)))</formula>
    </cfRule>
  </conditionalFormatting>
  <conditionalFormatting sqref="E525:E526">
    <cfRule type="containsText" dxfId="119" priority="437" operator="containsText" text="domo">
      <formula>NOT(ISERROR(SEARCH("domo",E525)))</formula>
    </cfRule>
    <cfRule type="containsText" dxfId="118" priority="436" operator="containsText" text="fija">
      <formula>NOT(ISERROR(SEARCH("fija",E525)))</formula>
    </cfRule>
  </conditionalFormatting>
  <conditionalFormatting sqref="E526">
    <cfRule type="containsText" dxfId="117" priority="438" operator="containsText" text="Radio">
      <formula>NOT(ISERROR(SEARCH("Radio",E526)))</formula>
    </cfRule>
    <cfRule type="containsText" dxfId="116" priority="435" operator="containsText" text="domo">
      <formula>NOT(ISERROR(SEARCH("domo",E526)))</formula>
    </cfRule>
    <cfRule type="containsText" dxfId="115" priority="434" operator="containsText" text="fija">
      <formula>NOT(ISERROR(SEARCH("fija",E526)))</formula>
    </cfRule>
  </conditionalFormatting>
  <conditionalFormatting sqref="E529">
    <cfRule type="containsText" dxfId="114" priority="433" operator="containsText" text="Radio">
      <formula>NOT(ISERROR(SEARCH("Radio",E529)))</formula>
    </cfRule>
    <cfRule type="containsText" dxfId="113" priority="432" operator="containsText" text="domo">
      <formula>NOT(ISERROR(SEARCH("domo",E529)))</formula>
    </cfRule>
    <cfRule type="containsText" dxfId="112" priority="431" operator="containsText" text="fija">
      <formula>NOT(ISERROR(SEARCH("fija",E529)))</formula>
    </cfRule>
  </conditionalFormatting>
  <conditionalFormatting sqref="E529:E530">
    <cfRule type="containsText" dxfId="111" priority="427" operator="containsText" text="domo">
      <formula>NOT(ISERROR(SEARCH("domo",E529)))</formula>
    </cfRule>
    <cfRule type="containsText" dxfId="110" priority="426" operator="containsText" text="fija">
      <formula>NOT(ISERROR(SEARCH("fija",E529)))</formula>
    </cfRule>
  </conditionalFormatting>
  <conditionalFormatting sqref="E530 F35:G42 E43:H129 F130:F131 E139:H214 E216:F216 E217:H371 E372:F372 F373:F376 E377:H391 E392:F392 E393:H523 E536:H546 E629:H1048576 E130:E138 H372 G372:G376">
    <cfRule type="containsText" dxfId="109" priority="428" operator="containsText" text="Radio">
      <formula>NOT(ISERROR(SEARCH("Radio",E35)))</formula>
    </cfRule>
  </conditionalFormatting>
  <conditionalFormatting sqref="E530:E531">
    <cfRule type="containsText" dxfId="108" priority="422" operator="containsText" text="domo">
      <formula>NOT(ISERROR(SEARCH("domo",E530)))</formula>
    </cfRule>
    <cfRule type="containsText" dxfId="107" priority="421" operator="containsText" text="fija">
      <formula>NOT(ISERROR(SEARCH("fija",E530)))</formula>
    </cfRule>
  </conditionalFormatting>
  <conditionalFormatting sqref="E531">
    <cfRule type="containsText" dxfId="106" priority="423" operator="containsText" text="Radio">
      <formula>NOT(ISERROR(SEARCH("Radio",E531)))</formula>
    </cfRule>
  </conditionalFormatting>
  <conditionalFormatting sqref="E531:E532">
    <cfRule type="containsText" dxfId="105" priority="417" operator="containsText" text="domo">
      <formula>NOT(ISERROR(SEARCH("domo",E531)))</formula>
    </cfRule>
    <cfRule type="containsText" dxfId="104" priority="416" operator="containsText" text="fija">
      <formula>NOT(ISERROR(SEARCH("fija",E531)))</formula>
    </cfRule>
  </conditionalFormatting>
  <conditionalFormatting sqref="E532">
    <cfRule type="containsText" dxfId="103" priority="414" operator="containsText" text="fija">
      <formula>NOT(ISERROR(SEARCH("fija",E532)))</formula>
    </cfRule>
    <cfRule type="containsText" dxfId="102" priority="415" operator="containsText" text="domo">
      <formula>NOT(ISERROR(SEARCH("domo",E532)))</formula>
    </cfRule>
    <cfRule type="containsText" dxfId="101" priority="418" operator="containsText" text="Radio">
      <formula>NOT(ISERROR(SEARCH("Radio",E532)))</formula>
    </cfRule>
  </conditionalFormatting>
  <conditionalFormatting sqref="E534">
    <cfRule type="containsText" dxfId="100" priority="712" operator="containsText" text="fija">
      <formula>NOT(ISERROR(SEARCH("fija",E534)))</formula>
    </cfRule>
    <cfRule type="containsText" dxfId="99" priority="713" operator="containsText" text="domo">
      <formula>NOT(ISERROR(SEARCH("domo",E534)))</formula>
    </cfRule>
  </conditionalFormatting>
  <conditionalFormatting sqref="E537:E539">
    <cfRule type="containsText" dxfId="98" priority="444" operator="containsText" text="fija">
      <formula>NOT(ISERROR(SEARCH("fija",E537)))</formula>
    </cfRule>
    <cfRule type="containsText" dxfId="97" priority="445" operator="containsText" text="domo">
      <formula>NOT(ISERROR(SEARCH("domo",E537)))</formula>
    </cfRule>
  </conditionalFormatting>
  <conditionalFormatting sqref="E215:F215">
    <cfRule type="containsText" dxfId="96" priority="3" operator="containsText" text="Radio">
      <formula>NOT(ISERROR(SEARCH("Radio",E215)))</formula>
    </cfRule>
  </conditionalFormatting>
  <conditionalFormatting sqref="E1:H34">
    <cfRule type="containsText" dxfId="95" priority="38" operator="containsText" text="Radio">
      <formula>NOT(ISERROR(SEARCH("Radio",E1)))</formula>
    </cfRule>
  </conditionalFormatting>
  <conditionalFormatting sqref="E534:H534">
    <cfRule type="containsText" dxfId="94" priority="969" operator="containsText" text="Radio">
      <formula>NOT(ISERROR(SEARCH("Radio",E534)))</formula>
    </cfRule>
  </conditionalFormatting>
  <conditionalFormatting sqref="F1:F131 F139:F546 F629:F1048576">
    <cfRule type="cellIs" dxfId="93" priority="41" operator="equal">
      <formula>"GPON"</formula>
    </cfRule>
    <cfRule type="cellIs" dxfId="92" priority="42" operator="equal">
      <formula>"GPON"</formula>
    </cfRule>
  </conditionalFormatting>
  <conditionalFormatting sqref="F134">
    <cfRule type="cellIs" dxfId="91" priority="34" operator="equal">
      <formula>"PTP A FO"</formula>
    </cfRule>
    <cfRule type="cellIs" dxfId="90" priority="33" operator="equal">
      <formula>"PTP A FO"</formula>
    </cfRule>
    <cfRule type="cellIs" dxfId="89" priority="32" operator="equal">
      <formula>$F$13</formula>
    </cfRule>
    <cfRule type="cellIs" dxfId="88" priority="30" operator="equal">
      <formula>"GPON"</formula>
    </cfRule>
    <cfRule type="containsText" dxfId="87" priority="31" operator="containsText" text="Radio">
      <formula>NOT(ISERROR(SEARCH("Radio",F134)))</formula>
    </cfRule>
    <cfRule type="cellIs" dxfId="86" priority="29" operator="equal">
      <formula>"GPON"</formula>
    </cfRule>
  </conditionalFormatting>
  <conditionalFormatting sqref="F137:F138">
    <cfRule type="cellIs" dxfId="85" priority="7" operator="equal">
      <formula>$F$13</formula>
    </cfRule>
    <cfRule type="containsText" dxfId="84" priority="6" operator="containsText" text="Radio">
      <formula>NOT(ISERROR(SEARCH("Radio",F137)))</formula>
    </cfRule>
    <cfRule type="cellIs" dxfId="83" priority="5" operator="equal">
      <formula>"GPON"</formula>
    </cfRule>
    <cfRule type="cellIs" dxfId="82" priority="4" operator="equal">
      <formula>"GPON"</formula>
    </cfRule>
    <cfRule type="cellIs" dxfId="81" priority="8" operator="equal">
      <formula>"PTP A FO"</formula>
    </cfRule>
    <cfRule type="cellIs" dxfId="80" priority="9" operator="equal">
      <formula>"PTP A FO"</formula>
    </cfRule>
  </conditionalFormatting>
  <conditionalFormatting sqref="F215:F216">
    <cfRule type="cellIs" dxfId="79" priority="22" operator="equal">
      <formula>"PTP A FO"</formula>
    </cfRule>
    <cfRule type="cellIs" dxfId="78" priority="21" operator="equal">
      <formula>"PTP A FO"</formula>
    </cfRule>
    <cfRule type="cellIs" dxfId="77" priority="20" operator="equal">
      <formula>$F$13</formula>
    </cfRule>
  </conditionalFormatting>
  <conditionalFormatting sqref="F216">
    <cfRule type="cellIs" dxfId="76" priority="17" operator="equal">
      <formula>"PTP A FO"</formula>
    </cfRule>
    <cfRule type="cellIs" dxfId="75" priority="16" operator="equal">
      <formula>$F$13</formula>
    </cfRule>
    <cfRule type="cellIs" dxfId="74" priority="18" operator="equal">
      <formula>"PTP A FO"</formula>
    </cfRule>
  </conditionalFormatting>
  <conditionalFormatting sqref="F392">
    <cfRule type="cellIs" dxfId="73" priority="28" operator="equal">
      <formula>"PTP A FO"</formula>
    </cfRule>
    <cfRule type="cellIs" dxfId="72" priority="27" operator="equal">
      <formula>"PTP A FO"</formula>
    </cfRule>
    <cfRule type="cellIs" dxfId="71" priority="26" operator="equal">
      <formula>$F$13</formula>
    </cfRule>
    <cfRule type="containsText" dxfId="70" priority="25" operator="containsText" text="Radio">
      <formula>NOT(ISERROR(SEARCH("Radio",F392)))</formula>
    </cfRule>
  </conditionalFormatting>
  <conditionalFormatting sqref="F524">
    <cfRule type="cellIs" dxfId="69" priority="92" operator="equal">
      <formula>"PTP A FO"</formula>
    </cfRule>
    <cfRule type="containsText" dxfId="68" priority="91" operator="containsText" text="Radio">
      <formula>NOT(ISERROR(SEARCH("Radio",F524)))</formula>
    </cfRule>
  </conditionalFormatting>
  <conditionalFormatting sqref="F1:G129 F130:F131 F139:G214 F217:G391 F392 F393:G523 F534:G534 F536:G546 F629:G1048576">
    <cfRule type="cellIs" dxfId="67" priority="693" operator="equal">
      <formula>"PTP A FO"</formula>
    </cfRule>
  </conditionalFormatting>
  <conditionalFormatting sqref="F1:G129 F130:F131 F139:G214 F217:G391 F392 F393:G546 F629:G1048576">
    <cfRule type="cellIs" dxfId="66" priority="497" operator="equal">
      <formula>$F$13</formula>
    </cfRule>
    <cfRule type="cellIs" dxfId="65" priority="498" operator="equal">
      <formula>"PTP A FO"</formula>
    </cfRule>
  </conditionalFormatting>
  <conditionalFormatting sqref="K7:K546">
    <cfRule type="cellIs" dxfId="64" priority="928" operator="lessThan">
      <formula>0.8</formula>
    </cfRule>
    <cfRule type="cellIs" dxfId="63" priority="929" operator="greaterThan">
      <formula>0.8</formula>
    </cfRule>
  </conditionalFormatting>
  <conditionalFormatting sqref="L629:AN705 V629:AG1048576">
    <cfRule type="cellIs" dxfId="62" priority="75" operator="equal">
      <formula>"apagado"</formula>
    </cfRule>
  </conditionalFormatting>
  <conditionalFormatting sqref="L629:AN1048576">
    <cfRule type="containsText" dxfId="61" priority="625" operator="containsText" text="Caida">
      <formula>NOT(ISERROR(SEARCH("Caida",L629)))</formula>
    </cfRule>
    <cfRule type="notContainsText" dxfId="60" priority="958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59" priority="74" operator="equal">
      <formula>"APAGADO"</formula>
    </cfRule>
  </conditionalFormatting>
  <conditionalFormatting sqref="N629:N1148">
    <cfRule type="cellIs" dxfId="58" priority="256" operator="lessThan">
      <formula>0.8</formula>
    </cfRule>
    <cfRule type="containsText" dxfId="57" priority="255" operator="containsText" text="Caida">
      <formula>NOT(ISERROR(SEARCH("Caida",N629)))</formula>
    </cfRule>
    <cfRule type="notContainsText" dxfId="56" priority="254" operator="notContains" text="Caida">
      <formula>ISERROR(SEARCH("Caida",N629))</formula>
    </cfRule>
    <cfRule type="cellIs" dxfId="55" priority="384" operator="equal">
      <formula>"APAGADO"</formula>
    </cfRule>
    <cfRule type="cellIs" dxfId="54" priority="280" operator="greaterThan">
      <formula>0.8</formula>
    </cfRule>
    <cfRule type="cellIs" dxfId="53" priority="257" operator="greaterThan">
      <formula>0.8</formula>
    </cfRule>
  </conditionalFormatting>
  <conditionalFormatting sqref="N629:N1048576">
    <cfRule type="cellIs" dxfId="52" priority="274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170" zoomScale="90" zoomScaleNormal="90" workbookViewId="0">
      <selection activeCell="B177" sqref="B177:F18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539</v>
      </c>
      <c r="D2" s="101"/>
      <c r="E2" s="106"/>
      <c r="F2" s="148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49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0.11502782931354361</v>
      </c>
      <c r="F4" s="149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0.1038961038961039</v>
      </c>
      <c r="F5" s="149"/>
    </row>
    <row r="6" spans="1:6" x14ac:dyDescent="0.25">
      <c r="A6" s="97" t="s">
        <v>1483</v>
      </c>
      <c r="B6" s="53" t="s">
        <v>16</v>
      </c>
      <c r="C6" s="94">
        <f>'RESUMEN TOTAL'!L5</f>
        <v>11</v>
      </c>
      <c r="D6" s="103">
        <v>44</v>
      </c>
      <c r="E6" s="55">
        <f>D6/C2</f>
        <v>8.1632653061224483E-2</v>
      </c>
      <c r="F6" s="149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6.4935064935064929E-2</v>
      </c>
      <c r="F7" s="149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49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49"/>
    </row>
    <row r="10" spans="1:6" ht="15.75" thickBot="1" x14ac:dyDescent="0.3">
      <c r="A10" t="s">
        <v>1485</v>
      </c>
      <c r="B10" s="112" t="s">
        <v>1067</v>
      </c>
      <c r="C10" s="113">
        <f>COSEIDIcam</f>
        <v>249</v>
      </c>
      <c r="D10" s="113">
        <f>Hoja1!F5</f>
        <v>31</v>
      </c>
      <c r="E10" s="114">
        <v>0.12</v>
      </c>
      <c r="F10" s="15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539</v>
      </c>
      <c r="D13" s="101"/>
      <c r="E13" s="106"/>
      <c r="F13" s="148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49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0.12987012987012986</v>
      </c>
      <c r="F15" s="149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0.11873840445269017</v>
      </c>
      <c r="F16" s="149"/>
    </row>
    <row r="17" spans="1:6" x14ac:dyDescent="0.25">
      <c r="A17" t="s">
        <v>1484</v>
      </c>
      <c r="B17" s="53" t="s">
        <v>16</v>
      </c>
      <c r="C17" s="94">
        <f>'RESUMEN TOTAL'!M5</f>
        <v>12</v>
      </c>
      <c r="D17" s="103">
        <f>D16-C17</f>
        <v>52</v>
      </c>
      <c r="E17" s="55">
        <f>D17/C13</f>
        <v>9.6474953617810763E-2</v>
      </c>
      <c r="F17" s="149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7.9777365491651209E-2</v>
      </c>
      <c r="F18" s="149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49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49"/>
    </row>
    <row r="21" spans="1:6" ht="15.75" thickBot="1" x14ac:dyDescent="0.3">
      <c r="A21" t="s">
        <v>1486</v>
      </c>
      <c r="B21" s="112" t="s">
        <v>1067</v>
      </c>
      <c r="C21" s="113">
        <f>COSEIDIcam</f>
        <v>249</v>
      </c>
      <c r="D21" s="113">
        <f>Hoja1!G5</f>
        <v>34</v>
      </c>
      <c r="E21" s="114">
        <v>0.12</v>
      </c>
      <c r="F21" s="15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539</v>
      </c>
      <c r="D24" s="101"/>
      <c r="E24" s="106"/>
      <c r="F24" s="148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49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0.12615955473098331</v>
      </c>
      <c r="F26" s="149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0.12615955473098331</v>
      </c>
      <c r="F27" s="149"/>
    </row>
    <row r="28" spans="1:6" x14ac:dyDescent="0.25">
      <c r="A28" t="s">
        <v>1477</v>
      </c>
      <c r="B28" s="53" t="s">
        <v>16</v>
      </c>
      <c r="C28" s="94">
        <f>'RESUMEN TOTAL'!N5</f>
        <v>11</v>
      </c>
      <c r="D28" s="103">
        <f>D27-C28</f>
        <v>57</v>
      </c>
      <c r="E28" s="55">
        <f>D28/C24</f>
        <v>0.10575139146567718</v>
      </c>
      <c r="F28" s="149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0.10575139146567718</v>
      </c>
      <c r="F29" s="149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49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49"/>
    </row>
    <row r="32" spans="1:6" ht="15.75" thickBot="1" x14ac:dyDescent="0.3">
      <c r="B32" s="112" t="s">
        <v>1067</v>
      </c>
      <c r="C32" s="113">
        <f>COSEIDIcam</f>
        <v>249</v>
      </c>
      <c r="D32" s="113">
        <f>Hoja1!H5</f>
        <v>34</v>
      </c>
      <c r="E32" s="114">
        <f>D32/C32</f>
        <v>0.13654618473895583</v>
      </c>
      <c r="F32" s="150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539</v>
      </c>
      <c r="D35" s="101"/>
      <c r="E35" s="106"/>
      <c r="F35" s="148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49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0.10575139146567718</v>
      </c>
      <c r="F37" s="149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9.4619666048237475E-2</v>
      </c>
      <c r="F38" s="149"/>
    </row>
    <row r="39" spans="1:6" x14ac:dyDescent="0.25">
      <c r="A39" t="s">
        <v>1476</v>
      </c>
      <c r="B39" s="53" t="s">
        <v>16</v>
      </c>
      <c r="C39" s="94">
        <f>'RESUMEN TOTAL'!O5</f>
        <v>12</v>
      </c>
      <c r="D39" s="103">
        <f>D38-C39</f>
        <v>39</v>
      </c>
      <c r="E39" s="55">
        <f>D39/C35</f>
        <v>7.2356215213358069E-2</v>
      </c>
      <c r="F39" s="149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5.5658627087198514E-2</v>
      </c>
      <c r="F40" s="149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49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49"/>
    </row>
    <row r="43" spans="1:6" ht="15.75" thickBot="1" x14ac:dyDescent="0.3">
      <c r="B43" s="112" t="s">
        <v>1067</v>
      </c>
      <c r="C43" s="113">
        <f>COSEIDIcam</f>
        <v>249</v>
      </c>
      <c r="D43" s="113">
        <f>Hoja1!I5</f>
        <v>28</v>
      </c>
      <c r="E43" s="114">
        <v>0.1</v>
      </c>
      <c r="F43" s="150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539</v>
      </c>
      <c r="D46" s="101"/>
      <c r="E46" s="106"/>
      <c r="F46" s="148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49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9.2764378478664186E-2</v>
      </c>
      <c r="F48" s="149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8.1632653061224483E-2</v>
      </c>
      <c r="F49" s="149"/>
    </row>
    <row r="50" spans="1:6" x14ac:dyDescent="0.25">
      <c r="A50" t="s">
        <v>1478</v>
      </c>
      <c r="B50" s="53" t="s">
        <v>16</v>
      </c>
      <c r="C50" s="94">
        <f>'RESUMEN TOTAL'!P5</f>
        <v>11</v>
      </c>
      <c r="D50" s="103">
        <f>D49-C50</f>
        <v>33</v>
      </c>
      <c r="E50" s="55">
        <f>D50/C46</f>
        <v>6.1224489795918366E-2</v>
      </c>
      <c r="F50" s="149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4.4526901669758812E-2</v>
      </c>
      <c r="F51" s="149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49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49"/>
    </row>
    <row r="54" spans="1:6" ht="15.75" thickBot="1" x14ac:dyDescent="0.3">
      <c r="B54" s="112" t="s">
        <v>1067</v>
      </c>
      <c r="C54" s="113">
        <f>COSEIDIcam</f>
        <v>249</v>
      </c>
      <c r="D54" s="113">
        <f>Hoja1!J5</f>
        <v>28</v>
      </c>
      <c r="E54" s="114">
        <v>0</v>
      </c>
      <c r="F54" s="150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539</v>
      </c>
      <c r="D57" s="101"/>
      <c r="E57" s="106"/>
      <c r="F57" s="148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49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49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49"/>
    </row>
    <row r="61" spans="1:6" x14ac:dyDescent="0.25">
      <c r="A61" t="s">
        <v>1479</v>
      </c>
      <c r="B61" s="53" t="s">
        <v>16</v>
      </c>
      <c r="C61" s="94">
        <f>'RESUMEN TOTAL'!Q5</f>
        <v>11</v>
      </c>
      <c r="D61" s="103">
        <v>0</v>
      </c>
      <c r="E61" s="55">
        <f>D61/C57</f>
        <v>0</v>
      </c>
      <c r="F61" s="149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49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49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49"/>
    </row>
    <row r="65" spans="1:6" ht="15.75" thickBot="1" x14ac:dyDescent="0.3">
      <c r="B65" s="112" t="s">
        <v>1067</v>
      </c>
      <c r="C65" s="113">
        <f>COSEIDIcam</f>
        <v>249</v>
      </c>
      <c r="D65" s="113">
        <f>Hoja1!K5</f>
        <v>34</v>
      </c>
      <c r="E65" s="114">
        <f>D65/C65</f>
        <v>0.13654618473895583</v>
      </c>
      <c r="F65" s="150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539</v>
      </c>
      <c r="D68" s="101"/>
      <c r="E68" s="106"/>
      <c r="F68" s="148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49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0.13172541743970315</v>
      </c>
      <c r="F70" s="149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0.13172541743970315</v>
      </c>
      <c r="F71" s="149"/>
    </row>
    <row r="72" spans="1:6" x14ac:dyDescent="0.25">
      <c r="A72" t="s">
        <v>1480</v>
      </c>
      <c r="B72" s="53" t="s">
        <v>16</v>
      </c>
      <c r="C72" s="94">
        <f>'RESUMEN TOTAL'!R5</f>
        <v>14</v>
      </c>
      <c r="D72" s="103">
        <f>D71-C72</f>
        <v>57</v>
      </c>
      <c r="E72" s="55">
        <f>D72/C68</f>
        <v>0.10575139146567718</v>
      </c>
      <c r="F72" s="149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0.10575139146567718</v>
      </c>
      <c r="F73" s="149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49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49"/>
    </row>
    <row r="76" spans="1:6" ht="15.75" thickBot="1" x14ac:dyDescent="0.3">
      <c r="B76" s="112" t="s">
        <v>1067</v>
      </c>
      <c r="C76" s="113">
        <f>COSEIDIcam</f>
        <v>249</v>
      </c>
      <c r="D76" s="113">
        <f>Hoja1!L5</f>
        <v>37</v>
      </c>
      <c r="E76" s="114">
        <f>D76/C76</f>
        <v>0.14859437751004015</v>
      </c>
      <c r="F76" s="150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539</v>
      </c>
      <c r="D79" s="101"/>
      <c r="E79" s="106"/>
      <c r="F79" s="148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49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0.10575139146567718</v>
      </c>
      <c r="F81" s="149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9.4619666048237475E-2</v>
      </c>
      <c r="F82" s="149"/>
    </row>
    <row r="83" spans="1:6" x14ac:dyDescent="0.25">
      <c r="A83" t="s">
        <v>1475</v>
      </c>
      <c r="B83" s="53" t="s">
        <v>16</v>
      </c>
      <c r="C83" s="94">
        <f>'RESUMEN TOTAL'!S5</f>
        <v>14</v>
      </c>
      <c r="D83" s="103">
        <f>D82-C83</f>
        <v>37</v>
      </c>
      <c r="E83" s="55">
        <f>D83/C79</f>
        <v>6.8645640074211506E-2</v>
      </c>
      <c r="F83" s="149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5.1948051948051951E-2</v>
      </c>
      <c r="F84" s="149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49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49"/>
    </row>
    <row r="87" spans="1:6" ht="15.75" thickBot="1" x14ac:dyDescent="0.3">
      <c r="B87" s="112" t="s">
        <v>1067</v>
      </c>
      <c r="C87" s="113">
        <f>COSEIDIcam</f>
        <v>249</v>
      </c>
      <c r="D87" s="113">
        <f>Hoja1!M5</f>
        <v>37</v>
      </c>
      <c r="E87" s="114">
        <v>0.15</v>
      </c>
      <c r="F87" s="150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539</v>
      </c>
      <c r="D90" s="101"/>
      <c r="E90" s="106"/>
      <c r="F90" s="148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49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8.9053803339517623E-2</v>
      </c>
      <c r="F92" s="149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7.792207792207792E-2</v>
      </c>
      <c r="F93" s="149"/>
    </row>
    <row r="94" spans="1:6" x14ac:dyDescent="0.25">
      <c r="A94" t="s">
        <v>1481</v>
      </c>
      <c r="B94" s="53" t="s">
        <v>16</v>
      </c>
      <c r="C94" s="94">
        <f>'RESUMEN TOTAL'!T5</f>
        <v>10</v>
      </c>
      <c r="D94" s="103">
        <f>D93-C94</f>
        <v>32</v>
      </c>
      <c r="E94" s="55">
        <f>D94/C90</f>
        <v>5.9369202226345084E-2</v>
      </c>
      <c r="F94" s="149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4.267161410018553E-2</v>
      </c>
      <c r="F95" s="149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49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49"/>
    </row>
    <row r="98" spans="1:6" ht="15.75" thickBot="1" x14ac:dyDescent="0.3">
      <c r="B98" s="112" t="s">
        <v>1067</v>
      </c>
      <c r="C98" s="113">
        <f>COSEIDIcam</f>
        <v>249</v>
      </c>
      <c r="D98" s="113">
        <f>Hoja1!N5</f>
        <v>28</v>
      </c>
      <c r="E98" s="114">
        <v>0.12</v>
      </c>
      <c r="F98" s="150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539</v>
      </c>
      <c r="D101" s="101"/>
      <c r="E101" s="106"/>
      <c r="F101" s="148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49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9.8330241187384038E-2</v>
      </c>
      <c r="F103" s="149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8.7198515769944335E-2</v>
      </c>
      <c r="F104" s="149"/>
    </row>
    <row r="105" spans="1:6" x14ac:dyDescent="0.25">
      <c r="A105" t="s">
        <v>1482</v>
      </c>
      <c r="B105" s="53" t="s">
        <v>16</v>
      </c>
      <c r="C105" s="94">
        <f>'RESUMEN TOTAL'!U5</f>
        <v>13</v>
      </c>
      <c r="D105" s="103">
        <f>D104-C105</f>
        <v>34</v>
      </c>
      <c r="E105" s="55">
        <f>D105/C101</f>
        <v>6.3079777365491654E-2</v>
      </c>
      <c r="F105" s="149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4.6382189239332093E-2</v>
      </c>
      <c r="F106" s="149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49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49"/>
    </row>
    <row r="109" spans="1:6" ht="15.75" thickBot="1" x14ac:dyDescent="0.3">
      <c r="B109" s="112" t="s">
        <v>1067</v>
      </c>
      <c r="C109" s="113">
        <f>COSEIDIcam</f>
        <v>249</v>
      </c>
      <c r="D109" s="113">
        <f>Hoja1!O5</f>
        <v>31</v>
      </c>
      <c r="E109" s="114">
        <f>D109/C109</f>
        <v>0.12449799196787148</v>
      </c>
      <c r="F109" s="150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539</v>
      </c>
      <c r="D112" s="101"/>
      <c r="E112" s="106"/>
      <c r="F112" s="148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49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0.12244897959183673</v>
      </c>
      <c r="F114" s="149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0.11131725417439703</v>
      </c>
      <c r="F115" s="149"/>
    </row>
    <row r="116" spans="2:6" x14ac:dyDescent="0.25">
      <c r="B116" s="53" t="s">
        <v>16</v>
      </c>
      <c r="C116" s="94">
        <f>'RESUMEN TOTAL'!V5</f>
        <v>10</v>
      </c>
      <c r="D116" s="103">
        <v>50</v>
      </c>
      <c r="E116" s="55">
        <f>D116/C112</f>
        <v>9.2764378478664186E-2</v>
      </c>
      <c r="F116" s="149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7.6066790352504632E-2</v>
      </c>
      <c r="F117" s="149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49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49"/>
    </row>
    <row r="120" spans="2:6" ht="15.75" thickBot="1" x14ac:dyDescent="0.3">
      <c r="B120" s="112" t="s">
        <v>1067</v>
      </c>
      <c r="C120" s="113">
        <f>COSEIDIcam</f>
        <v>249</v>
      </c>
      <c r="D120" s="113">
        <f>Hoja1!P5</f>
        <v>27</v>
      </c>
      <c r="E120" s="114">
        <f>D120/C120</f>
        <v>0.10843373493975904</v>
      </c>
      <c r="F120" s="150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539</v>
      </c>
      <c r="D123" s="101"/>
      <c r="E123" s="106"/>
      <c r="F123" s="148">
        <v>45912</v>
      </c>
    </row>
    <row r="124" spans="2:6" x14ac:dyDescent="0.25">
      <c r="B124" s="53" t="s">
        <v>6</v>
      </c>
      <c r="C124" s="66">
        <f>'RESUMEN TOTAL'!W3</f>
        <v>69</v>
      </c>
      <c r="D124" s="54"/>
      <c r="E124" s="55">
        <f>C124/C123</f>
        <v>0.1280148423005566</v>
      </c>
      <c r="F124" s="149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0.12244897959183673</v>
      </c>
      <c r="F125" s="149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0.11131725417439703</v>
      </c>
      <c r="F126" s="149"/>
    </row>
    <row r="127" spans="2:6" x14ac:dyDescent="0.25">
      <c r="B127" s="53" t="s">
        <v>16</v>
      </c>
      <c r="C127" s="94">
        <f>'RESUMEN TOTAL'!W5</f>
        <v>8</v>
      </c>
      <c r="D127" s="103">
        <f>D126-C127</f>
        <v>52</v>
      </c>
      <c r="E127" s="55">
        <f>D127/C123</f>
        <v>9.6474953617810763E-2</v>
      </c>
      <c r="F127" s="149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7.9777365491651209E-2</v>
      </c>
      <c r="F128" s="149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49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49"/>
    </row>
    <row r="131" spans="2:6" ht="15.75" thickBot="1" x14ac:dyDescent="0.3">
      <c r="B131" s="112" t="s">
        <v>1067</v>
      </c>
      <c r="C131" s="113">
        <f>COSEIDIcam</f>
        <v>249</v>
      </c>
      <c r="D131" s="113">
        <f>Hoja1!Q5</f>
        <v>21</v>
      </c>
      <c r="E131" s="114">
        <v>0.1</v>
      </c>
      <c r="F131" s="150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539</v>
      </c>
      <c r="D134" s="101"/>
      <c r="E134" s="106"/>
      <c r="F134" s="148">
        <v>45913</v>
      </c>
    </row>
    <row r="135" spans="2:6" x14ac:dyDescent="0.25">
      <c r="B135" s="53" t="s">
        <v>6</v>
      </c>
      <c r="C135" s="66">
        <f>'RESUMEN TOTAL'!X3</f>
        <v>51</v>
      </c>
      <c r="D135" s="54"/>
      <c r="E135" s="55">
        <f>C135/C134</f>
        <v>9.4619666048237475E-2</v>
      </c>
      <c r="F135" s="149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9.4619666048237475E-2</v>
      </c>
      <c r="F136" s="149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9.4619666048237475E-2</v>
      </c>
      <c r="F137" s="149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9.4619666048237475E-2</v>
      </c>
      <c r="F138" s="149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49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49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49"/>
    </row>
    <row r="142" spans="2:6" ht="15.75" thickBot="1" x14ac:dyDescent="0.3">
      <c r="B142" s="112" t="s">
        <v>1067</v>
      </c>
      <c r="C142" s="113">
        <f>COSEIDIcam</f>
        <v>249</v>
      </c>
      <c r="D142" s="113">
        <v>0</v>
      </c>
      <c r="E142" s="114">
        <f>D142/C142</f>
        <v>0</v>
      </c>
      <c r="F142" s="150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539</v>
      </c>
      <c r="D145" s="101"/>
      <c r="E145" s="106"/>
      <c r="F145" s="148">
        <v>45914</v>
      </c>
    </row>
    <row r="146" spans="2:6" x14ac:dyDescent="0.25">
      <c r="B146" s="53" t="s">
        <v>6</v>
      </c>
      <c r="C146" s="66">
        <f>'RESUMEN TOTAL'!Y3</f>
        <v>45</v>
      </c>
      <c r="D146" s="54"/>
      <c r="E146" s="55">
        <f>C146/C145</f>
        <v>8.3487940630797772E-2</v>
      </c>
      <c r="F146" s="149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8.3487940630797772E-2</v>
      </c>
      <c r="F147" s="149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8.3487940630797772E-2</v>
      </c>
      <c r="F148" s="149"/>
    </row>
    <row r="149" spans="2:6" x14ac:dyDescent="0.25">
      <c r="B149" s="53" t="s">
        <v>16</v>
      </c>
      <c r="C149" s="94">
        <f>'RESUMEN TOTAL'!Y5</f>
        <v>8</v>
      </c>
      <c r="D149" s="103">
        <f>D148-C149</f>
        <v>37</v>
      </c>
      <c r="E149" s="55">
        <f>D149/C145</f>
        <v>6.8645640074211506E-2</v>
      </c>
      <c r="F149" s="149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6.8645640074211506E-2</v>
      </c>
      <c r="F150" s="149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49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49"/>
    </row>
    <row r="153" spans="2:6" ht="15.75" thickBot="1" x14ac:dyDescent="0.3">
      <c r="B153" s="112" t="s">
        <v>1067</v>
      </c>
      <c r="C153" s="113">
        <f>COSEIDIcam</f>
        <v>249</v>
      </c>
      <c r="D153" s="113">
        <v>0</v>
      </c>
      <c r="E153" s="114">
        <f>D153/C153</f>
        <v>0</v>
      </c>
      <c r="F153" s="150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539</v>
      </c>
      <c r="D156" s="101"/>
      <c r="E156" s="106"/>
      <c r="F156" s="148">
        <v>45915</v>
      </c>
    </row>
    <row r="157" spans="2:6" x14ac:dyDescent="0.25">
      <c r="B157" s="53" t="s">
        <v>6</v>
      </c>
      <c r="C157" s="66">
        <f>'RESUMEN TOTAL'!Z3</f>
        <v>54</v>
      </c>
      <c r="D157" s="54"/>
      <c r="E157" s="55">
        <f>C157/C156</f>
        <v>0.10018552875695733</v>
      </c>
      <c r="F157" s="149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8.9053803339517623E-2</v>
      </c>
      <c r="F158" s="149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7.792207792207792E-2</v>
      </c>
      <c r="F159" s="149"/>
    </row>
    <row r="160" spans="2:6" x14ac:dyDescent="0.25">
      <c r="B160" s="53" t="s">
        <v>16</v>
      </c>
      <c r="C160" s="94">
        <f>'RESUMEN TOTAL'!Z5</f>
        <v>9</v>
      </c>
      <c r="D160" s="103">
        <f>D159-C160</f>
        <v>33</v>
      </c>
      <c r="E160" s="55">
        <f>D160/C156</f>
        <v>6.1224489795918366E-2</v>
      </c>
      <c r="F160" s="149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4.4526901669758812E-2</v>
      </c>
      <c r="F161" s="149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49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49"/>
    </row>
    <row r="164" spans="2:6" ht="15.75" thickBot="1" x14ac:dyDescent="0.3">
      <c r="B164" s="112" t="s">
        <v>1067</v>
      </c>
      <c r="C164" s="113">
        <f>COSEIDIcam</f>
        <v>249</v>
      </c>
      <c r="D164" s="113">
        <f>Hoja1!T5</f>
        <v>21</v>
      </c>
      <c r="E164" s="114">
        <f>D164/C164</f>
        <v>8.4337349397590355E-2</v>
      </c>
      <c r="F164" s="150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539</v>
      </c>
      <c r="D167" s="101"/>
      <c r="E167" s="106"/>
      <c r="F167" s="148">
        <v>45916</v>
      </c>
    </row>
    <row r="168" spans="2:6" x14ac:dyDescent="0.25">
      <c r="B168" s="53" t="s">
        <v>6</v>
      </c>
      <c r="C168" s="66">
        <f>'RESUMEN TOTAL'!AA3</f>
        <v>54</v>
      </c>
      <c r="D168" s="54"/>
      <c r="E168" s="55">
        <f>C168/C167</f>
        <v>0.10018552875695733</v>
      </c>
      <c r="F168" s="149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0.10018552875695733</v>
      </c>
      <c r="F169" s="149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0.10018552875695733</v>
      </c>
      <c r="F170" s="149"/>
    </row>
    <row r="171" spans="2:6" x14ac:dyDescent="0.25">
      <c r="B171" s="53" t="s">
        <v>16</v>
      </c>
      <c r="C171" s="94">
        <f>'RESUMEN TOTAL'!AA5</f>
        <v>13</v>
      </c>
      <c r="D171" s="103">
        <f>D170-C171</f>
        <v>41</v>
      </c>
      <c r="E171" s="55">
        <f>D171/C167</f>
        <v>7.6066790352504632E-2</v>
      </c>
      <c r="F171" s="149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7.6066790352504632E-2</v>
      </c>
      <c r="F172" s="149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49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49"/>
    </row>
    <row r="175" spans="2:6" ht="15.75" thickBot="1" x14ac:dyDescent="0.3">
      <c r="B175" s="112" t="s">
        <v>1067</v>
      </c>
      <c r="C175" s="113">
        <f>COSEIDIcam</f>
        <v>249</v>
      </c>
      <c r="D175" s="113">
        <f>Hoja1!U5</f>
        <v>26</v>
      </c>
      <c r="E175" s="114">
        <f>D175/C175</f>
        <v>0.10441767068273092</v>
      </c>
      <c r="F175" s="150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539</v>
      </c>
      <c r="D178" s="101"/>
      <c r="E178" s="106"/>
      <c r="F178" s="148">
        <v>45917</v>
      </c>
    </row>
    <row r="179" spans="2:6" x14ac:dyDescent="0.25">
      <c r="B179" s="53" t="s">
        <v>6</v>
      </c>
      <c r="C179" s="66">
        <f>'RESUMEN TOTAL'!AB3</f>
        <v>55</v>
      </c>
      <c r="D179" s="54"/>
      <c r="E179" s="55">
        <f>C179/C178</f>
        <v>0.10204081632653061</v>
      </c>
      <c r="F179" s="149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9.4619666048237475E-2</v>
      </c>
      <c r="F180" s="149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8.3487940630797772E-2</v>
      </c>
      <c r="F181" s="149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6.3079777365491654E-2</v>
      </c>
      <c r="F182" s="149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4.6382189239332093E-2</v>
      </c>
      <c r="F183" s="149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49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49"/>
    </row>
    <row r="186" spans="2:6" ht="15.75" thickBot="1" x14ac:dyDescent="0.3">
      <c r="B186" s="112" t="s">
        <v>1067</v>
      </c>
      <c r="C186" s="113">
        <f>COSEIDIcam</f>
        <v>249</v>
      </c>
      <c r="D186" s="113">
        <f>Hoja1!V5</f>
        <v>29</v>
      </c>
      <c r="E186" s="114">
        <v>0.12</v>
      </c>
      <c r="F186" s="150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539</v>
      </c>
      <c r="D189" s="101"/>
      <c r="E189" s="106"/>
      <c r="F189" s="148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9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49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49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49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49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49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f>D196/C196</f>
        <v>0</v>
      </c>
      <c r="F196" s="149"/>
    </row>
    <row r="197" spans="2:6" ht="15.75" thickBot="1" x14ac:dyDescent="0.3">
      <c r="B197" s="112" t="s">
        <v>1067</v>
      </c>
      <c r="C197" s="113">
        <f>COSEIDIcam</f>
        <v>249</v>
      </c>
      <c r="D197" s="113">
        <v>0</v>
      </c>
      <c r="E197" s="114">
        <f>D197/C197</f>
        <v>0</v>
      </c>
      <c r="F197" s="150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539</v>
      </c>
      <c r="D200" s="101"/>
      <c r="E200" s="106"/>
      <c r="F200" s="148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9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49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49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49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49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49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49"/>
    </row>
    <row r="208" spans="2:6" ht="15.75" thickBot="1" x14ac:dyDescent="0.3">
      <c r="B208" s="112" t="s">
        <v>1067</v>
      </c>
      <c r="C208" s="113">
        <f>COSEIDIcam</f>
        <v>249</v>
      </c>
      <c r="D208" s="113">
        <v>0</v>
      </c>
      <c r="E208" s="114">
        <f>D208/C208</f>
        <v>0</v>
      </c>
      <c r="F208" s="150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539</v>
      </c>
      <c r="D211" s="101"/>
      <c r="E211" s="106"/>
      <c r="F211" s="148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9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49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49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49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49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49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49"/>
    </row>
    <row r="219" spans="2:6" ht="15.75" thickBot="1" x14ac:dyDescent="0.3">
      <c r="B219" s="112" t="s">
        <v>1067</v>
      </c>
      <c r="C219" s="113">
        <f>COSEIDIcam</f>
        <v>249</v>
      </c>
      <c r="D219" s="113">
        <v>0</v>
      </c>
      <c r="E219" s="114">
        <f>D219/C219</f>
        <v>0</v>
      </c>
      <c r="F219" s="15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539</v>
      </c>
      <c r="D223" s="101"/>
      <c r="E223" s="106"/>
      <c r="F223" s="148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49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49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49"/>
    </row>
    <row r="227" spans="2:6" x14ac:dyDescent="0.25">
      <c r="B227" s="53" t="s">
        <v>16</v>
      </c>
      <c r="C227" s="94">
        <f>'RESUMEN TOTAL'!AF5</f>
        <v>0</v>
      </c>
      <c r="D227" s="103">
        <v>0</v>
      </c>
      <c r="E227" s="55">
        <f>D227/C223</f>
        <v>0</v>
      </c>
      <c r="F227" s="149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49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49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49"/>
    </row>
    <row r="231" spans="2:6" ht="15.75" thickBot="1" x14ac:dyDescent="0.3">
      <c r="B231" s="112" t="s">
        <v>1067</v>
      </c>
      <c r="C231" s="113">
        <f>COSEIDIcam</f>
        <v>249</v>
      </c>
      <c r="D231" s="113">
        <f>Hoja1!Z5</f>
        <v>0</v>
      </c>
      <c r="E231" s="114">
        <f>D231/C231</f>
        <v>0</v>
      </c>
      <c r="F231" s="15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539</v>
      </c>
      <c r="D235" s="101"/>
      <c r="E235" s="106"/>
      <c r="F235" s="148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9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49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49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49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49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49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49"/>
    </row>
    <row r="243" spans="2:6" ht="15.75" thickBot="1" x14ac:dyDescent="0.3">
      <c r="B243" s="112" t="s">
        <v>1067</v>
      </c>
      <c r="C243" s="113">
        <f>COSEIDIcam</f>
        <v>249</v>
      </c>
      <c r="D243" s="113">
        <v>0</v>
      </c>
      <c r="E243" s="114">
        <v>0</v>
      </c>
      <c r="F243" s="15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539</v>
      </c>
      <c r="D247" s="101"/>
      <c r="E247" s="106"/>
      <c r="F247" s="148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9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49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49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49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49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49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49"/>
    </row>
    <row r="255" spans="2:6" ht="15.75" thickBot="1" x14ac:dyDescent="0.3">
      <c r="B255" s="112" t="s">
        <v>1067</v>
      </c>
      <c r="C255" s="113">
        <f>COSEIDIcam</f>
        <v>249</v>
      </c>
      <c r="D255" s="113">
        <v>0</v>
      </c>
      <c r="E255" s="114">
        <f>D255/C255</f>
        <v>0</v>
      </c>
      <c r="F255" s="15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539</v>
      </c>
      <c r="D259" s="101"/>
      <c r="E259" s="106"/>
      <c r="F259" s="148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9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49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49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49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49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49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49"/>
    </row>
    <row r="267" spans="2:6" ht="15.75" thickBot="1" x14ac:dyDescent="0.3">
      <c r="B267" s="112" t="s">
        <v>1067</v>
      </c>
      <c r="C267" s="113">
        <f>COSEIDIcam</f>
        <v>249</v>
      </c>
      <c r="D267" s="113">
        <v>0</v>
      </c>
      <c r="E267" s="114">
        <f>D267/C267</f>
        <v>0</v>
      </c>
      <c r="F267" s="150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539</v>
      </c>
      <c r="D270" s="101"/>
      <c r="E270" s="106"/>
      <c r="F270" s="148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9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49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49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49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49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49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49"/>
    </row>
    <row r="278" spans="2:6" ht="15.75" thickBot="1" x14ac:dyDescent="0.3">
      <c r="B278" s="112" t="s">
        <v>1067</v>
      </c>
      <c r="C278" s="113">
        <f>COSEIDIcam</f>
        <v>249</v>
      </c>
      <c r="D278" s="113">
        <v>0</v>
      </c>
      <c r="E278" s="114">
        <v>0</v>
      </c>
      <c r="F278" s="150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539</v>
      </c>
      <c r="D281" s="101"/>
      <c r="E281" s="106"/>
      <c r="F281" s="148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9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49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49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49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49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49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49"/>
    </row>
    <row r="289" spans="2:6" ht="15.75" thickBot="1" x14ac:dyDescent="0.3">
      <c r="B289" s="112" t="s">
        <v>1067</v>
      </c>
      <c r="C289" s="113">
        <f>COSEIDIcam</f>
        <v>249</v>
      </c>
      <c r="D289" s="113">
        <v>0</v>
      </c>
      <c r="E289" s="114">
        <f>D289/C289</f>
        <v>0</v>
      </c>
      <c r="F289" s="150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539</v>
      </c>
      <c r="D292" s="101"/>
      <c r="E292" s="106"/>
      <c r="F292" s="148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9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49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49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49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49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49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49"/>
    </row>
    <row r="300" spans="2:6" ht="15.75" thickBot="1" x14ac:dyDescent="0.3">
      <c r="B300" s="112" t="s">
        <v>1067</v>
      </c>
      <c r="C300" s="113">
        <f>COSEIDIcam</f>
        <v>249</v>
      </c>
      <c r="D300" s="113">
        <v>0</v>
      </c>
      <c r="E300" s="114">
        <f>D300/C300</f>
        <v>0</v>
      </c>
      <c r="F300" s="150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539</v>
      </c>
      <c r="D303" s="101"/>
      <c r="E303" s="106"/>
      <c r="F303" s="148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9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49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49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49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49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49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49"/>
    </row>
    <row r="311" spans="2:6" ht="15.75" thickBot="1" x14ac:dyDescent="0.3">
      <c r="B311" s="112" t="s">
        <v>1067</v>
      </c>
      <c r="C311" s="113">
        <f>COSEIDIcam</f>
        <v>249</v>
      </c>
      <c r="D311" s="113">
        <v>0</v>
      </c>
      <c r="E311" s="114">
        <v>0</v>
      </c>
      <c r="F311" s="150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539</v>
      </c>
      <c r="D314" s="101"/>
      <c r="E314" s="106"/>
      <c r="F314" s="148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9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49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49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49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49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49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49"/>
    </row>
    <row r="322" spans="2:6" ht="15.75" thickBot="1" x14ac:dyDescent="0.3">
      <c r="B322" s="112" t="s">
        <v>1067</v>
      </c>
      <c r="C322" s="113">
        <f>COSEIDIcam</f>
        <v>249</v>
      </c>
      <c r="D322" s="113">
        <v>0</v>
      </c>
      <c r="E322" s="114">
        <f>D322/C322</f>
        <v>0</v>
      </c>
      <c r="F322" s="150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539</v>
      </c>
      <c r="D325" s="101"/>
      <c r="E325" s="106"/>
      <c r="F325" s="148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9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49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49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49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49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49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49"/>
    </row>
    <row r="333" spans="2:6" ht="15.75" thickBot="1" x14ac:dyDescent="0.3">
      <c r="B333" s="112" t="s">
        <v>1067</v>
      </c>
      <c r="C333" s="113">
        <f>COSEIDIcam</f>
        <v>249</v>
      </c>
      <c r="D333" s="113">
        <v>0</v>
      </c>
      <c r="E333" s="114">
        <v>0</v>
      </c>
      <c r="F333" s="150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 t="str">
        <f>'RESUMEN TOTAL'!W22</f>
        <v>APAGADO</v>
      </c>
      <c r="R17" s="70" t="str">
        <f>'RESUMEN TOTAL'!X22</f>
        <v>APAGADO</v>
      </c>
      <c r="S17" s="70" t="str">
        <f>'RESUMEN TOTAL'!Y22</f>
        <v>APAGADO</v>
      </c>
      <c r="T17" s="70" t="str">
        <f>'RESUMEN TOTAL'!Z22</f>
        <v>APAGADO</v>
      </c>
      <c r="U17" s="70" t="str">
        <f>'RESUMEN TOTAL'!AA22</f>
        <v>APAGADO</v>
      </c>
      <c r="V17" s="70" t="str">
        <f>'RESUMEN TOTAL'!AB22</f>
        <v>APAGADO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 t="str">
        <f>'RESUMEN TOTAL'!W63</f>
        <v>APAGADO</v>
      </c>
      <c r="R45" s="70" t="str">
        <f>'RESUMEN TOTAL'!X63</f>
        <v>APAGADO</v>
      </c>
      <c r="S45" s="70" t="str">
        <f>'RESUMEN TOTAL'!Y63</f>
        <v>APAGADO</v>
      </c>
      <c r="T45" s="70" t="str">
        <f>'RESUMEN TOTAL'!Z63</f>
        <v>APAGADO</v>
      </c>
      <c r="U45" s="70" t="str">
        <f>'RESUMEN TOTAL'!AA63</f>
        <v>APAGADO</v>
      </c>
      <c r="V45" s="70" t="str">
        <f>'RESUMEN TOTAL'!AB63</f>
        <v>APAGADO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 t="str">
        <f>'RESUMEN TOTAL'!W66</f>
        <v>APAGADO</v>
      </c>
      <c r="R48" s="70" t="str">
        <f>'RESUMEN TOTAL'!X66</f>
        <v>APAGADO</v>
      </c>
      <c r="S48" s="70" t="str">
        <f>'RESUMEN TOTAL'!Y66</f>
        <v>APAGADO</v>
      </c>
      <c r="T48" s="70" t="str">
        <f>'RESUMEN TOTAL'!Z66</f>
        <v>APAGADO</v>
      </c>
      <c r="U48" s="70" t="str">
        <f>'RESUMEN TOTAL'!AA66</f>
        <v>APAGADO</v>
      </c>
      <c r="V48" s="70" t="str">
        <f>'RESUMEN TOTAL'!AB66</f>
        <v>APAGADO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 t="str">
        <f>'RESUMEN TOTAL'!Z73</f>
        <v>APAGADO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 t="str">
        <f>'RESUMEN TOTAL'!W95</f>
        <v>APAGADO</v>
      </c>
      <c r="R77" s="70" t="str">
        <f>'RESUMEN TOTAL'!X95</f>
        <v>APAGADO</v>
      </c>
      <c r="S77" s="70" t="str">
        <f>'RESUMEN TOTAL'!Y95</f>
        <v>APAGADO</v>
      </c>
      <c r="T77" s="70" t="str">
        <f>'RESUMEN TOTAL'!Z95</f>
        <v>APAGADO</v>
      </c>
      <c r="U77" s="70" t="str">
        <f>'RESUMEN TOTAL'!AA95</f>
        <v>APAGADO</v>
      </c>
      <c r="V77" s="70" t="str">
        <f>'RESUMEN TOTAL'!AB95</f>
        <v>APAGADO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 t="str">
        <f>'RESUMEN TOTAL'!W96</f>
        <v>APAGADO</v>
      </c>
      <c r="R78" s="70" t="str">
        <f>'RESUMEN TOTAL'!X96</f>
        <v>APAGADO</v>
      </c>
      <c r="S78" s="70" t="str">
        <f>'RESUMEN TOTAL'!Y96</f>
        <v>APAGADO</v>
      </c>
      <c r="T78" s="70" t="str">
        <f>'RESUMEN TOTAL'!Z96</f>
        <v>APAGADO</v>
      </c>
      <c r="U78" s="70" t="str">
        <f>'RESUMEN TOTAL'!AA96</f>
        <v>APAGADO</v>
      </c>
      <c r="V78" s="70" t="str">
        <f>'RESUMEN TOTAL'!AB96</f>
        <v>APAGADO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 t="str">
        <f>'RESUMEN TOTAL'!W98</f>
        <v>APAGADO</v>
      </c>
      <c r="R80" s="70" t="str">
        <f>'RESUMEN TOTAL'!X98</f>
        <v>APAGADO</v>
      </c>
      <c r="S80" s="70" t="str">
        <f>'RESUMEN TOTAL'!Y98</f>
        <v>APAGADO</v>
      </c>
      <c r="T80" s="70" t="str">
        <f>'RESUMEN TOTAL'!Z98</f>
        <v>APAGADO</v>
      </c>
      <c r="U80" s="70">
        <f>'RESUMEN TOTAL'!AA98</f>
        <v>0</v>
      </c>
      <c r="V80" s="70" t="str">
        <f>'RESUMEN TOTAL'!AB98</f>
        <v>APAGADO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 t="str">
        <f>'RESUMEN TOTAL'!W103</f>
        <v>APAGADO</v>
      </c>
      <c r="R85" s="70" t="str">
        <f>'RESUMEN TOTAL'!X103</f>
        <v>APAGADO</v>
      </c>
      <c r="S85" s="70" t="str">
        <f>'RESUMEN TOTAL'!Y103</f>
        <v>APAGADO</v>
      </c>
      <c r="T85" s="70" t="str">
        <f>'RESUMEN TOTAL'!Z103</f>
        <v>APAGADO</v>
      </c>
      <c r="U85" s="70" t="str">
        <f>'RESUMEN TOTAL'!AA103</f>
        <v>APAGADO</v>
      </c>
      <c r="V85" s="70" t="str">
        <f>'RESUMEN TOTAL'!AB103</f>
        <v>APAGADO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 t="str">
        <f>'RESUMEN TOTAL'!W116</f>
        <v>APAGADO</v>
      </c>
      <c r="R98" s="70" t="str">
        <f>'RESUMEN TOTAL'!X116</f>
        <v>APAGADO</v>
      </c>
      <c r="S98" s="70" t="str">
        <f>'RESUMEN TOTAL'!Y116</f>
        <v>APAGADO</v>
      </c>
      <c r="T98" s="70" t="str">
        <f>'RESUMEN TOTAL'!Z116</f>
        <v>APAGADO</v>
      </c>
      <c r="U98" s="70" t="str">
        <f>'RESUMEN TOTAL'!AA116</f>
        <v>APAGADO</v>
      </c>
      <c r="V98" s="70" t="str">
        <f>'RESUMEN TOTAL'!AB116</f>
        <v>APAGADO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 t="str">
        <f>'RESUMEN TOTAL'!W117</f>
        <v>APAGADO</v>
      </c>
      <c r="R99" s="70" t="str">
        <f>'RESUMEN TOTAL'!X117</f>
        <v>APAGADO</v>
      </c>
      <c r="S99" s="70" t="str">
        <f>'RESUMEN TOTAL'!Y117</f>
        <v>APAGADO</v>
      </c>
      <c r="T99" s="70" t="str">
        <f>'RESUMEN TOTAL'!Z117</f>
        <v>APAGADO</v>
      </c>
      <c r="U99" s="70" t="str">
        <f>'RESUMEN TOTAL'!AA117</f>
        <v>APAGADO</v>
      </c>
      <c r="V99" s="70" t="str">
        <f>'RESUMEN TOTAL'!AB117</f>
        <v>APAGADO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 t="str">
        <f>'RESUMEN TOTAL'!Z120</f>
        <v>APAGADO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 t="str">
        <f>'RESUMEN TOTAL'!W121</f>
        <v>APAGADO</v>
      </c>
      <c r="R103" s="70" t="str">
        <f>'RESUMEN TOTAL'!X121</f>
        <v>APAGADO</v>
      </c>
      <c r="S103" s="70" t="str">
        <f>'RESUMEN TOTAL'!Y121</f>
        <v>APAGADO</v>
      </c>
      <c r="T103" s="70" t="str">
        <f>'RESUMEN TOTAL'!Z121</f>
        <v>APAGADO</v>
      </c>
      <c r="U103" s="70" t="str">
        <f>'RESUMEN TOTAL'!AA121</f>
        <v>APAGADO</v>
      </c>
      <c r="V103" s="70" t="str">
        <f>'RESUMEN TOTAL'!AB121</f>
        <v>APAGADO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 t="str">
        <f>'RESUMEN TOTAL'!W122</f>
        <v>APAGADO</v>
      </c>
      <c r="R104" s="70" t="str">
        <f>'RESUMEN TOTAL'!X122</f>
        <v>APAGADO</v>
      </c>
      <c r="S104" s="70" t="str">
        <f>'RESUMEN TOTAL'!Y122</f>
        <v>APAGADO</v>
      </c>
      <c r="T104" s="70" t="str">
        <f>'RESUMEN TOTAL'!Z122</f>
        <v>APAGADO</v>
      </c>
      <c r="U104" s="70" t="str">
        <f>'RESUMEN TOTAL'!AA122</f>
        <v>APAGADO</v>
      </c>
      <c r="V104" s="70" t="str">
        <f>'RESUMEN TOTAL'!AB122</f>
        <v>APAGADO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 t="str">
        <f>'RESUMEN TOTAL'!AB124</f>
        <v>APAGADO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 t="str">
        <f>'RESUMEN TOTAL'!Z127</f>
        <v>APAGADO</v>
      </c>
      <c r="U109" s="70">
        <f>'RESUMEN TOTAL'!AA127</f>
        <v>0</v>
      </c>
      <c r="V109" s="70" t="str">
        <f>'RESUMEN TOTAL'!AB127</f>
        <v>APAGADO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 t="str">
        <f>'RESUMEN TOTAL'!X140</f>
        <v>APAGADO</v>
      </c>
      <c r="S112" s="70" t="str">
        <f>'RESUMEN TOTAL'!Y140</f>
        <v>APAGADO</v>
      </c>
      <c r="T112" s="70" t="str">
        <f>'RESUMEN TOTAL'!Z140</f>
        <v>APAGADO</v>
      </c>
      <c r="U112" s="70" t="str">
        <f>'RESUMEN TOTAL'!AA140</f>
        <v>APAGADO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 t="str">
        <f>'RESUMEN TOTAL'!X142</f>
        <v>APAGADO</v>
      </c>
      <c r="S114" s="70" t="str">
        <f>'RESUMEN TOTAL'!Y142</f>
        <v>APAGADO</v>
      </c>
      <c r="T114" s="70" t="str">
        <f>'RESUMEN TOTAL'!Z142</f>
        <v>APAGADO</v>
      </c>
      <c r="U114" s="70" t="str">
        <f>'RESUMEN TOTAL'!AA142</f>
        <v>APAGADO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 t="str">
        <f>'RESUMEN TOTAL'!W147</f>
        <v>APAGADO</v>
      </c>
      <c r="R119" s="70" t="str">
        <f>'RESUMEN TOTAL'!X147</f>
        <v>APAGADO</v>
      </c>
      <c r="S119" s="70" t="str">
        <f>'RESUMEN TOTAL'!Y147</f>
        <v>APAGADO</v>
      </c>
      <c r="T119" s="70" t="str">
        <f>'RESUMEN TOTAL'!Z147</f>
        <v>APAGADO</v>
      </c>
      <c r="U119" s="70" t="str">
        <f>'RESUMEN TOTAL'!AA147</f>
        <v>APAGADO</v>
      </c>
      <c r="V119" s="70" t="str">
        <f>'RESUMEN TOTAL'!AB147</f>
        <v>APAGADO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 t="str">
        <f>'RESUMEN TOTAL'!W150</f>
        <v>APAGADO</v>
      </c>
      <c r="R122" s="70" t="str">
        <f>'RESUMEN TOTAL'!X150</f>
        <v>APAGADO</v>
      </c>
      <c r="S122" s="70" t="str">
        <f>'RESUMEN TOTAL'!Y150</f>
        <v>APAGADO</v>
      </c>
      <c r="T122" s="70" t="str">
        <f>'RESUMEN TOTAL'!Z150</f>
        <v>APAGADO</v>
      </c>
      <c r="U122" s="70" t="str">
        <f>'RESUMEN TOTAL'!AA150</f>
        <v>APAGADO</v>
      </c>
      <c r="V122" s="70" t="str">
        <f>'RESUMEN TOTAL'!AB150</f>
        <v>APAGADO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 t="str">
        <f>'RESUMEN TOTAL'!W151</f>
        <v>APAGADO</v>
      </c>
      <c r="R123" s="70" t="str">
        <f>'RESUMEN TOTAL'!X151</f>
        <v>APAGADO</v>
      </c>
      <c r="S123" s="70" t="str">
        <f>'RESUMEN TOTAL'!Y151</f>
        <v>APAGADO</v>
      </c>
      <c r="T123" s="70" t="str">
        <f>'RESUMEN TOTAL'!Z151</f>
        <v>APAGADO</v>
      </c>
      <c r="U123" s="70" t="str">
        <f>'RESUMEN TOTAL'!AA151</f>
        <v>APAGADO</v>
      </c>
      <c r="V123" s="70" t="str">
        <f>'RESUMEN TOTAL'!AB151</f>
        <v>APAGADO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 t="str">
        <f>'RESUMEN TOTAL'!W177</f>
        <v>APAGADO</v>
      </c>
      <c r="R144" s="70" t="str">
        <f>'RESUMEN TOTAL'!X177</f>
        <v>APAGADO</v>
      </c>
      <c r="S144" s="70" t="str">
        <f>'RESUMEN TOTAL'!Y177</f>
        <v>APAGADO</v>
      </c>
      <c r="T144" s="70" t="str">
        <f>'RESUMEN TOTAL'!Z177</f>
        <v>APAGADO</v>
      </c>
      <c r="U144" s="70" t="str">
        <f>'RESUMEN TOTAL'!AA177</f>
        <v>APAGADO</v>
      </c>
      <c r="V144" s="70" t="str">
        <f>'RESUMEN TOTAL'!AB177</f>
        <v>APAGADO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 t="str">
        <f>'RESUMEN TOTAL'!W178</f>
        <v>APAGADO</v>
      </c>
      <c r="R145" s="70" t="str">
        <f>'RESUMEN TOTAL'!X178</f>
        <v>APAGADO</v>
      </c>
      <c r="S145" s="70" t="str">
        <f>'RESUMEN TOTAL'!Y178</f>
        <v>APAGADO</v>
      </c>
      <c r="T145" s="70" t="str">
        <f>'RESUMEN TOTAL'!Z178</f>
        <v>APAGADO</v>
      </c>
      <c r="U145" s="70" t="str">
        <f>'RESUMEN TOTAL'!AA178</f>
        <v>APAGADO</v>
      </c>
      <c r="V145" s="70" t="str">
        <f>'RESUMEN TOTAL'!AB178</f>
        <v>APAGADO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 t="str">
        <f>'RESUMEN TOTAL'!W184</f>
        <v>APAGADO</v>
      </c>
      <c r="R148" s="70" t="str">
        <f>'RESUMEN TOTAL'!X184</f>
        <v>APAGADO</v>
      </c>
      <c r="S148" s="70" t="str">
        <f>'RESUMEN TOTAL'!Y184</f>
        <v>APAGADO</v>
      </c>
      <c r="T148" s="70" t="str">
        <f>'RESUMEN TOTAL'!Z184</f>
        <v>APAGADO</v>
      </c>
      <c r="U148" s="70" t="str">
        <f>'RESUMEN TOTAL'!AA184</f>
        <v>APAGADO</v>
      </c>
      <c r="V148" s="70" t="str">
        <f>'RESUMEN TOTAL'!AB184</f>
        <v>APAGADO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 t="str">
        <f>'RESUMEN TOTAL'!W190</f>
        <v>APAGADO</v>
      </c>
      <c r="R154" s="70">
        <f>'RESUMEN TOTAL'!X190</f>
        <v>0</v>
      </c>
      <c r="S154" s="70" t="str">
        <f>'RESUMEN TOTAL'!Y190</f>
        <v>APAGADO</v>
      </c>
      <c r="T154" s="70" t="str">
        <f>'RESUMEN TOTAL'!Z190</f>
        <v>APAGADO</v>
      </c>
      <c r="U154" s="70" t="str">
        <f>'RESUMEN TOTAL'!AA190</f>
        <v>APAGADO</v>
      </c>
      <c r="V154" s="70" t="str">
        <f>'RESUMEN TOTAL'!AB190</f>
        <v>APAGADO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 t="str">
        <f>'RESUMEN TOTAL'!W191</f>
        <v>APAGADO</v>
      </c>
      <c r="R155" s="70">
        <f>'RESUMEN TOTAL'!X191</f>
        <v>0</v>
      </c>
      <c r="S155" s="70">
        <f>'RESUMEN TOTAL'!Y191</f>
        <v>0</v>
      </c>
      <c r="T155" s="70" t="str">
        <f>'RESUMEN TOTAL'!Z191</f>
        <v>APAGADO</v>
      </c>
      <c r="U155" s="70" t="str">
        <f>'RESUMEN TOTAL'!AA191</f>
        <v>APAGADO</v>
      </c>
      <c r="V155" s="70" t="str">
        <f>'RESUMEN TOTAL'!AB191</f>
        <v>APAGADO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 t="str">
        <f>'RESUMEN TOTAL'!AA208</f>
        <v>APAGADO</v>
      </c>
      <c r="V170" s="70" t="str">
        <f>'RESUMEN TOTAL'!AB208</f>
        <v>APAGADO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 t="str">
        <f>'RESUMEN TOTAL'!AA209</f>
        <v>APAGADO</v>
      </c>
      <c r="V171" s="70" t="str">
        <f>'RESUMEN TOTAL'!AB209</f>
        <v>APAGADO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 t="str">
        <f>'RESUMEN TOTAL'!W235</f>
        <v>APAGADO</v>
      </c>
      <c r="R194" s="70" t="str">
        <f>'RESUMEN TOTAL'!X235</f>
        <v>APAGADO</v>
      </c>
      <c r="S194" s="70" t="str">
        <f>'RESUMEN TOTAL'!Y235</f>
        <v>APAGADO</v>
      </c>
      <c r="T194" s="70" t="str">
        <f>'RESUMEN TOTAL'!Z235</f>
        <v>APAGADO</v>
      </c>
      <c r="U194" s="70" t="str">
        <f>'RESUMEN TOTAL'!AA235</f>
        <v>APAGADO</v>
      </c>
      <c r="V194" s="70" t="str">
        <f>'RESUMEN TOTAL'!AB235</f>
        <v>APAGADO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 t="str">
        <f>'RESUMEN TOTAL'!W243</f>
        <v>APAGADO</v>
      </c>
      <c r="R202" s="70" t="str">
        <f>'RESUMEN TOTAL'!X243</f>
        <v>APAGADO</v>
      </c>
      <c r="S202" s="70" t="str">
        <f>'RESUMEN TOTAL'!Y243</f>
        <v>APAGADO</v>
      </c>
      <c r="T202" s="70" t="str">
        <f>'RESUMEN TOTAL'!Z243</f>
        <v>APAGADO</v>
      </c>
      <c r="U202" s="70" t="str">
        <f>'RESUMEN TOTAL'!AA243</f>
        <v>APAGADO</v>
      </c>
      <c r="V202" s="70" t="str">
        <f>'RESUMEN TOTAL'!AB243</f>
        <v>APAGADO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 t="str">
        <f>'RESUMEN TOTAL'!W245</f>
        <v>APAGADO</v>
      </c>
      <c r="R204" s="70" t="str">
        <f>'RESUMEN TOTAL'!X245</f>
        <v>APAGADO</v>
      </c>
      <c r="S204" s="70" t="str">
        <f>'RESUMEN TOTAL'!Y245</f>
        <v>APAGADO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 t="str">
        <f>'RESUMEN TOTAL'!W253</f>
        <v>APAGADO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 t="str">
        <f>'RESUMEN TOTAL'!W264</f>
        <v>APAGADO</v>
      </c>
      <c r="R221" s="70" t="str">
        <f>'RESUMEN TOTAL'!X264</f>
        <v>APAGADO</v>
      </c>
      <c r="S221" s="70" t="str">
        <f>'RESUMEN TOTAL'!Y264</f>
        <v>APAGADO</v>
      </c>
      <c r="T221" s="70" t="str">
        <f>'RESUMEN TOTAL'!Z264</f>
        <v>APAGADO</v>
      </c>
      <c r="U221" s="70" t="str">
        <f>'RESUMEN TOTAL'!AA264</f>
        <v>APAGADO</v>
      </c>
      <c r="V221" s="70" t="str">
        <f>'RESUMEN TOTAL'!AB264</f>
        <v>APAGADO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 t="str">
        <f>'RESUMEN TOTAL'!W283</f>
        <v>APAGADO</v>
      </c>
      <c r="R237" s="70" t="str">
        <f>'RESUMEN TOTAL'!X283</f>
        <v>APAGADO</v>
      </c>
      <c r="S237" s="70" t="str">
        <f>'RESUMEN TOTAL'!Y283</f>
        <v>APAGADO</v>
      </c>
      <c r="T237" s="70" t="str">
        <f>'RESUMEN TOTAL'!Z283</f>
        <v>APAGADO</v>
      </c>
      <c r="U237" s="70" t="str">
        <f>'RESUMEN TOTAL'!AA283</f>
        <v>APAGADO</v>
      </c>
      <c r="V237" s="70" t="str">
        <f>'RESUMEN TOTAL'!AB283</f>
        <v>APAGADO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 t="str">
        <f>'RESUMEN TOTAL'!W294</f>
        <v>APAGADO</v>
      </c>
      <c r="R248" s="70" t="str">
        <f>'RESUMEN TOTAL'!X294</f>
        <v>APAGADO</v>
      </c>
      <c r="S248" s="70" t="str">
        <f>'RESUMEN TOTAL'!Y294</f>
        <v>APAGADO</v>
      </c>
      <c r="T248" s="70" t="str">
        <f>'RESUMEN TOTAL'!Z294</f>
        <v>APAGADO</v>
      </c>
      <c r="U248" s="70" t="str">
        <f>'RESUMEN TOTAL'!AA294</f>
        <v>APAGADO</v>
      </c>
      <c r="V248" s="70" t="str">
        <f>'RESUMEN TOTAL'!AB294</f>
        <v>APAGADO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 t="str">
        <f>'RESUMEN TOTAL'!W296</f>
        <v>APAGADO</v>
      </c>
      <c r="R250" s="70" t="str">
        <f>'RESUMEN TOTAL'!X296</f>
        <v>APAGADO</v>
      </c>
      <c r="S250" s="70" t="str">
        <f>'RESUMEN TOTAL'!Y296</f>
        <v>APAGADO</v>
      </c>
      <c r="T250" s="70" t="str">
        <f>'RESUMEN TOTAL'!Z296</f>
        <v>APAGADO</v>
      </c>
      <c r="U250" s="70" t="str">
        <f>'RESUMEN TOTAL'!AA296</f>
        <v>APAGADO</v>
      </c>
      <c r="V250" s="70" t="str">
        <f>'RESUMEN TOTAL'!AB296</f>
        <v>APAGADO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 t="str">
        <f>'RESUMEN TOTAL'!W300</f>
        <v>APAGADO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 t="str">
        <f>'RESUMEN TOTAL'!AB306</f>
        <v>APAGADO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 t="str">
        <f>'RESUMEN TOTAL'!AB307</f>
        <v>APAGADO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 t="str">
        <f>'RESUMEN TOTAL'!AB308</f>
        <v>APAGADO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 t="str">
        <f>'RESUMEN TOTAL'!AB309</f>
        <v>APAGADO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 t="str">
        <f>'RESUMEN TOTAL'!AB310</f>
        <v>APAGADO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 t="str">
        <f>'RESUMEN TOTAL'!AB311</f>
        <v>APAGADO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 t="str">
        <f>'RESUMEN TOTAL'!X335</f>
        <v>APAGADO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 t="str">
        <f>'RESUMEN TOTAL'!X336</f>
        <v>APAGADO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 t="str">
        <f>'RESUMEN TOTAL'!Y338</f>
        <v>APAGADO</v>
      </c>
      <c r="T285" s="70" t="str">
        <f>'RESUMEN TOTAL'!Z338</f>
        <v>APAGADO</v>
      </c>
      <c r="U285" s="70" t="str">
        <f>'RESUMEN TOTAL'!AA338</f>
        <v>APAGADO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 t="str">
        <f>'RESUMEN TOTAL'!W349</f>
        <v>APAGADO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 t="str">
        <f>'RESUMEN TOTAL'!W352</f>
        <v>APAGADO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 t="str">
        <f>'RESUMEN TOTAL'!W354</f>
        <v>APAGADO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 t="str">
        <f>'RESUMEN TOTAL'!W355</f>
        <v>APAGADO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 t="str">
        <f>'RESUMEN TOTAL'!W356</f>
        <v>APAGADO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 t="str">
        <f>'RESUMEN TOTAL'!W357</f>
        <v>APAGADO</v>
      </c>
      <c r="R300" s="70" t="str">
        <f>'RESUMEN TOTAL'!X357</f>
        <v>APAGADO</v>
      </c>
      <c r="S300" s="70" t="str">
        <f>'RESUMEN TOTAL'!Y357</f>
        <v>APAGADO</v>
      </c>
      <c r="T300" s="70" t="str">
        <f>'RESUMEN TOTAL'!Z357</f>
        <v>APAGADO</v>
      </c>
      <c r="U300" s="70" t="str">
        <f>'RESUMEN TOTAL'!AA357</f>
        <v>APAGADO</v>
      </c>
      <c r="V300" s="70" t="str">
        <f>'RESUMEN TOTAL'!AB357</f>
        <v>APAGADO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 t="str">
        <f>'RESUMEN TOTAL'!W358</f>
        <v>APAGADO</v>
      </c>
      <c r="R301" s="70" t="str">
        <f>'RESUMEN TOTAL'!X358</f>
        <v>APAGADO</v>
      </c>
      <c r="S301" s="70" t="str">
        <f>'RESUMEN TOTAL'!Y358</f>
        <v>APAGADO</v>
      </c>
      <c r="T301" s="70" t="str">
        <f>'RESUMEN TOTAL'!Z358</f>
        <v>APAGADO</v>
      </c>
      <c r="U301" s="70" t="str">
        <f>'RESUMEN TOTAL'!AA358</f>
        <v>APAGADO</v>
      </c>
      <c r="V301" s="70" t="str">
        <f>'RESUMEN TOTAL'!AB358</f>
        <v>APAGADO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 t="str">
        <f>'RESUMEN TOTAL'!W359</f>
        <v>APAGADO</v>
      </c>
      <c r="R302" s="70" t="str">
        <f>'RESUMEN TOTAL'!X359</f>
        <v>APAGADO</v>
      </c>
      <c r="S302" s="70" t="str">
        <f>'RESUMEN TOTAL'!Y359</f>
        <v>APAGADO</v>
      </c>
      <c r="T302" s="70" t="str">
        <f>'RESUMEN TOTAL'!Z359</f>
        <v>APAGADO</v>
      </c>
      <c r="U302" s="70" t="str">
        <f>'RESUMEN TOTAL'!AA359</f>
        <v>APAGADO</v>
      </c>
      <c r="V302" s="70" t="str">
        <f>'RESUMEN TOTAL'!AB359</f>
        <v>APAGADO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 t="str">
        <f>'RESUMEN TOTAL'!W361</f>
        <v>APAGADO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 t="str">
        <f>'RESUMEN TOTAL'!W362</f>
        <v>APAGADO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 t="str">
        <f>'RESUMEN TOTAL'!W363</f>
        <v>APAGADO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 t="str">
        <f>'RESUMEN TOTAL'!W364</f>
        <v>APAGADO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 t="str">
        <f>'RESUMEN TOTAL'!W365</f>
        <v>APAGADO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 t="str">
        <f>'RESUMEN TOTAL'!W366</f>
        <v>APAGADO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 t="str">
        <f>'RESUMEN TOTAL'!W367</f>
        <v>APAGADO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 t="str">
        <f>'RESUMEN TOTAL'!W368</f>
        <v>APAGADO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 t="str">
        <f>'RESUMEN TOTAL'!W369</f>
        <v>APAGADO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 t="str">
        <f>'RESUMEN TOTAL'!W370</f>
        <v>APAGADO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 t="str">
        <f>'RESUMEN TOTAL'!W371</f>
        <v>APAGADO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 t="str">
        <f>'RESUMEN TOTAL'!W372</f>
        <v>APAGADO</v>
      </c>
      <c r="R315" s="70" t="str">
        <f>'RESUMEN TOTAL'!X372</f>
        <v>APAGADO</v>
      </c>
      <c r="S315" s="70" t="str">
        <f>'RESUMEN TOTAL'!Y372</f>
        <v>APAGADO</v>
      </c>
      <c r="T315" s="70" t="str">
        <f>'RESUMEN TOTAL'!Z372</f>
        <v>APAGADO</v>
      </c>
      <c r="U315" s="70" t="str">
        <f>'RESUMEN TOTAL'!AA372</f>
        <v>APAGADO</v>
      </c>
      <c r="V315" s="70" t="str">
        <f>'RESUMEN TOTAL'!AB372</f>
        <v>APAGADO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 t="str">
        <f>'RESUMEN TOTAL'!AA377</f>
        <v>APAGADO</v>
      </c>
      <c r="V316" s="70" t="str">
        <f>'RESUMEN TOTAL'!AB377</f>
        <v>APAGADO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 t="str">
        <f>'RESUMEN TOTAL'!W383</f>
        <v>APAGADO</v>
      </c>
      <c r="R322" s="70" t="str">
        <f>'RESUMEN TOTAL'!X383</f>
        <v>APAGADO</v>
      </c>
      <c r="S322" s="70" t="str">
        <f>'RESUMEN TOTAL'!Y383</f>
        <v>APAGADO</v>
      </c>
      <c r="T322" s="70" t="str">
        <f>'RESUMEN TOTAL'!Z383</f>
        <v>APAGADO</v>
      </c>
      <c r="U322" s="70" t="str">
        <f>'RESUMEN TOTAL'!AA383</f>
        <v>APAGADO</v>
      </c>
      <c r="V322" s="70" t="str">
        <f>'RESUMEN TOTAL'!AB383</f>
        <v>APAGADO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 t="str">
        <f>'RESUMEN TOTAL'!W384</f>
        <v>APAGADO</v>
      </c>
      <c r="R323" s="70" t="str">
        <f>'RESUMEN TOTAL'!X384</f>
        <v>APAGADO</v>
      </c>
      <c r="S323" s="70" t="str">
        <f>'RESUMEN TOTAL'!Y384</f>
        <v>APAGADO</v>
      </c>
      <c r="T323" s="70" t="str">
        <f>'RESUMEN TOTAL'!Z384</f>
        <v>APAGADO</v>
      </c>
      <c r="U323" s="70" t="str">
        <f>'RESUMEN TOTAL'!AA384</f>
        <v>APAGADO</v>
      </c>
      <c r="V323" s="70" t="str">
        <f>'RESUMEN TOTAL'!AB384</f>
        <v>APAGADO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 t="str">
        <f>'RESUMEN TOTAL'!W390</f>
        <v>APAGADO</v>
      </c>
      <c r="R326" s="70" t="str">
        <f>'RESUMEN TOTAL'!X390</f>
        <v>APAGADO</v>
      </c>
      <c r="S326" s="70" t="str">
        <f>'RESUMEN TOTAL'!Y390</f>
        <v>APAGADO</v>
      </c>
      <c r="T326" s="70" t="str">
        <f>'RESUMEN TOTAL'!Z390</f>
        <v>APAGADO</v>
      </c>
      <c r="U326" s="70" t="str">
        <f>'RESUMEN TOTAL'!AA390</f>
        <v>APAGADO</v>
      </c>
      <c r="V326" s="70" t="str">
        <f>'RESUMEN TOTAL'!AB390</f>
        <v>APAGADO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 t="str">
        <f>'RESUMEN TOTAL'!W395</f>
        <v>APAGADO</v>
      </c>
      <c r="R329" s="70" t="str">
        <f>'RESUMEN TOTAL'!X395</f>
        <v>APAGADO</v>
      </c>
      <c r="S329" s="70">
        <f>'RESUMEN TOTAL'!Y395</f>
        <v>0</v>
      </c>
      <c r="T329" s="70" t="str">
        <f>'RESUMEN TOTAL'!Z395</f>
        <v>APAGADO</v>
      </c>
      <c r="U329" s="70" t="str">
        <f>'RESUMEN TOTAL'!AA395</f>
        <v>APAGADO</v>
      </c>
      <c r="V329" s="70" t="str">
        <f>'RESUMEN TOTAL'!AB395</f>
        <v>APAGADO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 t="str">
        <f>'RESUMEN TOTAL'!X404</f>
        <v>APAGADO</v>
      </c>
      <c r="S336" s="70" t="str">
        <f>'RESUMEN TOTAL'!Y404</f>
        <v>APAGADO</v>
      </c>
      <c r="T336" s="70" t="str">
        <f>'RESUMEN TOTAL'!Z404</f>
        <v>APAGADO</v>
      </c>
      <c r="U336" s="70" t="str">
        <f>'RESUMEN TOTAL'!AA404</f>
        <v>APAGADO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 t="str">
        <f>'RESUMEN TOTAL'!X405</f>
        <v>APAGADO</v>
      </c>
      <c r="S337" s="70" t="str">
        <f>'RESUMEN TOTAL'!Y405</f>
        <v>APAGADO</v>
      </c>
      <c r="T337" s="70" t="str">
        <f>'RESUMEN TOTAL'!Z405</f>
        <v>APAGADO</v>
      </c>
      <c r="U337" s="70" t="str">
        <f>'RESUMEN TOTAL'!AA405</f>
        <v>APAGADO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 t="str">
        <f>'RESUMEN TOTAL'!X406</f>
        <v>APAGADO</v>
      </c>
      <c r="S338" s="70" t="str">
        <f>'RESUMEN TOTAL'!Y406</f>
        <v>APAGADO</v>
      </c>
      <c r="T338" s="70" t="str">
        <f>'RESUMEN TOTAL'!Z406</f>
        <v>APAGADO</v>
      </c>
      <c r="U338" s="70" t="str">
        <f>'RESUMEN TOTAL'!AA406</f>
        <v>APAGADO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 t="str">
        <f>'RESUMEN TOTAL'!X407</f>
        <v>APAGADO</v>
      </c>
      <c r="S339" s="70" t="str">
        <f>'RESUMEN TOTAL'!Y407</f>
        <v>APAGADO</v>
      </c>
      <c r="T339" s="70" t="str">
        <f>'RESUMEN TOTAL'!Z407</f>
        <v>APAGADO</v>
      </c>
      <c r="U339" s="70" t="str">
        <f>'RESUMEN TOTAL'!AA407</f>
        <v>APAGADO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 t="str">
        <f>'RESUMEN TOTAL'!W416</f>
        <v>APAGADO</v>
      </c>
      <c r="R348" s="70" t="str">
        <f>'RESUMEN TOTAL'!X416</f>
        <v>APAGADO</v>
      </c>
      <c r="S348" s="70" t="str">
        <f>'RESUMEN TOTAL'!Y416</f>
        <v>APAGADO</v>
      </c>
      <c r="T348" s="70" t="str">
        <f>'RESUMEN TOTAL'!Z416</f>
        <v>APAGADO</v>
      </c>
      <c r="U348" s="70" t="str">
        <f>'RESUMEN TOTAL'!AA416</f>
        <v>APAGADO</v>
      </c>
      <c r="V348" s="70" t="str">
        <f>'RESUMEN TOTAL'!AB416</f>
        <v>APAGADO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 t="str">
        <f>'RESUMEN TOTAL'!AA421</f>
        <v>APAGADO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 t="str">
        <f>'RESUMEN TOTAL'!W428</f>
        <v>APAGADO</v>
      </c>
      <c r="R360" s="70" t="str">
        <f>'RESUMEN TOTAL'!X428</f>
        <v>APAGADO</v>
      </c>
      <c r="S360" s="70" t="str">
        <f>'RESUMEN TOTAL'!Y428</f>
        <v>APAGADO</v>
      </c>
      <c r="T360" s="70" t="str">
        <f>'RESUMEN TOTAL'!Z428</f>
        <v>APAGADO</v>
      </c>
      <c r="U360" s="70" t="str">
        <f>'RESUMEN TOTAL'!AA428</f>
        <v>APAGADO</v>
      </c>
      <c r="V360" s="70" t="str">
        <f>'RESUMEN TOTAL'!AB428</f>
        <v>APAGADO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 t="str">
        <f>'RESUMEN TOTAL'!W434</f>
        <v>APAGADO</v>
      </c>
      <c r="R363" s="70" t="str">
        <f>'RESUMEN TOTAL'!X434</f>
        <v>APAGADO</v>
      </c>
      <c r="S363" s="70">
        <f>'RESUMEN TOTAL'!Y434</f>
        <v>0</v>
      </c>
      <c r="T363" s="70">
        <f>'RESUMEN TOTAL'!Z434</f>
        <v>0</v>
      </c>
      <c r="U363" s="70" t="str">
        <f>'RESUMEN TOTAL'!AA434</f>
        <v>APAGADO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 t="str">
        <f>'RESUMEN TOTAL'!E474</f>
        <v>Domo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 t="str">
        <f>'RESUMEN TOTAL'!W498</f>
        <v>APAGADO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 t="str">
        <f>'RESUMEN TOTAL'!W499</f>
        <v>APAGADO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 t="str">
        <f>'RESUMEN TOTAL'!W500</f>
        <v>APAGADO</v>
      </c>
      <c r="R420" s="70" t="str">
        <f>'RESUMEN TOTAL'!X500</f>
        <v>APAGADO</v>
      </c>
      <c r="S420" s="70" t="str">
        <f>'RESUMEN TOTAL'!Y500</f>
        <v>APAGADO</v>
      </c>
      <c r="T420" s="70" t="str">
        <f>'RESUMEN TOTAL'!Z500</f>
        <v>APAGADO</v>
      </c>
      <c r="U420" s="70" t="str">
        <f>'RESUMEN TOTAL'!AA500</f>
        <v>APAGADO</v>
      </c>
      <c r="V420" s="70" t="str">
        <f>'RESUMEN TOTAL'!AB500</f>
        <v>APAGADO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 t="str">
        <f>'RESUMEN TOTAL'!W501</f>
        <v>APAGADO</v>
      </c>
      <c r="R421" s="70" t="str">
        <f>'RESUMEN TOTAL'!X501</f>
        <v>APAGADO</v>
      </c>
      <c r="S421" s="70">
        <f>'RESUMEN TOTAL'!Y501</f>
        <v>0</v>
      </c>
      <c r="T421" s="70" t="str">
        <f>'RESUMEN TOTAL'!Z501</f>
        <v>APAGADO</v>
      </c>
      <c r="U421" s="70" t="str">
        <f>'RESUMEN TOTAL'!AA501</f>
        <v>APAGADO</v>
      </c>
      <c r="V421" s="70" t="str">
        <f>'RESUMEN TOTAL'!AB501</f>
        <v>APAGADO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 t="str">
        <f>'RESUMEN TOTAL'!W502</f>
        <v>APAGADO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 t="str">
        <f>'RESUMEN TOTAL'!W503</f>
        <v>APAGADO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 t="str">
        <f>'RESUMEN TOTAL'!W504</f>
        <v>APAGADO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 t="str">
        <f>'RESUMEN TOTAL'!W505</f>
        <v>APAGADO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 t="str">
        <f>'RESUMEN TOTAL'!AB509</f>
        <v>APAGADO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 t="str">
        <f>'RESUMEN TOTAL'!W519</f>
        <v>APAGADO</v>
      </c>
      <c r="R436" s="70" t="str">
        <f>'RESUMEN TOTAL'!X519</f>
        <v>APAGADO</v>
      </c>
      <c r="S436" s="70" t="str">
        <f>'RESUMEN TOTAL'!Y519</f>
        <v>APAGADO</v>
      </c>
      <c r="T436" s="70" t="str">
        <f>'RESUMEN TOTAL'!Z519</f>
        <v>APAGADO</v>
      </c>
      <c r="U436" s="70" t="str">
        <f>'RESUMEN TOTAL'!AA519</f>
        <v>APAGADO</v>
      </c>
      <c r="V436" s="70" t="str">
        <f>'RESUMEN TOTAL'!AB519</f>
        <v>APAGADO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 t="str">
        <f>'RESUMEN TOTAL'!W521</f>
        <v>APAGADO</v>
      </c>
      <c r="R438" s="70" t="str">
        <f>'RESUMEN TOTAL'!X521</f>
        <v>APAGADO</v>
      </c>
      <c r="S438" s="70">
        <f>'RESUMEN TOTAL'!Y521</f>
        <v>0</v>
      </c>
      <c r="T438" s="70" t="str">
        <f>'RESUMEN TOTAL'!Z521</f>
        <v>APAGADO</v>
      </c>
      <c r="U438" s="70" t="str">
        <f>'RESUMEN TOTAL'!AA521</f>
        <v>APAGADO</v>
      </c>
      <c r="V438" s="70" t="str">
        <f>'RESUMEN TOTAL'!AB521</f>
        <v>APAGADO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 t="str">
        <f>'RESUMEN TOTAL'!Z528</f>
        <v>APAGADO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 t="str">
        <f>'RESUMEN TOTAL'!W543</f>
        <v>APAGADO</v>
      </c>
      <c r="R460" s="70" t="str">
        <f>'RESUMEN TOTAL'!X543</f>
        <v>APAGADO</v>
      </c>
      <c r="S460" s="70" t="str">
        <f>'RESUMEN TOTAL'!Y543</f>
        <v>APAGADO</v>
      </c>
      <c r="T460" s="70" t="str">
        <f>'RESUMEN TOTAL'!Z543</f>
        <v>APAGADO</v>
      </c>
      <c r="U460" s="70" t="str">
        <f>'RESUMEN TOTAL'!AA543</f>
        <v>APAGADO</v>
      </c>
      <c r="V460" s="70" t="str">
        <f>'RESUMEN TOTAL'!AB543</f>
        <v>APAGADO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U4" sqref="U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48</v>
      </c>
      <c r="R3" s="46">
        <f>COUNTIFS('RESUMEN TOTAL'!X8:X654,"=APAGADO",'RESUMEN TOTAL'!C8:C654,"=BONOMO")</f>
        <v>30</v>
      </c>
      <c r="S3" s="46">
        <f>COUNTIFS('RESUMEN TOTAL'!Y8:Y654,"=APAGADO",'RESUMEN TOTAL'!C8:C654,"=BONOMO")</f>
        <v>29</v>
      </c>
      <c r="T3" s="46">
        <f>COUNTIFS('RESUMEN TOTAL'!Z8:Z654,"=APAGADO",'RESUMEN TOTAL'!C8:C654,"=BONOMO")</f>
        <v>33</v>
      </c>
      <c r="U3" s="46">
        <f>COUNTIFS('RESUMEN TOTAL'!AA8:AA654,"=APAGADO",'RESUMEN TOTAL'!C8:C654,"=BONOMO")</f>
        <v>29</v>
      </c>
      <c r="V3" s="46">
        <f>COUNTIFS('RESUMEN TOTAL'!AB8:AB654,"=APAGADO",'RESUMEN TOTAL'!C8:C654,"=BONOMO")</f>
        <v>26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21</v>
      </c>
      <c r="R5" s="46">
        <f>COUNTIFS('RESUMEN TOTAL'!X10:X656,"=APAGADO",'RESUMEN TOTAL'!C10:C656,"=COSEIDI")</f>
        <v>21</v>
      </c>
      <c r="S5" s="46">
        <f>COUNTIFS('RESUMEN TOTAL'!Y10:Y656,"=APAGADO",'RESUMEN TOTAL'!C10:C656,"=COSEIDI")</f>
        <v>16</v>
      </c>
      <c r="T5" s="46">
        <f>COUNTIFS('RESUMEN TOTAL'!Z10:Z656,"=APAGADO",'RESUMEN TOTAL'!C10:C656,"=COSEIDI")</f>
        <v>21</v>
      </c>
      <c r="U5" s="46">
        <v>26</v>
      </c>
      <c r="V5" s="46">
        <f>COUNTIFS('RESUMEN TOTAL'!AB10:AB656,"=APAGADO",'RESUMEN TOTAL'!C10:C656,"=COSEIDI")</f>
        <v>29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8.4337349397590355E-2</v>
      </c>
      <c r="R6" s="50">
        <f t="shared" si="1"/>
        <v>8.4337349397590355E-2</v>
      </c>
      <c r="S6" s="50">
        <f t="shared" si="1"/>
        <v>6.4257028112449793E-2</v>
      </c>
      <c r="T6" s="50">
        <f t="shared" si="1"/>
        <v>8.4337349397590355E-2</v>
      </c>
      <c r="U6" s="50">
        <f t="shared" si="1"/>
        <v>0.10441767068273092</v>
      </c>
      <c r="V6" s="50">
        <f t="shared" si="1"/>
        <v>0.11646586345381527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2025-09-17T11:17:59Z</dcterms:modified>
</cp:coreProperties>
</file>