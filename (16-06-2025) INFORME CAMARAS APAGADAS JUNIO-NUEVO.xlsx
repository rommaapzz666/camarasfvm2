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06B6534D-0BB1-46B0-8A59-A46B32E6E1E5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7" i="24" l="1"/>
  <c r="D196" i="24"/>
  <c r="C193" i="24"/>
  <c r="C190" i="24"/>
  <c r="D191" i="24" s="1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6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D208" i="24" s="1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D207" i="24" s="1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<sst xmlns="http://schemas.openxmlformats.org/spreadsheetml/2006/main" count="4790" uniqueCount="1518">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</sst>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22</c:v>
                </c:pt>
                <c:pt idx="14">
                  <c:v>22</c:v>
                </c:pt>
                <c:pt idx="15">
                  <c:v>24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39</c:v>
                </c:pt>
                <c:pt idx="14">
                  <c:v>38</c:v>
                </c:pt>
                <c:pt idx="15">
                  <c:v>33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22</c:v>
                      </c:pt>
                      <c:pt idx="14">
                        <c:v>22</c:v>
                      </c:pt>
                      <c:pt idx="15">
                        <c:v>24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39</c:v>
                      </c:pt>
                      <c:pt idx="14">
                        <c:v>38</c:v>
                      </c:pt>
                      <c:pt idx="15">
                        <c:v>33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55" zoomScaleNormal="55" workbookViewId="0">
      <pane xSplit="11" ySplit="7" topLeftCell="AA325" activePane="bottomRight" state="frozen"/>
      <selection pane="topRight" activeCell="M1" sqref="M1"/>
      <selection pane="bottomLeft" activeCell="A5" sqref="A5"/>
      <selection pane="bottomRight" activeCell="AB360" sqref="AB360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0.11009174311926606</v>
      </c>
      <c r="AA1" s="3">
        <f t="shared" si="1"/>
        <v>0.10516605166051661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61</v>
      </c>
      <c r="Z3" s="132">
        <f t="shared" si="4"/>
        <v>60</v>
      </c>
      <c r="AA3" s="132">
        <f t="shared" si="4"/>
        <v>57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37</v>
      </c>
      <c r="Z4" s="10">
        <f>COUNTIFS(Z8:Z600, "=APAGADO",F8:F600,"=Fibra Optica")</f>
        <v>37</v>
      </c>
      <c r="AA4" s="10">
        <f>COUNTIFS(AA8:AA600, "=APAGADO",F8:F600,"=Fibra Optica")</f>
        <v>35</v>
      </c>
      <c r="AB4" s="10">
        <f>COUNTIFS(AB8:AB600, "=APAGADO",F8:F600,"=Fibra Optica")</f>
        <v>0</v>
      </c>
      <c r="AC4" s="10">
        <f>COUNTIFS(AC8:AC600, "=APAGADO",F8:F600,"=Fibra Optica")</f>
        <v>0</v>
      </c>
      <c r="AD4" s="10">
        <f>COUNTIFS(AD8:AD600, "=APAGADO",F8:F600,"=Fibra Optica")</f>
        <v>0</v>
      </c>
      <c r="AE4" s="10">
        <f>COUNTIFS(AE8:AE600, "=APAGADO",F8:F600,"=Fibra Optica")</f>
        <v>0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16</v>
      </c>
      <c r="Y5" s="136">
        <f>COUNTIFS(Y8:Y600, "=APAGADO",F8:F600,"=RADIO")</f>
        <v>14</v>
      </c>
      <c r="Z5" s="136">
        <f>COUNTIFS(Z8:Z600, "=APAGADO",F8:F600,"=RADIO")</f>
        <v>13</v>
      </c>
      <c r="AA5" s="136">
        <f>COUNTIFS(AA8:AA600, "=APAGADO",F8:F600,"=RADIO")</f>
        <v>14</v>
      </c>
      <c r="AB5" s="136">
        <f>COUNTIFS(AB8:AB600, "=APAGADO",F8:F600,"=RADIO")</f>
        <v>0</v>
      </c>
      <c r="AC5" s="136">
        <f>COUNTIFS(AC8:AC600, "=APAGADO",F8:F600,"=RADIO")</f>
        <v>0</v>
      </c>
      <c r="AD5" s="136">
        <f>COUNTIFS(AD8:AD600, "=APAGADO",F8:F600,"=RADIO")</f>
        <v>0</v>
      </c>
      <c r="AE5" s="136">
        <f>COUNTIFS(AE8:AE600, "=APAGADO",F8:F600,"=RADIO")</f>
        <v>0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10</v>
      </c>
      <c r="Z6" s="10">
        <f>COUNTIFS(Z8:Z600, "=APAGADO",F8:F600,"=PTO A FO")</f>
        <v>10</v>
      </c>
      <c r="AA6" s="10">
        <f>COUNTIFS(AA8:AA600, "=APAGADO",F8:F600,"=PTO A FO")</f>
        <v>8</v>
      </c>
      <c r="AB6" s="10">
        <f>COUNTIFS(AB8:AB600, "=APAGADO",F8:F600,"=PTO A FO")</f>
        <v>0</v>
      </c>
      <c r="AC6" s="10">
        <f>COUNTIFS(AC8:AC600, "=APAGADO",F8:F600,"=PTO A FO")</f>
        <v>0</v>
      </c>
      <c r="AD6" s="10">
        <f>COUNTIFS(AD8:AD600, "=APAGADO",F8:F600,"=PTO A FO")</f>
        <v>0</v>
      </c>
      <c r="AE6" s="10">
        <f>COUNTIFS(AE8:AE600, "=APAGADO",F8:F600,"=PTO A FO")</f>
        <v>0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12</v>
      </c>
      <c r="J10" s="31">
        <f t="shared" si="6"/>
        <v>16</v>
      </c>
      <c r="K10" s="32">
        <f t="shared" si="7"/>
        <v>0.42857142857142855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 t="s">
        <v>1489</v>
      </c>
      <c r="Z10" s="72" t="s">
        <v>1489</v>
      </c>
      <c r="AA10" s="72" t="s">
        <v>1489</v>
      </c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12</v>
      </c>
      <c r="J11" s="31">
        <f t="shared" si="6"/>
        <v>16</v>
      </c>
      <c r="K11" s="32">
        <f t="shared" si="7"/>
        <v>0.42857142857142855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 t="s">
        <v>1489</v>
      </c>
      <c r="Z11" s="72" t="s">
        <v>1489</v>
      </c>
      <c r="AA11" s="72" t="s">
        <v>1489</v>
      </c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12</v>
      </c>
      <c r="J13" s="31">
        <f t="shared" si="6"/>
        <v>16</v>
      </c>
      <c r="K13" s="32">
        <f t="shared" si="7"/>
        <v>0.42857142857142855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 t="s">
        <v>1489</v>
      </c>
      <c r="Z13" s="72" t="s">
        <v>1489</v>
      </c>
      <c r="AA13" s="72" t="s">
        <v>1489</v>
      </c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15</v>
      </c>
      <c r="J28" s="31">
        <f t="shared" si="6"/>
        <v>13</v>
      </c>
      <c r="K28" s="32">
        <f t="shared" si="7"/>
        <v>0.5357142857142857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 t="s">
        <v>1489</v>
      </c>
      <c r="Z28" s="72" t="s">
        <v>1489</v>
      </c>
      <c r="AA28" s="72" t="s">
        <v>1489</v>
      </c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12</v>
      </c>
      <c r="J29" s="31">
        <f t="shared" si="6"/>
        <v>16</v>
      </c>
      <c r="K29" s="32">
        <f t="shared" si="7"/>
        <v>0.42857142857142855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 t="s">
        <v>1489</v>
      </c>
      <c r="Z29" s="72" t="s">
        <v>1489</v>
      </c>
      <c r="AA29" s="72" t="s">
        <v>1489</v>
      </c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13</v>
      </c>
      <c r="J30" s="31">
        <f t="shared" si="6"/>
        <v>15</v>
      </c>
      <c r="K30" s="32">
        <f t="shared" si="7"/>
        <v>0.4642857142857143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 t="s">
        <v>1489</v>
      </c>
      <c r="Z30" s="72" t="s">
        <v>1489</v>
      </c>
      <c r="AA30" s="72" t="s">
        <v>1489</v>
      </c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13</v>
      </c>
      <c r="J31" s="31">
        <f t="shared" si="6"/>
        <v>15</v>
      </c>
      <c r="K31" s="32">
        <f t="shared" si="7"/>
        <v>0.4642857142857143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 t="s">
        <v>1489</v>
      </c>
      <c r="Z31" s="72" t="s">
        <v>1489</v>
      </c>
      <c r="AA31" s="72" t="s">
        <v>1489</v>
      </c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12</v>
      </c>
      <c r="J37" s="31">
        <f t="shared" si="6"/>
        <v>16</v>
      </c>
      <c r="K37" s="32">
        <f t="shared" si="7"/>
        <v>0.42857142857142855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 t="s">
        <v>1489</v>
      </c>
      <c r="Z37" s="72" t="s">
        <v>1489</v>
      </c>
      <c r="AA37" s="72" t="s">
        <v>1489</v>
      </c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23</v>
      </c>
      <c r="J43" s="31">
        <f t="shared" si="6"/>
        <v>5</v>
      </c>
      <c r="K43" s="32">
        <f t="shared" si="7"/>
        <v>0.8214285714285714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24</v>
      </c>
      <c r="J49" s="31">
        <f t="shared" si="6"/>
        <v>4</v>
      </c>
      <c r="K49" s="32">
        <f t="shared" si="7"/>
        <v>0.8571428571428571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14</v>
      </c>
      <c r="J52" s="31">
        <f t="shared" si="6"/>
        <v>14</v>
      </c>
      <c r="K52" s="32">
        <f t="shared" si="7"/>
        <v>0.5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 t="s">
        <v>1489</v>
      </c>
      <c r="Z52" s="72" t="s">
        <v>1489</v>
      </c>
      <c r="AA52" s="72" t="s">
        <v>1489</v>
      </c>
      <c r="AB52" s="72"/>
      <c r="AC52" s="72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24</v>
      </c>
      <c r="J54" s="31">
        <f t="shared" si="6"/>
        <v>4</v>
      </c>
      <c r="K54" s="32">
        <f t="shared" si="7"/>
        <v>0.8571428571428571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24</v>
      </c>
      <c r="J55" s="31">
        <f t="shared" si="6"/>
        <v>4</v>
      </c>
      <c r="K55" s="32">
        <f t="shared" si="7"/>
        <v>0.8571428571428571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12</v>
      </c>
      <c r="J56" s="31">
        <f t="shared" si="6"/>
        <v>16</v>
      </c>
      <c r="K56" s="32">
        <f t="shared" si="7"/>
        <v>0.42857142857142855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 t="s">
        <v>1489</v>
      </c>
      <c r="Z56" s="72" t="s">
        <v>1489</v>
      </c>
      <c r="AA56" s="72" t="s">
        <v>1489</v>
      </c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24</v>
      </c>
      <c r="J57" s="31">
        <f t="shared" si="6"/>
        <v>4</v>
      </c>
      <c r="K57" s="32">
        <f t="shared" si="7"/>
        <v>0.8571428571428571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24</v>
      </c>
      <c r="J58" s="31">
        <f t="shared" si="6"/>
        <v>4</v>
      </c>
      <c r="K58" s="32">
        <f t="shared" si="7"/>
        <v>0.8571428571428571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24</v>
      </c>
      <c r="J59" s="31">
        <f t="shared" si="6"/>
        <v>4</v>
      </c>
      <c r="K59" s="32">
        <f t="shared" si="7"/>
        <v>0.8571428571428571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24</v>
      </c>
      <c r="J60" s="31">
        <f t="shared" si="6"/>
        <v>4</v>
      </c>
      <c r="K60" s="32">
        <f t="shared" si="7"/>
        <v>0.8571428571428571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24</v>
      </c>
      <c r="J61" s="31">
        <f t="shared" si="6"/>
        <v>4</v>
      </c>
      <c r="K61" s="32">
        <f t="shared" si="7"/>
        <v>0.8571428571428571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24</v>
      </c>
      <c r="J62" s="31">
        <f t="shared" si="6"/>
        <v>4</v>
      </c>
      <c r="K62" s="32">
        <f t="shared" si="7"/>
        <v>0.8571428571428571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24</v>
      </c>
      <c r="J63" s="31">
        <f t="shared" si="6"/>
        <v>4</v>
      </c>
      <c r="K63" s="32">
        <f t="shared" si="7"/>
        <v>0.8571428571428571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21</v>
      </c>
      <c r="J74" s="31">
        <f t="shared" si="9"/>
        <v>7</v>
      </c>
      <c r="K74" s="32">
        <f t="shared" si="10"/>
        <v>0.75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22</v>
      </c>
      <c r="J78" s="31">
        <f t="shared" si="9"/>
        <v>6</v>
      </c>
      <c r="K78" s="32">
        <f t="shared" si="10"/>
        <v>0.7857142857142857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 t="s">
        <v>1489</v>
      </c>
      <c r="AA90" s="72" t="s">
        <v>1489</v>
      </c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26</v>
      </c>
      <c r="J106" s="31">
        <f t="shared" si="9"/>
        <v>2</v>
      </c>
      <c r="K106" s="32">
        <f t="shared" si="10"/>
        <v>0.9285714285714286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24</v>
      </c>
      <c r="J107" s="31">
        <f t="shared" si="9"/>
        <v>4</v>
      </c>
      <c r="K107" s="32">
        <f t="shared" si="10"/>
        <v>0.8571428571428571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24</v>
      </c>
      <c r="J108" s="31">
        <f t="shared" si="9"/>
        <v>4</v>
      </c>
      <c r="K108" s="32">
        <f t="shared" si="10"/>
        <v>0.8571428571428571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24</v>
      </c>
      <c r="J109" s="31">
        <f t="shared" si="9"/>
        <v>4</v>
      </c>
      <c r="K109" s="32">
        <f t="shared" si="10"/>
        <v>0.8571428571428571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12</v>
      </c>
      <c r="J113" s="31">
        <f t="shared" si="9"/>
        <v>16</v>
      </c>
      <c r="K113" s="32">
        <f t="shared" si="10"/>
        <v>0.42857142857142855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 t="s">
        <v>1489</v>
      </c>
      <c r="Z113" s="72" t="s">
        <v>1489</v>
      </c>
      <c r="AA113" s="72" t="s">
        <v>1489</v>
      </c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12</v>
      </c>
      <c r="J121" s="31">
        <f t="shared" si="9"/>
        <v>16</v>
      </c>
      <c r="K121" s="32">
        <f t="shared" si="10"/>
        <v>0.42857142857142855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 t="s">
        <v>1489</v>
      </c>
      <c r="Z121" s="72" t="s">
        <v>1489</v>
      </c>
      <c r="AA121" s="72" t="s">
        <v>1489</v>
      </c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12</v>
      </c>
      <c r="J128" s="31">
        <f t="shared" si="9"/>
        <v>16</v>
      </c>
      <c r="K128" s="32">
        <f t="shared" si="10"/>
        <v>0.42857142857142855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 t="s">
        <v>1489</v>
      </c>
      <c r="Z128" s="72" t="s">
        <v>1489</v>
      </c>
      <c r="AA128" s="72" t="s">
        <v>1489</v>
      </c>
      <c r="AB128" s="72"/>
      <c r="AC128" s="72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12</v>
      </c>
      <c r="J131" s="31">
        <f t="shared" si="9"/>
        <v>16</v>
      </c>
      <c r="K131" s="32">
        <f t="shared" si="10"/>
        <v>0.42857142857142855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 t="s">
        <v>1489</v>
      </c>
      <c r="Z131" s="72" t="s">
        <v>1489</v>
      </c>
      <c r="AA131" s="72" t="s">
        <v>1489</v>
      </c>
      <c r="AB131" s="72"/>
      <c r="AC131" s="72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12</v>
      </c>
      <c r="J132" s="31">
        <f t="shared" si="9"/>
        <v>16</v>
      </c>
      <c r="K132" s="32">
        <f t="shared" si="10"/>
        <v>0.42857142857142855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 t="s">
        <v>1489</v>
      </c>
      <c r="Z132" s="72" t="s">
        <v>1489</v>
      </c>
      <c r="AA132" s="72" t="s">
        <v>1489</v>
      </c>
      <c r="AB132" s="72"/>
      <c r="AC132" s="72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23</v>
      </c>
      <c r="J142" s="31">
        <f t="shared" si="12"/>
        <v>5</v>
      </c>
      <c r="K142" s="32">
        <f t="shared" si="13"/>
        <v>0.8214285714285714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 t="s">
        <v>1489</v>
      </c>
      <c r="Z142" s="72" t="s">
        <v>1489</v>
      </c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23</v>
      </c>
      <c r="J143" s="31">
        <f t="shared" si="12"/>
        <v>5</v>
      </c>
      <c r="K143" s="32">
        <f t="shared" si="13"/>
        <v>0.8214285714285714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 t="s">
        <v>1489</v>
      </c>
      <c r="Z143" s="72" t="s">
        <v>1489</v>
      </c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 t="s">
        <v>1489</v>
      </c>
      <c r="Z147" s="72" t="s">
        <v>1489</v>
      </c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23</v>
      </c>
      <c r="J151" s="31">
        <f t="shared" si="12"/>
        <v>5</v>
      </c>
      <c r="K151" s="32">
        <f t="shared" si="13"/>
        <v>0.8214285714285714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 t="s">
        <v>1489</v>
      </c>
      <c r="Z151" s="72" t="s">
        <v>1489</v>
      </c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23</v>
      </c>
      <c r="J152" s="31">
        <f t="shared" si="12"/>
        <v>5</v>
      </c>
      <c r="K152" s="32">
        <f t="shared" si="13"/>
        <v>0.8214285714285714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 t="s">
        <v>1489</v>
      </c>
      <c r="Z152" s="72" t="s">
        <v>1489</v>
      </c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23</v>
      </c>
      <c r="J153" s="31">
        <f t="shared" si="12"/>
        <v>5</v>
      </c>
      <c r="K153" s="32">
        <f t="shared" si="13"/>
        <v>0.8214285714285714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 t="s">
        <v>1489</v>
      </c>
      <c r="Z153" s="72" t="s">
        <v>1489</v>
      </c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24</v>
      </c>
      <c r="J154" s="31">
        <f t="shared" si="12"/>
        <v>4</v>
      </c>
      <c r="K154" s="32">
        <f t="shared" si="13"/>
        <v>0.8571428571428571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 t="s">
        <v>1489</v>
      </c>
      <c r="Z154" s="72" t="s">
        <v>1489</v>
      </c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27</v>
      </c>
      <c r="J158" s="31">
        <f t="shared" si="12"/>
        <v>1</v>
      </c>
      <c r="K158" s="32">
        <f t="shared" si="13"/>
        <v>0.9642857142857143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11</v>
      </c>
      <c r="J159" s="31">
        <f t="shared" si="12"/>
        <v>16</v>
      </c>
      <c r="K159" s="32">
        <f t="shared" si="13"/>
        <v>0.40740740740740738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 t="s">
        <v>1489</v>
      </c>
      <c r="Z159" s="72" t="s">
        <v>1489</v>
      </c>
      <c r="AA159" s="72" t="s">
        <v>1489</v>
      </c>
      <c r="AB159" s="72"/>
      <c r="AC159" s="72">
        <v>0</v>
      </c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 t="s">
        <v>1489</v>
      </c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20</v>
      </c>
      <c r="J164" s="31">
        <f t="shared" si="12"/>
        <v>8</v>
      </c>
      <c r="K164" s="32">
        <f t="shared" si="13"/>
        <v>0.7142857142857143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 t="s">
        <v>1489</v>
      </c>
      <c r="Z164" s="72" t="s">
        <v>1489</v>
      </c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21</v>
      </c>
      <c r="J165" s="31">
        <f t="shared" si="12"/>
        <v>7</v>
      </c>
      <c r="K165" s="32">
        <f t="shared" si="13"/>
        <v>0.75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 t="s">
        <v>1489</v>
      </c>
      <c r="Z165" s="72" t="s">
        <v>1489</v>
      </c>
      <c r="AA165" s="72" t="s">
        <v>1489</v>
      </c>
      <c r="AB165" s="72"/>
      <c r="AC165" s="72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25</v>
      </c>
      <c r="J169" s="31">
        <f t="shared" si="12"/>
        <v>3</v>
      </c>
      <c r="K169" s="32">
        <f t="shared" si="13"/>
        <v>0.8928571428571429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 t="s">
        <v>1489</v>
      </c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19</v>
      </c>
      <c r="J177" s="31">
        <f t="shared" si="12"/>
        <v>9</v>
      </c>
      <c r="K177" s="32">
        <f t="shared" si="13"/>
        <v>0.6785714285714286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 t="s">
        <v>1489</v>
      </c>
      <c r="Z177" s="72" t="s">
        <v>1489</v>
      </c>
      <c r="AA177" s="72" t="s">
        <v>1489</v>
      </c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18</v>
      </c>
      <c r="J181" s="31">
        <f t="shared" si="12"/>
        <v>10</v>
      </c>
      <c r="K181" s="32">
        <f t="shared" si="13"/>
        <v>0.6428571428571429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 t="s">
        <v>1489</v>
      </c>
      <c r="Z181" s="72" t="s">
        <v>1489</v>
      </c>
      <c r="AA181" s="72" t="s">
        <v>1489</v>
      </c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18</v>
      </c>
      <c r="J182" s="31">
        <f t="shared" si="12"/>
        <v>10</v>
      </c>
      <c r="K182" s="32">
        <f t="shared" si="13"/>
        <v>0.6428571428571429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 t="s">
        <v>1489</v>
      </c>
      <c r="Z182" s="72" t="s">
        <v>1489</v>
      </c>
      <c r="AA182" s="72" t="s">
        <v>1489</v>
      </c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13</v>
      </c>
      <c r="J207" s="31">
        <f t="shared" si="15"/>
        <v>15</v>
      </c>
      <c r="K207" s="32">
        <f t="shared" si="16"/>
        <v>0.4642857142857143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 t="s">
        <v>1489</v>
      </c>
      <c r="Z207" s="72" t="s">
        <v>1489</v>
      </c>
      <c r="AA207" s="72" t="s">
        <v>1489</v>
      </c>
      <c r="AB207" s="72"/>
      <c r="AC207" s="72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19</v>
      </c>
      <c r="J208" s="31">
        <f t="shared" si="15"/>
        <v>9</v>
      </c>
      <c r="K208" s="32">
        <f t="shared" si="16"/>
        <v>0.6785714285714286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 t="s">
        <v>1489</v>
      </c>
      <c r="Z208" s="72" t="s">
        <v>1489</v>
      </c>
      <c r="AA208" s="72" t="s">
        <v>1489</v>
      </c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27</v>
      </c>
      <c r="J209" s="31">
        <f t="shared" si="15"/>
        <v>1</v>
      </c>
      <c r="K209" s="32">
        <f t="shared" si="16"/>
        <v>0.9642857142857143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12</v>
      </c>
      <c r="J210" s="31">
        <f t="shared" si="15"/>
        <v>16</v>
      </c>
      <c r="K210" s="32">
        <f t="shared" si="16"/>
        <v>0.42857142857142855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 t="s">
        <v>1489</v>
      </c>
      <c r="Z210" s="72" t="s">
        <v>1489</v>
      </c>
      <c r="AA210" s="72" t="s">
        <v>1489</v>
      </c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27</v>
      </c>
      <c r="J211" s="31">
        <f t="shared" si="15"/>
        <v>1</v>
      </c>
      <c r="K211" s="32">
        <f t="shared" si="16"/>
        <v>0.9642857142857143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 t="s">
        <v>1489</v>
      </c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27</v>
      </c>
      <c r="J212" s="31">
        <f t="shared" si="15"/>
        <v>1</v>
      </c>
      <c r="K212" s="32">
        <f t="shared" si="16"/>
        <v>0.9642857142857143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 t="s">
        <v>1489</v>
      </c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24</v>
      </c>
      <c r="J231" s="31">
        <f t="shared" si="15"/>
        <v>4</v>
      </c>
      <c r="K231" s="32">
        <f t="shared" si="16"/>
        <v>0.8571428571428571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24</v>
      </c>
      <c r="J233" s="31">
        <f t="shared" si="15"/>
        <v>4</v>
      </c>
      <c r="K233" s="32">
        <f t="shared" si="16"/>
        <v>0.8571428571428571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24</v>
      </c>
      <c r="J236" s="31">
        <f t="shared" si="15"/>
        <v>4</v>
      </c>
      <c r="K236" s="32">
        <f t="shared" si="16"/>
        <v>0.8571428571428571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14</v>
      </c>
      <c r="J249" s="31">
        <f t="shared" si="15"/>
        <v>14</v>
      </c>
      <c r="K249" s="32">
        <f t="shared" si="16"/>
        <v>0.5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 t="s">
        <v>1489</v>
      </c>
      <c r="Z249" s="72" t="s">
        <v>1489</v>
      </c>
      <c r="AA249" s="72" t="s">
        <v>1489</v>
      </c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13</v>
      </c>
      <c r="J263" s="31">
        <f t="shared" si="15"/>
        <v>15</v>
      </c>
      <c r="K263" s="32">
        <f t="shared" si="16"/>
        <v>0.4642857142857143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 t="s">
        <v>1489</v>
      </c>
      <c r="Z263" s="72" t="s">
        <v>1489</v>
      </c>
      <c r="AA263" s="72" t="s">
        <v>1489</v>
      </c>
      <c r="AB263" s="72"/>
      <c r="AC263" s="72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19</v>
      </c>
      <c r="J268" s="31">
        <f t="shared" si="18"/>
        <v>9</v>
      </c>
      <c r="K268" s="32">
        <f t="shared" si="19"/>
        <v>0.6785714285714286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 t="s">
        <v>1489</v>
      </c>
      <c r="AA268" s="72" t="s">
        <v>1489</v>
      </c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12</v>
      </c>
      <c r="J297" s="31">
        <f t="shared" si="18"/>
        <v>16</v>
      </c>
      <c r="K297" s="32">
        <f t="shared" si="19"/>
        <v>0.42857142857142855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 t="s">
        <v>1489</v>
      </c>
      <c r="Z297" s="72" t="s">
        <v>1489</v>
      </c>
      <c r="AA297" s="72" t="s">
        <v>1489</v>
      </c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12</v>
      </c>
      <c r="J298" s="31">
        <f t="shared" si="18"/>
        <v>16</v>
      </c>
      <c r="K298" s="32">
        <f t="shared" si="19"/>
        <v>0.42857142857142855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 t="s">
        <v>1489</v>
      </c>
      <c r="Z298" s="72" t="s">
        <v>1489</v>
      </c>
      <c r="AA298" s="72" t="s">
        <v>1489</v>
      </c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12</v>
      </c>
      <c r="J299" s="31">
        <f t="shared" si="18"/>
        <v>16</v>
      </c>
      <c r="K299" s="32">
        <f t="shared" si="19"/>
        <v>0.42857142857142855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 t="s">
        <v>1489</v>
      </c>
      <c r="Z299" s="72" t="s">
        <v>1489</v>
      </c>
      <c r="AA299" s="72" t="s">
        <v>1489</v>
      </c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13</v>
      </c>
      <c r="J300" s="31">
        <f t="shared" si="18"/>
        <v>15</v>
      </c>
      <c r="K300" s="32">
        <f t="shared" si="19"/>
        <v>0.4642857142857143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 t="s">
        <v>1489</v>
      </c>
      <c r="Z300" s="72" t="s">
        <v>1489</v>
      </c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13</v>
      </c>
      <c r="J301" s="31">
        <f t="shared" si="18"/>
        <v>15</v>
      </c>
      <c r="K301" s="32">
        <f t="shared" si="19"/>
        <v>0.4642857142857143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 t="s">
        <v>1489</v>
      </c>
      <c r="Z301" s="72" t="s">
        <v>1489</v>
      </c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22</v>
      </c>
      <c r="J304" s="31">
        <f t="shared" si="18"/>
        <v>6</v>
      </c>
      <c r="K304" s="32">
        <f t="shared" si="19"/>
        <v>0.7857142857142857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20</v>
      </c>
      <c r="J306" s="31">
        <f t="shared" si="18"/>
        <v>8</v>
      </c>
      <c r="K306" s="32">
        <f t="shared" si="19"/>
        <v>0.7142857142857143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 t="s">
        <v>1489</v>
      </c>
      <c r="Z306" s="72" t="s">
        <v>1489</v>
      </c>
      <c r="AA306" s="72" t="s">
        <v>1489</v>
      </c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12</v>
      </c>
      <c r="J317" s="31">
        <f t="shared" si="18"/>
        <v>16</v>
      </c>
      <c r="K317" s="32">
        <f t="shared" si="19"/>
        <v>0.42857142857142855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 t="s">
        <v>1489</v>
      </c>
      <c r="Z317" s="72" t="s">
        <v>1489</v>
      </c>
      <c r="AA317" s="72" t="s">
        <v>1489</v>
      </c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12</v>
      </c>
      <c r="J322" s="31">
        <f t="shared" si="18"/>
        <v>16</v>
      </c>
      <c r="K322" s="32">
        <f t="shared" si="19"/>
        <v>0.42857142857142855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 t="s">
        <v>1489</v>
      </c>
      <c r="Z322" s="72" t="s">
        <v>1489</v>
      </c>
      <c r="AA322" s="72" t="s">
        <v>1489</v>
      </c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20</v>
      </c>
      <c r="G323" s="98"/>
      <c r="H323" s="98" t="s">
        <v>1300</v>
      </c>
      <c r="I323" s="31">
        <f t="shared" si="17"/>
        <v>14</v>
      </c>
      <c r="J323" s="31">
        <f t="shared" si="18"/>
        <v>14</v>
      </c>
      <c r="K323" s="32">
        <f t="shared" si="19"/>
        <v>0.5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 t="s">
        <v>1489</v>
      </c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28</v>
      </c>
      <c r="J328" s="31">
        <f t="shared" ref="J328:J391" si="21">COUNTIF(L328:AM328,"APAGADO")</f>
        <v>0</v>
      </c>
      <c r="K328" s="32">
        <f t="shared" ref="K328:K391" si="22">(I328)/(J328+I328)</f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28</v>
      </c>
      <c r="J329" s="31">
        <f t="shared" si="21"/>
        <v>0</v>
      </c>
      <c r="K329" s="32">
        <f t="shared" si="22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27</v>
      </c>
      <c r="J330" s="31">
        <f t="shared" si="21"/>
        <v>1</v>
      </c>
      <c r="K330" s="32">
        <f t="shared" si="22"/>
        <v>0.9642857142857143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27</v>
      </c>
      <c r="J331" s="31">
        <f t="shared" si="21"/>
        <v>1</v>
      </c>
      <c r="K331" s="32">
        <f t="shared" si="22"/>
        <v>0.9642857142857143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27</v>
      </c>
      <c r="J332" s="31">
        <f t="shared" si="21"/>
        <v>1</v>
      </c>
      <c r="K332" s="32">
        <f t="shared" si="22"/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28</v>
      </c>
      <c r="J334" s="31">
        <f t="shared" si="21"/>
        <v>0</v>
      </c>
      <c r="K334" s="32">
        <f t="shared" si="22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27</v>
      </c>
      <c r="J335" s="31">
        <f t="shared" si="21"/>
        <v>1</v>
      </c>
      <c r="K335" s="32">
        <f t="shared" si="22"/>
        <v>0.9642857142857143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28</v>
      </c>
      <c r="J336" s="31">
        <f t="shared" si="21"/>
        <v>0</v>
      </c>
      <c r="K336" s="32">
        <f t="shared" si="22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18</v>
      </c>
      <c r="J340" s="31">
        <f t="shared" si="21"/>
        <v>10</v>
      </c>
      <c r="K340" s="32">
        <f t="shared" si="22"/>
        <v>0.6428571428571429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 t="s">
        <v>1489</v>
      </c>
      <c r="Z340" s="72" t="s">
        <v>1489</v>
      </c>
      <c r="AA340" s="72" t="s">
        <v>1489</v>
      </c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12</v>
      </c>
      <c r="J350" s="31">
        <f t="shared" si="21"/>
        <v>16</v>
      </c>
      <c r="K350" s="32">
        <f t="shared" si="22"/>
        <v>0.42857142857142855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 t="s">
        <v>1489</v>
      </c>
      <c r="Z350" s="72" t="s">
        <v>1489</v>
      </c>
      <c r="AA350" s="72" t="s">
        <v>1489</v>
      </c>
      <c r="AB350" s="72"/>
      <c r="AC350" s="72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26</v>
      </c>
      <c r="J353" s="31">
        <f t="shared" si="21"/>
        <v>2</v>
      </c>
      <c r="K353" s="32">
        <f t="shared" si="22"/>
        <v>0.9285714285714286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 t="s">
        <v>1489</v>
      </c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12</v>
      </c>
      <c r="J355" s="31">
        <f t="shared" si="21"/>
        <v>16</v>
      </c>
      <c r="K355" s="32">
        <f t="shared" si="22"/>
        <v>0.42857142857142855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 t="s">
        <v>1489</v>
      </c>
      <c r="Z355" s="72" t="s">
        <v>1489</v>
      </c>
      <c r="AA355" s="72" t="s">
        <v>1489</v>
      </c>
      <c r="AB355" s="72"/>
      <c r="AC355" s="72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26</v>
      </c>
      <c r="J356" s="31">
        <f t="shared" si="21"/>
        <v>2</v>
      </c>
      <c r="K356" s="32">
        <f t="shared" si="22"/>
        <v>0.9285714285714286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 t="s">
        <v>1489</v>
      </c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12</v>
      </c>
      <c r="J358" s="31">
        <f t="shared" si="21"/>
        <v>16</v>
      </c>
      <c r="K358" s="32">
        <f t="shared" si="22"/>
        <v>0.42857142857142855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 t="s">
        <v>1489</v>
      </c>
      <c r="Z358" s="72" t="s">
        <v>1489</v>
      </c>
      <c r="AA358" s="72" t="s">
        <v>1489</v>
      </c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12</v>
      </c>
      <c r="J359" s="31">
        <f t="shared" si="21"/>
        <v>16</v>
      </c>
      <c r="K359" s="32">
        <f t="shared" si="22"/>
        <v>0.42857142857142855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 t="s">
        <v>1489</v>
      </c>
      <c r="Z359" s="72" t="s">
        <v>1489</v>
      </c>
      <c r="AA359" s="72" t="s">
        <v>1489</v>
      </c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26</v>
      </c>
      <c r="J360" s="31">
        <f t="shared" si="21"/>
        <v>2</v>
      </c>
      <c r="K360" s="32">
        <f t="shared" si="22"/>
        <v>0.9285714285714286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 t="s">
        <v>1489</v>
      </c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26</v>
      </c>
      <c r="J361" s="31">
        <f t="shared" si="21"/>
        <v>2</v>
      </c>
      <c r="K361" s="32">
        <f t="shared" si="22"/>
        <v>0.9285714285714286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 t="s">
        <v>1489</v>
      </c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23</v>
      </c>
      <c r="J371" s="31">
        <f t="shared" si="21"/>
        <v>5</v>
      </c>
      <c r="K371" s="32">
        <f t="shared" si="22"/>
        <v>0.8214285714285714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 t="s">
        <v>1489</v>
      </c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24</v>
      </c>
      <c r="J372" s="31">
        <f t="shared" si="21"/>
        <v>4</v>
      </c>
      <c r="K372" s="32">
        <f t="shared" si="22"/>
        <v>0.8571428571428571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 t="s">
        <v>1489</v>
      </c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23</v>
      </c>
      <c r="J373" s="31">
        <f t="shared" si="21"/>
        <v>5</v>
      </c>
      <c r="K373" s="32">
        <f t="shared" si="22"/>
        <v>0.8214285714285714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 t="s">
        <v>1489</v>
      </c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20</v>
      </c>
      <c r="J376" s="31">
        <f t="shared" si="21"/>
        <v>8</v>
      </c>
      <c r="K376" s="32">
        <f t="shared" si="22"/>
        <v>0.7142857142857143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 t="s">
        <v>1489</v>
      </c>
      <c r="Z376" s="72" t="s">
        <v>1489</v>
      </c>
      <c r="AA376" s="72" t="s">
        <v>1489</v>
      </c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21</v>
      </c>
      <c r="J385" s="31">
        <f t="shared" si="21"/>
        <v>7</v>
      </c>
      <c r="K385" s="32">
        <f t="shared" si="22"/>
        <v>0.75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 t="s">
        <v>1489</v>
      </c>
      <c r="Z385" s="72" t="s">
        <v>1489</v>
      </c>
      <c r="AA385" s="72" t="s">
        <v>1489</v>
      </c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22</v>
      </c>
      <c r="J386" s="31">
        <f t="shared" si="21"/>
        <v>6</v>
      </c>
      <c r="K386" s="32">
        <f t="shared" si="22"/>
        <v>0.7857142857142857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 t="s">
        <v>1489</v>
      </c>
      <c r="Z386" s="72" t="s">
        <v>1489</v>
      </c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12</v>
      </c>
      <c r="J389" s="31">
        <f t="shared" si="21"/>
        <v>16</v>
      </c>
      <c r="K389" s="32">
        <f t="shared" si="22"/>
        <v>0.42857142857142855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 t="s">
        <v>1489</v>
      </c>
      <c r="Z389" s="72" t="s">
        <v>1489</v>
      </c>
      <c r="AA389" s="72" t="s">
        <v>1489</v>
      </c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27</v>
      </c>
      <c r="J391" s="31">
        <f t="shared" si="21"/>
        <v>1</v>
      </c>
      <c r="K391" s="32">
        <f t="shared" si="22"/>
        <v>0.9642857142857143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 t="s">
        <v>1489</v>
      </c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23</v>
      </c>
      <c r="J399" s="31">
        <f t="shared" si="24"/>
        <v>5</v>
      </c>
      <c r="K399" s="32">
        <f t="shared" si="25"/>
        <v>0.8214285714285714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 t="s">
        <v>1489</v>
      </c>
      <c r="Z399" s="72" t="s">
        <v>1489</v>
      </c>
      <c r="AA399" s="72" t="s">
        <v>1489</v>
      </c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23</v>
      </c>
      <c r="J400" s="31">
        <f t="shared" si="24"/>
        <v>5</v>
      </c>
      <c r="K400" s="32">
        <f t="shared" si="25"/>
        <v>0.8214285714285714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 t="s">
        <v>1489</v>
      </c>
      <c r="Z400" s="72" t="s">
        <v>1489</v>
      </c>
      <c r="AA400" s="72" t="s">
        <v>1489</v>
      </c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26</v>
      </c>
      <c r="J409" s="31">
        <f t="shared" si="24"/>
        <v>2</v>
      </c>
      <c r="K409" s="32">
        <f t="shared" si="25"/>
        <v>0.9285714285714286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26</v>
      </c>
      <c r="J410" s="31">
        <f t="shared" si="24"/>
        <v>2</v>
      </c>
      <c r="K410" s="32">
        <f t="shared" si="25"/>
        <v>0.9285714285714286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 t="s">
        <v>1489</v>
      </c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12</v>
      </c>
      <c r="J452" s="31">
        <f t="shared" si="24"/>
        <v>16</v>
      </c>
      <c r="K452" s="32">
        <f t="shared" si="25"/>
        <v>0.42857142857142855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 t="s">
        <v>1489</v>
      </c>
      <c r="Z452" s="72" t="s">
        <v>1489</v>
      </c>
      <c r="AA452" s="72" t="s">
        <v>1489</v>
      </c>
      <c r="AB452" s="72"/>
      <c r="AC452" s="72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12</v>
      </c>
      <c r="J453" s="31">
        <f t="shared" si="24"/>
        <v>16</v>
      </c>
      <c r="K453" s="32">
        <f t="shared" si="25"/>
        <v>0.42857142857142855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 t="s">
        <v>1489</v>
      </c>
      <c r="Z453" s="72" t="s">
        <v>1489</v>
      </c>
      <c r="AA453" s="72" t="s">
        <v>1489</v>
      </c>
      <c r="AB453" s="72"/>
      <c r="AC453" s="72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12</v>
      </c>
      <c r="J465" s="31">
        <f t="shared" si="27"/>
        <v>16</v>
      </c>
      <c r="K465" s="32">
        <f t="shared" si="28"/>
        <v>0.42857142857142855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 t="s">
        <v>1489</v>
      </c>
      <c r="Z465" s="72" t="s">
        <v>1489</v>
      </c>
      <c r="AA465" s="72" t="s">
        <v>1489</v>
      </c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20</v>
      </c>
      <c r="J466" s="31">
        <f t="shared" si="27"/>
        <v>8</v>
      </c>
      <c r="K466" s="32">
        <f t="shared" si="28"/>
        <v>0.7142857142857143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 t="s">
        <v>1489</v>
      </c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12</v>
      </c>
      <c r="J467" s="31">
        <f t="shared" si="27"/>
        <v>16</v>
      </c>
      <c r="K467" s="32">
        <f t="shared" si="28"/>
        <v>0.42857142857142855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 t="s">
        <v>1489</v>
      </c>
      <c r="Z467" s="72" t="s">
        <v>1489</v>
      </c>
      <c r="AA467" s="72" t="s">
        <v>1489</v>
      </c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26</v>
      </c>
      <c r="J468" s="31">
        <f t="shared" si="27"/>
        <v>2</v>
      </c>
      <c r="K468" s="32">
        <f t="shared" si="28"/>
        <v>0.9285714285714286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 t="s">
        <v>1489</v>
      </c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26</v>
      </c>
      <c r="J469" s="31">
        <f t="shared" si="27"/>
        <v>2</v>
      </c>
      <c r="K469" s="32">
        <f t="shared" si="28"/>
        <v>0.9285714285714286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 t="s">
        <v>1489</v>
      </c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24" zoomScale="110" zoomScaleNormal="110" workbookViewId="0">
      <selection activeCell="B133" sqref="B13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1492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1492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16</v>
      </c>
      <c r="D138" s="109">
        <f>D137-C138</f>
        <v>37</v>
      </c>
      <c r="E138" s="57">
        <f>D138/C134</f>
        <v>7.628865979381444E-2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27</v>
      </c>
      <c r="E139" s="76">
        <f>D139/C134</f>
        <v>5.5670103092783509E-2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61</v>
      </c>
      <c r="D146" s="56"/>
      <c r="E146" s="57">
        <f>C146/C145</f>
        <v>0.12577319587628866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61</v>
      </c>
      <c r="E147" s="57">
        <f>D147/C145</f>
        <v>0.12577319587628866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61</v>
      </c>
      <c r="E148" s="57">
        <f>D148/C145</f>
        <v>0.12577319587628866</v>
      </c>
      <c r="F148" s="139"/>
    </row>
    <row r="149" spans="2:6" x14ac:dyDescent="0.25">
      <c r="B149" s="55" t="s">
        <v>16</v>
      </c>
      <c r="C149" s="100">
        <f>'RESUMEN TOTAL'!Y5</f>
        <v>14</v>
      </c>
      <c r="D149" s="109">
        <f>D148-C149</f>
        <v>47</v>
      </c>
      <c r="E149" s="57">
        <f>D149/C145</f>
        <v>9.6907216494845363E-2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47</v>
      </c>
      <c r="E150" s="76">
        <f>D150/C145</f>
        <v>9.6907216494845363E-2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60</v>
      </c>
      <c r="D157" s="56"/>
      <c r="E157" s="57">
        <f>C157/C156</f>
        <v>0.12371134020618557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60</v>
      </c>
      <c r="E158" s="57">
        <f>D158/C156</f>
        <v>0.12371134020618557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60</v>
      </c>
      <c r="E159" s="57">
        <f>D159/C156</f>
        <v>0.12371134020618557</v>
      </c>
      <c r="F159" s="139"/>
    </row>
    <row r="160" spans="2:6" x14ac:dyDescent="0.25">
      <c r="B160" s="55" t="s">
        <v>16</v>
      </c>
      <c r="C160" s="100">
        <f>'RESUMEN TOTAL'!Z5</f>
        <v>13</v>
      </c>
      <c r="D160" s="109">
        <f>D159-C160</f>
        <v>47</v>
      </c>
      <c r="E160" s="57">
        <f>D160/C156</f>
        <v>9.6907216494845363E-2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47</v>
      </c>
      <c r="E161" s="76">
        <f>D161/C156</f>
        <v>9.6907216494845363E-2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22</v>
      </c>
      <c r="E163" s="111">
        <f>D163/C163</f>
        <v>8.3650190114068435E-2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38</v>
      </c>
      <c r="E164" s="120">
        <f>D164/C164</f>
        <v>0.17117117117117117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57</v>
      </c>
      <c r="D168" s="56"/>
      <c r="E168" s="57">
        <f>C168/C167</f>
        <v>0.11752577319587629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57</v>
      </c>
      <c r="E169" s="57">
        <f>D169/C167</f>
        <v>0.11752577319587629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57</v>
      </c>
      <c r="E170" s="57">
        <f>D170/C167</f>
        <v>0.11752577319587629</v>
      </c>
      <c r="F170" s="139"/>
    </row>
    <row r="171" spans="2:6" x14ac:dyDescent="0.25">
      <c r="B171" s="55" t="s">
        <v>16</v>
      </c>
      <c r="C171" s="100">
        <f>'RESUMEN TOTAL'!AA5</f>
        <v>14</v>
      </c>
      <c r="D171" s="109">
        <f>D170-C171</f>
        <v>43</v>
      </c>
      <c r="E171" s="57">
        <f>D171/C167</f>
        <v>8.8659793814432994E-2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43</v>
      </c>
      <c r="E172" s="76">
        <f>D172/C167</f>
        <v>8.8659793814432994E-2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24</v>
      </c>
      <c r="E174" s="111">
        <f>D174/C174</f>
        <v>9.125475285171103E-2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33</v>
      </c>
      <c r="E175" s="120">
        <f>D175/C175</f>
        <v>0.14864864864864866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39"/>
    </row>
    <row r="180" spans="2:6" x14ac:dyDescent="0.25">
      <c r="B180" s="55" t="s">
        <v>1254</v>
      </c>
      <c r="C180" s="69">
        <v>0</v>
      </c>
      <c r="D180" s="109">
        <f>C179-C180</f>
        <v>0</v>
      </c>
      <c r="E180" s="57">
        <f>D180/C178</f>
        <v>0</v>
      </c>
      <c r="F180" s="139"/>
    </row>
    <row r="181" spans="2:6" x14ac:dyDescent="0.25">
      <c r="B181" s="55" t="s">
        <v>1255</v>
      </c>
      <c r="C181" s="69">
        <v>0</v>
      </c>
      <c r="D181" s="109">
        <f>D180-C181</f>
        <v>0</v>
      </c>
      <c r="E181" s="57">
        <f>D181/C178</f>
        <v>0</v>
      </c>
      <c r="F181" s="139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39"/>
    </row>
    <row r="183" spans="2:6" ht="15.75" thickBot="1" x14ac:dyDescent="0.3">
      <c r="B183" s="58" t="s">
        <v>1492</v>
      </c>
      <c r="C183" s="137"/>
      <c r="D183" s="110">
        <f>D182-C183</f>
        <v>0</v>
      </c>
      <c r="E183" s="76">
        <f>D183/C178</f>
        <v>0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0</v>
      </c>
      <c r="E185" s="111">
        <f>D185/C185</f>
        <v>0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0</v>
      </c>
      <c r="E186" s="120">
        <f>D186/C186</f>
        <v>0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f>'RESUMEN TOTAL'!AB14</f>
        <v>0</v>
      </c>
      <c r="D190" s="56"/>
      <c r="E190" s="57">
        <f>C190/C189</f>
        <v>0</v>
      </c>
      <c r="F190" s="139"/>
    </row>
    <row r="191" spans="2:6" x14ac:dyDescent="0.25">
      <c r="B191" s="55" t="s">
        <v>1254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25">
      <c r="B192" s="55" t="s">
        <v>1255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25">
      <c r="B193" s="55" t="s">
        <v>16</v>
      </c>
      <c r="C193" s="100">
        <f>'RESUMEN TOTAL'!AB16</f>
        <v>0</v>
      </c>
      <c r="D193" s="109">
        <f>D192-C193</f>
        <v>0</v>
      </c>
      <c r="E193" s="57">
        <f>D193/C189</f>
        <v>0</v>
      </c>
      <c r="F193" s="139"/>
    </row>
    <row r="194" spans="2:6" ht="15.75" thickBot="1" x14ac:dyDescent="0.3">
      <c r="B194" s="58" t="s">
        <v>1492</v>
      </c>
      <c r="C194" s="137"/>
      <c r="D194" s="110">
        <f>D193-C194</f>
        <v>0</v>
      </c>
      <c r="E194" s="76">
        <f>D194/C189</f>
        <v>0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f>Hoja1!V14</f>
        <v>0</v>
      </c>
      <c r="E196" s="111">
        <f>D196/C196</f>
        <v>0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f>Hoja1!V16</f>
        <v>0</v>
      </c>
      <c r="E197" s="120">
        <f>D197/C197</f>
        <v>0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1254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1255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.75" thickBot="1" x14ac:dyDescent="0.3">
      <c r="B205" s="58" t="s">
        <v>1492</v>
      </c>
      <c r="C205" s="137"/>
      <c r="D205" s="110">
        <f>D204-C205</f>
        <v>0</v>
      </c>
      <c r="E205" s="76">
        <f>D205/C200</f>
        <v>0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f>Hoja1!W3</f>
        <v>0</v>
      </c>
      <c r="E207" s="111">
        <f>D207/C207</f>
        <v>0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f>Hoja1!W5</f>
        <v>0</v>
      </c>
      <c r="E208" s="120">
        <f>D208/C208</f>
        <v>0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0</v>
      </c>
      <c r="D212" s="56"/>
      <c r="E212" s="57">
        <f>C212/C211</f>
        <v>0</v>
      </c>
      <c r="F212" s="139"/>
    </row>
    <row r="213" spans="2:6" x14ac:dyDescent="0.25">
      <c r="B213" s="55" t="s">
        <v>1254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1255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f>'RESUMEN TOTAL'!AE5</f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1492</v>
      </c>
      <c r="C216" s="137"/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f>Hoja1!Y3</f>
        <v>0</v>
      </c>
      <c r="E218" s="111">
        <f>D218/C218</f>
        <v>0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f>Hoja1!Y5</f>
        <v>0</v>
      </c>
      <c r="E219" s="120">
        <f>D219/C219</f>
        <v>0</v>
      </c>
      <c r="F219" s="140"/>
    </row>
    <row r="220" spans="2:6" ht="15.75" thickTop="1" x14ac:dyDescent="0.25"/>
  </sheetData>
  <sheetProtection selectLockedCells="1"/>
  <mergeCells count="20">
    <mergeCell ref="F189:F197"/>
    <mergeCell ref="F200:F208"/>
    <mergeCell ref="F211:F219"/>
    <mergeCell ref="F134:F142"/>
    <mergeCell ref="F145:F153"/>
    <mergeCell ref="F156:F164"/>
    <mergeCell ref="F167:F175"/>
    <mergeCell ref="F178:F186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E1" zoomScale="120" zoomScaleNormal="12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22</v>
      </c>
      <c r="T3" s="47">
        <f>COUNTIFS('RESUMEN TOTAL'!Z8:Z600,"=APAGADO",'RESUMEN TOTAL'!C8:C600,"=BONOMO")</f>
        <v>22</v>
      </c>
      <c r="U3" s="47">
        <f>COUNTIFS('RESUMEN TOTAL'!AA8:AA600,"=APAGADO",'RESUMEN TOTAL'!C8:C600,"=BONOMO")</f>
        <v>24</v>
      </c>
      <c r="V3" s="47">
        <f>COUNTIFS('RESUMEN TOTAL'!AB8:AB600,"=APAGADO",'RESUMEN TOTAL'!C8:C600,"=BONOMO")</f>
        <v>0</v>
      </c>
      <c r="W3" s="47">
        <f>COUNTIFS('RESUMEN TOTAL'!AC8:AC600,"=APAGADO",'RESUMEN TOTAL'!C8:C600,"=BONOMO")</f>
        <v>0</v>
      </c>
      <c r="X3" s="47">
        <f>COUNTIFS('RESUMEN TOTAL'!AD8:AD600,"=APAGADO",'RESUMEN TOTAL'!C8:C600,"=BONOMO")</f>
        <v>0</v>
      </c>
      <c r="Y3" s="47">
        <f>COUNTIFS('RESUMEN TOTAL'!AE8:AE600,"=APAGADO",'RESUMEN TOTAL'!C8:C600,"=BONOMO")</f>
        <v>0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39</v>
      </c>
      <c r="T5" s="47">
        <f>COUNTIFS('RESUMEN TOTAL'!Z10:Z602,"=APAGADO",'RESUMEN TOTAL'!C10:C602,"=COSEIDI")</f>
        <v>38</v>
      </c>
      <c r="U5" s="47">
        <f>COUNTIFS('RESUMEN TOTAL'!AA10:AA602,"=APAGADO",'RESUMEN TOTAL'!C10:C602,"=COSEIDI")</f>
        <v>33</v>
      </c>
      <c r="V5" s="47">
        <f>COUNTIFS('RESUMEN TOTAL'!AB10:AB602,"=APAGADO",'RESUMEN TOTAL'!C10:C602,"=COSEIDI")</f>
        <v>0</v>
      </c>
      <c r="W5" s="47">
        <f>COUNTIFS('RESUMEN TOTAL'!AC10:AC602,"=APAGADO",'RESUMEN TOTAL'!C10:C602,"=COSEIDI")</f>
        <v>0</v>
      </c>
      <c r="X5" s="47">
        <f>COUNTIFS('RESUMEN TOTAL'!AD10:AD602,"=APAGADO",'RESUMEN TOTAL'!C10:C602,"=COSEIDI")</f>
        <v>0</v>
      </c>
      <c r="Y5" s="47">
        <f>COUNTIFS('RESUMEN TOTAL'!AE10:AE602,"=APAGADO",'RESUMEN TOTAL'!C10:C602,"=COSEIDI")</f>
        <v>0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 t="str">
        <f>'RESUMEN TOTAL'!Y10</f>
        <v>APAGADO</v>
      </c>
      <c r="T7" s="72" t="str">
        <f>'RESUMEN TOTAL'!Z10</f>
        <v>APAGADO</v>
      </c>
      <c r="U7" s="72" t="str">
        <f>'RESUMEN TOTAL'!AA10</f>
        <v>APAGADO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 t="str">
        <f>'RESUMEN TOTAL'!Y11</f>
        <v>APAGADO</v>
      </c>
      <c r="T8" s="72" t="str">
        <f>'RESUMEN TOTAL'!Z11</f>
        <v>APAGADO</v>
      </c>
      <c r="U8" s="72" t="str">
        <f>'RESUMEN TOTAL'!AA11</f>
        <v>APAGADO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 t="str">
        <f>'RESUMEN TOTAL'!Y13</f>
        <v>APAGADO</v>
      </c>
      <c r="T10" s="72" t="str">
        <f>'RESUMEN TOTAL'!Z13</f>
        <v>APAGADO</v>
      </c>
      <c r="U10" s="72" t="str">
        <f>'RESUMEN TOTAL'!AA13</f>
        <v>APAGADO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 t="str">
        <f>'RESUMEN TOTAL'!Y37</f>
        <v>APAGADO</v>
      </c>
      <c r="T29" s="72" t="str">
        <f>'RESUMEN TOTAL'!Z37</f>
        <v>APAGADO</v>
      </c>
      <c r="U29" s="72" t="str">
        <f>'RESUMEN TOTAL'!AA37</f>
        <v>APAGADO</v>
      </c>
      <c r="V29" s="72">
        <f>'RESUMEN TOTAL'!AB37</f>
        <v>0</v>
      </c>
      <c r="W29" s="72">
        <f>'RESUMEN TOTAL'!AC37</f>
        <v>0</v>
      </c>
      <c r="X29" s="72">
        <f>'RESUMEN TOTAL'!AD37</f>
        <v>0</v>
      </c>
      <c r="Y29" s="72">
        <f>'RESUMEN TOTAL'!AE37</f>
        <v>0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>
        <f>'RESUMEN TOTAL'!AE43</f>
        <v>0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>
        <f>'RESUMEN TOTAL'!AE49</f>
        <v>0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 t="str">
        <f>'RESUMEN TOTAL'!Y52</f>
        <v>APAGADO</v>
      </c>
      <c r="T44" s="72" t="str">
        <f>'RESUMEN TOTAL'!Z52</f>
        <v>APAGADO</v>
      </c>
      <c r="U44" s="72" t="str">
        <f>'RESUMEN TOTAL'!AA52</f>
        <v>APAGADO</v>
      </c>
      <c r="V44" s="72">
        <f>'RESUMEN TOTAL'!AB52</f>
        <v>0</v>
      </c>
      <c r="W44" s="72">
        <f>'RESUMEN TOTAL'!AC52</f>
        <v>0</v>
      </c>
      <c r="X44" s="72">
        <f>'RESUMEN TOTAL'!AD52</f>
        <v>0</v>
      </c>
      <c r="Y44" s="72">
        <f>'RESUMEN TOTAL'!AE52</f>
        <v>0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>
        <f>'RESUMEN TOTAL'!AE54</f>
        <v>0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>
        <f>'RESUMEN TOTAL'!AE55</f>
        <v>0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 t="str">
        <f>'RESUMEN TOTAL'!Y56</f>
        <v>APAGADO</v>
      </c>
      <c r="T48" s="72" t="str">
        <f>'RESUMEN TOTAL'!Z56</f>
        <v>APAGADO</v>
      </c>
      <c r="U48" s="72" t="str">
        <f>'RESUMEN TOTAL'!AA56</f>
        <v>APAGADO</v>
      </c>
      <c r="V48" s="72">
        <f>'RESUMEN TOTAL'!AB56</f>
        <v>0</v>
      </c>
      <c r="W48" s="72">
        <f>'RESUMEN TOTAL'!AC56</f>
        <v>0</v>
      </c>
      <c r="X48" s="72">
        <f>'RESUMEN TOTAL'!AD56</f>
        <v>0</v>
      </c>
      <c r="Y48" s="72">
        <f>'RESUMEN TOTAL'!AE56</f>
        <v>0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>
        <f>'RESUMEN TOTAL'!AC57</f>
        <v>0</v>
      </c>
      <c r="X49" s="72">
        <f>'RESUMEN TOTAL'!AD57</f>
        <v>0</v>
      </c>
      <c r="Y49" s="72">
        <f>'RESUMEN TOTAL'!AE57</f>
        <v>0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>
        <f>'RESUMEN TOTAL'!AE58</f>
        <v>0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>
        <f>'RESUMEN TOTAL'!AE59</f>
        <v>0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>
        <f>'RESUMEN TOTAL'!AE60</f>
        <v>0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>
        <f>'RESUMEN TOTAL'!AE61</f>
        <v>0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>
        <f>'RESUMEN TOTAL'!AE62</f>
        <v>0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>
        <f>'RESUMEN TOTAL'!AE63</f>
        <v>0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>
        <f>'RESUMEN TOTAL'!AE74</f>
        <v>0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>
        <f>'RESUMEN TOTAL'!AE75</f>
        <v>0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>
        <f>'RESUMEN TOTAL'!AE78</f>
        <v>0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 t="str">
        <f>'RESUMEN TOTAL'!Z90</f>
        <v>APAGADO</v>
      </c>
      <c r="U82" s="72" t="str">
        <f>'RESUMEN TOTAL'!AA90</f>
        <v>APAGADO</v>
      </c>
      <c r="V82" s="72">
        <f>'RESUMEN TOTAL'!AB90</f>
        <v>0</v>
      </c>
      <c r="W82" s="72">
        <f>'RESUMEN TOTAL'!AC90</f>
        <v>0</v>
      </c>
      <c r="X82" s="72">
        <f>'RESUMEN TOTAL'!AD90</f>
        <v>0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>
        <f>'RESUMEN TOTAL'!AE106</f>
        <v>0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>
        <f>'RESUMEN TOTAL'!AE107</f>
        <v>0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>
        <f>'RESUMEN TOTAL'!AE108</f>
        <v>0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>
        <f>'RESUMEN TOTAL'!AE109</f>
        <v>0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 t="str">
        <f>'RESUMEN TOTAL'!Y113</f>
        <v>APAGADO</v>
      </c>
      <c r="T105" s="72" t="str">
        <f>'RESUMEN TOTAL'!Z113</f>
        <v>APAGADO</v>
      </c>
      <c r="U105" s="72" t="str">
        <f>'RESUMEN TOTAL'!AA113</f>
        <v>APAGADO</v>
      </c>
      <c r="V105" s="72">
        <f>'RESUMEN TOTAL'!AB113</f>
        <v>0</v>
      </c>
      <c r="W105" s="72">
        <f>'RESUMEN TOTAL'!AC113</f>
        <v>0</v>
      </c>
      <c r="X105" s="72">
        <f>'RESUMEN TOTAL'!AD113</f>
        <v>0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 t="str">
        <f>'RESUMEN TOTAL'!Y121</f>
        <v>APAGADO</v>
      </c>
      <c r="T111" s="72" t="str">
        <f>'RESUMEN TOTAL'!Z121</f>
        <v>APAGADO</v>
      </c>
      <c r="U111" s="72" t="str">
        <f>'RESUMEN TOTAL'!AA121</f>
        <v>APAGADO</v>
      </c>
      <c r="V111" s="72">
        <f>'RESUMEN TOTAL'!AB121</f>
        <v>0</v>
      </c>
      <c r="W111" s="72">
        <f>'RESUMEN TOTAL'!AC121</f>
        <v>0</v>
      </c>
      <c r="X111" s="72">
        <f>'RESUMEN TOTAL'!AD121</f>
        <v>0</v>
      </c>
      <c r="Y111" s="72">
        <f>'RESUMEN TOTAL'!AE121</f>
        <v>0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 t="str">
        <f>'RESUMEN TOTAL'!Y128</f>
        <v>APAGADO</v>
      </c>
      <c r="T118" s="72" t="str">
        <f>'RESUMEN TOTAL'!Z128</f>
        <v>APAGADO</v>
      </c>
      <c r="U118" s="72" t="str">
        <f>'RESUMEN TOTAL'!AA128</f>
        <v>APAGADO</v>
      </c>
      <c r="V118" s="72">
        <f>'RESUMEN TOTAL'!AB128</f>
        <v>0</v>
      </c>
      <c r="W118" s="72">
        <f>'RESUMEN TOTAL'!AC128</f>
        <v>0</v>
      </c>
      <c r="X118" s="72">
        <f>'RESUMEN TOTAL'!AD128</f>
        <v>0</v>
      </c>
      <c r="Y118" s="72">
        <f>'RESUMEN TOTAL'!AE128</f>
        <v>0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 t="str">
        <f>'RESUMEN TOTAL'!Y131</f>
        <v>APAGADO</v>
      </c>
      <c r="T121" s="72" t="str">
        <f>'RESUMEN TOTAL'!Z131</f>
        <v>APAGADO</v>
      </c>
      <c r="U121" s="72" t="str">
        <f>'RESUMEN TOTAL'!AA131</f>
        <v>APAGADO</v>
      </c>
      <c r="V121" s="72">
        <f>'RESUMEN TOTAL'!AB131</f>
        <v>0</v>
      </c>
      <c r="W121" s="72">
        <f>'RESUMEN TOTAL'!AC131</f>
        <v>0</v>
      </c>
      <c r="X121" s="72">
        <f>'RESUMEN TOTAL'!AD131</f>
        <v>0</v>
      </c>
      <c r="Y121" s="72">
        <f>'RESUMEN TOTAL'!AE131</f>
        <v>0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 t="str">
        <f>'RESUMEN TOTAL'!Y132</f>
        <v>APAGADO</v>
      </c>
      <c r="T122" s="72" t="str">
        <f>'RESUMEN TOTAL'!Z132</f>
        <v>APAGADO</v>
      </c>
      <c r="U122" s="72" t="str">
        <f>'RESUMEN TOTAL'!AA132</f>
        <v>APAGADO</v>
      </c>
      <c r="V122" s="72">
        <f>'RESUMEN TOTAL'!AB132</f>
        <v>0</v>
      </c>
      <c r="W122" s="72">
        <f>'RESUMEN TOTAL'!AC132</f>
        <v>0</v>
      </c>
      <c r="X122" s="72">
        <f>'RESUMEN TOTAL'!AD132</f>
        <v>0</v>
      </c>
      <c r="Y122" s="72">
        <f>'RESUMEN TOTAL'!AE132</f>
        <v>0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 t="str">
        <f>'RESUMEN TOTAL'!Y142</f>
        <v>APAGADO</v>
      </c>
      <c r="T130" s="72" t="str">
        <f>'RESUMEN TOTAL'!Z142</f>
        <v>APAGADO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 t="str">
        <f>'RESUMEN TOTAL'!Y143</f>
        <v>APAGADO</v>
      </c>
      <c r="T131" s="72" t="str">
        <f>'RESUMEN TOTAL'!Z143</f>
        <v>APAGADO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 t="str">
        <f>'RESUMEN TOTAL'!Y147</f>
        <v>APAGADO</v>
      </c>
      <c r="T135" s="72" t="str">
        <f>'RESUMEN TOTAL'!Z147</f>
        <v>APAGADO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 t="str">
        <f>'RESUMEN TOTAL'!Y151</f>
        <v>APAGADO</v>
      </c>
      <c r="T139" s="72" t="str">
        <f>'RESUMEN TOTAL'!Z151</f>
        <v>APAGADO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 t="str">
        <f>'RESUMEN TOTAL'!Y152</f>
        <v>APAGADO</v>
      </c>
      <c r="T140" s="72" t="str">
        <f>'RESUMEN TOTAL'!Z152</f>
        <v>APAGADO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 t="str">
        <f>'RESUMEN TOTAL'!Y153</f>
        <v>APAGADO</v>
      </c>
      <c r="T141" s="72" t="str">
        <f>'RESUMEN TOTAL'!Z153</f>
        <v>APAGADO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 t="str">
        <f>'RESUMEN TOTAL'!Y154</f>
        <v>APAGADO</v>
      </c>
      <c r="T142" s="72" t="str">
        <f>'RESUMEN TOTAL'!Z154</f>
        <v>APAGADO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>
        <f>'RESUMEN TOTAL'!AC158</f>
        <v>0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 t="str">
        <f>'RESUMEN TOTAL'!Y159</f>
        <v>APAGADO</v>
      </c>
      <c r="T147" s="72" t="str">
        <f>'RESUMEN TOTAL'!Z159</f>
        <v>APAGADO</v>
      </c>
      <c r="U147" s="72" t="str">
        <f>'RESUMEN TOTAL'!AA159</f>
        <v>APAGADO</v>
      </c>
      <c r="V147" s="72">
        <f>'RESUMEN TOTAL'!AB159</f>
        <v>0</v>
      </c>
      <c r="W147" s="72">
        <f>'RESUMEN TOTAL'!AC159</f>
        <v>0</v>
      </c>
      <c r="X147" s="72">
        <f>'RESUMEN TOTAL'!AD159</f>
        <v>0</v>
      </c>
      <c r="Y147" s="72">
        <f>'RESUMEN TOTAL'!AE159</f>
        <v>0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 t="str">
        <f>'RESUMEN TOTAL'!Y163</f>
        <v>APAGADO</v>
      </c>
      <c r="T151" s="72">
        <f>'RESUMEN TOTAL'!Z163</f>
        <v>0</v>
      </c>
      <c r="U151" s="72">
        <f>'RESUMEN TOTAL'!AA163</f>
        <v>0</v>
      </c>
      <c r="V151" s="72">
        <f>'RESUMEN TOTAL'!AB163</f>
        <v>0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 t="str">
        <f>'RESUMEN TOTAL'!Y164</f>
        <v>APAGADO</v>
      </c>
      <c r="T152" s="72" t="str">
        <f>'RESUMEN TOTAL'!Z164</f>
        <v>APAGADO</v>
      </c>
      <c r="U152" s="72">
        <f>'RESUMEN TOTAL'!AA164</f>
        <v>0</v>
      </c>
      <c r="V152" s="72">
        <f>'RESUMEN TOTAL'!AB164</f>
        <v>0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 t="str">
        <f>'RESUMEN TOTAL'!Y165</f>
        <v>APAGADO</v>
      </c>
      <c r="T153" s="72" t="str">
        <f>'RESUMEN TOTAL'!Z165</f>
        <v>APAGADO</v>
      </c>
      <c r="U153" s="72" t="str">
        <f>'RESUMEN TOTAL'!AA165</f>
        <v>APAGADO</v>
      </c>
      <c r="V153" s="72">
        <f>'RESUMEN TOTAL'!AB165</f>
        <v>0</v>
      </c>
      <c r="W153" s="72">
        <f>'RESUMEN TOTAL'!AC165</f>
        <v>0</v>
      </c>
      <c r="X153" s="72">
        <f>'RESUMEN TOTAL'!AD165</f>
        <v>0</v>
      </c>
      <c r="Y153" s="72">
        <f>'RESUMEN TOTAL'!AE165</f>
        <v>0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 t="str">
        <f>'RESUMEN TOTAL'!AA169</f>
        <v>APAGADO</v>
      </c>
      <c r="V157" s="72">
        <f>'RESUMEN TOTAL'!AB169</f>
        <v>0</v>
      </c>
      <c r="W157" s="72">
        <f>'RESUMEN TOTAL'!AC169</f>
        <v>0</v>
      </c>
      <c r="X157" s="72">
        <f>'RESUMEN TOTAL'!AD169</f>
        <v>0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 t="str">
        <f>'RESUMEN TOTAL'!Y177</f>
        <v>APAGADO</v>
      </c>
      <c r="T165" s="72" t="str">
        <f>'RESUMEN TOTAL'!Z177</f>
        <v>APAGADO</v>
      </c>
      <c r="U165" s="72" t="str">
        <f>'RESUMEN TOTAL'!AA177</f>
        <v>APAGADO</v>
      </c>
      <c r="V165" s="72">
        <f>'RESUMEN TOTAL'!AB177</f>
        <v>0</v>
      </c>
      <c r="W165" s="72">
        <f>'RESUMEN TOTAL'!AC177</f>
        <v>0</v>
      </c>
      <c r="X165" s="72">
        <f>'RESUMEN TOTAL'!AD177</f>
        <v>0</v>
      </c>
      <c r="Y165" s="72">
        <f>'RESUMEN TOTAL'!AE177</f>
        <v>0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 t="str">
        <f>'RESUMEN TOTAL'!Y181</f>
        <v>APAGADO</v>
      </c>
      <c r="T169" s="72" t="str">
        <f>'RESUMEN TOTAL'!Z181</f>
        <v>APAGADO</v>
      </c>
      <c r="U169" s="72" t="str">
        <f>'RESUMEN TOTAL'!AA181</f>
        <v>APAGADO</v>
      </c>
      <c r="V169" s="72">
        <f>'RESUMEN TOTAL'!AB181</f>
        <v>0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 t="str">
        <f>'RESUMEN TOTAL'!Y182</f>
        <v>APAGADO</v>
      </c>
      <c r="T170" s="72" t="str">
        <f>'RESUMEN TOTAL'!Z182</f>
        <v>APAGADO</v>
      </c>
      <c r="U170" s="72" t="str">
        <f>'RESUMEN TOTAL'!AA182</f>
        <v>APAGADO</v>
      </c>
      <c r="V170" s="72">
        <f>'RESUMEN TOTAL'!AB182</f>
        <v>0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 t="str">
        <f>'RESUMEN TOTAL'!Y207</f>
        <v>APAGADO</v>
      </c>
      <c r="T193" s="72" t="str">
        <f>'RESUMEN TOTAL'!Z207</f>
        <v>APAGADO</v>
      </c>
      <c r="U193" s="72" t="str">
        <f>'RESUMEN TOTAL'!AA207</f>
        <v>APAGADO</v>
      </c>
      <c r="V193" s="72">
        <f>'RESUMEN TOTAL'!AB207</f>
        <v>0</v>
      </c>
      <c r="W193" s="72">
        <f>'RESUMEN TOTAL'!AC207</f>
        <v>0</v>
      </c>
      <c r="X193" s="72">
        <f>'RESUMEN TOTAL'!AD207</f>
        <v>0</v>
      </c>
      <c r="Y193" s="72">
        <f>'RESUMEN TOTAL'!AE207</f>
        <v>0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 t="str">
        <f>'RESUMEN TOTAL'!Y208</f>
        <v>APAGADO</v>
      </c>
      <c r="T194" s="72" t="str">
        <f>'RESUMEN TOTAL'!Z208</f>
        <v>APAGADO</v>
      </c>
      <c r="U194" s="72" t="str">
        <f>'RESUMEN TOTAL'!AA208</f>
        <v>APAGADO</v>
      </c>
      <c r="V194" s="72">
        <f>'RESUMEN TOTAL'!AB208</f>
        <v>0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>
        <f>'RESUMEN TOTAL'!AE209</f>
        <v>0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 t="str">
        <f>'RESUMEN TOTAL'!Y210</f>
        <v>APAGADO</v>
      </c>
      <c r="T196" s="72" t="str">
        <f>'RESUMEN TOTAL'!Z210</f>
        <v>APAGADO</v>
      </c>
      <c r="U196" s="72" t="str">
        <f>'RESUMEN TOTAL'!AA210</f>
        <v>APAGADO</v>
      </c>
      <c r="V196" s="72">
        <f>'RESUMEN TOTAL'!AB210</f>
        <v>0</v>
      </c>
      <c r="W196" s="72">
        <f>'RESUMEN TOTAL'!AC210</f>
        <v>0</v>
      </c>
      <c r="X196" s="72">
        <f>'RESUMEN TOTAL'!AD210</f>
        <v>0</v>
      </c>
      <c r="Y196" s="72">
        <f>'RESUMEN TOTAL'!AE210</f>
        <v>0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 t="str">
        <f>'RESUMEN TOTAL'!Z211</f>
        <v>APAGADO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 t="str">
        <f>'RESUMEN TOTAL'!Z212</f>
        <v>APAGADO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>
        <f>'RESUMEN TOTAL'!AE231</f>
        <v>0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>
        <f>'RESUMEN TOTAL'!AE233</f>
        <v>0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>
        <f>'RESUMEN TOTAL'!AE236</f>
        <v>0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 t="str">
        <f>'RESUMEN TOTAL'!Y249</f>
        <v>APAGADO</v>
      </c>
      <c r="T234" s="72" t="str">
        <f>'RESUMEN TOTAL'!Z249</f>
        <v>APAGADO</v>
      </c>
      <c r="U234" s="72" t="str">
        <f>'RESUMEN TOTAL'!AA249</f>
        <v>APAGADO</v>
      </c>
      <c r="V234" s="72">
        <f>'RESUMEN TOTAL'!AB249</f>
        <v>0</v>
      </c>
      <c r="W234" s="72">
        <f>'RESUMEN TOTAL'!AC249</f>
        <v>0</v>
      </c>
      <c r="X234" s="72">
        <f>'RESUMEN TOTAL'!AD249</f>
        <v>0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>
        <f>'RESUMEN TOTAL'!AE255</f>
        <v>0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>
        <f>'RESUMEN TOTAL'!AE256</f>
        <v>0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>
        <f>'RESUMEN TOTAL'!AE257</f>
        <v>0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 t="str">
        <f>'RESUMEN TOTAL'!Y263</f>
        <v>APAGADO</v>
      </c>
      <c r="T248" s="72" t="str">
        <f>'RESUMEN TOTAL'!Z263</f>
        <v>APAGADO</v>
      </c>
      <c r="U248" s="72" t="str">
        <f>'RESUMEN TOTAL'!AA263</f>
        <v>APAGADO</v>
      </c>
      <c r="V248" s="72">
        <f>'RESUMEN TOTAL'!AB263</f>
        <v>0</v>
      </c>
      <c r="W248" s="72">
        <f>'RESUMEN TOTAL'!AC263</f>
        <v>0</v>
      </c>
      <c r="X248" s="72">
        <f>'RESUMEN TOTAL'!AD263</f>
        <v>0</v>
      </c>
      <c r="Y248" s="72">
        <f>'RESUMEN TOTAL'!AE263</f>
        <v>0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 t="str">
        <f>'RESUMEN TOTAL'!Z268</f>
        <v>APAGADO</v>
      </c>
      <c r="U253" s="72" t="str">
        <f>'RESUMEN TOTAL'!AA268</f>
        <v>APAGADO</v>
      </c>
      <c r="V253" s="72">
        <f>'RESUMEN TOTAL'!AB268</f>
        <v>0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 t="str">
        <f>'RESUMEN TOTAL'!Y300</f>
        <v>APAGADO</v>
      </c>
      <c r="T278" s="72" t="str">
        <f>'RESUMEN TOTAL'!Z300</f>
        <v>APAGADO</v>
      </c>
      <c r="U278" s="72">
        <f>'RESUMEN TOTAL'!AA300</f>
        <v>0</v>
      </c>
      <c r="V278" s="72">
        <f>'RESUMEN TOTAL'!AB300</f>
        <v>0</v>
      </c>
      <c r="W278" s="72">
        <f>'RESUMEN TOTAL'!AC300</f>
        <v>0</v>
      </c>
      <c r="X278" s="72">
        <f>'RESUMEN TOTAL'!AD300</f>
        <v>0</v>
      </c>
      <c r="Y278" s="72">
        <f>'RESUMEN TOTAL'!AE300</f>
        <v>0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 t="str">
        <f>'RESUMEN TOTAL'!Y301</f>
        <v>APAGADO</v>
      </c>
      <c r="T279" s="72" t="str">
        <f>'RESUMEN TOTAL'!Z301</f>
        <v>APAGADO</v>
      </c>
      <c r="U279" s="72">
        <f>'RESUMEN TOTAL'!AA301</f>
        <v>0</v>
      </c>
      <c r="V279" s="72">
        <f>'RESUMEN TOTAL'!AB301</f>
        <v>0</v>
      </c>
      <c r="W279" s="72">
        <f>'RESUMEN TOTAL'!AC301</f>
        <v>0</v>
      </c>
      <c r="X279" s="72">
        <f>'RESUMEN TOTAL'!AD301</f>
        <v>0</v>
      </c>
      <c r="Y279" s="72">
        <f>'RESUMEN TOTAL'!AE301</f>
        <v>0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 t="str">
        <f>'RESUMEN TOTAL'!Y306</f>
        <v>APAGADO</v>
      </c>
      <c r="T284" s="72" t="str">
        <f>'RESUMEN TOTAL'!Z306</f>
        <v>APAGADO</v>
      </c>
      <c r="U284" s="72" t="str">
        <f>'RESUMEN TOTAL'!AA306</f>
        <v>APAGADO</v>
      </c>
      <c r="V284" s="72">
        <f>'RESUMEN TOTAL'!AB306</f>
        <v>0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 t="str">
        <f>'RESUMEN TOTAL'!Y317</f>
        <v>APAGADO</v>
      </c>
      <c r="T295" s="72" t="str">
        <f>'RESUMEN TOTAL'!Z317</f>
        <v>APAGADO</v>
      </c>
      <c r="U295" s="72" t="str">
        <f>'RESUMEN TOTAL'!AA317</f>
        <v>APAGADO</v>
      </c>
      <c r="V295" s="72">
        <f>'RESUMEN TOTAL'!AB317</f>
        <v>0</v>
      </c>
      <c r="W295" s="72">
        <f>'RESUMEN TOTAL'!AC317</f>
        <v>0</v>
      </c>
      <c r="X295" s="72">
        <f>'RESUMEN TOTAL'!AD317</f>
        <v>0</v>
      </c>
      <c r="Y295" s="72">
        <f>'RESUMEN TOTAL'!AE317</f>
        <v>0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>
        <f>'RESUMEN TOTAL'!AC318</f>
        <v>0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>
        <f>'RESUMEN TOTAL'!AC319</f>
        <v>0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 t="str">
        <f>'RESUMEN TOTAL'!Y322</f>
        <v>APAGADO</v>
      </c>
      <c r="T300" s="72" t="str">
        <f>'RESUMEN TOTAL'!Z322</f>
        <v>APAGADO</v>
      </c>
      <c r="U300" s="72" t="str">
        <f>'RESUMEN TOTAL'!AA322</f>
        <v>APAGADO</v>
      </c>
      <c r="V300" s="72">
        <f>'RESUMEN TOTAL'!AB322</f>
        <v>0</v>
      </c>
      <c r="W300" s="72">
        <f>'RESUMEN TOTAL'!AC322</f>
        <v>0</v>
      </c>
      <c r="X300" s="72">
        <f>'RESUMEN TOTAL'!AD322</f>
        <v>0</v>
      </c>
      <c r="Y300" s="72">
        <f>'RESUMEN TOTAL'!AE322</f>
        <v>0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 t="str">
        <f>'RESUMEN TOTAL'!AA323</f>
        <v>APAGADO</v>
      </c>
      <c r="V301" s="72">
        <f>'RESUMEN TOTAL'!AB323</f>
        <v>0</v>
      </c>
      <c r="W301" s="72">
        <f>'RESUMEN TOTAL'!AC323</f>
        <v>0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>
        <f>'RESUMEN TOTAL'!AC325</f>
        <v>0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>
        <f>'RESUMEN TOTAL'!AC326</f>
        <v>0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>
        <f>'RESUMEN TOTAL'!AC327</f>
        <v>0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>
        <f>'RESUMEN TOTAL'!AC328</f>
        <v>0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>
        <f>'RESUMEN TOTAL'!AC329</f>
        <v>0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>
        <f>'RESUMEN TOTAL'!AC330</f>
        <v>0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>
        <f>'RESUMEN TOTAL'!AC331</f>
        <v>0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>
        <f>'RESUMEN TOTAL'!AC332</f>
        <v>0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>
        <f>'RESUMEN TOTAL'!AC333</f>
        <v>0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>
        <f>'RESUMEN TOTAL'!AC334</f>
        <v>0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>
        <f>'RESUMEN TOTAL'!AC335</f>
        <v>0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>
        <f>'RESUMEN TOTAL'!AC336</f>
        <v>0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 t="str">
        <f>'RESUMEN TOTAL'!Y340</f>
        <v>APAGADO</v>
      </c>
      <c r="T315" s="72" t="str">
        <f>'RESUMEN TOTAL'!Z340</f>
        <v>APAGADO</v>
      </c>
      <c r="U315" s="72" t="str">
        <f>'RESUMEN TOTAL'!AA340</f>
        <v>APAGADO</v>
      </c>
      <c r="V315" s="72">
        <f>'RESUMEN TOTAL'!AB340</f>
        <v>0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 t="str">
        <f>'RESUMEN TOTAL'!Y350</f>
        <v>APAGADO</v>
      </c>
      <c r="T325" s="72" t="str">
        <f>'RESUMEN TOTAL'!Z350</f>
        <v>APAGADO</v>
      </c>
      <c r="U325" s="72" t="str">
        <f>'RESUMEN TOTAL'!AA350</f>
        <v>APAGADO</v>
      </c>
      <c r="V325" s="72">
        <f>'RESUMEN TOTAL'!AB350</f>
        <v>0</v>
      </c>
      <c r="W325" s="72">
        <f>'RESUMEN TOTAL'!AC350</f>
        <v>0</v>
      </c>
      <c r="X325" s="72">
        <f>'RESUMEN TOTAL'!AD350</f>
        <v>0</v>
      </c>
      <c r="Y325" s="72">
        <f>'RESUMEN TOTAL'!AE350</f>
        <v>0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 t="str">
        <f>'RESUMEN TOTAL'!AA353</f>
        <v>APAGADO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 t="str">
        <f>'RESUMEN TOTAL'!Y355</f>
        <v>APAGADO</v>
      </c>
      <c r="T328" s="72" t="str">
        <f>'RESUMEN TOTAL'!Z355</f>
        <v>APAGADO</v>
      </c>
      <c r="U328" s="72" t="str">
        <f>'RESUMEN TOTAL'!AA355</f>
        <v>APAGADO</v>
      </c>
      <c r="V328" s="72">
        <f>'RESUMEN TOTAL'!AB355</f>
        <v>0</v>
      </c>
      <c r="W328" s="72">
        <f>'RESUMEN TOTAL'!AC355</f>
        <v>0</v>
      </c>
      <c r="X328" s="72">
        <f>'RESUMEN TOTAL'!AD355</f>
        <v>0</v>
      </c>
      <c r="Y328" s="72">
        <f>'RESUMEN TOTAL'!AE355</f>
        <v>0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 t="str">
        <f>'RESUMEN TOTAL'!AA356</f>
        <v>APAGADO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 t="str">
        <f>'RESUMEN TOTAL'!Y358</f>
        <v>APAGADO</v>
      </c>
      <c r="T331" s="72" t="str">
        <f>'RESUMEN TOTAL'!Z358</f>
        <v>APAGADO</v>
      </c>
      <c r="U331" s="72" t="str">
        <f>'RESUMEN TOTAL'!AA358</f>
        <v>APAGADO</v>
      </c>
      <c r="V331" s="72">
        <f>'RESUMEN TOTAL'!AB358</f>
        <v>0</v>
      </c>
      <c r="W331" s="72">
        <f>'RESUMEN TOTAL'!AC358</f>
        <v>0</v>
      </c>
      <c r="X331" s="72">
        <f>'RESUMEN TOTAL'!AD358</f>
        <v>0</v>
      </c>
      <c r="Y331" s="72">
        <f>'RESUMEN TOTAL'!AE358</f>
        <v>0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 t="str">
        <f>'RESUMEN TOTAL'!Y359</f>
        <v>APAGADO</v>
      </c>
      <c r="T332" s="72" t="str">
        <f>'RESUMEN TOTAL'!Z359</f>
        <v>APAGADO</v>
      </c>
      <c r="U332" s="72" t="str">
        <f>'RESUMEN TOTAL'!AA359</f>
        <v>APAGADO</v>
      </c>
      <c r="V332" s="72">
        <f>'RESUMEN TOTAL'!AB359</f>
        <v>0</v>
      </c>
      <c r="W332" s="72">
        <f>'RESUMEN TOTAL'!AC359</f>
        <v>0</v>
      </c>
      <c r="X332" s="72">
        <f>'RESUMEN TOTAL'!AD359</f>
        <v>0</v>
      </c>
      <c r="Y332" s="72">
        <f>'RESUMEN TOTAL'!AE359</f>
        <v>0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 t="str">
        <f>'RESUMEN TOTAL'!AA360</f>
        <v>APAGADO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 t="str">
        <f>'RESUMEN TOTAL'!AA361</f>
        <v>APAGADO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 t="str">
        <f>'RESUMEN TOTAL'!Y371</f>
        <v>APAGADO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 t="str">
        <f>'RESUMEN TOTAL'!Y372</f>
        <v>APAGADO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 t="str">
        <f>'RESUMEN TOTAL'!Y373</f>
        <v>APAGADO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 t="str">
        <f>'RESUMEN TOTAL'!Y376</f>
        <v>APAGADO</v>
      </c>
      <c r="T349" s="72" t="str">
        <f>'RESUMEN TOTAL'!Z376</f>
        <v>APAGADO</v>
      </c>
      <c r="U349" s="72" t="str">
        <f>'RESUMEN TOTAL'!AA376</f>
        <v>APAGADO</v>
      </c>
      <c r="V349" s="72">
        <f>'RESUMEN TOTAL'!AB376</f>
        <v>0</v>
      </c>
      <c r="W349" s="72">
        <f>'RESUMEN TOTAL'!AC376</f>
        <v>0</v>
      </c>
      <c r="X349" s="72">
        <f>'RESUMEN TOTAL'!AD376</f>
        <v>0</v>
      </c>
      <c r="Y349" s="72">
        <f>'RESUMEN TOTAL'!AE376</f>
        <v>0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>
        <f>'RESUMEN TOTAL'!AD379</f>
        <v>0</v>
      </c>
      <c r="Y352" s="72">
        <f>'RESUMEN TOTAL'!AE379</f>
        <v>0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 t="str">
        <f>'RESUMEN TOTAL'!Y385</f>
        <v>APAGADO</v>
      </c>
      <c r="T358" s="72" t="str">
        <f>'RESUMEN TOTAL'!Z385</f>
        <v>APAGADO</v>
      </c>
      <c r="U358" s="72" t="str">
        <f>'RESUMEN TOTAL'!AA385</f>
        <v>APAGADO</v>
      </c>
      <c r="V358" s="72">
        <f>'RESUMEN TOTAL'!AB385</f>
        <v>0</v>
      </c>
      <c r="W358" s="72">
        <f>'RESUMEN TOTAL'!AC385</f>
        <v>0</v>
      </c>
      <c r="X358" s="72">
        <f>'RESUMEN TOTAL'!AD385</f>
        <v>0</v>
      </c>
      <c r="Y358" s="72">
        <f>'RESUMEN TOTAL'!AE385</f>
        <v>0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 t="str">
        <f>'RESUMEN TOTAL'!Y386</f>
        <v>APAGADO</v>
      </c>
      <c r="T359" s="72" t="str">
        <f>'RESUMEN TOTAL'!Z386</f>
        <v>APAGADO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 t="str">
        <f>'RESUMEN TOTAL'!Y389</f>
        <v>APAGADO</v>
      </c>
      <c r="T362" s="72" t="str">
        <f>'RESUMEN TOTAL'!Z389</f>
        <v>APAGADO</v>
      </c>
      <c r="U362" s="72" t="str">
        <f>'RESUMEN TOTAL'!AA389</f>
        <v>APAGADO</v>
      </c>
      <c r="V362" s="72">
        <f>'RESUMEN TOTAL'!AB389</f>
        <v>0</v>
      </c>
      <c r="W362" s="72">
        <f>'RESUMEN TOTAL'!AC389</f>
        <v>0</v>
      </c>
      <c r="X362" s="72">
        <f>'RESUMEN TOTAL'!AD389</f>
        <v>0</v>
      </c>
      <c r="Y362" s="72">
        <f>'RESUMEN TOTAL'!AE389</f>
        <v>0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 t="str">
        <f>'RESUMEN TOTAL'!AA391</f>
        <v>APAGADO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 t="str">
        <f>'RESUMEN TOTAL'!Y399</f>
        <v>APAGADO</v>
      </c>
      <c r="T372" s="72" t="str">
        <f>'RESUMEN TOTAL'!Z399</f>
        <v>APAGADO</v>
      </c>
      <c r="U372" s="72" t="str">
        <f>'RESUMEN TOTAL'!AA399</f>
        <v>APAGADO</v>
      </c>
      <c r="V372" s="72">
        <f>'RESUMEN TOTAL'!AB399</f>
        <v>0</v>
      </c>
      <c r="W372" s="72">
        <f>'RESUMEN TOTAL'!AC399</f>
        <v>0</v>
      </c>
      <c r="X372" s="72">
        <f>'RESUMEN TOTAL'!AD399</f>
        <v>0</v>
      </c>
      <c r="Y372" s="72">
        <f>'RESUMEN TOTAL'!AE399</f>
        <v>0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 t="str">
        <f>'RESUMEN TOTAL'!Y400</f>
        <v>APAGADO</v>
      </c>
      <c r="T373" s="72" t="str">
        <f>'RESUMEN TOTAL'!Z400</f>
        <v>APAGADO</v>
      </c>
      <c r="U373" s="72" t="str">
        <f>'RESUMEN TOTAL'!AA400</f>
        <v>APAGADO</v>
      </c>
      <c r="V373" s="72">
        <f>'RESUMEN TOTAL'!AB400</f>
        <v>0</v>
      </c>
      <c r="W373" s="72">
        <f>'RESUMEN TOTAL'!AC400</f>
        <v>0</v>
      </c>
      <c r="X373" s="72">
        <f>'RESUMEN TOTAL'!AD400</f>
        <v>0</v>
      </c>
      <c r="Y373" s="72">
        <f>'RESUMEN TOTAL'!AE400</f>
        <v>0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>
        <f>'RESUMEN TOTAL'!AB407</f>
        <v>0</v>
      </c>
      <c r="W378" s="72">
        <f>'RESUMEN TOTAL'!AC407</f>
        <v>0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>
        <f>'RESUMEN TOTAL'!AB408</f>
        <v>0</v>
      </c>
      <c r="W379" s="72">
        <f>'RESUMEN TOTAL'!AC408</f>
        <v>0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>
        <f>'RESUMEN TOTAL'!AB409</f>
        <v>0</v>
      </c>
      <c r="W380" s="72">
        <f>'RESUMEN TOTAL'!AC409</f>
        <v>0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>
        <f>'RESUMEN TOTAL'!AB410</f>
        <v>0</v>
      </c>
      <c r="W381" s="72">
        <f>'RESUMEN TOTAL'!AC410</f>
        <v>0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 t="str">
        <f>'RESUMEN TOTAL'!Y411</f>
        <v>APAGADO</v>
      </c>
      <c r="T382" s="72">
        <f>'RESUMEN TOTAL'!Z411</f>
        <v>0</v>
      </c>
      <c r="U382" s="72">
        <f>'RESUMEN TOTAL'!AA411</f>
        <v>0</v>
      </c>
      <c r="V382" s="72">
        <f>'RESUMEN TOTAL'!AB411</f>
        <v>0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>
        <f>'RESUMEN TOTAL'!AD412</f>
        <v>0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>
        <f>'RESUMEN TOTAL'!AD413</f>
        <v>0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>
        <f>'RESUMEN TOTAL'!AC446</f>
        <v>0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>
        <f>'RESUMEN TOTAL'!AC447</f>
        <v>0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>
        <f>'RESUMEN TOTAL'!AC450</f>
        <v>0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>
        <f>'RESUMEN TOTAL'!AC451</f>
        <v>0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 t="str">
        <f>'RESUMEN TOTAL'!Y452</f>
        <v>APAGADO</v>
      </c>
      <c r="T423" s="72" t="str">
        <f>'RESUMEN TOTAL'!Z452</f>
        <v>APAGADO</v>
      </c>
      <c r="U423" s="72" t="str">
        <f>'RESUMEN TOTAL'!AA452</f>
        <v>APAGADO</v>
      </c>
      <c r="V423" s="72">
        <f>'RESUMEN TOTAL'!AB452</f>
        <v>0</v>
      </c>
      <c r="W423" s="72">
        <f>'RESUMEN TOTAL'!AC452</f>
        <v>0</v>
      </c>
      <c r="X423" s="72">
        <f>'RESUMEN TOTAL'!AD452</f>
        <v>0</v>
      </c>
      <c r="Y423" s="72">
        <f>'RESUMEN TOTAL'!AE452</f>
        <v>0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 t="str">
        <f>'RESUMEN TOTAL'!Y453</f>
        <v>APAGADO</v>
      </c>
      <c r="T424" s="72" t="str">
        <f>'RESUMEN TOTAL'!Z453</f>
        <v>APAGADO</v>
      </c>
      <c r="U424" s="72" t="str">
        <f>'RESUMEN TOTAL'!AA453</f>
        <v>APAGADO</v>
      </c>
      <c r="V424" s="72">
        <f>'RESUMEN TOTAL'!AB453</f>
        <v>0</v>
      </c>
      <c r="W424" s="72">
        <f>'RESUMEN TOTAL'!AC453</f>
        <v>0</v>
      </c>
      <c r="X424" s="72">
        <f>'RESUMEN TOTAL'!AD453</f>
        <v>0</v>
      </c>
      <c r="Y424" s="72">
        <f>'RESUMEN TOTAL'!AE453</f>
        <v>0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 t="str">
        <f>'RESUMEN TOTAL'!Y465</f>
        <v>APAGADO</v>
      </c>
      <c r="T435" s="72" t="str">
        <f>'RESUMEN TOTAL'!Z465</f>
        <v>APAGADO</v>
      </c>
      <c r="U435" s="72" t="str">
        <f>'RESUMEN TOTAL'!AA465</f>
        <v>APAGADO</v>
      </c>
      <c r="V435" s="72">
        <f>'RESUMEN TOTAL'!AB465</f>
        <v>0</v>
      </c>
      <c r="W435" s="72">
        <f>'RESUMEN TOTAL'!AC465</f>
        <v>0</v>
      </c>
      <c r="X435" s="72">
        <f>'RESUMEN TOTAL'!AD465</f>
        <v>0</v>
      </c>
      <c r="Y435" s="72">
        <f>'RESUMEN TOTAL'!AE465</f>
        <v>0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 t="str">
        <f>'RESUMEN TOTAL'!AA466</f>
        <v>APAGADO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 t="str">
        <f>'RESUMEN TOTAL'!Y467</f>
        <v>APAGADO</v>
      </c>
      <c r="T437" s="72" t="str">
        <f>'RESUMEN TOTAL'!Z467</f>
        <v>APAGADO</v>
      </c>
      <c r="U437" s="72" t="str">
        <f>'RESUMEN TOTAL'!AA467</f>
        <v>APAGADO</v>
      </c>
      <c r="V437" s="72">
        <f>'RESUMEN TOTAL'!AB467</f>
        <v>0</v>
      </c>
      <c r="W437" s="72">
        <f>'RESUMEN TOTAL'!AC467</f>
        <v>0</v>
      </c>
      <c r="X437" s="72">
        <f>'RESUMEN TOTAL'!AD467</f>
        <v>0</v>
      </c>
      <c r="Y437" s="72">
        <f>'RESUMEN TOTAL'!AE467</f>
        <v>0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 t="str">
        <f>'RESUMEN TOTAL'!AA468</f>
        <v>APAGADO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 t="str">
        <f>'RESUMEN TOTAL'!AA469</f>
        <v>APAGADO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2025-06-17T14:18:05Z</dcterms:modified>
</cp:coreProperties>
</file>