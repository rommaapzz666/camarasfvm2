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53D51418-A087-4948-95E3-4C549A42C1D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0" i="2" l="1"/>
  <c r="J149" i="2"/>
  <c r="I150" i="2"/>
  <c r="K150" i="2" s="1"/>
  <c r="I149" i="2"/>
  <c r="K149" i="2" s="1"/>
  <c r="J367" i="2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<sst xmlns="http://schemas.openxmlformats.org/spreadsheetml/2006/main" count="5297" uniqueCount="1567">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</sst>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tabSelected="1" zoomScale="53" zoomScaleNormal="53" workbookViewId="0">
      <pane xSplit="11" ySplit="7" topLeftCell="AA255" activePane="bottomRight" state="frozen"/>
      <selection pane="topRight" activeCell="M1" sqref="M1"/>
      <selection pane="bottomLeft" activeCell="A5" sqref="A5"/>
      <selection pane="bottomRight" activeCell="AB285" sqref="AB28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0.15577889447236182</v>
      </c>
      <c r="AB1" s="3">
        <f t="shared" si="1"/>
        <v>0.15719063545150502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64</v>
      </c>
      <c r="AB4" s="10">
        <f>COUNTIFS(AB8:AB619, "=APAGADO",F8:F619,"=Fibra Optica")</f>
        <v>62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15</v>
      </c>
      <c r="AB5" s="134">
        <f>COUNTIFS(AB8:AB619, "=APAGADO",F8:F619,"=RADIO")</f>
        <v>16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8</v>
      </c>
      <c r="AB6" s="10">
        <f>COUNTIFS(AB8:AB619, "=APAGADO",F8:F619,"=PTO A FO")</f>
        <v>9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13</v>
      </c>
      <c r="J12" s="31">
        <f t="shared" si="5"/>
        <v>15</v>
      </c>
      <c r="K12" s="32">
        <f t="shared" si="6"/>
        <v>0.4642857142857143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12</v>
      </c>
      <c r="J17" s="31">
        <f t="shared" si="5"/>
        <v>16</v>
      </c>
      <c r="K17" s="32">
        <f t="shared" si="6"/>
        <v>0.42857142857142855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12</v>
      </c>
      <c r="J18" s="31">
        <f t="shared" si="5"/>
        <v>16</v>
      </c>
      <c r="K18" s="32">
        <f t="shared" si="6"/>
        <v>0.42857142857142855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27</v>
      </c>
      <c r="J21" s="31">
        <f t="shared" si="5"/>
        <v>1</v>
      </c>
      <c r="K21" s="32">
        <f t="shared" si="6"/>
        <v>0.9642857142857143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1530</v>
      </c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12</v>
      </c>
      <c r="J30" s="138">
        <f t="shared" si="5"/>
        <v>16</v>
      </c>
      <c r="K30" s="139">
        <f t="shared" si="6"/>
        <v>0.42857142857142855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 t="s">
        <v>1530</v>
      </c>
      <c r="AB30" s="140" t="s">
        <v>1530</v>
      </c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12</v>
      </c>
      <c r="J39" s="31">
        <f t="shared" si="5"/>
        <v>16</v>
      </c>
      <c r="K39" s="32">
        <f t="shared" si="6"/>
        <v>0.42857142857142855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 t="s">
        <v>1530</v>
      </c>
      <c r="AB39" s="70" t="s">
        <v>1530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12</v>
      </c>
      <c r="J40" s="31">
        <f t="shared" si="5"/>
        <v>16</v>
      </c>
      <c r="K40" s="32">
        <f t="shared" si="6"/>
        <v>0.42857142857142855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23</v>
      </c>
      <c r="J54" s="31">
        <f t="shared" si="5"/>
        <v>5</v>
      </c>
      <c r="K54" s="32">
        <f t="shared" si="6"/>
        <v>0.8214285714285714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 t="s">
        <v>1530</v>
      </c>
      <c r="AB54" s="70" t="s">
        <v>1530</v>
      </c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12</v>
      </c>
      <c r="J55" s="31">
        <f t="shared" si="5"/>
        <v>16</v>
      </c>
      <c r="K55" s="32">
        <f t="shared" si="6"/>
        <v>0.42857142857142855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 t="s">
        <v>1530</v>
      </c>
      <c r="AB55" s="70" t="s">
        <v>1530</v>
      </c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17</v>
      </c>
      <c r="J56" s="31">
        <f t="shared" si="5"/>
        <v>11</v>
      </c>
      <c r="K56" s="32">
        <f t="shared" si="6"/>
        <v>0.6071428571428571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12</v>
      </c>
      <c r="J58" s="31">
        <f t="shared" si="5"/>
        <v>16</v>
      </c>
      <c r="K58" s="32">
        <f t="shared" si="6"/>
        <v>0.42857142857142855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 t="s">
        <v>1530</v>
      </c>
      <c r="AB58" s="70" t="s">
        <v>1530</v>
      </c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25</v>
      </c>
      <c r="J77" s="31">
        <f t="shared" si="8"/>
        <v>3</v>
      </c>
      <c r="K77" s="32">
        <f t="shared" si="9"/>
        <v>0.8928571428571429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 t="s">
        <v>1530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22</v>
      </c>
      <c r="J85" s="31">
        <f t="shared" si="8"/>
        <v>6</v>
      </c>
      <c r="K85" s="32">
        <f t="shared" si="9"/>
        <v>0.7857142857142857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 t="s">
        <v>1530</v>
      </c>
      <c r="AB85" s="70" t="s">
        <v>1530</v>
      </c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22</v>
      </c>
      <c r="J94" s="31">
        <f t="shared" si="8"/>
        <v>6</v>
      </c>
      <c r="K94" s="32">
        <f t="shared" si="9"/>
        <v>0.7857142857142857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 t="s">
        <v>1530</v>
      </c>
      <c r="AB94" s="70" t="s">
        <v>1530</v>
      </c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21</v>
      </c>
      <c r="J105" s="31">
        <f t="shared" si="8"/>
        <v>7</v>
      </c>
      <c r="K105" s="32">
        <f t="shared" si="9"/>
        <v>0.75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 t="s">
        <v>1530</v>
      </c>
      <c r="AB105" s="70" t="s">
        <v>1530</v>
      </c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21</v>
      </c>
      <c r="J106" s="31">
        <f t="shared" si="8"/>
        <v>7</v>
      </c>
      <c r="K106" s="32">
        <f t="shared" si="9"/>
        <v>0.75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22</v>
      </c>
      <c r="J107" s="31">
        <f t="shared" si="8"/>
        <v>6</v>
      </c>
      <c r="K107" s="32">
        <f t="shared" si="9"/>
        <v>0.7857142857142857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12</v>
      </c>
      <c r="J108" s="31">
        <f t="shared" si="8"/>
        <v>16</v>
      </c>
      <c r="K108" s="32">
        <f t="shared" si="9"/>
        <v>0.42857142857142855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12</v>
      </c>
      <c r="J129" s="31">
        <f t="shared" si="8"/>
        <v>16</v>
      </c>
      <c r="K129" s="32">
        <f t="shared" si="9"/>
        <v>0.42857142857142855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 t="s">
        <v>1530</v>
      </c>
      <c r="AB129" s="70" t="s">
        <v>1530</v>
      </c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22</v>
      </c>
      <c r="J131" s="31">
        <f t="shared" si="8"/>
        <v>6</v>
      </c>
      <c r="K131" s="32">
        <f t="shared" si="9"/>
        <v>0.7857142857142857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 t="s">
        <v>1530</v>
      </c>
      <c r="AB131" s="70" t="s">
        <v>1530</v>
      </c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12</v>
      </c>
      <c r="J136" s="145">
        <f t="shared" si="8"/>
        <v>16</v>
      </c>
      <c r="K136" s="146">
        <f t="shared" si="9"/>
        <v>0.42857142857142855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 t="s">
        <v>1530</v>
      </c>
      <c r="AB136" s="97" t="s">
        <v>1530</v>
      </c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12</v>
      </c>
      <c r="J139" s="31">
        <f t="shared" si="8"/>
        <v>16</v>
      </c>
      <c r="K139" s="32">
        <f t="shared" si="9"/>
        <v>0.42857142857142855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 t="s">
        <v>1530</v>
      </c>
      <c r="AB139" s="70" t="s">
        <v>1530</v>
      </c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12</v>
      </c>
      <c r="J140" s="31">
        <f t="shared" si="8"/>
        <v>16</v>
      </c>
      <c r="K140" s="32">
        <f t="shared" si="9"/>
        <v>0.42857142857142855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 t="s">
        <v>1530</v>
      </c>
      <c r="AB140" s="70" t="s">
        <v>1530</v>
      </c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22</v>
      </c>
      <c r="J145" s="31">
        <f t="shared" si="11"/>
        <v>6</v>
      </c>
      <c r="K145" s="32">
        <f t="shared" si="12"/>
        <v>0.7857142857142857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 t="s">
        <v>1530</v>
      </c>
      <c r="AB145" s="70" t="s">
        <v>1530</v>
      </c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22</v>
      </c>
      <c r="J146" s="31">
        <f t="shared" si="11"/>
        <v>6</v>
      </c>
      <c r="K146" s="32">
        <f t="shared" si="12"/>
        <v>0.7857142857142857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 t="s">
        <v>1530</v>
      </c>
      <c r="AB146" s="70" t="s">
        <v>1530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26</v>
      </c>
      <c r="J147" s="31">
        <f t="shared" si="11"/>
        <v>2</v>
      </c>
      <c r="K147" s="32">
        <f t="shared" si="12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 t="s">
        <v>1530</v>
      </c>
      <c r="AB147" s="70" t="s">
        <v>1530</v>
      </c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22</v>
      </c>
      <c r="J148" s="31">
        <f t="shared" si="11"/>
        <v>6</v>
      </c>
      <c r="K148" s="32">
        <f t="shared" si="12"/>
        <v>0.7857142857142857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 t="s">
        <v>1530</v>
      </c>
      <c r="AB148" s="70" t="s">
        <v>1530</v>
      </c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>
        <f t="shared" si="10"/>
        <v>26</v>
      </c>
      <c r="J149" s="31">
        <f t="shared" si="11"/>
        <v>2</v>
      </c>
      <c r="K149" s="32">
        <f t="shared" si="12"/>
        <v>0.9285714285714286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 t="s">
        <v>1530</v>
      </c>
      <c r="AB149" s="70" t="s">
        <v>1530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>
        <f t="shared" si="10"/>
        <v>26</v>
      </c>
      <c r="J150" s="31">
        <f t="shared" si="11"/>
        <v>2</v>
      </c>
      <c r="K150" s="32">
        <f t="shared" si="12"/>
        <v>0.9285714285714286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12</v>
      </c>
      <c r="J171" s="142">
        <f t="shared" si="11"/>
        <v>16</v>
      </c>
      <c r="K171" s="143">
        <f t="shared" si="12"/>
        <v>0.42857142857142855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 t="s">
        <v>1530</v>
      </c>
      <c r="AB171" s="144" t="s">
        <v>1530</v>
      </c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25</v>
      </c>
      <c r="J175" s="31">
        <f t="shared" si="11"/>
        <v>3</v>
      </c>
      <c r="K175" s="32">
        <f t="shared" si="12"/>
        <v>0.8928571428571429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 t="s">
        <v>1530</v>
      </c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15</v>
      </c>
      <c r="J177" s="31">
        <f t="shared" si="11"/>
        <v>13</v>
      </c>
      <c r="K177" s="32">
        <f t="shared" si="12"/>
        <v>0.5357142857142857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 t="s">
        <v>1530</v>
      </c>
      <c r="AB177" s="70" t="s">
        <v>1530</v>
      </c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12</v>
      </c>
      <c r="J178" s="31">
        <f t="shared" si="11"/>
        <v>16</v>
      </c>
      <c r="K178" s="32">
        <f t="shared" si="12"/>
        <v>0.42857142857142855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 t="s">
        <v>1530</v>
      </c>
      <c r="AB178" s="70" t="s">
        <v>1530</v>
      </c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22</v>
      </c>
      <c r="J190" s="31">
        <f t="shared" si="11"/>
        <v>6</v>
      </c>
      <c r="K190" s="32">
        <f t="shared" si="12"/>
        <v>0.7857142857142857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 t="s">
        <v>1530</v>
      </c>
      <c r="AB190" s="70" t="s">
        <v>1530</v>
      </c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12</v>
      </c>
      <c r="J220" s="31">
        <f t="shared" si="14"/>
        <v>16</v>
      </c>
      <c r="K220" s="32">
        <f t="shared" si="15"/>
        <v>0.42857142857142855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 t="s">
        <v>1530</v>
      </c>
      <c r="AB220" s="70" t="s">
        <v>1530</v>
      </c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26</v>
      </c>
      <c r="J221" s="31">
        <f t="shared" si="14"/>
        <v>2</v>
      </c>
      <c r="K221" s="32">
        <f t="shared" si="15"/>
        <v>0.9285714285714286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 t="s">
        <v>1530</v>
      </c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25</v>
      </c>
      <c r="J222" s="31">
        <f t="shared" si="14"/>
        <v>3</v>
      </c>
      <c r="K222" s="32">
        <f t="shared" si="15"/>
        <v>0.8928571428571429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 t="s">
        <v>1530</v>
      </c>
      <c r="AB222" s="70" t="s">
        <v>1530</v>
      </c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12</v>
      </c>
      <c r="J228" s="31">
        <f t="shared" si="14"/>
        <v>16</v>
      </c>
      <c r="K228" s="32">
        <f t="shared" si="15"/>
        <v>0.42857142857142855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 t="s">
        <v>1530</v>
      </c>
      <c r="AB228" s="70" t="s">
        <v>1530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13</v>
      </c>
      <c r="J231" s="31">
        <f t="shared" si="14"/>
        <v>15</v>
      </c>
      <c r="K231" s="32">
        <f t="shared" si="15"/>
        <v>0.4642857142857143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 t="s">
        <v>1530</v>
      </c>
      <c r="AB231" s="70" t="s">
        <v>1530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13</v>
      </c>
      <c r="J232" s="31">
        <f t="shared" si="14"/>
        <v>15</v>
      </c>
      <c r="K232" s="32">
        <f t="shared" si="15"/>
        <v>0.4642857142857143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 t="s">
        <v>1530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14</v>
      </c>
      <c r="J249" s="31">
        <f t="shared" si="14"/>
        <v>14</v>
      </c>
      <c r="K249" s="32">
        <f t="shared" si="15"/>
        <v>0.5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 t="s">
        <v>1530</v>
      </c>
      <c r="AB249" s="70" t="s">
        <v>1530</v>
      </c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26</v>
      </c>
      <c r="J254" s="31">
        <f t="shared" si="14"/>
        <v>2</v>
      </c>
      <c r="K254" s="32">
        <f t="shared" si="15"/>
        <v>0.9285714285714286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1530</v>
      </c>
      <c r="AB254" s="70" t="s">
        <v>1530</v>
      </c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20</v>
      </c>
      <c r="J265" s="31">
        <f t="shared" si="14"/>
        <v>8</v>
      </c>
      <c r="K265" s="32">
        <f t="shared" si="15"/>
        <v>0.7142857142857143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 t="s">
        <v>1530</v>
      </c>
      <c r="AB265" s="70" t="s">
        <v>1530</v>
      </c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13</v>
      </c>
      <c r="J267" s="31">
        <f t="shared" si="14"/>
        <v>15</v>
      </c>
      <c r="K267" s="32">
        <f t="shared" si="15"/>
        <v>0.4642857142857143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 t="s">
        <v>1530</v>
      </c>
      <c r="AB267" s="70" t="s">
        <v>1530</v>
      </c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12</v>
      </c>
      <c r="J268" s="31">
        <f t="shared" si="14"/>
        <v>16</v>
      </c>
      <c r="K268" s="32">
        <f t="shared" si="15"/>
        <v>0.42857142857142855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 t="s">
        <v>1530</v>
      </c>
      <c r="AB268" s="70" t="s">
        <v>1530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26</v>
      </c>
      <c r="J269" s="31">
        <f t="shared" si="14"/>
        <v>2</v>
      </c>
      <c r="K269" s="32">
        <f t="shared" si="15"/>
        <v>0.9285714285714286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 t="s">
        <v>1530</v>
      </c>
      <c r="AB269" s="70" t="s">
        <v>1530</v>
      </c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25</v>
      </c>
      <c r="J271" s="31">
        <f t="shared" si="14"/>
        <v>3</v>
      </c>
      <c r="K271" s="32">
        <f t="shared" si="15"/>
        <v>0.8928571428571429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25</v>
      </c>
      <c r="J272" s="31">
        <f t="shared" si="14"/>
        <v>3</v>
      </c>
      <c r="K272" s="32">
        <f t="shared" si="15"/>
        <v>0.8928571428571429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 t="s">
        <v>1530</v>
      </c>
      <c r="AB272" s="70" t="s">
        <v>1530</v>
      </c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25</v>
      </c>
      <c r="J273" s="31">
        <f t="shared" si="14"/>
        <v>3</v>
      </c>
      <c r="K273" s="32">
        <f t="shared" si="15"/>
        <v>0.8928571428571429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 t="s">
        <v>1530</v>
      </c>
      <c r="AB273" s="70" t="s">
        <v>1530</v>
      </c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12</v>
      </c>
      <c r="J279" s="142">
        <f t="shared" si="14"/>
        <v>16</v>
      </c>
      <c r="K279" s="143">
        <f t="shared" si="15"/>
        <v>0.42857142857142855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 t="s">
        <v>1530</v>
      </c>
      <c r="AB279" s="144" t="s">
        <v>1530</v>
      </c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27</v>
      </c>
      <c r="J281" s="31">
        <f t="shared" si="17"/>
        <v>1</v>
      </c>
      <c r="K281" s="32">
        <f t="shared" si="18"/>
        <v>0.9642857142857143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1530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1530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27</v>
      </c>
      <c r="J283" s="31">
        <f t="shared" si="17"/>
        <v>1</v>
      </c>
      <c r="K283" s="32">
        <f t="shared" si="18"/>
        <v>0.9642857142857143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 t="s">
        <v>1530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13</v>
      </c>
      <c r="J284" s="31">
        <f t="shared" si="17"/>
        <v>15</v>
      </c>
      <c r="K284" s="32">
        <f t="shared" si="18"/>
        <v>0.4642857142857143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 t="s">
        <v>1530</v>
      </c>
      <c r="AB284" s="70" t="s">
        <v>1530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12</v>
      </c>
      <c r="J301" s="31">
        <f t="shared" si="17"/>
        <v>16</v>
      </c>
      <c r="K301" s="32">
        <f t="shared" si="18"/>
        <v>0.42857142857142855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 t="s">
        <v>1530</v>
      </c>
      <c r="AB301" s="70" t="s">
        <v>1530</v>
      </c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12</v>
      </c>
      <c r="J307" s="31">
        <f t="shared" si="17"/>
        <v>16</v>
      </c>
      <c r="K307" s="32">
        <f t="shared" si="18"/>
        <v>0.42857142857142855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14" t="s">
        <v>1530</v>
      </c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12</v>
      </c>
      <c r="J313" s="31">
        <f t="shared" si="17"/>
        <v>16</v>
      </c>
      <c r="K313" s="32">
        <f t="shared" si="18"/>
        <v>0.42857142857142855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70" t="s">
        <v>1530</v>
      </c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12</v>
      </c>
      <c r="J314" s="31">
        <f t="shared" si="17"/>
        <v>16</v>
      </c>
      <c r="K314" s="32">
        <f t="shared" si="18"/>
        <v>0.42857142857142855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 t="s">
        <v>1530</v>
      </c>
      <c r="AB314" s="70" t="s">
        <v>1530</v>
      </c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12</v>
      </c>
      <c r="J315" s="31">
        <f t="shared" si="17"/>
        <v>16</v>
      </c>
      <c r="K315" s="32">
        <f t="shared" si="18"/>
        <v>0.42857142857142855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 t="s">
        <v>1530</v>
      </c>
      <c r="AB315" s="70" t="s">
        <v>1530</v>
      </c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18</v>
      </c>
      <c r="J322" s="31">
        <f t="shared" si="17"/>
        <v>10</v>
      </c>
      <c r="K322" s="32">
        <f t="shared" si="18"/>
        <v>0.6428571428571429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 t="s">
        <v>1530</v>
      </c>
      <c r="AB322" s="70" t="s">
        <v>1530</v>
      </c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12</v>
      </c>
      <c r="J338" s="31">
        <f t="shared" si="17"/>
        <v>16</v>
      </c>
      <c r="K338" s="32">
        <f t="shared" si="18"/>
        <v>0.42857142857142855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 t="s">
        <v>1530</v>
      </c>
      <c r="AB338" s="70" t="s">
        <v>1530</v>
      </c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12</v>
      </c>
      <c r="J339" s="142">
        <f t="shared" si="17"/>
        <v>16</v>
      </c>
      <c r="K339" s="143">
        <f t="shared" si="18"/>
        <v>0.42857142857142855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 t="s">
        <v>1530</v>
      </c>
      <c r="AB339" s="144" t="s">
        <v>1530</v>
      </c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16</v>
      </c>
      <c r="J341" s="31">
        <f t="shared" si="17"/>
        <v>12</v>
      </c>
      <c r="K341" s="32">
        <f t="shared" si="18"/>
        <v>0.5714285714285714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 t="s">
        <v>1530</v>
      </c>
      <c r="AB341" s="70" t="s">
        <v>1530</v>
      </c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16</v>
      </c>
      <c r="J342" s="31">
        <f t="shared" si="17"/>
        <v>12</v>
      </c>
      <c r="K342" s="32">
        <f t="shared" si="18"/>
        <v>0.5714285714285714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 t="s">
        <v>1530</v>
      </c>
      <c r="AB342" s="70" t="s">
        <v>1530</v>
      </c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16</v>
      </c>
      <c r="J343" s="31">
        <f t="shared" si="17"/>
        <v>12</v>
      </c>
      <c r="K343" s="32">
        <f t="shared" si="18"/>
        <v>0.5714285714285714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 t="s">
        <v>1530</v>
      </c>
      <c r="AB343" s="70" t="s">
        <v>1530</v>
      </c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16</v>
      </c>
      <c r="J346" s="31">
        <f t="shared" si="20"/>
        <v>12</v>
      </c>
      <c r="K346" s="32">
        <f t="shared" si="21"/>
        <v>0.5714285714285714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 t="s">
        <v>1530</v>
      </c>
      <c r="AB346" s="70" t="s">
        <v>1530</v>
      </c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16</v>
      </c>
      <c r="J347" s="31">
        <f t="shared" si="20"/>
        <v>12</v>
      </c>
      <c r="K347" s="32">
        <f t="shared" si="21"/>
        <v>0.5714285714285714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16</v>
      </c>
      <c r="J348" s="31">
        <f t="shared" si="20"/>
        <v>12</v>
      </c>
      <c r="K348" s="32">
        <f t="shared" si="21"/>
        <v>0.5714285714285714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 t="s">
        <v>1530</v>
      </c>
      <c r="AB348" s="70" t="s">
        <v>1530</v>
      </c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16</v>
      </c>
      <c r="J349" s="31">
        <f t="shared" si="20"/>
        <v>12</v>
      </c>
      <c r="K349" s="32">
        <f t="shared" si="21"/>
        <v>0.5714285714285714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 t="s">
        <v>1530</v>
      </c>
      <c r="AB349" s="70" t="s">
        <v>1530</v>
      </c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16</v>
      </c>
      <c r="J351" s="31">
        <f t="shared" si="20"/>
        <v>12</v>
      </c>
      <c r="K351" s="32">
        <f t="shared" si="21"/>
        <v>0.5714285714285714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21</v>
      </c>
      <c r="J362" s="31">
        <f t="shared" si="20"/>
        <v>7</v>
      </c>
      <c r="K362" s="32">
        <f t="shared" si="21"/>
        <v>0.75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 t="s">
        <v>1530</v>
      </c>
      <c r="AB362" s="70" t="s">
        <v>1530</v>
      </c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21</v>
      </c>
      <c r="J363" s="31">
        <f t="shared" si="20"/>
        <v>7</v>
      </c>
      <c r="K363" s="32">
        <f t="shared" si="21"/>
        <v>0.75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 t="s">
        <v>1530</v>
      </c>
      <c r="AB363" s="70" t="s">
        <v>1530</v>
      </c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12</v>
      </c>
      <c r="J368" s="31">
        <f t="shared" si="20"/>
        <v>16</v>
      </c>
      <c r="K368" s="32">
        <f t="shared" si="21"/>
        <v>0.42857142857142855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 t="s">
        <v>1530</v>
      </c>
      <c r="AB368" s="70" t="s">
        <v>1530</v>
      </c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13</v>
      </c>
      <c r="J369" s="31">
        <f t="shared" si="20"/>
        <v>15</v>
      </c>
      <c r="K369" s="32">
        <f t="shared" si="21"/>
        <v>0.4642857142857143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 t="s">
        <v>1530</v>
      </c>
      <c r="AB369" s="70" t="s">
        <v>1530</v>
      </c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12</v>
      </c>
      <c r="J373" s="31">
        <f t="shared" si="20"/>
        <v>16</v>
      </c>
      <c r="K373" s="32">
        <f t="shared" si="21"/>
        <v>0.42857142857142855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 t="s">
        <v>1530</v>
      </c>
      <c r="AB373" s="70" t="s">
        <v>1530</v>
      </c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12</v>
      </c>
      <c r="J376" s="31">
        <f t="shared" si="20"/>
        <v>16</v>
      </c>
      <c r="K376" s="32">
        <f t="shared" si="21"/>
        <v>0.42857142857142855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 t="s">
        <v>1530</v>
      </c>
      <c r="AB376" s="70" t="s">
        <v>1530</v>
      </c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22</v>
      </c>
      <c r="J380" s="31">
        <f t="shared" si="20"/>
        <v>6</v>
      </c>
      <c r="K380" s="32">
        <f t="shared" si="21"/>
        <v>0.7857142857142857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 t="s">
        <v>1530</v>
      </c>
      <c r="AB380" s="70" t="s">
        <v>1530</v>
      </c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22</v>
      </c>
      <c r="J381" s="31">
        <f t="shared" si="20"/>
        <v>6</v>
      </c>
      <c r="K381" s="32">
        <f t="shared" si="21"/>
        <v>0.7857142857142857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 t="s">
        <v>1530</v>
      </c>
      <c r="AB381" s="70" t="s">
        <v>1530</v>
      </c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22</v>
      </c>
      <c r="J382" s="31">
        <f t="shared" si="20"/>
        <v>6</v>
      </c>
      <c r="K382" s="32">
        <f t="shared" si="21"/>
        <v>0.7857142857142857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22</v>
      </c>
      <c r="J383" s="31">
        <f t="shared" si="20"/>
        <v>6</v>
      </c>
      <c r="K383" s="32">
        <f t="shared" si="21"/>
        <v>0.7857142857142857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 t="s">
        <v>1530</v>
      </c>
      <c r="AB383" s="70" t="s">
        <v>1530</v>
      </c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21</v>
      </c>
      <c r="J384" s="31">
        <f t="shared" si="20"/>
        <v>7</v>
      </c>
      <c r="K384" s="32">
        <f t="shared" si="21"/>
        <v>0.75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 t="s">
        <v>1530</v>
      </c>
      <c r="AB384" s="70" t="s">
        <v>1530</v>
      </c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12</v>
      </c>
      <c r="J392" s="31">
        <f t="shared" si="20"/>
        <v>16</v>
      </c>
      <c r="K392" s="32">
        <f t="shared" si="21"/>
        <v>0.42857142857142855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13</v>
      </c>
      <c r="J393" s="31">
        <f t="shared" si="20"/>
        <v>15</v>
      </c>
      <c r="K393" s="32">
        <f t="shared" si="21"/>
        <v>0.4642857142857143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12</v>
      </c>
      <c r="J398" s="31">
        <f t="shared" si="20"/>
        <v>16</v>
      </c>
      <c r="K398" s="32">
        <f t="shared" si="21"/>
        <v>0.42857142857142855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 t="s">
        <v>1530</v>
      </c>
      <c r="AB398" s="70" t="s">
        <v>1530</v>
      </c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13</v>
      </c>
      <c r="J404" s="31">
        <f t="shared" si="20"/>
        <v>15</v>
      </c>
      <c r="K404" s="32">
        <f t="shared" si="21"/>
        <v>0.4642857142857143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12</v>
      </c>
      <c r="J407" s="31">
        <f t="shared" si="20"/>
        <v>16</v>
      </c>
      <c r="K407" s="32">
        <f t="shared" si="21"/>
        <v>0.42857142857142855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 t="s">
        <v>1530</v>
      </c>
      <c r="AB407" s="70" t="s">
        <v>1530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12</v>
      </c>
      <c r="J417" s="31">
        <f t="shared" si="23"/>
        <v>16</v>
      </c>
      <c r="K417" s="32">
        <f t="shared" si="24"/>
        <v>0.42857142857142855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 t="s">
        <v>1530</v>
      </c>
      <c r="AB417" s="70" t="s">
        <v>1530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12</v>
      </c>
      <c r="J418" s="31">
        <f t="shared" si="23"/>
        <v>16</v>
      </c>
      <c r="K418" s="32">
        <f t="shared" si="24"/>
        <v>0.42857142857142855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24</v>
      </c>
      <c r="J429" s="31">
        <f t="shared" si="23"/>
        <v>4</v>
      </c>
      <c r="K429" s="32">
        <f t="shared" si="24"/>
        <v>0.8571428571428571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 t="s">
        <v>1530</v>
      </c>
      <c r="AB429" s="70" t="s">
        <v>1530</v>
      </c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16</v>
      </c>
      <c r="J467" s="31">
        <f t="shared" si="23"/>
        <v>12</v>
      </c>
      <c r="K467" s="32">
        <f t="shared" si="24"/>
        <v>0.5714285714285714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 t="s">
        <v>1530</v>
      </c>
      <c r="AB467" s="70" t="s">
        <v>1530</v>
      </c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16</v>
      </c>
      <c r="J468" s="31">
        <f t="shared" si="23"/>
        <v>12</v>
      </c>
      <c r="K468" s="32">
        <f t="shared" si="24"/>
        <v>0.5714285714285714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 t="s">
        <v>1530</v>
      </c>
      <c r="AB468" s="70" t="s">
        <v>1530</v>
      </c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23</v>
      </c>
      <c r="J476" s="31">
        <f t="shared" si="26"/>
        <v>5</v>
      </c>
      <c r="K476" s="32">
        <f t="shared" si="27"/>
        <v>0.8214285714285714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 t="s">
        <v>1530</v>
      </c>
      <c r="AB476" s="70" t="s">
        <v>1530</v>
      </c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23</v>
      </c>
      <c r="J478" s="31">
        <f t="shared" si="26"/>
        <v>5</v>
      </c>
      <c r="K478" s="32">
        <f t="shared" si="27"/>
        <v>0.8214285714285714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 t="s">
        <v>1530</v>
      </c>
      <c r="AB478" s="70" t="s">
        <v>1530</v>
      </c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12</v>
      </c>
      <c r="J484" s="31">
        <f t="shared" si="26"/>
        <v>16</v>
      </c>
      <c r="K484" s="32">
        <f t="shared" si="27"/>
        <v>0.42857142857142855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 t="s">
        <v>1530</v>
      </c>
      <c r="AB484" s="70" t="s">
        <v>1530</v>
      </c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12</v>
      </c>
      <c r="J486" s="31">
        <f t="shared" si="26"/>
        <v>16</v>
      </c>
      <c r="K486" s="32">
        <f t="shared" si="27"/>
        <v>0.42857142857142855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 t="s">
        <v>1530</v>
      </c>
      <c r="AB486" s="70" t="s">
        <v>1530</v>
      </c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23</v>
      </c>
      <c r="J507" s="31">
        <f t="shared" si="26"/>
        <v>5</v>
      </c>
      <c r="K507" s="32">
        <f t="shared" si="27"/>
        <v>0.8214285714285714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 t="s">
        <v>1530</v>
      </c>
      <c r="AB507" s="70" t="s">
        <v>1530</v>
      </c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13</v>
      </c>
      <c r="J508" s="31">
        <f t="shared" si="26"/>
        <v>15</v>
      </c>
      <c r="K508" s="32">
        <f t="shared" si="27"/>
        <v>0.4642857142857143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 t="s">
        <v>1530</v>
      </c>
      <c r="AB508" s="70" t="s">
        <v>1530</v>
      </c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33" zoomScale="90" zoomScaleNormal="90" workbookViewId="0">
      <selection activeCell="B144" sqref="B1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93</v>
      </c>
      <c r="D168" s="54"/>
      <c r="E168" s="55">
        <f>C168/C167</f>
        <v>0.18452380952380953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93</v>
      </c>
      <c r="E169" s="55">
        <f>D169/C167</f>
        <v>0.18452380952380953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93</v>
      </c>
      <c r="E170" s="55">
        <f>D170/C167</f>
        <v>0.18452380952380953</v>
      </c>
      <c r="F170" s="148"/>
    </row>
    <row r="171" spans="2:6" x14ac:dyDescent="0.25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0.15476190476190477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78</v>
      </c>
      <c r="E172" s="74">
        <f>D172/C167</f>
        <v>0.15476190476190477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45</v>
      </c>
      <c r="E175" s="118">
        <f>D175/C175</f>
        <v>0.19313304721030042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94</v>
      </c>
      <c r="D179" s="54"/>
      <c r="E179" s="55">
        <f>C179/C178</f>
        <v>0.18650793650793651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94</v>
      </c>
      <c r="E180" s="55">
        <f>D180/C178</f>
        <v>0.18650793650793651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94</v>
      </c>
      <c r="E181" s="55">
        <f>D181/C178</f>
        <v>0.18650793650793651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94</v>
      </c>
      <c r="E182" s="55">
        <f>D182/C178</f>
        <v>0.18650793650793651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94</v>
      </c>
      <c r="E183" s="74">
        <f>D183/C178</f>
        <v>0.18650793650793651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51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43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 t="str">
        <f>'RESUMEN TOTAL'!AB21</f>
        <v>APAGADO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 t="str">
        <f>'RESUMEN TOTAL'!AA39</f>
        <v>APAGADO</v>
      </c>
      <c r="V29" s="70" t="str">
        <f>'RESUMEN TOTAL'!AB39</f>
        <v>APAGADO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 t="str">
        <f>'RESUMEN TOTAL'!AA54</f>
        <v>APAGADO</v>
      </c>
      <c r="V44" s="70" t="str">
        <f>'RESUMEN TOTAL'!AB54</f>
        <v>APAGADO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 t="str">
        <f>'RESUMEN TOTAL'!AA56</f>
        <v>APAGADO</v>
      </c>
      <c r="V46" s="70" t="str">
        <f>'RESUMEN TOTAL'!AB56</f>
        <v>APAGADO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 t="str">
        <f>'RESUMEN TOTAL'!AB77</f>
        <v>APAGADO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 t="str">
        <f>'RESUMEN TOTAL'!AA85</f>
        <v>APAGADO</v>
      </c>
      <c r="V75" s="70" t="str">
        <f>'RESUMEN TOTAL'!AB85</f>
        <v>APAGADO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 t="str">
        <f>'RESUMEN TOTAL'!AA94</f>
        <v>APAGADO</v>
      </c>
      <c r="V84" s="70" t="str">
        <f>'RESUMEN TOTAL'!AB94</f>
        <v>APAGADO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 t="str">
        <f>'RESUMEN TOTAL'!AA105</f>
        <v>APAGADO</v>
      </c>
      <c r="V95" s="70" t="str">
        <f>'RESUMEN TOTAL'!AB105</f>
        <v>APAGADO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 t="str">
        <f>'RESUMEN TOTAL'!AA106</f>
        <v>APAGADO</v>
      </c>
      <c r="V96" s="70" t="str">
        <f>'RESUMEN TOTAL'!AB106</f>
        <v>APAGADO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 t="str">
        <f>'RESUMEN TOTAL'!AA107</f>
        <v>APAGADO</v>
      </c>
      <c r="V97" s="70" t="str">
        <f>'RESUMEN TOTAL'!AB107</f>
        <v>APAGADO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 t="str">
        <f>'RESUMEN TOTAL'!AA108</f>
        <v>APAGADO</v>
      </c>
      <c r="V98" s="70" t="str">
        <f>'RESUMEN TOTAL'!AB108</f>
        <v>APAGADO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 t="str">
        <f>'RESUMEN TOTAL'!AA131</f>
        <v>APAGADO</v>
      </c>
      <c r="V114" s="70" t="str">
        <f>'RESUMEN TOTAL'!AB131</f>
        <v>APAGADO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 t="str">
        <f>'RESUMEN TOTAL'!AA145</f>
        <v>APAGADO</v>
      </c>
      <c r="V126" s="70" t="str">
        <f>'RESUMEN TOTAL'!AB145</f>
        <v>APAGADO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 t="str">
        <f>'RESUMEN TOTAL'!AA146</f>
        <v>APAGADO</v>
      </c>
      <c r="V127" s="70" t="str">
        <f>'RESUMEN TOTAL'!AB146</f>
        <v>APAGADO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 t="str">
        <f>'RESUMEN TOTAL'!AA147</f>
        <v>APAGADO</v>
      </c>
      <c r="V128" s="70" t="str">
        <f>'RESUMEN TOTAL'!AB147</f>
        <v>APAGADO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 t="str">
        <f>'RESUMEN TOTAL'!AA148</f>
        <v>APAGADO</v>
      </c>
      <c r="V129" s="70" t="str">
        <f>'RESUMEN TOTAL'!AB148</f>
        <v>APAGADO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 t="str">
        <f>'RESUMEN TOTAL'!AA171</f>
        <v>APAGADO</v>
      </c>
      <c r="V148" s="70" t="str">
        <f>'RESUMEN TOTAL'!AB171</f>
        <v>APAGADO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 t="str">
        <f>'RESUMEN TOTAL'!AB175</f>
        <v>APAGADO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 t="str">
        <f>'RESUMEN TOTAL'!AA177</f>
        <v>APAGADO</v>
      </c>
      <c r="V154" s="70" t="str">
        <f>'RESUMEN TOTAL'!AB177</f>
        <v>APAGADO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 t="str">
        <f>'RESUMEN TOTAL'!AA178</f>
        <v>APAGADO</v>
      </c>
      <c r="V155" s="70" t="str">
        <f>'RESUMEN TOTAL'!AB178</f>
        <v>APAGADO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 t="str">
        <f>'RESUMEN TOTAL'!AA190</f>
        <v>APAGADO</v>
      </c>
      <c r="V167" s="70" t="str">
        <f>'RESUMEN TOTAL'!AB190</f>
        <v>APAGADO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 t="str">
        <f>'RESUMEN TOTAL'!AA220</f>
        <v>APAGADO</v>
      </c>
      <c r="V194" s="70" t="str">
        <f>'RESUMEN TOTAL'!AB220</f>
        <v>APAGADO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 t="str">
        <f>'RESUMEN TOTAL'!AB221</f>
        <v>APAGADO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 t="str">
        <f>'RESUMEN TOTAL'!AA222</f>
        <v>APAGADO</v>
      </c>
      <c r="V196" s="70" t="str">
        <f>'RESUMEN TOTAL'!AB222</f>
        <v>APAGADO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 t="str">
        <f>'RESUMEN TOTAL'!AA228</f>
        <v>APAGADO</v>
      </c>
      <c r="V202" s="70" t="str">
        <f>'RESUMEN TOTAL'!AB228</f>
        <v>APAGADO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 t="str">
        <f>'RESUMEN TOTAL'!AA231</f>
        <v>APAGADO</v>
      </c>
      <c r="V205" s="70" t="str">
        <f>'RESUMEN TOTAL'!AB231</f>
        <v>APAGADO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 t="str">
        <f>'RESUMEN TOTAL'!AA232</f>
        <v>APAGADO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 t="str">
        <f>'RESUMEN TOTAL'!AA249</f>
        <v>APAGADO</v>
      </c>
      <c r="V221" s="70" t="str">
        <f>'RESUMEN TOTAL'!AB249</f>
        <v>APAGADO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 t="str">
        <f>'RESUMEN TOTAL'!AA254</f>
        <v>APAGADO</v>
      </c>
      <c r="V226" s="70" t="str">
        <f>'RESUMEN TOTAL'!AB254</f>
        <v>APAGADO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 t="str">
        <f>'RESUMEN TOTAL'!AA265</f>
        <v>APAGADO</v>
      </c>
      <c r="V235" s="70" t="str">
        <f>'RESUMEN TOTAL'!AB265</f>
        <v>APAGADO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 t="str">
        <f>'RESUMEN TOTAL'!AA267</f>
        <v>APAGADO</v>
      </c>
      <c r="V237" s="70" t="str">
        <f>'RESUMEN TOTAL'!AB267</f>
        <v>APAGADO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 t="str">
        <f>'RESUMEN TOTAL'!AA268</f>
        <v>APAGADO</v>
      </c>
      <c r="V238" s="70" t="str">
        <f>'RESUMEN TOTAL'!AB268</f>
        <v>APAGADO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 t="str">
        <f>'RESUMEN TOTAL'!AA269</f>
        <v>APAGADO</v>
      </c>
      <c r="V239" s="70" t="str">
        <f>'RESUMEN TOTAL'!AB269</f>
        <v>APAGADO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 t="str">
        <f>'RESUMEN TOTAL'!AA271</f>
        <v>APAGADO</v>
      </c>
      <c r="V241" s="70" t="str">
        <f>'RESUMEN TOTAL'!AB271</f>
        <v>APAGADO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 t="str">
        <f>'RESUMEN TOTAL'!AA272</f>
        <v>APAGADO</v>
      </c>
      <c r="V242" s="70" t="str">
        <f>'RESUMEN TOTAL'!AB272</f>
        <v>APAGADO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 t="str">
        <f>'RESUMEN TOTAL'!AA273</f>
        <v>APAGADO</v>
      </c>
      <c r="V243" s="70" t="str">
        <f>'RESUMEN TOTAL'!AB273</f>
        <v>APAGADO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 t="str">
        <f>'RESUMEN TOTAL'!AA279</f>
        <v>APAGADO</v>
      </c>
      <c r="V249" s="70" t="str">
        <f>'RESUMEN TOTAL'!AB279</f>
        <v>APAGADO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 t="str">
        <f>'RESUMEN TOTAL'!AA281</f>
        <v>APAGADO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 t="str">
        <f>'RESUMEN TOTAL'!AA282</f>
        <v>APAGADO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 t="str">
        <f>'RESUMEN TOTAL'!AA283</f>
        <v>APAGADO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 t="str">
        <f>'RESUMEN TOTAL'!AA284</f>
        <v>APAGADO</v>
      </c>
      <c r="V254" s="70" t="str">
        <f>'RESUMEN TOTAL'!AB284</f>
        <v>APAGADO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 t="str">
        <f>'RESUMEN TOTAL'!AA301</f>
        <v>APAGADO</v>
      </c>
      <c r="V267" s="70" t="str">
        <f>'RESUMEN TOTAL'!AB301</f>
        <v>APAGADO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 t="str">
        <f>'RESUMEN TOTAL'!AA307</f>
        <v>APAGADO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 t="str">
        <f>'RESUMEN TOTAL'!AA322</f>
        <v>APAGADO</v>
      </c>
      <c r="V285" s="70" t="str">
        <f>'RESUMEN TOTAL'!AB322</f>
        <v>APAGADO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 t="str">
        <f>'RESUMEN TOTAL'!AA338</f>
        <v>APAGADO</v>
      </c>
      <c r="V301" s="70" t="str">
        <f>'RESUMEN TOTAL'!AB338</f>
        <v>APAGADO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 t="str">
        <f>'RESUMEN TOTAL'!AA339</f>
        <v>APAGADO</v>
      </c>
      <c r="V302" s="70" t="str">
        <f>'RESUMEN TOTAL'!AB339</f>
        <v>APAGADO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 t="str">
        <f>'RESUMEN TOTAL'!AA341</f>
        <v>APAGADO</v>
      </c>
      <c r="V304" s="70" t="str">
        <f>'RESUMEN TOTAL'!AB341</f>
        <v>APAGADO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 t="str">
        <f>'RESUMEN TOTAL'!AA342</f>
        <v>APAGADO</v>
      </c>
      <c r="V305" s="70" t="str">
        <f>'RESUMEN TOTAL'!AB342</f>
        <v>APAGADO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 t="str">
        <f>'RESUMEN TOTAL'!AA343</f>
        <v>APAGADO</v>
      </c>
      <c r="V306" s="70" t="str">
        <f>'RESUMEN TOTAL'!AB343</f>
        <v>APAGADO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 t="str">
        <f>'RESUMEN TOTAL'!AA346</f>
        <v>APAGADO</v>
      </c>
      <c r="V309" s="70" t="str">
        <f>'RESUMEN TOTAL'!AB346</f>
        <v>APAGADO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 t="str">
        <f>'RESUMEN TOTAL'!AA347</f>
        <v>APAGADO</v>
      </c>
      <c r="V310" s="70" t="str">
        <f>'RESUMEN TOTAL'!AB347</f>
        <v>APAGADO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 t="str">
        <f>'RESUMEN TOTAL'!AA348</f>
        <v>APAGADO</v>
      </c>
      <c r="V311" s="70" t="str">
        <f>'RESUMEN TOTAL'!AB348</f>
        <v>APAGADO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 t="str">
        <f>'RESUMEN TOTAL'!AA349</f>
        <v>APAGADO</v>
      </c>
      <c r="V312" s="70" t="str">
        <f>'RESUMEN TOTAL'!AB349</f>
        <v>APAGADO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 t="str">
        <f>'RESUMEN TOTAL'!AA351</f>
        <v>APAGADO</v>
      </c>
      <c r="V314" s="70" t="str">
        <f>'RESUMEN TOTAL'!AB351</f>
        <v>APAGADO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 t="str">
        <f>'RESUMEN TOTAL'!AA362</f>
        <v>APAGADO</v>
      </c>
      <c r="V322" s="70" t="str">
        <f>'RESUMEN TOTAL'!AB362</f>
        <v>APAGADO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 t="str">
        <f>'RESUMEN TOTAL'!AA363</f>
        <v>APAGADO</v>
      </c>
      <c r="V323" s="70" t="str">
        <f>'RESUMEN TOTAL'!AB363</f>
        <v>APAGADO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 t="str">
        <f>'RESUMEN TOTAL'!AA368</f>
        <v>APAGADO</v>
      </c>
      <c r="V326" s="70" t="str">
        <f>'RESUMEN TOTAL'!AB368</f>
        <v>APAGADO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 t="str">
        <f>'RESUMEN TOTAL'!AA373</f>
        <v>APAGADO</v>
      </c>
      <c r="V329" s="70" t="str">
        <f>'RESUMEN TOTAL'!AB373</f>
        <v>APAGADO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 t="str">
        <f>'RESUMEN TOTAL'!AA376</f>
        <v>APAGADO</v>
      </c>
      <c r="V332" s="70" t="str">
        <f>'RESUMEN TOTAL'!AB376</f>
        <v>APAGADO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 t="str">
        <f>'RESUMEN TOTAL'!AA380</f>
        <v>APAGADO</v>
      </c>
      <c r="V336" s="70" t="str">
        <f>'RESUMEN TOTAL'!AB380</f>
        <v>APAGADO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 t="str">
        <f>'RESUMEN TOTAL'!AA381</f>
        <v>APAGADO</v>
      </c>
      <c r="V337" s="70" t="str">
        <f>'RESUMEN TOTAL'!AB381</f>
        <v>APAGADO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 t="str">
        <f>'RESUMEN TOTAL'!AA382</f>
        <v>APAGADO</v>
      </c>
      <c r="V338" s="70" t="str">
        <f>'RESUMEN TOTAL'!AB382</f>
        <v>APAGADO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 t="str">
        <f>'RESUMEN TOTAL'!AA383</f>
        <v>APAGADO</v>
      </c>
      <c r="V339" s="70" t="str">
        <f>'RESUMEN TOTAL'!AB383</f>
        <v>APAGADO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 t="str">
        <f>'RESUMEN TOTAL'!AA384</f>
        <v>APAGADO</v>
      </c>
      <c r="V340" s="70" t="str">
        <f>'RESUMEN TOTAL'!AB384</f>
        <v>APAGADO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 t="str">
        <f>'RESUMEN TOTAL'!AA392</f>
        <v>APAGADO</v>
      </c>
      <c r="V348" s="70" t="str">
        <f>'RESUMEN TOTAL'!AB392</f>
        <v>APAGADO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 t="str">
        <f>'RESUMEN TOTAL'!AA393</f>
        <v>APAGADO</v>
      </c>
      <c r="V349" s="70" t="str">
        <f>'RESUMEN TOTAL'!AB393</f>
        <v>APAGADO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 t="str">
        <f>'RESUMEN TOTAL'!AA398</f>
        <v>APAGADO</v>
      </c>
      <c r="V354" s="70" t="str">
        <f>'RESUMEN TOTAL'!AB398</f>
        <v>APAGADO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 t="str">
        <f>'RESUMEN TOTAL'!AA404</f>
        <v>APAGADO</v>
      </c>
      <c r="V360" s="70" t="str">
        <f>'RESUMEN TOTAL'!AB404</f>
        <v>APAGADO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 t="str">
        <f>'RESUMEN TOTAL'!AA407</f>
        <v>APAGADO</v>
      </c>
      <c r="V363" s="70" t="str">
        <f>'RESUMEN TOTAL'!AB407</f>
        <v>APAGADO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 t="str">
        <f>'RESUMEN TOTAL'!AA417</f>
        <v>APAGADO</v>
      </c>
      <c r="V373" s="70" t="str">
        <f>'RESUMEN TOTAL'!AB417</f>
        <v>APAGADO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 t="str">
        <f>'RESUMEN TOTAL'!AA418</f>
        <v>APAGADO</v>
      </c>
      <c r="V374" s="70" t="str">
        <f>'RESUMEN TOTAL'!AB418</f>
        <v>APAGADO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 t="str">
        <f>'RESUMEN TOTAL'!AA429</f>
        <v>APAGADO</v>
      </c>
      <c r="V383" s="70" t="str">
        <f>'RESUMEN TOTAL'!AB429</f>
        <v>APAGADO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 t="str">
        <f>'RESUMEN TOTAL'!AA467</f>
        <v>APAGADO</v>
      </c>
      <c r="V420" s="70" t="str">
        <f>'RESUMEN TOTAL'!AB467</f>
        <v>APAGADO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 t="str">
        <f>'RESUMEN TOTAL'!AA468</f>
        <v>APAGADO</v>
      </c>
      <c r="V421" s="70" t="str">
        <f>'RESUMEN TOTAL'!AB468</f>
        <v>APAGADO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 t="str">
        <f>'RESUMEN TOTAL'!AA476</f>
        <v>APAGADO</v>
      </c>
      <c r="V428" s="70" t="str">
        <f>'RESUMEN TOTAL'!AB476</f>
        <v>APAGADO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 t="str">
        <f>'RESUMEN TOTAL'!AA478</f>
        <v>APAGADO</v>
      </c>
      <c r="V430" s="70" t="str">
        <f>'RESUMEN TOTAL'!AB478</f>
        <v>APAGADO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 t="str">
        <f>'RESUMEN TOTAL'!AA484</f>
        <v>APAGADO</v>
      </c>
      <c r="V436" s="70" t="str">
        <f>'RESUMEN TOTAL'!AB484</f>
        <v>APAGADO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 t="str">
        <f>'RESUMEN TOTAL'!AA486</f>
        <v>APAGADO</v>
      </c>
      <c r="V438" s="70" t="str">
        <f>'RESUMEN TOTAL'!AB486</f>
        <v>APAGADO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 t="str">
        <f>'RESUMEN TOTAL'!AA507</f>
        <v>APAGADO</v>
      </c>
      <c r="V459" s="70" t="str">
        <f>'RESUMEN TOTAL'!AB507</f>
        <v>APAGADO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 t="str">
        <f>'RESUMEN TOTAL'!AA508</f>
        <v>APAGADO</v>
      </c>
      <c r="V460" s="70" t="str">
        <f>'RESUMEN TOTAL'!AB508</f>
        <v>APAGADO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48</v>
      </c>
      <c r="V3" s="46">
        <f>COUNTIFS('RESUMEN TOTAL'!AB8:AB619,"=APAGADO",'RESUMEN TOTAL'!C8:C619,"=BONOMO")</f>
        <v>51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0.17712177121771217</v>
      </c>
      <c r="V4" s="50">
        <f t="shared" si="0"/>
        <v>0.18819188191881919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45</v>
      </c>
      <c r="V5" s="46">
        <f>COUNTIFS('RESUMEN TOTAL'!AB10:AB621,"=APAGADO",'RESUMEN TOTAL'!C10:C621,"=COSEIDI")</f>
        <v>43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0.19313304721030042</v>
      </c>
      <c r="V6" s="50">
        <f t="shared" si="1"/>
        <v>0.18454935622317598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2025-08-18T11:20:28Z</dcterms:modified>
</cp:coreProperties>
</file>