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364B88C7-E6C2-453E-8AEA-FE36817A193A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7" i="24" l="1"/>
  <c r="D196" i="24"/>
  <c r="C193" i="24"/>
  <c r="C190" i="24"/>
  <c r="D191" i="24" s="1"/>
  <c r="D153" i="24"/>
  <c r="D152" i="24"/>
  <c r="D142" i="24"/>
  <c r="D14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C215" i="24" s="1"/>
  <c r="AE4" i="2"/>
  <c r="AD6" i="2"/>
  <c r="AD5" i="2"/>
  <c r="AD4" i="2"/>
  <c r="AC6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C212" i="24" s="1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D219" i="24" s="1"/>
  <c r="X5" i="25"/>
  <c r="W5" i="25"/>
  <c r="D208" i="24" s="1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D218" i="24" s="1"/>
  <c r="X3" i="25"/>
  <c r="W3" i="25"/>
  <c r="D207" i="24" s="1"/>
  <c r="V3" i="25"/>
  <c r="D185" i="24" s="1"/>
  <c r="U3" i="25"/>
  <c r="D174" i="24" s="1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<sst xmlns="http://schemas.openxmlformats.org/spreadsheetml/2006/main" count="4482" uniqueCount="1517">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</sst>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50" zoomScaleNormal="50" workbookViewId="0">
      <pane xSplit="11" ySplit="7" topLeftCell="L155" activePane="bottomRight" state="frozen"/>
      <selection pane="topRight" activeCell="M1" sqref="M1"/>
      <selection pane="bottomLeft" activeCell="A5" sqref="A5"/>
      <selection pane="bottomRight" activeCell="C206" sqref="C206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0</v>
      </c>
      <c r="X3" s="132">
        <f t="shared" si="4"/>
        <v>0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1496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0</v>
      </c>
      <c r="X4" s="10">
        <f>COUNTIFS(X8:X600, "=APAGADO",F8:F600,"=Fibra Optica")</f>
        <v>0</v>
      </c>
      <c r="Y4" s="10">
        <f>COUNTIFS(Y8:Y600, "=APAGADO",F8:F600,"=Fibra Optica")</f>
        <v>0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0</v>
      </c>
      <c r="AC4" s="10">
        <f>COUNTIFS(AC8:AC600, "=APAGADO",F8:F600,"=Fibra Optica")</f>
        <v>0</v>
      </c>
      <c r="AD4" s="10">
        <f>COUNTIFS(AD8:AD600, "=APAGADO",F8:F600,"=Fibra Optica")</f>
        <v>0</v>
      </c>
      <c r="AE4" s="10">
        <f>COUNTIFS(AE8:AE600, "=APAGADO",F8:F600,"=Fibra Optica")</f>
        <v>0</v>
      </c>
      <c r="AF4" s="10">
        <f>COUNTIFS(AF8:AF600, "=APAGADO",F8:F600,"=Fibra Optica")</f>
        <v>0</v>
      </c>
      <c r="AG4" s="10">
        <f>COUNTIFS(AG8:AG600, "=APAGADO",F8:F600,"=Fibra Optica")</f>
        <v>0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1497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13</v>
      </c>
      <c r="W5" s="136">
        <f>COUNTIFS(W8:W600, "=APAGADO",F8:F600,"=RADIO")</f>
        <v>0</v>
      </c>
      <c r="X5" s="136">
        <f>COUNTIFS(X8:X600, "=APAGADO",F8:F600,"=RADIO")</f>
        <v>0</v>
      </c>
      <c r="Y5" s="136">
        <f>COUNTIFS(Y8:Y600, "=APAGADO",F8:F600,"=RADIO")</f>
        <v>0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0</v>
      </c>
      <c r="AC5" s="136">
        <f>COUNTIFS(AC8:AC600, "=APAGADO",F8:F600,"=RADIO")</f>
        <v>0</v>
      </c>
      <c r="AD5" s="136">
        <f>COUNTIFS(AD8:AD600, "=APAGADO",F8:F600,"=RADIO")</f>
        <v>0</v>
      </c>
      <c r="AE5" s="136">
        <f>COUNTIFS(AE8:AE600, "=APAGADO",F8:F600,"=RADIO")</f>
        <v>0</v>
      </c>
      <c r="AF5" s="136">
        <f>COUNTIFS(AF8:AF600, "=APAGADO",F8:F600,"=RADIO")</f>
        <v>0</v>
      </c>
      <c r="AG5" s="136">
        <f>COUNTIFS(AG8:AG600, "=APAGADO",F8:F600,"=RADIO")</f>
        <v>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1498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0</v>
      </c>
      <c r="X6" s="10">
        <f>COUNTIFS(X8:X600, "=APAGADO",F8:F600,"=PTO A FO")</f>
        <v>0</v>
      </c>
      <c r="Y6" s="10">
        <f>COUNTIFS(Y8:Y600, "=APAGADO",F8:F600,"=PTO A FO")</f>
        <v>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0</v>
      </c>
      <c r="AC6" s="10">
        <f>COUNTIFS(AC8:AC600, "=APAGADO",F8:F600,"=PTO A FO")</f>
        <v>0</v>
      </c>
      <c r="AD6" s="10">
        <f>COUNTIFS(AD8:AD600, "=APAGADO",F8:F600,"=PTO A FO")</f>
        <v>0</v>
      </c>
      <c r="AE6" s="10">
        <f>COUNTIFS(AE8:AE600, "=APAGADO",F8:F600,"=PTO A FO")</f>
        <v>0</v>
      </c>
      <c r="AF6" s="10">
        <f>COUNTIFS(AF8:AF600, "=APAGADO",F8:F600,"=PTO A FO")</f>
        <v>0</v>
      </c>
      <c r="AG6" s="10">
        <f>COUNTIFS(AG8:AG600, "=APAGADO",F8:F600,"=PTO A FO")</f>
        <v>0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1072</v>
      </c>
      <c r="D7" s="35" t="s">
        <v>9</v>
      </c>
      <c r="E7" s="123" t="s">
        <v>10</v>
      </c>
      <c r="F7" s="123" t="s">
        <v>11</v>
      </c>
      <c r="G7" s="123" t="s">
        <v>1261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1073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1073</v>
      </c>
      <c r="D9" t="s">
        <v>32</v>
      </c>
      <c r="E9" s="30" t="s">
        <v>19</v>
      </c>
      <c r="F9" s="30" t="s">
        <v>1067</v>
      </c>
      <c r="G9" s="30" t="s">
        <v>1264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924</v>
      </c>
      <c r="C10" t="s">
        <v>1073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17</v>
      </c>
      <c r="J10" s="31">
        <f t="shared" si="6"/>
        <v>11</v>
      </c>
      <c r="K10" s="32">
        <f t="shared" si="7"/>
        <v>0.6071428571428571</v>
      </c>
      <c r="L10" s="72" t="s">
        <v>1491</v>
      </c>
      <c r="M10" s="72" t="s">
        <v>1491</v>
      </c>
      <c r="N10" s="72" t="s">
        <v>1491</v>
      </c>
      <c r="O10" s="72" t="s">
        <v>1491</v>
      </c>
      <c r="P10" s="72" t="s">
        <v>1491</v>
      </c>
      <c r="Q10" s="72" t="s">
        <v>1491</v>
      </c>
      <c r="R10" s="72" t="s">
        <v>1491</v>
      </c>
      <c r="S10" s="72" t="s">
        <v>1491</v>
      </c>
      <c r="T10" s="72" t="s">
        <v>1491</v>
      </c>
      <c r="U10" s="72" t="s">
        <v>1491</v>
      </c>
      <c r="V10" s="72" t="s">
        <v>1491</v>
      </c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925</v>
      </c>
      <c r="C11" t="s">
        <v>1073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17</v>
      </c>
      <c r="J11" s="31">
        <f t="shared" si="6"/>
        <v>11</v>
      </c>
      <c r="K11" s="32">
        <f t="shared" si="7"/>
        <v>0.6071428571428571</v>
      </c>
      <c r="L11" s="72" t="s">
        <v>1491</v>
      </c>
      <c r="M11" s="72" t="s">
        <v>1491</v>
      </c>
      <c r="N11" s="72" t="s">
        <v>1491</v>
      </c>
      <c r="O11" s="72" t="s">
        <v>1491</v>
      </c>
      <c r="P11" s="72" t="s">
        <v>1491</v>
      </c>
      <c r="Q11" s="72" t="s">
        <v>1491</v>
      </c>
      <c r="R11" s="72" t="s">
        <v>1491</v>
      </c>
      <c r="S11" s="72" t="s">
        <v>1491</v>
      </c>
      <c r="T11" s="72" t="s">
        <v>1491</v>
      </c>
      <c r="U11" s="72" t="s">
        <v>1491</v>
      </c>
      <c r="V11" s="72" t="s">
        <v>1491</v>
      </c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1073</v>
      </c>
      <c r="D12" t="s">
        <v>36</v>
      </c>
      <c r="E12" s="30" t="s">
        <v>19</v>
      </c>
      <c r="F12" s="30" t="s">
        <v>1067</v>
      </c>
      <c r="G12" s="30" t="s">
        <v>1263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1491</v>
      </c>
      <c r="M12" s="72" t="s">
        <v>1491</v>
      </c>
      <c r="N12" s="72" t="s">
        <v>1491</v>
      </c>
      <c r="O12" s="72" t="s">
        <v>1491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926</v>
      </c>
      <c r="C13" t="s">
        <v>1073</v>
      </c>
      <c r="D13" t="s">
        <v>27</v>
      </c>
      <c r="E13" s="30" t="s">
        <v>19</v>
      </c>
      <c r="F13" s="30" t="s">
        <v>1067</v>
      </c>
      <c r="G13" s="30" t="s">
        <v>1263</v>
      </c>
      <c r="H13" s="30" t="s">
        <v>617</v>
      </c>
      <c r="I13" s="31">
        <f t="shared" si="5"/>
        <v>17</v>
      </c>
      <c r="J13" s="31">
        <f t="shared" si="6"/>
        <v>11</v>
      </c>
      <c r="K13" s="32">
        <f t="shared" si="7"/>
        <v>0.6071428571428571</v>
      </c>
      <c r="L13" s="72" t="s">
        <v>1491</v>
      </c>
      <c r="M13" s="72" t="s">
        <v>1491</v>
      </c>
      <c r="N13" s="72" t="s">
        <v>1491</v>
      </c>
      <c r="O13" s="72" t="s">
        <v>1491</v>
      </c>
      <c r="P13" s="72" t="s">
        <v>1491</v>
      </c>
      <c r="Q13" s="72" t="s">
        <v>1491</v>
      </c>
      <c r="R13" s="72" t="s">
        <v>1491</v>
      </c>
      <c r="S13" s="72" t="s">
        <v>1491</v>
      </c>
      <c r="T13" s="72" t="s">
        <v>1491</v>
      </c>
      <c r="U13" s="72" t="s">
        <v>1491</v>
      </c>
      <c r="V13" s="72" t="s">
        <v>1491</v>
      </c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1073</v>
      </c>
      <c r="D14" t="s">
        <v>38</v>
      </c>
      <c r="E14" s="30" t="s">
        <v>15</v>
      </c>
      <c r="F14" s="30" t="s">
        <v>1067</v>
      </c>
      <c r="G14" s="30" t="s">
        <v>1264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927</v>
      </c>
      <c r="C15" t="s">
        <v>1073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928</v>
      </c>
      <c r="C16" t="s">
        <v>1073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929</v>
      </c>
      <c r="C17" t="s">
        <v>1073</v>
      </c>
      <c r="D17" t="s">
        <v>930</v>
      </c>
      <c r="E17" s="30" t="s">
        <v>19</v>
      </c>
      <c r="F17" s="30" t="s">
        <v>20</v>
      </c>
      <c r="G17" s="30"/>
      <c r="H17" s="30" t="s">
        <v>1224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1491</v>
      </c>
      <c r="M17" s="72" t="s">
        <v>1491</v>
      </c>
      <c r="N17" s="72" t="s">
        <v>1491</v>
      </c>
      <c r="O17" s="72" t="s">
        <v>1491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931</v>
      </c>
      <c r="C18" t="s">
        <v>1073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932</v>
      </c>
      <c r="C19" t="s">
        <v>1073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1281</v>
      </c>
      <c r="C20" t="s">
        <v>1073</v>
      </c>
      <c r="D20" t="s">
        <v>1282</v>
      </c>
      <c r="E20" s="30" t="s">
        <v>15</v>
      </c>
      <c r="F20" s="30" t="s">
        <v>28</v>
      </c>
      <c r="G20" s="30"/>
      <c r="H20" s="30" t="s">
        <v>1372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1205</v>
      </c>
      <c r="B21" s="30" t="s">
        <v>1189</v>
      </c>
      <c r="C21" s="30" t="s">
        <v>1074</v>
      </c>
      <c r="D21" t="s">
        <v>1173</v>
      </c>
      <c r="E21" s="30" t="s">
        <v>73</v>
      </c>
      <c r="F21" s="30" t="s">
        <v>20</v>
      </c>
      <c r="G21" s="30"/>
      <c r="H21" s="30" t="s">
        <v>1176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1205</v>
      </c>
      <c r="B22" s="30" t="s">
        <v>1190</v>
      </c>
      <c r="C22" s="30" t="s">
        <v>1074</v>
      </c>
      <c r="D22" t="s">
        <v>1173</v>
      </c>
      <c r="E22" s="30" t="s">
        <v>73</v>
      </c>
      <c r="F22" s="30" t="s">
        <v>20</v>
      </c>
      <c r="G22" s="30"/>
      <c r="H22" s="30" t="s">
        <v>1177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1205</v>
      </c>
      <c r="B23" s="30" t="s">
        <v>1188</v>
      </c>
      <c r="C23" s="30" t="s">
        <v>1074</v>
      </c>
      <c r="D23" t="s">
        <v>1172</v>
      </c>
      <c r="E23" s="30" t="s">
        <v>73</v>
      </c>
      <c r="F23" s="30" t="s">
        <v>20</v>
      </c>
      <c r="G23" s="30"/>
      <c r="H23" s="30" t="s">
        <v>1175</v>
      </c>
      <c r="I23" s="31">
        <f t="shared" si="5"/>
        <v>28</v>
      </c>
      <c r="J23" s="31">
        <f t="shared" si="6"/>
        <v>0</v>
      </c>
      <c r="K23" s="32">
        <f t="shared" si="7"/>
        <v>1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1205</v>
      </c>
      <c r="B24" s="30" t="s">
        <v>1187</v>
      </c>
      <c r="C24" s="30" t="s">
        <v>1074</v>
      </c>
      <c r="D24" t="s">
        <v>1172</v>
      </c>
      <c r="E24" s="30" t="s">
        <v>73</v>
      </c>
      <c r="F24" s="30" t="s">
        <v>20</v>
      </c>
      <c r="G24" s="30"/>
      <c r="H24" s="30" t="s">
        <v>1182</v>
      </c>
      <c r="I24" s="31">
        <f t="shared" si="5"/>
        <v>28</v>
      </c>
      <c r="J24" s="31">
        <f t="shared" si="6"/>
        <v>0</v>
      </c>
      <c r="K24" s="32">
        <f t="shared" si="7"/>
        <v>1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1205</v>
      </c>
      <c r="B25" s="30" t="s">
        <v>1191</v>
      </c>
      <c r="C25" s="30" t="s">
        <v>1074</v>
      </c>
      <c r="D25" t="s">
        <v>1174</v>
      </c>
      <c r="E25" s="30" t="s">
        <v>73</v>
      </c>
      <c r="F25" s="30" t="s">
        <v>20</v>
      </c>
      <c r="G25" s="30"/>
      <c r="H25" s="30" t="s">
        <v>1178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1205</v>
      </c>
      <c r="B26" s="30" t="s">
        <v>1192</v>
      </c>
      <c r="C26" s="30" t="s">
        <v>1074</v>
      </c>
      <c r="D26" t="s">
        <v>1174</v>
      </c>
      <c r="E26" s="30" t="s">
        <v>73</v>
      </c>
      <c r="F26" s="30" t="s">
        <v>20</v>
      </c>
      <c r="G26" s="30"/>
      <c r="H26" s="30" t="s">
        <v>1179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1205</v>
      </c>
      <c r="B27" s="30" t="s">
        <v>1362</v>
      </c>
      <c r="C27" t="s">
        <v>1073</v>
      </c>
      <c r="D27" t="s">
        <v>1363</v>
      </c>
      <c r="E27" s="30" t="s">
        <v>19</v>
      </c>
      <c r="F27" s="30" t="s">
        <v>28</v>
      </c>
      <c r="G27" s="30"/>
      <c r="H27" s="30" t="s">
        <v>1370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1205</v>
      </c>
      <c r="B28" s="30" t="s">
        <v>1364</v>
      </c>
      <c r="C28" t="s">
        <v>1074</v>
      </c>
      <c r="D28" t="s">
        <v>1365</v>
      </c>
      <c r="E28" s="30" t="s">
        <v>19</v>
      </c>
      <c r="F28" s="30" t="s">
        <v>28</v>
      </c>
      <c r="G28" s="30"/>
      <c r="H28" s="30" t="s">
        <v>1473</v>
      </c>
      <c r="I28" s="31">
        <f t="shared" si="5"/>
        <v>20</v>
      </c>
      <c r="J28" s="31">
        <f t="shared" si="6"/>
        <v>8</v>
      </c>
      <c r="K28" s="32">
        <f t="shared" si="7"/>
        <v>0.7142857142857143</v>
      </c>
      <c r="L28" s="72"/>
      <c r="M28" s="72"/>
      <c r="N28" s="72"/>
      <c r="O28" s="72" t="s">
        <v>1491</v>
      </c>
      <c r="P28" s="72" t="s">
        <v>1491</v>
      </c>
      <c r="Q28" s="72" t="s">
        <v>1491</v>
      </c>
      <c r="R28" s="72" t="s">
        <v>1491</v>
      </c>
      <c r="S28" s="72" t="s">
        <v>1491</v>
      </c>
      <c r="T28" s="72" t="s">
        <v>1491</v>
      </c>
      <c r="U28" s="72" t="s">
        <v>1491</v>
      </c>
      <c r="V28" s="72" t="s">
        <v>1491</v>
      </c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1205</v>
      </c>
      <c r="B29" s="30" t="s">
        <v>1416</v>
      </c>
      <c r="C29" t="s">
        <v>1074</v>
      </c>
      <c r="D29" t="s">
        <v>1417</v>
      </c>
      <c r="F29" s="30" t="s">
        <v>28</v>
      </c>
      <c r="G29" s="30"/>
      <c r="H29" s="89" t="s">
        <v>1418</v>
      </c>
      <c r="I29" s="31">
        <f t="shared" si="5"/>
        <v>17</v>
      </c>
      <c r="J29" s="31">
        <f t="shared" si="6"/>
        <v>11</v>
      </c>
      <c r="K29" s="32">
        <f t="shared" si="7"/>
        <v>0.6071428571428571</v>
      </c>
      <c r="L29" s="72" t="s">
        <v>1491</v>
      </c>
      <c r="M29" s="72" t="s">
        <v>1491</v>
      </c>
      <c r="N29" s="72" t="s">
        <v>1491</v>
      </c>
      <c r="O29" s="72" t="s">
        <v>1491</v>
      </c>
      <c r="P29" s="72" t="s">
        <v>1491</v>
      </c>
      <c r="Q29" s="72" t="s">
        <v>1491</v>
      </c>
      <c r="R29" s="72" t="s">
        <v>1491</v>
      </c>
      <c r="S29" s="72" t="s">
        <v>1491</v>
      </c>
      <c r="T29" s="72" t="s">
        <v>1491</v>
      </c>
      <c r="U29" s="72" t="s">
        <v>1491</v>
      </c>
      <c r="V29" s="72" t="s">
        <v>1491</v>
      </c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1485</v>
      </c>
      <c r="B30" s="30" t="s">
        <v>1484</v>
      </c>
      <c r="C30" t="s">
        <v>1074</v>
      </c>
      <c r="D30" t="s">
        <v>1483</v>
      </c>
      <c r="E30" s="30" t="s">
        <v>73</v>
      </c>
      <c r="F30" s="30" t="s">
        <v>28</v>
      </c>
      <c r="G30" s="30"/>
      <c r="H30" s="89" t="s">
        <v>1487</v>
      </c>
      <c r="I30" s="31">
        <f t="shared" si="5"/>
        <v>18</v>
      </c>
      <c r="J30" s="31">
        <f t="shared" si="6"/>
        <v>10</v>
      </c>
      <c r="K30" s="32">
        <f t="shared" si="7"/>
        <v>0.6428571428571429</v>
      </c>
      <c r="L30" s="72" t="s">
        <v>1491</v>
      </c>
      <c r="M30" s="72" t="s">
        <v>1491</v>
      </c>
      <c r="N30" s="72" t="s">
        <v>1491</v>
      </c>
      <c r="O30" s="72"/>
      <c r="P30" s="72" t="s">
        <v>1491</v>
      </c>
      <c r="Q30" s="72" t="s">
        <v>1491</v>
      </c>
      <c r="R30" s="72" t="s">
        <v>1491</v>
      </c>
      <c r="S30" s="72" t="s">
        <v>1491</v>
      </c>
      <c r="T30" s="72" t="s">
        <v>1491</v>
      </c>
      <c r="U30" s="72" t="s">
        <v>1491</v>
      </c>
      <c r="V30" s="72" t="s">
        <v>1491</v>
      </c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1485</v>
      </c>
      <c r="B31" s="30" t="s">
        <v>1486</v>
      </c>
      <c r="C31" t="s">
        <v>1074</v>
      </c>
      <c r="D31" t="s">
        <v>1483</v>
      </c>
      <c r="E31" s="30" t="s">
        <v>73</v>
      </c>
      <c r="F31" s="30" t="s">
        <v>28</v>
      </c>
      <c r="G31" s="30"/>
      <c r="H31" s="89" t="s">
        <v>1488</v>
      </c>
      <c r="I31" s="31">
        <f t="shared" si="5"/>
        <v>18</v>
      </c>
      <c r="J31" s="31">
        <f t="shared" si="6"/>
        <v>10</v>
      </c>
      <c r="K31" s="32">
        <f t="shared" si="7"/>
        <v>0.6428571428571429</v>
      </c>
      <c r="L31" s="72" t="s">
        <v>1491</v>
      </c>
      <c r="M31" s="72" t="s">
        <v>1491</v>
      </c>
      <c r="N31" s="72" t="s">
        <v>1491</v>
      </c>
      <c r="O31" s="72"/>
      <c r="P31" s="72" t="s">
        <v>1491</v>
      </c>
      <c r="Q31" s="72" t="s">
        <v>1491</v>
      </c>
      <c r="R31" s="72" t="s">
        <v>1491</v>
      </c>
      <c r="S31" s="72" t="s">
        <v>1491</v>
      </c>
      <c r="T31" s="72" t="s">
        <v>1491</v>
      </c>
      <c r="U31" s="72" t="s">
        <v>1491</v>
      </c>
      <c r="V31" s="72" t="s">
        <v>1491</v>
      </c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1073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1491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1073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1491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1073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1073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933</v>
      </c>
      <c r="C36" t="s">
        <v>1073</v>
      </c>
      <c r="D36" t="s">
        <v>1092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1073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17</v>
      </c>
      <c r="J37" s="31">
        <f t="shared" si="6"/>
        <v>11</v>
      </c>
      <c r="K37" s="32">
        <f t="shared" si="7"/>
        <v>0.6071428571428571</v>
      </c>
      <c r="L37" s="72" t="s">
        <v>1491</v>
      </c>
      <c r="M37" s="72" t="s">
        <v>1491</v>
      </c>
      <c r="N37" s="72" t="s">
        <v>1491</v>
      </c>
      <c r="O37" s="72" t="s">
        <v>1491</v>
      </c>
      <c r="P37" s="72" t="s">
        <v>1491</v>
      </c>
      <c r="Q37" s="72" t="s">
        <v>1491</v>
      </c>
      <c r="R37" s="72" t="s">
        <v>1491</v>
      </c>
      <c r="S37" s="72" t="s">
        <v>1491</v>
      </c>
      <c r="T37" s="72" t="s">
        <v>1491</v>
      </c>
      <c r="U37" s="72" t="s">
        <v>1491</v>
      </c>
      <c r="V37" s="72" t="s">
        <v>1491</v>
      </c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1073</v>
      </c>
      <c r="D38" t="s">
        <v>1088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1073</v>
      </c>
      <c r="D39" t="s">
        <v>1087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1073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1073</v>
      </c>
      <c r="D41" t="s">
        <v>1086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1073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934</v>
      </c>
      <c r="C43" t="s">
        <v>1073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23</v>
      </c>
      <c r="J43" s="31">
        <f t="shared" si="6"/>
        <v>5</v>
      </c>
      <c r="K43" s="32">
        <f t="shared" si="7"/>
        <v>0.8214285714285714</v>
      </c>
      <c r="L43" s="72"/>
      <c r="M43" s="72"/>
      <c r="N43" s="72"/>
      <c r="O43" s="72"/>
      <c r="P43" s="72"/>
      <c r="Q43" s="72"/>
      <c r="R43" s="72" t="s">
        <v>1491</v>
      </c>
      <c r="S43" s="72" t="s">
        <v>1491</v>
      </c>
      <c r="T43" s="72" t="s">
        <v>1491</v>
      </c>
      <c r="U43" s="72" t="s">
        <v>1491</v>
      </c>
      <c r="V43" s="72" t="s">
        <v>1491</v>
      </c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935</v>
      </c>
      <c r="C44" t="s">
        <v>1073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1073</v>
      </c>
      <c r="D45" t="s">
        <v>1090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1073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1073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1073</v>
      </c>
      <c r="D48" t="s">
        <v>97</v>
      </c>
      <c r="E48" s="30" t="s">
        <v>19</v>
      </c>
      <c r="F48" s="30" t="s">
        <v>1067</v>
      </c>
      <c r="G48" s="30" t="s">
        <v>1265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1073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24</v>
      </c>
      <c r="J49" s="31">
        <f t="shared" si="6"/>
        <v>4</v>
      </c>
      <c r="K49" s="32">
        <f t="shared" si="7"/>
        <v>0.8571428571428571</v>
      </c>
      <c r="L49" s="72"/>
      <c r="M49" s="72"/>
      <c r="N49" s="72"/>
      <c r="O49" s="72"/>
      <c r="P49" s="72"/>
      <c r="Q49" s="72"/>
      <c r="R49" s="72" t="s">
        <v>1491</v>
      </c>
      <c r="S49" s="72" t="s">
        <v>1491</v>
      </c>
      <c r="T49" s="72" t="s">
        <v>1491</v>
      </c>
      <c r="U49" s="72" t="s">
        <v>1491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1073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1073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1073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18</v>
      </c>
      <c r="J52" s="31">
        <f t="shared" si="6"/>
        <v>10</v>
      </c>
      <c r="K52" s="32">
        <f t="shared" si="7"/>
        <v>0.6428571428571429</v>
      </c>
      <c r="L52" s="72" t="s">
        <v>1491</v>
      </c>
      <c r="M52" s="72" t="s">
        <v>1491</v>
      </c>
      <c r="N52" s="72" t="s">
        <v>1491</v>
      </c>
      <c r="O52" s="72" t="s">
        <v>1491</v>
      </c>
      <c r="P52" s="72" t="s">
        <v>1491</v>
      </c>
      <c r="Q52" s="72" t="s">
        <v>1491</v>
      </c>
      <c r="R52" s="72" t="s">
        <v>1491</v>
      </c>
      <c r="S52" s="72" t="s">
        <v>1491</v>
      </c>
      <c r="T52" s="72" t="s">
        <v>1491</v>
      </c>
      <c r="U52" s="72" t="s">
        <v>1491</v>
      </c>
      <c r="V52" s="72"/>
      <c r="W52" s="72"/>
      <c r="X52" s="72"/>
      <c r="Y52" s="72"/>
      <c r="Z52" s="72"/>
      <c r="AA52" s="72"/>
      <c r="AB52" s="72"/>
      <c r="AC52" s="72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1073</v>
      </c>
      <c r="D53" t="s">
        <v>107</v>
      </c>
      <c r="E53" s="30" t="s">
        <v>19</v>
      </c>
      <c r="F53" s="30" t="s">
        <v>28</v>
      </c>
      <c r="G53" s="30"/>
      <c r="H53" s="30" t="s">
        <v>1392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1073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24</v>
      </c>
      <c r="J54" s="31">
        <f t="shared" si="6"/>
        <v>4</v>
      </c>
      <c r="K54" s="32">
        <f t="shared" si="7"/>
        <v>0.8571428571428571</v>
      </c>
      <c r="L54" s="72"/>
      <c r="M54" s="72"/>
      <c r="N54" s="72"/>
      <c r="O54" s="72"/>
      <c r="P54" s="72"/>
      <c r="Q54" s="72"/>
      <c r="R54" s="72" t="s">
        <v>1491</v>
      </c>
      <c r="S54" s="72" t="s">
        <v>1491</v>
      </c>
      <c r="T54" s="72" t="s">
        <v>1491</v>
      </c>
      <c r="U54" s="72" t="s">
        <v>1491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1073</v>
      </c>
      <c r="D55" t="s">
        <v>1091</v>
      </c>
      <c r="E55" s="30" t="s">
        <v>19</v>
      </c>
      <c r="F55" s="30" t="s">
        <v>28</v>
      </c>
      <c r="G55" s="30"/>
      <c r="H55" s="30" t="s">
        <v>1468</v>
      </c>
      <c r="I55" s="31">
        <f t="shared" si="5"/>
        <v>24</v>
      </c>
      <c r="J55" s="31">
        <f t="shared" si="6"/>
        <v>4</v>
      </c>
      <c r="K55" s="32">
        <f t="shared" si="7"/>
        <v>0.8571428571428571</v>
      </c>
      <c r="L55" s="72"/>
      <c r="M55" s="72"/>
      <c r="N55" s="72"/>
      <c r="O55" s="72"/>
      <c r="P55" s="72"/>
      <c r="Q55" s="72"/>
      <c r="R55" s="72" t="s">
        <v>1491</v>
      </c>
      <c r="S55" s="72" t="s">
        <v>1491</v>
      </c>
      <c r="T55" s="72" t="s">
        <v>1491</v>
      </c>
      <c r="U55" s="72" t="s">
        <v>1491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1073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17</v>
      </c>
      <c r="J56" s="31">
        <f t="shared" si="6"/>
        <v>11</v>
      </c>
      <c r="K56" s="32">
        <f t="shared" si="7"/>
        <v>0.6071428571428571</v>
      </c>
      <c r="L56" s="72" t="s">
        <v>1491</v>
      </c>
      <c r="M56" s="72" t="s">
        <v>1491</v>
      </c>
      <c r="N56" s="72" t="s">
        <v>1491</v>
      </c>
      <c r="O56" s="72" t="s">
        <v>1491</v>
      </c>
      <c r="P56" s="72" t="s">
        <v>1491</v>
      </c>
      <c r="Q56" s="72" t="s">
        <v>1491</v>
      </c>
      <c r="R56" s="72" t="s">
        <v>1491</v>
      </c>
      <c r="S56" s="72" t="s">
        <v>1491</v>
      </c>
      <c r="T56" s="72" t="s">
        <v>1491</v>
      </c>
      <c r="U56" s="72" t="s">
        <v>1491</v>
      </c>
      <c r="V56" s="72" t="s">
        <v>1491</v>
      </c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1073</v>
      </c>
      <c r="D57" t="s">
        <v>1093</v>
      </c>
      <c r="E57" s="30" t="s">
        <v>19</v>
      </c>
      <c r="F57" s="30" t="s">
        <v>28</v>
      </c>
      <c r="G57" s="30"/>
      <c r="H57" s="30" t="s">
        <v>1470</v>
      </c>
      <c r="I57" s="31">
        <f t="shared" si="5"/>
        <v>24</v>
      </c>
      <c r="J57" s="31">
        <f t="shared" si="6"/>
        <v>4</v>
      </c>
      <c r="K57" s="32">
        <f t="shared" si="7"/>
        <v>0.8571428571428571</v>
      </c>
      <c r="L57" s="72"/>
      <c r="M57" s="72"/>
      <c r="N57" s="72"/>
      <c r="O57" s="72"/>
      <c r="P57" s="72"/>
      <c r="Q57" s="72"/>
      <c r="R57" s="72" t="s">
        <v>1491</v>
      </c>
      <c r="S57" s="72" t="s">
        <v>1491</v>
      </c>
      <c r="T57" s="72" t="s">
        <v>1491</v>
      </c>
      <c r="U57" s="72" t="s">
        <v>1491</v>
      </c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1073</v>
      </c>
      <c r="D58" t="s">
        <v>1094</v>
      </c>
      <c r="E58" s="30" t="s">
        <v>19</v>
      </c>
      <c r="F58" s="30" t="s">
        <v>28</v>
      </c>
      <c r="G58" s="30"/>
      <c r="H58" s="30" t="s">
        <v>1512</v>
      </c>
      <c r="I58" s="31">
        <f t="shared" si="5"/>
        <v>24</v>
      </c>
      <c r="J58" s="31">
        <f t="shared" si="6"/>
        <v>4</v>
      </c>
      <c r="K58" s="32">
        <f t="shared" si="7"/>
        <v>0.8571428571428571</v>
      </c>
      <c r="L58" s="72"/>
      <c r="M58" s="72"/>
      <c r="N58" s="72"/>
      <c r="O58" s="72"/>
      <c r="P58" s="72"/>
      <c r="Q58" s="72"/>
      <c r="R58" s="72" t="s">
        <v>1491</v>
      </c>
      <c r="S58" s="72" t="s">
        <v>1491</v>
      </c>
      <c r="T58" s="72" t="s">
        <v>1491</v>
      </c>
      <c r="U58" s="72" t="s">
        <v>1491</v>
      </c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1073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24</v>
      </c>
      <c r="J59" s="31">
        <f t="shared" si="6"/>
        <v>4</v>
      </c>
      <c r="K59" s="32">
        <f t="shared" si="7"/>
        <v>0.8571428571428571</v>
      </c>
      <c r="L59" s="72"/>
      <c r="M59" s="72"/>
      <c r="N59" s="72"/>
      <c r="O59" s="72"/>
      <c r="P59" s="72"/>
      <c r="Q59" s="72"/>
      <c r="R59" s="72" t="s">
        <v>1491</v>
      </c>
      <c r="S59" s="72" t="s">
        <v>1491</v>
      </c>
      <c r="T59" s="72" t="s">
        <v>1491</v>
      </c>
      <c r="U59" s="72" t="s">
        <v>1491</v>
      </c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1073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24</v>
      </c>
      <c r="J60" s="31">
        <f t="shared" si="6"/>
        <v>4</v>
      </c>
      <c r="K60" s="32">
        <f t="shared" si="7"/>
        <v>0.8571428571428571</v>
      </c>
      <c r="L60" s="72"/>
      <c r="M60" s="72"/>
      <c r="N60" s="72"/>
      <c r="O60" s="72"/>
      <c r="P60" s="72"/>
      <c r="Q60" s="72"/>
      <c r="R60" s="72" t="s">
        <v>1491</v>
      </c>
      <c r="S60" s="72" t="s">
        <v>1491</v>
      </c>
      <c r="T60" s="72" t="s">
        <v>1491</v>
      </c>
      <c r="U60" s="72" t="s">
        <v>1491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1073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24</v>
      </c>
      <c r="J61" s="31">
        <f t="shared" si="6"/>
        <v>4</v>
      </c>
      <c r="K61" s="32">
        <f t="shared" si="7"/>
        <v>0.8571428571428571</v>
      </c>
      <c r="L61" s="72"/>
      <c r="M61" s="72"/>
      <c r="N61" s="72"/>
      <c r="O61" s="72"/>
      <c r="P61" s="72"/>
      <c r="Q61" s="72"/>
      <c r="R61" s="72" t="s">
        <v>1491</v>
      </c>
      <c r="S61" s="72" t="s">
        <v>1491</v>
      </c>
      <c r="T61" s="72" t="s">
        <v>1491</v>
      </c>
      <c r="U61" s="72" t="s">
        <v>1491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1073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24</v>
      </c>
      <c r="J62" s="31">
        <f t="shared" si="6"/>
        <v>4</v>
      </c>
      <c r="K62" s="32">
        <f t="shared" si="7"/>
        <v>0.8571428571428571</v>
      </c>
      <c r="L62" s="72"/>
      <c r="M62" s="72"/>
      <c r="N62" s="72"/>
      <c r="O62" s="72"/>
      <c r="P62" s="72"/>
      <c r="Q62" s="72"/>
      <c r="R62" s="72" t="s">
        <v>1491</v>
      </c>
      <c r="S62" s="72" t="s">
        <v>1491</v>
      </c>
      <c r="T62" s="72" t="s">
        <v>1491</v>
      </c>
      <c r="U62" s="72" t="s">
        <v>1491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1073</v>
      </c>
      <c r="D63" t="s">
        <v>1095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24</v>
      </c>
      <c r="J63" s="31">
        <f t="shared" si="6"/>
        <v>4</v>
      </c>
      <c r="K63" s="32">
        <f t="shared" si="7"/>
        <v>0.8571428571428571</v>
      </c>
      <c r="L63" s="72"/>
      <c r="M63" s="72"/>
      <c r="N63" s="72"/>
      <c r="O63" s="72"/>
      <c r="P63" s="72"/>
      <c r="Q63" s="72"/>
      <c r="R63" s="72" t="s">
        <v>1491</v>
      </c>
      <c r="S63" s="72" t="s">
        <v>1491</v>
      </c>
      <c r="T63" s="72" t="s">
        <v>1491</v>
      </c>
      <c r="U63" s="72" t="s">
        <v>1491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1073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1073</v>
      </c>
      <c r="D65" t="s">
        <v>1076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1073</v>
      </c>
      <c r="D66" t="s">
        <v>1077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1073</v>
      </c>
      <c r="D67" t="s">
        <v>1078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1491</v>
      </c>
      <c r="M67" s="72" t="s">
        <v>1491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936</v>
      </c>
      <c r="C68" t="s">
        <v>1073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1491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1073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1491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1073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1073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1073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1073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27</v>
      </c>
      <c r="J73" s="31">
        <f t="shared" si="9"/>
        <v>1</v>
      </c>
      <c r="K73" s="32">
        <f t="shared" si="10"/>
        <v>0.9642857142857143</v>
      </c>
      <c r="L73" s="72"/>
      <c r="M73" s="72"/>
      <c r="N73" s="72"/>
      <c r="O73" s="72"/>
      <c r="P73" s="72"/>
      <c r="Q73" s="72"/>
      <c r="R73" s="72" t="s">
        <v>1491</v>
      </c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1073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21</v>
      </c>
      <c r="J74" s="31">
        <f t="shared" si="9"/>
        <v>7</v>
      </c>
      <c r="K74" s="32">
        <f t="shared" si="10"/>
        <v>0.75</v>
      </c>
      <c r="L74" s="72"/>
      <c r="M74" s="72"/>
      <c r="N74" s="72"/>
      <c r="O74" s="72" t="s">
        <v>1491</v>
      </c>
      <c r="P74" s="72" t="s">
        <v>1491</v>
      </c>
      <c r="Q74" s="72"/>
      <c r="R74" s="72" t="s">
        <v>1491</v>
      </c>
      <c r="S74" s="72" t="s">
        <v>1491</v>
      </c>
      <c r="T74" s="72" t="s">
        <v>1491</v>
      </c>
      <c r="U74" s="72" t="s">
        <v>1491</v>
      </c>
      <c r="V74" s="72" t="s">
        <v>1491</v>
      </c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1073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/>
      <c r="M75" s="72"/>
      <c r="N75" s="72"/>
      <c r="O75" s="72"/>
      <c r="P75" s="72" t="s">
        <v>1491</v>
      </c>
      <c r="Q75" s="72"/>
      <c r="R75" s="72" t="s">
        <v>1491</v>
      </c>
      <c r="S75" s="72" t="s">
        <v>1491</v>
      </c>
      <c r="T75" s="72" t="s">
        <v>1491</v>
      </c>
      <c r="U75" s="72" t="s">
        <v>1491</v>
      </c>
      <c r="V75" s="72" t="s">
        <v>1491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1513</v>
      </c>
      <c r="C76" t="s">
        <v>1073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1514</v>
      </c>
      <c r="C77" t="s">
        <v>1073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1073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22</v>
      </c>
      <c r="J78" s="31">
        <f t="shared" si="9"/>
        <v>6</v>
      </c>
      <c r="K78" s="32">
        <f t="shared" si="10"/>
        <v>0.7857142857142857</v>
      </c>
      <c r="L78" s="72"/>
      <c r="M78" s="72"/>
      <c r="N78" s="72"/>
      <c r="O78" s="72" t="s">
        <v>1491</v>
      </c>
      <c r="P78" s="72" t="s">
        <v>1491</v>
      </c>
      <c r="Q78" s="72"/>
      <c r="R78" s="72" t="s">
        <v>1491</v>
      </c>
      <c r="S78" s="72" t="s">
        <v>1491</v>
      </c>
      <c r="T78" s="72" t="s">
        <v>1491</v>
      </c>
      <c r="U78" s="72" t="s">
        <v>1491</v>
      </c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1073</v>
      </c>
      <c r="D79" t="s">
        <v>147</v>
      </c>
      <c r="E79" s="30" t="s">
        <v>19</v>
      </c>
      <c r="F79" s="30" t="s">
        <v>1314</v>
      </c>
      <c r="G79" s="30"/>
      <c r="H79" s="30" t="s">
        <v>1443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1491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1073</v>
      </c>
      <c r="D80" t="s">
        <v>149</v>
      </c>
      <c r="E80" s="30" t="s">
        <v>19</v>
      </c>
      <c r="F80" s="30" t="s">
        <v>28</v>
      </c>
      <c r="G80" s="30"/>
      <c r="H80" s="30" t="s">
        <v>1490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937</v>
      </c>
      <c r="C81" t="s">
        <v>1073</v>
      </c>
      <c r="D81" t="s">
        <v>150</v>
      </c>
      <c r="E81" s="30" t="s">
        <v>19</v>
      </c>
      <c r="F81" s="30" t="s">
        <v>28</v>
      </c>
      <c r="G81" s="30"/>
      <c r="H81" s="30" t="s">
        <v>1377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1491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938</v>
      </c>
      <c r="C82" t="s">
        <v>1073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1073</v>
      </c>
      <c r="D83" t="s">
        <v>152</v>
      </c>
      <c r="E83" s="30" t="s">
        <v>15</v>
      </c>
      <c r="F83" s="30" t="s">
        <v>20</v>
      </c>
      <c r="G83" s="30"/>
      <c r="H83" s="30" t="s">
        <v>1456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939</v>
      </c>
      <c r="C84" t="s">
        <v>1073</v>
      </c>
      <c r="D84" t="s">
        <v>47</v>
      </c>
      <c r="E84" s="30" t="s">
        <v>19</v>
      </c>
      <c r="F84" s="30" t="s">
        <v>28</v>
      </c>
      <c r="G84" s="30"/>
      <c r="H84" s="30" t="s">
        <v>1384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1073</v>
      </c>
      <c r="D85" t="s">
        <v>49</v>
      </c>
      <c r="E85" s="30" t="s">
        <v>19</v>
      </c>
      <c r="F85" s="30" t="s">
        <v>28</v>
      </c>
      <c r="G85" s="30"/>
      <c r="H85" s="30" t="s">
        <v>1371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1073</v>
      </c>
      <c r="D86" t="s">
        <v>51</v>
      </c>
      <c r="E86" s="30" t="s">
        <v>19</v>
      </c>
      <c r="F86" s="30" t="s">
        <v>20</v>
      </c>
      <c r="G86" s="30"/>
      <c r="H86" s="30" t="s">
        <v>1427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1073</v>
      </c>
      <c r="D87" t="s">
        <v>54</v>
      </c>
      <c r="E87" s="30" t="s">
        <v>15</v>
      </c>
      <c r="F87" s="30" t="s">
        <v>20</v>
      </c>
      <c r="G87" s="30"/>
      <c r="H87" s="30" t="s">
        <v>1444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1491</v>
      </c>
      <c r="V87" s="72" t="s">
        <v>1491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1073</v>
      </c>
      <c r="D88" t="s">
        <v>56</v>
      </c>
      <c r="E88" s="30" t="s">
        <v>15</v>
      </c>
      <c r="F88" s="30" t="s">
        <v>28</v>
      </c>
      <c r="G88" s="30"/>
      <c r="H88" s="30" t="s">
        <v>1380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1073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944</v>
      </c>
      <c r="C90" t="s">
        <v>1073</v>
      </c>
      <c r="D90" t="s">
        <v>59</v>
      </c>
      <c r="E90" s="30" t="s">
        <v>15</v>
      </c>
      <c r="F90" s="30" t="s">
        <v>28</v>
      </c>
      <c r="G90" s="30"/>
      <c r="H90" s="30" t="s">
        <v>1391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1073</v>
      </c>
      <c r="D91" t="s">
        <v>61</v>
      </c>
      <c r="E91" s="30" t="s">
        <v>15</v>
      </c>
      <c r="F91" s="30" t="s">
        <v>1067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1073</v>
      </c>
      <c r="D92" t="s">
        <v>63</v>
      </c>
      <c r="E92" s="30" t="s">
        <v>15</v>
      </c>
      <c r="F92" s="30" t="s">
        <v>28</v>
      </c>
      <c r="G92" s="30"/>
      <c r="H92" s="30" t="s">
        <v>1381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945</v>
      </c>
      <c r="C93" t="s">
        <v>1073</v>
      </c>
      <c r="D93" t="s">
        <v>1096</v>
      </c>
      <c r="E93" s="30" t="s">
        <v>15</v>
      </c>
      <c r="F93" s="30" t="s">
        <v>1067</v>
      </c>
      <c r="G93" s="30" t="s">
        <v>1266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946</v>
      </c>
      <c r="C94" t="s">
        <v>1073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1073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940</v>
      </c>
      <c r="C96" t="s">
        <v>1073</v>
      </c>
      <c r="D96" t="s">
        <v>155</v>
      </c>
      <c r="E96" s="30" t="s">
        <v>46</v>
      </c>
      <c r="F96" s="30" t="s">
        <v>28</v>
      </c>
      <c r="G96" s="30"/>
      <c r="H96" s="30" t="s">
        <v>1070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1073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1073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27</v>
      </c>
      <c r="J98" s="31">
        <f t="shared" si="9"/>
        <v>1</v>
      </c>
      <c r="K98" s="32">
        <f t="shared" si="10"/>
        <v>0.9642857142857143</v>
      </c>
      <c r="L98" s="72"/>
      <c r="M98" s="72"/>
      <c r="N98" s="72"/>
      <c r="O98" s="72"/>
      <c r="P98" s="72"/>
      <c r="Q98" s="72"/>
      <c r="R98" s="72" t="s">
        <v>1491</v>
      </c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1073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27</v>
      </c>
      <c r="J99" s="31">
        <f t="shared" si="9"/>
        <v>1</v>
      </c>
      <c r="K99" s="32">
        <f t="shared" si="10"/>
        <v>0.9642857142857143</v>
      </c>
      <c r="L99" s="72"/>
      <c r="M99" s="72"/>
      <c r="N99" s="72"/>
      <c r="O99" s="72"/>
      <c r="P99" s="72"/>
      <c r="Q99" s="72"/>
      <c r="R99" s="72" t="s">
        <v>1491</v>
      </c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1073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1073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1073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1073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1073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1491</v>
      </c>
      <c r="V104" s="72" t="s">
        <v>1491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1073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941</v>
      </c>
      <c r="C106" t="s">
        <v>1073</v>
      </c>
      <c r="D106" t="s">
        <v>942</v>
      </c>
      <c r="E106" s="30" t="s">
        <v>19</v>
      </c>
      <c r="F106" s="30" t="s">
        <v>28</v>
      </c>
      <c r="G106" s="30"/>
      <c r="H106" s="30" t="s">
        <v>1225</v>
      </c>
      <c r="I106" s="31">
        <f t="shared" si="8"/>
        <v>26</v>
      </c>
      <c r="J106" s="31">
        <f t="shared" si="9"/>
        <v>2</v>
      </c>
      <c r="K106" s="32">
        <f t="shared" si="10"/>
        <v>0.9285714285714286</v>
      </c>
      <c r="L106" s="72"/>
      <c r="M106" s="72"/>
      <c r="N106" s="72" t="s">
        <v>1491</v>
      </c>
      <c r="O106" s="72" t="s">
        <v>1491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943</v>
      </c>
      <c r="C107" t="s">
        <v>1073</v>
      </c>
      <c r="D107" t="s">
        <v>1089</v>
      </c>
      <c r="E107" s="30" t="s">
        <v>73</v>
      </c>
      <c r="F107" s="30" t="s">
        <v>28</v>
      </c>
      <c r="G107" s="30"/>
      <c r="H107" s="30" t="s">
        <v>1226</v>
      </c>
      <c r="I107" s="31">
        <f t="shared" si="8"/>
        <v>24</v>
      </c>
      <c r="J107" s="31">
        <f t="shared" si="9"/>
        <v>4</v>
      </c>
      <c r="K107" s="32">
        <f t="shared" si="10"/>
        <v>0.8571428571428571</v>
      </c>
      <c r="L107" s="72"/>
      <c r="M107" s="72"/>
      <c r="N107" s="72"/>
      <c r="O107" s="72"/>
      <c r="P107" s="72"/>
      <c r="Q107" s="72"/>
      <c r="R107" s="72" t="s">
        <v>1491</v>
      </c>
      <c r="S107" s="72" t="s">
        <v>1491</v>
      </c>
      <c r="T107" s="72" t="s">
        <v>1491</v>
      </c>
      <c r="U107" s="72" t="s">
        <v>1491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1120</v>
      </c>
      <c r="C108" t="s">
        <v>1073</v>
      </c>
      <c r="D108" t="s">
        <v>1119</v>
      </c>
      <c r="E108" s="30" t="s">
        <v>73</v>
      </c>
      <c r="F108" s="30" t="s">
        <v>28</v>
      </c>
      <c r="G108" s="30"/>
      <c r="H108" s="30" t="s">
        <v>1121</v>
      </c>
      <c r="I108" s="31">
        <f t="shared" si="8"/>
        <v>24</v>
      </c>
      <c r="J108" s="31">
        <f t="shared" si="9"/>
        <v>4</v>
      </c>
      <c r="K108" s="32">
        <f t="shared" si="10"/>
        <v>0.8571428571428571</v>
      </c>
      <c r="L108" s="72"/>
      <c r="M108" s="72"/>
      <c r="N108" s="72"/>
      <c r="O108" s="72"/>
      <c r="P108" s="72"/>
      <c r="Q108" s="72"/>
      <c r="R108" s="72" t="s">
        <v>1491</v>
      </c>
      <c r="S108" s="72" t="s">
        <v>1491</v>
      </c>
      <c r="T108" s="72" t="s">
        <v>1491</v>
      </c>
      <c r="U108" s="72" t="s">
        <v>1491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1129</v>
      </c>
      <c r="C109" s="30" t="s">
        <v>1073</v>
      </c>
      <c r="D109" t="s">
        <v>122</v>
      </c>
      <c r="E109" s="30" t="s">
        <v>73</v>
      </c>
      <c r="F109" s="30" t="s">
        <v>28</v>
      </c>
      <c r="G109" s="30"/>
      <c r="H109" s="30" t="s">
        <v>1130</v>
      </c>
      <c r="I109" s="31">
        <f t="shared" si="8"/>
        <v>24</v>
      </c>
      <c r="J109" s="31">
        <f t="shared" si="9"/>
        <v>4</v>
      </c>
      <c r="K109" s="32">
        <f t="shared" si="10"/>
        <v>0.8571428571428571</v>
      </c>
      <c r="L109" s="72"/>
      <c r="M109" s="72"/>
      <c r="N109" s="72"/>
      <c r="O109" s="72"/>
      <c r="P109" s="72"/>
      <c r="Q109" s="72"/>
      <c r="R109" s="72" t="s">
        <v>1491</v>
      </c>
      <c r="S109" s="72" t="s">
        <v>1491</v>
      </c>
      <c r="T109" s="72" t="s">
        <v>1491</v>
      </c>
      <c r="U109" s="72" t="s">
        <v>1491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1122</v>
      </c>
      <c r="C110" s="30" t="s">
        <v>1073</v>
      </c>
      <c r="D110" t="s">
        <v>1124</v>
      </c>
      <c r="E110" s="30" t="s">
        <v>73</v>
      </c>
      <c r="F110" s="30" t="s">
        <v>28</v>
      </c>
      <c r="G110" s="30"/>
      <c r="H110" s="30" t="s">
        <v>1131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1491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1123</v>
      </c>
      <c r="C111" s="30" t="s">
        <v>1073</v>
      </c>
      <c r="D111" t="s">
        <v>1124</v>
      </c>
      <c r="E111" s="30" t="s">
        <v>73</v>
      </c>
      <c r="F111" s="30" t="s">
        <v>28</v>
      </c>
      <c r="G111" s="30"/>
      <c r="H111" s="30" t="s">
        <v>1132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1491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1193</v>
      </c>
      <c r="C112" s="30" t="s">
        <v>1073</v>
      </c>
      <c r="D112" t="s">
        <v>93</v>
      </c>
      <c r="E112" s="30" t="s">
        <v>73</v>
      </c>
      <c r="F112" s="30" t="s">
        <v>28</v>
      </c>
      <c r="G112" s="30"/>
      <c r="H112" s="30" t="s">
        <v>1194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1209</v>
      </c>
      <c r="C113" s="30" t="s">
        <v>1073</v>
      </c>
      <c r="D113" t="s">
        <v>1210</v>
      </c>
      <c r="E113" s="30" t="s">
        <v>19</v>
      </c>
      <c r="F113" s="30" t="s">
        <v>28</v>
      </c>
      <c r="G113" s="30"/>
      <c r="H113" s="30" t="s">
        <v>1211</v>
      </c>
      <c r="I113" s="31">
        <f t="shared" si="8"/>
        <v>17</v>
      </c>
      <c r="J113" s="31">
        <f t="shared" si="9"/>
        <v>11</v>
      </c>
      <c r="K113" s="32">
        <f t="shared" si="10"/>
        <v>0.6071428571428571</v>
      </c>
      <c r="L113" s="72" t="s">
        <v>1491</v>
      </c>
      <c r="M113" s="72" t="s">
        <v>1491</v>
      </c>
      <c r="N113" s="72" t="s">
        <v>1491</v>
      </c>
      <c r="O113" s="72" t="s">
        <v>1491</v>
      </c>
      <c r="P113" s="72" t="s">
        <v>1491</v>
      </c>
      <c r="Q113" s="72" t="s">
        <v>1491</v>
      </c>
      <c r="R113" s="72" t="s">
        <v>1491</v>
      </c>
      <c r="S113" s="72" t="s">
        <v>1491</v>
      </c>
      <c r="T113" s="72" t="s">
        <v>1491</v>
      </c>
      <c r="U113" s="72" t="s">
        <v>1491</v>
      </c>
      <c r="V113" s="72" t="s">
        <v>1491</v>
      </c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1206</v>
      </c>
      <c r="C114" s="30" t="s">
        <v>1073</v>
      </c>
      <c r="D114" t="s">
        <v>1207</v>
      </c>
      <c r="E114" s="30" t="s">
        <v>19</v>
      </c>
      <c r="F114" s="30" t="s">
        <v>20</v>
      </c>
      <c r="G114" s="30"/>
      <c r="H114" s="30" t="s">
        <v>1208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1236</v>
      </c>
      <c r="C115" s="30" t="s">
        <v>1073</v>
      </c>
      <c r="D115" t="s">
        <v>1237</v>
      </c>
      <c r="E115" t="s">
        <v>73</v>
      </c>
      <c r="F115" t="s">
        <v>28</v>
      </c>
      <c r="G115"/>
      <c r="H115" s="30" t="s">
        <v>1324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1238</v>
      </c>
      <c r="C116" s="30" t="s">
        <v>1073</v>
      </c>
      <c r="D116" t="s">
        <v>1239</v>
      </c>
      <c r="E116" t="s">
        <v>73</v>
      </c>
      <c r="F116" t="s">
        <v>28</v>
      </c>
      <c r="G116"/>
      <c r="H116" s="30" t="s">
        <v>1336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1312</v>
      </c>
      <c r="C117" s="30" t="s">
        <v>1073</v>
      </c>
      <c r="D117" t="s">
        <v>88</v>
      </c>
      <c r="E117" s="30" t="s">
        <v>73</v>
      </c>
      <c r="F117" s="30" t="s">
        <v>28</v>
      </c>
      <c r="G117" s="30"/>
      <c r="H117" s="30" t="s">
        <v>1311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1338</v>
      </c>
      <c r="C118" s="30" t="s">
        <v>1073</v>
      </c>
      <c r="D118" t="s">
        <v>1339</v>
      </c>
      <c r="E118" s="89" t="s">
        <v>19</v>
      </c>
      <c r="F118" s="89" t="s">
        <v>1314</v>
      </c>
      <c r="G118" s="89"/>
      <c r="H118" s="89" t="s">
        <v>1340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1434</v>
      </c>
      <c r="C119" s="30" t="s">
        <v>1073</v>
      </c>
      <c r="D119" t="s">
        <v>1435</v>
      </c>
      <c r="E119" s="92" t="s">
        <v>19</v>
      </c>
      <c r="F119" s="89" t="s">
        <v>28</v>
      </c>
      <c r="G119" s="89"/>
      <c r="H119" s="89" t="s">
        <v>1436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1073</v>
      </c>
      <c r="D120" t="s">
        <v>168</v>
      </c>
      <c r="E120" s="30" t="s">
        <v>19</v>
      </c>
      <c r="F120" s="30" t="s">
        <v>20</v>
      </c>
      <c r="G120" s="30"/>
      <c r="H120" s="30" t="s">
        <v>1424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1073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17</v>
      </c>
      <c r="J121" s="31">
        <f t="shared" si="9"/>
        <v>11</v>
      </c>
      <c r="K121" s="32">
        <f t="shared" si="10"/>
        <v>0.6071428571428571</v>
      </c>
      <c r="L121" s="72" t="s">
        <v>1491</v>
      </c>
      <c r="M121" s="72" t="s">
        <v>1491</v>
      </c>
      <c r="N121" s="72" t="s">
        <v>1491</v>
      </c>
      <c r="O121" s="72" t="s">
        <v>1491</v>
      </c>
      <c r="P121" s="72" t="s">
        <v>1491</v>
      </c>
      <c r="Q121" s="72" t="s">
        <v>1491</v>
      </c>
      <c r="R121" s="72" t="s">
        <v>1491</v>
      </c>
      <c r="S121" s="72" t="s">
        <v>1491</v>
      </c>
      <c r="T121" s="72" t="s">
        <v>1491</v>
      </c>
      <c r="U121" s="72" t="s">
        <v>1491</v>
      </c>
      <c r="V121" s="72" t="s">
        <v>1491</v>
      </c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1073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27</v>
      </c>
      <c r="J122" s="31">
        <f t="shared" si="9"/>
        <v>1</v>
      </c>
      <c r="K122" s="32">
        <f t="shared" si="10"/>
        <v>0.9642857142857143</v>
      </c>
      <c r="L122" s="72"/>
      <c r="M122" s="72"/>
      <c r="N122" s="72"/>
      <c r="O122" s="72" t="s">
        <v>1491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1073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1074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1074</v>
      </c>
      <c r="D125" t="s">
        <v>181</v>
      </c>
      <c r="E125" s="30" t="s">
        <v>19</v>
      </c>
      <c r="F125" s="30" t="s">
        <v>20</v>
      </c>
      <c r="G125" s="30"/>
      <c r="H125" s="30" t="s">
        <v>1322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947</v>
      </c>
      <c r="C126" t="s">
        <v>1074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1491</v>
      </c>
      <c r="M126" s="72" t="s">
        <v>1491</v>
      </c>
      <c r="N126" s="72" t="s">
        <v>1491</v>
      </c>
      <c r="O126" s="72"/>
      <c r="P126" s="72" t="s">
        <v>1491</v>
      </c>
      <c r="Q126" s="72"/>
      <c r="R126" s="72"/>
      <c r="S126" s="72"/>
      <c r="T126" s="72"/>
      <c r="U126" s="72" t="s">
        <v>1491</v>
      </c>
      <c r="V126" s="72" t="s">
        <v>1491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1240</v>
      </c>
      <c r="C127" t="s">
        <v>1074</v>
      </c>
      <c r="D127" t="s">
        <v>1241</v>
      </c>
      <c r="E127" t="s">
        <v>19</v>
      </c>
      <c r="F127" t="s">
        <v>28</v>
      </c>
      <c r="G127"/>
      <c r="H127" s="30" t="s">
        <v>1251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1073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17</v>
      </c>
      <c r="J128" s="31">
        <f t="shared" si="9"/>
        <v>11</v>
      </c>
      <c r="K128" s="32">
        <f t="shared" si="10"/>
        <v>0.6071428571428571</v>
      </c>
      <c r="L128" s="72" t="s">
        <v>1491</v>
      </c>
      <c r="M128" s="72" t="s">
        <v>1491</v>
      </c>
      <c r="N128" s="72" t="s">
        <v>1491</v>
      </c>
      <c r="O128" s="72" t="s">
        <v>1491</v>
      </c>
      <c r="P128" s="72" t="s">
        <v>1491</v>
      </c>
      <c r="Q128" s="72" t="s">
        <v>1491</v>
      </c>
      <c r="R128" s="72" t="s">
        <v>1491</v>
      </c>
      <c r="S128" s="72" t="s">
        <v>1491</v>
      </c>
      <c r="T128" s="72" t="s">
        <v>1491</v>
      </c>
      <c r="U128" s="72" t="s">
        <v>1491</v>
      </c>
      <c r="V128" s="72" t="s">
        <v>1491</v>
      </c>
      <c r="W128" s="72"/>
      <c r="X128" s="72"/>
      <c r="Y128" s="72"/>
      <c r="Z128" s="72"/>
      <c r="AA128" s="72"/>
      <c r="AB128" s="72"/>
      <c r="AC128" s="72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948</v>
      </c>
      <c r="C129" t="s">
        <v>1073</v>
      </c>
      <c r="D129" t="s">
        <v>186</v>
      </c>
      <c r="E129" s="30" t="s">
        <v>73</v>
      </c>
      <c r="F129" s="30" t="s">
        <v>1067</v>
      </c>
      <c r="G129" s="30" t="s">
        <v>1262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949</v>
      </c>
      <c r="C130" t="s">
        <v>1073</v>
      </c>
      <c r="D130" t="s">
        <v>186</v>
      </c>
      <c r="E130" s="30" t="s">
        <v>73</v>
      </c>
      <c r="F130" s="30" t="s">
        <v>1067</v>
      </c>
      <c r="G130" s="30" t="s">
        <v>1262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1491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950</v>
      </c>
      <c r="C131" s="97" t="s">
        <v>1073</v>
      </c>
      <c r="D131" s="97" t="s">
        <v>951</v>
      </c>
      <c r="E131" s="98" t="s">
        <v>73</v>
      </c>
      <c r="F131" s="98" t="s">
        <v>1067</v>
      </c>
      <c r="G131" s="98" t="s">
        <v>1262</v>
      </c>
      <c r="H131" s="98" t="s">
        <v>1227</v>
      </c>
      <c r="I131" s="31">
        <f t="shared" si="8"/>
        <v>17</v>
      </c>
      <c r="J131" s="31">
        <f t="shared" si="9"/>
        <v>11</v>
      </c>
      <c r="K131" s="32">
        <f t="shared" si="10"/>
        <v>0.6071428571428571</v>
      </c>
      <c r="L131" s="72" t="s">
        <v>1491</v>
      </c>
      <c r="M131" s="72" t="s">
        <v>1491</v>
      </c>
      <c r="N131" s="72" t="s">
        <v>1491</v>
      </c>
      <c r="O131" s="72" t="s">
        <v>1491</v>
      </c>
      <c r="P131" s="72" t="s">
        <v>1491</v>
      </c>
      <c r="Q131" s="72" t="s">
        <v>1491</v>
      </c>
      <c r="R131" s="72" t="s">
        <v>1491</v>
      </c>
      <c r="S131" s="72" t="s">
        <v>1491</v>
      </c>
      <c r="T131" s="72" t="s">
        <v>1491</v>
      </c>
      <c r="U131" s="72" t="s">
        <v>1491</v>
      </c>
      <c r="V131" s="72" t="s">
        <v>1491</v>
      </c>
      <c r="W131" s="72"/>
      <c r="X131" s="72"/>
      <c r="Y131" s="72"/>
      <c r="Z131" s="72"/>
      <c r="AA131" s="72"/>
      <c r="AB131" s="72"/>
      <c r="AC131" s="72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952</v>
      </c>
      <c r="C132" s="97" t="s">
        <v>1073</v>
      </c>
      <c r="D132" s="97" t="s">
        <v>951</v>
      </c>
      <c r="E132" s="98" t="s">
        <v>73</v>
      </c>
      <c r="F132" s="98" t="s">
        <v>1067</v>
      </c>
      <c r="G132" s="98" t="s">
        <v>1262</v>
      </c>
      <c r="H132" s="98" t="s">
        <v>1228</v>
      </c>
      <c r="I132" s="31">
        <f t="shared" si="8"/>
        <v>17</v>
      </c>
      <c r="J132" s="31">
        <f t="shared" si="9"/>
        <v>11</v>
      </c>
      <c r="K132" s="32">
        <f t="shared" si="10"/>
        <v>0.6071428571428571</v>
      </c>
      <c r="L132" s="72" t="s">
        <v>1491</v>
      </c>
      <c r="M132" s="72" t="s">
        <v>1491</v>
      </c>
      <c r="N132" s="72" t="s">
        <v>1491</v>
      </c>
      <c r="O132" s="72" t="s">
        <v>1491</v>
      </c>
      <c r="P132" s="72" t="s">
        <v>1491</v>
      </c>
      <c r="Q132" s="72" t="s">
        <v>1491</v>
      </c>
      <c r="R132" s="72" t="s">
        <v>1491</v>
      </c>
      <c r="S132" s="72" t="s">
        <v>1491</v>
      </c>
      <c r="T132" s="72" t="s">
        <v>1491</v>
      </c>
      <c r="U132" s="72" t="s">
        <v>1491</v>
      </c>
      <c r="V132" s="72" t="s">
        <v>1491</v>
      </c>
      <c r="W132" s="72"/>
      <c r="X132" s="72"/>
      <c r="Y132" s="72"/>
      <c r="Z132" s="72"/>
      <c r="AA132" s="72"/>
      <c r="AB132" s="72"/>
      <c r="AC132" s="72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1145</v>
      </c>
      <c r="C133" t="s">
        <v>1073</v>
      </c>
      <c r="D133" t="s">
        <v>1140</v>
      </c>
      <c r="E133" s="30" t="s">
        <v>73</v>
      </c>
      <c r="F133" s="30" t="s">
        <v>1067</v>
      </c>
      <c r="G133" s="30" t="s">
        <v>1262</v>
      </c>
      <c r="H133" s="30" t="s">
        <v>1153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1146</v>
      </c>
      <c r="C134" t="s">
        <v>1073</v>
      </c>
      <c r="D134" t="s">
        <v>1140</v>
      </c>
      <c r="E134" s="30" t="s">
        <v>73</v>
      </c>
      <c r="F134" s="30" t="s">
        <v>1067</v>
      </c>
      <c r="G134" s="30" t="s">
        <v>1262</v>
      </c>
      <c r="H134" s="30" t="s">
        <v>1154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1343</v>
      </c>
      <c r="B135" t="s">
        <v>1331</v>
      </c>
      <c r="C135" s="87" t="s">
        <v>1074</v>
      </c>
      <c r="D135" t="s">
        <v>1332</v>
      </c>
      <c r="E135" s="30" t="s">
        <v>19</v>
      </c>
      <c r="F135" s="30" t="s">
        <v>1314</v>
      </c>
      <c r="G135" s="30"/>
      <c r="H135" s="30" t="s">
        <v>1346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1343</v>
      </c>
      <c r="B136" t="s">
        <v>1347</v>
      </c>
      <c r="C136" s="87" t="s">
        <v>1074</v>
      </c>
      <c r="D136" t="s">
        <v>1348</v>
      </c>
      <c r="E136" s="30"/>
      <c r="F136" s="30"/>
      <c r="G136" s="30"/>
      <c r="H136" s="30" t="s">
        <v>1360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953</v>
      </c>
      <c r="C137" t="s">
        <v>1074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1491</v>
      </c>
      <c r="S137" s="72" t="s">
        <v>1511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954</v>
      </c>
      <c r="C138" t="s">
        <v>1074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1491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955</v>
      </c>
      <c r="C139" t="s">
        <v>1074</v>
      </c>
      <c r="D139" t="s">
        <v>190</v>
      </c>
      <c r="E139" s="30" t="s">
        <v>19</v>
      </c>
      <c r="F139" s="30" t="s">
        <v>28</v>
      </c>
      <c r="G139" s="30"/>
      <c r="H139" s="30" t="s">
        <v>1323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1491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956</v>
      </c>
      <c r="C140" t="s">
        <v>1074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1491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1074</v>
      </c>
      <c r="D141" t="s">
        <v>196</v>
      </c>
      <c r="E141" s="30" t="s">
        <v>19</v>
      </c>
      <c r="F141" s="30" t="s">
        <v>20</v>
      </c>
      <c r="G141" s="30"/>
      <c r="H141" s="30" t="s">
        <v>1471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1074</v>
      </c>
      <c r="D142" t="s">
        <v>199</v>
      </c>
      <c r="E142" s="30" t="s">
        <v>19</v>
      </c>
      <c r="F142" s="30" t="s">
        <v>1067</v>
      </c>
      <c r="G142" s="30" t="s">
        <v>459</v>
      </c>
      <c r="H142" s="30" t="s">
        <v>695</v>
      </c>
      <c r="I142" s="31">
        <f t="shared" si="11"/>
        <v>27</v>
      </c>
      <c r="J142" s="31">
        <f t="shared" si="12"/>
        <v>1</v>
      </c>
      <c r="K142" s="32">
        <f t="shared" si="13"/>
        <v>0.9642857142857143</v>
      </c>
      <c r="L142" s="72" t="s">
        <v>1491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1074</v>
      </c>
      <c r="D143" t="s">
        <v>202</v>
      </c>
      <c r="E143" s="30" t="s">
        <v>15</v>
      </c>
      <c r="F143" s="30" t="s">
        <v>1067</v>
      </c>
      <c r="G143" s="30" t="s">
        <v>459</v>
      </c>
      <c r="H143" s="30" t="s">
        <v>696</v>
      </c>
      <c r="I143" s="31">
        <f t="shared" si="11"/>
        <v>27</v>
      </c>
      <c r="J143" s="31">
        <f t="shared" si="12"/>
        <v>1</v>
      </c>
      <c r="K143" s="32">
        <f t="shared" si="13"/>
        <v>0.9642857142857143</v>
      </c>
      <c r="L143" s="72" t="s">
        <v>1491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1074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1074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1074</v>
      </c>
      <c r="D146" t="s">
        <v>208</v>
      </c>
      <c r="E146" s="30" t="s">
        <v>19</v>
      </c>
      <c r="F146" s="30" t="s">
        <v>20</v>
      </c>
      <c r="G146" s="30"/>
      <c r="H146" s="30" t="s">
        <v>1453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958</v>
      </c>
      <c r="C147" t="s">
        <v>1074</v>
      </c>
      <c r="D147" t="s">
        <v>193</v>
      </c>
      <c r="E147" s="30" t="s">
        <v>15</v>
      </c>
      <c r="F147" s="30" t="s">
        <v>1067</v>
      </c>
      <c r="G147" s="30" t="s">
        <v>459</v>
      </c>
      <c r="H147" s="30" t="s">
        <v>699</v>
      </c>
      <c r="I147" s="31">
        <f t="shared" si="11"/>
        <v>27</v>
      </c>
      <c r="J147" s="31">
        <f t="shared" si="12"/>
        <v>1</v>
      </c>
      <c r="K147" s="32">
        <f t="shared" si="13"/>
        <v>0.9642857142857143</v>
      </c>
      <c r="L147" s="72" t="s">
        <v>1491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1074</v>
      </c>
      <c r="D148" t="s">
        <v>957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1074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1074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1074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27</v>
      </c>
      <c r="J151" s="31">
        <f t="shared" si="12"/>
        <v>1</v>
      </c>
      <c r="K151" s="32">
        <f t="shared" si="13"/>
        <v>0.9642857142857143</v>
      </c>
      <c r="L151" s="72" t="s">
        <v>1491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1074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27</v>
      </c>
      <c r="J152" s="31">
        <f t="shared" si="12"/>
        <v>1</v>
      </c>
      <c r="K152" s="32">
        <f t="shared" si="13"/>
        <v>0.9642857142857143</v>
      </c>
      <c r="L152" s="72" t="s">
        <v>1491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1181</v>
      </c>
      <c r="C153" s="30" t="s">
        <v>1074</v>
      </c>
      <c r="D153" t="s">
        <v>1164</v>
      </c>
      <c r="E153" s="30" t="s">
        <v>1125</v>
      </c>
      <c r="F153" s="30" t="s">
        <v>28</v>
      </c>
      <c r="G153" s="30"/>
      <c r="H153" s="30" t="s">
        <v>1165</v>
      </c>
      <c r="I153" s="31">
        <f t="shared" si="11"/>
        <v>27</v>
      </c>
      <c r="J153" s="31">
        <f t="shared" si="12"/>
        <v>1</v>
      </c>
      <c r="K153" s="32">
        <f t="shared" si="13"/>
        <v>0.9642857142857143</v>
      </c>
      <c r="L153" s="72" t="s">
        <v>1491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1180</v>
      </c>
      <c r="C154" s="30" t="s">
        <v>1074</v>
      </c>
      <c r="D154" t="s">
        <v>1164</v>
      </c>
      <c r="E154" s="30" t="s">
        <v>1125</v>
      </c>
      <c r="F154" s="30" t="s">
        <v>28</v>
      </c>
      <c r="G154" s="30"/>
      <c r="H154" s="30" t="s">
        <v>1166</v>
      </c>
      <c r="I154" s="31">
        <f t="shared" si="11"/>
        <v>27</v>
      </c>
      <c r="J154" s="31">
        <f t="shared" si="12"/>
        <v>1</v>
      </c>
      <c r="K154" s="32">
        <f t="shared" si="13"/>
        <v>0.9642857142857143</v>
      </c>
      <c r="L154" s="72" t="s">
        <v>1491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1183</v>
      </c>
      <c r="C155" s="30" t="s">
        <v>1074</v>
      </c>
      <c r="D155" t="s">
        <v>1161</v>
      </c>
      <c r="E155" s="30" t="s">
        <v>73</v>
      </c>
      <c r="F155" s="30" t="s">
        <v>28</v>
      </c>
      <c r="G155" s="30"/>
      <c r="H155" s="30" t="s">
        <v>1162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1491</v>
      </c>
      <c r="M155" s="72" t="s">
        <v>1491</v>
      </c>
      <c r="N155" s="72" t="s">
        <v>1491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1184</v>
      </c>
      <c r="C156" s="30" t="s">
        <v>1074</v>
      </c>
      <c r="D156" t="s">
        <v>1161</v>
      </c>
      <c r="E156" s="30" t="s">
        <v>73</v>
      </c>
      <c r="F156" s="30" t="s">
        <v>28</v>
      </c>
      <c r="G156" s="30"/>
      <c r="H156" s="30" t="s">
        <v>1163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1491</v>
      </c>
      <c r="M156" s="72" t="s">
        <v>1491</v>
      </c>
      <c r="N156" s="72" t="s">
        <v>1491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959</v>
      </c>
      <c r="C157" t="s">
        <v>1074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1491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960</v>
      </c>
      <c r="C158" t="s">
        <v>1074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27</v>
      </c>
      <c r="J158" s="31">
        <f t="shared" si="12"/>
        <v>1</v>
      </c>
      <c r="K158" s="32">
        <f t="shared" si="13"/>
        <v>0.9642857142857143</v>
      </c>
      <c r="L158" s="72"/>
      <c r="M158" s="72"/>
      <c r="N158" s="72"/>
      <c r="O158" s="72"/>
      <c r="P158" s="72"/>
      <c r="Q158" s="72"/>
      <c r="R158" s="72" t="s">
        <v>1491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961</v>
      </c>
      <c r="C159" s="97" t="s">
        <v>1074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16</v>
      </c>
      <c r="J159" s="31">
        <f t="shared" si="12"/>
        <v>11</v>
      </c>
      <c r="K159" s="32">
        <f t="shared" si="13"/>
        <v>0.59259259259259256</v>
      </c>
      <c r="L159" s="72" t="s">
        <v>1491</v>
      </c>
      <c r="M159" s="72" t="s">
        <v>1491</v>
      </c>
      <c r="N159" s="72" t="s">
        <v>1491</v>
      </c>
      <c r="O159" s="72" t="s">
        <v>1491</v>
      </c>
      <c r="P159" s="72" t="s">
        <v>1491</v>
      </c>
      <c r="Q159" s="72" t="s">
        <v>1491</v>
      </c>
      <c r="R159" s="72" t="s">
        <v>1491</v>
      </c>
      <c r="S159" s="72" t="s">
        <v>1491</v>
      </c>
      <c r="T159" s="72" t="s">
        <v>1491</v>
      </c>
      <c r="U159" s="72" t="s">
        <v>1491</v>
      </c>
      <c r="V159" s="72" t="s">
        <v>1491</v>
      </c>
      <c r="W159" s="72"/>
      <c r="X159" s="72"/>
      <c r="Y159" s="72"/>
      <c r="Z159" s="72"/>
      <c r="AA159" s="72"/>
      <c r="AB159" s="72"/>
      <c r="AC159" s="72">
        <v>0</v>
      </c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1073</v>
      </c>
      <c r="D160" t="s">
        <v>232</v>
      </c>
      <c r="E160" s="30" t="s">
        <v>15</v>
      </c>
      <c r="F160" s="30" t="s">
        <v>20</v>
      </c>
      <c r="G160" s="30"/>
      <c r="H160" s="30" t="s">
        <v>1407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1491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1073</v>
      </c>
      <c r="D161" t="s">
        <v>234</v>
      </c>
      <c r="E161" s="30" t="s">
        <v>19</v>
      </c>
      <c r="F161" s="30" t="s">
        <v>20</v>
      </c>
      <c r="G161" s="30"/>
      <c r="H161" s="30" t="s">
        <v>1445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1073</v>
      </c>
      <c r="D162" t="s">
        <v>236</v>
      </c>
      <c r="E162" s="30" t="s">
        <v>19</v>
      </c>
      <c r="F162" s="30" t="s">
        <v>20</v>
      </c>
      <c r="G162" s="30"/>
      <c r="H162" s="30" t="s">
        <v>1425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1073</v>
      </c>
      <c r="D163" t="s">
        <v>238</v>
      </c>
      <c r="E163" s="30" t="s">
        <v>19</v>
      </c>
      <c r="F163" s="30" t="s">
        <v>20</v>
      </c>
      <c r="G163" s="30"/>
      <c r="H163" s="30" t="s">
        <v>1458</v>
      </c>
      <c r="I163" s="31">
        <f t="shared" si="11"/>
        <v>22</v>
      </c>
      <c r="J163" s="31">
        <f t="shared" si="12"/>
        <v>6</v>
      </c>
      <c r="K163" s="32">
        <f t="shared" si="13"/>
        <v>0.7857142857142857</v>
      </c>
      <c r="L163" s="72" t="s">
        <v>1491</v>
      </c>
      <c r="M163" s="72" t="s">
        <v>1491</v>
      </c>
      <c r="N163" s="72" t="s">
        <v>1491</v>
      </c>
      <c r="O163" s="72" t="s">
        <v>1491</v>
      </c>
      <c r="P163" s="72" t="s">
        <v>1491</v>
      </c>
      <c r="Q163" s="72" t="s">
        <v>1491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1073</v>
      </c>
      <c r="D164" t="s">
        <v>240</v>
      </c>
      <c r="E164" s="30" t="s">
        <v>19</v>
      </c>
      <c r="F164" s="30" t="s">
        <v>20</v>
      </c>
      <c r="G164" s="30"/>
      <c r="H164" s="30" t="s">
        <v>1459</v>
      </c>
      <c r="I164" s="31">
        <f t="shared" si="11"/>
        <v>22</v>
      </c>
      <c r="J164" s="31">
        <f t="shared" si="12"/>
        <v>6</v>
      </c>
      <c r="K164" s="32">
        <f t="shared" si="13"/>
        <v>0.7857142857142857</v>
      </c>
      <c r="L164" s="72" t="s">
        <v>1491</v>
      </c>
      <c r="M164" s="72" t="s">
        <v>1491</v>
      </c>
      <c r="N164" s="72" t="s">
        <v>1491</v>
      </c>
      <c r="O164" s="72" t="s">
        <v>1491</v>
      </c>
      <c r="P164" s="72" t="s">
        <v>1491</v>
      </c>
      <c r="Q164" s="72" t="s">
        <v>1491</v>
      </c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1073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25</v>
      </c>
      <c r="J165" s="31">
        <f t="shared" si="12"/>
        <v>3</v>
      </c>
      <c r="K165" s="32">
        <f t="shared" si="13"/>
        <v>0.8928571428571429</v>
      </c>
      <c r="L165" s="72" t="s">
        <v>1491</v>
      </c>
      <c r="M165" s="72" t="s">
        <v>1491</v>
      </c>
      <c r="N165" s="72" t="s">
        <v>1491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1073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966</v>
      </c>
      <c r="C167" t="s">
        <v>1073</v>
      </c>
      <c r="D167" t="s">
        <v>223</v>
      </c>
      <c r="E167" s="30" t="s">
        <v>15</v>
      </c>
      <c r="F167" s="30" t="s">
        <v>20</v>
      </c>
      <c r="G167" s="30"/>
      <c r="H167" s="30" t="s">
        <v>1423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967</v>
      </c>
      <c r="C168" t="s">
        <v>1073</v>
      </c>
      <c r="D168" t="s">
        <v>224</v>
      </c>
      <c r="E168" s="30" t="s">
        <v>15</v>
      </c>
      <c r="F168" s="30" t="s">
        <v>20</v>
      </c>
      <c r="G168" s="30"/>
      <c r="H168" s="30" t="s">
        <v>1223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1376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1073</v>
      </c>
      <c r="D169" t="s">
        <v>226</v>
      </c>
      <c r="E169" s="30" t="s">
        <v>15</v>
      </c>
      <c r="F169" s="30" t="s">
        <v>20</v>
      </c>
      <c r="G169" s="30"/>
      <c r="H169" s="30" t="s">
        <v>1422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1073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1073</v>
      </c>
      <c r="D171" t="s">
        <v>228</v>
      </c>
      <c r="E171" s="30" t="s">
        <v>73</v>
      </c>
      <c r="F171" s="30" t="s">
        <v>1067</v>
      </c>
      <c r="G171" s="30" t="s">
        <v>1262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1073</v>
      </c>
      <c r="D172" t="s">
        <v>228</v>
      </c>
      <c r="E172" s="30" t="s">
        <v>73</v>
      </c>
      <c r="F172" s="30" t="s">
        <v>1067</v>
      </c>
      <c r="G172" s="30" t="s">
        <v>1262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962</v>
      </c>
      <c r="C173" t="s">
        <v>1073</v>
      </c>
      <c r="D173" t="s">
        <v>245</v>
      </c>
      <c r="E173" s="30" t="s">
        <v>73</v>
      </c>
      <c r="F173" s="30" t="s">
        <v>1067</v>
      </c>
      <c r="G173" s="30" t="s">
        <v>1262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963</v>
      </c>
      <c r="C174" t="s">
        <v>1073</v>
      </c>
      <c r="D174" t="s">
        <v>245</v>
      </c>
      <c r="E174" s="30" t="s">
        <v>73</v>
      </c>
      <c r="F174" s="30" t="s">
        <v>1067</v>
      </c>
      <c r="G174" s="30" t="s">
        <v>1262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964</v>
      </c>
      <c r="C175" t="s">
        <v>1073</v>
      </c>
      <c r="D175" t="s">
        <v>246</v>
      </c>
      <c r="E175" s="30" t="s">
        <v>73</v>
      </c>
      <c r="F175" s="30" t="s">
        <v>1067</v>
      </c>
      <c r="G175" s="30" t="s">
        <v>1262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965</v>
      </c>
      <c r="C176" t="s">
        <v>1073</v>
      </c>
      <c r="D176" t="s">
        <v>246</v>
      </c>
      <c r="E176" s="30" t="s">
        <v>73</v>
      </c>
      <c r="F176" s="30" t="s">
        <v>1067</v>
      </c>
      <c r="G176" s="30" t="s">
        <v>1262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1243</v>
      </c>
      <c r="C177" t="s">
        <v>1073</v>
      </c>
      <c r="D177" t="s">
        <v>1242</v>
      </c>
      <c r="E177" t="s">
        <v>19</v>
      </c>
      <c r="F177" t="s">
        <v>28</v>
      </c>
      <c r="G177"/>
      <c r="H177" s="30" t="s">
        <v>1252</v>
      </c>
      <c r="I177" s="31">
        <f t="shared" si="11"/>
        <v>23</v>
      </c>
      <c r="J177" s="31">
        <f t="shared" si="12"/>
        <v>5</v>
      </c>
      <c r="K177" s="32">
        <f t="shared" si="13"/>
        <v>0.8214285714285714</v>
      </c>
      <c r="L177" s="72"/>
      <c r="M177" s="72"/>
      <c r="N177" s="72"/>
      <c r="O177" s="72" t="s">
        <v>1491</v>
      </c>
      <c r="P177" s="72"/>
      <c r="Q177" s="72" t="s">
        <v>1491</v>
      </c>
      <c r="R177" s="72" t="s">
        <v>1491</v>
      </c>
      <c r="S177" s="72" t="s">
        <v>1491</v>
      </c>
      <c r="T177" s="72" t="s">
        <v>1491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1073</v>
      </c>
      <c r="D178" t="s">
        <v>248</v>
      </c>
      <c r="E178" s="30" t="s">
        <v>15</v>
      </c>
      <c r="F178" s="30" t="s">
        <v>1067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1073</v>
      </c>
      <c r="D179" t="s">
        <v>250</v>
      </c>
      <c r="E179" s="30" t="s">
        <v>15</v>
      </c>
      <c r="F179" s="30" t="s">
        <v>1067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1073</v>
      </c>
      <c r="D180" t="s">
        <v>252</v>
      </c>
      <c r="E180" s="30" t="s">
        <v>15</v>
      </c>
      <c r="F180" s="30" t="s">
        <v>1067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1195</v>
      </c>
      <c r="C181" t="s">
        <v>1074</v>
      </c>
      <c r="D181" t="s">
        <v>1196</v>
      </c>
      <c r="E181" s="30" t="s">
        <v>73</v>
      </c>
      <c r="F181" s="30" t="s">
        <v>16</v>
      </c>
      <c r="G181" s="30"/>
      <c r="H181" s="30" t="s">
        <v>1283</v>
      </c>
      <c r="I181" s="31">
        <f t="shared" si="11"/>
        <v>23</v>
      </c>
      <c r="J181" s="31">
        <f t="shared" si="12"/>
        <v>5</v>
      </c>
      <c r="K181" s="32">
        <f t="shared" si="13"/>
        <v>0.8214285714285714</v>
      </c>
      <c r="L181" s="72"/>
      <c r="M181" s="72"/>
      <c r="N181" s="72"/>
      <c r="O181" s="72"/>
      <c r="P181" s="72" t="s">
        <v>1491</v>
      </c>
      <c r="Q181" s="72" t="s">
        <v>1491</v>
      </c>
      <c r="R181" s="72" t="s">
        <v>1491</v>
      </c>
      <c r="S181" s="72" t="s">
        <v>1491</v>
      </c>
      <c r="T181" s="72" t="s">
        <v>1491</v>
      </c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1197</v>
      </c>
      <c r="C182" t="s">
        <v>1074</v>
      </c>
      <c r="D182" t="s">
        <v>1198</v>
      </c>
      <c r="E182" s="30" t="s">
        <v>73</v>
      </c>
      <c r="F182" s="30" t="s">
        <v>20</v>
      </c>
      <c r="G182" s="30"/>
      <c r="H182" s="30" t="s">
        <v>1284</v>
      </c>
      <c r="I182" s="31">
        <f t="shared" si="11"/>
        <v>23</v>
      </c>
      <c r="J182" s="31">
        <f t="shared" si="12"/>
        <v>5</v>
      </c>
      <c r="K182" s="32">
        <f t="shared" si="13"/>
        <v>0.8214285714285714</v>
      </c>
      <c r="L182" s="72"/>
      <c r="M182" s="72"/>
      <c r="N182" s="72"/>
      <c r="O182" s="72"/>
      <c r="P182" s="72" t="s">
        <v>1491</v>
      </c>
      <c r="Q182" s="72" t="s">
        <v>1491</v>
      </c>
      <c r="R182" s="72" t="s">
        <v>1491</v>
      </c>
      <c r="S182" s="72" t="s">
        <v>1491</v>
      </c>
      <c r="T182" s="72" t="s">
        <v>1491</v>
      </c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1472</v>
      </c>
      <c r="B183" t="s">
        <v>968</v>
      </c>
      <c r="C183" t="s">
        <v>1073</v>
      </c>
      <c r="D183" t="s">
        <v>1097</v>
      </c>
      <c r="E183" s="30" t="s">
        <v>19</v>
      </c>
      <c r="F183" s="30" t="s">
        <v>20</v>
      </c>
      <c r="G183" s="30"/>
      <c r="H183" s="30" t="s">
        <v>1457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1491</v>
      </c>
      <c r="P183" s="72" t="s">
        <v>1491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1073</v>
      </c>
      <c r="D184" t="s">
        <v>254</v>
      </c>
      <c r="E184" s="30" t="s">
        <v>19</v>
      </c>
      <c r="F184" s="30" t="s">
        <v>20</v>
      </c>
      <c r="G184" s="30"/>
      <c r="H184" s="30" t="s">
        <v>1433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1073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1491</v>
      </c>
      <c r="P185" s="72" t="s">
        <v>1491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1073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1491</v>
      </c>
      <c r="P186" s="72" t="s">
        <v>1491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1337</v>
      </c>
      <c r="C187" t="s">
        <v>1073</v>
      </c>
      <c r="D187" t="s">
        <v>1341</v>
      </c>
      <c r="E187" s="30" t="s">
        <v>15</v>
      </c>
      <c r="F187" s="30" t="s">
        <v>1314</v>
      </c>
      <c r="G187" s="30"/>
      <c r="H187" s="30" t="s">
        <v>1342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1437</v>
      </c>
      <c r="C188" t="s">
        <v>1073</v>
      </c>
      <c r="D188" t="s">
        <v>1438</v>
      </c>
      <c r="E188" s="92"/>
      <c r="F188" s="89" t="s">
        <v>28</v>
      </c>
      <c r="G188" s="89"/>
      <c r="H188" s="89" t="s">
        <v>1439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969</v>
      </c>
      <c r="C189" t="s">
        <v>1074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1491</v>
      </c>
      <c r="P189" s="72" t="s">
        <v>1491</v>
      </c>
      <c r="Q189" s="72"/>
      <c r="R189" s="72"/>
      <c r="S189" s="72"/>
      <c r="T189" s="72" t="s">
        <v>1491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1074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1491</v>
      </c>
      <c r="P190" s="72" t="s">
        <v>1491</v>
      </c>
      <c r="Q190" s="72"/>
      <c r="R190" s="72"/>
      <c r="S190" s="72"/>
      <c r="T190" s="72" t="s">
        <v>1491</v>
      </c>
      <c r="U190" s="72"/>
      <c r="V190" s="72" t="s">
        <v>1491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1074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1491</v>
      </c>
      <c r="P191" s="72" t="s">
        <v>1491</v>
      </c>
      <c r="Q191" s="72"/>
      <c r="R191" s="72"/>
      <c r="S191" s="72"/>
      <c r="T191" s="72" t="s">
        <v>1491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970</v>
      </c>
      <c r="C192" t="s">
        <v>1073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971</v>
      </c>
      <c r="C193" t="s">
        <v>1073</v>
      </c>
      <c r="D193" t="s">
        <v>1098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972</v>
      </c>
      <c r="C194" t="s">
        <v>1073</v>
      </c>
      <c r="D194" t="s">
        <v>280</v>
      </c>
      <c r="E194" s="30" t="s">
        <v>19</v>
      </c>
      <c r="F194" s="30" t="s">
        <v>28</v>
      </c>
      <c r="G194" s="30"/>
      <c r="H194" s="30" t="s">
        <v>1515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973</v>
      </c>
      <c r="C195" t="s">
        <v>1073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974</v>
      </c>
      <c r="C196" t="s">
        <v>1073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975</v>
      </c>
      <c r="C197" t="s">
        <v>1073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1073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1073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1073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1073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1073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1073</v>
      </c>
      <c r="D203" t="s">
        <v>279</v>
      </c>
      <c r="E203" s="30" t="s">
        <v>19</v>
      </c>
      <c r="F203" s="30" t="s">
        <v>28</v>
      </c>
      <c r="G203" s="30"/>
      <c r="H203" s="30" t="s">
        <v>1469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1073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1073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1222</v>
      </c>
      <c r="C206" s="30" t="s">
        <v>1073</v>
      </c>
      <c r="D206" t="s">
        <v>1217</v>
      </c>
      <c r="E206" s="30" t="s">
        <v>15</v>
      </c>
      <c r="F206" s="30" t="s">
        <v>28</v>
      </c>
      <c r="G206" s="30"/>
      <c r="H206" s="30" t="s">
        <v>1218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976</v>
      </c>
      <c r="C207" s="97" t="s">
        <v>1074</v>
      </c>
      <c r="D207" s="97" t="s">
        <v>1099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18</v>
      </c>
      <c r="J207" s="31">
        <f t="shared" si="15"/>
        <v>10</v>
      </c>
      <c r="K207" s="32">
        <f t="shared" si="16"/>
        <v>0.6428571428571429</v>
      </c>
      <c r="L207" s="72" t="s">
        <v>1491</v>
      </c>
      <c r="M207" s="72" t="s">
        <v>1491</v>
      </c>
      <c r="N207" s="72" t="s">
        <v>1491</v>
      </c>
      <c r="O207" s="72"/>
      <c r="P207" s="72" t="s">
        <v>1491</v>
      </c>
      <c r="Q207" s="72" t="s">
        <v>1491</v>
      </c>
      <c r="R207" s="72" t="s">
        <v>1491</v>
      </c>
      <c r="S207" s="72" t="s">
        <v>1491</v>
      </c>
      <c r="T207" s="72" t="s">
        <v>1491</v>
      </c>
      <c r="U207" s="72" t="s">
        <v>1491</v>
      </c>
      <c r="V207" s="72" t="s">
        <v>1491</v>
      </c>
      <c r="W207" s="72"/>
      <c r="X207" s="72"/>
      <c r="Y207" s="72"/>
      <c r="Z207" s="72"/>
      <c r="AA207" s="72"/>
      <c r="AB207" s="72"/>
      <c r="AC207" s="72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1074</v>
      </c>
      <c r="D208" t="s">
        <v>287</v>
      </c>
      <c r="E208" s="30" t="s">
        <v>15</v>
      </c>
      <c r="F208" s="30" t="s">
        <v>1067</v>
      </c>
      <c r="G208" s="30"/>
      <c r="H208" s="30" t="s">
        <v>1075</v>
      </c>
      <c r="I208" s="31">
        <f t="shared" si="14"/>
        <v>22</v>
      </c>
      <c r="J208" s="31">
        <f t="shared" si="15"/>
        <v>6</v>
      </c>
      <c r="K208" s="32">
        <f t="shared" si="16"/>
        <v>0.7857142857142857</v>
      </c>
      <c r="L208" s="72" t="s">
        <v>1491</v>
      </c>
      <c r="M208" s="72" t="s">
        <v>1491</v>
      </c>
      <c r="N208" s="72" t="s">
        <v>1491</v>
      </c>
      <c r="O208" s="72" t="s">
        <v>1491</v>
      </c>
      <c r="P208" s="72" t="s">
        <v>1491</v>
      </c>
      <c r="Q208" s="72" t="s">
        <v>1491</v>
      </c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1074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27</v>
      </c>
      <c r="J209" s="31">
        <f t="shared" si="15"/>
        <v>1</v>
      </c>
      <c r="K209" s="32">
        <f t="shared" si="16"/>
        <v>0.9642857142857143</v>
      </c>
      <c r="L209" s="72"/>
      <c r="M209" s="72"/>
      <c r="N209" s="72"/>
      <c r="O209" s="72" t="s">
        <v>1491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1074</v>
      </c>
      <c r="D210" t="s">
        <v>14</v>
      </c>
      <c r="E210" s="30" t="s">
        <v>15</v>
      </c>
      <c r="F210" s="30" t="s">
        <v>1067</v>
      </c>
      <c r="G210" s="30"/>
      <c r="H210" s="30" t="s">
        <v>736</v>
      </c>
      <c r="I210" s="31">
        <f t="shared" si="14"/>
        <v>17</v>
      </c>
      <c r="J210" s="31">
        <f t="shared" si="15"/>
        <v>11</v>
      </c>
      <c r="K210" s="32">
        <f t="shared" si="16"/>
        <v>0.6071428571428571</v>
      </c>
      <c r="L210" s="72" t="s">
        <v>1491</v>
      </c>
      <c r="M210" s="72" t="s">
        <v>1491</v>
      </c>
      <c r="N210" s="72" t="s">
        <v>1491</v>
      </c>
      <c r="O210" s="72" t="s">
        <v>1491</v>
      </c>
      <c r="P210" s="72" t="s">
        <v>1491</v>
      </c>
      <c r="Q210" s="72" t="s">
        <v>1491</v>
      </c>
      <c r="R210" s="72" t="s">
        <v>1491</v>
      </c>
      <c r="S210" s="72" t="s">
        <v>1491</v>
      </c>
      <c r="T210" s="72" t="s">
        <v>1491</v>
      </c>
      <c r="U210" s="72" t="s">
        <v>1491</v>
      </c>
      <c r="V210" s="72" t="s">
        <v>1491</v>
      </c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977</v>
      </c>
      <c r="C211" t="s">
        <v>1074</v>
      </c>
      <c r="D211" t="s">
        <v>978</v>
      </c>
      <c r="E211" s="30" t="s">
        <v>73</v>
      </c>
      <c r="F211" s="30" t="s">
        <v>28</v>
      </c>
      <c r="G211" s="30"/>
      <c r="H211" s="30" t="s">
        <v>1229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979</v>
      </c>
      <c r="B212" t="s">
        <v>980</v>
      </c>
      <c r="C212" t="s">
        <v>1074</v>
      </c>
      <c r="D212" t="s">
        <v>978</v>
      </c>
      <c r="E212" s="30" t="s">
        <v>73</v>
      </c>
      <c r="F212" s="30" t="s">
        <v>28</v>
      </c>
      <c r="G212" s="30"/>
      <c r="H212" s="30" t="s">
        <v>1230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1074</v>
      </c>
      <c r="D213" t="s">
        <v>1100</v>
      </c>
      <c r="E213" s="30" t="s">
        <v>19</v>
      </c>
      <c r="F213" s="30" t="s">
        <v>28</v>
      </c>
      <c r="G213" s="30"/>
      <c r="H213" s="30" t="s">
        <v>1393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1491</v>
      </c>
      <c r="M213" s="72" t="s">
        <v>1491</v>
      </c>
      <c r="N213" s="72" t="s">
        <v>1491</v>
      </c>
      <c r="O213" s="72" t="s">
        <v>1491</v>
      </c>
      <c r="P213" s="72" t="s">
        <v>1491</v>
      </c>
      <c r="Q213" s="72" t="s">
        <v>1491</v>
      </c>
      <c r="R213" s="72" t="s">
        <v>1491</v>
      </c>
      <c r="S213" s="72" t="s">
        <v>1491</v>
      </c>
      <c r="T213" s="72" t="s">
        <v>1491</v>
      </c>
      <c r="U213" s="72" t="s">
        <v>1491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1074</v>
      </c>
      <c r="D214" t="s">
        <v>22</v>
      </c>
      <c r="E214" s="30" t="s">
        <v>19</v>
      </c>
      <c r="F214" s="30" t="s">
        <v>28</v>
      </c>
      <c r="G214" s="30"/>
      <c r="H214" s="30" t="s">
        <v>1394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1074</v>
      </c>
      <c r="D215" t="s">
        <v>611</v>
      </c>
      <c r="E215" s="30" t="s">
        <v>15</v>
      </c>
      <c r="F215" s="30" t="s">
        <v>1067</v>
      </c>
      <c r="G215" s="30" t="s">
        <v>1267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1491</v>
      </c>
      <c r="M215" s="72" t="s">
        <v>1491</v>
      </c>
      <c r="N215" s="72"/>
      <c r="O215" s="72"/>
      <c r="P215" s="72" t="s">
        <v>1491</v>
      </c>
      <c r="Q215" s="72" t="s">
        <v>1491</v>
      </c>
      <c r="R215" s="72" t="s">
        <v>1491</v>
      </c>
      <c r="S215" s="72" t="s">
        <v>1491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1074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1244</v>
      </c>
      <c r="C217" t="s">
        <v>1073</v>
      </c>
      <c r="D217" t="s">
        <v>1245</v>
      </c>
      <c r="E217" t="s">
        <v>19</v>
      </c>
      <c r="F217" t="s">
        <v>28</v>
      </c>
      <c r="G217"/>
      <c r="H217" s="30" t="s">
        <v>1285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1491</v>
      </c>
      <c r="M217" s="72"/>
      <c r="N217" s="72"/>
      <c r="O217" s="72"/>
      <c r="P217" s="72"/>
      <c r="Q217" s="72"/>
      <c r="R217" s="72"/>
      <c r="S217" s="72"/>
      <c r="T217" s="72"/>
      <c r="U217" s="72" t="s">
        <v>1491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1330</v>
      </c>
      <c r="C218" t="s">
        <v>1073</v>
      </c>
      <c r="D218" t="s">
        <v>1333</v>
      </c>
      <c r="E218" s="30" t="s">
        <v>15</v>
      </c>
      <c r="F218" s="30" t="s">
        <v>28</v>
      </c>
      <c r="G218"/>
      <c r="H218" s="30" t="s">
        <v>1345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1491</v>
      </c>
      <c r="M218" s="72" t="s">
        <v>1491</v>
      </c>
      <c r="N218" s="72" t="s">
        <v>1491</v>
      </c>
      <c r="O218" s="72" t="s">
        <v>1491</v>
      </c>
      <c r="P218" s="72" t="s">
        <v>1491</v>
      </c>
      <c r="Q218" s="72" t="s">
        <v>1491</v>
      </c>
      <c r="R218" s="72" t="s">
        <v>1491</v>
      </c>
      <c r="S218" s="72" t="s">
        <v>1491</v>
      </c>
      <c r="T218" s="72" t="s">
        <v>1491</v>
      </c>
      <c r="U218" s="72" t="s">
        <v>1491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981</v>
      </c>
      <c r="C219" t="s">
        <v>1073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1073</v>
      </c>
      <c r="D220" t="s">
        <v>294</v>
      </c>
      <c r="E220" s="30" t="s">
        <v>73</v>
      </c>
      <c r="F220" s="30" t="s">
        <v>28</v>
      </c>
      <c r="G220" s="30"/>
      <c r="H220" s="30" t="s">
        <v>1071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982</v>
      </c>
      <c r="C221" t="s">
        <v>1073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1073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983</v>
      </c>
      <c r="C223" t="s">
        <v>1073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1073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1258</v>
      </c>
      <c r="C225" t="s">
        <v>1073</v>
      </c>
      <c r="D225" t="s">
        <v>1259</v>
      </c>
      <c r="E225" s="30" t="s">
        <v>19</v>
      </c>
      <c r="F225" s="30" t="s">
        <v>1067</v>
      </c>
      <c r="G225" s="30"/>
      <c r="H225" s="30" t="s">
        <v>1260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1297</v>
      </c>
      <c r="C226" t="s">
        <v>1073</v>
      </c>
      <c r="D226" t="s">
        <v>1298</v>
      </c>
      <c r="E226" s="30" t="s">
        <v>19</v>
      </c>
      <c r="F226" s="30" t="s">
        <v>1067</v>
      </c>
      <c r="G226" s="30"/>
      <c r="H226" s="30" t="s">
        <v>1375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1073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1073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1491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1073</v>
      </c>
      <c r="D229" t="s">
        <v>308</v>
      </c>
      <c r="E229" s="30" t="s">
        <v>19</v>
      </c>
      <c r="F229" s="30" t="s">
        <v>20</v>
      </c>
      <c r="G229" s="30"/>
      <c r="H229" s="30" t="s">
        <v>1460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1491</v>
      </c>
      <c r="M229" s="72"/>
      <c r="N229" s="72"/>
      <c r="O229" s="72"/>
      <c r="P229" s="72"/>
      <c r="Q229" s="72"/>
      <c r="R229" s="72"/>
      <c r="S229" s="72"/>
      <c r="T229" s="72"/>
      <c r="U229" s="72" t="s">
        <v>1491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1073</v>
      </c>
      <c r="D230" t="s">
        <v>310</v>
      </c>
      <c r="E230" s="30" t="s">
        <v>19</v>
      </c>
      <c r="F230" s="30" t="s">
        <v>20</v>
      </c>
      <c r="G230" s="30"/>
      <c r="H230" s="30" t="s">
        <v>1447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984</v>
      </c>
      <c r="C231" t="s">
        <v>1073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25</v>
      </c>
      <c r="J231" s="31">
        <f t="shared" si="15"/>
        <v>3</v>
      </c>
      <c r="K231" s="32">
        <f t="shared" si="16"/>
        <v>0.8928571428571429</v>
      </c>
      <c r="L231" s="72"/>
      <c r="M231" s="72"/>
      <c r="N231" s="72"/>
      <c r="O231" s="72"/>
      <c r="P231" s="72"/>
      <c r="Q231" s="72"/>
      <c r="R231" s="72" t="s">
        <v>1491</v>
      </c>
      <c r="S231" s="72" t="s">
        <v>1491</v>
      </c>
      <c r="T231" s="72" t="s">
        <v>1491</v>
      </c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1073</v>
      </c>
      <c r="D232" t="s">
        <v>316</v>
      </c>
      <c r="E232" s="30" t="s">
        <v>19</v>
      </c>
      <c r="F232" s="30" t="s">
        <v>28</v>
      </c>
      <c r="G232" s="30"/>
      <c r="H232" s="30" t="s">
        <v>1388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1073</v>
      </c>
      <c r="D233" t="s">
        <v>318</v>
      </c>
      <c r="E233" s="30" t="s">
        <v>19</v>
      </c>
      <c r="F233" s="30" t="s">
        <v>1067</v>
      </c>
      <c r="G233" s="30" t="s">
        <v>1268</v>
      </c>
      <c r="H233" s="30" t="s">
        <v>747</v>
      </c>
      <c r="I233" s="31">
        <f t="shared" si="14"/>
        <v>25</v>
      </c>
      <c r="J233" s="31">
        <f t="shared" si="15"/>
        <v>3</v>
      </c>
      <c r="K233" s="32">
        <f t="shared" si="16"/>
        <v>0.8928571428571429</v>
      </c>
      <c r="L233" s="72"/>
      <c r="M233" s="72"/>
      <c r="N233" s="72"/>
      <c r="O233" s="72"/>
      <c r="P233" s="72"/>
      <c r="Q233" s="72"/>
      <c r="R233" s="72" t="s">
        <v>1491</v>
      </c>
      <c r="S233" s="72" t="s">
        <v>1491</v>
      </c>
      <c r="T233" s="72" t="s">
        <v>1491</v>
      </c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1073</v>
      </c>
      <c r="D234" t="s">
        <v>320</v>
      </c>
      <c r="E234" s="30" t="s">
        <v>19</v>
      </c>
      <c r="F234" s="30" t="s">
        <v>28</v>
      </c>
      <c r="G234" s="30"/>
      <c r="H234" s="30" t="s">
        <v>1378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1073</v>
      </c>
      <c r="D235" t="s">
        <v>323</v>
      </c>
      <c r="E235" s="30" t="s">
        <v>19</v>
      </c>
      <c r="F235" s="30" t="s">
        <v>28</v>
      </c>
      <c r="G235" s="30"/>
      <c r="H235" s="79" t="s">
        <v>1379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1073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25</v>
      </c>
      <c r="J236" s="31">
        <f t="shared" si="15"/>
        <v>3</v>
      </c>
      <c r="K236" s="32">
        <f t="shared" si="16"/>
        <v>0.8928571428571429</v>
      </c>
      <c r="L236" s="72"/>
      <c r="M236" s="72"/>
      <c r="N236" s="72"/>
      <c r="O236" s="72"/>
      <c r="P236" s="72"/>
      <c r="Q236" s="72"/>
      <c r="R236" s="72" t="s">
        <v>1491</v>
      </c>
      <c r="S236" s="72" t="s">
        <v>1491</v>
      </c>
      <c r="T236" s="72" t="s">
        <v>1491</v>
      </c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1073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1073</v>
      </c>
      <c r="D238" t="s">
        <v>313</v>
      </c>
      <c r="E238" s="30" t="s">
        <v>15</v>
      </c>
      <c r="F238" s="30" t="s">
        <v>28</v>
      </c>
      <c r="G238" s="30"/>
      <c r="H238" s="30" t="s">
        <v>1387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1073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1356</v>
      </c>
      <c r="C240" t="s">
        <v>1073</v>
      </c>
      <c r="D240" t="s">
        <v>1357</v>
      </c>
      <c r="E240" s="30"/>
      <c r="F240" s="30"/>
      <c r="G240" s="30"/>
      <c r="H240" s="30" t="s">
        <v>1373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1074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1074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1074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1074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1074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1073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1073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27</v>
      </c>
      <c r="J247" s="31">
        <f t="shared" si="15"/>
        <v>1</v>
      </c>
      <c r="K247" s="32">
        <f t="shared" si="16"/>
        <v>0.9642857142857143</v>
      </c>
      <c r="L247" s="72"/>
      <c r="M247" s="72"/>
      <c r="N247" s="72" t="s">
        <v>1491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986</v>
      </c>
      <c r="C248" t="s">
        <v>1073</v>
      </c>
      <c r="D248" t="s">
        <v>987</v>
      </c>
      <c r="E248" s="30" t="s">
        <v>73</v>
      </c>
      <c r="F248" s="30" t="s">
        <v>28</v>
      </c>
      <c r="G248" s="30"/>
      <c r="H248" s="30" t="s">
        <v>1286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1074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19</v>
      </c>
      <c r="J249" s="31">
        <f t="shared" si="15"/>
        <v>9</v>
      </c>
      <c r="K249" s="32">
        <f t="shared" si="16"/>
        <v>0.6785714285714286</v>
      </c>
      <c r="L249" s="72" t="s">
        <v>1491</v>
      </c>
      <c r="M249" s="72" t="s">
        <v>1491</v>
      </c>
      <c r="N249" s="72" t="s">
        <v>1491</v>
      </c>
      <c r="O249" s="72" t="s">
        <v>1491</v>
      </c>
      <c r="P249" s="72" t="s">
        <v>1491</v>
      </c>
      <c r="Q249" s="72" t="s">
        <v>1491</v>
      </c>
      <c r="R249" s="72" t="s">
        <v>1491</v>
      </c>
      <c r="S249" s="72"/>
      <c r="T249" s="72"/>
      <c r="U249" s="72" t="s">
        <v>1491</v>
      </c>
      <c r="V249" s="72" t="s">
        <v>1491</v>
      </c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1074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1491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1308</v>
      </c>
      <c r="C251" t="s">
        <v>1074</v>
      </c>
      <c r="D251" t="s">
        <v>988</v>
      </c>
      <c r="E251" s="30" t="s">
        <v>73</v>
      </c>
      <c r="F251" s="30" t="s">
        <v>28</v>
      </c>
      <c r="G251" s="30"/>
      <c r="H251" s="30" t="s">
        <v>1287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1491</v>
      </c>
      <c r="S251" s="72"/>
      <c r="T251" s="72"/>
      <c r="U251" s="72"/>
      <c r="V251" s="72" t="s">
        <v>1491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1074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1491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1074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1491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1307</v>
      </c>
      <c r="C254" t="s">
        <v>1074</v>
      </c>
      <c r="D254" t="s">
        <v>989</v>
      </c>
      <c r="E254" s="30" t="s">
        <v>19</v>
      </c>
      <c r="F254" s="30" t="s">
        <v>28</v>
      </c>
      <c r="G254" s="30"/>
      <c r="H254" s="30" t="s">
        <v>1288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1491</v>
      </c>
      <c r="S254" s="72" t="s">
        <v>1491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1074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28</v>
      </c>
      <c r="J255" s="31">
        <f t="shared" si="15"/>
        <v>0</v>
      </c>
      <c r="K255" s="32">
        <f t="shared" si="16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1074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990</v>
      </c>
      <c r="C257" t="s">
        <v>1074</v>
      </c>
      <c r="D257" t="s">
        <v>991</v>
      </c>
      <c r="E257" s="30" t="s">
        <v>73</v>
      </c>
      <c r="F257" s="30" t="s">
        <v>28</v>
      </c>
      <c r="G257" s="30"/>
      <c r="H257" s="30" t="s">
        <v>1289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1074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1074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992</v>
      </c>
      <c r="C260" t="s">
        <v>1074</v>
      </c>
      <c r="D260" t="s">
        <v>353</v>
      </c>
      <c r="E260" s="30" t="s">
        <v>19</v>
      </c>
      <c r="F260" s="30" t="s">
        <v>28</v>
      </c>
      <c r="G260" s="30"/>
      <c r="H260" s="30" t="s">
        <v>1290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985</v>
      </c>
      <c r="C261" t="s">
        <v>1074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1074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1491</v>
      </c>
      <c r="N262" s="72" t="s">
        <v>1491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1074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18</v>
      </c>
      <c r="J263" s="31">
        <f t="shared" si="15"/>
        <v>10</v>
      </c>
      <c r="K263" s="32">
        <f t="shared" si="16"/>
        <v>0.6428571428571429</v>
      </c>
      <c r="L263" s="72" t="s">
        <v>1491</v>
      </c>
      <c r="M263" s="72" t="s">
        <v>1491</v>
      </c>
      <c r="N263" s="72" t="s">
        <v>1491</v>
      </c>
      <c r="O263" s="72" t="s">
        <v>1491</v>
      </c>
      <c r="P263" s="72" t="s">
        <v>1491</v>
      </c>
      <c r="Q263" s="72" t="s">
        <v>1491</v>
      </c>
      <c r="R263" s="72" t="s">
        <v>1491</v>
      </c>
      <c r="S263" s="72" t="s">
        <v>1491</v>
      </c>
      <c r="T263" s="72"/>
      <c r="U263" s="72" t="s">
        <v>1491</v>
      </c>
      <c r="V263" s="72" t="s">
        <v>1491</v>
      </c>
      <c r="W263" s="72"/>
      <c r="X263" s="72"/>
      <c r="Y263" s="72"/>
      <c r="Z263" s="72"/>
      <c r="AA263" s="72"/>
      <c r="AB263" s="72"/>
      <c r="AC263" s="72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993</v>
      </c>
      <c r="C264" t="s">
        <v>1074</v>
      </c>
      <c r="D264" t="s">
        <v>994</v>
      </c>
      <c r="E264" s="30" t="s">
        <v>73</v>
      </c>
      <c r="F264" s="30" t="s">
        <v>28</v>
      </c>
      <c r="G264" s="30"/>
      <c r="H264" s="30" t="s">
        <v>1291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1491</v>
      </c>
      <c r="N264" s="72" t="s">
        <v>1491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1220</v>
      </c>
      <c r="C265" t="s">
        <v>1074</v>
      </c>
      <c r="D265" t="s">
        <v>1221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1074</v>
      </c>
      <c r="D266" t="s">
        <v>1221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995</v>
      </c>
      <c r="C267" t="s">
        <v>1074</v>
      </c>
      <c r="D267" t="s">
        <v>996</v>
      </c>
      <c r="E267" s="30" t="s">
        <v>19</v>
      </c>
      <c r="F267" s="30" t="s">
        <v>28</v>
      </c>
      <c r="G267" s="30"/>
      <c r="H267" s="30" t="s">
        <v>1292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1074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22</v>
      </c>
      <c r="J268" s="31">
        <f t="shared" si="18"/>
        <v>6</v>
      </c>
      <c r="K268" s="32">
        <f t="shared" si="19"/>
        <v>0.7857142857142857</v>
      </c>
      <c r="L268" s="72"/>
      <c r="M268" s="72"/>
      <c r="N268" s="72" t="s">
        <v>1491</v>
      </c>
      <c r="O268" s="72" t="s">
        <v>1491</v>
      </c>
      <c r="P268" s="72" t="s">
        <v>1491</v>
      </c>
      <c r="Q268" s="72" t="s">
        <v>1491</v>
      </c>
      <c r="R268" s="72" t="s">
        <v>1491</v>
      </c>
      <c r="S268" s="72" t="s">
        <v>1491</v>
      </c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1074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997</v>
      </c>
      <c r="C270" t="s">
        <v>1074</v>
      </c>
      <c r="D270" t="s">
        <v>998</v>
      </c>
      <c r="E270" s="30" t="s">
        <v>73</v>
      </c>
      <c r="F270" s="30" t="s">
        <v>28</v>
      </c>
      <c r="G270" s="30"/>
      <c r="H270" s="30" t="s">
        <v>1293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1304</v>
      </c>
      <c r="C271" t="s">
        <v>1074</v>
      </c>
      <c r="D271" t="s">
        <v>1000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1305</v>
      </c>
      <c r="C272" t="s">
        <v>1074</v>
      </c>
      <c r="D272" t="s">
        <v>1000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999</v>
      </c>
      <c r="C273" t="s">
        <v>1074</v>
      </c>
      <c r="D273" t="s">
        <v>1000</v>
      </c>
      <c r="E273" s="30" t="s">
        <v>73</v>
      </c>
      <c r="F273" s="30" t="s">
        <v>28</v>
      </c>
      <c r="G273" s="30"/>
      <c r="H273" s="30" t="s">
        <v>1306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1074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1001</v>
      </c>
      <c r="C275" t="s">
        <v>1074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1074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1074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1074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1074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1349</v>
      </c>
      <c r="C280" t="s">
        <v>1073</v>
      </c>
      <c r="D280" t="s">
        <v>1350</v>
      </c>
      <c r="E280" s="30"/>
      <c r="F280" s="30" t="s">
        <v>28</v>
      </c>
      <c r="G280" s="30"/>
      <c r="H280" s="30" t="s">
        <v>1361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1395</v>
      </c>
      <c r="C281" t="s">
        <v>1073</v>
      </c>
      <c r="D281" s="70" t="s">
        <v>1398</v>
      </c>
      <c r="E281" s="30" t="s">
        <v>19</v>
      </c>
      <c r="F281" s="30" t="s">
        <v>28</v>
      </c>
      <c r="G281" s="30"/>
      <c r="H281" s="30" t="s">
        <v>1410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1396</v>
      </c>
      <c r="C282" t="s">
        <v>1073</v>
      </c>
      <c r="D282" s="70" t="s">
        <v>1399</v>
      </c>
      <c r="E282" s="30" t="s">
        <v>73</v>
      </c>
      <c r="F282" s="30" t="s">
        <v>28</v>
      </c>
      <c r="G282" s="30"/>
      <c r="H282" s="30" t="s">
        <v>1411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1397</v>
      </c>
      <c r="C283" t="s">
        <v>1073</v>
      </c>
      <c r="D283" s="70" t="s">
        <v>1400</v>
      </c>
      <c r="E283" s="30" t="s">
        <v>73</v>
      </c>
      <c r="F283" s="30" t="s">
        <v>28</v>
      </c>
      <c r="G283" s="30"/>
      <c r="H283" s="30" t="s">
        <v>1412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1011</v>
      </c>
      <c r="C284" s="75" t="s">
        <v>1074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1012</v>
      </c>
      <c r="C285" t="s">
        <v>1074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1074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1074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1002</v>
      </c>
      <c r="C288" t="s">
        <v>1074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1003</v>
      </c>
      <c r="C289" t="s">
        <v>1074</v>
      </c>
      <c r="D289" t="s">
        <v>1004</v>
      </c>
      <c r="E289" s="30" t="s">
        <v>19</v>
      </c>
      <c r="F289" s="30" t="s">
        <v>28</v>
      </c>
      <c r="G289" s="30"/>
      <c r="H289" s="30" t="s">
        <v>916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1005</v>
      </c>
      <c r="C290" t="s">
        <v>1074</v>
      </c>
      <c r="D290" t="s">
        <v>1006</v>
      </c>
      <c r="E290" s="30" t="s">
        <v>19</v>
      </c>
      <c r="F290" s="30" t="s">
        <v>28</v>
      </c>
      <c r="G290" s="30"/>
      <c r="H290" s="30" t="s">
        <v>917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1007</v>
      </c>
      <c r="C291" t="s">
        <v>1074</v>
      </c>
      <c r="D291" t="s">
        <v>1008</v>
      </c>
      <c r="E291" s="30" t="s">
        <v>19</v>
      </c>
      <c r="F291" s="30" t="s">
        <v>28</v>
      </c>
      <c r="G291" s="30"/>
      <c r="H291" s="30" t="s">
        <v>918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1009</v>
      </c>
      <c r="C292" t="s">
        <v>1074</v>
      </c>
      <c r="D292" t="s">
        <v>1010</v>
      </c>
      <c r="E292" s="30" t="s">
        <v>19</v>
      </c>
      <c r="F292" s="30" t="s">
        <v>28</v>
      </c>
      <c r="G292" s="30"/>
      <c r="H292" s="30" t="s">
        <v>919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1185</v>
      </c>
      <c r="C293" t="s">
        <v>1074</v>
      </c>
      <c r="D293" t="s">
        <v>1168</v>
      </c>
      <c r="E293" s="30" t="s">
        <v>19</v>
      </c>
      <c r="F293" s="30" t="s">
        <v>28</v>
      </c>
      <c r="G293" s="30"/>
      <c r="H293" s="30" t="s">
        <v>1170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1186</v>
      </c>
      <c r="C294" t="s">
        <v>1074</v>
      </c>
      <c r="D294" t="s">
        <v>1168</v>
      </c>
      <c r="E294" s="30" t="s">
        <v>19</v>
      </c>
      <c r="F294" s="30" t="s">
        <v>28</v>
      </c>
      <c r="G294" s="30"/>
      <c r="H294" s="30" t="s">
        <v>1171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1204</v>
      </c>
      <c r="C295" t="s">
        <v>1074</v>
      </c>
      <c r="D295" t="s">
        <v>1167</v>
      </c>
      <c r="E295" s="30" t="s">
        <v>15</v>
      </c>
      <c r="F295" s="30" t="s">
        <v>28</v>
      </c>
      <c r="G295" s="30"/>
      <c r="H295" s="30" t="s">
        <v>1169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1309</v>
      </c>
      <c r="C296" t="s">
        <v>1074</v>
      </c>
      <c r="D296" t="s">
        <v>1310</v>
      </c>
      <c r="E296" s="30" t="s">
        <v>73</v>
      </c>
      <c r="F296" s="30" t="s">
        <v>28</v>
      </c>
      <c r="G296" s="30"/>
      <c r="H296" s="30" t="s">
        <v>1426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1401</v>
      </c>
      <c r="C297" t="s">
        <v>1074</v>
      </c>
      <c r="D297" s="70" t="s">
        <v>1404</v>
      </c>
      <c r="E297" s="30" t="s">
        <v>15</v>
      </c>
      <c r="F297" s="30" t="s">
        <v>1067</v>
      </c>
      <c r="G297" s="30"/>
      <c r="H297" s="30" t="s">
        <v>1408</v>
      </c>
      <c r="I297" s="31">
        <f t="shared" si="17"/>
        <v>17</v>
      </c>
      <c r="J297" s="31">
        <f t="shared" si="18"/>
        <v>11</v>
      </c>
      <c r="K297" s="32">
        <f t="shared" si="19"/>
        <v>0.6071428571428571</v>
      </c>
      <c r="L297" s="72" t="s">
        <v>1491</v>
      </c>
      <c r="M297" s="72" t="s">
        <v>1491</v>
      </c>
      <c r="N297" s="72" t="s">
        <v>1491</v>
      </c>
      <c r="O297" s="72" t="s">
        <v>1491</v>
      </c>
      <c r="P297" s="72" t="s">
        <v>1491</v>
      </c>
      <c r="Q297" s="72" t="s">
        <v>1491</v>
      </c>
      <c r="R297" s="72" t="s">
        <v>1491</v>
      </c>
      <c r="S297" s="72" t="s">
        <v>1491</v>
      </c>
      <c r="T297" s="72" t="s">
        <v>1491</v>
      </c>
      <c r="U297" s="72" t="s">
        <v>1491</v>
      </c>
      <c r="V297" s="72" t="s">
        <v>1491</v>
      </c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1402</v>
      </c>
      <c r="C298" t="s">
        <v>1074</v>
      </c>
      <c r="D298" s="70" t="s">
        <v>1405</v>
      </c>
      <c r="E298" s="30" t="s">
        <v>73</v>
      </c>
      <c r="F298" s="30" t="s">
        <v>1067</v>
      </c>
      <c r="G298" s="30"/>
      <c r="H298" s="30" t="s">
        <v>1409</v>
      </c>
      <c r="I298" s="31">
        <f t="shared" si="17"/>
        <v>17</v>
      </c>
      <c r="J298" s="31">
        <f t="shared" si="18"/>
        <v>11</v>
      </c>
      <c r="K298" s="32">
        <f t="shared" si="19"/>
        <v>0.6071428571428571</v>
      </c>
      <c r="L298" s="72" t="s">
        <v>1491</v>
      </c>
      <c r="M298" s="72" t="s">
        <v>1491</v>
      </c>
      <c r="N298" s="72" t="s">
        <v>1491</v>
      </c>
      <c r="O298" s="72" t="s">
        <v>1491</v>
      </c>
      <c r="P298" s="72" t="s">
        <v>1491</v>
      </c>
      <c r="Q298" s="72" t="s">
        <v>1491</v>
      </c>
      <c r="R298" s="72" t="s">
        <v>1491</v>
      </c>
      <c r="S298" s="72" t="s">
        <v>1491</v>
      </c>
      <c r="T298" s="72" t="s">
        <v>1491</v>
      </c>
      <c r="U298" s="72" t="s">
        <v>1491</v>
      </c>
      <c r="V298" s="72" t="s">
        <v>1491</v>
      </c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1403</v>
      </c>
      <c r="C299" t="s">
        <v>1074</v>
      </c>
      <c r="D299" s="70" t="s">
        <v>1406</v>
      </c>
      <c r="E299" s="30" t="s">
        <v>15</v>
      </c>
      <c r="F299" s="30" t="s">
        <v>28</v>
      </c>
      <c r="G299" s="30"/>
      <c r="H299" s="30" t="s">
        <v>1413</v>
      </c>
      <c r="I299" s="31">
        <f t="shared" si="17"/>
        <v>17</v>
      </c>
      <c r="J299" s="31">
        <f t="shared" si="18"/>
        <v>11</v>
      </c>
      <c r="K299" s="32">
        <f t="shared" si="19"/>
        <v>0.6071428571428571</v>
      </c>
      <c r="L299" s="72" t="s">
        <v>1491</v>
      </c>
      <c r="M299" s="72" t="s">
        <v>1491</v>
      </c>
      <c r="N299" s="72" t="s">
        <v>1491</v>
      </c>
      <c r="O299" s="72" t="s">
        <v>1491</v>
      </c>
      <c r="P299" s="72" t="s">
        <v>1491</v>
      </c>
      <c r="Q299" s="72" t="s">
        <v>1491</v>
      </c>
      <c r="R299" s="72" t="s">
        <v>1491</v>
      </c>
      <c r="S299" s="72" t="s">
        <v>1491</v>
      </c>
      <c r="T299" s="72" t="s">
        <v>1491</v>
      </c>
      <c r="U299" s="72" t="s">
        <v>1491</v>
      </c>
      <c r="V299" s="72" t="s">
        <v>1491</v>
      </c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909</v>
      </c>
      <c r="B300" t="s">
        <v>1013</v>
      </c>
      <c r="C300" t="s">
        <v>1074</v>
      </c>
      <c r="D300" t="s">
        <v>1014</v>
      </c>
      <c r="E300" s="30" t="s">
        <v>1068</v>
      </c>
      <c r="F300" s="30" t="s">
        <v>28</v>
      </c>
      <c r="G300" s="30"/>
      <c r="H300" s="30" t="s">
        <v>911</v>
      </c>
      <c r="I300" s="31">
        <f t="shared" si="17"/>
        <v>17</v>
      </c>
      <c r="J300" s="31">
        <f t="shared" si="18"/>
        <v>11</v>
      </c>
      <c r="K300" s="32">
        <f t="shared" si="19"/>
        <v>0.6071428571428571</v>
      </c>
      <c r="L300" s="72" t="s">
        <v>1491</v>
      </c>
      <c r="M300" s="72" t="s">
        <v>1491</v>
      </c>
      <c r="N300" s="72" t="s">
        <v>1491</v>
      </c>
      <c r="O300" s="72" t="s">
        <v>1491</v>
      </c>
      <c r="P300" s="72" t="s">
        <v>1491</v>
      </c>
      <c r="Q300" s="72" t="s">
        <v>1491</v>
      </c>
      <c r="R300" s="72" t="s">
        <v>1491</v>
      </c>
      <c r="S300" s="72" t="s">
        <v>1491</v>
      </c>
      <c r="T300" s="72" t="s">
        <v>1491</v>
      </c>
      <c r="U300" s="72" t="s">
        <v>1491</v>
      </c>
      <c r="V300" s="72" t="s">
        <v>1491</v>
      </c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909</v>
      </c>
      <c r="B301" t="s">
        <v>908</v>
      </c>
      <c r="C301" t="s">
        <v>1074</v>
      </c>
      <c r="D301" t="s">
        <v>1014</v>
      </c>
      <c r="E301" s="30" t="s">
        <v>1069</v>
      </c>
      <c r="F301" s="30" t="s">
        <v>28</v>
      </c>
      <c r="G301" s="30"/>
      <c r="H301" s="30" t="s">
        <v>910</v>
      </c>
      <c r="I301" s="31">
        <f t="shared" si="17"/>
        <v>17</v>
      </c>
      <c r="J301" s="31">
        <f t="shared" si="18"/>
        <v>11</v>
      </c>
      <c r="K301" s="32">
        <f t="shared" si="19"/>
        <v>0.6071428571428571</v>
      </c>
      <c r="L301" s="72" t="s">
        <v>1491</v>
      </c>
      <c r="M301" s="72" t="s">
        <v>1491</v>
      </c>
      <c r="N301" s="72" t="s">
        <v>1491</v>
      </c>
      <c r="O301" s="72" t="s">
        <v>1491</v>
      </c>
      <c r="P301" s="72" t="s">
        <v>1491</v>
      </c>
      <c r="Q301" s="72" t="s">
        <v>1491</v>
      </c>
      <c r="R301" s="72" t="s">
        <v>1491</v>
      </c>
      <c r="S301" s="72" t="s">
        <v>1491</v>
      </c>
      <c r="T301" s="72" t="s">
        <v>1491</v>
      </c>
      <c r="U301" s="72" t="s">
        <v>1491</v>
      </c>
      <c r="V301" s="72" t="s">
        <v>1491</v>
      </c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1073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1015</v>
      </c>
      <c r="C303" t="s">
        <v>1073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2"/>
      <c r="M303" s="72" t="s">
        <v>1491</v>
      </c>
      <c r="N303" s="72"/>
      <c r="O303" s="72"/>
      <c r="P303" s="72"/>
      <c r="Q303" s="72" t="s">
        <v>1491</v>
      </c>
      <c r="R303" s="72" t="s">
        <v>1491</v>
      </c>
      <c r="S303" s="72" t="s">
        <v>1491</v>
      </c>
      <c r="T303" s="72" t="s">
        <v>1491</v>
      </c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1016</v>
      </c>
      <c r="C304" t="s">
        <v>1073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2"/>
      <c r="M304" s="72" t="s">
        <v>1491</v>
      </c>
      <c r="N304" s="72"/>
      <c r="O304" s="72"/>
      <c r="P304" s="72"/>
      <c r="Q304" s="72" t="s">
        <v>1491</v>
      </c>
      <c r="R304" s="72" t="s">
        <v>1491</v>
      </c>
      <c r="S304" s="72" t="s">
        <v>1491</v>
      </c>
      <c r="T304" s="72" t="s">
        <v>1491</v>
      </c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1017</v>
      </c>
      <c r="C305" t="s">
        <v>1073</v>
      </c>
      <c r="D305" t="s">
        <v>1018</v>
      </c>
      <c r="E305" s="30" t="s">
        <v>19</v>
      </c>
      <c r="F305" s="30" t="s">
        <v>28</v>
      </c>
      <c r="G305" s="30"/>
      <c r="H305" s="30" t="s">
        <v>1516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1019</v>
      </c>
      <c r="C306" t="s">
        <v>1073</v>
      </c>
      <c r="D306" t="s">
        <v>1020</v>
      </c>
      <c r="E306" s="30" t="s">
        <v>19</v>
      </c>
      <c r="F306" s="30" t="s">
        <v>28</v>
      </c>
      <c r="G306" s="30"/>
      <c r="H306" s="30" t="s">
        <v>1231</v>
      </c>
      <c r="I306" s="31">
        <f t="shared" si="17"/>
        <v>25</v>
      </c>
      <c r="J306" s="31">
        <f t="shared" si="18"/>
        <v>3</v>
      </c>
      <c r="K306" s="32">
        <f t="shared" si="19"/>
        <v>0.8928571428571429</v>
      </c>
      <c r="L306" s="72" t="s">
        <v>1491</v>
      </c>
      <c r="M306" s="72" t="s">
        <v>1491</v>
      </c>
      <c r="N306" s="72"/>
      <c r="O306" s="72"/>
      <c r="P306" s="72"/>
      <c r="Q306" s="72"/>
      <c r="R306" s="72"/>
      <c r="S306" s="72"/>
      <c r="T306" s="72" t="s">
        <v>1491</v>
      </c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1141</v>
      </c>
      <c r="C307" t="s">
        <v>1073</v>
      </c>
      <c r="D307" t="s">
        <v>1138</v>
      </c>
      <c r="E307" s="30" t="s">
        <v>73</v>
      </c>
      <c r="F307" s="30" t="s">
        <v>28</v>
      </c>
      <c r="G307" s="30"/>
      <c r="H307" s="30" t="s">
        <v>1147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1142</v>
      </c>
      <c r="C308" t="s">
        <v>1073</v>
      </c>
      <c r="D308" t="s">
        <v>1138</v>
      </c>
      <c r="E308" s="30" t="s">
        <v>73</v>
      </c>
      <c r="F308" s="30" t="s">
        <v>28</v>
      </c>
      <c r="G308" s="30"/>
      <c r="H308" s="30" t="s">
        <v>1148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1143</v>
      </c>
      <c r="C309" t="s">
        <v>1073</v>
      </c>
      <c r="D309" t="s">
        <v>1139</v>
      </c>
      <c r="E309" s="30" t="s">
        <v>73</v>
      </c>
      <c r="F309" s="30" t="s">
        <v>28</v>
      </c>
      <c r="G309" s="30"/>
      <c r="H309" s="30" t="s">
        <v>1149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1144</v>
      </c>
      <c r="C310" t="s">
        <v>1073</v>
      </c>
      <c r="D310" t="s">
        <v>1139</v>
      </c>
      <c r="E310" s="30" t="s">
        <v>73</v>
      </c>
      <c r="F310" s="30" t="s">
        <v>28</v>
      </c>
      <c r="G310" s="30"/>
      <c r="H310" s="30" t="s">
        <v>1150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1334</v>
      </c>
      <c r="B311" t="s">
        <v>1246</v>
      </c>
      <c r="C311" t="s">
        <v>1073</v>
      </c>
      <c r="D311" t="s">
        <v>1247</v>
      </c>
      <c r="E311" t="s">
        <v>19</v>
      </c>
      <c r="F311" t="s">
        <v>28</v>
      </c>
      <c r="G311"/>
      <c r="H311" s="30" t="s">
        <v>1253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1491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1334</v>
      </c>
      <c r="B312" t="s">
        <v>1248</v>
      </c>
      <c r="C312" t="s">
        <v>1073</v>
      </c>
      <c r="D312" t="s">
        <v>1249</v>
      </c>
      <c r="E312" t="s">
        <v>19</v>
      </c>
      <c r="F312" t="s">
        <v>28</v>
      </c>
      <c r="G312"/>
      <c r="H312" s="30" t="s">
        <v>1254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1491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1073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1073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1073</v>
      </c>
      <c r="D315" s="97" t="s">
        <v>392</v>
      </c>
      <c r="E315" s="98" t="s">
        <v>19</v>
      </c>
      <c r="F315" s="98" t="s">
        <v>20</v>
      </c>
      <c r="G315" s="98"/>
      <c r="H315" s="98" t="s">
        <v>791</v>
      </c>
      <c r="I315" s="31">
        <f t="shared" si="17"/>
        <v>28</v>
      </c>
      <c r="J315" s="31">
        <f t="shared" si="18"/>
        <v>0</v>
      </c>
      <c r="K315" s="32">
        <f t="shared" si="19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1073</v>
      </c>
      <c r="D316" t="s">
        <v>394</v>
      </c>
      <c r="E316" s="30" t="s">
        <v>19</v>
      </c>
      <c r="F316" s="30" t="s">
        <v>28</v>
      </c>
      <c r="G316" s="30"/>
      <c r="H316" s="30" t="s">
        <v>794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1021</v>
      </c>
      <c r="C317" t="s">
        <v>1073</v>
      </c>
      <c r="D317" t="s">
        <v>395</v>
      </c>
      <c r="E317" s="30" t="s">
        <v>19</v>
      </c>
      <c r="F317" s="30" t="s">
        <v>28</v>
      </c>
      <c r="G317" s="30"/>
      <c r="H317" s="30" t="s">
        <v>795</v>
      </c>
      <c r="I317" s="31">
        <f t="shared" si="17"/>
        <v>17</v>
      </c>
      <c r="J317" s="31">
        <f t="shared" si="18"/>
        <v>11</v>
      </c>
      <c r="K317" s="32">
        <f t="shared" si="19"/>
        <v>0.6071428571428571</v>
      </c>
      <c r="L317" s="72" t="s">
        <v>1491</v>
      </c>
      <c r="M317" s="72" t="s">
        <v>1491</v>
      </c>
      <c r="N317" s="72" t="s">
        <v>1491</v>
      </c>
      <c r="O317" s="72" t="s">
        <v>1491</v>
      </c>
      <c r="P317" s="72" t="s">
        <v>1491</v>
      </c>
      <c r="Q317" s="72" t="s">
        <v>1491</v>
      </c>
      <c r="R317" s="72" t="s">
        <v>1491</v>
      </c>
      <c r="S317" s="72" t="s">
        <v>1491</v>
      </c>
      <c r="T317" s="72" t="s">
        <v>1491</v>
      </c>
      <c r="U317" s="72" t="s">
        <v>1491</v>
      </c>
      <c r="V317" s="72" t="s">
        <v>1491</v>
      </c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1073</v>
      </c>
      <c r="D318" t="s">
        <v>397</v>
      </c>
      <c r="E318" s="30" t="s">
        <v>73</v>
      </c>
      <c r="F318" s="30" t="s">
        <v>28</v>
      </c>
      <c r="G318" s="30"/>
      <c r="H318" s="30" t="s">
        <v>792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1073</v>
      </c>
      <c r="D319" t="s">
        <v>397</v>
      </c>
      <c r="E319" s="30" t="s">
        <v>73</v>
      </c>
      <c r="F319" s="30" t="s">
        <v>28</v>
      </c>
      <c r="G319" s="30"/>
      <c r="H319" s="30" t="s">
        <v>793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1277</v>
      </c>
      <c r="C320" t="s">
        <v>1073</v>
      </c>
      <c r="D320" t="s">
        <v>1278</v>
      </c>
      <c r="E320" s="30" t="s">
        <v>15</v>
      </c>
      <c r="F320" s="30" t="s">
        <v>1067</v>
      </c>
      <c r="G320" s="30" t="s">
        <v>1280</v>
      </c>
      <c r="H320" s="30" t="s">
        <v>1279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1327</v>
      </c>
      <c r="C321" s="87" t="s">
        <v>1074</v>
      </c>
      <c r="D321" t="s">
        <v>1328</v>
      </c>
      <c r="E321" s="30" t="s">
        <v>15</v>
      </c>
      <c r="F321" s="30" t="s">
        <v>1314</v>
      </c>
      <c r="G321" s="30"/>
      <c r="H321" s="30" t="s">
        <v>1329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1073</v>
      </c>
      <c r="D322" s="97" t="s">
        <v>409</v>
      </c>
      <c r="E322" s="98" t="s">
        <v>15</v>
      </c>
      <c r="F322" s="98" t="s">
        <v>20</v>
      </c>
      <c r="G322" s="98"/>
      <c r="H322" s="98" t="s">
        <v>796</v>
      </c>
      <c r="I322" s="31">
        <f t="shared" si="17"/>
        <v>17</v>
      </c>
      <c r="J322" s="31">
        <f t="shared" si="18"/>
        <v>11</v>
      </c>
      <c r="K322" s="32">
        <f t="shared" si="19"/>
        <v>0.6071428571428571</v>
      </c>
      <c r="L322" s="72" t="s">
        <v>1491</v>
      </c>
      <c r="M322" s="72" t="s">
        <v>1491</v>
      </c>
      <c r="N322" s="72" t="s">
        <v>1491</v>
      </c>
      <c r="O322" s="72" t="s">
        <v>1491</v>
      </c>
      <c r="P322" s="72" t="s">
        <v>1491</v>
      </c>
      <c r="Q322" s="72" t="s">
        <v>1491</v>
      </c>
      <c r="R322" s="72" t="s">
        <v>1491</v>
      </c>
      <c r="S322" s="72" t="s">
        <v>1491</v>
      </c>
      <c r="T322" s="72" t="s">
        <v>1491</v>
      </c>
      <c r="U322" s="72" t="s">
        <v>1491</v>
      </c>
      <c r="V322" s="72" t="s">
        <v>1491</v>
      </c>
      <c r="W322" s="72"/>
      <c r="X322" s="72"/>
      <c r="Y322" s="72"/>
      <c r="Z322" s="72"/>
      <c r="AA322" s="72"/>
      <c r="AB322" s="72"/>
      <c r="AC322" s="72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1073</v>
      </c>
      <c r="D323" s="97" t="s">
        <v>400</v>
      </c>
      <c r="E323" s="98" t="s">
        <v>19</v>
      </c>
      <c r="F323" s="98" t="s">
        <v>20</v>
      </c>
      <c r="G323" s="98"/>
      <c r="H323" s="98" t="s">
        <v>797</v>
      </c>
      <c r="I323" s="31">
        <f t="shared" si="17"/>
        <v>17</v>
      </c>
      <c r="J323" s="31">
        <f t="shared" si="18"/>
        <v>11</v>
      </c>
      <c r="K323" s="32">
        <f t="shared" si="19"/>
        <v>0.6071428571428571</v>
      </c>
      <c r="L323" s="72" t="s">
        <v>1491</v>
      </c>
      <c r="M323" s="72" t="s">
        <v>1491</v>
      </c>
      <c r="N323" s="72" t="s">
        <v>1491</v>
      </c>
      <c r="O323" s="72" t="s">
        <v>1491</v>
      </c>
      <c r="P323" s="72" t="s">
        <v>1491</v>
      </c>
      <c r="Q323" s="72" t="s">
        <v>1491</v>
      </c>
      <c r="R323" s="72" t="s">
        <v>1491</v>
      </c>
      <c r="S323" s="72" t="s">
        <v>1491</v>
      </c>
      <c r="T323" s="72" t="s">
        <v>1491</v>
      </c>
      <c r="U323" s="72" t="s">
        <v>1491</v>
      </c>
      <c r="V323" s="72" t="s">
        <v>1491</v>
      </c>
      <c r="W323" s="72"/>
      <c r="X323" s="72"/>
      <c r="Y323" s="72"/>
      <c r="Z323" s="72"/>
      <c r="AA323" s="72"/>
      <c r="AB323" s="72"/>
      <c r="AC323" s="72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1073</v>
      </c>
      <c r="D324" s="97" t="s">
        <v>402</v>
      </c>
      <c r="E324" s="98" t="s">
        <v>15</v>
      </c>
      <c r="F324" s="98" t="s">
        <v>20</v>
      </c>
      <c r="G324" s="98"/>
      <c r="H324" s="98" t="s">
        <v>798</v>
      </c>
      <c r="I324" s="31">
        <f t="shared" si="17"/>
        <v>17</v>
      </c>
      <c r="J324" s="31">
        <f t="shared" si="18"/>
        <v>11</v>
      </c>
      <c r="K324" s="32">
        <f t="shared" si="19"/>
        <v>0.6071428571428571</v>
      </c>
      <c r="L324" s="72" t="s">
        <v>1491</v>
      </c>
      <c r="M324" s="72" t="s">
        <v>1491</v>
      </c>
      <c r="N324" s="72" t="s">
        <v>1491</v>
      </c>
      <c r="O324" s="72" t="s">
        <v>1491</v>
      </c>
      <c r="P324" s="72" t="s">
        <v>1491</v>
      </c>
      <c r="Q324" s="72" t="s">
        <v>1491</v>
      </c>
      <c r="R324" s="72" t="s">
        <v>1491</v>
      </c>
      <c r="S324" s="72" t="s">
        <v>1491</v>
      </c>
      <c r="T324" s="72" t="s">
        <v>1491</v>
      </c>
      <c r="U324" s="72" t="s">
        <v>1491</v>
      </c>
      <c r="V324" s="72" t="s">
        <v>1491</v>
      </c>
      <c r="W324" s="72"/>
      <c r="X324" s="72"/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1073</v>
      </c>
      <c r="D325" t="s">
        <v>405</v>
      </c>
      <c r="E325" s="30" t="s">
        <v>19</v>
      </c>
      <c r="F325" s="30" t="s">
        <v>28</v>
      </c>
      <c r="G325" s="30"/>
      <c r="H325" s="30" t="s">
        <v>799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1073</v>
      </c>
      <c r="D326" t="s">
        <v>405</v>
      </c>
      <c r="E326" s="30" t="s">
        <v>73</v>
      </c>
      <c r="F326" s="30" t="s">
        <v>28</v>
      </c>
      <c r="G326" s="30"/>
      <c r="H326" s="30" t="s">
        <v>800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1073</v>
      </c>
      <c r="D327" t="s">
        <v>405</v>
      </c>
      <c r="E327" s="30" t="s">
        <v>73</v>
      </c>
      <c r="F327" s="30" t="s">
        <v>28</v>
      </c>
      <c r="G327" s="30"/>
      <c r="H327" s="30" t="s">
        <v>801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1073</v>
      </c>
      <c r="D328" t="s">
        <v>412</v>
      </c>
      <c r="E328" s="30" t="s">
        <v>73</v>
      </c>
      <c r="F328" s="30" t="s">
        <v>28</v>
      </c>
      <c r="G328" s="30"/>
      <c r="H328" s="30" t="s">
        <v>802</v>
      </c>
      <c r="I328" s="31">
        <f t="shared" ref="I328:I391" si="20">COUNTIF(L328:AM328,"")</f>
        <v>28</v>
      </c>
      <c r="J328" s="31">
        <f t="shared" ref="J328:J391" si="21">COUNTIF(L328:AM328,"APAGADO")</f>
        <v>0</v>
      </c>
      <c r="K328" s="32">
        <f t="shared" ref="K328:K391" si="22">(I328)/(J328+I328)</f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1073</v>
      </c>
      <c r="D329" t="s">
        <v>412</v>
      </c>
      <c r="E329" s="30" t="s">
        <v>73</v>
      </c>
      <c r="F329" s="30" t="s">
        <v>28</v>
      </c>
      <c r="G329" s="30"/>
      <c r="H329" s="30" t="s">
        <v>803</v>
      </c>
      <c r="I329" s="31">
        <f t="shared" si="20"/>
        <v>28</v>
      </c>
      <c r="J329" s="31">
        <f t="shared" si="21"/>
        <v>0</v>
      </c>
      <c r="K329" s="32">
        <f t="shared" si="22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1073</v>
      </c>
      <c r="D330" t="s">
        <v>415</v>
      </c>
      <c r="E330" s="30" t="s">
        <v>73</v>
      </c>
      <c r="F330" s="30" t="s">
        <v>28</v>
      </c>
      <c r="G330" s="30"/>
      <c r="H330" s="30" t="s">
        <v>804</v>
      </c>
      <c r="I330" s="31">
        <f t="shared" si="20"/>
        <v>27</v>
      </c>
      <c r="J330" s="31">
        <f t="shared" si="21"/>
        <v>1</v>
      </c>
      <c r="K330" s="32">
        <f t="shared" si="22"/>
        <v>0.9642857142857143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1491</v>
      </c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1073</v>
      </c>
      <c r="D331" t="s">
        <v>415</v>
      </c>
      <c r="E331" s="30" t="s">
        <v>73</v>
      </c>
      <c r="F331" s="30" t="s">
        <v>28</v>
      </c>
      <c r="G331" s="30"/>
      <c r="H331" s="30" t="s">
        <v>805</v>
      </c>
      <c r="I331" s="31">
        <f t="shared" si="20"/>
        <v>27</v>
      </c>
      <c r="J331" s="31">
        <f t="shared" si="21"/>
        <v>1</v>
      </c>
      <c r="K331" s="32">
        <f t="shared" si="22"/>
        <v>0.9642857142857143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1491</v>
      </c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1073</v>
      </c>
      <c r="D332" t="s">
        <v>418</v>
      </c>
      <c r="E332" s="30" t="s">
        <v>73</v>
      </c>
      <c r="F332" s="30" t="s">
        <v>28</v>
      </c>
      <c r="G332" s="30"/>
      <c r="H332" s="30" t="s">
        <v>806</v>
      </c>
      <c r="I332" s="31">
        <f t="shared" si="20"/>
        <v>27</v>
      </c>
      <c r="J332" s="31">
        <f t="shared" si="21"/>
        <v>1</v>
      </c>
      <c r="K332" s="32">
        <f t="shared" si="22"/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1491</v>
      </c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1073</v>
      </c>
      <c r="D333" t="s">
        <v>418</v>
      </c>
      <c r="E333" s="30" t="s">
        <v>73</v>
      </c>
      <c r="F333" s="30" t="s">
        <v>28</v>
      </c>
      <c r="G333" s="30"/>
      <c r="H333" s="30" t="s">
        <v>807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1491</v>
      </c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912</v>
      </c>
      <c r="C334" t="s">
        <v>1073</v>
      </c>
      <c r="D334" t="s">
        <v>913</v>
      </c>
      <c r="E334" s="30" t="s">
        <v>19</v>
      </c>
      <c r="F334" s="30" t="s">
        <v>28</v>
      </c>
      <c r="G334" s="30"/>
      <c r="H334" s="30" t="s">
        <v>920</v>
      </c>
      <c r="I334" s="31">
        <f t="shared" si="20"/>
        <v>28</v>
      </c>
      <c r="J334" s="31">
        <f t="shared" si="21"/>
        <v>0</v>
      </c>
      <c r="K334" s="32">
        <f t="shared" si="22"/>
        <v>1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914</v>
      </c>
      <c r="C335" t="s">
        <v>1073</v>
      </c>
      <c r="D335" t="s">
        <v>915</v>
      </c>
      <c r="E335" s="30" t="s">
        <v>19</v>
      </c>
      <c r="F335" s="30" t="s">
        <v>28</v>
      </c>
      <c r="G335" s="30"/>
      <c r="H335" s="30" t="s">
        <v>921</v>
      </c>
      <c r="I335" s="31">
        <f t="shared" si="20"/>
        <v>27</v>
      </c>
      <c r="J335" s="31">
        <f t="shared" si="21"/>
        <v>1</v>
      </c>
      <c r="K335" s="32">
        <f t="shared" si="22"/>
        <v>0.9642857142857143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1491</v>
      </c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1022</v>
      </c>
      <c r="C336" t="s">
        <v>1073</v>
      </c>
      <c r="D336" t="s">
        <v>1023</v>
      </c>
      <c r="E336" s="30" t="s">
        <v>19</v>
      </c>
      <c r="F336" s="30" t="s">
        <v>28</v>
      </c>
      <c r="G336" s="30"/>
      <c r="H336" s="30" t="s">
        <v>1232</v>
      </c>
      <c r="I336" s="31">
        <f t="shared" si="20"/>
        <v>28</v>
      </c>
      <c r="J336" s="31">
        <f t="shared" si="21"/>
        <v>0</v>
      </c>
      <c r="K336" s="32">
        <f t="shared" si="22"/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1461</v>
      </c>
      <c r="C337" t="s">
        <v>1073</v>
      </c>
      <c r="D337" t="s">
        <v>1464</v>
      </c>
      <c r="E337" s="92"/>
      <c r="F337" s="30" t="s">
        <v>28</v>
      </c>
      <c r="G337" s="30"/>
      <c r="H337" s="89" t="s">
        <v>1465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1462</v>
      </c>
      <c r="C338" t="s">
        <v>1073</v>
      </c>
      <c r="D338" t="s">
        <v>1464</v>
      </c>
      <c r="E338" s="92"/>
      <c r="F338" s="30" t="s">
        <v>28</v>
      </c>
      <c r="G338" s="30"/>
      <c r="H338" s="89" t="s">
        <v>1466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1463</v>
      </c>
      <c r="C339" t="s">
        <v>1073</v>
      </c>
      <c r="D339" t="s">
        <v>1464</v>
      </c>
      <c r="E339" s="92"/>
      <c r="F339" s="30" t="s">
        <v>28</v>
      </c>
      <c r="G339" s="30"/>
      <c r="H339" s="89" t="s">
        <v>1467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1074</v>
      </c>
      <c r="D340" t="s">
        <v>421</v>
      </c>
      <c r="E340" s="30" t="s">
        <v>15</v>
      </c>
      <c r="F340" s="30" t="s">
        <v>20</v>
      </c>
      <c r="G340" s="30"/>
      <c r="H340" s="30" t="s">
        <v>809</v>
      </c>
      <c r="I340" s="31">
        <f t="shared" si="20"/>
        <v>23</v>
      </c>
      <c r="J340" s="31">
        <f t="shared" si="21"/>
        <v>5</v>
      </c>
      <c r="K340" s="32">
        <f t="shared" si="22"/>
        <v>0.8214285714285714</v>
      </c>
      <c r="L340" s="72"/>
      <c r="M340" s="72"/>
      <c r="N340" s="72"/>
      <c r="O340" s="72"/>
      <c r="P340" s="72" t="s">
        <v>1491</v>
      </c>
      <c r="Q340" s="72" t="s">
        <v>1491</v>
      </c>
      <c r="R340" s="72" t="s">
        <v>1491</v>
      </c>
      <c r="S340" s="72" t="s">
        <v>1491</v>
      </c>
      <c r="T340" s="72" t="s">
        <v>1491</v>
      </c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1074</v>
      </c>
      <c r="D341" t="s">
        <v>423</v>
      </c>
      <c r="E341" s="30" t="s">
        <v>15</v>
      </c>
      <c r="F341" s="30" t="s">
        <v>20</v>
      </c>
      <c r="G341" s="30"/>
      <c r="H341" s="30" t="s">
        <v>1454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1024</v>
      </c>
      <c r="C342" t="s">
        <v>1074</v>
      </c>
      <c r="D342" t="s">
        <v>1025</v>
      </c>
      <c r="E342" s="30" t="s">
        <v>73</v>
      </c>
      <c r="F342" s="30" t="s">
        <v>20</v>
      </c>
      <c r="G342" s="30"/>
      <c r="H342" s="30" t="s">
        <v>1294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1026</v>
      </c>
      <c r="C343" t="s">
        <v>1074</v>
      </c>
      <c r="D343" t="s">
        <v>1025</v>
      </c>
      <c r="E343" s="30" t="s">
        <v>73</v>
      </c>
      <c r="F343" s="30" t="s">
        <v>20</v>
      </c>
      <c r="G343" s="30"/>
      <c r="H343" s="30" t="s">
        <v>1415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1074</v>
      </c>
      <c r="D344" t="s">
        <v>425</v>
      </c>
      <c r="E344" s="30" t="s">
        <v>19</v>
      </c>
      <c r="F344" s="30" t="s">
        <v>20</v>
      </c>
      <c r="G344" s="30"/>
      <c r="H344" s="30" t="s">
        <v>1455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1074</v>
      </c>
      <c r="D345" t="s">
        <v>427</v>
      </c>
      <c r="E345" s="30" t="s">
        <v>19</v>
      </c>
      <c r="F345" s="30" t="s">
        <v>20</v>
      </c>
      <c r="G345" s="30"/>
      <c r="H345" s="30" t="s">
        <v>808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1074</v>
      </c>
      <c r="D346" t="s">
        <v>429</v>
      </c>
      <c r="E346" s="30" t="s">
        <v>73</v>
      </c>
      <c r="F346" s="30" t="s">
        <v>28</v>
      </c>
      <c r="G346" s="30"/>
      <c r="H346" s="30" t="s">
        <v>811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1491</v>
      </c>
      <c r="M346" s="72" t="s">
        <v>1491</v>
      </c>
      <c r="N346" s="72" t="s">
        <v>1491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1074</v>
      </c>
      <c r="D347" t="s">
        <v>429</v>
      </c>
      <c r="E347" s="30" t="s">
        <v>73</v>
      </c>
      <c r="F347" s="30" t="s">
        <v>28</v>
      </c>
      <c r="G347" s="30"/>
      <c r="H347" s="30" t="s">
        <v>812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1491</v>
      </c>
      <c r="M347" s="72" t="s">
        <v>1491</v>
      </c>
      <c r="N347" s="72" t="s">
        <v>1491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1074</v>
      </c>
      <c r="D348" t="s">
        <v>432</v>
      </c>
      <c r="E348" s="30" t="s">
        <v>73</v>
      </c>
      <c r="F348" s="30" t="s">
        <v>28</v>
      </c>
      <c r="G348" s="30"/>
      <c r="H348" s="30" t="s">
        <v>813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1074</v>
      </c>
      <c r="D349" t="s">
        <v>432</v>
      </c>
      <c r="E349" s="30" t="s">
        <v>73</v>
      </c>
      <c r="F349" s="30" t="s">
        <v>28</v>
      </c>
      <c r="G349" s="30"/>
      <c r="H349" s="30" t="s">
        <v>814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1074</v>
      </c>
      <c r="D350" s="97" t="s">
        <v>436</v>
      </c>
      <c r="E350" s="98" t="s">
        <v>19</v>
      </c>
      <c r="F350" s="98" t="s">
        <v>20</v>
      </c>
      <c r="G350" s="98"/>
      <c r="H350" s="98" t="s">
        <v>815</v>
      </c>
      <c r="I350" s="31">
        <f t="shared" si="20"/>
        <v>17</v>
      </c>
      <c r="J350" s="31">
        <f t="shared" si="21"/>
        <v>11</v>
      </c>
      <c r="K350" s="32">
        <f t="shared" si="22"/>
        <v>0.6071428571428571</v>
      </c>
      <c r="L350" s="72" t="s">
        <v>1491</v>
      </c>
      <c r="M350" s="72" t="s">
        <v>1491</v>
      </c>
      <c r="N350" s="72" t="s">
        <v>1491</v>
      </c>
      <c r="O350" s="72" t="s">
        <v>1491</v>
      </c>
      <c r="P350" s="72" t="s">
        <v>1491</v>
      </c>
      <c r="Q350" s="72" t="s">
        <v>1491</v>
      </c>
      <c r="R350" s="72" t="s">
        <v>1491</v>
      </c>
      <c r="S350" s="72" t="s">
        <v>1491</v>
      </c>
      <c r="T350" s="72" t="s">
        <v>1491</v>
      </c>
      <c r="U350" s="72" t="s">
        <v>1491</v>
      </c>
      <c r="V350" s="72" t="s">
        <v>1491</v>
      </c>
      <c r="W350" s="72"/>
      <c r="X350" s="72"/>
      <c r="Y350" s="72"/>
      <c r="Z350" s="72"/>
      <c r="AA350" s="72"/>
      <c r="AB350" s="72"/>
      <c r="AC350" s="72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1368</v>
      </c>
      <c r="C351" t="s">
        <v>1074</v>
      </c>
      <c r="D351" t="s">
        <v>1369</v>
      </c>
      <c r="E351" s="30"/>
      <c r="F351" s="30"/>
      <c r="G351" s="30"/>
      <c r="H351" s="30" t="s">
        <v>1432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1419</v>
      </c>
      <c r="C352" t="s">
        <v>1074</v>
      </c>
      <c r="D352" t="s">
        <v>1420</v>
      </c>
      <c r="E352" s="90"/>
      <c r="F352" s="91" t="s">
        <v>28</v>
      </c>
      <c r="G352" s="91"/>
      <c r="H352" s="91" t="s">
        <v>1421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1074</v>
      </c>
      <c r="D353" t="s">
        <v>447</v>
      </c>
      <c r="E353" s="30" t="s">
        <v>15</v>
      </c>
      <c r="F353" s="30" t="s">
        <v>28</v>
      </c>
      <c r="G353" s="30"/>
      <c r="H353" s="30" t="s">
        <v>1389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1491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1074</v>
      </c>
      <c r="D354" t="s">
        <v>449</v>
      </c>
      <c r="E354" s="30" t="s">
        <v>19</v>
      </c>
      <c r="F354" s="30" t="s">
        <v>20</v>
      </c>
      <c r="G354" s="30"/>
      <c r="H354" s="30" t="s">
        <v>1442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1074</v>
      </c>
      <c r="D355" s="97" t="s">
        <v>438</v>
      </c>
      <c r="E355" s="98" t="s">
        <v>19</v>
      </c>
      <c r="F355" s="98" t="s">
        <v>20</v>
      </c>
      <c r="G355" s="98"/>
      <c r="H355" s="98" t="s">
        <v>816</v>
      </c>
      <c r="I355" s="31">
        <f t="shared" si="20"/>
        <v>17</v>
      </c>
      <c r="J355" s="31">
        <f t="shared" si="21"/>
        <v>11</v>
      </c>
      <c r="K355" s="32">
        <f t="shared" si="22"/>
        <v>0.6071428571428571</v>
      </c>
      <c r="L355" s="72" t="s">
        <v>1491</v>
      </c>
      <c r="M355" s="72" t="s">
        <v>1491</v>
      </c>
      <c r="N355" s="72" t="s">
        <v>1491</v>
      </c>
      <c r="O355" s="72" t="s">
        <v>1491</v>
      </c>
      <c r="P355" s="72" t="s">
        <v>1491</v>
      </c>
      <c r="Q355" s="72" t="s">
        <v>1491</v>
      </c>
      <c r="R355" s="72" t="s">
        <v>1491</v>
      </c>
      <c r="S355" s="72" t="s">
        <v>1491</v>
      </c>
      <c r="T355" s="72" t="s">
        <v>1491</v>
      </c>
      <c r="U355" s="72" t="s">
        <v>1491</v>
      </c>
      <c r="V355" s="72" t="s">
        <v>1491</v>
      </c>
      <c r="W355" s="72"/>
      <c r="X355" s="72"/>
      <c r="Y355" s="72"/>
      <c r="Z355" s="72"/>
      <c r="AA355" s="72"/>
      <c r="AB355" s="72"/>
      <c r="AC355" s="72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1074</v>
      </c>
      <c r="D356" t="s">
        <v>441</v>
      </c>
      <c r="E356" s="30" t="s">
        <v>46</v>
      </c>
      <c r="F356" s="30" t="s">
        <v>28</v>
      </c>
      <c r="G356" s="30"/>
      <c r="H356" s="30" t="s">
        <v>1390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1491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1493</v>
      </c>
    </row>
    <row r="357" spans="1:41" ht="15.75" thickBot="1" x14ac:dyDescent="0.3">
      <c r="A357" t="s">
        <v>439</v>
      </c>
      <c r="B357" t="s">
        <v>450</v>
      </c>
      <c r="C357" t="s">
        <v>1074</v>
      </c>
      <c r="D357" t="s">
        <v>451</v>
      </c>
      <c r="E357" s="30" t="s">
        <v>15</v>
      </c>
      <c r="F357" s="30" t="s">
        <v>1067</v>
      </c>
      <c r="G357" s="30" t="s">
        <v>1269</v>
      </c>
      <c r="H357" s="30" t="s">
        <v>817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1074</v>
      </c>
      <c r="D358" t="s">
        <v>443</v>
      </c>
      <c r="E358" s="30" t="s">
        <v>15</v>
      </c>
      <c r="F358" s="30" t="s">
        <v>28</v>
      </c>
      <c r="G358" s="30"/>
      <c r="H358" s="30" t="s">
        <v>818</v>
      </c>
      <c r="I358" s="31">
        <f t="shared" si="20"/>
        <v>17</v>
      </c>
      <c r="J358" s="31">
        <f t="shared" si="21"/>
        <v>11</v>
      </c>
      <c r="K358" s="32">
        <f t="shared" si="22"/>
        <v>0.6071428571428571</v>
      </c>
      <c r="L358" s="72" t="s">
        <v>1491</v>
      </c>
      <c r="M358" s="72" t="s">
        <v>1491</v>
      </c>
      <c r="N358" s="72" t="s">
        <v>1491</v>
      </c>
      <c r="O358" s="72" t="s">
        <v>1491</v>
      </c>
      <c r="P358" s="72" t="s">
        <v>1491</v>
      </c>
      <c r="Q358" s="72" t="s">
        <v>1491</v>
      </c>
      <c r="R358" s="72" t="s">
        <v>1491</v>
      </c>
      <c r="S358" s="72" t="s">
        <v>1491</v>
      </c>
      <c r="T358" s="72" t="s">
        <v>1491</v>
      </c>
      <c r="U358" s="72" t="s">
        <v>1491</v>
      </c>
      <c r="V358" s="72" t="s">
        <v>1491</v>
      </c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1074</v>
      </c>
      <c r="D359" t="s">
        <v>445</v>
      </c>
      <c r="E359" s="30" t="s">
        <v>15</v>
      </c>
      <c r="F359" s="30" t="s">
        <v>28</v>
      </c>
      <c r="G359" s="30"/>
      <c r="H359" s="30" t="s">
        <v>819</v>
      </c>
      <c r="I359" s="31">
        <f t="shared" si="20"/>
        <v>17</v>
      </c>
      <c r="J359" s="31">
        <f t="shared" si="21"/>
        <v>11</v>
      </c>
      <c r="K359" s="32">
        <f t="shared" si="22"/>
        <v>0.6071428571428571</v>
      </c>
      <c r="L359" s="72" t="s">
        <v>1491</v>
      </c>
      <c r="M359" s="72" t="s">
        <v>1491</v>
      </c>
      <c r="N359" s="72" t="s">
        <v>1491</v>
      </c>
      <c r="O359" s="72" t="s">
        <v>1491</v>
      </c>
      <c r="P359" s="72" t="s">
        <v>1491</v>
      </c>
      <c r="Q359" s="72" t="s">
        <v>1491</v>
      </c>
      <c r="R359" s="72" t="s">
        <v>1491</v>
      </c>
      <c r="S359" s="72" t="s">
        <v>1491</v>
      </c>
      <c r="T359" s="72" t="s">
        <v>1491</v>
      </c>
      <c r="U359" s="72" t="s">
        <v>1491</v>
      </c>
      <c r="V359" s="72" t="s">
        <v>1491</v>
      </c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1135</v>
      </c>
      <c r="B360" t="s">
        <v>1136</v>
      </c>
      <c r="C360" t="s">
        <v>1074</v>
      </c>
      <c r="D360" t="s">
        <v>1137</v>
      </c>
      <c r="E360" s="30" t="s">
        <v>1125</v>
      </c>
      <c r="F360" s="30" t="s">
        <v>28</v>
      </c>
      <c r="G360" s="30"/>
      <c r="H360" s="30" t="s">
        <v>1151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1491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1135</v>
      </c>
      <c r="B361" t="s">
        <v>1155</v>
      </c>
      <c r="C361" t="s">
        <v>1074</v>
      </c>
      <c r="D361" t="s">
        <v>1137</v>
      </c>
      <c r="E361" s="30" t="s">
        <v>1125</v>
      </c>
      <c r="F361" s="30" t="s">
        <v>28</v>
      </c>
      <c r="G361" s="30"/>
      <c r="H361" s="30" t="s">
        <v>1152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1491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1073</v>
      </c>
      <c r="D362" t="s">
        <v>453</v>
      </c>
      <c r="E362" s="30" t="s">
        <v>73</v>
      </c>
      <c r="F362" s="30" t="s">
        <v>28</v>
      </c>
      <c r="G362" s="30"/>
      <c r="H362" s="30" t="s">
        <v>820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1073</v>
      </c>
      <c r="D363" t="s">
        <v>453</v>
      </c>
      <c r="E363" s="30" t="s">
        <v>73</v>
      </c>
      <c r="F363" s="30" t="s">
        <v>28</v>
      </c>
      <c r="G363" s="30"/>
      <c r="H363" s="30" t="s">
        <v>821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1027</v>
      </c>
      <c r="C364" t="s">
        <v>1073</v>
      </c>
      <c r="D364" t="s">
        <v>455</v>
      </c>
      <c r="E364" s="30" t="s">
        <v>73</v>
      </c>
      <c r="F364" s="30" t="s">
        <v>28</v>
      </c>
      <c r="G364" s="30"/>
      <c r="H364" s="30" t="s">
        <v>822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1028</v>
      </c>
      <c r="C365" t="s">
        <v>1073</v>
      </c>
      <c r="D365" t="s">
        <v>455</v>
      </c>
      <c r="E365" s="30" t="s">
        <v>73</v>
      </c>
      <c r="F365" s="30" t="s">
        <v>28</v>
      </c>
      <c r="G365" s="30"/>
      <c r="H365" s="30" t="s">
        <v>823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1074</v>
      </c>
      <c r="D366" t="s">
        <v>1035</v>
      </c>
      <c r="E366" s="30" t="s">
        <v>19</v>
      </c>
      <c r="F366" s="30" t="s">
        <v>20</v>
      </c>
      <c r="G366" s="30"/>
      <c r="H366" s="30" t="s">
        <v>1428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1074</v>
      </c>
      <c r="D367" t="s">
        <v>1335</v>
      </c>
      <c r="E367" s="30" t="s">
        <v>19</v>
      </c>
      <c r="F367" s="30" t="s">
        <v>20</v>
      </c>
      <c r="G367" s="30"/>
      <c r="H367" s="30" t="s">
        <v>1429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1074</v>
      </c>
      <c r="D368" t="s">
        <v>468</v>
      </c>
      <c r="E368" s="30" t="s">
        <v>19</v>
      </c>
      <c r="F368" s="30" t="s">
        <v>20</v>
      </c>
      <c r="G368" s="30"/>
      <c r="H368" s="30" t="s">
        <v>1441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1029</v>
      </c>
      <c r="C369" t="s">
        <v>1074</v>
      </c>
      <c r="D369" t="s">
        <v>469</v>
      </c>
      <c r="E369" s="30" t="s">
        <v>19</v>
      </c>
      <c r="F369" s="30" t="s">
        <v>20</v>
      </c>
      <c r="G369" s="30"/>
      <c r="H369" s="30" t="s">
        <v>1446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1491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1036</v>
      </c>
      <c r="C370" t="s">
        <v>1074</v>
      </c>
      <c r="D370" t="s">
        <v>457</v>
      </c>
      <c r="E370" s="30" t="s">
        <v>15</v>
      </c>
      <c r="F370" s="30" t="s">
        <v>20</v>
      </c>
      <c r="G370" s="30"/>
      <c r="H370" s="30" t="s">
        <v>826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1037</v>
      </c>
      <c r="C371" t="s">
        <v>1074</v>
      </c>
      <c r="D371" t="s">
        <v>458</v>
      </c>
      <c r="E371" s="30" t="s">
        <v>19</v>
      </c>
      <c r="F371" s="30" t="s">
        <v>28</v>
      </c>
      <c r="G371" s="30"/>
      <c r="H371" s="30" t="s">
        <v>827</v>
      </c>
      <c r="I371" s="31">
        <f t="shared" si="20"/>
        <v>26</v>
      </c>
      <c r="J371" s="31">
        <f t="shared" si="21"/>
        <v>2</v>
      </c>
      <c r="K371" s="32">
        <f t="shared" si="22"/>
        <v>0.9285714285714286</v>
      </c>
      <c r="L371" s="72" t="s">
        <v>1491</v>
      </c>
      <c r="M371" s="72"/>
      <c r="N371" s="72"/>
      <c r="O371" s="72" t="s">
        <v>1491</v>
      </c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1038</v>
      </c>
      <c r="C372" t="s">
        <v>1074</v>
      </c>
      <c r="D372" t="s">
        <v>459</v>
      </c>
      <c r="E372" s="30" t="s">
        <v>19</v>
      </c>
      <c r="F372" s="30" t="s">
        <v>28</v>
      </c>
      <c r="G372" s="30"/>
      <c r="H372" s="30" t="s">
        <v>828</v>
      </c>
      <c r="I372" s="31">
        <f t="shared" si="20"/>
        <v>27</v>
      </c>
      <c r="J372" s="31">
        <f t="shared" si="21"/>
        <v>1</v>
      </c>
      <c r="K372" s="32">
        <f t="shared" si="22"/>
        <v>0.9642857142857143</v>
      </c>
      <c r="L372" s="72" t="s">
        <v>1491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1074</v>
      </c>
      <c r="D373" t="s">
        <v>461</v>
      </c>
      <c r="E373" s="30" t="s">
        <v>19</v>
      </c>
      <c r="F373" s="30" t="s">
        <v>28</v>
      </c>
      <c r="G373" s="30"/>
      <c r="H373" s="30" t="s">
        <v>829</v>
      </c>
      <c r="I373" s="31">
        <f t="shared" si="20"/>
        <v>26</v>
      </c>
      <c r="J373" s="31">
        <f t="shared" si="21"/>
        <v>2</v>
      </c>
      <c r="K373" s="32">
        <f t="shared" si="22"/>
        <v>0.9285714285714286</v>
      </c>
      <c r="L373" s="72" t="s">
        <v>1491</v>
      </c>
      <c r="M373" s="72"/>
      <c r="N373" s="72"/>
      <c r="O373" s="72" t="s">
        <v>1491</v>
      </c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1039</v>
      </c>
      <c r="C374" t="s">
        <v>1074</v>
      </c>
      <c r="D374" t="s">
        <v>462</v>
      </c>
      <c r="E374" s="30" t="s">
        <v>15</v>
      </c>
      <c r="F374" s="30" t="s">
        <v>20</v>
      </c>
      <c r="G374" s="30"/>
      <c r="H374" s="30" t="s">
        <v>810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1040</v>
      </c>
      <c r="C375" t="s">
        <v>1074</v>
      </c>
      <c r="D375" t="s">
        <v>463</v>
      </c>
      <c r="E375" s="30" t="s">
        <v>15</v>
      </c>
      <c r="F375" s="30" t="s">
        <v>20</v>
      </c>
      <c r="G375" s="30"/>
      <c r="H375" s="30" t="s">
        <v>830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1491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1030</v>
      </c>
      <c r="C376" t="s">
        <v>1074</v>
      </c>
      <c r="D376" t="s">
        <v>470</v>
      </c>
      <c r="E376" s="30" t="s">
        <v>15</v>
      </c>
      <c r="F376" s="30" t="s">
        <v>20</v>
      </c>
      <c r="G376" s="30"/>
      <c r="H376" s="30" t="s">
        <v>824</v>
      </c>
      <c r="I376" s="31">
        <f t="shared" si="20"/>
        <v>25</v>
      </c>
      <c r="J376" s="31">
        <f t="shared" si="21"/>
        <v>3</v>
      </c>
      <c r="K376" s="32">
        <f t="shared" si="22"/>
        <v>0.8928571428571429</v>
      </c>
      <c r="L376" s="72"/>
      <c r="M376" s="72"/>
      <c r="N376" s="72"/>
      <c r="O376" s="72"/>
      <c r="P376" s="72"/>
      <c r="Q376" s="72"/>
      <c r="R376" s="72"/>
      <c r="S376" s="72"/>
      <c r="T376" s="72" t="s">
        <v>1491</v>
      </c>
      <c r="U376" s="72" t="s">
        <v>1491</v>
      </c>
      <c r="V376" s="72" t="s">
        <v>1491</v>
      </c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1074</v>
      </c>
      <c r="D377" t="s">
        <v>472</v>
      </c>
      <c r="E377" s="30" t="s">
        <v>15</v>
      </c>
      <c r="F377" s="30" t="s">
        <v>20</v>
      </c>
      <c r="G377" s="30"/>
      <c r="H377" s="30" t="s">
        <v>825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1031</v>
      </c>
      <c r="C378" t="s">
        <v>1074</v>
      </c>
      <c r="D378" t="s">
        <v>473</v>
      </c>
      <c r="E378" s="30" t="s">
        <v>73</v>
      </c>
      <c r="F378" s="30" t="s">
        <v>20</v>
      </c>
      <c r="G378" s="30"/>
      <c r="H378" s="30" t="s">
        <v>1430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1032</v>
      </c>
      <c r="C379" t="s">
        <v>1074</v>
      </c>
      <c r="D379" t="s">
        <v>473</v>
      </c>
      <c r="E379" s="30" t="s">
        <v>73</v>
      </c>
      <c r="F379" s="30" t="s">
        <v>20</v>
      </c>
      <c r="G379" s="30"/>
      <c r="H379" s="30" t="s">
        <v>1431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1074</v>
      </c>
      <c r="D380" t="s">
        <v>475</v>
      </c>
      <c r="E380" s="30" t="s">
        <v>15</v>
      </c>
      <c r="F380" s="30" t="s">
        <v>28</v>
      </c>
      <c r="G380" s="30"/>
      <c r="H380" s="30" t="s">
        <v>831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1041</v>
      </c>
      <c r="C381" t="s">
        <v>1074</v>
      </c>
      <c r="D381" t="s">
        <v>464</v>
      </c>
      <c r="E381" s="30" t="s">
        <v>73</v>
      </c>
      <c r="F381" s="30" t="s">
        <v>28</v>
      </c>
      <c r="G381" s="30"/>
      <c r="H381" s="30" t="s">
        <v>832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1042</v>
      </c>
      <c r="C382" t="s">
        <v>1074</v>
      </c>
      <c r="D382" t="s">
        <v>464</v>
      </c>
      <c r="E382" s="30" t="s">
        <v>73</v>
      </c>
      <c r="F382" s="30" t="s">
        <v>28</v>
      </c>
      <c r="G382" s="30"/>
      <c r="H382" s="30" t="s">
        <v>833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1033</v>
      </c>
      <c r="C383" t="s">
        <v>1074</v>
      </c>
      <c r="D383" t="s">
        <v>476</v>
      </c>
      <c r="E383" s="30" t="s">
        <v>73</v>
      </c>
      <c r="F383" s="30" t="s">
        <v>28</v>
      </c>
      <c r="G383" s="30"/>
      <c r="H383" s="30" t="s">
        <v>834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1034</v>
      </c>
      <c r="C384" t="s">
        <v>1074</v>
      </c>
      <c r="D384" t="s">
        <v>476</v>
      </c>
      <c r="E384" s="30" t="s">
        <v>73</v>
      </c>
      <c r="F384" s="30" t="s">
        <v>28</v>
      </c>
      <c r="G384" s="30"/>
      <c r="H384" s="30" t="s">
        <v>835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1301</v>
      </c>
      <c r="C385" t="s">
        <v>1074</v>
      </c>
      <c r="D385" s="70" t="s">
        <v>1300</v>
      </c>
      <c r="E385" s="30" t="s">
        <v>73</v>
      </c>
      <c r="F385" s="30" t="s">
        <v>28</v>
      </c>
      <c r="G385" s="30"/>
      <c r="H385" s="30" t="s">
        <v>1302</v>
      </c>
      <c r="I385" s="31">
        <f t="shared" si="20"/>
        <v>26</v>
      </c>
      <c r="J385" s="31">
        <f t="shared" si="21"/>
        <v>2</v>
      </c>
      <c r="K385" s="32">
        <f t="shared" si="22"/>
        <v>0.9285714285714286</v>
      </c>
      <c r="L385" s="72" t="s">
        <v>1491</v>
      </c>
      <c r="M385" s="72"/>
      <c r="N385" s="72"/>
      <c r="O385" s="72" t="s">
        <v>1491</v>
      </c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1299</v>
      </c>
      <c r="C386" t="s">
        <v>1074</v>
      </c>
      <c r="D386" s="70" t="s">
        <v>1300</v>
      </c>
      <c r="E386" s="30" t="s">
        <v>73</v>
      </c>
      <c r="F386" s="30" t="s">
        <v>28</v>
      </c>
      <c r="G386" s="30"/>
      <c r="H386" s="30" t="s">
        <v>1303</v>
      </c>
      <c r="I386" s="31">
        <f t="shared" si="20"/>
        <v>26</v>
      </c>
      <c r="J386" s="31">
        <f t="shared" si="21"/>
        <v>2</v>
      </c>
      <c r="K386" s="32">
        <f t="shared" si="22"/>
        <v>0.9285714285714286</v>
      </c>
      <c r="L386" s="72" t="s">
        <v>1491</v>
      </c>
      <c r="M386" s="72"/>
      <c r="N386" s="72"/>
      <c r="O386" s="72" t="s">
        <v>1491</v>
      </c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1074</v>
      </c>
      <c r="D387" t="s">
        <v>478</v>
      </c>
      <c r="E387" s="30" t="s">
        <v>73</v>
      </c>
      <c r="F387" s="30" t="s">
        <v>28</v>
      </c>
      <c r="G387" s="30"/>
      <c r="H387" s="30" t="s">
        <v>836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1074</v>
      </c>
      <c r="D388" t="s">
        <v>478</v>
      </c>
      <c r="E388" s="30" t="s">
        <v>73</v>
      </c>
      <c r="F388" s="30" t="s">
        <v>28</v>
      </c>
      <c r="G388" s="30"/>
      <c r="H388" s="30" t="s">
        <v>837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1116</v>
      </c>
      <c r="C389" s="30" t="s">
        <v>1074</v>
      </c>
      <c r="D389" t="s">
        <v>1115</v>
      </c>
      <c r="E389" s="30" t="s">
        <v>15</v>
      </c>
      <c r="F389" s="30" t="s">
        <v>28</v>
      </c>
      <c r="G389" s="30"/>
      <c r="H389" s="30" t="s">
        <v>1117</v>
      </c>
      <c r="I389" s="31">
        <f t="shared" si="20"/>
        <v>17</v>
      </c>
      <c r="J389" s="31">
        <f t="shared" si="21"/>
        <v>11</v>
      </c>
      <c r="K389" s="32">
        <f t="shared" si="22"/>
        <v>0.6071428571428571</v>
      </c>
      <c r="L389" s="72" t="s">
        <v>1491</v>
      </c>
      <c r="M389" s="72" t="s">
        <v>1491</v>
      </c>
      <c r="N389" s="72" t="s">
        <v>1491</v>
      </c>
      <c r="O389" s="72" t="s">
        <v>1491</v>
      </c>
      <c r="P389" s="72" t="s">
        <v>1491</v>
      </c>
      <c r="Q389" s="72" t="s">
        <v>1491</v>
      </c>
      <c r="R389" s="72" t="s">
        <v>1491</v>
      </c>
      <c r="S389" s="72" t="s">
        <v>1491</v>
      </c>
      <c r="T389" s="72" t="s">
        <v>1491</v>
      </c>
      <c r="U389" s="72" t="s">
        <v>1491</v>
      </c>
      <c r="V389" s="72" t="s">
        <v>1491</v>
      </c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1043</v>
      </c>
      <c r="C390" t="s">
        <v>1073</v>
      </c>
      <c r="D390" t="s">
        <v>498</v>
      </c>
      <c r="E390" s="30" t="s">
        <v>19</v>
      </c>
      <c r="F390" s="30" t="s">
        <v>1067</v>
      </c>
      <c r="G390" s="30" t="s">
        <v>1270</v>
      </c>
      <c r="H390" s="30" t="s">
        <v>846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1073</v>
      </c>
      <c r="D391" t="s">
        <v>482</v>
      </c>
      <c r="E391" s="30" t="s">
        <v>19</v>
      </c>
      <c r="F391" s="30" t="s">
        <v>1067</v>
      </c>
      <c r="G391" s="30" t="s">
        <v>1270</v>
      </c>
      <c r="H391" s="30" t="s">
        <v>838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1073</v>
      </c>
      <c r="D392" t="s">
        <v>484</v>
      </c>
      <c r="E392" s="30" t="s">
        <v>19</v>
      </c>
      <c r="F392" s="30" t="s">
        <v>28</v>
      </c>
      <c r="G392" s="30"/>
      <c r="H392" s="30" t="s">
        <v>839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1073</v>
      </c>
      <c r="D393" t="s">
        <v>487</v>
      </c>
      <c r="E393" s="30" t="s">
        <v>19</v>
      </c>
      <c r="F393" s="30" t="s">
        <v>28</v>
      </c>
      <c r="G393" s="30"/>
      <c r="H393" s="30" t="s">
        <v>840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1073</v>
      </c>
      <c r="D394" t="s">
        <v>489</v>
      </c>
      <c r="E394" s="30" t="s">
        <v>15</v>
      </c>
      <c r="F394" s="30" t="s">
        <v>28</v>
      </c>
      <c r="G394" s="30"/>
      <c r="H394" s="30" t="s">
        <v>841</v>
      </c>
      <c r="I394" s="31">
        <f t="shared" si="23"/>
        <v>28</v>
      </c>
      <c r="J394" s="31">
        <f t="shared" si="24"/>
        <v>0</v>
      </c>
      <c r="K394" s="32">
        <f t="shared" si="25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1073</v>
      </c>
      <c r="D395" t="s">
        <v>491</v>
      </c>
      <c r="E395" s="30" t="s">
        <v>19</v>
      </c>
      <c r="F395" s="30" t="s">
        <v>28</v>
      </c>
      <c r="G395" s="30"/>
      <c r="H395" s="30" t="s">
        <v>842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1491</v>
      </c>
      <c r="V395" s="72" t="s">
        <v>1491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1073</v>
      </c>
      <c r="D396" t="s">
        <v>493</v>
      </c>
      <c r="E396" s="30" t="s">
        <v>15</v>
      </c>
      <c r="F396" s="30" t="s">
        <v>1314</v>
      </c>
      <c r="G396" s="30"/>
      <c r="H396" s="30" t="s">
        <v>843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1491</v>
      </c>
      <c r="V396" s="72" t="s">
        <v>1491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1073</v>
      </c>
      <c r="D397" t="s">
        <v>495</v>
      </c>
      <c r="E397" s="30" t="s">
        <v>19</v>
      </c>
      <c r="F397" s="30" t="s">
        <v>1314</v>
      </c>
      <c r="G397" s="30"/>
      <c r="H397" s="30" t="s">
        <v>844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1073</v>
      </c>
      <c r="D398" t="s">
        <v>497</v>
      </c>
      <c r="E398" s="30" t="s">
        <v>19</v>
      </c>
      <c r="F398" s="30" t="s">
        <v>1067</v>
      </c>
      <c r="G398" s="30" t="s">
        <v>1271</v>
      </c>
      <c r="H398" s="30" t="s">
        <v>845</v>
      </c>
      <c r="I398" s="31">
        <f t="shared" si="23"/>
        <v>28</v>
      </c>
      <c r="J398" s="31">
        <f t="shared" si="24"/>
        <v>0</v>
      </c>
      <c r="K398" s="32">
        <f t="shared" si="25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1199</v>
      </c>
      <c r="C399" t="s">
        <v>1073</v>
      </c>
      <c r="D399" t="s">
        <v>1200</v>
      </c>
      <c r="E399" s="30" t="s">
        <v>1125</v>
      </c>
      <c r="F399" s="30" t="s">
        <v>28</v>
      </c>
      <c r="G399" s="30"/>
      <c r="H399" s="30" t="s">
        <v>1201</v>
      </c>
      <c r="I399" s="31">
        <f t="shared" si="23"/>
        <v>27</v>
      </c>
      <c r="J399" s="31">
        <f t="shared" si="24"/>
        <v>1</v>
      </c>
      <c r="K399" s="32">
        <f t="shared" si="25"/>
        <v>0.9642857142857143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1491</v>
      </c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1202</v>
      </c>
      <c r="C400" t="s">
        <v>1073</v>
      </c>
      <c r="D400" t="s">
        <v>1200</v>
      </c>
      <c r="E400" s="30" t="s">
        <v>1125</v>
      </c>
      <c r="F400" s="30" t="s">
        <v>28</v>
      </c>
      <c r="G400" s="30"/>
      <c r="H400" s="30" t="s">
        <v>1203</v>
      </c>
      <c r="I400" s="31">
        <f t="shared" si="23"/>
        <v>27</v>
      </c>
      <c r="J400" s="31">
        <f t="shared" si="24"/>
        <v>1</v>
      </c>
      <c r="K400" s="32">
        <f t="shared" si="25"/>
        <v>0.9642857142857143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1491</v>
      </c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1234</v>
      </c>
      <c r="C401" t="s">
        <v>1073</v>
      </c>
      <c r="D401" t="s">
        <v>1250</v>
      </c>
      <c r="E401" t="s">
        <v>73</v>
      </c>
      <c r="F401" t="s">
        <v>28</v>
      </c>
      <c r="G401"/>
      <c r="H401" s="30" t="s">
        <v>1295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1235</v>
      </c>
      <c r="C402" t="s">
        <v>1073</v>
      </c>
      <c r="D402" t="s">
        <v>1250</v>
      </c>
      <c r="E402" t="s">
        <v>73</v>
      </c>
      <c r="F402" t="s">
        <v>28</v>
      </c>
      <c r="G402"/>
      <c r="H402" s="30" t="s">
        <v>1296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1354</v>
      </c>
      <c r="C403" t="s">
        <v>1073</v>
      </c>
      <c r="D403" s="70" t="s">
        <v>1355</v>
      </c>
      <c r="E403"/>
      <c r="F403"/>
      <c r="G403"/>
      <c r="H403" s="30" t="s">
        <v>1177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1367</v>
      </c>
      <c r="C404" t="s">
        <v>1073</v>
      </c>
      <c r="D404" s="70" t="s">
        <v>1374</v>
      </c>
      <c r="E404"/>
      <c r="F404"/>
      <c r="G404"/>
      <c r="H404" s="30" t="s">
        <v>1440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1074</v>
      </c>
      <c r="D405" t="s">
        <v>500</v>
      </c>
      <c r="E405" s="30" t="s">
        <v>19</v>
      </c>
      <c r="F405" s="30" t="s">
        <v>20</v>
      </c>
      <c r="G405" s="30"/>
      <c r="H405" s="30" t="s">
        <v>847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1074</v>
      </c>
      <c r="D406" t="s">
        <v>502</v>
      </c>
      <c r="E406" s="30" t="s">
        <v>15</v>
      </c>
      <c r="F406" s="30" t="s">
        <v>20</v>
      </c>
      <c r="G406" s="30"/>
      <c r="H406" s="30" t="s">
        <v>848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1074</v>
      </c>
      <c r="D407" t="s">
        <v>504</v>
      </c>
      <c r="E407" s="30" t="s">
        <v>73</v>
      </c>
      <c r="F407" s="30" t="s">
        <v>20</v>
      </c>
      <c r="G407" s="30"/>
      <c r="H407" s="30" t="s">
        <v>849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1074</v>
      </c>
      <c r="D408" t="s">
        <v>504</v>
      </c>
      <c r="E408" s="30" t="s">
        <v>73</v>
      </c>
      <c r="F408" s="30" t="s">
        <v>20</v>
      </c>
      <c r="G408" s="30"/>
      <c r="H408" s="30" t="s">
        <v>850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1074</v>
      </c>
      <c r="D409" t="s">
        <v>507</v>
      </c>
      <c r="E409" s="30" t="s">
        <v>73</v>
      </c>
      <c r="F409" s="30" t="s">
        <v>20</v>
      </c>
      <c r="G409" s="30"/>
      <c r="H409" s="30" t="s">
        <v>851</v>
      </c>
      <c r="I409" s="31">
        <f t="shared" si="23"/>
        <v>26</v>
      </c>
      <c r="J409" s="31">
        <f t="shared" si="24"/>
        <v>2</v>
      </c>
      <c r="K409" s="32">
        <f t="shared" si="25"/>
        <v>0.9285714285714286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1491</v>
      </c>
      <c r="V409" s="72" t="s">
        <v>1491</v>
      </c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1074</v>
      </c>
      <c r="D410" t="s">
        <v>507</v>
      </c>
      <c r="E410" s="30" t="s">
        <v>73</v>
      </c>
      <c r="F410" s="30" t="s">
        <v>20</v>
      </c>
      <c r="G410" s="30"/>
      <c r="H410" s="30" t="s">
        <v>852</v>
      </c>
      <c r="I410" s="31">
        <f t="shared" si="23"/>
        <v>26</v>
      </c>
      <c r="J410" s="31">
        <f t="shared" si="24"/>
        <v>2</v>
      </c>
      <c r="K410" s="32">
        <f t="shared" si="25"/>
        <v>0.9285714285714286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1491</v>
      </c>
      <c r="V410" s="72" t="s">
        <v>1491</v>
      </c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1074</v>
      </c>
      <c r="D411" t="s">
        <v>510</v>
      </c>
      <c r="E411" s="30" t="s">
        <v>15</v>
      </c>
      <c r="F411" s="30" t="s">
        <v>28</v>
      </c>
      <c r="G411" s="30"/>
      <c r="H411" s="30" t="s">
        <v>853</v>
      </c>
      <c r="I411" s="31">
        <f t="shared" si="23"/>
        <v>21</v>
      </c>
      <c r="J411" s="31">
        <f t="shared" si="24"/>
        <v>7</v>
      </c>
      <c r="K411" s="32">
        <f t="shared" si="25"/>
        <v>0.75</v>
      </c>
      <c r="L411" s="72" t="s">
        <v>1491</v>
      </c>
      <c r="M411" s="72" t="s">
        <v>1491</v>
      </c>
      <c r="N411" s="72" t="s">
        <v>1491</v>
      </c>
      <c r="O411" s="72" t="s">
        <v>1491</v>
      </c>
      <c r="P411" s="72" t="s">
        <v>1491</v>
      </c>
      <c r="Q411" s="72" t="s">
        <v>1491</v>
      </c>
      <c r="R411" s="72" t="s">
        <v>1491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1044</v>
      </c>
      <c r="C412" t="s">
        <v>1074</v>
      </c>
      <c r="D412" t="s">
        <v>511</v>
      </c>
      <c r="E412" s="30" t="s">
        <v>73</v>
      </c>
      <c r="F412" s="30" t="s">
        <v>28</v>
      </c>
      <c r="G412" s="30"/>
      <c r="H412" s="30" t="s">
        <v>854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1045</v>
      </c>
      <c r="C413" t="s">
        <v>1074</v>
      </c>
      <c r="D413" t="s">
        <v>511</v>
      </c>
      <c r="E413" s="30" t="s">
        <v>73</v>
      </c>
      <c r="F413" s="30" t="s">
        <v>28</v>
      </c>
      <c r="G413" s="30"/>
      <c r="H413" s="30" t="s">
        <v>855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1074</v>
      </c>
      <c r="D414" t="s">
        <v>513</v>
      </c>
      <c r="E414" s="30" t="s">
        <v>73</v>
      </c>
      <c r="F414" s="30" t="s">
        <v>28</v>
      </c>
      <c r="G414" s="30"/>
      <c r="H414" s="30" t="s">
        <v>856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1074</v>
      </c>
      <c r="D415" t="s">
        <v>513</v>
      </c>
      <c r="E415" s="30" t="s">
        <v>73</v>
      </c>
      <c r="F415" s="30" t="s">
        <v>28</v>
      </c>
      <c r="G415" s="30"/>
      <c r="H415" s="30" t="s">
        <v>857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1106</v>
      </c>
      <c r="C416" s="30" t="s">
        <v>1074</v>
      </c>
      <c r="D416" t="s">
        <v>1107</v>
      </c>
      <c r="E416" s="30" t="s">
        <v>19</v>
      </c>
      <c r="F416" s="30" t="s">
        <v>28</v>
      </c>
      <c r="G416" s="30"/>
      <c r="H416" s="30" t="s">
        <v>1108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1111</v>
      </c>
      <c r="C417" s="30" t="s">
        <v>1074</v>
      </c>
      <c r="D417" t="s">
        <v>1109</v>
      </c>
      <c r="E417" s="30" t="s">
        <v>19</v>
      </c>
      <c r="F417" s="30" t="s">
        <v>28</v>
      </c>
      <c r="G417" s="30"/>
      <c r="H417" s="30" t="s">
        <v>1110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1112</v>
      </c>
      <c r="C418" s="30" t="s">
        <v>1074</v>
      </c>
      <c r="D418" t="s">
        <v>1113</v>
      </c>
      <c r="E418" s="30" t="s">
        <v>19</v>
      </c>
      <c r="F418" s="30" t="s">
        <v>28</v>
      </c>
      <c r="G418" s="30"/>
      <c r="H418" s="30" t="s">
        <v>1114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1074</v>
      </c>
      <c r="D419" t="s">
        <v>1050</v>
      </c>
      <c r="E419" s="30" t="s">
        <v>19</v>
      </c>
      <c r="F419" s="30" t="s">
        <v>28</v>
      </c>
      <c r="G419" s="30"/>
      <c r="H419" s="30" t="s">
        <v>858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1074</v>
      </c>
      <c r="D420" t="s">
        <v>1102</v>
      </c>
      <c r="E420" s="30" t="s">
        <v>19</v>
      </c>
      <c r="F420" s="30" t="s">
        <v>28</v>
      </c>
      <c r="G420" s="30"/>
      <c r="H420" s="30" t="s">
        <v>859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1074</v>
      </c>
      <c r="D421" t="s">
        <v>531</v>
      </c>
      <c r="E421" s="30" t="s">
        <v>19</v>
      </c>
      <c r="F421" s="30" t="s">
        <v>28</v>
      </c>
      <c r="G421" s="30"/>
      <c r="H421" s="30" t="s">
        <v>860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1074</v>
      </c>
      <c r="D422" s="75" t="s">
        <v>533</v>
      </c>
      <c r="E422" s="89" t="s">
        <v>19</v>
      </c>
      <c r="F422" s="89" t="s">
        <v>28</v>
      </c>
      <c r="G422" s="89"/>
      <c r="H422" s="89" t="s">
        <v>861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1074</v>
      </c>
      <c r="D423" t="s">
        <v>535</v>
      </c>
      <c r="E423" s="30" t="s">
        <v>19</v>
      </c>
      <c r="F423" s="30" t="s">
        <v>20</v>
      </c>
      <c r="G423" s="30"/>
      <c r="H423" s="30" t="s">
        <v>1452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1074</v>
      </c>
      <c r="D424" t="s">
        <v>1080</v>
      </c>
      <c r="E424" s="30" t="s">
        <v>19</v>
      </c>
      <c r="F424" s="30" t="s">
        <v>28</v>
      </c>
      <c r="G424" s="30"/>
      <c r="H424" s="30" t="s">
        <v>862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1073</v>
      </c>
      <c r="D425" t="s">
        <v>1079</v>
      </c>
      <c r="E425" s="30"/>
      <c r="F425" s="30" t="s">
        <v>28</v>
      </c>
      <c r="G425" s="30"/>
      <c r="H425" s="30" t="s">
        <v>863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1074</v>
      </c>
      <c r="D426" t="s">
        <v>539</v>
      </c>
      <c r="E426" s="30" t="s">
        <v>19</v>
      </c>
      <c r="F426" s="30" t="s">
        <v>28</v>
      </c>
      <c r="G426" s="30"/>
      <c r="H426" s="30" t="s">
        <v>864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1074</v>
      </c>
      <c r="D427" t="s">
        <v>541</v>
      </c>
      <c r="E427" s="30" t="s">
        <v>19</v>
      </c>
      <c r="F427" s="30" t="s">
        <v>28</v>
      </c>
      <c r="G427" s="30"/>
      <c r="H427" s="30" t="s">
        <v>865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1046</v>
      </c>
      <c r="C428" t="s">
        <v>1074</v>
      </c>
      <c r="D428" t="s">
        <v>542</v>
      </c>
      <c r="E428" s="30" t="s">
        <v>19</v>
      </c>
      <c r="F428" s="30" t="s">
        <v>28</v>
      </c>
      <c r="G428" s="30"/>
      <c r="H428" s="30" t="s">
        <v>866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1074</v>
      </c>
      <c r="D429" t="s">
        <v>544</v>
      </c>
      <c r="E429" s="30" t="s">
        <v>19</v>
      </c>
      <c r="F429" s="30" t="s">
        <v>28</v>
      </c>
      <c r="G429" s="30"/>
      <c r="H429" s="30" t="s">
        <v>867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1051</v>
      </c>
      <c r="C430" t="s">
        <v>1074</v>
      </c>
      <c r="D430" t="s">
        <v>515</v>
      </c>
      <c r="E430" s="30" t="s">
        <v>15</v>
      </c>
      <c r="F430" s="30" t="s">
        <v>1067</v>
      </c>
      <c r="G430" s="30" t="s">
        <v>1272</v>
      </c>
      <c r="H430" s="30" t="s">
        <v>868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1052</v>
      </c>
      <c r="C431" t="s">
        <v>1074</v>
      </c>
      <c r="D431" t="s">
        <v>517</v>
      </c>
      <c r="E431" s="30" t="s">
        <v>19</v>
      </c>
      <c r="F431" s="30" t="s">
        <v>28</v>
      </c>
      <c r="G431" s="30"/>
      <c r="H431" s="30" t="s">
        <v>869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1047</v>
      </c>
      <c r="C432" t="s">
        <v>1074</v>
      </c>
      <c r="D432" t="s">
        <v>545</v>
      </c>
      <c r="E432" s="30" t="s">
        <v>15</v>
      </c>
      <c r="F432" s="30" t="s">
        <v>28</v>
      </c>
      <c r="G432" s="30"/>
      <c r="H432" s="30" t="s">
        <v>870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1074</v>
      </c>
      <c r="D433" t="s">
        <v>519</v>
      </c>
      <c r="E433" s="30" t="s">
        <v>15</v>
      </c>
      <c r="F433" s="30" t="s">
        <v>1067</v>
      </c>
      <c r="G433" s="30" t="s">
        <v>1273</v>
      </c>
      <c r="H433" s="30" t="s">
        <v>871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1074</v>
      </c>
      <c r="D434" t="s">
        <v>522</v>
      </c>
      <c r="E434" s="30" t="s">
        <v>15</v>
      </c>
      <c r="F434" s="30" t="s">
        <v>1067</v>
      </c>
      <c r="G434" s="30" t="s">
        <v>1269</v>
      </c>
      <c r="H434" s="30" t="s">
        <v>872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1074</v>
      </c>
      <c r="D435" t="s">
        <v>1101</v>
      </c>
      <c r="E435" s="30" t="s">
        <v>15</v>
      </c>
      <c r="F435" s="30" t="s">
        <v>1067</v>
      </c>
      <c r="G435" s="30" t="s">
        <v>1274</v>
      </c>
      <c r="H435" s="30" t="s">
        <v>873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1053</v>
      </c>
      <c r="C436" t="s">
        <v>1074</v>
      </c>
      <c r="D436" t="s">
        <v>524</v>
      </c>
      <c r="E436" s="30" t="s">
        <v>15</v>
      </c>
      <c r="F436" s="30" t="s">
        <v>1067</v>
      </c>
      <c r="G436" s="30" t="s">
        <v>1275</v>
      </c>
      <c r="H436" s="30" t="s">
        <v>874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1054</v>
      </c>
      <c r="C437" t="s">
        <v>1074</v>
      </c>
      <c r="D437" t="s">
        <v>525</v>
      </c>
      <c r="E437" s="30" t="s">
        <v>15</v>
      </c>
      <c r="F437" s="30" t="s">
        <v>20</v>
      </c>
      <c r="G437" s="30"/>
      <c r="H437" s="30" t="s">
        <v>875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1074</v>
      </c>
      <c r="D438" t="s">
        <v>527</v>
      </c>
      <c r="E438" s="30" t="s">
        <v>46</v>
      </c>
      <c r="F438" s="30" t="s">
        <v>28</v>
      </c>
      <c r="G438" s="30"/>
      <c r="H438" s="30" t="s">
        <v>1382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1048</v>
      </c>
      <c r="C439" t="s">
        <v>1074</v>
      </c>
      <c r="D439" t="s">
        <v>546</v>
      </c>
      <c r="E439" s="30" t="s">
        <v>73</v>
      </c>
      <c r="F439" s="30" t="s">
        <v>28</v>
      </c>
      <c r="G439" s="30"/>
      <c r="H439" s="30" t="s">
        <v>876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1049</v>
      </c>
      <c r="C440" t="s">
        <v>1074</v>
      </c>
      <c r="D440" t="s">
        <v>546</v>
      </c>
      <c r="E440" s="30" t="s">
        <v>73</v>
      </c>
      <c r="F440" s="30" t="s">
        <v>28</v>
      </c>
      <c r="G440" s="30"/>
      <c r="H440" s="30" t="s">
        <v>877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1073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1073</v>
      </c>
      <c r="D442" t="s">
        <v>548</v>
      </c>
      <c r="E442" s="30" t="s">
        <v>73</v>
      </c>
      <c r="F442" s="30" t="s">
        <v>28</v>
      </c>
      <c r="G442" s="30"/>
      <c r="H442" s="30" t="s">
        <v>878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1156</v>
      </c>
      <c r="C443" t="s">
        <v>1074</v>
      </c>
      <c r="D443" t="s">
        <v>1158</v>
      </c>
      <c r="E443" s="30" t="s">
        <v>73</v>
      </c>
      <c r="F443" s="30" t="s">
        <v>28</v>
      </c>
      <c r="G443" s="30"/>
      <c r="H443" s="30" t="s">
        <v>1159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1157</v>
      </c>
      <c r="C444" t="s">
        <v>1074</v>
      </c>
      <c r="D444" t="s">
        <v>1158</v>
      </c>
      <c r="E444" s="30" t="s">
        <v>1125</v>
      </c>
      <c r="F444" s="30" t="s">
        <v>28</v>
      </c>
      <c r="G444" s="30"/>
      <c r="H444" s="30" t="s">
        <v>1160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1219</v>
      </c>
      <c r="C445" s="30" t="s">
        <v>1074</v>
      </c>
      <c r="D445" t="s">
        <v>1215</v>
      </c>
      <c r="E445" s="30" t="s">
        <v>15</v>
      </c>
      <c r="F445" s="30" t="s">
        <v>28</v>
      </c>
      <c r="G445" s="30"/>
      <c r="H445" s="30" t="s">
        <v>1216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1055</v>
      </c>
      <c r="C446" t="s">
        <v>1073</v>
      </c>
      <c r="D446" t="s">
        <v>552</v>
      </c>
      <c r="E446" s="30" t="s">
        <v>19</v>
      </c>
      <c r="F446" s="30" t="s">
        <v>28</v>
      </c>
      <c r="G446" s="30"/>
      <c r="H446" s="30" t="s">
        <v>881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1056</v>
      </c>
      <c r="C447" t="s">
        <v>1073</v>
      </c>
      <c r="D447" t="s">
        <v>553</v>
      </c>
      <c r="E447" s="30" t="s">
        <v>19</v>
      </c>
      <c r="F447" s="30" t="s">
        <v>28</v>
      </c>
      <c r="G447" s="30"/>
      <c r="H447" s="30" t="s">
        <v>882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1073</v>
      </c>
      <c r="D448" t="s">
        <v>555</v>
      </c>
      <c r="E448" s="30" t="s">
        <v>73</v>
      </c>
      <c r="F448" s="30" t="s">
        <v>28</v>
      </c>
      <c r="G448" s="30"/>
      <c r="H448" s="30" t="s">
        <v>879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1073</v>
      </c>
      <c r="D449" t="s">
        <v>555</v>
      </c>
      <c r="E449" s="30" t="s">
        <v>73</v>
      </c>
      <c r="F449" s="30" t="s">
        <v>28</v>
      </c>
      <c r="G449" s="30"/>
      <c r="H449" s="30" t="s">
        <v>880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1073</v>
      </c>
      <c r="D450" t="s">
        <v>558</v>
      </c>
      <c r="E450" s="30" t="s">
        <v>73</v>
      </c>
      <c r="F450" s="30" t="s">
        <v>28</v>
      </c>
      <c r="G450" s="30"/>
      <c r="H450" s="30" t="s">
        <v>883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1073</v>
      </c>
      <c r="D451" t="s">
        <v>558</v>
      </c>
      <c r="E451" s="30" t="s">
        <v>73</v>
      </c>
      <c r="F451" s="30" t="s">
        <v>28</v>
      </c>
      <c r="G451" s="30"/>
      <c r="H451" s="30" t="s">
        <v>884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1073</v>
      </c>
      <c r="D452" s="97" t="s">
        <v>551</v>
      </c>
      <c r="E452" s="98" t="s">
        <v>19</v>
      </c>
      <c r="F452" s="98" t="s">
        <v>28</v>
      </c>
      <c r="G452" s="98"/>
      <c r="H452" s="98" t="s">
        <v>885</v>
      </c>
      <c r="I452" s="31">
        <f t="shared" si="23"/>
        <v>17</v>
      </c>
      <c r="J452" s="31">
        <f t="shared" si="24"/>
        <v>11</v>
      </c>
      <c r="K452" s="32">
        <f t="shared" si="25"/>
        <v>0.6071428571428571</v>
      </c>
      <c r="L452" s="72" t="s">
        <v>1491</v>
      </c>
      <c r="M452" s="72" t="s">
        <v>1491</v>
      </c>
      <c r="N452" s="72" t="s">
        <v>1491</v>
      </c>
      <c r="O452" s="72" t="s">
        <v>1491</v>
      </c>
      <c r="P452" s="72" t="s">
        <v>1491</v>
      </c>
      <c r="Q452" s="72" t="s">
        <v>1491</v>
      </c>
      <c r="R452" s="72" t="s">
        <v>1491</v>
      </c>
      <c r="S452" s="72" t="s">
        <v>1491</v>
      </c>
      <c r="T452" s="72" t="s">
        <v>1491</v>
      </c>
      <c r="U452" s="72" t="s">
        <v>1491</v>
      </c>
      <c r="V452" s="72" t="s">
        <v>1491</v>
      </c>
      <c r="W452" s="72"/>
      <c r="X452" s="72"/>
      <c r="Y452" s="72"/>
      <c r="Z452" s="72"/>
      <c r="AA452" s="72"/>
      <c r="AB452" s="72"/>
      <c r="AC452" s="72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1073</v>
      </c>
      <c r="D453" s="97" t="s">
        <v>561</v>
      </c>
      <c r="E453" s="98" t="s">
        <v>15</v>
      </c>
      <c r="F453" s="98" t="s">
        <v>28</v>
      </c>
      <c r="G453" s="98"/>
      <c r="H453" s="98" t="s">
        <v>1489</v>
      </c>
      <c r="I453" s="31">
        <f t="shared" si="23"/>
        <v>17</v>
      </c>
      <c r="J453" s="31">
        <f t="shared" si="24"/>
        <v>11</v>
      </c>
      <c r="K453" s="32">
        <f t="shared" si="25"/>
        <v>0.6071428571428571</v>
      </c>
      <c r="L453" s="72" t="s">
        <v>1491</v>
      </c>
      <c r="M453" s="72" t="s">
        <v>1491</v>
      </c>
      <c r="N453" s="72" t="s">
        <v>1491</v>
      </c>
      <c r="O453" s="72" t="s">
        <v>1491</v>
      </c>
      <c r="P453" s="72" t="s">
        <v>1491</v>
      </c>
      <c r="Q453" s="72" t="s">
        <v>1491</v>
      </c>
      <c r="R453" s="72" t="s">
        <v>1491</v>
      </c>
      <c r="S453" s="72" t="s">
        <v>1491</v>
      </c>
      <c r="T453" s="72" t="s">
        <v>1491</v>
      </c>
      <c r="U453" s="72" t="s">
        <v>1491</v>
      </c>
      <c r="V453" s="72" t="s">
        <v>1491</v>
      </c>
      <c r="W453" s="72"/>
      <c r="X453" s="72"/>
      <c r="Y453" s="72"/>
      <c r="Z453" s="72"/>
      <c r="AA453" s="72"/>
      <c r="AB453" s="72"/>
      <c r="AC453" s="72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1358</v>
      </c>
      <c r="C454" s="30" t="s">
        <v>1073</v>
      </c>
      <c r="D454" t="s">
        <v>1359</v>
      </c>
      <c r="E454" s="30"/>
      <c r="F454" s="30"/>
      <c r="G454" s="30"/>
      <c r="H454" s="30" t="s">
        <v>1366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1073</v>
      </c>
      <c r="D455" t="s">
        <v>563</v>
      </c>
      <c r="E455" s="30" t="s">
        <v>19</v>
      </c>
      <c r="F455" s="30" t="s">
        <v>28</v>
      </c>
      <c r="G455" s="30"/>
      <c r="H455" s="30" t="s">
        <v>886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1073</v>
      </c>
      <c r="D456" s="75" t="s">
        <v>565</v>
      </c>
      <c r="E456" s="89" t="s">
        <v>19</v>
      </c>
      <c r="F456" s="89" t="s">
        <v>28</v>
      </c>
      <c r="G456" s="89"/>
      <c r="H456" s="89" t="s">
        <v>1385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1073</v>
      </c>
      <c r="D457" t="s">
        <v>567</v>
      </c>
      <c r="E457" s="30" t="s">
        <v>19</v>
      </c>
      <c r="F457" s="30" t="s">
        <v>20</v>
      </c>
      <c r="G457" s="30"/>
      <c r="H457" s="30" t="s">
        <v>1450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1073</v>
      </c>
      <c r="D458" t="s">
        <v>569</v>
      </c>
      <c r="E458" s="30" t="s">
        <v>19</v>
      </c>
      <c r="F458" s="30" t="s">
        <v>1067</v>
      </c>
      <c r="G458" s="30" t="s">
        <v>1276</v>
      </c>
      <c r="H458" s="30" t="s">
        <v>887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1376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1073</v>
      </c>
      <c r="D459" t="s">
        <v>571</v>
      </c>
      <c r="E459" s="30" t="s">
        <v>19</v>
      </c>
      <c r="F459" s="30" t="s">
        <v>20</v>
      </c>
      <c r="G459" s="30"/>
      <c r="H459" s="30" t="s">
        <v>1448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1325</v>
      </c>
      <c r="C460" t="s">
        <v>1073</v>
      </c>
      <c r="D460" t="s">
        <v>1326</v>
      </c>
      <c r="E460" s="30" t="s">
        <v>73</v>
      </c>
      <c r="F460" s="30" t="s">
        <v>28</v>
      </c>
      <c r="G460" s="30"/>
      <c r="H460" s="30" t="s">
        <v>1344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1074</v>
      </c>
      <c r="D461" t="s">
        <v>574</v>
      </c>
      <c r="E461" s="30" t="s">
        <v>15</v>
      </c>
      <c r="F461" s="30" t="s">
        <v>28</v>
      </c>
      <c r="G461" s="30"/>
      <c r="H461" s="30" t="s">
        <v>888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1492</v>
      </c>
      <c r="C462" t="s">
        <v>1074</v>
      </c>
      <c r="D462" t="s">
        <v>575</v>
      </c>
      <c r="E462" s="30" t="s">
        <v>15</v>
      </c>
      <c r="F462" s="30" t="s">
        <v>28</v>
      </c>
      <c r="G462" s="30"/>
      <c r="H462" s="30" t="s">
        <v>889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1057</v>
      </c>
      <c r="C463" t="s">
        <v>1074</v>
      </c>
      <c r="D463" t="s">
        <v>576</v>
      </c>
      <c r="E463" s="30" t="s">
        <v>73</v>
      </c>
      <c r="F463" s="30" t="s">
        <v>28</v>
      </c>
      <c r="G463" s="30"/>
      <c r="H463" s="30" t="s">
        <v>890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1058</v>
      </c>
      <c r="C464" t="s">
        <v>1074</v>
      </c>
      <c r="D464" t="s">
        <v>576</v>
      </c>
      <c r="E464" s="30" t="s">
        <v>73</v>
      </c>
      <c r="F464" s="30" t="s">
        <v>28</v>
      </c>
      <c r="G464" s="30"/>
      <c r="H464" s="30" t="s">
        <v>891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1059</v>
      </c>
      <c r="C465" t="s">
        <v>1074</v>
      </c>
      <c r="D465" t="s">
        <v>578</v>
      </c>
      <c r="E465" s="30" t="s">
        <v>73</v>
      </c>
      <c r="F465" s="30" t="s">
        <v>28</v>
      </c>
      <c r="G465" s="30"/>
      <c r="H465" s="30" t="s">
        <v>892</v>
      </c>
      <c r="I465" s="31">
        <f t="shared" si="26"/>
        <v>17</v>
      </c>
      <c r="J465" s="31">
        <f t="shared" si="27"/>
        <v>11</v>
      </c>
      <c r="K465" s="32">
        <f t="shared" si="28"/>
        <v>0.6071428571428571</v>
      </c>
      <c r="L465" s="72" t="s">
        <v>1491</v>
      </c>
      <c r="M465" s="72" t="s">
        <v>1491</v>
      </c>
      <c r="N465" s="72" t="s">
        <v>1491</v>
      </c>
      <c r="O465" s="72" t="s">
        <v>1491</v>
      </c>
      <c r="P465" s="72" t="s">
        <v>1491</v>
      </c>
      <c r="Q465" s="72" t="s">
        <v>1491</v>
      </c>
      <c r="R465" s="72" t="s">
        <v>1491</v>
      </c>
      <c r="S465" s="72" t="s">
        <v>1491</v>
      </c>
      <c r="T465" s="72" t="s">
        <v>1491</v>
      </c>
      <c r="U465" s="72" t="s">
        <v>1491</v>
      </c>
      <c r="V465" s="72" t="s">
        <v>1491</v>
      </c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1060</v>
      </c>
      <c r="C466" t="s">
        <v>1074</v>
      </c>
      <c r="D466" t="s">
        <v>579</v>
      </c>
      <c r="E466" s="30" t="s">
        <v>15</v>
      </c>
      <c r="F466" s="30" t="s">
        <v>28</v>
      </c>
      <c r="G466" s="30"/>
      <c r="H466" s="30" t="s">
        <v>893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1491</v>
      </c>
      <c r="M466" s="72" t="s">
        <v>1491</v>
      </c>
      <c r="N466" s="72" t="s">
        <v>1491</v>
      </c>
      <c r="O466" s="72" t="s">
        <v>1491</v>
      </c>
      <c r="P466" s="72"/>
      <c r="Q466" s="72"/>
      <c r="R466" s="72"/>
      <c r="S466" s="72"/>
      <c r="T466" s="72" t="s">
        <v>1491</v>
      </c>
      <c r="U466" s="72" t="s">
        <v>1491</v>
      </c>
      <c r="V466" s="72" t="s">
        <v>1491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1074</v>
      </c>
      <c r="D467" t="s">
        <v>581</v>
      </c>
      <c r="E467" s="30" t="s">
        <v>73</v>
      </c>
      <c r="F467" s="30" t="s">
        <v>28</v>
      </c>
      <c r="G467" s="30"/>
      <c r="H467" s="30" t="s">
        <v>894</v>
      </c>
      <c r="I467" s="31">
        <f t="shared" si="26"/>
        <v>17</v>
      </c>
      <c r="J467" s="31">
        <f t="shared" si="27"/>
        <v>11</v>
      </c>
      <c r="K467" s="32">
        <f t="shared" si="28"/>
        <v>0.6071428571428571</v>
      </c>
      <c r="L467" s="72" t="s">
        <v>1491</v>
      </c>
      <c r="M467" s="72" t="s">
        <v>1491</v>
      </c>
      <c r="N467" s="72" t="s">
        <v>1491</v>
      </c>
      <c r="O467" s="72" t="s">
        <v>1491</v>
      </c>
      <c r="P467" s="72" t="s">
        <v>1491</v>
      </c>
      <c r="Q467" s="72" t="s">
        <v>1491</v>
      </c>
      <c r="R467" s="72" t="s">
        <v>1491</v>
      </c>
      <c r="S467" s="72" t="s">
        <v>1491</v>
      </c>
      <c r="T467" s="72" t="s">
        <v>1491</v>
      </c>
      <c r="U467" s="72" t="s">
        <v>1491</v>
      </c>
      <c r="V467" s="72" t="s">
        <v>1491</v>
      </c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1074</v>
      </c>
      <c r="D468" t="s">
        <v>583</v>
      </c>
      <c r="E468" s="30" t="s">
        <v>15</v>
      </c>
      <c r="F468" s="30" t="s">
        <v>28</v>
      </c>
      <c r="G468" s="30"/>
      <c r="H468" s="30" t="s">
        <v>895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1491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1074</v>
      </c>
      <c r="D469" t="s">
        <v>585</v>
      </c>
      <c r="E469" s="30" t="s">
        <v>15</v>
      </c>
      <c r="F469" s="30" t="s">
        <v>28</v>
      </c>
      <c r="G469" s="30"/>
      <c r="H469" s="30" t="s">
        <v>896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1491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1074</v>
      </c>
      <c r="D470" t="s">
        <v>1103</v>
      </c>
      <c r="E470" s="30" t="s">
        <v>19</v>
      </c>
      <c r="F470" s="30" t="s">
        <v>20</v>
      </c>
      <c r="G470" s="30"/>
      <c r="H470" s="30" t="s">
        <v>1414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1061</v>
      </c>
      <c r="C471" t="s">
        <v>1074</v>
      </c>
      <c r="D471" t="s">
        <v>1104</v>
      </c>
      <c r="E471" s="30" t="s">
        <v>73</v>
      </c>
      <c r="F471" s="30" t="s">
        <v>28</v>
      </c>
      <c r="G471" s="30"/>
      <c r="H471" s="30" t="s">
        <v>897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1062</v>
      </c>
      <c r="C472" t="s">
        <v>1074</v>
      </c>
      <c r="D472" t="s">
        <v>1104</v>
      </c>
      <c r="E472" s="30" t="s">
        <v>73</v>
      </c>
      <c r="F472" s="30" t="s">
        <v>28</v>
      </c>
      <c r="G472" s="30"/>
      <c r="H472" s="30" t="s">
        <v>898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1063</v>
      </c>
      <c r="C473" t="s">
        <v>1074</v>
      </c>
      <c r="D473" t="s">
        <v>1118</v>
      </c>
      <c r="E473" s="30" t="s">
        <v>15</v>
      </c>
      <c r="F473" s="30" t="s">
        <v>28</v>
      </c>
      <c r="G473" s="30"/>
      <c r="H473" s="30" t="s">
        <v>899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1074</v>
      </c>
      <c r="D474" t="s">
        <v>1105</v>
      </c>
      <c r="E474" s="30" t="s">
        <v>15</v>
      </c>
      <c r="F474" s="30" t="s">
        <v>28</v>
      </c>
      <c r="G474" s="30"/>
      <c r="H474" s="30" t="s">
        <v>1233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1074</v>
      </c>
      <c r="D475" t="s">
        <v>590</v>
      </c>
      <c r="E475" s="30" t="s">
        <v>73</v>
      </c>
      <c r="F475" s="30" t="s">
        <v>28</v>
      </c>
      <c r="G475" s="30"/>
      <c r="H475" s="30" t="s">
        <v>900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1064</v>
      </c>
      <c r="C476" t="s">
        <v>1074</v>
      </c>
      <c r="D476" t="s">
        <v>590</v>
      </c>
      <c r="E476" s="30" t="s">
        <v>73</v>
      </c>
      <c r="F476" s="30" t="s">
        <v>28</v>
      </c>
      <c r="G476" s="30"/>
      <c r="H476" s="30" t="s">
        <v>901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1065</v>
      </c>
      <c r="C477" t="s">
        <v>1074</v>
      </c>
      <c r="D477" t="s">
        <v>591</v>
      </c>
      <c r="E477" s="30" t="s">
        <v>73</v>
      </c>
      <c r="F477" s="30" t="s">
        <v>28</v>
      </c>
      <c r="G477" s="30"/>
      <c r="H477" s="30" t="s">
        <v>902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1074</v>
      </c>
      <c r="D478" t="s">
        <v>591</v>
      </c>
      <c r="E478" s="30" t="s">
        <v>73</v>
      </c>
      <c r="F478" s="30" t="s">
        <v>28</v>
      </c>
      <c r="G478" s="30"/>
      <c r="H478" s="30" t="s">
        <v>903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1074</v>
      </c>
      <c r="D479" t="s">
        <v>595</v>
      </c>
      <c r="E479" s="30" t="s">
        <v>15</v>
      </c>
      <c r="F479" s="30" t="s">
        <v>28</v>
      </c>
      <c r="G479" s="30"/>
      <c r="H479" s="30" t="s">
        <v>904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1066</v>
      </c>
      <c r="C480" t="s">
        <v>1074</v>
      </c>
      <c r="D480" t="s">
        <v>597</v>
      </c>
      <c r="E480" s="30" t="s">
        <v>15</v>
      </c>
      <c r="F480" s="30" t="s">
        <v>20</v>
      </c>
      <c r="G480" s="30"/>
      <c r="H480" s="30" t="s">
        <v>905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1074</v>
      </c>
      <c r="D481" t="s">
        <v>599</v>
      </c>
      <c r="E481" s="30" t="s">
        <v>15</v>
      </c>
      <c r="F481" s="30" t="s">
        <v>20</v>
      </c>
      <c r="G481" s="30"/>
      <c r="H481" s="30" t="s">
        <v>906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1074</v>
      </c>
      <c r="D482" t="s">
        <v>601</v>
      </c>
      <c r="E482" s="30" t="s">
        <v>15</v>
      </c>
      <c r="F482" s="30" t="s">
        <v>20</v>
      </c>
      <c r="G482" s="30"/>
      <c r="H482" s="30" t="s">
        <v>907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1126</v>
      </c>
      <c r="C483" s="30" t="s">
        <v>1074</v>
      </c>
      <c r="D483" t="s">
        <v>1128</v>
      </c>
      <c r="E483" s="30" t="s">
        <v>1125</v>
      </c>
      <c r="F483" s="30" t="s">
        <v>28</v>
      </c>
      <c r="G483" s="30"/>
      <c r="H483" s="30" t="s">
        <v>1133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1127</v>
      </c>
      <c r="C484" s="30" t="s">
        <v>1074</v>
      </c>
      <c r="D484" t="s">
        <v>1128</v>
      </c>
      <c r="E484" s="30" t="s">
        <v>1125</v>
      </c>
      <c r="F484" s="30" t="s">
        <v>28</v>
      </c>
      <c r="G484" s="30"/>
      <c r="H484" s="30" t="s">
        <v>1134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1212</v>
      </c>
      <c r="C485" s="30" t="s">
        <v>1074</v>
      </c>
      <c r="D485" t="s">
        <v>1213</v>
      </c>
      <c r="E485" s="30" t="s">
        <v>15</v>
      </c>
      <c r="F485" s="30" t="s">
        <v>28</v>
      </c>
      <c r="G485" s="30"/>
      <c r="H485" s="30" t="s">
        <v>1214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1074</v>
      </c>
      <c r="D486" t="s">
        <v>606</v>
      </c>
      <c r="E486" s="30" t="s">
        <v>19</v>
      </c>
      <c r="F486" s="30" t="s">
        <v>28</v>
      </c>
      <c r="G486" s="30"/>
      <c r="H486" s="30" t="s">
        <v>1386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1074</v>
      </c>
      <c r="D487" t="s">
        <v>608</v>
      </c>
      <c r="E487" s="30" t="s">
        <v>19</v>
      </c>
      <c r="F487" s="30" t="s">
        <v>28</v>
      </c>
      <c r="G487" s="30"/>
      <c r="H487" s="30" t="s">
        <v>1383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1074</v>
      </c>
      <c r="D488" t="s">
        <v>610</v>
      </c>
      <c r="E488" s="30" t="s">
        <v>15</v>
      </c>
      <c r="F488" s="30" t="s">
        <v>20</v>
      </c>
      <c r="G488" s="30"/>
      <c r="H488" s="30" t="s">
        <v>1449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1074</v>
      </c>
      <c r="D489" t="s">
        <v>603</v>
      </c>
      <c r="E489" s="30" t="s">
        <v>19</v>
      </c>
      <c r="F489" s="30" t="s">
        <v>20</v>
      </c>
      <c r="G489" s="30"/>
      <c r="H489" s="30" t="s">
        <v>1451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1474</v>
      </c>
      <c r="C490" t="s">
        <v>1073</v>
      </c>
      <c r="D490" t="s">
        <v>1475</v>
      </c>
      <c r="E490" s="30" t="s">
        <v>46</v>
      </c>
      <c r="F490" s="30" t="s">
        <v>28</v>
      </c>
      <c r="G490" s="30"/>
      <c r="H490" s="30" t="s">
        <v>1480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1477</v>
      </c>
      <c r="C491" t="s">
        <v>1073</v>
      </c>
      <c r="D491" t="s">
        <v>1476</v>
      </c>
      <c r="E491" s="30" t="s">
        <v>73</v>
      </c>
      <c r="F491" s="30" t="s">
        <v>28</v>
      </c>
      <c r="G491" s="30"/>
      <c r="H491" s="30" t="s">
        <v>1481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1478</v>
      </c>
      <c r="C492" t="s">
        <v>1073</v>
      </c>
      <c r="D492" t="s">
        <v>1479</v>
      </c>
      <c r="E492" s="30" t="s">
        <v>73</v>
      </c>
      <c r="F492" s="30" t="s">
        <v>28</v>
      </c>
      <c r="G492" s="30"/>
      <c r="H492" s="30" t="s">
        <v>1482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opLeftCell="A106" zoomScale="110" zoomScaleNormal="110" workbookViewId="0">
      <selection activeCell="B111" sqref="B1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922</v>
      </c>
      <c r="D1" s="114" t="s">
        <v>1495</v>
      </c>
      <c r="E1" s="115" t="s">
        <v>923</v>
      </c>
    </row>
    <row r="2" spans="1:6" ht="15.6" customHeight="1" thickTop="1" x14ac:dyDescent="0.25">
      <c r="A2" s="77"/>
      <c r="B2" s="54" t="s">
        <v>1255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1507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1256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1257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1507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.75" thickBot="1" x14ac:dyDescent="0.3">
      <c r="A7" s="101"/>
      <c r="B7" s="58" t="s">
        <v>1494</v>
      </c>
      <c r="C7" s="137"/>
      <c r="D7" s="110">
        <f>D6-C7</f>
        <v>54</v>
      </c>
      <c r="E7" s="76">
        <f>D7/C2</f>
        <v>0.11134020618556702</v>
      </c>
      <c r="F7" s="139"/>
    </row>
    <row r="8" spans="1:6" ht="16.5" thickTop="1" thickBot="1" x14ac:dyDescent="0.3">
      <c r="A8" s="101"/>
      <c r="B8" s="117"/>
      <c r="C8" s="116" t="s">
        <v>922</v>
      </c>
      <c r="D8" s="102" t="s">
        <v>1495</v>
      </c>
      <c r="E8" s="108" t="s">
        <v>923</v>
      </c>
      <c r="F8" s="139"/>
    </row>
    <row r="9" spans="1:6" ht="15" customHeight="1" thickTop="1" thickBot="1" x14ac:dyDescent="0.3">
      <c r="A9" s="35" t="s">
        <v>1509</v>
      </c>
      <c r="B9" s="104" t="s">
        <v>1073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1509</v>
      </c>
      <c r="B10" s="118" t="s">
        <v>1074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922</v>
      </c>
      <c r="D12" s="114" t="s">
        <v>1495</v>
      </c>
      <c r="E12" s="115" t="s">
        <v>923</v>
      </c>
    </row>
    <row r="13" spans="1:6" ht="15" customHeight="1" thickTop="1" x14ac:dyDescent="0.25">
      <c r="B13" s="54" t="s">
        <v>1255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1508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1256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1257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1508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.75" thickBot="1" x14ac:dyDescent="0.3">
      <c r="B18" s="58" t="s">
        <v>1494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6.5" thickTop="1" thickBot="1" x14ac:dyDescent="0.3">
      <c r="B19" s="117"/>
      <c r="C19" s="116" t="s">
        <v>922</v>
      </c>
      <c r="D19" s="102" t="s">
        <v>1495</v>
      </c>
      <c r="E19" s="108" t="s">
        <v>923</v>
      </c>
      <c r="F19" s="139"/>
    </row>
    <row r="20" spans="1:6" ht="16.5" thickTop="1" thickBot="1" x14ac:dyDescent="0.3">
      <c r="A20" t="s">
        <v>1510</v>
      </c>
      <c r="B20" s="104" t="s">
        <v>1073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1510</v>
      </c>
      <c r="B21" s="118" t="s">
        <v>1074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922</v>
      </c>
      <c r="D23" s="114" t="s">
        <v>1495</v>
      </c>
      <c r="E23" s="115" t="s">
        <v>923</v>
      </c>
    </row>
    <row r="24" spans="1:6" ht="15.75" thickTop="1" x14ac:dyDescent="0.25">
      <c r="B24" s="54" t="s">
        <v>1255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1501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1256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1257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1501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.75" thickBot="1" x14ac:dyDescent="0.3">
      <c r="B29" s="58" t="s">
        <v>1494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6.5" thickTop="1" thickBot="1" x14ac:dyDescent="0.3">
      <c r="B30" s="117"/>
      <c r="C30" s="116" t="s">
        <v>922</v>
      </c>
      <c r="D30" s="102" t="s">
        <v>1495</v>
      </c>
      <c r="E30" s="108" t="s">
        <v>923</v>
      </c>
      <c r="F30" s="139"/>
    </row>
    <row r="31" spans="1:6" ht="16.5" thickTop="1" thickBot="1" x14ac:dyDescent="0.3">
      <c r="B31" s="104" t="s">
        <v>1073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1074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922</v>
      </c>
      <c r="D34" s="114" t="s">
        <v>1495</v>
      </c>
      <c r="E34" s="115" t="s">
        <v>923</v>
      </c>
    </row>
    <row r="35" spans="1:6" ht="15.75" thickTop="1" x14ac:dyDescent="0.25">
      <c r="B35" s="54" t="s">
        <v>1255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1500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1256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1257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1500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.75" thickBot="1" x14ac:dyDescent="0.3">
      <c r="B40" s="58" t="s">
        <v>1494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6.5" thickTop="1" thickBot="1" x14ac:dyDescent="0.3">
      <c r="B41" s="117"/>
      <c r="C41" s="116" t="s">
        <v>922</v>
      </c>
      <c r="D41" s="102" t="s">
        <v>1495</v>
      </c>
      <c r="E41" s="108" t="s">
        <v>923</v>
      </c>
      <c r="F41" s="139"/>
    </row>
    <row r="42" spans="1:6" ht="16.5" thickTop="1" thickBot="1" x14ac:dyDescent="0.3">
      <c r="B42" s="104" t="s">
        <v>1073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1074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922</v>
      </c>
      <c r="D45" s="114" t="s">
        <v>1495</v>
      </c>
      <c r="E45" s="115" t="s">
        <v>923</v>
      </c>
    </row>
    <row r="46" spans="1:6" ht="15.75" thickTop="1" x14ac:dyDescent="0.25">
      <c r="B46" s="54" t="s">
        <v>1255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1502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1256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1257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1502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.75" thickBot="1" x14ac:dyDescent="0.3">
      <c r="B51" s="58" t="s">
        <v>1494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6.5" thickTop="1" thickBot="1" x14ac:dyDescent="0.3">
      <c r="B52" s="117"/>
      <c r="C52" s="116" t="s">
        <v>922</v>
      </c>
      <c r="D52" s="102" t="s">
        <v>1495</v>
      </c>
      <c r="E52" s="108" t="s">
        <v>923</v>
      </c>
      <c r="F52" s="139"/>
    </row>
    <row r="53" spans="1:6" ht="16.5" thickTop="1" thickBot="1" x14ac:dyDescent="0.3">
      <c r="B53" s="104" t="s">
        <v>1073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1074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922</v>
      </c>
      <c r="D56" s="114" t="s">
        <v>1495</v>
      </c>
      <c r="E56" s="115" t="s">
        <v>923</v>
      </c>
    </row>
    <row r="57" spans="1:6" ht="15.75" thickTop="1" x14ac:dyDescent="0.25">
      <c r="B57" s="54" t="s">
        <v>1255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1503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1256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1257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1503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.75" thickBot="1" x14ac:dyDescent="0.3">
      <c r="B62" s="58" t="s">
        <v>1494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6.5" thickTop="1" thickBot="1" x14ac:dyDescent="0.3">
      <c r="B63" s="117"/>
      <c r="C63" s="116" t="s">
        <v>922</v>
      </c>
      <c r="D63" s="102" t="s">
        <v>1495</v>
      </c>
      <c r="E63" s="108" t="s">
        <v>923</v>
      </c>
      <c r="F63" s="139"/>
    </row>
    <row r="64" spans="1:6" ht="16.5" thickTop="1" thickBot="1" x14ac:dyDescent="0.3">
      <c r="B64" s="104" t="s">
        <v>1073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1074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922</v>
      </c>
      <c r="D67" s="114" t="s">
        <v>1495</v>
      </c>
      <c r="E67" s="115" t="s">
        <v>923</v>
      </c>
    </row>
    <row r="68" spans="1:6" ht="15.75" thickTop="1" x14ac:dyDescent="0.25">
      <c r="B68" s="54" t="s">
        <v>1255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1504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1256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1257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1504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.75" thickBot="1" x14ac:dyDescent="0.3">
      <c r="B73" s="58" t="s">
        <v>1494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6.5" thickTop="1" thickBot="1" x14ac:dyDescent="0.3">
      <c r="B74" s="117"/>
      <c r="C74" s="116" t="s">
        <v>922</v>
      </c>
      <c r="D74" s="102" t="s">
        <v>1495</v>
      </c>
      <c r="E74" s="108" t="s">
        <v>923</v>
      </c>
      <c r="F74" s="139"/>
    </row>
    <row r="75" spans="1:6" ht="16.5" thickTop="1" thickBot="1" x14ac:dyDescent="0.3">
      <c r="B75" s="104" t="s">
        <v>1073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1074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922</v>
      </c>
      <c r="D78" s="114" t="s">
        <v>1495</v>
      </c>
      <c r="E78" s="115" t="s">
        <v>923</v>
      </c>
    </row>
    <row r="79" spans="1:6" ht="15.75" thickTop="1" x14ac:dyDescent="0.25">
      <c r="B79" s="54" t="s">
        <v>1255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1499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1256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1257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1499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.75" thickBot="1" x14ac:dyDescent="0.3">
      <c r="B84" s="58" t="s">
        <v>1494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6.5" thickTop="1" thickBot="1" x14ac:dyDescent="0.3">
      <c r="B85" s="117"/>
      <c r="C85" s="116" t="s">
        <v>922</v>
      </c>
      <c r="D85" s="102" t="s">
        <v>1495</v>
      </c>
      <c r="E85" s="108" t="s">
        <v>923</v>
      </c>
      <c r="F85" s="139"/>
    </row>
    <row r="86" spans="1:6" ht="16.5" thickTop="1" thickBot="1" x14ac:dyDescent="0.3">
      <c r="B86" s="104" t="s">
        <v>1073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1074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922</v>
      </c>
      <c r="D89" s="114" t="s">
        <v>1495</v>
      </c>
      <c r="E89" s="115" t="s">
        <v>923</v>
      </c>
    </row>
    <row r="90" spans="1:6" ht="15.75" thickTop="1" x14ac:dyDescent="0.25">
      <c r="B90" s="54" t="s">
        <v>1255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1505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1256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1257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1505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.75" thickBot="1" x14ac:dyDescent="0.3">
      <c r="B95" s="58" t="s">
        <v>1494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6.5" thickTop="1" thickBot="1" x14ac:dyDescent="0.3">
      <c r="B96" s="117"/>
      <c r="C96" s="116" t="s">
        <v>922</v>
      </c>
      <c r="D96" s="102" t="s">
        <v>1495</v>
      </c>
      <c r="E96" s="108" t="s">
        <v>923</v>
      </c>
      <c r="F96" s="139"/>
    </row>
    <row r="97" spans="1:6" ht="16.5" thickTop="1" thickBot="1" x14ac:dyDescent="0.3">
      <c r="B97" s="104" t="s">
        <v>1073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1074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922</v>
      </c>
      <c r="D100" s="114" t="s">
        <v>1495</v>
      </c>
      <c r="E100" s="115" t="s">
        <v>923</v>
      </c>
    </row>
    <row r="101" spans="1:6" ht="15.75" thickTop="1" x14ac:dyDescent="0.25">
      <c r="B101" s="54" t="s">
        <v>1255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1506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1256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1257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1506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.75" thickBot="1" x14ac:dyDescent="0.3">
      <c r="B106" s="58" t="s">
        <v>1494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6.5" thickTop="1" thickBot="1" x14ac:dyDescent="0.3">
      <c r="B107" s="117"/>
      <c r="C107" s="116" t="s">
        <v>922</v>
      </c>
      <c r="D107" s="102" t="s">
        <v>1495</v>
      </c>
      <c r="E107" s="108" t="s">
        <v>923</v>
      </c>
      <c r="F107" s="139"/>
    </row>
    <row r="108" spans="1:6" ht="16.5" thickTop="1" thickBot="1" x14ac:dyDescent="0.3">
      <c r="B108" s="104" t="s">
        <v>1073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1074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922</v>
      </c>
      <c r="D111" s="114" t="s">
        <v>1495</v>
      </c>
      <c r="E111" s="115" t="s">
        <v>923</v>
      </c>
    </row>
    <row r="112" spans="1:6" ht="15.75" thickTop="1" x14ac:dyDescent="0.25">
      <c r="B112" s="54" t="s">
        <v>1255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1256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1257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13</v>
      </c>
      <c r="D116" s="109">
        <f>D115-C116</f>
        <v>43</v>
      </c>
      <c r="E116" s="57">
        <f>D116/C112</f>
        <v>8.8659793814432994E-2</v>
      </c>
      <c r="F116" s="139"/>
    </row>
    <row r="117" spans="2:6" ht="15.75" thickBot="1" x14ac:dyDescent="0.3">
      <c r="B117" s="58" t="s">
        <v>1494</v>
      </c>
      <c r="C117" s="137">
        <v>10</v>
      </c>
      <c r="D117" s="110">
        <f>D116-C117</f>
        <v>33</v>
      </c>
      <c r="E117" s="76">
        <f>D117/C112</f>
        <v>6.8041237113402056E-2</v>
      </c>
      <c r="F117" s="139"/>
    </row>
    <row r="118" spans="2:6" ht="16.5" thickTop="1" thickBot="1" x14ac:dyDescent="0.3">
      <c r="B118" s="117"/>
      <c r="C118" s="116" t="s">
        <v>922</v>
      </c>
      <c r="D118" s="102" t="s">
        <v>1495</v>
      </c>
      <c r="E118" s="108" t="s">
        <v>923</v>
      </c>
      <c r="F118" s="139"/>
    </row>
    <row r="119" spans="2:6" ht="16.5" thickTop="1" thickBot="1" x14ac:dyDescent="0.3">
      <c r="B119" s="104" t="s">
        <v>1073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1074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922</v>
      </c>
      <c r="D122" s="114" t="s">
        <v>1495</v>
      </c>
      <c r="E122" s="115" t="s">
        <v>923</v>
      </c>
    </row>
    <row r="123" spans="2:6" ht="15.75" thickTop="1" x14ac:dyDescent="0.25">
      <c r="B123" s="54" t="s">
        <v>1255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39"/>
    </row>
    <row r="125" spans="2:6" x14ac:dyDescent="0.25">
      <c r="B125" s="55" t="s">
        <v>1256</v>
      </c>
      <c r="C125" s="69">
        <v>0</v>
      </c>
      <c r="D125" s="109">
        <f>C124-C125</f>
        <v>0</v>
      </c>
      <c r="E125" s="57">
        <f>D125/C123</f>
        <v>0</v>
      </c>
      <c r="F125" s="139"/>
    </row>
    <row r="126" spans="2:6" x14ac:dyDescent="0.25">
      <c r="B126" s="55" t="s">
        <v>1257</v>
      </c>
      <c r="C126" s="69">
        <v>0</v>
      </c>
      <c r="D126" s="109">
        <f>D125-C126</f>
        <v>0</v>
      </c>
      <c r="E126" s="57">
        <f>D126/C123</f>
        <v>0</v>
      </c>
      <c r="F126" s="139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39"/>
    </row>
    <row r="128" spans="2:6" ht="15.75" thickBot="1" x14ac:dyDescent="0.3">
      <c r="B128" s="58" t="s">
        <v>1494</v>
      </c>
      <c r="C128" s="137"/>
      <c r="D128" s="110">
        <f>D127-C128</f>
        <v>0</v>
      </c>
      <c r="E128" s="76">
        <f>D128/C123</f>
        <v>0</v>
      </c>
      <c r="F128" s="139"/>
    </row>
    <row r="129" spans="2:6" ht="16.5" thickTop="1" thickBot="1" x14ac:dyDescent="0.3">
      <c r="B129" s="117"/>
      <c r="C129" s="116" t="s">
        <v>922</v>
      </c>
      <c r="D129" s="102" t="s">
        <v>1495</v>
      </c>
      <c r="E129" s="108" t="s">
        <v>923</v>
      </c>
      <c r="F129" s="139"/>
    </row>
    <row r="130" spans="2:6" ht="16.5" thickTop="1" thickBot="1" x14ac:dyDescent="0.3">
      <c r="B130" s="104" t="s">
        <v>1073</v>
      </c>
      <c r="C130" s="105">
        <f>BONOMOcam</f>
        <v>263</v>
      </c>
      <c r="D130" s="121">
        <f>Hoja1!Q3</f>
        <v>0</v>
      </c>
      <c r="E130" s="111">
        <f>D130/C130</f>
        <v>0</v>
      </c>
      <c r="F130" s="139"/>
    </row>
    <row r="131" spans="2:6" ht="15.75" thickBot="1" x14ac:dyDescent="0.3">
      <c r="B131" s="118" t="s">
        <v>1074</v>
      </c>
      <c r="C131" s="119">
        <f>COSEIDIcam</f>
        <v>222</v>
      </c>
      <c r="D131" s="119">
        <f>Hoja1!Q5</f>
        <v>0</v>
      </c>
      <c r="E131" s="120">
        <f>D131/C131</f>
        <v>0</v>
      </c>
      <c r="F131" s="140"/>
    </row>
    <row r="132" spans="2:6" ht="16.5" thickTop="1" thickBot="1" x14ac:dyDescent="0.3"/>
    <row r="133" spans="2:6" ht="16.5" thickTop="1" thickBot="1" x14ac:dyDescent="0.3">
      <c r="C133" s="113" t="s">
        <v>922</v>
      </c>
      <c r="D133" s="114" t="s">
        <v>1495</v>
      </c>
      <c r="E133" s="115" t="s">
        <v>923</v>
      </c>
    </row>
    <row r="134" spans="2:6" ht="15.75" thickTop="1" x14ac:dyDescent="0.25">
      <c r="B134" s="54" t="s">
        <v>1255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39"/>
    </row>
    <row r="136" spans="2:6" x14ac:dyDescent="0.25">
      <c r="B136" s="55" t="s">
        <v>1256</v>
      </c>
      <c r="C136" s="69">
        <v>0</v>
      </c>
      <c r="D136" s="109">
        <f>C135-C136</f>
        <v>0</v>
      </c>
      <c r="E136" s="57">
        <f>D136/C134</f>
        <v>0</v>
      </c>
      <c r="F136" s="139"/>
    </row>
    <row r="137" spans="2:6" x14ac:dyDescent="0.25">
      <c r="B137" s="55" t="s">
        <v>1257</v>
      </c>
      <c r="C137" s="69">
        <v>0</v>
      </c>
      <c r="D137" s="109">
        <f>D136-C137</f>
        <v>0</v>
      </c>
      <c r="E137" s="57">
        <f>D137/C134</f>
        <v>0</v>
      </c>
      <c r="F137" s="139"/>
    </row>
    <row r="138" spans="2:6" x14ac:dyDescent="0.25">
      <c r="B138" s="55" t="s">
        <v>16</v>
      </c>
      <c r="C138" s="100">
        <f>'RESUMEN TOTAL'!X5</f>
        <v>0</v>
      </c>
      <c r="D138" s="109">
        <f>D137-C138</f>
        <v>0</v>
      </c>
      <c r="E138" s="57">
        <f>D138/C134</f>
        <v>0</v>
      </c>
      <c r="F138" s="139"/>
    </row>
    <row r="139" spans="2:6" ht="15.75" thickBot="1" x14ac:dyDescent="0.3">
      <c r="B139" s="58" t="s">
        <v>1494</v>
      </c>
      <c r="C139" s="137"/>
      <c r="D139" s="110">
        <f>D138-C139</f>
        <v>0</v>
      </c>
      <c r="E139" s="76">
        <f>D139/C134</f>
        <v>0</v>
      </c>
      <c r="F139" s="139"/>
    </row>
    <row r="140" spans="2:6" ht="16.5" thickTop="1" thickBot="1" x14ac:dyDescent="0.3">
      <c r="B140" s="117"/>
      <c r="C140" s="116" t="s">
        <v>922</v>
      </c>
      <c r="D140" s="102" t="s">
        <v>1495</v>
      </c>
      <c r="E140" s="108" t="s">
        <v>923</v>
      </c>
      <c r="F140" s="139"/>
    </row>
    <row r="141" spans="2:6" ht="16.5" thickTop="1" thickBot="1" x14ac:dyDescent="0.3">
      <c r="B141" s="104" t="s">
        <v>1073</v>
      </c>
      <c r="C141" s="105">
        <f>BONOMOcam</f>
        <v>263</v>
      </c>
      <c r="D141" s="121">
        <f>Hoja1!R14</f>
        <v>0</v>
      </c>
      <c r="E141" s="111">
        <f>D141/C141</f>
        <v>0</v>
      </c>
      <c r="F141" s="139"/>
    </row>
    <row r="142" spans="2:6" ht="15.75" thickBot="1" x14ac:dyDescent="0.3">
      <c r="B142" s="118" t="s">
        <v>1074</v>
      </c>
      <c r="C142" s="119">
        <f>COSEIDIcam</f>
        <v>222</v>
      </c>
      <c r="D142" s="119">
        <f>Hoja1!R16</f>
        <v>0</v>
      </c>
      <c r="E142" s="120">
        <f>D142/C142</f>
        <v>0</v>
      </c>
      <c r="F142" s="140"/>
    </row>
    <row r="143" spans="2:6" ht="16.5" thickTop="1" thickBot="1" x14ac:dyDescent="0.3"/>
    <row r="144" spans="2:6" ht="16.5" thickTop="1" thickBot="1" x14ac:dyDescent="0.3">
      <c r="C144" s="113" t="s">
        <v>922</v>
      </c>
      <c r="D144" s="114" t="s">
        <v>1495</v>
      </c>
      <c r="E144" s="115" t="s">
        <v>923</v>
      </c>
    </row>
    <row r="145" spans="2:6" ht="15.75" thickTop="1" x14ac:dyDescent="0.25">
      <c r="B145" s="54" t="s">
        <v>1255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1256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1257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1494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922</v>
      </c>
      <c r="D151" s="102" t="s">
        <v>1495</v>
      </c>
      <c r="E151" s="108" t="s">
        <v>923</v>
      </c>
      <c r="F151" s="139"/>
    </row>
    <row r="152" spans="2:6" ht="16.5" thickTop="1" thickBot="1" x14ac:dyDescent="0.3">
      <c r="B152" s="104" t="s">
        <v>1073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1074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922</v>
      </c>
      <c r="D155" s="114" t="s">
        <v>1495</v>
      </c>
      <c r="E155" s="115" t="s">
        <v>923</v>
      </c>
    </row>
    <row r="156" spans="2:6" ht="15.75" thickTop="1" x14ac:dyDescent="0.25">
      <c r="B156" s="54" t="s">
        <v>1255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1256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1257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1494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922</v>
      </c>
      <c r="D162" s="102" t="s">
        <v>1495</v>
      </c>
      <c r="E162" s="108" t="s">
        <v>923</v>
      </c>
      <c r="F162" s="139"/>
    </row>
    <row r="163" spans="2:6" ht="16.5" thickTop="1" thickBot="1" x14ac:dyDescent="0.3">
      <c r="B163" s="104" t="s">
        <v>1073</v>
      </c>
      <c r="C163" s="105">
        <f>BONOMOcam</f>
        <v>263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1074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922</v>
      </c>
      <c r="D166" s="114" t="s">
        <v>1495</v>
      </c>
      <c r="E166" s="115" t="s">
        <v>923</v>
      </c>
    </row>
    <row r="167" spans="2:6" ht="15.75" thickTop="1" x14ac:dyDescent="0.25">
      <c r="B167" s="54" t="s">
        <v>1255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1256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1257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1494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922</v>
      </c>
      <c r="D173" s="102" t="s">
        <v>1495</v>
      </c>
      <c r="E173" s="108" t="s">
        <v>923</v>
      </c>
      <c r="F173" s="139"/>
    </row>
    <row r="174" spans="2:6" ht="16.5" thickTop="1" thickBot="1" x14ac:dyDescent="0.3">
      <c r="B174" s="104" t="s">
        <v>1073</v>
      </c>
      <c r="C174" s="105">
        <f>BONOMOcam</f>
        <v>263</v>
      </c>
      <c r="D174" s="121">
        <f>Hoja1!U3</f>
        <v>0</v>
      </c>
      <c r="E174" s="111">
        <f>D174/C174</f>
        <v>0</v>
      </c>
      <c r="F174" s="139"/>
    </row>
    <row r="175" spans="2:6" ht="15.75" thickBot="1" x14ac:dyDescent="0.3">
      <c r="B175" s="118" t="s">
        <v>1074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922</v>
      </c>
      <c r="D177" s="114" t="s">
        <v>1495</v>
      </c>
      <c r="E177" s="115" t="s">
        <v>923</v>
      </c>
    </row>
    <row r="178" spans="2:6" ht="15.75" thickTop="1" x14ac:dyDescent="0.25">
      <c r="B178" s="54" t="s">
        <v>1255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39"/>
    </row>
    <row r="180" spans="2:6" x14ac:dyDescent="0.25">
      <c r="B180" s="55" t="s">
        <v>1256</v>
      </c>
      <c r="C180" s="69">
        <v>0</v>
      </c>
      <c r="D180" s="109">
        <f>C179-C180</f>
        <v>0</v>
      </c>
      <c r="E180" s="57">
        <f>D180/C178</f>
        <v>0</v>
      </c>
      <c r="F180" s="139"/>
    </row>
    <row r="181" spans="2:6" x14ac:dyDescent="0.25">
      <c r="B181" s="55" t="s">
        <v>1257</v>
      </c>
      <c r="C181" s="69">
        <v>0</v>
      </c>
      <c r="D181" s="109">
        <f>D180-C181</f>
        <v>0</v>
      </c>
      <c r="E181" s="57">
        <f>D181/C178</f>
        <v>0</v>
      </c>
      <c r="F181" s="139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39"/>
    </row>
    <row r="183" spans="2:6" ht="15.75" thickBot="1" x14ac:dyDescent="0.3">
      <c r="B183" s="58" t="s">
        <v>1494</v>
      </c>
      <c r="C183" s="137"/>
      <c r="D183" s="110">
        <f>D182-C183</f>
        <v>0</v>
      </c>
      <c r="E183" s="76">
        <f>D183/C178</f>
        <v>0</v>
      </c>
      <c r="F183" s="139"/>
    </row>
    <row r="184" spans="2:6" ht="16.5" thickTop="1" thickBot="1" x14ac:dyDescent="0.3">
      <c r="B184" s="117"/>
      <c r="C184" s="116" t="s">
        <v>922</v>
      </c>
      <c r="D184" s="102" t="s">
        <v>1495</v>
      </c>
      <c r="E184" s="108" t="s">
        <v>923</v>
      </c>
      <c r="F184" s="139"/>
    </row>
    <row r="185" spans="2:6" ht="16.5" thickTop="1" thickBot="1" x14ac:dyDescent="0.3">
      <c r="B185" s="104" t="s">
        <v>1073</v>
      </c>
      <c r="C185" s="105">
        <f>BONOMOcam</f>
        <v>263</v>
      </c>
      <c r="D185" s="121">
        <f>Hoja1!V3</f>
        <v>0</v>
      </c>
      <c r="E185" s="111">
        <f>D185/C185</f>
        <v>0</v>
      </c>
      <c r="F185" s="139"/>
    </row>
    <row r="186" spans="2:6" ht="15.75" thickBot="1" x14ac:dyDescent="0.3">
      <c r="B186" s="118" t="s">
        <v>1074</v>
      </c>
      <c r="C186" s="119">
        <f>COSEIDIcam</f>
        <v>222</v>
      </c>
      <c r="D186" s="119">
        <f>Hoja1!V5</f>
        <v>0</v>
      </c>
      <c r="E186" s="120">
        <f>D186/C186</f>
        <v>0</v>
      </c>
      <c r="F186" s="140"/>
    </row>
    <row r="187" spans="2:6" ht="16.5" thickTop="1" thickBot="1" x14ac:dyDescent="0.3"/>
    <row r="188" spans="2:6" ht="16.5" thickTop="1" thickBot="1" x14ac:dyDescent="0.3">
      <c r="C188" s="113" t="s">
        <v>922</v>
      </c>
      <c r="D188" s="114" t="s">
        <v>1495</v>
      </c>
      <c r="E188" s="115" t="s">
        <v>923</v>
      </c>
    </row>
    <row r="189" spans="2:6" ht="15.75" thickTop="1" x14ac:dyDescent="0.25">
      <c r="B189" s="54" t="s">
        <v>1255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f>'RESUMEN TOTAL'!AB14</f>
        <v>0</v>
      </c>
      <c r="D190" s="56"/>
      <c r="E190" s="57">
        <f>C190/C189</f>
        <v>0</v>
      </c>
      <c r="F190" s="139"/>
    </row>
    <row r="191" spans="2:6" x14ac:dyDescent="0.25">
      <c r="B191" s="55" t="s">
        <v>1256</v>
      </c>
      <c r="C191" s="69">
        <v>0</v>
      </c>
      <c r="D191" s="109">
        <f>C190-C191</f>
        <v>0</v>
      </c>
      <c r="E191" s="57">
        <f>D191/C189</f>
        <v>0</v>
      </c>
      <c r="F191" s="139"/>
    </row>
    <row r="192" spans="2:6" x14ac:dyDescent="0.25">
      <c r="B192" s="55" t="s">
        <v>1257</v>
      </c>
      <c r="C192" s="69">
        <v>0</v>
      </c>
      <c r="D192" s="109">
        <f>D191-C192</f>
        <v>0</v>
      </c>
      <c r="E192" s="57">
        <f>D192/C189</f>
        <v>0</v>
      </c>
      <c r="F192" s="139"/>
    </row>
    <row r="193" spans="2:6" x14ac:dyDescent="0.25">
      <c r="B193" s="55" t="s">
        <v>16</v>
      </c>
      <c r="C193" s="100">
        <f>'RESUMEN TOTAL'!AB16</f>
        <v>0</v>
      </c>
      <c r="D193" s="109">
        <f>D192-C193</f>
        <v>0</v>
      </c>
      <c r="E193" s="57">
        <f>D193/C189</f>
        <v>0</v>
      </c>
      <c r="F193" s="139"/>
    </row>
    <row r="194" spans="2:6" ht="15.75" thickBot="1" x14ac:dyDescent="0.3">
      <c r="B194" s="58" t="s">
        <v>1494</v>
      </c>
      <c r="C194" s="137"/>
      <c r="D194" s="110">
        <f>D193-C194</f>
        <v>0</v>
      </c>
      <c r="E194" s="76">
        <f>D194/C189</f>
        <v>0</v>
      </c>
      <c r="F194" s="139"/>
    </row>
    <row r="195" spans="2:6" ht="16.5" thickTop="1" thickBot="1" x14ac:dyDescent="0.3">
      <c r="B195" s="117"/>
      <c r="C195" s="116" t="s">
        <v>922</v>
      </c>
      <c r="D195" s="102" t="s">
        <v>1495</v>
      </c>
      <c r="E195" s="108" t="s">
        <v>923</v>
      </c>
      <c r="F195" s="139"/>
    </row>
    <row r="196" spans="2:6" ht="16.5" thickTop="1" thickBot="1" x14ac:dyDescent="0.3">
      <c r="B196" s="104" t="s">
        <v>1073</v>
      </c>
      <c r="C196" s="105">
        <f>BONOMOcam</f>
        <v>263</v>
      </c>
      <c r="D196" s="121">
        <f>Hoja1!V14</f>
        <v>0</v>
      </c>
      <c r="E196" s="111">
        <f>D196/C196</f>
        <v>0</v>
      </c>
      <c r="F196" s="139"/>
    </row>
    <row r="197" spans="2:6" ht="15.75" thickBot="1" x14ac:dyDescent="0.3">
      <c r="B197" s="118" t="s">
        <v>1074</v>
      </c>
      <c r="C197" s="119">
        <f>COSEIDIcam</f>
        <v>222</v>
      </c>
      <c r="D197" s="119">
        <f>Hoja1!V16</f>
        <v>0</v>
      </c>
      <c r="E197" s="120">
        <f>D197/C197</f>
        <v>0</v>
      </c>
      <c r="F197" s="140"/>
    </row>
    <row r="198" spans="2:6" ht="16.5" thickTop="1" thickBot="1" x14ac:dyDescent="0.3"/>
    <row r="199" spans="2:6" ht="16.5" thickTop="1" thickBot="1" x14ac:dyDescent="0.3">
      <c r="C199" s="113" t="s">
        <v>922</v>
      </c>
      <c r="D199" s="114" t="s">
        <v>1495</v>
      </c>
      <c r="E199" s="115" t="s">
        <v>923</v>
      </c>
    </row>
    <row r="200" spans="2:6" ht="15.75" thickTop="1" x14ac:dyDescent="0.25">
      <c r="B200" s="54" t="s">
        <v>1255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39"/>
    </row>
    <row r="202" spans="2:6" x14ac:dyDescent="0.25">
      <c r="B202" s="55" t="s">
        <v>1256</v>
      </c>
      <c r="C202" s="69">
        <v>0</v>
      </c>
      <c r="D202" s="109">
        <f>C201-C202</f>
        <v>0</v>
      </c>
      <c r="E202" s="57">
        <f>D202/C200</f>
        <v>0</v>
      </c>
      <c r="F202" s="139"/>
    </row>
    <row r="203" spans="2:6" x14ac:dyDescent="0.25">
      <c r="B203" s="55" t="s">
        <v>1257</v>
      </c>
      <c r="C203" s="69">
        <v>0</v>
      </c>
      <c r="D203" s="109">
        <f>D202-C203</f>
        <v>0</v>
      </c>
      <c r="E203" s="57">
        <f>D203/C200</f>
        <v>0</v>
      </c>
      <c r="F203" s="139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39"/>
    </row>
    <row r="205" spans="2:6" ht="15.75" thickBot="1" x14ac:dyDescent="0.3">
      <c r="B205" s="58" t="s">
        <v>1494</v>
      </c>
      <c r="C205" s="137"/>
      <c r="D205" s="110">
        <f>D204-C205</f>
        <v>0</v>
      </c>
      <c r="E205" s="76">
        <f>D205/C200</f>
        <v>0</v>
      </c>
      <c r="F205" s="139"/>
    </row>
    <row r="206" spans="2:6" ht="16.5" thickTop="1" thickBot="1" x14ac:dyDescent="0.3">
      <c r="B206" s="117"/>
      <c r="C206" s="116" t="s">
        <v>922</v>
      </c>
      <c r="D206" s="102" t="s">
        <v>1495</v>
      </c>
      <c r="E206" s="108" t="s">
        <v>923</v>
      </c>
      <c r="F206" s="139"/>
    </row>
    <row r="207" spans="2:6" ht="16.5" thickTop="1" thickBot="1" x14ac:dyDescent="0.3">
      <c r="B207" s="104" t="s">
        <v>1073</v>
      </c>
      <c r="C207" s="105">
        <f>BONOMOcam</f>
        <v>263</v>
      </c>
      <c r="D207" s="121">
        <f>Hoja1!W3</f>
        <v>0</v>
      </c>
      <c r="E207" s="111">
        <f>D207/C207</f>
        <v>0</v>
      </c>
      <c r="F207" s="139"/>
    </row>
    <row r="208" spans="2:6" ht="15.75" thickBot="1" x14ac:dyDescent="0.3">
      <c r="B208" s="118" t="s">
        <v>1074</v>
      </c>
      <c r="C208" s="119">
        <f>COSEIDIcam</f>
        <v>222</v>
      </c>
      <c r="D208" s="119">
        <f>Hoja1!W5</f>
        <v>0</v>
      </c>
      <c r="E208" s="120">
        <f>D208/C208</f>
        <v>0</v>
      </c>
      <c r="F208" s="140"/>
    </row>
    <row r="209" spans="2:6" ht="16.5" thickTop="1" thickBot="1" x14ac:dyDescent="0.3"/>
    <row r="210" spans="2:6" ht="16.5" thickTop="1" thickBot="1" x14ac:dyDescent="0.3">
      <c r="C210" s="113" t="s">
        <v>922</v>
      </c>
      <c r="D210" s="114" t="s">
        <v>1495</v>
      </c>
      <c r="E210" s="115" t="s">
        <v>923</v>
      </c>
    </row>
    <row r="211" spans="2:6" ht="15.75" thickTop="1" x14ac:dyDescent="0.25">
      <c r="B211" s="54" t="s">
        <v>1255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25">
      <c r="B212" s="55" t="s">
        <v>6</v>
      </c>
      <c r="C212" s="68">
        <f>'RESUMEN TOTAL'!AE3</f>
        <v>0</v>
      </c>
      <c r="D212" s="56"/>
      <c r="E212" s="57">
        <f>C212/C211</f>
        <v>0</v>
      </c>
      <c r="F212" s="139"/>
    </row>
    <row r="213" spans="2:6" x14ac:dyDescent="0.25">
      <c r="B213" s="55" t="s">
        <v>1256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25">
      <c r="B214" s="55" t="s">
        <v>1257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25">
      <c r="B215" s="55" t="s">
        <v>16</v>
      </c>
      <c r="C215" s="100">
        <f>'RESUMEN TOTAL'!AE5</f>
        <v>0</v>
      </c>
      <c r="D215" s="109">
        <f>D214-C215</f>
        <v>0</v>
      </c>
      <c r="E215" s="57">
        <f>D215/C211</f>
        <v>0</v>
      </c>
      <c r="F215" s="139"/>
    </row>
    <row r="216" spans="2:6" ht="15.75" thickBot="1" x14ac:dyDescent="0.3">
      <c r="B216" s="58" t="s">
        <v>1494</v>
      </c>
      <c r="C216" s="137"/>
      <c r="D216" s="110">
        <f>D215-C216</f>
        <v>0</v>
      </c>
      <c r="E216" s="76">
        <f>D216/C211</f>
        <v>0</v>
      </c>
      <c r="F216" s="139"/>
    </row>
    <row r="217" spans="2:6" ht="16.5" thickTop="1" thickBot="1" x14ac:dyDescent="0.3">
      <c r="B217" s="117"/>
      <c r="C217" s="116" t="s">
        <v>922</v>
      </c>
      <c r="D217" s="102" t="s">
        <v>1495</v>
      </c>
      <c r="E217" s="108" t="s">
        <v>923</v>
      </c>
      <c r="F217" s="139"/>
    </row>
    <row r="218" spans="2:6" ht="16.5" thickTop="1" thickBot="1" x14ac:dyDescent="0.3">
      <c r="B218" s="104" t="s">
        <v>1073</v>
      </c>
      <c r="C218" s="105">
        <f>BONOMOcam</f>
        <v>263</v>
      </c>
      <c r="D218" s="121">
        <f>Hoja1!Y3</f>
        <v>0</v>
      </c>
      <c r="E218" s="111">
        <f>D218/C218</f>
        <v>0</v>
      </c>
      <c r="F218" s="139"/>
    </row>
    <row r="219" spans="2:6" ht="15.75" thickBot="1" x14ac:dyDescent="0.3">
      <c r="B219" s="118" t="s">
        <v>1074</v>
      </c>
      <c r="C219" s="119">
        <f>COSEIDIcam</f>
        <v>222</v>
      </c>
      <c r="D219" s="119">
        <f>Hoja1!Y5</f>
        <v>0</v>
      </c>
      <c r="E219" s="120">
        <f>D219/C219</f>
        <v>0</v>
      </c>
      <c r="F219" s="140"/>
    </row>
    <row r="220" spans="2:6" ht="15.75" thickTop="1" x14ac:dyDescent="0.25"/>
  </sheetData>
  <sheetProtection selectLockedCells="1"/>
  <mergeCells count="20">
    <mergeCell ref="F189:F197"/>
    <mergeCell ref="F200:F208"/>
    <mergeCell ref="F211:F219"/>
    <mergeCell ref="F134:F142"/>
    <mergeCell ref="F145:F153"/>
    <mergeCell ref="F156:F164"/>
    <mergeCell ref="F167:F175"/>
    <mergeCell ref="F178:F186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120" zoomScaleNormal="120" workbookViewId="0">
      <selection activeCell="AI6" sqref="A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1081</v>
      </c>
    </row>
    <row r="2" spans="1:35" ht="16.5" thickTop="1" thickBot="1" x14ac:dyDescent="0.3">
      <c r="A2" s="50" t="s">
        <v>1073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1073</v>
      </c>
      <c r="E3" s="46" t="s">
        <v>1082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0</v>
      </c>
      <c r="R3" s="47">
        <f>COUNTIFS('RESUMEN TOTAL'!X8:X600,"=APAGADO",'RESUMEN TOTAL'!C8:C600,"=BONOMO")</f>
        <v>0</v>
      </c>
      <c r="S3" s="47">
        <f>COUNTIFS('RESUMEN TOTAL'!Y8:Y600,"=APAGADO",'RESUMEN TOTAL'!C8:C600,"=BONOMO")</f>
        <v>0</v>
      </c>
      <c r="T3" s="47">
        <f>COUNTIFS('RESUMEN TOTAL'!Z8:Z600,"=APAGADO",'RESUMEN TOTAL'!C8:C600,"=BONOMO")</f>
        <v>0</v>
      </c>
      <c r="U3" s="47">
        <f>COUNTIFS('RESUMEN TOTAL'!AA8:AA600,"=APAGADO",'RESUMEN TOTAL'!C8:C600,"=BONOMO")</f>
        <v>0</v>
      </c>
      <c r="V3" s="47">
        <f>COUNTIFS('RESUMEN TOTAL'!AB8:AB600,"=APAGADO",'RESUMEN TOTAL'!C8:C600,"=BONOMO")</f>
        <v>0</v>
      </c>
      <c r="W3" s="47">
        <f>COUNTIFS('RESUMEN TOTAL'!AC8:AC600,"=APAGADO",'RESUMEN TOTAL'!C8:C600,"=BONOMO")</f>
        <v>0</v>
      </c>
      <c r="X3" s="47">
        <f>COUNTIFS('RESUMEN TOTAL'!AD8:AD600,"=APAGADO",'RESUMEN TOTAL'!C8:C600,"=BONOMO")</f>
        <v>0</v>
      </c>
      <c r="Y3" s="47">
        <f>COUNTIFS('RESUMEN TOTAL'!AE8:AE600,"=APAGADO",'RESUMEN TOTAL'!C8:C600,"=BONOMO")</f>
        <v>0</v>
      </c>
      <c r="Z3" s="47">
        <f>COUNTIFS('RESUMEN TOTAL'!AF8:AF600,"=APAGADO",'RESUMEN TOTAL'!C8:C600,"=BONOMO")</f>
        <v>0</v>
      </c>
      <c r="AA3" s="47">
        <f>COUNTIFS('RESUMEN TOTAL'!AG8:AG600,"=APAGADO",'RESUMEN TOTAL'!C8:C600,"=BONOMO")</f>
        <v>0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1074</v>
      </c>
      <c r="B4" s="42">
        <f>COUNTIFS('RESUMEN TOTAL'!C8:C492,"=COSEIDI")</f>
        <v>222</v>
      </c>
      <c r="D4" s="40"/>
      <c r="E4" s="38" t="s">
        <v>1084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1074</v>
      </c>
      <c r="E5" s="48" t="s">
        <v>1083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0</v>
      </c>
      <c r="R5" s="47">
        <f>COUNTIFS('RESUMEN TOTAL'!X10:X602,"=APAGADO",'RESUMEN TOTAL'!C10:C602,"=COSEIDI")</f>
        <v>0</v>
      </c>
      <c r="S5" s="47">
        <f>COUNTIFS('RESUMEN TOTAL'!Y10:Y602,"=APAGADO",'RESUMEN TOTAL'!C10:C602,"=COSEIDI")</f>
        <v>0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0</v>
      </c>
      <c r="W5" s="47">
        <f>COUNTIFS('RESUMEN TOTAL'!AC10:AC602,"=APAGADO",'RESUMEN TOTAL'!C10:C602,"=COSEIDI")</f>
        <v>0</v>
      </c>
      <c r="X5" s="47">
        <f>COUNTIFS('RESUMEN TOTAL'!AD10:AD602,"=APAGADO",'RESUMEN TOTAL'!C10:C602,"=COSEIDI")</f>
        <v>0</v>
      </c>
      <c r="Y5" s="47">
        <f>COUNTIFS('RESUMEN TOTAL'!AE10:AE602,"=APAGADO",'RESUMEN TOTAL'!C10:C602,"=COSEIDI")</f>
        <v>0</v>
      </c>
      <c r="Z5" s="47">
        <f>COUNTIFS('RESUMEN TOTAL'!AF10:AF602,"=APAGADO",'RESUMEN TOTAL'!C10:C602,"=COSEIDI")</f>
        <v>0</v>
      </c>
      <c r="AA5" s="47">
        <f>COUNTIFS('RESUMEN TOTAL'!AG10:AG602,"=APAGADO",'RESUMEN TOTAL'!C10:C602,"=COSEIDI")</f>
        <v>0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1085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1316</v>
      </c>
      <c r="D1" s="29">
        <f>COUNTIFS(A5:A601,"=paradas seguras")/2</f>
        <v>0</v>
      </c>
      <c r="E1" s="80" t="s">
        <v>1317</v>
      </c>
      <c r="F1" s="80"/>
      <c r="G1" s="80"/>
      <c r="H1" s="81">
        <f>COUNTIFS(A5:A601,"=paradas seguras")</f>
        <v>0</v>
      </c>
      <c r="I1" s="82" t="s">
        <v>1318</v>
      </c>
      <c r="J1" s="82"/>
      <c r="K1" s="83">
        <f>COUNTIFS(D5:D601,"=GFIJA")</f>
        <v>0</v>
      </c>
      <c r="L1" s="84" t="s">
        <v>1319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1321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1313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>
        <f>'RESUMEN TOTAL'!W37</f>
        <v>0</v>
      </c>
      <c r="R29" s="72">
        <f>'RESUMEN TOTAL'!X37</f>
        <v>0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>
        <f>'RESUMEN TOTAL'!AB37</f>
        <v>0</v>
      </c>
      <c r="W29" s="72">
        <f>'RESUMEN TOTAL'!AC37</f>
        <v>0</v>
      </c>
      <c r="X29" s="72">
        <f>'RESUMEN TOTAL'!AD37</f>
        <v>0</v>
      </c>
      <c r="Y29" s="72">
        <f>'RESUMEN TOTAL'!AE37</f>
        <v>0</v>
      </c>
      <c r="Z29" s="72">
        <f>'RESUMEN TOTAL'!AF37</f>
        <v>0</v>
      </c>
      <c r="AA29" s="72">
        <f>'RESUMEN TOTAL'!AG37</f>
        <v>0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>
        <f>'RESUMEN TOTAL'!AE43</f>
        <v>0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>
        <f>'RESUMEN TOTAL'!AE49</f>
        <v>0</v>
      </c>
      <c r="Z41" s="72">
        <f>'RESUMEN TOTAL'!AF49</f>
        <v>0</v>
      </c>
      <c r="AA41" s="72">
        <f>'RESUMEN TOTAL'!AG49</f>
        <v>0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>
        <f>'RESUMEN TOTAL'!X52</f>
        <v>0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>
        <f>'RESUMEN TOTAL'!AB52</f>
        <v>0</v>
      </c>
      <c r="W44" s="72">
        <f>'RESUMEN TOTAL'!AC52</f>
        <v>0</v>
      </c>
      <c r="X44" s="72">
        <f>'RESUMEN TOTAL'!AD52</f>
        <v>0</v>
      </c>
      <c r="Y44" s="72">
        <f>'RESUMEN TOTAL'!AE52</f>
        <v>0</v>
      </c>
      <c r="Z44" s="72">
        <f>'RESUMEN TOTAL'!AF52</f>
        <v>0</v>
      </c>
      <c r="AA44" s="72">
        <f>'RESUMEN TOTAL'!AG52</f>
        <v>0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>
        <f>'RESUMEN TOTAL'!AE54</f>
        <v>0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>
        <f>'RESUMEN TOTAL'!AE55</f>
        <v>0</v>
      </c>
      <c r="Z47" s="72">
        <f>'RESUMEN TOTAL'!AF55</f>
        <v>0</v>
      </c>
      <c r="AA47" s="72">
        <f>'RESUMEN TOTAL'!AG55</f>
        <v>0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>
        <f>'RESUMEN TOTAL'!W56</f>
        <v>0</v>
      </c>
      <c r="R48" s="72">
        <f>'RESUMEN TOTAL'!X56</f>
        <v>0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>
        <f>'RESUMEN TOTAL'!AB56</f>
        <v>0</v>
      </c>
      <c r="W48" s="72">
        <f>'RESUMEN TOTAL'!AC56</f>
        <v>0</v>
      </c>
      <c r="X48" s="72">
        <f>'RESUMEN TOTAL'!AD56</f>
        <v>0</v>
      </c>
      <c r="Y48" s="72">
        <f>'RESUMEN TOTAL'!AE56</f>
        <v>0</v>
      </c>
      <c r="Z48" s="72">
        <f>'RESUMEN TOTAL'!AF56</f>
        <v>0</v>
      </c>
      <c r="AA48" s="72">
        <f>'RESUMEN TOTAL'!AG56</f>
        <v>0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>
        <f>'RESUMEN TOTAL'!AC57</f>
        <v>0</v>
      </c>
      <c r="X49" s="72">
        <f>'RESUMEN TOTAL'!AD57</f>
        <v>0</v>
      </c>
      <c r="Y49" s="72">
        <f>'RESUMEN TOTAL'!AE57</f>
        <v>0</v>
      </c>
      <c r="Z49" s="72">
        <f>'RESUMEN TOTAL'!AF57</f>
        <v>0</v>
      </c>
      <c r="AA49" s="72">
        <f>'RESUMEN TOTAL'!AG57</f>
        <v>0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>
        <f>'RESUMEN TOTAL'!AE58</f>
        <v>0</v>
      </c>
      <c r="Z50" s="72">
        <f>'RESUMEN TOTAL'!AF58</f>
        <v>0</v>
      </c>
      <c r="AA50" s="72">
        <f>'RESUMEN TOTAL'!AG58</f>
        <v>0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>
        <f>'RESUMEN TOTAL'!AE59</f>
        <v>0</v>
      </c>
      <c r="Z51" s="72">
        <f>'RESUMEN TOTAL'!AF59</f>
        <v>0</v>
      </c>
      <c r="AA51" s="72">
        <f>'RESUMEN TOTAL'!AG59</f>
        <v>0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>
        <f>'RESUMEN TOTAL'!AE60</f>
        <v>0</v>
      </c>
      <c r="Z52" s="72">
        <f>'RESUMEN TOTAL'!AF60</f>
        <v>0</v>
      </c>
      <c r="AA52" s="72">
        <f>'RESUMEN TOTAL'!AG60</f>
        <v>0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>
        <f>'RESUMEN TOTAL'!AE61</f>
        <v>0</v>
      </c>
      <c r="Z53" s="72">
        <f>'RESUMEN TOTAL'!AF61</f>
        <v>0</v>
      </c>
      <c r="AA53" s="72">
        <f>'RESUMEN TOTAL'!AG61</f>
        <v>0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>
        <f>'RESUMEN TOTAL'!AE62</f>
        <v>0</v>
      </c>
      <c r="Z54" s="72">
        <f>'RESUMEN TOTAL'!AF62</f>
        <v>0</v>
      </c>
      <c r="AA54" s="72">
        <f>'RESUMEN TOTAL'!AG62</f>
        <v>0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>
        <f>'RESUMEN TOTAL'!AE63</f>
        <v>0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>
        <f>'RESUMEN TOTAL'!W73</f>
        <v>0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>
        <f>'RESUMEN TOTAL'!AE74</f>
        <v>0</v>
      </c>
      <c r="Z66" s="72">
        <f>'RESUMEN TOTAL'!AF74</f>
        <v>0</v>
      </c>
      <c r="AA66" s="72">
        <f>'RESUMEN TOTAL'!AG74</f>
        <v>0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>
        <f>'RESUMEN TOTAL'!AE75</f>
        <v>0</v>
      </c>
      <c r="Z67" s="72">
        <f>'RESUMEN TOTAL'!AF75</f>
        <v>0</v>
      </c>
      <c r="AA67" s="72">
        <f>'RESUMEN TOTAL'!AG75</f>
        <v>0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>
        <f>'RESUMEN TOTAL'!AE78</f>
        <v>0</v>
      </c>
      <c r="Z70" s="72">
        <f>'RESUMEN TOTAL'!AF78</f>
        <v>0</v>
      </c>
      <c r="AA70" s="72">
        <f>'RESUMEN TOTAL'!AG78</f>
        <v>0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>
        <f>'RESUMEN TOTAL'!AC90</f>
        <v>0</v>
      </c>
      <c r="X82" s="72">
        <f>'RESUMEN TOTAL'!AD90</f>
        <v>0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>
        <f>'RESUMEN TOTAL'!W98</f>
        <v>0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>
        <f>'RESUMEN TOTAL'!W99</f>
        <v>0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>
        <f>'RESUMEN TOTAL'!AE106</f>
        <v>0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>
        <f>'RESUMEN TOTAL'!AE107</f>
        <v>0</v>
      </c>
      <c r="Z99" s="72">
        <f>'RESUMEN TOTAL'!AF107</f>
        <v>0</v>
      </c>
      <c r="AA99" s="72">
        <f>'RESUMEN TOTAL'!AG107</f>
        <v>0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>
        <f>'RESUMEN TOTAL'!AE108</f>
        <v>0</v>
      </c>
      <c r="Z100" s="72">
        <f>'RESUMEN TOTAL'!AF108</f>
        <v>0</v>
      </c>
      <c r="AA100" s="72">
        <f>'RESUMEN TOTAL'!AG108</f>
        <v>0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>
        <f>'RESUMEN TOTAL'!AE109</f>
        <v>0</v>
      </c>
      <c r="Z101" s="72">
        <f>'RESUMEN TOTAL'!AF109</f>
        <v>0</v>
      </c>
      <c r="AA101" s="72">
        <f>'RESUMEN TOTAL'!AG109</f>
        <v>0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>
        <f>'RESUMEN TOTAL'!W113</f>
        <v>0</v>
      </c>
      <c r="R105" s="72">
        <f>'RESUMEN TOTAL'!X113</f>
        <v>0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>
        <f>'RESUMEN TOTAL'!AB113</f>
        <v>0</v>
      </c>
      <c r="W105" s="72">
        <f>'RESUMEN TOTAL'!AC113</f>
        <v>0</v>
      </c>
      <c r="X105" s="72">
        <f>'RESUMEN TOTAL'!AD113</f>
        <v>0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>
        <f>'RESUMEN TOTAL'!W121</f>
        <v>0</v>
      </c>
      <c r="R111" s="72">
        <f>'RESUMEN TOTAL'!X121</f>
        <v>0</v>
      </c>
      <c r="S111" s="72">
        <f>'RESUMEN TOTAL'!Y121</f>
        <v>0</v>
      </c>
      <c r="T111" s="72">
        <f>'RESUMEN TOTAL'!Z121</f>
        <v>0</v>
      </c>
      <c r="U111" s="72">
        <f>'RESUMEN TOTAL'!AA121</f>
        <v>0</v>
      </c>
      <c r="V111" s="72">
        <f>'RESUMEN TOTAL'!AB121</f>
        <v>0</v>
      </c>
      <c r="W111" s="72">
        <f>'RESUMEN TOTAL'!AC121</f>
        <v>0</v>
      </c>
      <c r="X111" s="72">
        <f>'RESUMEN TOTAL'!AD121</f>
        <v>0</v>
      </c>
      <c r="Y111" s="72">
        <f>'RESUMEN TOTAL'!AE121</f>
        <v>0</v>
      </c>
      <c r="Z111" s="72">
        <f>'RESUMEN TOTAL'!AF121</f>
        <v>0</v>
      </c>
      <c r="AA111" s="72">
        <f>'RESUMEN TOTAL'!AG121</f>
        <v>0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>
        <f>'RESUMEN TOTAL'!W128</f>
        <v>0</v>
      </c>
      <c r="R118" s="72">
        <f>'RESUMEN TOTAL'!X128</f>
        <v>0</v>
      </c>
      <c r="S118" s="72">
        <f>'RESUMEN TOTAL'!Y128</f>
        <v>0</v>
      </c>
      <c r="T118" s="72">
        <f>'RESUMEN TOTAL'!Z128</f>
        <v>0</v>
      </c>
      <c r="U118" s="72">
        <f>'RESUMEN TOTAL'!AA128</f>
        <v>0</v>
      </c>
      <c r="V118" s="72">
        <f>'RESUMEN TOTAL'!AB128</f>
        <v>0</v>
      </c>
      <c r="W118" s="72">
        <f>'RESUMEN TOTAL'!AC128</f>
        <v>0</v>
      </c>
      <c r="X118" s="72">
        <f>'RESUMEN TOTAL'!AD128</f>
        <v>0</v>
      </c>
      <c r="Y118" s="72">
        <f>'RESUMEN TOTAL'!AE128</f>
        <v>0</v>
      </c>
      <c r="Z118" s="72">
        <f>'RESUMEN TOTAL'!AF128</f>
        <v>0</v>
      </c>
      <c r="AA118" s="72">
        <f>'RESUMEN TOTAL'!AG128</f>
        <v>0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>
        <f>'RESUMEN TOTAL'!W131</f>
        <v>0</v>
      </c>
      <c r="R121" s="72">
        <f>'RESUMEN TOTAL'!X131</f>
        <v>0</v>
      </c>
      <c r="S121" s="72">
        <f>'RESUMEN TOTAL'!Y131</f>
        <v>0</v>
      </c>
      <c r="T121" s="72">
        <f>'RESUMEN TOTAL'!Z131</f>
        <v>0</v>
      </c>
      <c r="U121" s="72">
        <f>'RESUMEN TOTAL'!AA131</f>
        <v>0</v>
      </c>
      <c r="V121" s="72">
        <f>'RESUMEN TOTAL'!AB131</f>
        <v>0</v>
      </c>
      <c r="W121" s="72">
        <f>'RESUMEN TOTAL'!AC131</f>
        <v>0</v>
      </c>
      <c r="X121" s="72">
        <f>'RESUMEN TOTAL'!AD131</f>
        <v>0</v>
      </c>
      <c r="Y121" s="72">
        <f>'RESUMEN TOTAL'!AE131</f>
        <v>0</v>
      </c>
      <c r="Z121" s="72">
        <f>'RESUMEN TOTAL'!AF131</f>
        <v>0</v>
      </c>
      <c r="AA121" s="72">
        <f>'RESUMEN TOTAL'!AG131</f>
        <v>0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>
        <f>'RESUMEN TOTAL'!W132</f>
        <v>0</v>
      </c>
      <c r="R122" s="72">
        <f>'RESUMEN TOTAL'!X132</f>
        <v>0</v>
      </c>
      <c r="S122" s="72">
        <f>'RESUMEN TOTAL'!Y132</f>
        <v>0</v>
      </c>
      <c r="T122" s="72">
        <f>'RESUMEN TOTAL'!Z132</f>
        <v>0</v>
      </c>
      <c r="U122" s="72">
        <f>'RESUMEN TOTAL'!AA132</f>
        <v>0</v>
      </c>
      <c r="V122" s="72">
        <f>'RESUMEN TOTAL'!AB132</f>
        <v>0</v>
      </c>
      <c r="W122" s="72">
        <f>'RESUMEN TOTAL'!AC132</f>
        <v>0</v>
      </c>
      <c r="X122" s="72">
        <f>'RESUMEN TOTAL'!AD132</f>
        <v>0</v>
      </c>
      <c r="Y122" s="72">
        <f>'RESUMEN TOTAL'!AE132</f>
        <v>0</v>
      </c>
      <c r="Z122" s="72">
        <f>'RESUMEN TOTAL'!AF132</f>
        <v>0</v>
      </c>
      <c r="AA122" s="72">
        <f>'RESUMEN TOTAL'!AG132</f>
        <v>0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>
        <f>'RESUMEN TOTAL'!W142</f>
        <v>0</v>
      </c>
      <c r="R130" s="72">
        <f>'RESUMEN TOTAL'!X142</f>
        <v>0</v>
      </c>
      <c r="S130" s="72">
        <f>'RESUMEN TOTAL'!Y142</f>
        <v>0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>
        <f>'RESUMEN TOTAL'!AG142</f>
        <v>0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>
        <f>'RESUMEN TOTAL'!W143</f>
        <v>0</v>
      </c>
      <c r="R131" s="72">
        <f>'RESUMEN TOTAL'!X143</f>
        <v>0</v>
      </c>
      <c r="S131" s="72">
        <f>'RESUMEN TOTAL'!Y143</f>
        <v>0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>
        <f>'RESUMEN TOTAL'!AG143</f>
        <v>0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>
        <f>'RESUMEN TOTAL'!X147</f>
        <v>0</v>
      </c>
      <c r="S135" s="72">
        <f>'RESUMEN TOTAL'!Y147</f>
        <v>0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>
        <f>'RESUMEN TOTAL'!W151</f>
        <v>0</v>
      </c>
      <c r="R139" s="72">
        <f>'RESUMEN TOTAL'!X151</f>
        <v>0</v>
      </c>
      <c r="S139" s="72">
        <f>'RESUMEN TOTAL'!Y151</f>
        <v>0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>
        <f>'RESUMEN TOTAL'!AG151</f>
        <v>0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>
        <f>'RESUMEN TOTAL'!W152</f>
        <v>0</v>
      </c>
      <c r="R140" s="72">
        <f>'RESUMEN TOTAL'!X152</f>
        <v>0</v>
      </c>
      <c r="S140" s="72">
        <f>'RESUMEN TOTAL'!Y152</f>
        <v>0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>
        <f>'RESUMEN TOTAL'!AG152</f>
        <v>0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>
        <f>'RESUMEN TOTAL'!W153</f>
        <v>0</v>
      </c>
      <c r="R141" s="72">
        <f>'RESUMEN TOTAL'!X153</f>
        <v>0</v>
      </c>
      <c r="S141" s="72">
        <f>'RESUMEN TOTAL'!Y153</f>
        <v>0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>
        <f>'RESUMEN TOTAL'!AG153</f>
        <v>0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>
        <f>'RESUMEN TOTAL'!X154</f>
        <v>0</v>
      </c>
      <c r="S142" s="72">
        <f>'RESUMEN TOTAL'!Y154</f>
        <v>0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>
        <f>'RESUMEN TOTAL'!AG154</f>
        <v>0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>
        <f>'RESUMEN TOTAL'!AC158</f>
        <v>0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>
        <f>'RESUMEN TOTAL'!W159</f>
        <v>0</v>
      </c>
      <c r="R147" s="72">
        <f>'RESUMEN TOTAL'!X159</f>
        <v>0</v>
      </c>
      <c r="S147" s="72">
        <f>'RESUMEN TOTAL'!Y159</f>
        <v>0</v>
      </c>
      <c r="T147" s="72">
        <f>'RESUMEN TOTAL'!Z159</f>
        <v>0</v>
      </c>
      <c r="U147" s="72">
        <f>'RESUMEN TOTAL'!AA159</f>
        <v>0</v>
      </c>
      <c r="V147" s="72">
        <f>'RESUMEN TOTAL'!AB159</f>
        <v>0</v>
      </c>
      <c r="W147" s="72">
        <f>'RESUMEN TOTAL'!AC159</f>
        <v>0</v>
      </c>
      <c r="X147" s="72">
        <f>'RESUMEN TOTAL'!AD159</f>
        <v>0</v>
      </c>
      <c r="Y147" s="72">
        <f>'RESUMEN TOTAL'!AE159</f>
        <v>0</v>
      </c>
      <c r="Z147" s="72">
        <f>'RESUMEN TOTAL'!AF159</f>
        <v>0</v>
      </c>
      <c r="AA147" s="72">
        <f>'RESUMEN TOTAL'!AG159</f>
        <v>0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>
        <f>'RESUMEN TOTAL'!Y163</f>
        <v>0</v>
      </c>
      <c r="T151" s="72">
        <f>'RESUMEN TOTAL'!Z163</f>
        <v>0</v>
      </c>
      <c r="U151" s="72">
        <f>'RESUMEN TOTAL'!AA163</f>
        <v>0</v>
      </c>
      <c r="V151" s="72">
        <f>'RESUMEN TOTAL'!AB163</f>
        <v>0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>
        <f>'RESUMEN TOTAL'!Y164</f>
        <v>0</v>
      </c>
      <c r="T152" s="72">
        <f>'RESUMEN TOTAL'!Z164</f>
        <v>0</v>
      </c>
      <c r="U152" s="72">
        <f>'RESUMEN TOTAL'!AA164</f>
        <v>0</v>
      </c>
      <c r="V152" s="72">
        <f>'RESUMEN TOTAL'!AB164</f>
        <v>0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>
        <f>'RESUMEN TOTAL'!X165</f>
        <v>0</v>
      </c>
      <c r="S153" s="72">
        <f>'RESUMEN TOTAL'!Y165</f>
        <v>0</v>
      </c>
      <c r="T153" s="72">
        <f>'RESUMEN TOTAL'!Z165</f>
        <v>0</v>
      </c>
      <c r="U153" s="72">
        <f>'RESUMEN TOTAL'!AA165</f>
        <v>0</v>
      </c>
      <c r="V153" s="72">
        <f>'RESUMEN TOTAL'!AB165</f>
        <v>0</v>
      </c>
      <c r="W153" s="72">
        <f>'RESUMEN TOTAL'!AC165</f>
        <v>0</v>
      </c>
      <c r="X153" s="72">
        <f>'RESUMEN TOTAL'!AD165</f>
        <v>0</v>
      </c>
      <c r="Y153" s="72">
        <f>'RESUMEN TOTAL'!AE165</f>
        <v>0</v>
      </c>
      <c r="Z153" s="72">
        <f>'RESUMEN TOTAL'!AF165</f>
        <v>0</v>
      </c>
      <c r="AA153" s="72">
        <f>'RESUMEN TOTAL'!AG165</f>
        <v>0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>
        <f>'RESUMEN TOTAL'!W169</f>
        <v>0</v>
      </c>
      <c r="R157" s="72">
        <f>'RESUMEN TOTAL'!X169</f>
        <v>0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>
        <f>'RESUMEN TOTAL'!AB169</f>
        <v>0</v>
      </c>
      <c r="W157" s="72">
        <f>'RESUMEN TOTAL'!AC169</f>
        <v>0</v>
      </c>
      <c r="X157" s="72">
        <f>'RESUMEN TOTAL'!AD169</f>
        <v>0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>
        <f>'RESUMEN TOTAL'!X177</f>
        <v>0</v>
      </c>
      <c r="S165" s="72">
        <f>'RESUMEN TOTAL'!Y177</f>
        <v>0</v>
      </c>
      <c r="T165" s="72">
        <f>'RESUMEN TOTAL'!Z177</f>
        <v>0</v>
      </c>
      <c r="U165" s="72">
        <f>'RESUMEN TOTAL'!AA177</f>
        <v>0</v>
      </c>
      <c r="V165" s="72">
        <f>'RESUMEN TOTAL'!AB177</f>
        <v>0</v>
      </c>
      <c r="W165" s="72">
        <f>'RESUMEN TOTAL'!AC177</f>
        <v>0</v>
      </c>
      <c r="X165" s="72">
        <f>'RESUMEN TOTAL'!AD177</f>
        <v>0</v>
      </c>
      <c r="Y165" s="72">
        <f>'RESUMEN TOTAL'!AE177</f>
        <v>0</v>
      </c>
      <c r="Z165" s="72">
        <f>'RESUMEN TOTAL'!AF177</f>
        <v>0</v>
      </c>
      <c r="AA165" s="72">
        <f>'RESUMEN TOTAL'!AG177</f>
        <v>0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>
        <f>'RESUMEN TOTAL'!W181</f>
        <v>0</v>
      </c>
      <c r="R169" s="72">
        <f>'RESUMEN TOTAL'!X181</f>
        <v>0</v>
      </c>
      <c r="S169" s="72">
        <f>'RESUMEN TOTAL'!Y181</f>
        <v>0</v>
      </c>
      <c r="T169" s="72">
        <f>'RESUMEN TOTAL'!Z181</f>
        <v>0</v>
      </c>
      <c r="U169" s="72">
        <f>'RESUMEN TOTAL'!AA181</f>
        <v>0</v>
      </c>
      <c r="V169" s="72">
        <f>'RESUMEN TOTAL'!AB181</f>
        <v>0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>
        <f>'RESUMEN TOTAL'!W182</f>
        <v>0</v>
      </c>
      <c r="R170" s="72">
        <f>'RESUMEN TOTAL'!X182</f>
        <v>0</v>
      </c>
      <c r="S170" s="72">
        <f>'RESUMEN TOTAL'!Y182</f>
        <v>0</v>
      </c>
      <c r="T170" s="72">
        <f>'RESUMEN TOTAL'!Z182</f>
        <v>0</v>
      </c>
      <c r="U170" s="72">
        <f>'RESUMEN TOTAL'!AA182</f>
        <v>0</v>
      </c>
      <c r="V170" s="72">
        <f>'RESUMEN TOTAL'!AB182</f>
        <v>0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>
        <f>'RESUMEN TOTAL'!W207</f>
        <v>0</v>
      </c>
      <c r="R193" s="72">
        <f>'RESUMEN TOTAL'!X207</f>
        <v>0</v>
      </c>
      <c r="S193" s="72">
        <f>'RESUMEN TOTAL'!Y207</f>
        <v>0</v>
      </c>
      <c r="T193" s="72">
        <f>'RESUMEN TOTAL'!Z207</f>
        <v>0</v>
      </c>
      <c r="U193" s="72">
        <f>'RESUMEN TOTAL'!AA207</f>
        <v>0</v>
      </c>
      <c r="V193" s="72">
        <f>'RESUMEN TOTAL'!AB207</f>
        <v>0</v>
      </c>
      <c r="W193" s="72">
        <f>'RESUMEN TOTAL'!AC207</f>
        <v>0</v>
      </c>
      <c r="X193" s="72">
        <f>'RESUMEN TOTAL'!AD207</f>
        <v>0</v>
      </c>
      <c r="Y193" s="72">
        <f>'RESUMEN TOTAL'!AE207</f>
        <v>0</v>
      </c>
      <c r="Z193" s="72">
        <f>'RESUMEN TOTAL'!AF207</f>
        <v>0</v>
      </c>
      <c r="AA193" s="72">
        <f>'RESUMEN TOTAL'!AG207</f>
        <v>0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>
        <f>'RESUMEN TOTAL'!Y208</f>
        <v>0</v>
      </c>
      <c r="T194" s="72">
        <f>'RESUMEN TOTAL'!Z208</f>
        <v>0</v>
      </c>
      <c r="U194" s="72">
        <f>'RESUMEN TOTAL'!AA208</f>
        <v>0</v>
      </c>
      <c r="V194" s="72">
        <f>'RESUMEN TOTAL'!AB208</f>
        <v>0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>
        <f>'RESUMEN TOTAL'!AE209</f>
        <v>0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>
        <f>'RESUMEN TOTAL'!W210</f>
        <v>0</v>
      </c>
      <c r="R196" s="72">
        <f>'RESUMEN TOTAL'!X210</f>
        <v>0</v>
      </c>
      <c r="S196" s="72">
        <f>'RESUMEN TOTAL'!Y210</f>
        <v>0</v>
      </c>
      <c r="T196" s="72">
        <f>'RESUMEN TOTAL'!Z210</f>
        <v>0</v>
      </c>
      <c r="U196" s="72">
        <f>'RESUMEN TOTAL'!AA210</f>
        <v>0</v>
      </c>
      <c r="V196" s="72">
        <f>'RESUMEN TOTAL'!AB210</f>
        <v>0</v>
      </c>
      <c r="W196" s="72">
        <f>'RESUMEN TOTAL'!AC210</f>
        <v>0</v>
      </c>
      <c r="X196" s="72">
        <f>'RESUMEN TOTAL'!AD210</f>
        <v>0</v>
      </c>
      <c r="Y196" s="72">
        <f>'RESUMEN TOTAL'!AE210</f>
        <v>0</v>
      </c>
      <c r="Z196" s="72">
        <f>'RESUMEN TOTAL'!AF210</f>
        <v>0</v>
      </c>
      <c r="AA196" s="72">
        <f>'RESUMEN TOTAL'!AG210</f>
        <v>0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>
        <f>'RESUMEN TOTAL'!X214</f>
        <v>0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>
        <f>'RESUMEN TOTAL'!X231</f>
        <v>0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>
        <f>'RESUMEN TOTAL'!AE231</f>
        <v>0</v>
      </c>
      <c r="Z217" s="72">
        <f>'RESUMEN TOTAL'!AF231</f>
        <v>0</v>
      </c>
      <c r="AA217" s="72">
        <f>'RESUMEN TOTAL'!AG231</f>
        <v>0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>
        <f>'RESUMEN TOTAL'!X233</f>
        <v>0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>
        <f>'RESUMEN TOTAL'!AE233</f>
        <v>0</v>
      </c>
      <c r="Z219" s="72">
        <f>'RESUMEN TOTAL'!AF233</f>
        <v>0</v>
      </c>
      <c r="AA219" s="72">
        <f>'RESUMEN TOTAL'!AG233</f>
        <v>0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>
        <f>'RESUMEN TOTAL'!X236</f>
        <v>0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>
        <f>'RESUMEN TOTAL'!AE236</f>
        <v>0</v>
      </c>
      <c r="Z222" s="72">
        <f>'RESUMEN TOTAL'!AF236</f>
        <v>0</v>
      </c>
      <c r="AA222" s="72">
        <f>'RESUMEN TOTAL'!AG236</f>
        <v>0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>
        <f>'RESUMEN TOTAL'!AG247</f>
        <v>0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>
        <f>'RESUMEN TOTAL'!W249</f>
        <v>0</v>
      </c>
      <c r="R234" s="72">
        <f>'RESUMEN TOTAL'!X249</f>
        <v>0</v>
      </c>
      <c r="S234" s="72">
        <f>'RESUMEN TOTAL'!Y249</f>
        <v>0</v>
      </c>
      <c r="T234" s="72">
        <f>'RESUMEN TOTAL'!Z249</f>
        <v>0</v>
      </c>
      <c r="U234" s="72">
        <f>'RESUMEN TOTAL'!AA249</f>
        <v>0</v>
      </c>
      <c r="V234" s="72">
        <f>'RESUMEN TOTAL'!AB249</f>
        <v>0</v>
      </c>
      <c r="W234" s="72">
        <f>'RESUMEN TOTAL'!AC249</f>
        <v>0</v>
      </c>
      <c r="X234" s="72">
        <f>'RESUMEN TOTAL'!AD249</f>
        <v>0</v>
      </c>
      <c r="Y234" s="72">
        <f>'RESUMEN TOTAL'!AE249</f>
        <v>0</v>
      </c>
      <c r="Z234" s="72">
        <f>'RESUMEN TOTAL'!AF249</f>
        <v>0</v>
      </c>
      <c r="AA234" s="72">
        <f>'RESUMEN TOTAL'!AG249</f>
        <v>0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>
        <f>'RESUMEN TOTAL'!W255</f>
        <v>0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>
        <f>'RESUMEN TOTAL'!AE255</f>
        <v>0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>
        <f>'RESUMEN TOTAL'!W256</f>
        <v>0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>
        <f>'RESUMEN TOTAL'!AE256</f>
        <v>0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>
        <f>'RESUMEN TOTAL'!AE257</f>
        <v>0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>
        <f>'RESUMEN TOTAL'!W263</f>
        <v>0</v>
      </c>
      <c r="R248" s="72">
        <f>'RESUMEN TOTAL'!X263</f>
        <v>0</v>
      </c>
      <c r="S248" s="72">
        <f>'RESUMEN TOTAL'!Y263</f>
        <v>0</v>
      </c>
      <c r="T248" s="72">
        <f>'RESUMEN TOTAL'!Z263</f>
        <v>0</v>
      </c>
      <c r="U248" s="72">
        <f>'RESUMEN TOTAL'!AA263</f>
        <v>0</v>
      </c>
      <c r="V248" s="72">
        <f>'RESUMEN TOTAL'!AB263</f>
        <v>0</v>
      </c>
      <c r="W248" s="72">
        <f>'RESUMEN TOTAL'!AC263</f>
        <v>0</v>
      </c>
      <c r="X248" s="72">
        <f>'RESUMEN TOTAL'!AD263</f>
        <v>0</v>
      </c>
      <c r="Y248" s="72">
        <f>'RESUMEN TOTAL'!AE263</f>
        <v>0</v>
      </c>
      <c r="Z248" s="72">
        <f>'RESUMEN TOTAL'!AF263</f>
        <v>0</v>
      </c>
      <c r="AA248" s="72">
        <f>'RESUMEN TOTAL'!AG263</f>
        <v>0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>
        <f>'RESUMEN TOTAL'!X268</f>
        <v>0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>
        <f>'RESUMEN TOTAL'!AB268</f>
        <v>0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>
        <f>'RESUMEN TOTAL'!W300</f>
        <v>0</v>
      </c>
      <c r="R278" s="72">
        <f>'RESUMEN TOTAL'!X300</f>
        <v>0</v>
      </c>
      <c r="S278" s="72">
        <f>'RESUMEN TOTAL'!Y300</f>
        <v>0</v>
      </c>
      <c r="T278" s="72">
        <f>'RESUMEN TOTAL'!Z300</f>
        <v>0</v>
      </c>
      <c r="U278" s="72">
        <f>'RESUMEN TOTAL'!AA300</f>
        <v>0</v>
      </c>
      <c r="V278" s="72">
        <f>'RESUMEN TOTAL'!AB300</f>
        <v>0</v>
      </c>
      <c r="W278" s="72">
        <f>'RESUMEN TOTAL'!AC300</f>
        <v>0</v>
      </c>
      <c r="X278" s="72">
        <f>'RESUMEN TOTAL'!AD300</f>
        <v>0</v>
      </c>
      <c r="Y278" s="72">
        <f>'RESUMEN TOTAL'!AE300</f>
        <v>0</v>
      </c>
      <c r="Z278" s="72">
        <f>'RESUMEN TOTAL'!AF300</f>
        <v>0</v>
      </c>
      <c r="AA278" s="72">
        <f>'RESUMEN TOTAL'!AG300</f>
        <v>0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>
        <f>'RESUMEN TOTAL'!W301</f>
        <v>0</v>
      </c>
      <c r="R279" s="72">
        <f>'RESUMEN TOTAL'!X301</f>
        <v>0</v>
      </c>
      <c r="S279" s="72">
        <f>'RESUMEN TOTAL'!Y301</f>
        <v>0</v>
      </c>
      <c r="T279" s="72">
        <f>'RESUMEN TOTAL'!Z301</f>
        <v>0</v>
      </c>
      <c r="U279" s="72">
        <f>'RESUMEN TOTAL'!AA301</f>
        <v>0</v>
      </c>
      <c r="V279" s="72">
        <f>'RESUMEN TOTAL'!AB301</f>
        <v>0</v>
      </c>
      <c r="W279" s="72">
        <f>'RESUMEN TOTAL'!AC301</f>
        <v>0</v>
      </c>
      <c r="X279" s="72">
        <f>'RESUMEN TOTAL'!AD301</f>
        <v>0</v>
      </c>
      <c r="Y279" s="72">
        <f>'RESUMEN TOTAL'!AE301</f>
        <v>0</v>
      </c>
      <c r="Z279" s="72">
        <f>'RESUMEN TOTAL'!AF301</f>
        <v>0</v>
      </c>
      <c r="AA279" s="72">
        <f>'RESUMEN TOTAL'!AG301</f>
        <v>0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>
        <f>'RESUMEN TOTAL'!W303</f>
        <v>0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>
        <f>'RESUMEN TOTAL'!W304</f>
        <v>0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>
        <f>'RESUMEN TOTAL'!AF304</f>
        <v>0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>
        <f>'RESUMEN TOTAL'!W306</f>
        <v>0</v>
      </c>
      <c r="R284" s="72">
        <f>'RESUMEN TOTAL'!X306</f>
        <v>0</v>
      </c>
      <c r="S284" s="72">
        <f>'RESUMEN TOTAL'!Y306</f>
        <v>0</v>
      </c>
      <c r="T284" s="72">
        <f>'RESUMEN TOTAL'!Z306</f>
        <v>0</v>
      </c>
      <c r="U284" s="72">
        <f>'RESUMEN TOTAL'!AA306</f>
        <v>0</v>
      </c>
      <c r="V284" s="72">
        <f>'RESUMEN TOTAL'!AB306</f>
        <v>0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>
        <f>'RESUMEN TOTAL'!X315</f>
        <v>0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>
        <f>'RESUMEN TOTAL'!W317</f>
        <v>0</v>
      </c>
      <c r="R295" s="72">
        <f>'RESUMEN TOTAL'!X317</f>
        <v>0</v>
      </c>
      <c r="S295" s="72">
        <f>'RESUMEN TOTAL'!Y317</f>
        <v>0</v>
      </c>
      <c r="T295" s="72">
        <f>'RESUMEN TOTAL'!Z317</f>
        <v>0</v>
      </c>
      <c r="U295" s="72">
        <f>'RESUMEN TOTAL'!AA317</f>
        <v>0</v>
      </c>
      <c r="V295" s="72">
        <f>'RESUMEN TOTAL'!AB317</f>
        <v>0</v>
      </c>
      <c r="W295" s="72">
        <f>'RESUMEN TOTAL'!AC317</f>
        <v>0</v>
      </c>
      <c r="X295" s="72">
        <f>'RESUMEN TOTAL'!AD317</f>
        <v>0</v>
      </c>
      <c r="Y295" s="72">
        <f>'RESUMEN TOTAL'!AE317</f>
        <v>0</v>
      </c>
      <c r="Z295" s="72">
        <f>'RESUMEN TOTAL'!AF317</f>
        <v>0</v>
      </c>
      <c r="AA295" s="72">
        <f>'RESUMEN TOTAL'!AG317</f>
        <v>0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>
        <f>'RESUMEN TOTAL'!AC318</f>
        <v>0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>
        <f>'RESUMEN TOTAL'!AC319</f>
        <v>0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>
        <f>'RESUMEN TOTAL'!W322</f>
        <v>0</v>
      </c>
      <c r="R300" s="72">
        <f>'RESUMEN TOTAL'!X322</f>
        <v>0</v>
      </c>
      <c r="S300" s="72">
        <f>'RESUMEN TOTAL'!Y322</f>
        <v>0</v>
      </c>
      <c r="T300" s="72">
        <f>'RESUMEN TOTAL'!Z322</f>
        <v>0</v>
      </c>
      <c r="U300" s="72">
        <f>'RESUMEN TOTAL'!AA322</f>
        <v>0</v>
      </c>
      <c r="V300" s="72">
        <f>'RESUMEN TOTAL'!AB322</f>
        <v>0</v>
      </c>
      <c r="W300" s="72">
        <f>'RESUMEN TOTAL'!AC322</f>
        <v>0</v>
      </c>
      <c r="X300" s="72">
        <f>'RESUMEN TOTAL'!AD322</f>
        <v>0</v>
      </c>
      <c r="Y300" s="72">
        <f>'RESUMEN TOTAL'!AE322</f>
        <v>0</v>
      </c>
      <c r="Z300" s="72">
        <f>'RESUMEN TOTAL'!AF322</f>
        <v>0</v>
      </c>
      <c r="AA300" s="72">
        <f>'RESUMEN TOTAL'!AG322</f>
        <v>0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>
        <f>'RESUMEN TOTAL'!W323</f>
        <v>0</v>
      </c>
      <c r="R301" s="72">
        <f>'RESUMEN TOTAL'!X323</f>
        <v>0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>
        <f>'RESUMEN TOTAL'!AB323</f>
        <v>0</v>
      </c>
      <c r="W301" s="72">
        <f>'RESUMEN TOTAL'!AC323</f>
        <v>0</v>
      </c>
      <c r="X301" s="72">
        <f>'RESUMEN TOTAL'!AD323</f>
        <v>0</v>
      </c>
      <c r="Y301" s="72">
        <f>'RESUMEN TOTAL'!AE323</f>
        <v>0</v>
      </c>
      <c r="Z301" s="72">
        <f>'RESUMEN TOTAL'!AF323</f>
        <v>0</v>
      </c>
      <c r="AA301" s="72">
        <f>'RESUMEN TOTAL'!AG323</f>
        <v>0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>
        <f>'RESUMEN TOTAL'!W324</f>
        <v>0</v>
      </c>
      <c r="R302" s="72">
        <f>'RESUMEN TOTAL'!X324</f>
        <v>0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>
        <f>'RESUMEN TOTAL'!AC325</f>
        <v>0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>
        <f>'RESUMEN TOTAL'!AC326</f>
        <v>0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>
        <f>'RESUMEN TOTAL'!AC327</f>
        <v>0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>
        <f>'RESUMEN TOTAL'!AC328</f>
        <v>0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>
        <f>'RESUMEN TOTAL'!AC329</f>
        <v>0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>
        <f>'RESUMEN TOTAL'!AC330</f>
        <v>0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>
        <f>'RESUMEN TOTAL'!AC331</f>
        <v>0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>
        <f>'RESUMEN TOTAL'!AC332</f>
        <v>0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>
        <f>'RESUMEN TOTAL'!AC333</f>
        <v>0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>
        <f>'RESUMEN TOTAL'!AC334</f>
        <v>0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>
        <f>'RESUMEN TOTAL'!AC335</f>
        <v>0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>
        <f>'RESUMEN TOTAL'!AC336</f>
        <v>0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>
        <f>'RESUMEN TOTAL'!W340</f>
        <v>0</v>
      </c>
      <c r="R315" s="72">
        <f>'RESUMEN TOTAL'!X340</f>
        <v>0</v>
      </c>
      <c r="S315" s="72">
        <f>'RESUMEN TOTAL'!Y340</f>
        <v>0</v>
      </c>
      <c r="T315" s="72">
        <f>'RESUMEN TOTAL'!Z340</f>
        <v>0</v>
      </c>
      <c r="U315" s="72">
        <f>'RESUMEN TOTAL'!AA340</f>
        <v>0</v>
      </c>
      <c r="V315" s="72">
        <f>'RESUMEN TOTAL'!AB340</f>
        <v>0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>
        <f>'RESUMEN TOTAL'!W350</f>
        <v>0</v>
      </c>
      <c r="R325" s="72">
        <f>'RESUMEN TOTAL'!X350</f>
        <v>0</v>
      </c>
      <c r="S325" s="72">
        <f>'RESUMEN TOTAL'!Y350</f>
        <v>0</v>
      </c>
      <c r="T325" s="72">
        <f>'RESUMEN TOTAL'!Z350</f>
        <v>0</v>
      </c>
      <c r="U325" s="72">
        <f>'RESUMEN TOTAL'!AA350</f>
        <v>0</v>
      </c>
      <c r="V325" s="72">
        <f>'RESUMEN TOTAL'!AB350</f>
        <v>0</v>
      </c>
      <c r="W325" s="72">
        <f>'RESUMEN TOTAL'!AC350</f>
        <v>0</v>
      </c>
      <c r="X325" s="72">
        <f>'RESUMEN TOTAL'!AD350</f>
        <v>0</v>
      </c>
      <c r="Y325" s="72">
        <f>'RESUMEN TOTAL'!AE350</f>
        <v>0</v>
      </c>
      <c r="Z325" s="72">
        <f>'RESUMEN TOTAL'!AF350</f>
        <v>0</v>
      </c>
      <c r="AA325" s="72">
        <f>'RESUMEN TOTAL'!AG350</f>
        <v>0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>
        <f>'RESUMEN TOTAL'!W355</f>
        <v>0</v>
      </c>
      <c r="R328" s="72">
        <f>'RESUMEN TOTAL'!X355</f>
        <v>0</v>
      </c>
      <c r="S328" s="72">
        <f>'RESUMEN TOTAL'!Y355</f>
        <v>0</v>
      </c>
      <c r="T328" s="72">
        <f>'RESUMEN TOTAL'!Z355</f>
        <v>0</v>
      </c>
      <c r="U328" s="72">
        <f>'RESUMEN TOTAL'!AA355</f>
        <v>0</v>
      </c>
      <c r="V328" s="72">
        <f>'RESUMEN TOTAL'!AB355</f>
        <v>0</v>
      </c>
      <c r="W328" s="72">
        <f>'RESUMEN TOTAL'!AC355</f>
        <v>0</v>
      </c>
      <c r="X328" s="72">
        <f>'RESUMEN TOTAL'!AD355</f>
        <v>0</v>
      </c>
      <c r="Y328" s="72">
        <f>'RESUMEN TOTAL'!AE355</f>
        <v>0</v>
      </c>
      <c r="Z328" s="72">
        <f>'RESUMEN TOTAL'!AF355</f>
        <v>0</v>
      </c>
      <c r="AA328" s="72">
        <f>'RESUMEN TOTAL'!AG355</f>
        <v>0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>
        <f>'RESUMEN TOTAL'!W358</f>
        <v>0</v>
      </c>
      <c r="R331" s="72">
        <f>'RESUMEN TOTAL'!X358</f>
        <v>0</v>
      </c>
      <c r="S331" s="72">
        <f>'RESUMEN TOTAL'!Y358</f>
        <v>0</v>
      </c>
      <c r="T331" s="72">
        <f>'RESUMEN TOTAL'!Z358</f>
        <v>0</v>
      </c>
      <c r="U331" s="72">
        <f>'RESUMEN TOTAL'!AA358</f>
        <v>0</v>
      </c>
      <c r="V331" s="72">
        <f>'RESUMEN TOTAL'!AB358</f>
        <v>0</v>
      </c>
      <c r="W331" s="72">
        <f>'RESUMEN TOTAL'!AC358</f>
        <v>0</v>
      </c>
      <c r="X331" s="72">
        <f>'RESUMEN TOTAL'!AD358</f>
        <v>0</v>
      </c>
      <c r="Y331" s="72">
        <f>'RESUMEN TOTAL'!AE358</f>
        <v>0</v>
      </c>
      <c r="Z331" s="72">
        <f>'RESUMEN TOTAL'!AF358</f>
        <v>0</v>
      </c>
      <c r="AA331" s="72">
        <f>'RESUMEN TOTAL'!AG358</f>
        <v>0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>
        <f>'RESUMEN TOTAL'!W359</f>
        <v>0</v>
      </c>
      <c r="R332" s="72">
        <f>'RESUMEN TOTAL'!X359</f>
        <v>0</v>
      </c>
      <c r="S332" s="72">
        <f>'RESUMEN TOTAL'!Y359</f>
        <v>0</v>
      </c>
      <c r="T332" s="72">
        <f>'RESUMEN TOTAL'!Z359</f>
        <v>0</v>
      </c>
      <c r="U332" s="72">
        <f>'RESUMEN TOTAL'!AA359</f>
        <v>0</v>
      </c>
      <c r="V332" s="72">
        <f>'RESUMEN TOTAL'!AB359</f>
        <v>0</v>
      </c>
      <c r="W332" s="72">
        <f>'RESUMEN TOTAL'!AC359</f>
        <v>0</v>
      </c>
      <c r="X332" s="72">
        <f>'RESUMEN TOTAL'!AD359</f>
        <v>0</v>
      </c>
      <c r="Y332" s="72">
        <f>'RESUMEN TOTAL'!AE359</f>
        <v>0</v>
      </c>
      <c r="Z332" s="72">
        <f>'RESUMEN TOTAL'!AF359</f>
        <v>0</v>
      </c>
      <c r="AA332" s="72">
        <f>'RESUMEN TOTAL'!AG359</f>
        <v>0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>
        <f>'RESUMEN TOTAL'!W371</f>
        <v>0</v>
      </c>
      <c r="R344" s="72">
        <f>'RESUMEN TOTAL'!X371</f>
        <v>0</v>
      </c>
      <c r="S344" s="72">
        <f>'RESUMEN TOTAL'!Y371</f>
        <v>0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>
        <f>'RESUMEN TOTAL'!AG371</f>
        <v>0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>
        <f>'RESUMEN TOTAL'!W372</f>
        <v>0</v>
      </c>
      <c r="R345" s="72">
        <f>'RESUMEN TOTAL'!X372</f>
        <v>0</v>
      </c>
      <c r="S345" s="72">
        <f>'RESUMEN TOTAL'!Y372</f>
        <v>0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>
        <f>'RESUMEN TOTAL'!AG372</f>
        <v>0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>
        <f>'RESUMEN TOTAL'!W373</f>
        <v>0</v>
      </c>
      <c r="R346" s="72">
        <f>'RESUMEN TOTAL'!X373</f>
        <v>0</v>
      </c>
      <c r="S346" s="72">
        <f>'RESUMEN TOTAL'!Y373</f>
        <v>0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>
        <f>'RESUMEN TOTAL'!AG373</f>
        <v>0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>
        <f>'RESUMEN TOTAL'!W376</f>
        <v>0</v>
      </c>
      <c r="R349" s="72">
        <f>'RESUMEN TOTAL'!X376</f>
        <v>0</v>
      </c>
      <c r="S349" s="72">
        <f>'RESUMEN TOTAL'!Y376</f>
        <v>0</v>
      </c>
      <c r="T349" s="72">
        <f>'RESUMEN TOTAL'!Z376</f>
        <v>0</v>
      </c>
      <c r="U349" s="72">
        <f>'RESUMEN TOTAL'!AA376</f>
        <v>0</v>
      </c>
      <c r="V349" s="72">
        <f>'RESUMEN TOTAL'!AB376</f>
        <v>0</v>
      </c>
      <c r="W349" s="72">
        <f>'RESUMEN TOTAL'!AC376</f>
        <v>0</v>
      </c>
      <c r="X349" s="72">
        <f>'RESUMEN TOTAL'!AD376</f>
        <v>0</v>
      </c>
      <c r="Y349" s="72">
        <f>'RESUMEN TOTAL'!AE376</f>
        <v>0</v>
      </c>
      <c r="Z349" s="72">
        <f>'RESUMEN TOTAL'!AF376</f>
        <v>0</v>
      </c>
      <c r="AA349" s="72">
        <f>'RESUMEN TOTAL'!AG376</f>
        <v>0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>
        <f>'RESUMEN TOTAL'!AD379</f>
        <v>0</v>
      </c>
      <c r="Y352" s="72">
        <f>'RESUMEN TOTAL'!AE379</f>
        <v>0</v>
      </c>
      <c r="Z352" s="72">
        <f>'RESUMEN TOTAL'!AF379</f>
        <v>0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>
        <f>'RESUMEN TOTAL'!W385</f>
        <v>0</v>
      </c>
      <c r="R358" s="72">
        <f>'RESUMEN TOTAL'!X385</f>
        <v>0</v>
      </c>
      <c r="S358" s="72">
        <f>'RESUMEN TOTAL'!Y385</f>
        <v>0</v>
      </c>
      <c r="T358" s="72">
        <f>'RESUMEN TOTAL'!Z385</f>
        <v>0</v>
      </c>
      <c r="U358" s="72">
        <f>'RESUMEN TOTAL'!AA385</f>
        <v>0</v>
      </c>
      <c r="V358" s="72">
        <f>'RESUMEN TOTAL'!AB385</f>
        <v>0</v>
      </c>
      <c r="W358" s="72">
        <f>'RESUMEN TOTAL'!AC385</f>
        <v>0</v>
      </c>
      <c r="X358" s="72">
        <f>'RESUMEN TOTAL'!AD385</f>
        <v>0</v>
      </c>
      <c r="Y358" s="72">
        <f>'RESUMEN TOTAL'!AE385</f>
        <v>0</v>
      </c>
      <c r="Z358" s="72">
        <f>'RESUMEN TOTAL'!AF385</f>
        <v>0</v>
      </c>
      <c r="AA358" s="72">
        <f>'RESUMEN TOTAL'!AG385</f>
        <v>0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>
        <f>'RESUMEN TOTAL'!W386</f>
        <v>0</v>
      </c>
      <c r="R359" s="72">
        <f>'RESUMEN TOTAL'!X386</f>
        <v>0</v>
      </c>
      <c r="S359" s="72">
        <f>'RESUMEN TOTAL'!Y386</f>
        <v>0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>
        <f>'RESUMEN TOTAL'!AG386</f>
        <v>0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>
        <f>'RESUMEN TOTAL'!W389</f>
        <v>0</v>
      </c>
      <c r="R362" s="72">
        <f>'RESUMEN TOTAL'!X389</f>
        <v>0</v>
      </c>
      <c r="S362" s="72">
        <f>'RESUMEN TOTAL'!Y389</f>
        <v>0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>
        <f>'RESUMEN TOTAL'!AC389</f>
        <v>0</v>
      </c>
      <c r="X362" s="72">
        <f>'RESUMEN TOTAL'!AD389</f>
        <v>0</v>
      </c>
      <c r="Y362" s="72">
        <f>'RESUMEN TOTAL'!AE389</f>
        <v>0</v>
      </c>
      <c r="Z362" s="72">
        <f>'RESUMEN TOTAL'!AF389</f>
        <v>0</v>
      </c>
      <c r="AA362" s="72">
        <f>'RESUMEN TOTAL'!AG389</f>
        <v>0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>
        <f>'RESUMEN TOTAL'!X399</f>
        <v>0</v>
      </c>
      <c r="S372" s="72">
        <f>'RESUMEN TOTAL'!Y399</f>
        <v>0</v>
      </c>
      <c r="T372" s="72">
        <f>'RESUMEN TOTAL'!Z399</f>
        <v>0</v>
      </c>
      <c r="U372" s="72">
        <f>'RESUMEN TOTAL'!AA399</f>
        <v>0</v>
      </c>
      <c r="V372" s="72">
        <f>'RESUMEN TOTAL'!AB399</f>
        <v>0</v>
      </c>
      <c r="W372" s="72">
        <f>'RESUMEN TOTAL'!AC399</f>
        <v>0</v>
      </c>
      <c r="X372" s="72">
        <f>'RESUMEN TOTAL'!AD399</f>
        <v>0</v>
      </c>
      <c r="Y372" s="72">
        <f>'RESUMEN TOTAL'!AE399</f>
        <v>0</v>
      </c>
      <c r="Z372" s="72">
        <f>'RESUMEN TOTAL'!AF399</f>
        <v>0</v>
      </c>
      <c r="AA372" s="72">
        <f>'RESUMEN TOTAL'!AG399</f>
        <v>0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>
        <f>'RESUMEN TOTAL'!X400</f>
        <v>0</v>
      </c>
      <c r="S373" s="72">
        <f>'RESUMEN TOTAL'!Y400</f>
        <v>0</v>
      </c>
      <c r="T373" s="72">
        <f>'RESUMEN TOTAL'!Z400</f>
        <v>0</v>
      </c>
      <c r="U373" s="72">
        <f>'RESUMEN TOTAL'!AA400</f>
        <v>0</v>
      </c>
      <c r="V373" s="72">
        <f>'RESUMEN TOTAL'!AB400</f>
        <v>0</v>
      </c>
      <c r="W373" s="72">
        <f>'RESUMEN TOTAL'!AC400</f>
        <v>0</v>
      </c>
      <c r="X373" s="72">
        <f>'RESUMEN TOTAL'!AD400</f>
        <v>0</v>
      </c>
      <c r="Y373" s="72">
        <f>'RESUMEN TOTAL'!AE400</f>
        <v>0</v>
      </c>
      <c r="Z373" s="72">
        <f>'RESUMEN TOTAL'!AF400</f>
        <v>0</v>
      </c>
      <c r="AA373" s="72">
        <f>'RESUMEN TOTAL'!AG400</f>
        <v>0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>
        <f>'RESUMEN TOTAL'!AB407</f>
        <v>0</v>
      </c>
      <c r="W378" s="72">
        <f>'RESUMEN TOTAL'!AC407</f>
        <v>0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>
        <f>'RESUMEN TOTAL'!AB408</f>
        <v>0</v>
      </c>
      <c r="W379" s="72">
        <f>'RESUMEN TOTAL'!AC408</f>
        <v>0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>
        <f>'RESUMEN TOTAL'!AB409</f>
        <v>0</v>
      </c>
      <c r="W380" s="72">
        <f>'RESUMEN TOTAL'!AC409</f>
        <v>0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>
        <f>'RESUMEN TOTAL'!AB410</f>
        <v>0</v>
      </c>
      <c r="W381" s="72">
        <f>'RESUMEN TOTAL'!AC410</f>
        <v>0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>
        <f>'RESUMEN TOTAL'!Y411</f>
        <v>0</v>
      </c>
      <c r="T382" s="72">
        <f>'RESUMEN TOTAL'!Z411</f>
        <v>0</v>
      </c>
      <c r="U382" s="72">
        <f>'RESUMEN TOTAL'!AA411</f>
        <v>0</v>
      </c>
      <c r="V382" s="72">
        <f>'RESUMEN TOTAL'!AB411</f>
        <v>0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>
        <f>'RESUMEN TOTAL'!AD412</f>
        <v>0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>
        <f>'RESUMEN TOTAL'!AD413</f>
        <v>0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>
        <f>'RESUMEN TOTAL'!AC446</f>
        <v>0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>
        <f>'RESUMEN TOTAL'!AC447</f>
        <v>0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>
        <f>'RESUMEN TOTAL'!AC450</f>
        <v>0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>
        <f>'RESUMEN TOTAL'!AC451</f>
        <v>0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>
        <f>'RESUMEN TOTAL'!W452</f>
        <v>0</v>
      </c>
      <c r="R423" s="72">
        <f>'RESUMEN TOTAL'!X452</f>
        <v>0</v>
      </c>
      <c r="S423" s="72">
        <f>'RESUMEN TOTAL'!Y452</f>
        <v>0</v>
      </c>
      <c r="T423" s="72">
        <f>'RESUMEN TOTAL'!Z452</f>
        <v>0</v>
      </c>
      <c r="U423" s="72">
        <f>'RESUMEN TOTAL'!AA452</f>
        <v>0</v>
      </c>
      <c r="V423" s="72">
        <f>'RESUMEN TOTAL'!AB452</f>
        <v>0</v>
      </c>
      <c r="W423" s="72">
        <f>'RESUMEN TOTAL'!AC452</f>
        <v>0</v>
      </c>
      <c r="X423" s="72">
        <f>'RESUMEN TOTAL'!AD452</f>
        <v>0</v>
      </c>
      <c r="Y423" s="72">
        <f>'RESUMEN TOTAL'!AE452</f>
        <v>0</v>
      </c>
      <c r="Z423" s="72">
        <f>'RESUMEN TOTAL'!AF452</f>
        <v>0</v>
      </c>
      <c r="AA423" s="72">
        <f>'RESUMEN TOTAL'!AG452</f>
        <v>0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>
        <f>'RESUMEN TOTAL'!W453</f>
        <v>0</v>
      </c>
      <c r="R424" s="72">
        <f>'RESUMEN TOTAL'!X453</f>
        <v>0</v>
      </c>
      <c r="S424" s="72">
        <f>'RESUMEN TOTAL'!Y453</f>
        <v>0</v>
      </c>
      <c r="T424" s="72">
        <f>'RESUMEN TOTAL'!Z453</f>
        <v>0</v>
      </c>
      <c r="U424" s="72">
        <f>'RESUMEN TOTAL'!AA453</f>
        <v>0</v>
      </c>
      <c r="V424" s="72">
        <f>'RESUMEN TOTAL'!AB453</f>
        <v>0</v>
      </c>
      <c r="W424" s="72">
        <f>'RESUMEN TOTAL'!AC453</f>
        <v>0</v>
      </c>
      <c r="X424" s="72">
        <f>'RESUMEN TOTAL'!AD453</f>
        <v>0</v>
      </c>
      <c r="Y424" s="72">
        <f>'RESUMEN TOTAL'!AE453</f>
        <v>0</v>
      </c>
      <c r="Z424" s="72">
        <f>'RESUMEN TOTAL'!AF453</f>
        <v>0</v>
      </c>
      <c r="AA424" s="72">
        <f>'RESUMEN TOTAL'!AG453</f>
        <v>0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>
        <f>'RESUMEN TOTAL'!W465</f>
        <v>0</v>
      </c>
      <c r="R435" s="72">
        <f>'RESUMEN TOTAL'!X465</f>
        <v>0</v>
      </c>
      <c r="S435" s="72">
        <f>'RESUMEN TOTAL'!Y465</f>
        <v>0</v>
      </c>
      <c r="T435" s="72">
        <f>'RESUMEN TOTAL'!Z465</f>
        <v>0</v>
      </c>
      <c r="U435" s="72">
        <f>'RESUMEN TOTAL'!AA465</f>
        <v>0</v>
      </c>
      <c r="V435" s="72">
        <f>'RESUMEN TOTAL'!AB465</f>
        <v>0</v>
      </c>
      <c r="W435" s="72">
        <f>'RESUMEN TOTAL'!AC465</f>
        <v>0</v>
      </c>
      <c r="X435" s="72">
        <f>'RESUMEN TOTAL'!AD465</f>
        <v>0</v>
      </c>
      <c r="Y435" s="72">
        <f>'RESUMEN TOTAL'!AE465</f>
        <v>0</v>
      </c>
      <c r="Z435" s="72">
        <f>'RESUMEN TOTAL'!AF465</f>
        <v>0</v>
      </c>
      <c r="AA435" s="72">
        <f>'RESUMEN TOTAL'!AG465</f>
        <v>0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>
        <f>'RESUMEN TOTAL'!W467</f>
        <v>0</v>
      </c>
      <c r="R437" s="72">
        <f>'RESUMEN TOTAL'!X467</f>
        <v>0</v>
      </c>
      <c r="S437" s="72">
        <f>'RESUMEN TOTAL'!Y467</f>
        <v>0</v>
      </c>
      <c r="T437" s="72">
        <f>'RESUMEN TOTAL'!Z467</f>
        <v>0</v>
      </c>
      <c r="U437" s="72">
        <f>'RESUMEN TOTAL'!AA467</f>
        <v>0</v>
      </c>
      <c r="V437" s="72">
        <f>'RESUMEN TOTAL'!AB467</f>
        <v>0</v>
      </c>
      <c r="W437" s="72">
        <f>'RESUMEN TOTAL'!AC467</f>
        <v>0</v>
      </c>
      <c r="X437" s="72">
        <f>'RESUMEN TOTAL'!AD467</f>
        <v>0</v>
      </c>
      <c r="Y437" s="72">
        <f>'RESUMEN TOTAL'!AE467</f>
        <v>0</v>
      </c>
      <c r="Z437" s="72">
        <f>'RESUMEN TOTAL'!AF467</f>
        <v>0</v>
      </c>
      <c r="AA437" s="72">
        <f>'RESUMEN TOTAL'!AG467</f>
        <v>0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1315</v>
      </c>
      <c r="B641" t="s">
        <v>1352</v>
      </c>
      <c r="C641" t="s">
        <v>1351</v>
      </c>
      <c r="D641" s="30" t="s">
        <v>1320</v>
      </c>
      <c r="E641" s="30" t="s">
        <v>1314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1315</v>
      </c>
      <c r="B642" t="s">
        <v>1353</v>
      </c>
      <c r="C642" t="s">
        <v>1351</v>
      </c>
      <c r="D642" t="s">
        <v>1313</v>
      </c>
      <c r="E642" s="30" t="s">
        <v>1314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2025-06-11T21:07:04Z</dcterms:modified>
</cp:coreProperties>
</file>