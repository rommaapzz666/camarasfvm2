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CAFAAAFC-A4E8-4FA2-92F7-C70907CBF966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TOTAL'!$A$7:$D$450</definedName>
    <definedName name="_25_de_agosto_3" localSheetId="0">'RESUMEN TOTAL'!$A$7:$D$462</definedName>
    <definedName name="_30_mar">#REF!</definedName>
    <definedName name="_xlnm._FilterDatabase" localSheetId="3" hidden="1">paradas!$4:$4</definedName>
    <definedName name="_xlnm._FilterDatabase" localSheetId="0" hidden="1">'RESUMEN TOTAL'!$A$7:$AO$611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9" i="2"/>
  <c r="J530" i="2"/>
  <c r="J531" i="2"/>
  <c r="I529" i="2"/>
  <c r="I530" i="2"/>
  <c r="I531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9" i="2"/>
  <c r="K530" i="2"/>
  <c r="K531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9" i="2"/>
  <c r="I439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9" i="2"/>
  <c r="K34" i="2"/>
  <c r="K30" i="2"/>
  <c r="J493" i="2"/>
  <c r="I493" i="2"/>
  <c r="J265" i="2"/>
  <c r="I265" i="2"/>
  <c r="J438" i="2"/>
  <c r="I43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3" i="2"/>
  <c r="K265" i="2"/>
  <c r="K438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9" i="2"/>
  <c r="J499" i="2"/>
  <c r="D73" i="24" l="1"/>
  <c r="AI2" i="26"/>
  <c r="K150" i="2"/>
  <c r="K241" i="2"/>
  <c r="K350" i="2"/>
  <c r="K49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7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7" i="2"/>
  <c r="J427" i="2"/>
  <c r="I497" i="2"/>
  <c r="J497" i="2"/>
  <c r="I498" i="2"/>
  <c r="J498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7" i="2"/>
  <c r="K344" i="2"/>
  <c r="K188" i="2"/>
  <c r="K182" i="2"/>
  <c r="K147" i="2"/>
  <c r="K145" i="2"/>
  <c r="K194" i="2"/>
  <c r="K187" i="2"/>
  <c r="K143" i="2"/>
  <c r="K196" i="2"/>
  <c r="K497" i="2"/>
  <c r="K264" i="2"/>
  <c r="K197" i="2"/>
  <c r="K192" i="2"/>
  <c r="K146" i="2"/>
  <c r="K498" i="2"/>
  <c r="K193" i="2"/>
  <c r="K134" i="2"/>
  <c r="I436" i="2" l="1"/>
  <c r="I437" i="2"/>
  <c r="J436" i="2"/>
  <c r="J437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6" i="2" l="1"/>
  <c r="K141" i="2"/>
  <c r="K437" i="2"/>
  <c r="K338" i="2"/>
  <c r="K337" i="2"/>
  <c r="K240" i="2"/>
  <c r="K123" i="2"/>
  <c r="K122" i="2"/>
  <c r="AN1" i="2" l="1"/>
  <c r="N1" i="2"/>
  <c r="AM1" i="2"/>
  <c r="I481" i="2"/>
  <c r="J481" i="2"/>
  <c r="I229" i="2"/>
  <c r="J229" i="2"/>
  <c r="I524" i="2"/>
  <c r="J524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41" i="2"/>
  <c r="I442" i="2"/>
  <c r="I443" i="2"/>
  <c r="I444" i="2"/>
  <c r="I445" i="2"/>
  <c r="I446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5" i="2"/>
  <c r="I486" i="2"/>
  <c r="I487" i="2"/>
  <c r="I488" i="2"/>
  <c r="I489" i="2"/>
  <c r="I490" i="2"/>
  <c r="I491" i="2"/>
  <c r="I492" i="2"/>
  <c r="I494" i="2"/>
  <c r="I495" i="2"/>
  <c r="I496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5" i="2"/>
  <c r="I526" i="2"/>
  <c r="I527" i="2"/>
  <c r="I528" i="2"/>
  <c r="I9" i="2"/>
  <c r="I10" i="2"/>
  <c r="I11" i="2"/>
  <c r="I12" i="2"/>
  <c r="I13" i="2"/>
  <c r="I14" i="2"/>
  <c r="I15" i="2"/>
  <c r="I8" i="2"/>
  <c r="J528" i="2"/>
  <c r="J527" i="2"/>
  <c r="J526" i="2"/>
  <c r="J525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6" i="2"/>
  <c r="J495" i="2"/>
  <c r="J494" i="2"/>
  <c r="J492" i="2"/>
  <c r="J491" i="2"/>
  <c r="J490" i="2"/>
  <c r="J489" i="2"/>
  <c r="J488" i="2"/>
  <c r="J487" i="2"/>
  <c r="J486" i="2"/>
  <c r="J485" i="2"/>
  <c r="J480" i="2"/>
  <c r="J479" i="2"/>
  <c r="J478" i="2"/>
  <c r="J477" i="2"/>
  <c r="J476" i="2"/>
  <c r="J475" i="2"/>
  <c r="J474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4" i="2" l="1"/>
  <c r="K481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2" i="2"/>
  <c r="K518" i="2"/>
  <c r="K170" i="2"/>
  <c r="K219" i="2"/>
  <c r="K236" i="2"/>
  <c r="K446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4" i="2"/>
  <c r="K451" i="2"/>
  <c r="K479" i="2"/>
  <c r="K509" i="2"/>
  <c r="K45" i="2"/>
  <c r="K49" i="2"/>
  <c r="K155" i="2"/>
  <c r="K160" i="2"/>
  <c r="K184" i="2"/>
  <c r="K511" i="2"/>
  <c r="K515" i="2"/>
  <c r="K474" i="2"/>
  <c r="K478" i="2"/>
  <c r="K504" i="2"/>
  <c r="K516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5" i="2"/>
  <c r="K465" i="2"/>
  <c r="K485" i="2"/>
  <c r="K520" i="2"/>
  <c r="K525" i="2"/>
  <c r="K102" i="2"/>
  <c r="K106" i="2"/>
  <c r="K336" i="2"/>
  <c r="K359" i="2"/>
  <c r="K370" i="2"/>
  <c r="K406" i="2"/>
  <c r="K401" i="2"/>
  <c r="K428" i="2"/>
  <c r="K517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3" i="2"/>
  <c r="K443" i="2"/>
  <c r="K450" i="2"/>
  <c r="K470" i="2"/>
  <c r="K490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8" i="2"/>
  <c r="K466" i="2"/>
  <c r="K526" i="2"/>
  <c r="K139" i="2"/>
  <c r="K152" i="2"/>
  <c r="K161" i="2"/>
  <c r="K463" i="2"/>
  <c r="K467" i="2"/>
  <c r="K376" i="2"/>
  <c r="K471" i="2"/>
  <c r="K486" i="2"/>
  <c r="K83" i="2"/>
  <c r="K84" i="2"/>
  <c r="K153" i="2"/>
  <c r="K239" i="2"/>
  <c r="K403" i="2"/>
  <c r="K429" i="2"/>
  <c r="K495" i="2"/>
  <c r="K508" i="2"/>
  <c r="K519" i="2"/>
  <c r="K523" i="2"/>
  <c r="K61" i="2"/>
  <c r="K185" i="2"/>
  <c r="K199" i="2"/>
  <c r="K292" i="2"/>
  <c r="K297" i="2"/>
  <c r="K389" i="2"/>
  <c r="K426" i="2"/>
  <c r="K491" i="2"/>
  <c r="K275" i="2"/>
  <c r="K455" i="2"/>
  <c r="K459" i="2"/>
  <c r="K477" i="2"/>
  <c r="K480" i="2"/>
  <c r="K521" i="2"/>
  <c r="K95" i="2"/>
  <c r="K223" i="2"/>
  <c r="K232" i="2"/>
  <c r="K251" i="2"/>
  <c r="K371" i="2"/>
  <c r="K386" i="2"/>
  <c r="K402" i="2"/>
  <c r="K399" i="2"/>
  <c r="K415" i="2"/>
  <c r="K441" i="2"/>
  <c r="K452" i="2"/>
  <c r="K505" i="2"/>
  <c r="K46" i="2"/>
  <c r="K50" i="2"/>
  <c r="K165" i="2"/>
  <c r="K205" i="2"/>
  <c r="K489" i="2"/>
  <c r="K492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9" i="2"/>
  <c r="K475" i="2"/>
  <c r="K512" i="2"/>
  <c r="K527" i="2"/>
  <c r="K19" i="2"/>
  <c r="K405" i="2"/>
  <c r="K469" i="2"/>
  <c r="K472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4" i="2"/>
  <c r="K507" i="2"/>
  <c r="K510" i="2"/>
  <c r="K52" i="2"/>
  <c r="K75" i="2"/>
  <c r="K79" i="2"/>
  <c r="K284" i="2"/>
  <c r="K295" i="2"/>
  <c r="K293" i="2"/>
  <c r="K326" i="2"/>
  <c r="K330" i="2"/>
  <c r="K374" i="2"/>
  <c r="K377" i="2"/>
  <c r="K392" i="2"/>
  <c r="K435" i="2"/>
  <c r="K487" i="2"/>
  <c r="K235" i="2"/>
  <c r="K300" i="2"/>
  <c r="K317" i="2"/>
  <c r="K318" i="2"/>
  <c r="K312" i="2"/>
  <c r="K422" i="2"/>
  <c r="K320" i="2"/>
  <c r="K313" i="2"/>
  <c r="K311" i="2"/>
  <c r="K301" i="2"/>
  <c r="K302" i="2"/>
  <c r="K501" i="2"/>
  <c r="K500" i="2"/>
  <c r="K494" i="2"/>
  <c r="K433" i="2"/>
  <c r="K246" i="2"/>
  <c r="K208" i="2"/>
  <c r="K118" i="2"/>
  <c r="K67" i="2"/>
  <c r="K513" i="2"/>
  <c r="K447" i="2"/>
  <c r="K432" i="2"/>
  <c r="K430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2" i="2"/>
  <c r="K496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4" i="2"/>
  <c r="K442" i="2"/>
  <c r="K444" i="2"/>
  <c r="K457" i="2"/>
  <c r="K461" i="2"/>
  <c r="K464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1" i="2"/>
  <c r="K453" i="2"/>
  <c r="K456" i="2"/>
  <c r="K468" i="2"/>
  <c r="K476" i="2"/>
  <c r="K488" i="2"/>
  <c r="K506" i="2"/>
  <c r="K514" i="2"/>
  <c r="K522" i="2"/>
  <c r="K528" i="2"/>
  <c r="K416" i="2"/>
  <c r="K400" i="2"/>
  <c r="K423" i="2"/>
  <c r="K445" i="2"/>
  <c r="K448" i="2"/>
  <c r="K460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73" i="2"/>
  <c r="K473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<sst xmlns="http://schemas.openxmlformats.org/spreadsheetml/2006/main" count="4230" uniqueCount="1628">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</sst>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</cellXfs>
  <cellStyles count="2">
    <cellStyle name="Normal" xfId="0" builtinId="0"/>
    <cellStyle name="Porcentaje" xfId="1" builtinId="5"/>
  </cellStyles>
  <dxfs count="1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3"/>
  <sheetViews>
    <sheetView tabSelected="1" zoomScale="60" zoomScaleNormal="60" workbookViewId="0">
      <pane xSplit="11" ySplit="7" topLeftCell="L484" activePane="bottomRight" state="frozen"/>
      <selection pane="topRight" activeCell="M1" sqref="M1"/>
      <selection pane="bottomLeft" activeCell="A5" sqref="A5"/>
      <selection pane="bottomRight" activeCell="H386" sqref="A386:H386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COUNTA(B8:B685)</f>
        <v>524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0.1163575042158516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524</v>
      </c>
      <c r="M2" s="7">
        <f t="shared" si="2"/>
        <v>524</v>
      </c>
      <c r="N2" s="7">
        <f t="shared" si="2"/>
        <v>524</v>
      </c>
      <c r="O2" s="7">
        <f t="shared" si="2"/>
        <v>524</v>
      </c>
      <c r="P2" s="7">
        <f t="shared" si="2"/>
        <v>524</v>
      </c>
      <c r="Q2" s="7">
        <f t="shared" si="2"/>
        <v>524</v>
      </c>
      <c r="R2" s="7">
        <f t="shared" si="2"/>
        <v>524</v>
      </c>
      <c r="S2" s="7">
        <f t="shared" si="2"/>
        <v>524</v>
      </c>
      <c r="T2" s="7">
        <f t="shared" si="2"/>
        <v>524</v>
      </c>
      <c r="U2" s="7">
        <f t="shared" si="2"/>
        <v>524</v>
      </c>
      <c r="V2" s="7">
        <f t="shared" si="2"/>
        <v>524</v>
      </c>
      <c r="W2" s="7">
        <f t="shared" si="2"/>
        <v>524</v>
      </c>
      <c r="X2" s="7">
        <f t="shared" si="2"/>
        <v>524</v>
      </c>
      <c r="Y2" s="7">
        <f t="shared" si="2"/>
        <v>524</v>
      </c>
      <c r="Z2" s="7">
        <f t="shared" si="2"/>
        <v>524</v>
      </c>
      <c r="AA2" s="7">
        <f t="shared" si="2"/>
        <v>524</v>
      </c>
      <c r="AB2" s="7">
        <f t="shared" si="2"/>
        <v>524</v>
      </c>
      <c r="AC2" s="7">
        <f t="shared" si="2"/>
        <v>524</v>
      </c>
      <c r="AD2" s="7">
        <f t="shared" si="2"/>
        <v>524</v>
      </c>
      <c r="AE2" s="7">
        <f t="shared" si="2"/>
        <v>524</v>
      </c>
      <c r="AF2" s="7">
        <f t="shared" si="2"/>
        <v>524</v>
      </c>
      <c r="AG2" s="7">
        <f t="shared" si="2"/>
        <v>524</v>
      </c>
      <c r="AH2" s="7">
        <f t="shared" si="2"/>
        <v>524</v>
      </c>
      <c r="AI2" s="7">
        <f t="shared" si="2"/>
        <v>524</v>
      </c>
      <c r="AJ2" s="7">
        <f t="shared" si="2"/>
        <v>524</v>
      </c>
      <c r="AK2" s="7">
        <f t="shared" si="2"/>
        <v>524</v>
      </c>
      <c r="AL2" s="7">
        <f t="shared" si="2"/>
        <v>524</v>
      </c>
      <c r="AM2" s="7">
        <f t="shared" si="2"/>
        <v>524</v>
      </c>
      <c r="AN2" s="7">
        <f t="shared" si="2"/>
        <v>524</v>
      </c>
      <c r="AO2" s="7">
        <f t="shared" si="2"/>
        <v>524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COUNTIF(L7:L685, "apagado")</f>
        <v>69</v>
      </c>
      <c r="M3" s="127">
        <f t="shared" si="3"/>
        <v>0</v>
      </c>
      <c r="N3" s="127">
        <f t="shared" si="3"/>
        <v>0</v>
      </c>
      <c r="O3" s="127">
        <f t="shared" si="3"/>
        <v>0</v>
      </c>
      <c r="P3" s="127">
        <f t="shared" si="3"/>
        <v>0</v>
      </c>
      <c r="Q3" s="127">
        <f t="shared" si="3"/>
        <v>0</v>
      </c>
      <c r="R3" s="127">
        <f t="shared" si="3"/>
        <v>0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1473</v>
      </c>
      <c r="E4" s="64"/>
      <c r="F4" s="64"/>
      <c r="G4" s="64"/>
      <c r="H4" s="64"/>
      <c r="I4" s="21"/>
      <c r="J4" s="21"/>
      <c r="K4" s="27"/>
      <c r="L4" s="10">
        <f>COUNTIFS(L8:L639, "=APAGADO",F8:F639,"=Fibra Optica")</f>
        <v>29</v>
      </c>
      <c r="M4" s="10">
        <f>COUNTIFS(M8:M639, "=APAGADO",F8:F639,"=Fibra Optica")</f>
        <v>0</v>
      </c>
      <c r="N4" s="10">
        <f>COUNTIFS(N8:N639, "=APAGADO",F8:F639,"=Fibra Optica")</f>
        <v>0</v>
      </c>
      <c r="O4" s="10">
        <f>COUNTIFS(O8:O639, "=APAGADO",F8:F639,"=Fibra Optica")</f>
        <v>0</v>
      </c>
      <c r="P4" s="10">
        <f>COUNTIFS(P8:P639, "=APAGADO",F8:F639,"=Fibra Optica")</f>
        <v>0</v>
      </c>
      <c r="Q4" s="10">
        <f>COUNTIFS(Q8:Q639, "=APAGADO",F8:F639,"=Fibra Optica")</f>
        <v>0</v>
      </c>
      <c r="R4" s="10">
        <f>COUNTIFS(R8:R639, "=APAGADO",F8:F639,"=Fibra Optica")</f>
        <v>0</v>
      </c>
      <c r="S4" s="10">
        <f>COUNTIFS(S8:S639, "=APAGADO",F8:F639,"=Fibra Optica")</f>
        <v>0</v>
      </c>
      <c r="T4" s="10">
        <f>COUNTIFS(T8:T639, "=APAGADO",F8:F639,"=Fibra Optica")</f>
        <v>0</v>
      </c>
      <c r="U4" s="10">
        <f>COUNTIFS(U8:U639, "=APAGADO",F8:F639,"=Fibra Optica")</f>
        <v>0</v>
      </c>
      <c r="V4" s="10">
        <f>COUNTIFS(V8:V639, "=APAGADO",F8:F639,"=Fibra Optica")</f>
        <v>0</v>
      </c>
      <c r="W4" s="10">
        <f>COUNTIFS(W8:W639, "=APAGADO",F8:F639,"=Fibra Optica")</f>
        <v>0</v>
      </c>
      <c r="X4" s="10">
        <f>COUNTIFS(X8:X639, "=APAGADO",F8:F639,"=Fibra Optica")</f>
        <v>0</v>
      </c>
      <c r="Y4" s="10">
        <f>COUNTIFS(Y8:Y639, "=APAGADO",F8:F639,"=Fibra Optica")</f>
        <v>0</v>
      </c>
      <c r="Z4" s="10">
        <f>COUNTIFS(Z8:Z639, "=APAGADO",F8:F639,"=Fibra Optica")</f>
        <v>0</v>
      </c>
      <c r="AA4" s="10">
        <f>COUNTIFS(AA8:AA639, "=APAGADO",F8:F639,"=Fibra Optica")</f>
        <v>0</v>
      </c>
      <c r="AB4" s="10">
        <f>COUNTIFS(AB8:AB639, "=APAGADO",F8:F639,"=Fibra Optica")</f>
        <v>0</v>
      </c>
      <c r="AC4" s="10">
        <f>COUNTIFS(AC8:AC639, "=APAGADO",F8:F639,"=Fibra Optica")</f>
        <v>0</v>
      </c>
      <c r="AD4" s="10">
        <f>COUNTIFS(AD8:AD639, "=APAGADO",F8:F639,"=Fibra Optica")</f>
        <v>0</v>
      </c>
      <c r="AE4" s="10">
        <f>COUNTIFS(AE8:AE639, "=APAGADO",F8:F639,"=Fibra Optica")</f>
        <v>0</v>
      </c>
      <c r="AF4" s="10">
        <f>COUNTIFS(AF8:AF639, "=APAGADO",F8:F639,"=Fibra Optica")</f>
        <v>0</v>
      </c>
      <c r="AG4" s="10">
        <f>COUNTIFS(AG8:AG639, "=APAGADO",F8:F639,"=Fibra Optica")</f>
        <v>0</v>
      </c>
      <c r="AH4" s="10">
        <f>COUNTIFS(AH8:AH639, "=APAGADO",F8:F639,"=Fibra Optica")</f>
        <v>0</v>
      </c>
      <c r="AI4" s="10">
        <f>COUNTIFS(AI8:AI639, "=APAGADO",F8:F639,"=Fibra Optica")</f>
        <v>0</v>
      </c>
      <c r="AJ4" s="10">
        <f>COUNTIFS(AJ8:AJ639, "=APAGADO",F8:F639,"=Fibra Optica")</f>
        <v>0</v>
      </c>
      <c r="AK4" s="10">
        <f>COUNTIFS(AK8:AK639, "=APAGADO",F8:F639,"=Fibra Optica")</f>
        <v>0</v>
      </c>
      <c r="AL4" s="10">
        <f>COUNTIFS(AL8:AL639, "=APAGADO",F8:F639,"=Fibra Optica")</f>
        <v>0</v>
      </c>
      <c r="AM4" s="10">
        <f>COUNTIFS(AM8:AM639, "=APAGADO",F8:F639,"=Fibra Optica")</f>
        <v>0</v>
      </c>
      <c r="AN4" s="10">
        <f>COUNTIFS(AN8:AN639, "=APAGADO",F8:F639,"=Fibra Optica")</f>
        <v>0</v>
      </c>
      <c r="AO4" s="10">
        <f>COUNTIFS(AO8:AO639, "=APAGADO",F8:F639,"=Fibra Optica")</f>
        <v>0</v>
      </c>
    </row>
    <row r="5" spans="1:41" s="8" customFormat="1" x14ac:dyDescent="0.25">
      <c r="A5" s="117"/>
      <c r="B5" s="58"/>
      <c r="C5" s="58"/>
      <c r="D5" s="128" t="s">
        <v>1474</v>
      </c>
      <c r="E5" s="129"/>
      <c r="F5" s="129"/>
      <c r="G5" s="64"/>
      <c r="H5" s="129"/>
      <c r="I5" s="128"/>
      <c r="J5" s="128"/>
      <c r="K5" s="130"/>
      <c r="L5" s="131">
        <f>COUNTIFS(L8:L639, "=APAGADO",F8:F639,"=RADIO")</f>
        <v>11</v>
      </c>
      <c r="M5" s="131">
        <f>COUNTIFS(M8:M639, "=APAGADO",F8:F639,"=RADIO")</f>
        <v>0</v>
      </c>
      <c r="N5" s="131">
        <f>COUNTIFS(N8:N639, "=APAGADO",F8:F639,"=RADIO")</f>
        <v>0</v>
      </c>
      <c r="O5" s="131">
        <f>COUNTIFS(O8:O639, "=APAGADO",F8:F639,"=RADIO")</f>
        <v>0</v>
      </c>
      <c r="P5" s="131">
        <f>COUNTIFS(P8:P639, "=APAGADO",F8:F639,"=RADIO")</f>
        <v>0</v>
      </c>
      <c r="Q5" s="131">
        <f>COUNTIFS(Q8:Q639, "=APAGADO",F8:F639,"=RADIO")</f>
        <v>0</v>
      </c>
      <c r="R5" s="131">
        <f>COUNTIFS(R8:R639, "=APAGADO",F8:F639,"=RADIO")</f>
        <v>0</v>
      </c>
      <c r="S5" s="131">
        <f>COUNTIFS(S8:S639, "=APAGADO",F8:F639,"=RADIO")</f>
        <v>0</v>
      </c>
      <c r="T5" s="131">
        <f>COUNTIFS(T8:T639, "=APAGADO",F8:F639,"=RADIO")</f>
        <v>0</v>
      </c>
      <c r="U5" s="131">
        <f>COUNTIFS(U8:U639, "=APAGADO",F8:F639,"=RADIO")</f>
        <v>0</v>
      </c>
      <c r="V5" s="131">
        <f>COUNTIFS(V8:V639, "=APAGADO",F8:F639,"=RADIO")</f>
        <v>0</v>
      </c>
      <c r="W5" s="131">
        <f>COUNTIFS(W8:W639, "=APAGADO",F8:F639,"=RADIO")</f>
        <v>0</v>
      </c>
      <c r="X5" s="131">
        <f>COUNTIFS(X8:X639, "=APAGADO",F8:F639,"=RADIO")</f>
        <v>0</v>
      </c>
      <c r="Y5" s="131">
        <f>COUNTIFS(Y8:Y639, "=APAGADO",F8:F639,"=RADIO")</f>
        <v>0</v>
      </c>
      <c r="Z5" s="131">
        <f>COUNTIFS(Z8:Z639, "=APAGADO",F8:F639,"=RADIO")</f>
        <v>0</v>
      </c>
      <c r="AA5" s="131">
        <f>COUNTIFS(AA8:AA639, "=APAGADO",F8:F639,"=RADIO")</f>
        <v>0</v>
      </c>
      <c r="AB5" s="131">
        <f>COUNTIFS(AB8:AB639, "=APAGADO",F8:F639,"=RADIO")</f>
        <v>0</v>
      </c>
      <c r="AC5" s="131">
        <f>COUNTIFS(AC8:AC639, "=APAGADO",F8:F639,"=RADIO")</f>
        <v>0</v>
      </c>
      <c r="AD5" s="131">
        <f>COUNTIFS(AD8:AD639, "=APAGADO",F8:F639,"=RADIO")</f>
        <v>0</v>
      </c>
      <c r="AE5" s="131">
        <f>COUNTIFS(AE8:AE639, "=APAGADO",F8:F639,"=RADIO")</f>
        <v>0</v>
      </c>
      <c r="AF5" s="131">
        <f>COUNTIFS(AF8:AF639, "=APAGADO",F8:F639,"=RADIO")</f>
        <v>0</v>
      </c>
      <c r="AG5" s="131">
        <f>COUNTIFS(AG8:AG639, "=APAGADO",F8:F639,"=RADIO")</f>
        <v>0</v>
      </c>
      <c r="AH5" s="131">
        <f>COUNTIFS(AH8:AH639, "=APAGADO",F8:F639,"=RADIO")</f>
        <v>0</v>
      </c>
      <c r="AI5" s="131">
        <f>COUNTIFS(AI8:AI639, "=APAGADO",F8:F639,"=RADIO")</f>
        <v>0</v>
      </c>
      <c r="AJ5" s="131">
        <f>COUNTIFS(AJ8:AJ639, "=APAGADO",F8:F639,"=RADIO")</f>
        <v>0</v>
      </c>
      <c r="AK5" s="131">
        <f>COUNTIFS(AK8:AK639, "=APAGADO",F8:F639,"=RADIO")</f>
        <v>0</v>
      </c>
      <c r="AL5" s="131">
        <f>COUNTIFS(AL8:AL639, "=APAGADO",F8:F639,"=RADIO")</f>
        <v>0</v>
      </c>
      <c r="AM5" s="131">
        <f>COUNTIFS(AM8:AM639, "=APAGADO",F8:F639,"=RADIO")</f>
        <v>0</v>
      </c>
      <c r="AN5" s="131">
        <f>COUNTIFS(AN8:AN639, "=APAGADO",F8:F639,"=RADIO")</f>
        <v>0</v>
      </c>
      <c r="AO5" s="131">
        <f>COUNTIFS(AO8:AO639, "=APAGADO",F8:F639,"=RADIO")</f>
        <v>0</v>
      </c>
    </row>
    <row r="6" spans="1:41" s="8" customFormat="1" ht="15.75" thickBot="1" x14ac:dyDescent="0.3">
      <c r="A6" s="117"/>
      <c r="B6" s="58"/>
      <c r="C6" s="58"/>
      <c r="D6" s="21" t="s">
        <v>1475</v>
      </c>
      <c r="E6" s="64"/>
      <c r="F6" s="64"/>
      <c r="G6" s="64"/>
      <c r="H6" s="64"/>
      <c r="I6" s="21"/>
      <c r="J6" s="21"/>
      <c r="K6" s="27"/>
      <c r="L6" s="10">
        <f>COUNTIFS(L8:L639, "=APAGADO",F8:F639,"=PTO A FO")</f>
        <v>6</v>
      </c>
      <c r="M6" s="10">
        <f>COUNTIFS(M8:M639, "=APAGADO",F8:F639,"=PTO A FO")</f>
        <v>0</v>
      </c>
      <c r="N6" s="10">
        <f>COUNTIFS(N8:N639, "=APAGADO",F8:F639,"=PTO A FO")</f>
        <v>0</v>
      </c>
      <c r="O6" s="10">
        <f>COUNTIFS(O8:O639, "=APAGADO",F8:F639,"=PTO A FO")</f>
        <v>0</v>
      </c>
      <c r="P6" s="10">
        <f>COUNTIFS(P8:P639, "=APAGADO",F8:F639,"=PTO A FO")</f>
        <v>0</v>
      </c>
      <c r="Q6" s="10">
        <f>COUNTIFS(Q8:Q639, "=APAGADO",F8:F639,"=PTO A FO")</f>
        <v>0</v>
      </c>
      <c r="R6" s="10">
        <f>COUNTIFS(R8:R639, "=APAGADO",F8:F639,"=PTO A FO")</f>
        <v>0</v>
      </c>
      <c r="S6" s="10">
        <f>COUNTIFS(S8:S639, "=APAGADO",F8:F639,"=PTO A FO")</f>
        <v>0</v>
      </c>
      <c r="T6" s="10">
        <f>COUNTIFS(T8:T639, "=APAGADO",F8:F639,"=PTO A FO")</f>
        <v>0</v>
      </c>
      <c r="U6" s="10">
        <f>COUNTIFS(U8:U639, "=APAGADO",F8:F639,"=PTO A FO")</f>
        <v>0</v>
      </c>
      <c r="V6" s="10">
        <f>COUNTIFS(V8:V639, "=APAGADO",F8:F639,"=PTO A FO")</f>
        <v>0</v>
      </c>
      <c r="W6" s="10">
        <f>COUNTIFS(W8:W639, "=APAGADO",F8:F639,"=PTO A FO")</f>
        <v>0</v>
      </c>
      <c r="X6" s="10">
        <f>COUNTIFS(X8:X639, "=APAGADO",F8:F639,"=PTO A FO")</f>
        <v>0</v>
      </c>
      <c r="Y6" s="10">
        <f>COUNTIFS(Y8:Y639, "=APAGADO",F8:F639,"=PTO A FO")</f>
        <v>0</v>
      </c>
      <c r="Z6" s="10">
        <f>COUNTIFS(Z8:Z639, "=APAGADO",F8:F639,"=PTO A FO")</f>
        <v>0</v>
      </c>
      <c r="AA6" s="10">
        <f>COUNTIFS(AA8:AA639, "=APAGADO",F8:F639,"=PTO A FO")</f>
        <v>0</v>
      </c>
      <c r="AB6" s="10">
        <f>COUNTIFS(AB8:AB639, "=APAGADO",F8:F639,"=PTO A FO")</f>
        <v>0</v>
      </c>
      <c r="AC6" s="10">
        <f>COUNTIFS(AC8:AC639, "=APAGADO",F8:F639,"=PTO A FO")</f>
        <v>0</v>
      </c>
      <c r="AD6" s="10">
        <f>COUNTIFS(AD8:AD639, "=APAGADO",F8:F639,"=PTO A FO")</f>
        <v>0</v>
      </c>
      <c r="AE6" s="10">
        <f>COUNTIFS(AE8:AE639, "=APAGADO",F8:F639,"=PTO A FO")</f>
        <v>0</v>
      </c>
      <c r="AF6" s="10">
        <f>COUNTIFS(AF8:AF639, "=APAGADO",F8:F639,"=PTO A FO")</f>
        <v>0</v>
      </c>
      <c r="AG6" s="10">
        <f>COUNTIFS(AG8:AG639, "=APAGADO",F8:F639,"=PTO A FO")</f>
        <v>0</v>
      </c>
      <c r="AH6" s="10">
        <f>COUNTIFS(AH8:AH639, "=APAGADO",F8:F639,"=PTO A FO")</f>
        <v>0</v>
      </c>
      <c r="AI6" s="10">
        <f>COUNTIFS(AI8:AI639, "=APAGADO",F8:F639,"=PTO A FO")</f>
        <v>0</v>
      </c>
      <c r="AJ6" s="10">
        <f>COUNTIFS(AJ8:AJ639, "=APAGADO",F8:F639,"=PTO A FO")</f>
        <v>0</v>
      </c>
      <c r="AK6" s="10">
        <f>COUNTIFS(AK8:AK639, "=APAGADO",F8:F639,"=PTO A FO")</f>
        <v>0</v>
      </c>
      <c r="AL6" s="10">
        <f>COUNTIFS(AL8:AL639, "=APAGADO",F8:F639,"=PTO A FO")</f>
        <v>0</v>
      </c>
      <c r="AM6" s="10">
        <f>COUNTIFS(AM8:AM639, "=APAGADO",F8:F639,"=PTO A FO")</f>
        <v>0</v>
      </c>
      <c r="AN6" s="10">
        <f>COUNTIFS(AN8:AN639, "=APAGADO",F8:F639,"=PTO A FO")</f>
        <v>0</v>
      </c>
      <c r="AO6" s="10">
        <f>COUNTIFS(AO8:AO639, "=APAGADO",F8:F639,"=PTO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1066</v>
      </c>
      <c r="D7" s="35" t="s">
        <v>9</v>
      </c>
      <c r="E7" s="118" t="s">
        <v>10</v>
      </c>
      <c r="F7" s="118" t="s">
        <v>11</v>
      </c>
      <c r="G7" s="118" t="s">
        <v>1254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1067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1067</v>
      </c>
      <c r="D9" t="s">
        <v>32</v>
      </c>
      <c r="E9" s="30" t="s">
        <v>19</v>
      </c>
      <c r="F9" s="30" t="s">
        <v>1061</v>
      </c>
      <c r="G9" s="30" t="s">
        <v>1257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918</v>
      </c>
      <c r="C10" s="73" t="s">
        <v>1067</v>
      </c>
      <c r="D10" s="73" t="s">
        <v>33</v>
      </c>
      <c r="E10" s="85" t="s">
        <v>19</v>
      </c>
      <c r="F10" s="85" t="s">
        <v>1307</v>
      </c>
      <c r="G10" s="85"/>
      <c r="H10" s="85" t="s">
        <v>612</v>
      </c>
      <c r="I10" s="147">
        <f t="shared" si="4"/>
        <v>28</v>
      </c>
      <c r="J10" s="147">
        <f t="shared" si="5"/>
        <v>0</v>
      </c>
      <c r="K10" s="148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919</v>
      </c>
      <c r="C11" s="73" t="s">
        <v>1067</v>
      </c>
      <c r="D11" s="73" t="s">
        <v>34</v>
      </c>
      <c r="E11" s="85" t="s">
        <v>19</v>
      </c>
      <c r="F11" s="85" t="s">
        <v>1307</v>
      </c>
      <c r="G11" s="85"/>
      <c r="H11" s="85" t="s">
        <v>613</v>
      </c>
      <c r="I11" s="147">
        <f t="shared" si="4"/>
        <v>28</v>
      </c>
      <c r="J11" s="147">
        <f t="shared" si="5"/>
        <v>0</v>
      </c>
      <c r="K11" s="148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1067</v>
      </c>
      <c r="D12" s="73" t="s">
        <v>36</v>
      </c>
      <c r="E12" s="85" t="s">
        <v>19</v>
      </c>
      <c r="F12" s="85" t="s">
        <v>1307</v>
      </c>
      <c r="G12" s="85" t="s">
        <v>1256</v>
      </c>
      <c r="H12" s="85" t="s">
        <v>614</v>
      </c>
      <c r="I12" s="147">
        <f t="shared" si="4"/>
        <v>28</v>
      </c>
      <c r="J12" s="147">
        <f t="shared" si="5"/>
        <v>0</v>
      </c>
      <c r="K12" s="148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920</v>
      </c>
      <c r="C13" s="73" t="s">
        <v>1067</v>
      </c>
      <c r="D13" s="73" t="s">
        <v>27</v>
      </c>
      <c r="E13" s="85" t="s">
        <v>19</v>
      </c>
      <c r="F13" s="85" t="s">
        <v>1307</v>
      </c>
      <c r="G13" s="85" t="s">
        <v>1256</v>
      </c>
      <c r="H13" s="85" t="s">
        <v>615</v>
      </c>
      <c r="I13" s="147">
        <f t="shared" si="4"/>
        <v>28</v>
      </c>
      <c r="J13" s="147">
        <f t="shared" si="5"/>
        <v>0</v>
      </c>
      <c r="K13" s="148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1067</v>
      </c>
      <c r="D14" t="s">
        <v>38</v>
      </c>
      <c r="E14" s="30" t="s">
        <v>15</v>
      </c>
      <c r="F14" s="30" t="s">
        <v>1061</v>
      </c>
      <c r="G14" s="30" t="s">
        <v>1257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921</v>
      </c>
      <c r="C15" t="s">
        <v>1067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922</v>
      </c>
      <c r="C16" t="s">
        <v>1067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923</v>
      </c>
      <c r="C17" s="73" t="s">
        <v>1067</v>
      </c>
      <c r="D17" s="73" t="s">
        <v>924</v>
      </c>
      <c r="E17" s="85" t="s">
        <v>19</v>
      </c>
      <c r="F17" s="85" t="s">
        <v>1307</v>
      </c>
      <c r="G17" s="85"/>
      <c r="H17" s="85" t="s">
        <v>1218</v>
      </c>
      <c r="I17" s="147">
        <f t="shared" si="4"/>
        <v>27</v>
      </c>
      <c r="J17" s="147">
        <f t="shared" si="5"/>
        <v>1</v>
      </c>
      <c r="K17" s="148">
        <f t="shared" si="6"/>
        <v>0.9642857142857143</v>
      </c>
      <c r="L17" s="70" t="s">
        <v>1527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1538</v>
      </c>
      <c r="C18" t="s">
        <v>1067</v>
      </c>
      <c r="D18" s="68" t="s">
        <v>1539</v>
      </c>
      <c r="E18" s="30" t="s">
        <v>73</v>
      </c>
      <c r="F18" s="30" t="s">
        <v>28</v>
      </c>
      <c r="G18" s="30"/>
      <c r="H18" s="30" t="s">
        <v>1540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925</v>
      </c>
      <c r="C19" t="s">
        <v>1067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1553</v>
      </c>
      <c r="C20" s="73" t="s">
        <v>1067</v>
      </c>
      <c r="D20" s="73" t="s">
        <v>1554</v>
      </c>
      <c r="E20" s="85" t="s">
        <v>73</v>
      </c>
      <c r="F20" s="85" t="s">
        <v>1307</v>
      </c>
      <c r="G20" s="85"/>
      <c r="H20" s="85" t="s">
        <v>1555</v>
      </c>
      <c r="I20" s="147"/>
      <c r="J20" s="147"/>
      <c r="K20" s="148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1583</v>
      </c>
      <c r="C21" s="73" t="s">
        <v>1067</v>
      </c>
      <c r="D21" s="73" t="s">
        <v>1584</v>
      </c>
      <c r="E21" s="85" t="s">
        <v>73</v>
      </c>
      <c r="F21" s="85" t="s">
        <v>1307</v>
      </c>
      <c r="G21" s="85"/>
      <c r="H21" s="85" t="s">
        <v>1585</v>
      </c>
      <c r="I21" s="147"/>
      <c r="J21" s="147"/>
      <c r="K21" s="148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926</v>
      </c>
      <c r="C22" t="s">
        <v>1067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27</v>
      </c>
      <c r="J22" s="31">
        <f t="shared" si="5"/>
        <v>1</v>
      </c>
      <c r="K22" s="32">
        <f t="shared" si="6"/>
        <v>0.9642857142857143</v>
      </c>
      <c r="L22" s="70" t="s">
        <v>1527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1274</v>
      </c>
      <c r="C23" t="s">
        <v>1067</v>
      </c>
      <c r="D23" t="s">
        <v>1275</v>
      </c>
      <c r="E23" s="30" t="s">
        <v>15</v>
      </c>
      <c r="F23" s="30" t="s">
        <v>28</v>
      </c>
      <c r="G23" s="30"/>
      <c r="H23" s="30" t="s">
        <v>1364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1199</v>
      </c>
      <c r="B24" s="30" t="s">
        <v>1183</v>
      </c>
      <c r="C24" s="30" t="s">
        <v>1068</v>
      </c>
      <c r="D24" t="s">
        <v>1167</v>
      </c>
      <c r="E24" s="30" t="s">
        <v>73</v>
      </c>
      <c r="F24" s="30" t="s">
        <v>20</v>
      </c>
      <c r="G24" s="30"/>
      <c r="H24" s="30" t="s">
        <v>1170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1199</v>
      </c>
      <c r="B25" s="30" t="s">
        <v>1184</v>
      </c>
      <c r="C25" s="30" t="s">
        <v>1068</v>
      </c>
      <c r="D25" t="s">
        <v>1167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1199</v>
      </c>
      <c r="B26" s="30" t="s">
        <v>1182</v>
      </c>
      <c r="C26" s="30" t="s">
        <v>1068</v>
      </c>
      <c r="D26" t="s">
        <v>1166</v>
      </c>
      <c r="E26" s="30" t="s">
        <v>73</v>
      </c>
      <c r="F26" s="30" t="s">
        <v>20</v>
      </c>
      <c r="G26" s="30"/>
      <c r="H26" s="30" t="s">
        <v>1169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1199</v>
      </c>
      <c r="B27" s="30" t="s">
        <v>1181</v>
      </c>
      <c r="C27" s="30" t="s">
        <v>1068</v>
      </c>
      <c r="D27" t="s">
        <v>1166</v>
      </c>
      <c r="E27" s="30" t="s">
        <v>73</v>
      </c>
      <c r="F27" s="30" t="s">
        <v>20</v>
      </c>
      <c r="G27" s="30"/>
      <c r="H27" s="30" t="s">
        <v>1176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1199</v>
      </c>
      <c r="B28" s="30" t="s">
        <v>1185</v>
      </c>
      <c r="C28" s="30" t="s">
        <v>1068</v>
      </c>
      <c r="D28" t="s">
        <v>1168</v>
      </c>
      <c r="E28" s="30" t="s">
        <v>73</v>
      </c>
      <c r="F28" s="30" t="s">
        <v>20</v>
      </c>
      <c r="G28" s="30"/>
      <c r="H28" s="30" t="s">
        <v>1172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1199</v>
      </c>
      <c r="B29" s="30" t="s">
        <v>1186</v>
      </c>
      <c r="C29" s="30" t="s">
        <v>1068</v>
      </c>
      <c r="D29" t="s">
        <v>1168</v>
      </c>
      <c r="E29" s="30" t="s">
        <v>73</v>
      </c>
      <c r="F29" s="30" t="s">
        <v>20</v>
      </c>
      <c r="G29" s="30"/>
      <c r="H29" s="30" t="s">
        <v>1173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1199</v>
      </c>
      <c r="B30" s="85" t="s">
        <v>1354</v>
      </c>
      <c r="C30" s="73" t="s">
        <v>1067</v>
      </c>
      <c r="D30" s="73" t="s">
        <v>1355</v>
      </c>
      <c r="E30" s="85" t="s">
        <v>19</v>
      </c>
      <c r="F30" s="85" t="s">
        <v>1307</v>
      </c>
      <c r="G30" s="85"/>
      <c r="H30" s="85" t="s">
        <v>1362</v>
      </c>
      <c r="I30" s="147">
        <f t="shared" si="4"/>
        <v>28</v>
      </c>
      <c r="J30" s="147">
        <f t="shared" si="5"/>
        <v>0</v>
      </c>
      <c r="K30" s="148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B31" s="85" t="s">
        <v>1608</v>
      </c>
      <c r="C31" s="85" t="s">
        <v>1068</v>
      </c>
      <c r="D31" s="73" t="s">
        <v>1611</v>
      </c>
      <c r="E31" s="85" t="s">
        <v>19</v>
      </c>
      <c r="F31" s="85" t="s">
        <v>1307</v>
      </c>
      <c r="G31" s="85"/>
      <c r="H31" s="85" t="s">
        <v>1612</v>
      </c>
      <c r="I31" s="147"/>
      <c r="J31" s="147"/>
      <c r="K31" s="148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B32" s="85" t="s">
        <v>1609</v>
      </c>
      <c r="C32" s="85" t="s">
        <v>1068</v>
      </c>
      <c r="D32" s="73" t="s">
        <v>1615</v>
      </c>
      <c r="E32" s="85" t="s">
        <v>73</v>
      </c>
      <c r="F32" s="85" t="s">
        <v>1307</v>
      </c>
      <c r="G32" s="85"/>
      <c r="H32" s="85" t="s">
        <v>1613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B33" s="85" t="s">
        <v>1610</v>
      </c>
      <c r="C33" s="85" t="s">
        <v>1068</v>
      </c>
      <c r="D33" s="73" t="s">
        <v>1615</v>
      </c>
      <c r="E33" s="85" t="s">
        <v>73</v>
      </c>
      <c r="F33" s="85" t="s">
        <v>1307</v>
      </c>
      <c r="G33" s="85"/>
      <c r="H33" s="85" t="s">
        <v>1614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1199</v>
      </c>
      <c r="B34" s="134" t="s">
        <v>1356</v>
      </c>
      <c r="C34" s="133" t="s">
        <v>1068</v>
      </c>
      <c r="D34" s="133" t="s">
        <v>1357</v>
      </c>
      <c r="E34" s="134" t="s">
        <v>19</v>
      </c>
      <c r="F34" s="134" t="s">
        <v>28</v>
      </c>
      <c r="G34" s="134"/>
      <c r="H34" s="134" t="s">
        <v>1453</v>
      </c>
      <c r="I34" s="135">
        <f t="shared" si="4"/>
        <v>27</v>
      </c>
      <c r="J34" s="135">
        <f t="shared" si="5"/>
        <v>1</v>
      </c>
      <c r="K34" s="136">
        <f t="shared" si="6"/>
        <v>0.9642857142857143</v>
      </c>
      <c r="L34" s="137" t="s">
        <v>1527</v>
      </c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1199</v>
      </c>
      <c r="B35" s="85" t="s">
        <v>1407</v>
      </c>
      <c r="C35" s="73" t="s">
        <v>1068</v>
      </c>
      <c r="D35" s="73" t="s">
        <v>1408</v>
      </c>
      <c r="E35" s="85" t="s">
        <v>19</v>
      </c>
      <c r="F35" s="85" t="s">
        <v>1307</v>
      </c>
      <c r="G35" s="85"/>
      <c r="H35" s="85" t="s">
        <v>1409</v>
      </c>
      <c r="I35" s="147">
        <f t="shared" si="4"/>
        <v>27</v>
      </c>
      <c r="J35" s="147">
        <f t="shared" si="5"/>
        <v>1</v>
      </c>
      <c r="K35" s="148">
        <f t="shared" si="6"/>
        <v>0.9642857142857143</v>
      </c>
      <c r="L35" s="70" t="s">
        <v>1527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1199</v>
      </c>
      <c r="B36" s="85" t="s">
        <v>1519</v>
      </c>
      <c r="C36" s="73" t="s">
        <v>1068</v>
      </c>
      <c r="D36" s="73" t="s">
        <v>1520</v>
      </c>
      <c r="E36" s="85"/>
      <c r="F36" s="85" t="s">
        <v>1307</v>
      </c>
      <c r="G36" s="85"/>
      <c r="H36" s="85" t="s">
        <v>1521</v>
      </c>
      <c r="I36" s="147"/>
      <c r="J36" s="147"/>
      <c r="K36" s="148"/>
      <c r="L36" s="70" t="s">
        <v>1527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1465</v>
      </c>
      <c r="B37" s="30" t="s">
        <v>1464</v>
      </c>
      <c r="C37" t="s">
        <v>1068</v>
      </c>
      <c r="D37" t="s">
        <v>1463</v>
      </c>
      <c r="E37" s="30" t="s">
        <v>73</v>
      </c>
      <c r="F37" s="30" t="s">
        <v>28</v>
      </c>
      <c r="G37" s="30"/>
      <c r="H37" s="85" t="s">
        <v>1467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1465</v>
      </c>
      <c r="B38" s="30" t="s">
        <v>1466</v>
      </c>
      <c r="C38" t="s">
        <v>1068</v>
      </c>
      <c r="D38" t="s">
        <v>1463</v>
      </c>
      <c r="E38" s="30" t="s">
        <v>73</v>
      </c>
      <c r="F38" s="30" t="s">
        <v>28</v>
      </c>
      <c r="G38" s="30"/>
      <c r="H38" s="85" t="s">
        <v>1468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1067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1067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1067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1067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927</v>
      </c>
      <c r="C43" t="s">
        <v>1067</v>
      </c>
      <c r="D43" t="s">
        <v>1086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1067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1067</v>
      </c>
      <c r="D45" t="s">
        <v>1082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1067</v>
      </c>
      <c r="D46" t="s">
        <v>1081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1067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1067</v>
      </c>
      <c r="D48" t="s">
        <v>1080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1067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928</v>
      </c>
      <c r="C50" t="s">
        <v>1067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929</v>
      </c>
      <c r="C51" s="73" t="s">
        <v>1067</v>
      </c>
      <c r="D51" s="73" t="s">
        <v>90</v>
      </c>
      <c r="E51" s="85" t="s">
        <v>15</v>
      </c>
      <c r="F51" s="85" t="s">
        <v>1307</v>
      </c>
      <c r="G51" s="85"/>
      <c r="H51" s="85" t="s">
        <v>633</v>
      </c>
      <c r="I51" s="147">
        <f t="shared" si="4"/>
        <v>28</v>
      </c>
      <c r="J51" s="147">
        <f t="shared" si="5"/>
        <v>0</v>
      </c>
      <c r="K51" s="148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1067</v>
      </c>
      <c r="D52" t="s">
        <v>1084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1067</v>
      </c>
      <c r="D53" s="73" t="s">
        <v>93</v>
      </c>
      <c r="E53" s="85" t="s">
        <v>19</v>
      </c>
      <c r="F53" s="85" t="s">
        <v>1307</v>
      </c>
      <c r="G53" s="85"/>
      <c r="H53" s="85" t="s">
        <v>635</v>
      </c>
      <c r="I53" s="147">
        <f t="shared" si="4"/>
        <v>28</v>
      </c>
      <c r="J53" s="147">
        <f t="shared" si="5"/>
        <v>0</v>
      </c>
      <c r="K53" s="148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1067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1067</v>
      </c>
      <c r="D55" t="s">
        <v>97</v>
      </c>
      <c r="E55" s="30" t="s">
        <v>19</v>
      </c>
      <c r="F55" s="30" t="s">
        <v>1061</v>
      </c>
      <c r="G55" s="30" t="s">
        <v>1258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1067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1067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1067</v>
      </c>
      <c r="D58" s="73" t="s">
        <v>103</v>
      </c>
      <c r="E58" s="85" t="s">
        <v>19</v>
      </c>
      <c r="F58" s="85" t="s">
        <v>1307</v>
      </c>
      <c r="G58" s="85"/>
      <c r="H58" s="85" t="s">
        <v>640</v>
      </c>
      <c r="I58" s="147">
        <f t="shared" si="4"/>
        <v>28</v>
      </c>
      <c r="J58" s="147">
        <f t="shared" si="5"/>
        <v>0</v>
      </c>
      <c r="K58" s="148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1067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27</v>
      </c>
      <c r="J59" s="31">
        <f t="shared" si="5"/>
        <v>1</v>
      </c>
      <c r="K59" s="32">
        <f t="shared" si="6"/>
        <v>0.9642857142857143</v>
      </c>
      <c r="L59" s="70" t="s">
        <v>1527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1067</v>
      </c>
      <c r="D60" s="73" t="s">
        <v>107</v>
      </c>
      <c r="E60" s="85" t="s">
        <v>19</v>
      </c>
      <c r="F60" s="85" t="s">
        <v>1307</v>
      </c>
      <c r="G60" s="85"/>
      <c r="H60" s="85" t="s">
        <v>1384</v>
      </c>
      <c r="I60" s="147">
        <f t="shared" si="4"/>
        <v>28</v>
      </c>
      <c r="J60" s="147">
        <f t="shared" si="5"/>
        <v>0</v>
      </c>
      <c r="K60" s="148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1067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1067</v>
      </c>
      <c r="D62" t="s">
        <v>1085</v>
      </c>
      <c r="E62" s="30" t="s">
        <v>19</v>
      </c>
      <c r="F62" s="30" t="s">
        <v>28</v>
      </c>
      <c r="G62" s="30"/>
      <c r="H62" s="30" t="s">
        <v>1449</v>
      </c>
      <c r="I62" s="31">
        <f t="shared" si="4"/>
        <v>27</v>
      </c>
      <c r="J62" s="31">
        <f t="shared" si="5"/>
        <v>1</v>
      </c>
      <c r="K62" s="32">
        <f t="shared" si="6"/>
        <v>0.9642857142857143</v>
      </c>
      <c r="L62" s="70" t="s">
        <v>1527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1067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1067</v>
      </c>
      <c r="D64" t="s">
        <v>1087</v>
      </c>
      <c r="E64" s="30" t="s">
        <v>19</v>
      </c>
      <c r="F64" s="30" t="s">
        <v>28</v>
      </c>
      <c r="G64" s="30"/>
      <c r="H64" s="30" t="s">
        <v>1154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1067</v>
      </c>
      <c r="D65" t="s">
        <v>1088</v>
      </c>
      <c r="E65" s="30" t="s">
        <v>19</v>
      </c>
      <c r="F65" s="30" t="s">
        <v>28</v>
      </c>
      <c r="G65" s="30"/>
      <c r="H65" s="30" t="s">
        <v>1488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1067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1067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1067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1527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1067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1067</v>
      </c>
      <c r="D70" t="s">
        <v>1089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1067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1067</v>
      </c>
      <c r="D72" t="s">
        <v>1070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1067</v>
      </c>
      <c r="D73" t="s">
        <v>1071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1067</v>
      </c>
      <c r="D74" t="s">
        <v>1072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930</v>
      </c>
      <c r="C75" t="s">
        <v>1067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1067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1067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1067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1067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1067</v>
      </c>
      <c r="D80" s="73" t="s">
        <v>1531</v>
      </c>
      <c r="E80" s="85" t="s">
        <v>19</v>
      </c>
      <c r="F80" s="85" t="s">
        <v>1307</v>
      </c>
      <c r="G80" s="85"/>
      <c r="H80" s="85" t="s">
        <v>658</v>
      </c>
      <c r="I80" s="147">
        <f t="shared" si="7"/>
        <v>28</v>
      </c>
      <c r="J80" s="147">
        <f t="shared" si="8"/>
        <v>0</v>
      </c>
      <c r="K80" s="148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1067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1067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1489</v>
      </c>
      <c r="C83" t="s">
        <v>1067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1490</v>
      </c>
      <c r="C84" t="s">
        <v>1067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1067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1067</v>
      </c>
      <c r="D86" s="73" t="s">
        <v>146</v>
      </c>
      <c r="E86" s="85" t="s">
        <v>19</v>
      </c>
      <c r="F86" s="85" t="s">
        <v>1307</v>
      </c>
      <c r="G86" s="85"/>
      <c r="H86" s="85" t="s">
        <v>1432</v>
      </c>
      <c r="I86" s="147">
        <f t="shared" si="7"/>
        <v>28</v>
      </c>
      <c r="J86" s="147">
        <f t="shared" si="8"/>
        <v>0</v>
      </c>
      <c r="K86" s="148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1067</v>
      </c>
      <c r="D87" t="s">
        <v>148</v>
      </c>
      <c r="E87" s="30" t="s">
        <v>19</v>
      </c>
      <c r="F87" s="30" t="s">
        <v>28</v>
      </c>
      <c r="G87" s="30"/>
      <c r="H87" s="30" t="s">
        <v>1469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931</v>
      </c>
      <c r="C88" s="73" t="s">
        <v>1067</v>
      </c>
      <c r="D88" s="73" t="s">
        <v>149</v>
      </c>
      <c r="E88" s="85" t="s">
        <v>19</v>
      </c>
      <c r="F88" s="85" t="s">
        <v>1307</v>
      </c>
      <c r="G88" s="85"/>
      <c r="H88" s="85" t="s">
        <v>1369</v>
      </c>
      <c r="I88" s="147">
        <f t="shared" si="7"/>
        <v>28</v>
      </c>
      <c r="J88" s="147">
        <f t="shared" si="8"/>
        <v>0</v>
      </c>
      <c r="K88" s="148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932</v>
      </c>
      <c r="C89" s="73" t="s">
        <v>1067</v>
      </c>
      <c r="D89" s="73" t="s">
        <v>45</v>
      </c>
      <c r="E89" s="85" t="s">
        <v>46</v>
      </c>
      <c r="F89" s="85" t="s">
        <v>1307</v>
      </c>
      <c r="G89" s="85"/>
      <c r="H89" s="85" t="s">
        <v>664</v>
      </c>
      <c r="I89" s="147">
        <f t="shared" si="7"/>
        <v>28</v>
      </c>
      <c r="J89" s="147">
        <f t="shared" si="8"/>
        <v>0</v>
      </c>
      <c r="K89" s="148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1067</v>
      </c>
      <c r="D90" s="73" t="s">
        <v>151</v>
      </c>
      <c r="E90" s="85" t="s">
        <v>15</v>
      </c>
      <c r="F90" s="85" t="s">
        <v>1307</v>
      </c>
      <c r="G90" s="85"/>
      <c r="H90" s="85" t="s">
        <v>1440</v>
      </c>
      <c r="I90" s="147">
        <f t="shared" si="7"/>
        <v>28</v>
      </c>
      <c r="J90" s="147">
        <f t="shared" si="8"/>
        <v>0</v>
      </c>
      <c r="K90" s="148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933</v>
      </c>
      <c r="C91" s="73" t="s">
        <v>1067</v>
      </c>
      <c r="D91" s="73" t="s">
        <v>47</v>
      </c>
      <c r="E91" s="85" t="s">
        <v>19</v>
      </c>
      <c r="F91" s="85" t="s">
        <v>1307</v>
      </c>
      <c r="G91" s="85"/>
      <c r="H91" s="85" t="s">
        <v>1376</v>
      </c>
      <c r="I91" s="147">
        <f t="shared" si="7"/>
        <v>27</v>
      </c>
      <c r="J91" s="147">
        <f t="shared" si="8"/>
        <v>1</v>
      </c>
      <c r="K91" s="148">
        <f t="shared" si="9"/>
        <v>0.9642857142857143</v>
      </c>
      <c r="L91" s="70" t="s">
        <v>1527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1067</v>
      </c>
      <c r="D92" s="73" t="s">
        <v>49</v>
      </c>
      <c r="E92" s="85" t="s">
        <v>19</v>
      </c>
      <c r="F92" s="85" t="s">
        <v>1307</v>
      </c>
      <c r="G92" s="85"/>
      <c r="H92" s="85" t="s">
        <v>1363</v>
      </c>
      <c r="I92" s="147">
        <f t="shared" si="7"/>
        <v>27</v>
      </c>
      <c r="J92" s="147">
        <f t="shared" si="8"/>
        <v>1</v>
      </c>
      <c r="K92" s="148">
        <f t="shared" si="9"/>
        <v>0.9642857142857143</v>
      </c>
      <c r="L92" s="70" t="s">
        <v>1527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1067</v>
      </c>
      <c r="D93" s="73" t="s">
        <v>51</v>
      </c>
      <c r="E93" s="85" t="s">
        <v>19</v>
      </c>
      <c r="F93" s="85" t="s">
        <v>1307</v>
      </c>
      <c r="G93" s="85"/>
      <c r="H93" s="85" t="s">
        <v>1417</v>
      </c>
      <c r="I93" s="147">
        <f t="shared" si="7"/>
        <v>28</v>
      </c>
      <c r="J93" s="147">
        <f t="shared" si="8"/>
        <v>0</v>
      </c>
      <c r="K93" s="148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1067</v>
      </c>
      <c r="D94" s="73" t="s">
        <v>54</v>
      </c>
      <c r="E94" s="85" t="s">
        <v>15</v>
      </c>
      <c r="F94" s="85" t="s">
        <v>1307</v>
      </c>
      <c r="G94" s="85"/>
      <c r="H94" s="85" t="s">
        <v>1433</v>
      </c>
      <c r="I94" s="147">
        <f t="shared" si="7"/>
        <v>27</v>
      </c>
      <c r="J94" s="147">
        <f t="shared" si="8"/>
        <v>1</v>
      </c>
      <c r="K94" s="148">
        <f t="shared" si="9"/>
        <v>0.9642857142857143</v>
      </c>
      <c r="L94" s="70" t="s">
        <v>1527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1067</v>
      </c>
      <c r="D95" s="73" t="s">
        <v>56</v>
      </c>
      <c r="E95" s="85" t="s">
        <v>15</v>
      </c>
      <c r="F95" s="85" t="s">
        <v>1307</v>
      </c>
      <c r="G95" s="85"/>
      <c r="H95" s="85" t="s">
        <v>1372</v>
      </c>
      <c r="I95" s="147">
        <f t="shared" si="7"/>
        <v>28</v>
      </c>
      <c r="J95" s="147">
        <f t="shared" si="8"/>
        <v>0</v>
      </c>
      <c r="K95" s="148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1067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938</v>
      </c>
      <c r="C97" s="73" t="s">
        <v>1067</v>
      </c>
      <c r="D97" s="73" t="s">
        <v>59</v>
      </c>
      <c r="E97" s="85" t="s">
        <v>15</v>
      </c>
      <c r="F97" s="85" t="s">
        <v>1307</v>
      </c>
      <c r="G97" s="85"/>
      <c r="H97" s="85" t="s">
        <v>1383</v>
      </c>
      <c r="I97" s="147">
        <f t="shared" si="7"/>
        <v>28</v>
      </c>
      <c r="J97" s="147">
        <f t="shared" si="8"/>
        <v>0</v>
      </c>
      <c r="K97" s="148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1067</v>
      </c>
      <c r="D98" t="s">
        <v>61</v>
      </c>
      <c r="E98" s="30" t="s">
        <v>15</v>
      </c>
      <c r="F98" s="30" t="s">
        <v>1061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1067</v>
      </c>
      <c r="D99" s="73" t="s">
        <v>63</v>
      </c>
      <c r="E99" s="85" t="s">
        <v>15</v>
      </c>
      <c r="F99" s="85" t="s">
        <v>1307</v>
      </c>
      <c r="G99" s="85"/>
      <c r="H99" s="85" t="s">
        <v>1373</v>
      </c>
      <c r="I99" s="147">
        <f t="shared" si="7"/>
        <v>28</v>
      </c>
      <c r="J99" s="147">
        <f t="shared" si="8"/>
        <v>0</v>
      </c>
      <c r="K99" s="148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939</v>
      </c>
      <c r="C100" t="s">
        <v>1067</v>
      </c>
      <c r="D100" t="s">
        <v>1090</v>
      </c>
      <c r="E100" s="30" t="s">
        <v>15</v>
      </c>
      <c r="F100" s="30" t="s">
        <v>1061</v>
      </c>
      <c r="G100" s="30" t="s">
        <v>1259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940</v>
      </c>
      <c r="C101" t="s">
        <v>1067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1067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934</v>
      </c>
      <c r="C103" s="73" t="s">
        <v>1067</v>
      </c>
      <c r="D103" s="73" t="s">
        <v>154</v>
      </c>
      <c r="E103" s="85" t="s">
        <v>46</v>
      </c>
      <c r="F103" s="85" t="s">
        <v>1307</v>
      </c>
      <c r="G103" s="85"/>
      <c r="H103" s="85" t="s">
        <v>1064</v>
      </c>
      <c r="I103" s="147">
        <f t="shared" si="7"/>
        <v>28</v>
      </c>
      <c r="J103" s="147">
        <f t="shared" si="8"/>
        <v>0</v>
      </c>
      <c r="K103" s="148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1067</v>
      </c>
      <c r="D104" s="73" t="s">
        <v>154</v>
      </c>
      <c r="E104" s="85" t="s">
        <v>46</v>
      </c>
      <c r="F104" s="85" t="s">
        <v>1307</v>
      </c>
      <c r="G104" s="85"/>
      <c r="H104" s="85" t="s">
        <v>670</v>
      </c>
      <c r="I104" s="147">
        <f t="shared" si="7"/>
        <v>28</v>
      </c>
      <c r="J104" s="147">
        <f t="shared" si="8"/>
        <v>0</v>
      </c>
      <c r="K104" s="148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1067</v>
      </c>
      <c r="D105" s="73" t="s">
        <v>157</v>
      </c>
      <c r="E105" s="85" t="s">
        <v>73</v>
      </c>
      <c r="F105" s="85" t="s">
        <v>1307</v>
      </c>
      <c r="G105" s="85"/>
      <c r="H105" s="85" t="s">
        <v>674</v>
      </c>
      <c r="I105" s="147">
        <f t="shared" si="7"/>
        <v>28</v>
      </c>
      <c r="J105" s="147">
        <f t="shared" si="8"/>
        <v>0</v>
      </c>
      <c r="K105" s="148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1067</v>
      </c>
      <c r="D106" s="73" t="s">
        <v>157</v>
      </c>
      <c r="E106" s="85" t="s">
        <v>73</v>
      </c>
      <c r="F106" s="85" t="s">
        <v>1307</v>
      </c>
      <c r="G106" s="85"/>
      <c r="H106" s="85" t="s">
        <v>675</v>
      </c>
      <c r="I106" s="147">
        <f t="shared" si="7"/>
        <v>28</v>
      </c>
      <c r="J106" s="147">
        <f t="shared" si="8"/>
        <v>0</v>
      </c>
      <c r="K106" s="148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1067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1067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1067</v>
      </c>
      <c r="D109" s="73" t="s">
        <v>68</v>
      </c>
      <c r="E109" s="85" t="s">
        <v>19</v>
      </c>
      <c r="F109" s="85" t="s">
        <v>1307</v>
      </c>
      <c r="G109" s="85"/>
      <c r="H109" s="85" t="s">
        <v>678</v>
      </c>
      <c r="I109" s="147">
        <f t="shared" si="7"/>
        <v>28</v>
      </c>
      <c r="J109" s="147">
        <f t="shared" si="8"/>
        <v>0</v>
      </c>
      <c r="K109" s="148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1067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1067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1067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27</v>
      </c>
      <c r="J112" s="31">
        <f t="shared" si="8"/>
        <v>1</v>
      </c>
      <c r="K112" s="32">
        <f t="shared" si="9"/>
        <v>0.9642857142857143</v>
      </c>
      <c r="L112" s="70" t="s">
        <v>1527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935</v>
      </c>
      <c r="C113" s="73" t="s">
        <v>1067</v>
      </c>
      <c r="D113" s="73" t="s">
        <v>936</v>
      </c>
      <c r="E113" s="85" t="s">
        <v>19</v>
      </c>
      <c r="F113" s="85" t="s">
        <v>1307</v>
      </c>
      <c r="G113" s="85"/>
      <c r="H113" s="85" t="s">
        <v>1219</v>
      </c>
      <c r="I113" s="147">
        <f t="shared" si="7"/>
        <v>27</v>
      </c>
      <c r="J113" s="147">
        <f t="shared" si="8"/>
        <v>1</v>
      </c>
      <c r="K113" s="148">
        <f t="shared" si="9"/>
        <v>0.9642857142857143</v>
      </c>
      <c r="L113" s="70" t="s">
        <v>1527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937</v>
      </c>
      <c r="C114" t="s">
        <v>1067</v>
      </c>
      <c r="D114" t="s">
        <v>1083</v>
      </c>
      <c r="E114" s="30" t="s">
        <v>73</v>
      </c>
      <c r="F114" s="30" t="s">
        <v>28</v>
      </c>
      <c r="G114" s="30"/>
      <c r="H114" s="30" t="s">
        <v>1505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1114</v>
      </c>
      <c r="C115" t="s">
        <v>1067</v>
      </c>
      <c r="D115" t="s">
        <v>1113</v>
      </c>
      <c r="E115" s="30" t="s">
        <v>73</v>
      </c>
      <c r="F115" s="30" t="s">
        <v>28</v>
      </c>
      <c r="G115" s="30"/>
      <c r="H115" s="30" t="s">
        <v>1115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1123</v>
      </c>
      <c r="C116" s="30" t="s">
        <v>1067</v>
      </c>
      <c r="D116" t="s">
        <v>122</v>
      </c>
      <c r="E116" s="30" t="s">
        <v>73</v>
      </c>
      <c r="F116" s="30" t="s">
        <v>28</v>
      </c>
      <c r="G116" s="30"/>
      <c r="H116" s="30" t="s">
        <v>1124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1116</v>
      </c>
      <c r="C117" s="30" t="s">
        <v>1067</v>
      </c>
      <c r="D117" t="s">
        <v>1118</v>
      </c>
      <c r="E117" s="30" t="s">
        <v>73</v>
      </c>
      <c r="F117" s="30" t="s">
        <v>28</v>
      </c>
      <c r="G117" s="30"/>
      <c r="H117" s="30" t="s">
        <v>1125</v>
      </c>
      <c r="I117" s="31">
        <f t="shared" si="7"/>
        <v>27</v>
      </c>
      <c r="J117" s="31">
        <f t="shared" si="8"/>
        <v>1</v>
      </c>
      <c r="K117" s="32">
        <f t="shared" si="9"/>
        <v>0.9642857142857143</v>
      </c>
      <c r="L117" s="70" t="s">
        <v>1527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1117</v>
      </c>
      <c r="C118" s="30" t="s">
        <v>1067</v>
      </c>
      <c r="D118" t="s">
        <v>1118</v>
      </c>
      <c r="E118" s="30" t="s">
        <v>73</v>
      </c>
      <c r="F118" s="30" t="s">
        <v>28</v>
      </c>
      <c r="G118" s="30"/>
      <c r="H118" s="30" t="s">
        <v>1126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 t="s">
        <v>1527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1187</v>
      </c>
      <c r="C119" s="30" t="s">
        <v>1067</v>
      </c>
      <c r="D119" t="s">
        <v>93</v>
      </c>
      <c r="E119" s="30" t="s">
        <v>73</v>
      </c>
      <c r="F119" s="30" t="s">
        <v>28</v>
      </c>
      <c r="G119" s="30"/>
      <c r="H119" s="30" t="s">
        <v>1188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1203</v>
      </c>
      <c r="C120" s="85" t="s">
        <v>1067</v>
      </c>
      <c r="D120" s="73" t="s">
        <v>1204</v>
      </c>
      <c r="E120" s="85" t="s">
        <v>19</v>
      </c>
      <c r="F120" s="85" t="s">
        <v>1307</v>
      </c>
      <c r="G120" s="85"/>
      <c r="H120" s="85" t="s">
        <v>1205</v>
      </c>
      <c r="I120" s="147">
        <f t="shared" si="7"/>
        <v>27</v>
      </c>
      <c r="J120" s="147">
        <f t="shared" si="8"/>
        <v>1</v>
      </c>
      <c r="K120" s="148">
        <f t="shared" si="9"/>
        <v>0.9642857142857143</v>
      </c>
      <c r="L120" s="70" t="s">
        <v>1527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1200</v>
      </c>
      <c r="C121" s="85" t="s">
        <v>1067</v>
      </c>
      <c r="D121" s="73" t="s">
        <v>1201</v>
      </c>
      <c r="E121" s="85" t="s">
        <v>19</v>
      </c>
      <c r="F121" s="85" t="s">
        <v>1307</v>
      </c>
      <c r="G121" s="85"/>
      <c r="H121" s="85" t="s">
        <v>1202</v>
      </c>
      <c r="I121" s="147">
        <f t="shared" si="7"/>
        <v>28</v>
      </c>
      <c r="J121" s="147">
        <f t="shared" si="8"/>
        <v>0</v>
      </c>
      <c r="K121" s="148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1229</v>
      </c>
      <c r="C122" s="85" t="s">
        <v>1067</v>
      </c>
      <c r="D122" s="73" t="s">
        <v>1230</v>
      </c>
      <c r="E122" s="73" t="s">
        <v>73</v>
      </c>
      <c r="F122" s="73" t="s">
        <v>1307</v>
      </c>
      <c r="H122" s="85" t="s">
        <v>1317</v>
      </c>
      <c r="I122" s="147">
        <f t="shared" si="7"/>
        <v>28</v>
      </c>
      <c r="J122" s="147">
        <f t="shared" si="8"/>
        <v>0</v>
      </c>
      <c r="K122" s="148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1231</v>
      </c>
      <c r="C123" s="30" t="s">
        <v>1067</v>
      </c>
      <c r="D123" t="s">
        <v>1232</v>
      </c>
      <c r="E123" t="s">
        <v>73</v>
      </c>
      <c r="F123" t="s">
        <v>28</v>
      </c>
      <c r="G123"/>
      <c r="H123" s="30" t="s">
        <v>1329</v>
      </c>
      <c r="I123" s="31">
        <f t="shared" si="7"/>
        <v>27</v>
      </c>
      <c r="J123" s="31">
        <f t="shared" si="8"/>
        <v>1</v>
      </c>
      <c r="K123" s="32">
        <f t="shared" si="9"/>
        <v>0.9642857142857143</v>
      </c>
      <c r="L123" s="70" t="s">
        <v>1527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1305</v>
      </c>
      <c r="C124" s="30" t="s">
        <v>1067</v>
      </c>
      <c r="D124" t="s">
        <v>88</v>
      </c>
      <c r="E124" s="30" t="s">
        <v>73</v>
      </c>
      <c r="F124" s="30" t="s">
        <v>28</v>
      </c>
      <c r="G124" s="30"/>
      <c r="H124" s="30" t="s">
        <v>1304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1331</v>
      </c>
      <c r="C125" s="85" t="s">
        <v>1067</v>
      </c>
      <c r="D125" s="73" t="s">
        <v>1332</v>
      </c>
      <c r="E125" s="85" t="s">
        <v>19</v>
      </c>
      <c r="F125" s="85" t="s">
        <v>1307</v>
      </c>
      <c r="G125" s="85"/>
      <c r="H125" s="85" t="s">
        <v>1333</v>
      </c>
      <c r="I125" s="147">
        <f t="shared" si="7"/>
        <v>28</v>
      </c>
      <c r="J125" s="147">
        <f t="shared" si="8"/>
        <v>0</v>
      </c>
      <c r="K125" s="148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1424</v>
      </c>
      <c r="C126" s="85" t="s">
        <v>1067</v>
      </c>
      <c r="D126" s="73" t="s">
        <v>1541</v>
      </c>
      <c r="E126" s="85" t="s">
        <v>19</v>
      </c>
      <c r="F126" s="85" t="s">
        <v>1307</v>
      </c>
      <c r="G126" s="85"/>
      <c r="H126" s="85" t="s">
        <v>1425</v>
      </c>
      <c r="I126" s="147">
        <f t="shared" si="7"/>
        <v>28</v>
      </c>
      <c r="J126" s="147">
        <f t="shared" si="8"/>
        <v>0</v>
      </c>
      <c r="K126" s="148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1517</v>
      </c>
      <c r="C127" s="85" t="s">
        <v>1067</v>
      </c>
      <c r="D127" s="73" t="s">
        <v>1518</v>
      </c>
      <c r="E127" s="85"/>
      <c r="F127" s="85" t="s">
        <v>1307</v>
      </c>
      <c r="G127" s="85"/>
      <c r="H127" s="85" t="s">
        <v>1522</v>
      </c>
      <c r="I127" s="147"/>
      <c r="J127" s="147"/>
      <c r="K127" s="148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1496</v>
      </c>
      <c r="C128" s="30" t="s">
        <v>1067</v>
      </c>
      <c r="D128" t="s">
        <v>1495</v>
      </c>
      <c r="E128" s="85" t="s">
        <v>73</v>
      </c>
      <c r="F128" s="85" t="s">
        <v>28</v>
      </c>
      <c r="G128" s="85"/>
      <c r="H128" s="85" t="s">
        <v>1497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1499</v>
      </c>
      <c r="C129" s="30" t="s">
        <v>1067</v>
      </c>
      <c r="D129" t="s">
        <v>1498</v>
      </c>
      <c r="E129" s="85" t="s">
        <v>19</v>
      </c>
      <c r="F129" s="85" t="s">
        <v>28</v>
      </c>
      <c r="G129" s="85"/>
      <c r="H129" s="85" t="s">
        <v>1500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1532</v>
      </c>
      <c r="C130" s="85" t="s">
        <v>1067</v>
      </c>
      <c r="D130" s="73" t="s">
        <v>1533</v>
      </c>
      <c r="E130" s="85" t="s">
        <v>19</v>
      </c>
      <c r="F130" s="85" t="s">
        <v>1307</v>
      </c>
      <c r="G130" s="85"/>
      <c r="H130" s="85" t="s">
        <v>1534</v>
      </c>
      <c r="I130" s="147"/>
      <c r="J130" s="147"/>
      <c r="K130" s="148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1535</v>
      </c>
      <c r="C131" s="30" t="s">
        <v>1067</v>
      </c>
      <c r="D131" t="s">
        <v>1536</v>
      </c>
      <c r="E131" s="85" t="s">
        <v>19</v>
      </c>
      <c r="F131" s="85" t="s">
        <v>28</v>
      </c>
      <c r="G131" s="85"/>
      <c r="H131" s="85" t="s">
        <v>1537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1576</v>
      </c>
      <c r="C132" s="85" t="s">
        <v>1067</v>
      </c>
      <c r="D132" s="73" t="s">
        <v>1578</v>
      </c>
      <c r="E132" s="85" t="s">
        <v>1582</v>
      </c>
      <c r="F132" s="85" t="s">
        <v>1307</v>
      </c>
      <c r="G132" s="85"/>
      <c r="H132" s="85" t="s">
        <v>1580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1577</v>
      </c>
      <c r="C133" s="85" t="s">
        <v>1067</v>
      </c>
      <c r="D133" s="73" t="s">
        <v>1579</v>
      </c>
      <c r="E133" s="85"/>
      <c r="F133" s="85" t="s">
        <v>1307</v>
      </c>
      <c r="G133" s="85"/>
      <c r="H133" s="85" t="s">
        <v>1581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1067</v>
      </c>
      <c r="D134" t="s">
        <v>167</v>
      </c>
      <c r="E134" s="30" t="s">
        <v>19</v>
      </c>
      <c r="F134" s="30" t="s">
        <v>20</v>
      </c>
      <c r="G134" s="30"/>
      <c r="H134" s="30" t="s">
        <v>1415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1067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1067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1067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1068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1068</v>
      </c>
      <c r="D139" t="s">
        <v>180</v>
      </c>
      <c r="E139" s="30" t="s">
        <v>19</v>
      </c>
      <c r="F139" s="30" t="s">
        <v>20</v>
      </c>
      <c r="G139" s="30"/>
      <c r="H139" s="30" t="s">
        <v>1315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941</v>
      </c>
      <c r="C140" t="s">
        <v>1068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1233</v>
      </c>
      <c r="C141" t="s">
        <v>1068</v>
      </c>
      <c r="D141" t="s">
        <v>1234</v>
      </c>
      <c r="E141" t="s">
        <v>19</v>
      </c>
      <c r="F141" t="s">
        <v>28</v>
      </c>
      <c r="G141"/>
      <c r="H141" s="30" t="s">
        <v>1244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1067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27</v>
      </c>
      <c r="J142" s="142">
        <f t="shared" si="8"/>
        <v>1</v>
      </c>
      <c r="K142" s="143">
        <f t="shared" si="9"/>
        <v>0.9642857142857143</v>
      </c>
      <c r="L142" s="94" t="s">
        <v>1527</v>
      </c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942</v>
      </c>
      <c r="C143" t="s">
        <v>1067</v>
      </c>
      <c r="D143" t="s">
        <v>185</v>
      </c>
      <c r="E143" s="30" t="s">
        <v>73</v>
      </c>
      <c r="F143" s="30" t="s">
        <v>1061</v>
      </c>
      <c r="G143" s="30" t="s">
        <v>1255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943</v>
      </c>
      <c r="C144" t="s">
        <v>1067</v>
      </c>
      <c r="D144" t="s">
        <v>185</v>
      </c>
      <c r="E144" s="30" t="s">
        <v>73</v>
      </c>
      <c r="F144" s="30" t="s">
        <v>1061</v>
      </c>
      <c r="G144" s="30" t="s">
        <v>1255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944</v>
      </c>
      <c r="C145" s="92" t="s">
        <v>1067</v>
      </c>
      <c r="D145" s="92" t="s">
        <v>945</v>
      </c>
      <c r="E145" s="93" t="s">
        <v>73</v>
      </c>
      <c r="F145" s="93" t="s">
        <v>1061</v>
      </c>
      <c r="G145" s="93" t="s">
        <v>1255</v>
      </c>
      <c r="H145" s="93" t="s">
        <v>1220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 t="s">
        <v>1527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946</v>
      </c>
      <c r="C146" s="92" t="s">
        <v>1067</v>
      </c>
      <c r="D146" s="92" t="s">
        <v>945</v>
      </c>
      <c r="E146" s="93" t="s">
        <v>73</v>
      </c>
      <c r="F146" s="93" t="s">
        <v>1061</v>
      </c>
      <c r="G146" s="93" t="s">
        <v>1255</v>
      </c>
      <c r="H146" s="93" t="s">
        <v>1221</v>
      </c>
      <c r="I146" s="31">
        <f t="shared" si="7"/>
        <v>27</v>
      </c>
      <c r="J146" s="31">
        <f t="shared" si="8"/>
        <v>1</v>
      </c>
      <c r="K146" s="32">
        <f t="shared" si="9"/>
        <v>0.9642857142857143</v>
      </c>
      <c r="L146" s="70" t="s">
        <v>1527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1139</v>
      </c>
      <c r="C147" t="s">
        <v>1067</v>
      </c>
      <c r="D147" t="s">
        <v>1134</v>
      </c>
      <c r="E147" s="30" t="s">
        <v>73</v>
      </c>
      <c r="F147" s="30" t="s">
        <v>1061</v>
      </c>
      <c r="G147" s="30" t="s">
        <v>1255</v>
      </c>
      <c r="H147" s="30" t="s">
        <v>1147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1140</v>
      </c>
      <c r="C148" t="s">
        <v>1067</v>
      </c>
      <c r="D148" t="s">
        <v>1134</v>
      </c>
      <c r="E148" s="30" t="s">
        <v>73</v>
      </c>
      <c r="F148" s="30" t="s">
        <v>1061</v>
      </c>
      <c r="G148" s="30" t="s">
        <v>1255</v>
      </c>
      <c r="H148" s="30" t="s">
        <v>1148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1567</v>
      </c>
      <c r="C149" s="73" t="s">
        <v>1067</v>
      </c>
      <c r="D149" s="73" t="s">
        <v>1568</v>
      </c>
      <c r="E149" s="85" t="s">
        <v>46</v>
      </c>
      <c r="F149" s="85" t="s">
        <v>1307</v>
      </c>
      <c r="G149" s="85"/>
      <c r="H149" s="85" t="s">
        <v>1569</v>
      </c>
      <c r="I149" s="147"/>
      <c r="J149" s="147"/>
      <c r="K149" s="148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1336</v>
      </c>
      <c r="B150" s="73" t="s">
        <v>1324</v>
      </c>
      <c r="C150" s="73" t="s">
        <v>1068</v>
      </c>
      <c r="D150" s="73" t="s">
        <v>1325</v>
      </c>
      <c r="E150" s="85" t="s">
        <v>19</v>
      </c>
      <c r="F150" s="85" t="s">
        <v>1307</v>
      </c>
      <c r="G150" s="85"/>
      <c r="H150" s="85" t="s">
        <v>1339</v>
      </c>
      <c r="I150" s="147">
        <f t="shared" si="7"/>
        <v>27</v>
      </c>
      <c r="J150" s="147">
        <f t="shared" si="8"/>
        <v>1</v>
      </c>
      <c r="K150" s="148">
        <f t="shared" si="9"/>
        <v>0.9642857142857143</v>
      </c>
      <c r="L150" s="70" t="s">
        <v>1527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1336</v>
      </c>
      <c r="B151" s="73" t="s">
        <v>1340</v>
      </c>
      <c r="C151" s="73" t="s">
        <v>1068</v>
      </c>
      <c r="D151" s="73" t="s">
        <v>1341</v>
      </c>
      <c r="E151" s="85"/>
      <c r="F151" s="85" t="s">
        <v>1307</v>
      </c>
      <c r="G151" s="85"/>
      <c r="H151" s="85" t="s">
        <v>1506</v>
      </c>
      <c r="I151" s="147">
        <f t="shared" ref="I151:I222" si="10">COUNTIF(L151:AM151,"")</f>
        <v>28</v>
      </c>
      <c r="J151" s="147">
        <f t="shared" ref="J151:J222" si="11">COUNTIF(L151:AM151,"APAGADO")</f>
        <v>0</v>
      </c>
      <c r="K151" s="148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947</v>
      </c>
      <c r="C152" t="s">
        <v>1068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 t="s">
        <v>1527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948</v>
      </c>
      <c r="C153" t="s">
        <v>1068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949</v>
      </c>
      <c r="C154" t="s">
        <v>1068</v>
      </c>
      <c r="D154" t="s">
        <v>189</v>
      </c>
      <c r="E154" s="30" t="s">
        <v>19</v>
      </c>
      <c r="F154" s="30" t="s">
        <v>28</v>
      </c>
      <c r="G154" s="30"/>
      <c r="H154" s="30" t="s">
        <v>1316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950</v>
      </c>
      <c r="C155" t="s">
        <v>1068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27</v>
      </c>
      <c r="J155" s="31">
        <f t="shared" si="11"/>
        <v>1</v>
      </c>
      <c r="K155" s="32">
        <f t="shared" si="12"/>
        <v>0.9642857142857143</v>
      </c>
      <c r="L155" s="70" t="s">
        <v>1527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1559</v>
      </c>
      <c r="C156" t="s">
        <v>1068</v>
      </c>
      <c r="D156" t="s">
        <v>982</v>
      </c>
      <c r="E156" s="30" t="s">
        <v>46</v>
      </c>
      <c r="F156" s="30"/>
      <c r="G156" s="30"/>
      <c r="H156" s="30" t="s">
        <v>1562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1560</v>
      </c>
      <c r="C157" t="s">
        <v>1068</v>
      </c>
      <c r="D157" t="s">
        <v>1561</v>
      </c>
      <c r="E157" s="30" t="s">
        <v>15</v>
      </c>
      <c r="F157" s="30"/>
      <c r="G157" s="30"/>
      <c r="H157" s="30" t="s">
        <v>1563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1068</v>
      </c>
      <c r="D158" t="s">
        <v>195</v>
      </c>
      <c r="E158" s="30" t="s">
        <v>19</v>
      </c>
      <c r="F158" s="30" t="s">
        <v>20</v>
      </c>
      <c r="G158" s="30"/>
      <c r="H158" s="30" t="s">
        <v>1451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1068</v>
      </c>
      <c r="D159" t="s">
        <v>198</v>
      </c>
      <c r="E159" s="30" t="s">
        <v>19</v>
      </c>
      <c r="F159" s="30" t="s">
        <v>1061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1068</v>
      </c>
      <c r="D160" t="s">
        <v>201</v>
      </c>
      <c r="E160" s="30" t="s">
        <v>15</v>
      </c>
      <c r="F160" s="30" t="s">
        <v>1061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1068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1068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1068</v>
      </c>
      <c r="D163" s="73" t="s">
        <v>207</v>
      </c>
      <c r="E163" s="85" t="s">
        <v>19</v>
      </c>
      <c r="F163" s="85" t="s">
        <v>1307</v>
      </c>
      <c r="G163" s="85"/>
      <c r="H163" s="85" t="s">
        <v>1437</v>
      </c>
      <c r="I163" s="147">
        <f t="shared" si="10"/>
        <v>28</v>
      </c>
      <c r="J163" s="147">
        <f t="shared" si="11"/>
        <v>0</v>
      </c>
      <c r="K163" s="148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952</v>
      </c>
      <c r="C164" t="s">
        <v>1068</v>
      </c>
      <c r="D164" t="s">
        <v>192</v>
      </c>
      <c r="E164" s="30" t="s">
        <v>15</v>
      </c>
      <c r="F164" s="30" t="s">
        <v>1061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1068</v>
      </c>
      <c r="D165" t="s">
        <v>951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1068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1068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1068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1068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1175</v>
      </c>
      <c r="C170" s="30" t="s">
        <v>1068</v>
      </c>
      <c r="D170" t="s">
        <v>1158</v>
      </c>
      <c r="E170" s="30" t="s">
        <v>1119</v>
      </c>
      <c r="F170" s="30" t="s">
        <v>28</v>
      </c>
      <c r="G170" s="30"/>
      <c r="H170" s="30" t="s">
        <v>1159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1174</v>
      </c>
      <c r="C171" s="30" t="s">
        <v>1068</v>
      </c>
      <c r="D171" t="s">
        <v>1158</v>
      </c>
      <c r="E171" s="30" t="s">
        <v>1119</v>
      </c>
      <c r="F171" s="30" t="s">
        <v>28</v>
      </c>
      <c r="G171" s="30"/>
      <c r="H171" s="30" t="s">
        <v>1160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1177</v>
      </c>
      <c r="C172" s="30" t="s">
        <v>1068</v>
      </c>
      <c r="D172" t="s">
        <v>1155</v>
      </c>
      <c r="E172" s="30" t="s">
        <v>73</v>
      </c>
      <c r="F172" s="30" t="s">
        <v>28</v>
      </c>
      <c r="G172" s="30"/>
      <c r="H172" s="30" t="s">
        <v>1156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1178</v>
      </c>
      <c r="C173" s="30" t="s">
        <v>1068</v>
      </c>
      <c r="D173" t="s">
        <v>1155</v>
      </c>
      <c r="E173" s="30" t="s">
        <v>73</v>
      </c>
      <c r="F173" s="30" t="s">
        <v>28</v>
      </c>
      <c r="G173" s="30"/>
      <c r="H173" s="30" t="s">
        <v>1157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1523</v>
      </c>
      <c r="C174" s="30" t="s">
        <v>1068</v>
      </c>
      <c r="D174" t="s">
        <v>1524</v>
      </c>
      <c r="E174" s="30" t="s">
        <v>19</v>
      </c>
      <c r="F174" s="30" t="s">
        <v>28</v>
      </c>
      <c r="G174" s="30"/>
      <c r="H174" s="30" t="s">
        <v>1525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1564</v>
      </c>
      <c r="C175" s="85" t="s">
        <v>1068</v>
      </c>
      <c r="D175" s="73" t="s">
        <v>1565</v>
      </c>
      <c r="E175" s="85" t="s">
        <v>19</v>
      </c>
      <c r="F175" s="85" t="s">
        <v>1307</v>
      </c>
      <c r="G175" s="85"/>
      <c r="H175" s="85" t="s">
        <v>1566</v>
      </c>
      <c r="I175" s="147"/>
      <c r="J175" s="147"/>
      <c r="K175" s="148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1545</v>
      </c>
      <c r="C176" s="85" t="s">
        <v>1068</v>
      </c>
      <c r="D176" s="73" t="s">
        <v>1546</v>
      </c>
      <c r="E176" s="85" t="s">
        <v>1119</v>
      </c>
      <c r="F176" s="85" t="s">
        <v>1547</v>
      </c>
      <c r="G176" s="85"/>
      <c r="H176" s="85" t="s">
        <v>1548</v>
      </c>
      <c r="I176" s="147"/>
      <c r="J176" s="147"/>
      <c r="K176" s="148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953</v>
      </c>
      <c r="C177" t="s">
        <v>1068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954</v>
      </c>
      <c r="C178" t="s">
        <v>1068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955</v>
      </c>
      <c r="C179" s="138" t="s">
        <v>1068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27</v>
      </c>
      <c r="J179" s="139">
        <f t="shared" si="11"/>
        <v>1</v>
      </c>
      <c r="K179" s="140">
        <f t="shared" si="12"/>
        <v>0.9642857142857143</v>
      </c>
      <c r="L179" s="141" t="s">
        <v>1527</v>
      </c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1067</v>
      </c>
      <c r="D180" s="73" t="s">
        <v>231</v>
      </c>
      <c r="E180" s="85" t="s">
        <v>15</v>
      </c>
      <c r="F180" s="85" t="s">
        <v>1307</v>
      </c>
      <c r="G180" s="85"/>
      <c r="H180" s="85" t="s">
        <v>1399</v>
      </c>
      <c r="I180" s="147">
        <f t="shared" si="10"/>
        <v>28</v>
      </c>
      <c r="J180" s="147">
        <f t="shared" si="11"/>
        <v>0</v>
      </c>
      <c r="K180" s="148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1067</v>
      </c>
      <c r="D181" s="73" t="s">
        <v>233</v>
      </c>
      <c r="E181" s="85" t="s">
        <v>19</v>
      </c>
      <c r="F181" s="85" t="s">
        <v>1307</v>
      </c>
      <c r="G181" s="85"/>
      <c r="H181" s="85" t="s">
        <v>1434</v>
      </c>
      <c r="I181" s="147">
        <f t="shared" si="10"/>
        <v>28</v>
      </c>
      <c r="J181" s="147">
        <f t="shared" si="11"/>
        <v>0</v>
      </c>
      <c r="K181" s="148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1067</v>
      </c>
      <c r="D182" t="s">
        <v>235</v>
      </c>
      <c r="E182" s="30" t="s">
        <v>19</v>
      </c>
      <c r="F182" s="30" t="s">
        <v>20</v>
      </c>
      <c r="G182" s="30"/>
      <c r="H182" s="30" t="s">
        <v>1416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1067</v>
      </c>
      <c r="D183" t="s">
        <v>237</v>
      </c>
      <c r="E183" s="30" t="s">
        <v>19</v>
      </c>
      <c r="F183" s="30" t="s">
        <v>20</v>
      </c>
      <c r="G183" s="30"/>
      <c r="H183" s="30" t="s">
        <v>1442</v>
      </c>
      <c r="I183" s="31">
        <f t="shared" si="10"/>
        <v>27</v>
      </c>
      <c r="J183" s="31">
        <f t="shared" si="11"/>
        <v>1</v>
      </c>
      <c r="K183" s="32">
        <f t="shared" si="12"/>
        <v>0.9642857142857143</v>
      </c>
      <c r="L183" s="70" t="s">
        <v>1527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1067</v>
      </c>
      <c r="D184" t="s">
        <v>239</v>
      </c>
      <c r="E184" s="30" t="s">
        <v>19</v>
      </c>
      <c r="F184" s="30" t="s">
        <v>20</v>
      </c>
      <c r="G184" s="30"/>
      <c r="H184" s="30" t="s">
        <v>1443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1067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27</v>
      </c>
      <c r="J185" s="31">
        <f t="shared" si="11"/>
        <v>1</v>
      </c>
      <c r="K185" s="32">
        <f t="shared" si="12"/>
        <v>0.9642857142857143</v>
      </c>
      <c r="L185" s="70" t="s">
        <v>1527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1067</v>
      </c>
      <c r="D186" s="73" t="s">
        <v>221</v>
      </c>
      <c r="E186" s="85" t="s">
        <v>15</v>
      </c>
      <c r="F186" s="85" t="s">
        <v>1307</v>
      </c>
      <c r="G186" s="85"/>
      <c r="H186" s="85" t="s">
        <v>1604</v>
      </c>
      <c r="I186" s="147">
        <f t="shared" si="10"/>
        <v>27</v>
      </c>
      <c r="J186" s="147">
        <f t="shared" si="11"/>
        <v>1</v>
      </c>
      <c r="K186" s="148">
        <f t="shared" si="12"/>
        <v>0.9642857142857143</v>
      </c>
      <c r="L186" s="70" t="s">
        <v>1527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960</v>
      </c>
      <c r="C187" t="s">
        <v>1067</v>
      </c>
      <c r="D187" t="s">
        <v>222</v>
      </c>
      <c r="E187" s="30" t="s">
        <v>15</v>
      </c>
      <c r="F187" s="30" t="s">
        <v>20</v>
      </c>
      <c r="G187" s="30"/>
      <c r="H187" s="30" t="s">
        <v>1414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961</v>
      </c>
      <c r="C188" t="s">
        <v>1067</v>
      </c>
      <c r="D188" t="s">
        <v>223</v>
      </c>
      <c r="E188" s="30" t="s">
        <v>15</v>
      </c>
      <c r="F188" s="30" t="s">
        <v>20</v>
      </c>
      <c r="G188" s="30"/>
      <c r="H188" s="30" t="s">
        <v>1217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1067</v>
      </c>
      <c r="D189" s="73" t="s">
        <v>225</v>
      </c>
      <c r="E189" s="85" t="s">
        <v>15</v>
      </c>
      <c r="F189" s="85" t="s">
        <v>1307</v>
      </c>
      <c r="G189" s="85"/>
      <c r="H189" s="85" t="s">
        <v>1413</v>
      </c>
      <c r="I189" s="147">
        <f t="shared" si="10"/>
        <v>28</v>
      </c>
      <c r="J189" s="147">
        <f t="shared" si="11"/>
        <v>0</v>
      </c>
      <c r="K189" s="148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1067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1067</v>
      </c>
      <c r="D191" t="s">
        <v>227</v>
      </c>
      <c r="E191" s="30" t="s">
        <v>73</v>
      </c>
      <c r="F191" s="30" t="s">
        <v>1061</v>
      </c>
      <c r="G191" s="30" t="s">
        <v>1255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1067</v>
      </c>
      <c r="D192" t="s">
        <v>227</v>
      </c>
      <c r="E192" s="30" t="s">
        <v>73</v>
      </c>
      <c r="F192" s="30" t="s">
        <v>1061</v>
      </c>
      <c r="G192" s="30" t="s">
        <v>1255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956</v>
      </c>
      <c r="C193" t="s">
        <v>1067</v>
      </c>
      <c r="D193" t="s">
        <v>244</v>
      </c>
      <c r="E193" s="30" t="s">
        <v>73</v>
      </c>
      <c r="F193" s="30" t="s">
        <v>1061</v>
      </c>
      <c r="G193" s="30" t="s">
        <v>1255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957</v>
      </c>
      <c r="C194" t="s">
        <v>1067</v>
      </c>
      <c r="D194" t="s">
        <v>244</v>
      </c>
      <c r="E194" s="30" t="s">
        <v>73</v>
      </c>
      <c r="F194" s="30" t="s">
        <v>1061</v>
      </c>
      <c r="G194" s="30" t="s">
        <v>1255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958</v>
      </c>
      <c r="C195" t="s">
        <v>1067</v>
      </c>
      <c r="D195" t="s">
        <v>245</v>
      </c>
      <c r="E195" s="30" t="s">
        <v>73</v>
      </c>
      <c r="F195" s="30" t="s">
        <v>1061</v>
      </c>
      <c r="G195" s="30" t="s">
        <v>1255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959</v>
      </c>
      <c r="C196" t="s">
        <v>1067</v>
      </c>
      <c r="D196" t="s">
        <v>245</v>
      </c>
      <c r="E196" s="30" t="s">
        <v>73</v>
      </c>
      <c r="F196" s="30" t="s">
        <v>1061</v>
      </c>
      <c r="G196" s="30" t="s">
        <v>1255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1236</v>
      </c>
      <c r="C197" s="73" t="s">
        <v>1067</v>
      </c>
      <c r="D197" s="73" t="s">
        <v>1235</v>
      </c>
      <c r="E197" s="73" t="s">
        <v>19</v>
      </c>
      <c r="F197" s="73" t="s">
        <v>1307</v>
      </c>
      <c r="H197" s="85" t="s">
        <v>1245</v>
      </c>
      <c r="I197" s="147">
        <f t="shared" si="10"/>
        <v>28</v>
      </c>
      <c r="J197" s="147">
        <f t="shared" si="11"/>
        <v>0</v>
      </c>
      <c r="K197" s="148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1601</v>
      </c>
      <c r="C198" s="73" t="s">
        <v>1067</v>
      </c>
      <c r="D198" s="73" t="s">
        <v>1602</v>
      </c>
      <c r="E198" s="85" t="s">
        <v>73</v>
      </c>
      <c r="F198" s="85" t="s">
        <v>1307</v>
      </c>
      <c r="H198" s="85" t="s">
        <v>1603</v>
      </c>
      <c r="I198" s="147"/>
      <c r="J198" s="147"/>
      <c r="K198" s="148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1067</v>
      </c>
      <c r="D199" t="s">
        <v>247</v>
      </c>
      <c r="E199" s="30" t="s">
        <v>15</v>
      </c>
      <c r="F199" s="30" t="s">
        <v>1061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1067</v>
      </c>
      <c r="D200" s="73" t="s">
        <v>249</v>
      </c>
      <c r="E200" s="85" t="s">
        <v>15</v>
      </c>
      <c r="F200" s="85" t="s">
        <v>1307</v>
      </c>
      <c r="G200" s="85" t="s">
        <v>45</v>
      </c>
      <c r="H200" s="85" t="s">
        <v>714</v>
      </c>
      <c r="I200" s="147">
        <f t="shared" si="10"/>
        <v>28</v>
      </c>
      <c r="J200" s="147">
        <f t="shared" si="11"/>
        <v>0</v>
      </c>
      <c r="K200" s="148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1067</v>
      </c>
      <c r="D201" s="73" t="s">
        <v>251</v>
      </c>
      <c r="E201" s="85" t="s">
        <v>15</v>
      </c>
      <c r="F201" s="85" t="s">
        <v>1307</v>
      </c>
      <c r="G201" s="85" t="s">
        <v>45</v>
      </c>
      <c r="H201" s="85" t="s">
        <v>715</v>
      </c>
      <c r="I201" s="147">
        <f t="shared" si="10"/>
        <v>28</v>
      </c>
      <c r="J201" s="147">
        <f t="shared" si="11"/>
        <v>0</v>
      </c>
      <c r="K201" s="148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1528</v>
      </c>
      <c r="C202" t="s">
        <v>1067</v>
      </c>
      <c r="D202" t="s">
        <v>1529</v>
      </c>
      <c r="E202" s="30" t="s">
        <v>15</v>
      </c>
      <c r="F202" s="30" t="s">
        <v>28</v>
      </c>
      <c r="G202" s="30"/>
      <c r="H202" s="30" t="s">
        <v>1530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1189</v>
      </c>
      <c r="C203" t="s">
        <v>1068</v>
      </c>
      <c r="D203" t="s">
        <v>1190</v>
      </c>
      <c r="E203" s="30" t="s">
        <v>73</v>
      </c>
      <c r="F203" s="30" t="s">
        <v>16</v>
      </c>
      <c r="G203" s="30"/>
      <c r="H203" s="30" t="s">
        <v>1276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1191</v>
      </c>
      <c r="C204" t="s">
        <v>1068</v>
      </c>
      <c r="D204" t="s">
        <v>1192</v>
      </c>
      <c r="E204" s="30" t="s">
        <v>73</v>
      </c>
      <c r="F204" s="30" t="s">
        <v>20</v>
      </c>
      <c r="G204" s="30"/>
      <c r="H204" s="30" t="s">
        <v>1277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1452</v>
      </c>
      <c r="B205" t="s">
        <v>962</v>
      </c>
      <c r="C205" t="s">
        <v>1067</v>
      </c>
      <c r="D205" t="s">
        <v>1091</v>
      </c>
      <c r="E205" s="30" t="s">
        <v>19</v>
      </c>
      <c r="F205" s="30" t="s">
        <v>20</v>
      </c>
      <c r="G205" s="30"/>
      <c r="H205" s="30" t="s">
        <v>1441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1067</v>
      </c>
      <c r="D206" s="73" t="s">
        <v>253</v>
      </c>
      <c r="E206" s="85" t="s">
        <v>19</v>
      </c>
      <c r="F206" s="85" t="s">
        <v>1307</v>
      </c>
      <c r="G206" s="85"/>
      <c r="H206" s="85" t="s">
        <v>1423</v>
      </c>
      <c r="I206" s="147">
        <f t="shared" si="10"/>
        <v>28</v>
      </c>
      <c r="J206" s="147">
        <f t="shared" si="11"/>
        <v>0</v>
      </c>
      <c r="K206" s="148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1067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1067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1330</v>
      </c>
      <c r="C209" s="73" t="s">
        <v>1067</v>
      </c>
      <c r="D209" s="73" t="s">
        <v>1334</v>
      </c>
      <c r="E209" s="85" t="s">
        <v>15</v>
      </c>
      <c r="F209" s="85" t="s">
        <v>1307</v>
      </c>
      <c r="G209" s="85"/>
      <c r="H209" s="85" t="s">
        <v>1335</v>
      </c>
      <c r="I209" s="147">
        <f t="shared" si="10"/>
        <v>28</v>
      </c>
      <c r="J209" s="147">
        <f t="shared" si="11"/>
        <v>0</v>
      </c>
      <c r="K209" s="148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1426</v>
      </c>
      <c r="C210" s="73" t="s">
        <v>1067</v>
      </c>
      <c r="D210" s="73" t="s">
        <v>1427</v>
      </c>
      <c r="E210" s="87"/>
      <c r="F210" s="85" t="s">
        <v>1307</v>
      </c>
      <c r="G210" s="85"/>
      <c r="H210" s="85" t="s">
        <v>1428</v>
      </c>
      <c r="I210" s="147">
        <f t="shared" si="10"/>
        <v>28</v>
      </c>
      <c r="J210" s="147">
        <f t="shared" si="11"/>
        <v>0</v>
      </c>
      <c r="K210" s="148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1605</v>
      </c>
      <c r="C211" s="73" t="s">
        <v>1067</v>
      </c>
      <c r="D211" s="73" t="s">
        <v>1606</v>
      </c>
      <c r="E211" s="85" t="s">
        <v>15</v>
      </c>
      <c r="F211" s="85" t="s">
        <v>1307</v>
      </c>
      <c r="G211" s="85"/>
      <c r="H211" s="85" t="s">
        <v>1607</v>
      </c>
      <c r="I211" s="147"/>
      <c r="J211" s="147"/>
      <c r="K211" s="148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963</v>
      </c>
      <c r="C212" s="73" t="s">
        <v>1068</v>
      </c>
      <c r="D212" s="73" t="s">
        <v>259</v>
      </c>
      <c r="E212" s="85" t="s">
        <v>15</v>
      </c>
      <c r="F212" s="85" t="s">
        <v>1307</v>
      </c>
      <c r="G212" s="85"/>
      <c r="H212" s="85" t="s">
        <v>717</v>
      </c>
      <c r="I212" s="147">
        <f t="shared" si="10"/>
        <v>28</v>
      </c>
      <c r="J212" s="147">
        <f t="shared" si="11"/>
        <v>0</v>
      </c>
      <c r="K212" s="148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1068</v>
      </c>
      <c r="D213" s="73" t="s">
        <v>261</v>
      </c>
      <c r="E213" s="85" t="s">
        <v>73</v>
      </c>
      <c r="F213" s="85" t="s">
        <v>1307</v>
      </c>
      <c r="G213" s="85"/>
      <c r="H213" s="85" t="s">
        <v>718</v>
      </c>
      <c r="I213" s="147">
        <f t="shared" si="10"/>
        <v>28</v>
      </c>
      <c r="J213" s="147">
        <f t="shared" si="11"/>
        <v>0</v>
      </c>
      <c r="K213" s="148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1068</v>
      </c>
      <c r="D214" s="73" t="s">
        <v>261</v>
      </c>
      <c r="E214" s="85" t="s">
        <v>73</v>
      </c>
      <c r="F214" s="85" t="s">
        <v>1307</v>
      </c>
      <c r="G214" s="85"/>
      <c r="H214" s="85" t="s">
        <v>719</v>
      </c>
      <c r="I214" s="147">
        <f t="shared" si="10"/>
        <v>28</v>
      </c>
      <c r="J214" s="147">
        <f t="shared" si="11"/>
        <v>0</v>
      </c>
      <c r="K214" s="148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964</v>
      </c>
      <c r="C215" t="s">
        <v>1067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965</v>
      </c>
      <c r="C216" t="s">
        <v>1067</v>
      </c>
      <c r="D216" t="s">
        <v>1092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27</v>
      </c>
      <c r="J216" s="31">
        <f t="shared" si="11"/>
        <v>1</v>
      </c>
      <c r="K216" s="32">
        <f t="shared" si="12"/>
        <v>0.9642857142857143</v>
      </c>
      <c r="L216" s="70" t="s">
        <v>1527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966</v>
      </c>
      <c r="C217" t="s">
        <v>1067</v>
      </c>
      <c r="D217" t="s">
        <v>279</v>
      </c>
      <c r="E217" s="30" t="s">
        <v>19</v>
      </c>
      <c r="F217" s="30" t="s">
        <v>28</v>
      </c>
      <c r="G217" s="30"/>
      <c r="H217" s="30" t="s">
        <v>1491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967</v>
      </c>
      <c r="C218" t="s">
        <v>1067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27</v>
      </c>
      <c r="J218" s="31">
        <f t="shared" si="11"/>
        <v>1</v>
      </c>
      <c r="K218" s="32">
        <f t="shared" si="12"/>
        <v>0.9642857142857143</v>
      </c>
      <c r="L218" s="70" t="s">
        <v>1527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968</v>
      </c>
      <c r="C219" t="s">
        <v>1067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27</v>
      </c>
      <c r="J219" s="31">
        <f t="shared" si="11"/>
        <v>1</v>
      </c>
      <c r="K219" s="32">
        <f t="shared" si="12"/>
        <v>0.9642857142857143</v>
      </c>
      <c r="L219" s="70" t="s">
        <v>1527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969</v>
      </c>
      <c r="C220" t="s">
        <v>1067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1067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1067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1067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1067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1067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1067</v>
      </c>
      <c r="D226" t="s">
        <v>278</v>
      </c>
      <c r="E226" s="30" t="s">
        <v>19</v>
      </c>
      <c r="F226" s="30" t="s">
        <v>28</v>
      </c>
      <c r="G226" s="30"/>
      <c r="H226" s="30" t="s">
        <v>1450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1067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1067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1216</v>
      </c>
      <c r="C229" s="30" t="s">
        <v>1067</v>
      </c>
      <c r="D229" t="s">
        <v>1211</v>
      </c>
      <c r="E229" s="30" t="s">
        <v>15</v>
      </c>
      <c r="F229" s="30" t="s">
        <v>28</v>
      </c>
      <c r="G229" s="30"/>
      <c r="H229" s="30" t="s">
        <v>1212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 t="s">
        <v>1527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970</v>
      </c>
      <c r="C230" s="92" t="s">
        <v>1068</v>
      </c>
      <c r="D230" s="92" t="s">
        <v>1093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1527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1068</v>
      </c>
      <c r="D231" t="s">
        <v>286</v>
      </c>
      <c r="E231" s="30" t="s">
        <v>15</v>
      </c>
      <c r="F231" s="30" t="s">
        <v>1061</v>
      </c>
      <c r="G231" s="30"/>
      <c r="H231" s="30" t="s">
        <v>1069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 t="s">
        <v>1527</v>
      </c>
      <c r="M231" s="70"/>
      <c r="N231" s="70"/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1068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1068</v>
      </c>
      <c r="D233" t="s">
        <v>14</v>
      </c>
      <c r="E233" s="30" t="s">
        <v>15</v>
      </c>
      <c r="F233" s="30" t="s">
        <v>1061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971</v>
      </c>
      <c r="C234" t="s">
        <v>1068</v>
      </c>
      <c r="D234" t="s">
        <v>972</v>
      </c>
      <c r="E234" s="30" t="s">
        <v>73</v>
      </c>
      <c r="F234" s="30" t="s">
        <v>28</v>
      </c>
      <c r="G234" s="30"/>
      <c r="H234" s="30" t="s">
        <v>1222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973</v>
      </c>
      <c r="B235" t="s">
        <v>974</v>
      </c>
      <c r="C235" t="s">
        <v>1068</v>
      </c>
      <c r="D235" t="s">
        <v>972</v>
      </c>
      <c r="E235" s="30" t="s">
        <v>73</v>
      </c>
      <c r="F235" s="30" t="s">
        <v>28</v>
      </c>
      <c r="G235" s="30"/>
      <c r="H235" s="30" t="s">
        <v>1223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9" t="s">
        <v>18</v>
      </c>
      <c r="C236" s="73" t="s">
        <v>1068</v>
      </c>
      <c r="D236" s="73" t="s">
        <v>1094</v>
      </c>
      <c r="E236" s="85" t="s">
        <v>19</v>
      </c>
      <c r="F236" s="85" t="s">
        <v>1307</v>
      </c>
      <c r="G236" s="85"/>
      <c r="H236" s="85" t="s">
        <v>1385</v>
      </c>
      <c r="I236" s="147">
        <f t="shared" si="13"/>
        <v>28</v>
      </c>
      <c r="J236" s="147">
        <f t="shared" si="14"/>
        <v>0</v>
      </c>
      <c r="K236" s="148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9" t="s">
        <v>21</v>
      </c>
      <c r="C237" s="73" t="s">
        <v>1068</v>
      </c>
      <c r="D237" s="73" t="s">
        <v>22</v>
      </c>
      <c r="E237" s="85" t="s">
        <v>19</v>
      </c>
      <c r="F237" s="85" t="s">
        <v>1307</v>
      </c>
      <c r="G237" s="85"/>
      <c r="H237" s="85" t="s">
        <v>1386</v>
      </c>
      <c r="I237" s="147">
        <f t="shared" si="13"/>
        <v>28</v>
      </c>
      <c r="J237" s="147">
        <f t="shared" si="14"/>
        <v>0</v>
      </c>
      <c r="K237" s="148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1068</v>
      </c>
      <c r="D238" t="s">
        <v>609</v>
      </c>
      <c r="E238" s="30" t="s">
        <v>15</v>
      </c>
      <c r="F238" s="30" t="s">
        <v>1061</v>
      </c>
      <c r="G238" s="30" t="s">
        <v>1260</v>
      </c>
      <c r="H238" s="30" t="s">
        <v>734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1068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1237</v>
      </c>
      <c r="C240" t="s">
        <v>1067</v>
      </c>
      <c r="D240" t="s">
        <v>1238</v>
      </c>
      <c r="E240" t="s">
        <v>19</v>
      </c>
      <c r="F240" t="s">
        <v>28</v>
      </c>
      <c r="G240"/>
      <c r="H240" s="30" t="s">
        <v>1278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1323</v>
      </c>
      <c r="C241" t="s">
        <v>1067</v>
      </c>
      <c r="D241" t="s">
        <v>1326</v>
      </c>
      <c r="E241" s="30" t="s">
        <v>15</v>
      </c>
      <c r="F241" s="30" t="s">
        <v>28</v>
      </c>
      <c r="G241"/>
      <c r="H241" s="30" t="s">
        <v>1338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975</v>
      </c>
      <c r="C242" s="73" t="s">
        <v>1067</v>
      </c>
      <c r="D242" s="73" t="s">
        <v>291</v>
      </c>
      <c r="E242" s="85" t="s">
        <v>73</v>
      </c>
      <c r="F242" s="85" t="s">
        <v>1307</v>
      </c>
      <c r="G242" s="85"/>
      <c r="H242" s="85" t="s">
        <v>736</v>
      </c>
      <c r="I242" s="147">
        <f t="shared" si="13"/>
        <v>28</v>
      </c>
      <c r="J242" s="147">
        <f t="shared" si="14"/>
        <v>0</v>
      </c>
      <c r="K242" s="148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1067</v>
      </c>
      <c r="D243" t="s">
        <v>293</v>
      </c>
      <c r="E243" s="30" t="s">
        <v>73</v>
      </c>
      <c r="F243" s="30" t="s">
        <v>28</v>
      </c>
      <c r="G243" s="30"/>
      <c r="H243" s="30" t="s">
        <v>1065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976</v>
      </c>
      <c r="C244" t="s">
        <v>1067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1067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977</v>
      </c>
      <c r="C246" t="s">
        <v>1067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1067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1251</v>
      </c>
      <c r="C248" s="73" t="s">
        <v>1067</v>
      </c>
      <c r="D248" s="73" t="s">
        <v>1252</v>
      </c>
      <c r="E248" s="85" t="s">
        <v>19</v>
      </c>
      <c r="F248" s="85" t="s">
        <v>1307</v>
      </c>
      <c r="G248" s="85"/>
      <c r="H248" s="85" t="s">
        <v>1253</v>
      </c>
      <c r="I248" s="147">
        <f t="shared" si="13"/>
        <v>28</v>
      </c>
      <c r="J248" s="147">
        <f t="shared" si="14"/>
        <v>0</v>
      </c>
      <c r="K248" s="148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1290</v>
      </c>
      <c r="C249" t="s">
        <v>1067</v>
      </c>
      <c r="D249" t="s">
        <v>1291</v>
      </c>
      <c r="E249" s="30" t="s">
        <v>19</v>
      </c>
      <c r="F249" s="30" t="s">
        <v>1061</v>
      </c>
      <c r="G249" s="30"/>
      <c r="H249" s="30" t="s">
        <v>1367</v>
      </c>
      <c r="I249" s="31">
        <f t="shared" si="13"/>
        <v>27</v>
      </c>
      <c r="J249" s="31">
        <f t="shared" si="14"/>
        <v>1</v>
      </c>
      <c r="K249" s="32">
        <f t="shared" si="15"/>
        <v>0.9642857142857143</v>
      </c>
      <c r="L249" s="70" t="s">
        <v>1527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1067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1067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27</v>
      </c>
      <c r="J251" s="31">
        <f t="shared" si="14"/>
        <v>1</v>
      </c>
      <c r="K251" s="32">
        <f t="shared" si="15"/>
        <v>0.9642857142857143</v>
      </c>
      <c r="L251" s="70" t="s">
        <v>1527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1067</v>
      </c>
      <c r="D252" t="s">
        <v>307</v>
      </c>
      <c r="E252" s="30" t="s">
        <v>19</v>
      </c>
      <c r="F252" s="30" t="s">
        <v>20</v>
      </c>
      <c r="G252" s="30"/>
      <c r="H252" s="30" t="s">
        <v>1507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1067</v>
      </c>
      <c r="D253" s="73" t="s">
        <v>309</v>
      </c>
      <c r="E253" s="85" t="s">
        <v>19</v>
      </c>
      <c r="F253" s="85" t="s">
        <v>1307</v>
      </c>
      <c r="G253" s="85"/>
      <c r="H253" s="85" t="s">
        <v>1508</v>
      </c>
      <c r="I253" s="147">
        <f t="shared" si="13"/>
        <v>28</v>
      </c>
      <c r="J253" s="147">
        <f t="shared" si="14"/>
        <v>0</v>
      </c>
      <c r="K253" s="148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1502</v>
      </c>
      <c r="C254" t="s">
        <v>1067</v>
      </c>
      <c r="D254" t="s">
        <v>1501</v>
      </c>
      <c r="E254" s="30" t="s">
        <v>73</v>
      </c>
      <c r="F254" s="30" t="s">
        <v>28</v>
      </c>
      <c r="G254" s="30"/>
      <c r="H254" s="30" t="s">
        <v>1503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1504</v>
      </c>
      <c r="C255" t="s">
        <v>1067</v>
      </c>
      <c r="D255" t="s">
        <v>1501</v>
      </c>
      <c r="E255" s="30" t="s">
        <v>73</v>
      </c>
      <c r="F255" s="30" t="s">
        <v>28</v>
      </c>
      <c r="G255" s="30"/>
      <c r="H255" s="30" t="s">
        <v>1509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978</v>
      </c>
      <c r="C256" t="s">
        <v>1067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1067</v>
      </c>
      <c r="D257" s="73" t="s">
        <v>315</v>
      </c>
      <c r="E257" s="85" t="s">
        <v>19</v>
      </c>
      <c r="F257" s="85" t="s">
        <v>1307</v>
      </c>
      <c r="G257" s="85"/>
      <c r="H257" s="85" t="s">
        <v>1380</v>
      </c>
      <c r="I257" s="147">
        <f t="shared" si="13"/>
        <v>28</v>
      </c>
      <c r="J257" s="147">
        <f t="shared" si="14"/>
        <v>0</v>
      </c>
      <c r="K257" s="148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1067</v>
      </c>
      <c r="D258" t="s">
        <v>317</v>
      </c>
      <c r="E258" s="30" t="s">
        <v>19</v>
      </c>
      <c r="F258" s="30" t="s">
        <v>1061</v>
      </c>
      <c r="G258" s="30" t="s">
        <v>1261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1067</v>
      </c>
      <c r="D259" s="73" t="s">
        <v>319</v>
      </c>
      <c r="E259" s="85" t="s">
        <v>19</v>
      </c>
      <c r="F259" s="85" t="s">
        <v>1307</v>
      </c>
      <c r="G259" s="85"/>
      <c r="H259" s="85" t="s">
        <v>1370</v>
      </c>
      <c r="I259" s="147">
        <f t="shared" si="13"/>
        <v>27</v>
      </c>
      <c r="J259" s="147">
        <f t="shared" si="14"/>
        <v>1</v>
      </c>
      <c r="K259" s="148">
        <f t="shared" si="15"/>
        <v>0.9642857142857143</v>
      </c>
      <c r="L259" s="70" t="s">
        <v>1527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1067</v>
      </c>
      <c r="D260" s="73" t="s">
        <v>322</v>
      </c>
      <c r="E260" s="85" t="s">
        <v>19</v>
      </c>
      <c r="F260" s="85" t="s">
        <v>1307</v>
      </c>
      <c r="G260" s="85"/>
      <c r="H260" s="150" t="s">
        <v>1371</v>
      </c>
      <c r="I260" s="147">
        <f t="shared" si="13"/>
        <v>28</v>
      </c>
      <c r="J260" s="147">
        <f t="shared" si="14"/>
        <v>0</v>
      </c>
      <c r="K260" s="148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1067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1067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1067</v>
      </c>
      <c r="D263" s="73" t="s">
        <v>312</v>
      </c>
      <c r="E263" s="85" t="s">
        <v>15</v>
      </c>
      <c r="F263" s="85" t="s">
        <v>1307</v>
      </c>
      <c r="G263" s="85"/>
      <c r="H263" s="85" t="s">
        <v>1379</v>
      </c>
      <c r="I263" s="147">
        <f t="shared" si="13"/>
        <v>28</v>
      </c>
      <c r="J263" s="147">
        <f t="shared" si="14"/>
        <v>0</v>
      </c>
      <c r="K263" s="148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1067</v>
      </c>
      <c r="D264" s="73" t="s">
        <v>328</v>
      </c>
      <c r="E264" s="85" t="s">
        <v>15</v>
      </c>
      <c r="F264" s="85" t="s">
        <v>1307</v>
      </c>
      <c r="G264" s="85"/>
      <c r="H264" s="85" t="s">
        <v>747</v>
      </c>
      <c r="I264" s="147">
        <f t="shared" si="13"/>
        <v>28</v>
      </c>
      <c r="J264" s="147">
        <f t="shared" si="14"/>
        <v>0</v>
      </c>
      <c r="K264" s="148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1349</v>
      </c>
      <c r="C265" s="73" t="s">
        <v>1067</v>
      </c>
      <c r="D265" s="73" t="s">
        <v>1350</v>
      </c>
      <c r="E265" s="85"/>
      <c r="F265" s="85" t="s">
        <v>1307</v>
      </c>
      <c r="G265" s="85"/>
      <c r="H265" s="85" t="s">
        <v>1365</v>
      </c>
      <c r="I265" s="147">
        <f t="shared" si="13"/>
        <v>28</v>
      </c>
      <c r="J265" s="147">
        <f t="shared" si="14"/>
        <v>0</v>
      </c>
      <c r="K265" s="148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1550</v>
      </c>
      <c r="B266" s="73" t="s">
        <v>1549</v>
      </c>
      <c r="C266" s="73" t="s">
        <v>1067</v>
      </c>
      <c r="D266" s="73" t="s">
        <v>1551</v>
      </c>
      <c r="E266" s="85" t="s">
        <v>19</v>
      </c>
      <c r="F266" s="85" t="s">
        <v>1307</v>
      </c>
      <c r="G266" s="85"/>
      <c r="H266" s="85" t="s">
        <v>1552</v>
      </c>
      <c r="I266" s="147"/>
      <c r="J266" s="147"/>
      <c r="K266" s="148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1068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1068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1068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1068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1068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1067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1067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980</v>
      </c>
      <c r="C274" t="s">
        <v>1067</v>
      </c>
      <c r="D274" t="s">
        <v>981</v>
      </c>
      <c r="E274" s="30" t="s">
        <v>73</v>
      </c>
      <c r="F274" s="30" t="s">
        <v>28</v>
      </c>
      <c r="G274" s="30"/>
      <c r="H274" s="30" t="s">
        <v>1279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1068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1068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1301</v>
      </c>
      <c r="C277" t="s">
        <v>1068</v>
      </c>
      <c r="D277" t="s">
        <v>982</v>
      </c>
      <c r="E277" s="30" t="s">
        <v>73</v>
      </c>
      <c r="F277" s="30" t="s">
        <v>28</v>
      </c>
      <c r="G277" s="30"/>
      <c r="H277" s="30" t="s">
        <v>1280</v>
      </c>
      <c r="I277" s="31">
        <f t="shared" si="13"/>
        <v>27</v>
      </c>
      <c r="J277" s="31">
        <f t="shared" si="14"/>
        <v>1</v>
      </c>
      <c r="K277" s="32">
        <f t="shared" si="15"/>
        <v>0.9642857142857143</v>
      </c>
      <c r="L277" s="70" t="s">
        <v>1527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1068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1068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1300</v>
      </c>
      <c r="C280" t="s">
        <v>1068</v>
      </c>
      <c r="D280" t="s">
        <v>983</v>
      </c>
      <c r="E280" s="30" t="s">
        <v>19</v>
      </c>
      <c r="F280" s="30" t="s">
        <v>28</v>
      </c>
      <c r="G280" s="30"/>
      <c r="H280" s="30" t="s">
        <v>1281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1068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1068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984</v>
      </c>
      <c r="C283" t="s">
        <v>1068</v>
      </c>
      <c r="D283" t="s">
        <v>985</v>
      </c>
      <c r="E283" s="30" t="s">
        <v>73</v>
      </c>
      <c r="F283" s="30" t="s">
        <v>28</v>
      </c>
      <c r="G283" s="30"/>
      <c r="H283" s="30" t="s">
        <v>1282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1068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1068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986</v>
      </c>
      <c r="C286" t="s">
        <v>1068</v>
      </c>
      <c r="D286" t="s">
        <v>352</v>
      </c>
      <c r="E286" s="30" t="s">
        <v>19</v>
      </c>
      <c r="F286" s="30" t="s">
        <v>28</v>
      </c>
      <c r="G286" s="30"/>
      <c r="H286" s="30" t="s">
        <v>1283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979</v>
      </c>
      <c r="C287" t="s">
        <v>1068</v>
      </c>
      <c r="D287" t="s">
        <v>355</v>
      </c>
      <c r="E287" s="30" t="s">
        <v>15</v>
      </c>
      <c r="F287" s="30" t="s">
        <v>28</v>
      </c>
      <c r="G287" s="30"/>
      <c r="H287" s="30" t="s">
        <v>771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1068</v>
      </c>
      <c r="D288" s="73" t="s">
        <v>357</v>
      </c>
      <c r="E288" s="85" t="s">
        <v>15</v>
      </c>
      <c r="F288" s="85" t="s">
        <v>1307</v>
      </c>
      <c r="G288" s="85"/>
      <c r="H288" s="85" t="s">
        <v>766</v>
      </c>
      <c r="I288" s="147">
        <f t="shared" si="13"/>
        <v>28</v>
      </c>
      <c r="J288" s="147">
        <f t="shared" si="14"/>
        <v>0</v>
      </c>
      <c r="K288" s="148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1068</v>
      </c>
      <c r="D289" s="73" t="s">
        <v>357</v>
      </c>
      <c r="E289" s="85" t="s">
        <v>73</v>
      </c>
      <c r="F289" s="85" t="s">
        <v>1307</v>
      </c>
      <c r="G289" s="85"/>
      <c r="H289" s="85" t="s">
        <v>767</v>
      </c>
      <c r="I289" s="147">
        <f t="shared" si="13"/>
        <v>27</v>
      </c>
      <c r="J289" s="147">
        <f t="shared" si="14"/>
        <v>1</v>
      </c>
      <c r="K289" s="148">
        <f t="shared" si="15"/>
        <v>0.9642857142857143</v>
      </c>
      <c r="L289" s="70" t="s">
        <v>1527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987</v>
      </c>
      <c r="C290" s="73" t="s">
        <v>1068</v>
      </c>
      <c r="D290" s="73" t="s">
        <v>988</v>
      </c>
      <c r="E290" s="85" t="s">
        <v>73</v>
      </c>
      <c r="F290" s="85" t="s">
        <v>1307</v>
      </c>
      <c r="G290" s="85"/>
      <c r="H290" s="85" t="s">
        <v>1284</v>
      </c>
      <c r="I290" s="31">
        <f t="shared" ref="I290:I356" si="16">COUNTIF(L290:AM290,"")</f>
        <v>27</v>
      </c>
      <c r="J290" s="31">
        <f t="shared" ref="J290:J356" si="17">COUNTIF(L290:AM290,"APAGADO")</f>
        <v>1</v>
      </c>
      <c r="K290" s="32">
        <f t="shared" ref="K290:K356" si="18">(I290)/(J290+I290)</f>
        <v>0.9642857142857143</v>
      </c>
      <c r="L290" s="70" t="s">
        <v>1527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1214</v>
      </c>
      <c r="C291" s="73" t="s">
        <v>1068</v>
      </c>
      <c r="D291" s="73" t="s">
        <v>1215</v>
      </c>
      <c r="E291" s="85" t="s">
        <v>15</v>
      </c>
      <c r="F291" s="85" t="s">
        <v>1307</v>
      </c>
      <c r="G291" s="85"/>
      <c r="H291" s="85" t="s">
        <v>772</v>
      </c>
      <c r="I291" s="147">
        <f t="shared" si="16"/>
        <v>28</v>
      </c>
      <c r="J291" s="147">
        <f t="shared" si="17"/>
        <v>0</v>
      </c>
      <c r="K291" s="148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1068</v>
      </c>
      <c r="D292" s="73" t="s">
        <v>1215</v>
      </c>
      <c r="E292" s="85" t="s">
        <v>73</v>
      </c>
      <c r="F292" s="85" t="s">
        <v>1307</v>
      </c>
      <c r="G292" s="85"/>
      <c r="H292" s="85" t="s">
        <v>773</v>
      </c>
      <c r="I292" s="147">
        <f t="shared" si="16"/>
        <v>28</v>
      </c>
      <c r="J292" s="147">
        <f t="shared" si="17"/>
        <v>0</v>
      </c>
      <c r="K292" s="148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989</v>
      </c>
      <c r="C293" s="73" t="s">
        <v>1068</v>
      </c>
      <c r="D293" s="73" t="s">
        <v>990</v>
      </c>
      <c r="E293" s="85" t="s">
        <v>19</v>
      </c>
      <c r="F293" s="85" t="s">
        <v>1307</v>
      </c>
      <c r="G293" s="85"/>
      <c r="H293" s="85" t="s">
        <v>1285</v>
      </c>
      <c r="I293" s="147">
        <f t="shared" si="16"/>
        <v>28</v>
      </c>
      <c r="J293" s="147">
        <f t="shared" si="17"/>
        <v>0</v>
      </c>
      <c r="K293" s="148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1068</v>
      </c>
      <c r="D294" t="s">
        <v>362</v>
      </c>
      <c r="E294" s="30" t="s">
        <v>15</v>
      </c>
      <c r="F294" s="30" t="s">
        <v>28</v>
      </c>
      <c r="G294" s="30"/>
      <c r="H294" s="30" t="s">
        <v>769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1068</v>
      </c>
      <c r="D295" t="s">
        <v>362</v>
      </c>
      <c r="E295" s="30" t="s">
        <v>73</v>
      </c>
      <c r="F295" s="30" t="s">
        <v>28</v>
      </c>
      <c r="G295" s="30"/>
      <c r="H295" s="30" t="s">
        <v>768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991</v>
      </c>
      <c r="C296" t="s">
        <v>1068</v>
      </c>
      <c r="D296" t="s">
        <v>992</v>
      </c>
      <c r="E296" s="30" t="s">
        <v>73</v>
      </c>
      <c r="F296" s="30" t="s">
        <v>28</v>
      </c>
      <c r="G296" s="30"/>
      <c r="H296" s="30" t="s">
        <v>1286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1297</v>
      </c>
      <c r="C297" t="s">
        <v>1068</v>
      </c>
      <c r="D297" t="s">
        <v>994</v>
      </c>
      <c r="E297" s="30" t="s">
        <v>73</v>
      </c>
      <c r="F297" s="30" t="s">
        <v>28</v>
      </c>
      <c r="G297" s="30"/>
      <c r="H297" s="30" t="s">
        <v>770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1298</v>
      </c>
      <c r="C298" t="s">
        <v>1068</v>
      </c>
      <c r="D298" t="s">
        <v>994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993</v>
      </c>
      <c r="C299" t="s">
        <v>1068</v>
      </c>
      <c r="D299" t="s">
        <v>994</v>
      </c>
      <c r="E299" s="30" t="s">
        <v>73</v>
      </c>
      <c r="F299" s="30" t="s">
        <v>28</v>
      </c>
      <c r="G299" s="30"/>
      <c r="H299" s="30" t="s">
        <v>1299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1068</v>
      </c>
      <c r="D300" t="s">
        <v>367</v>
      </c>
      <c r="E300" s="30" t="s">
        <v>15</v>
      </c>
      <c r="F300" s="30" t="s">
        <v>28</v>
      </c>
      <c r="G300" s="30"/>
      <c r="H300" s="30" t="s">
        <v>774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995</v>
      </c>
      <c r="C301" t="s">
        <v>1068</v>
      </c>
      <c r="D301" t="s">
        <v>368</v>
      </c>
      <c r="E301" s="30" t="s">
        <v>15</v>
      </c>
      <c r="F301" s="30" t="s">
        <v>28</v>
      </c>
      <c r="G301" s="30"/>
      <c r="H301" s="30" t="s">
        <v>775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1068</v>
      </c>
      <c r="D302" t="s">
        <v>370</v>
      </c>
      <c r="E302" s="30" t="s">
        <v>73</v>
      </c>
      <c r="F302" s="30" t="s">
        <v>28</v>
      </c>
      <c r="G302" s="30"/>
      <c r="H302" s="30" t="s">
        <v>776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1068</v>
      </c>
      <c r="D303" t="s">
        <v>370</v>
      </c>
      <c r="E303" s="30" t="s">
        <v>73</v>
      </c>
      <c r="F303" s="30" t="s">
        <v>28</v>
      </c>
      <c r="G303" s="30"/>
      <c r="H303" s="30" t="s">
        <v>777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1068</v>
      </c>
      <c r="D304" t="s">
        <v>373</v>
      </c>
      <c r="E304" s="30" t="s">
        <v>73</v>
      </c>
      <c r="F304" s="30" t="s">
        <v>28</v>
      </c>
      <c r="G304" s="30"/>
      <c r="H304" s="30" t="s">
        <v>778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1068</v>
      </c>
      <c r="D305" t="s">
        <v>373</v>
      </c>
      <c r="E305" s="30" t="s">
        <v>46</v>
      </c>
      <c r="F305" s="30" t="s">
        <v>28</v>
      </c>
      <c r="G305" s="30"/>
      <c r="H305" s="30" t="s">
        <v>779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1342</v>
      </c>
      <c r="C306" t="s">
        <v>1067</v>
      </c>
      <c r="D306" t="s">
        <v>1343</v>
      </c>
      <c r="E306" s="30"/>
      <c r="F306" s="30" t="s">
        <v>28</v>
      </c>
      <c r="G306" s="30"/>
      <c r="H306" s="30" t="s">
        <v>1353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1387</v>
      </c>
      <c r="C307" t="s">
        <v>1068</v>
      </c>
      <c r="D307" s="68" t="s">
        <v>1390</v>
      </c>
      <c r="E307" s="30" t="s">
        <v>19</v>
      </c>
      <c r="F307" s="30" t="s">
        <v>28</v>
      </c>
      <c r="G307" s="30"/>
      <c r="H307" s="30" t="s">
        <v>1402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1388</v>
      </c>
      <c r="C308" t="s">
        <v>1068</v>
      </c>
      <c r="D308" s="68" t="s">
        <v>1391</v>
      </c>
      <c r="E308" s="30" t="s">
        <v>73</v>
      </c>
      <c r="F308" s="30" t="s">
        <v>28</v>
      </c>
      <c r="G308" s="30"/>
      <c r="H308" s="30" t="s">
        <v>1403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1389</v>
      </c>
      <c r="C309" t="s">
        <v>1068</v>
      </c>
      <c r="D309" s="68" t="s">
        <v>1392</v>
      </c>
      <c r="E309" s="30" t="s">
        <v>73</v>
      </c>
      <c r="F309" s="30" t="s">
        <v>28</v>
      </c>
      <c r="G309" s="30"/>
      <c r="H309" s="30" t="s">
        <v>1404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1005</v>
      </c>
      <c r="C310" s="73" t="s">
        <v>1068</v>
      </c>
      <c r="D310" s="73" t="s">
        <v>376</v>
      </c>
      <c r="E310" s="85" t="s">
        <v>15</v>
      </c>
      <c r="F310" s="85" t="s">
        <v>28</v>
      </c>
      <c r="G310" s="85"/>
      <c r="H310" s="85" t="s">
        <v>780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1006</v>
      </c>
      <c r="C311" t="s">
        <v>1068</v>
      </c>
      <c r="D311" t="s">
        <v>377</v>
      </c>
      <c r="E311" s="30" t="s">
        <v>15</v>
      </c>
      <c r="F311" s="30" t="s">
        <v>28</v>
      </c>
      <c r="G311" s="30"/>
      <c r="H311" s="30" t="s">
        <v>783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 t="s">
        <v>1527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1068</v>
      </c>
      <c r="D312" t="s">
        <v>379</v>
      </c>
      <c r="E312" s="30" t="s">
        <v>73</v>
      </c>
      <c r="F312" s="30" t="s">
        <v>28</v>
      </c>
      <c r="G312" s="30"/>
      <c r="H312" s="30" t="s">
        <v>781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1068</v>
      </c>
      <c r="D313" t="s">
        <v>379</v>
      </c>
      <c r="E313" s="30" t="s">
        <v>73</v>
      </c>
      <c r="F313" s="30" t="s">
        <v>28</v>
      </c>
      <c r="G313" s="30"/>
      <c r="H313" s="30" t="s">
        <v>782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996</v>
      </c>
      <c r="C314" t="s">
        <v>1068</v>
      </c>
      <c r="D314" t="s">
        <v>381</v>
      </c>
      <c r="E314" s="30" t="s">
        <v>15</v>
      </c>
      <c r="F314" s="30" t="s">
        <v>28</v>
      </c>
      <c r="G314" s="30"/>
      <c r="H314" s="30" t="s">
        <v>784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997</v>
      </c>
      <c r="C315" t="s">
        <v>1068</v>
      </c>
      <c r="D315" t="s">
        <v>998</v>
      </c>
      <c r="E315" s="30" t="s">
        <v>19</v>
      </c>
      <c r="F315" s="30" t="s">
        <v>28</v>
      </c>
      <c r="G315" s="30"/>
      <c r="H315" s="30" t="s">
        <v>910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999</v>
      </c>
      <c r="C316" t="s">
        <v>1068</v>
      </c>
      <c r="D316" t="s">
        <v>1000</v>
      </c>
      <c r="E316" s="30" t="s">
        <v>19</v>
      </c>
      <c r="F316" s="30" t="s">
        <v>28</v>
      </c>
      <c r="G316" s="30"/>
      <c r="H316" s="30" t="s">
        <v>911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1001</v>
      </c>
      <c r="C317" t="s">
        <v>1068</v>
      </c>
      <c r="D317" t="s">
        <v>1002</v>
      </c>
      <c r="E317" s="30" t="s">
        <v>19</v>
      </c>
      <c r="F317" s="30" t="s">
        <v>28</v>
      </c>
      <c r="G317" s="30"/>
      <c r="H317" s="30" t="s">
        <v>912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1003</v>
      </c>
      <c r="C318" t="s">
        <v>1068</v>
      </c>
      <c r="D318" t="s">
        <v>1004</v>
      </c>
      <c r="E318" s="30" t="s">
        <v>19</v>
      </c>
      <c r="F318" s="30" t="s">
        <v>28</v>
      </c>
      <c r="G318" s="30"/>
      <c r="H318" s="30" t="s">
        <v>913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1179</v>
      </c>
      <c r="C319" t="s">
        <v>1068</v>
      </c>
      <c r="D319" t="s">
        <v>1162</v>
      </c>
      <c r="E319" s="30" t="s">
        <v>19</v>
      </c>
      <c r="F319" s="30" t="s">
        <v>28</v>
      </c>
      <c r="G319" s="30"/>
      <c r="H319" s="30" t="s">
        <v>1164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 t="s">
        <v>1527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1180</v>
      </c>
      <c r="C320" t="s">
        <v>1068</v>
      </c>
      <c r="D320" t="s">
        <v>1162</v>
      </c>
      <c r="E320" s="30" t="s">
        <v>19</v>
      </c>
      <c r="F320" s="30" t="s">
        <v>28</v>
      </c>
      <c r="G320" s="30"/>
      <c r="H320" s="30" t="s">
        <v>1165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 t="s">
        <v>1527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1198</v>
      </c>
      <c r="C321" t="s">
        <v>1068</v>
      </c>
      <c r="D321" t="s">
        <v>1161</v>
      </c>
      <c r="E321" s="30" t="s">
        <v>15</v>
      </c>
      <c r="F321" s="30" t="s">
        <v>28</v>
      </c>
      <c r="G321" s="30"/>
      <c r="H321" s="30" t="s">
        <v>1163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1302</v>
      </c>
      <c r="C322" t="s">
        <v>1068</v>
      </c>
      <c r="D322" t="s">
        <v>1303</v>
      </c>
      <c r="E322" s="30" t="s">
        <v>73</v>
      </c>
      <c r="F322" s="30" t="s">
        <v>28</v>
      </c>
      <c r="G322" s="30"/>
      <c r="H322" s="30" t="s">
        <v>1494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1393</v>
      </c>
      <c r="C323" t="s">
        <v>1068</v>
      </c>
      <c r="D323" s="68" t="s">
        <v>1396</v>
      </c>
      <c r="E323" s="30" t="s">
        <v>15</v>
      </c>
      <c r="F323" s="30" t="s">
        <v>1061</v>
      </c>
      <c r="G323" s="30"/>
      <c r="H323" s="30" t="s">
        <v>1400</v>
      </c>
      <c r="I323" s="31">
        <f t="shared" si="16"/>
        <v>27</v>
      </c>
      <c r="J323" s="31">
        <f t="shared" si="17"/>
        <v>1</v>
      </c>
      <c r="K323" s="32">
        <f t="shared" si="18"/>
        <v>0.9642857142857143</v>
      </c>
      <c r="L323" s="70" t="s">
        <v>1527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1394</v>
      </c>
      <c r="C324" t="s">
        <v>1068</v>
      </c>
      <c r="D324" s="68" t="s">
        <v>1397</v>
      </c>
      <c r="E324" s="30" t="s">
        <v>73</v>
      </c>
      <c r="F324" s="30" t="s">
        <v>1061</v>
      </c>
      <c r="G324" s="30"/>
      <c r="H324" s="30" t="s">
        <v>1401</v>
      </c>
      <c r="I324" s="31">
        <f t="shared" si="16"/>
        <v>27</v>
      </c>
      <c r="J324" s="31">
        <f t="shared" si="17"/>
        <v>1</v>
      </c>
      <c r="K324" s="32">
        <f t="shared" si="18"/>
        <v>0.9642857142857143</v>
      </c>
      <c r="L324" s="70" t="s">
        <v>1527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1395</v>
      </c>
      <c r="C325" t="s">
        <v>1068</v>
      </c>
      <c r="D325" s="68" t="s">
        <v>1398</v>
      </c>
      <c r="E325" s="30" t="s">
        <v>15</v>
      </c>
      <c r="F325" s="30" t="s">
        <v>28</v>
      </c>
      <c r="G325" s="30"/>
      <c r="H325" s="30" t="s">
        <v>1511</v>
      </c>
      <c r="I325" s="31">
        <f t="shared" si="16"/>
        <v>27</v>
      </c>
      <c r="J325" s="31">
        <f t="shared" si="17"/>
        <v>1</v>
      </c>
      <c r="K325" s="32">
        <f t="shared" si="18"/>
        <v>0.9642857142857143</v>
      </c>
      <c r="L325" s="70" t="s">
        <v>1527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903</v>
      </c>
      <c r="B326" s="73" t="s">
        <v>1007</v>
      </c>
      <c r="C326" s="73" t="s">
        <v>1068</v>
      </c>
      <c r="D326" s="73" t="s">
        <v>1008</v>
      </c>
      <c r="E326" s="85" t="s">
        <v>1062</v>
      </c>
      <c r="F326" s="85" t="s">
        <v>1307</v>
      </c>
      <c r="G326" s="85"/>
      <c r="H326" s="85" t="s">
        <v>905</v>
      </c>
      <c r="I326" s="147">
        <f t="shared" si="16"/>
        <v>28</v>
      </c>
      <c r="J326" s="147">
        <f t="shared" si="17"/>
        <v>0</v>
      </c>
      <c r="K326" s="148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903</v>
      </c>
      <c r="B327" s="73" t="s">
        <v>902</v>
      </c>
      <c r="C327" s="73" t="s">
        <v>1068</v>
      </c>
      <c r="D327" s="73" t="s">
        <v>1008</v>
      </c>
      <c r="E327" s="85" t="s">
        <v>1063</v>
      </c>
      <c r="F327" s="85" t="s">
        <v>1307</v>
      </c>
      <c r="G327" s="85"/>
      <c r="H327" s="85" t="s">
        <v>904</v>
      </c>
      <c r="I327" s="147">
        <f t="shared" si="16"/>
        <v>28</v>
      </c>
      <c r="J327" s="147">
        <f t="shared" si="17"/>
        <v>0</v>
      </c>
      <c r="K327" s="148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1067</v>
      </c>
      <c r="D328" t="s">
        <v>383</v>
      </c>
      <c r="E328" s="30" t="s">
        <v>19</v>
      </c>
      <c r="F328" s="30" t="s">
        <v>28</v>
      </c>
      <c r="G328" s="30"/>
      <c r="H328" s="30" t="s">
        <v>785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1009</v>
      </c>
      <c r="C329" s="73" t="s">
        <v>1067</v>
      </c>
      <c r="D329" s="73" t="s">
        <v>338</v>
      </c>
      <c r="E329" s="85" t="s">
        <v>73</v>
      </c>
      <c r="F329" s="85" t="s">
        <v>1307</v>
      </c>
      <c r="G329" s="85"/>
      <c r="H329" s="85" t="s">
        <v>753</v>
      </c>
      <c r="I329" s="147">
        <f t="shared" si="16"/>
        <v>27</v>
      </c>
      <c r="J329" s="147">
        <f t="shared" si="17"/>
        <v>1</v>
      </c>
      <c r="K329" s="148">
        <f t="shared" si="18"/>
        <v>0.9642857142857143</v>
      </c>
      <c r="L329" s="70" t="s">
        <v>1527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1010</v>
      </c>
      <c r="C330" s="73" t="s">
        <v>1067</v>
      </c>
      <c r="D330" s="73" t="s">
        <v>338</v>
      </c>
      <c r="E330" s="85" t="s">
        <v>73</v>
      </c>
      <c r="F330" s="85" t="s">
        <v>1307</v>
      </c>
      <c r="G330" s="85"/>
      <c r="H330" s="85" t="s">
        <v>754</v>
      </c>
      <c r="I330" s="147">
        <f t="shared" si="16"/>
        <v>27</v>
      </c>
      <c r="J330" s="147">
        <f t="shared" si="17"/>
        <v>1</v>
      </c>
      <c r="K330" s="148">
        <f t="shared" si="18"/>
        <v>0.9642857142857143</v>
      </c>
      <c r="L330" s="70" t="s">
        <v>1527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1011</v>
      </c>
      <c r="C331" t="s">
        <v>1067</v>
      </c>
      <c r="D331" t="s">
        <v>1012</v>
      </c>
      <c r="E331" s="30" t="s">
        <v>19</v>
      </c>
      <c r="F331" s="30" t="s">
        <v>28</v>
      </c>
      <c r="G331" s="30"/>
      <c r="H331" s="30" t="s">
        <v>1492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1013</v>
      </c>
      <c r="C332" t="s">
        <v>1067</v>
      </c>
      <c r="D332" t="s">
        <v>1014</v>
      </c>
      <c r="E332" s="30" t="s">
        <v>19</v>
      </c>
      <c r="F332" s="30" t="s">
        <v>28</v>
      </c>
      <c r="G332" s="30"/>
      <c r="H332" s="30" t="s">
        <v>1224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1135</v>
      </c>
      <c r="C333" t="s">
        <v>1067</v>
      </c>
      <c r="D333" t="s">
        <v>1132</v>
      </c>
      <c r="E333" s="30" t="s">
        <v>73</v>
      </c>
      <c r="F333" s="30" t="s">
        <v>28</v>
      </c>
      <c r="G333" s="30"/>
      <c r="H333" s="30" t="s">
        <v>1141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1136</v>
      </c>
      <c r="C334" t="s">
        <v>1067</v>
      </c>
      <c r="D334" t="s">
        <v>1132</v>
      </c>
      <c r="E334" s="30" t="s">
        <v>73</v>
      </c>
      <c r="F334" s="30" t="s">
        <v>28</v>
      </c>
      <c r="G334" s="30"/>
      <c r="H334" s="30" t="s">
        <v>1142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1137</v>
      </c>
      <c r="C335" t="s">
        <v>1067</v>
      </c>
      <c r="D335" t="s">
        <v>1133</v>
      </c>
      <c r="E335" s="30" t="s">
        <v>73</v>
      </c>
      <c r="F335" s="30" t="s">
        <v>28</v>
      </c>
      <c r="G335" s="30"/>
      <c r="H335" s="30" t="s">
        <v>1143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1138</v>
      </c>
      <c r="C336" t="s">
        <v>1067</v>
      </c>
      <c r="D336" t="s">
        <v>1133</v>
      </c>
      <c r="E336" s="30" t="s">
        <v>73</v>
      </c>
      <c r="F336" s="30" t="s">
        <v>28</v>
      </c>
      <c r="G336" s="30"/>
      <c r="H336" s="30" t="s">
        <v>1144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1327</v>
      </c>
      <c r="B337" t="s">
        <v>1239</v>
      </c>
      <c r="C337" t="s">
        <v>1067</v>
      </c>
      <c r="D337" t="s">
        <v>1240</v>
      </c>
      <c r="E337" t="s">
        <v>19</v>
      </c>
      <c r="F337" t="s">
        <v>28</v>
      </c>
      <c r="G337"/>
      <c r="H337" s="30" t="s">
        <v>1246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1327</v>
      </c>
      <c r="B338" t="s">
        <v>1241</v>
      </c>
      <c r="C338" t="s">
        <v>1067</v>
      </c>
      <c r="D338" t="s">
        <v>1242</v>
      </c>
      <c r="E338" t="s">
        <v>19</v>
      </c>
      <c r="F338" t="s">
        <v>28</v>
      </c>
      <c r="G338"/>
      <c r="H338" s="30" t="s">
        <v>1247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1327</v>
      </c>
      <c r="B339" s="73" t="s">
        <v>1586</v>
      </c>
      <c r="C339" s="73" t="s">
        <v>1067</v>
      </c>
      <c r="D339" s="73" t="s">
        <v>1589</v>
      </c>
      <c r="E339" s="85" t="s">
        <v>73</v>
      </c>
      <c r="F339" s="85" t="s">
        <v>1307</v>
      </c>
      <c r="H339" s="85" t="s">
        <v>1590</v>
      </c>
      <c r="I339" s="147"/>
      <c r="J339" s="147"/>
      <c r="K339" s="148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1327</v>
      </c>
      <c r="B340" s="73" t="s">
        <v>1587</v>
      </c>
      <c r="C340" s="73" t="s">
        <v>1067</v>
      </c>
      <c r="D340" s="73" t="s">
        <v>1591</v>
      </c>
      <c r="E340" s="73" t="s">
        <v>73</v>
      </c>
      <c r="F340" s="85" t="s">
        <v>1307</v>
      </c>
      <c r="H340" s="85" t="s">
        <v>1592</v>
      </c>
      <c r="I340" s="147"/>
      <c r="J340" s="147"/>
      <c r="K340" s="148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1327</v>
      </c>
      <c r="B341" s="73" t="s">
        <v>1588</v>
      </c>
      <c r="C341" s="73" t="s">
        <v>1067</v>
      </c>
      <c r="D341" s="73" t="s">
        <v>1593</v>
      </c>
      <c r="E341" s="73" t="s">
        <v>73</v>
      </c>
      <c r="F341" s="85" t="s">
        <v>1307</v>
      </c>
      <c r="H341" s="85" t="s">
        <v>1594</v>
      </c>
      <c r="I341" s="147"/>
      <c r="J341" s="147"/>
      <c r="K341" s="148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ht="15.75" thickBot="1" x14ac:dyDescent="0.3">
      <c r="A342" t="s">
        <v>384</v>
      </c>
      <c r="B342" t="s">
        <v>385</v>
      </c>
      <c r="C342" t="s">
        <v>1067</v>
      </c>
      <c r="D342" t="s">
        <v>386</v>
      </c>
      <c r="E342" s="30" t="s">
        <v>19</v>
      </c>
      <c r="F342" s="30" t="s">
        <v>28</v>
      </c>
      <c r="G342" s="30"/>
      <c r="H342" s="30" t="s">
        <v>786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t="s">
        <v>384</v>
      </c>
      <c r="B343" t="s">
        <v>387</v>
      </c>
      <c r="C343" t="s">
        <v>1067</v>
      </c>
      <c r="D343" t="s">
        <v>388</v>
      </c>
      <c r="E343" s="30" t="s">
        <v>19</v>
      </c>
      <c r="F343" s="30" t="s">
        <v>28</v>
      </c>
      <c r="G343" s="30"/>
      <c r="H343" s="30" t="s">
        <v>787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s="73" customFormat="1" ht="15.75" thickBot="1" x14ac:dyDescent="0.3">
      <c r="A344" s="73" t="s">
        <v>389</v>
      </c>
      <c r="B344" s="73" t="s">
        <v>390</v>
      </c>
      <c r="C344" s="73" t="s">
        <v>1067</v>
      </c>
      <c r="D344" s="73" t="s">
        <v>391</v>
      </c>
      <c r="E344" s="85" t="s">
        <v>19</v>
      </c>
      <c r="F344" s="85" t="s">
        <v>1307</v>
      </c>
      <c r="G344" s="85"/>
      <c r="H344" s="85" t="s">
        <v>1493</v>
      </c>
      <c r="I344" s="147">
        <f t="shared" si="16"/>
        <v>28</v>
      </c>
      <c r="J344" s="147">
        <f t="shared" si="17"/>
        <v>0</v>
      </c>
      <c r="K344" s="148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90"/>
    </row>
    <row r="345" spans="1:41" ht="15.75" thickBot="1" x14ac:dyDescent="0.3">
      <c r="A345" t="s">
        <v>294</v>
      </c>
      <c r="B345" t="s">
        <v>392</v>
      </c>
      <c r="C345" t="s">
        <v>1067</v>
      </c>
      <c r="D345" t="s">
        <v>393</v>
      </c>
      <c r="E345" s="30" t="s">
        <v>19</v>
      </c>
      <c r="F345" s="30" t="s">
        <v>28</v>
      </c>
      <c r="G345" s="30"/>
      <c r="H345" s="30" t="s">
        <v>790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</row>
    <row r="346" spans="1:41" ht="15.75" thickBot="1" x14ac:dyDescent="0.3">
      <c r="A346" t="s">
        <v>294</v>
      </c>
      <c r="B346" t="s">
        <v>1015</v>
      </c>
      <c r="C346" t="s">
        <v>1067</v>
      </c>
      <c r="D346" t="s">
        <v>394</v>
      </c>
      <c r="E346" s="30" t="s">
        <v>19</v>
      </c>
      <c r="F346" s="30" t="s">
        <v>28</v>
      </c>
      <c r="G346" s="30"/>
      <c r="H346" s="30" t="s">
        <v>791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395</v>
      </c>
      <c r="C347" t="s">
        <v>1067</v>
      </c>
      <c r="D347" t="s">
        <v>396</v>
      </c>
      <c r="E347" s="30" t="s">
        <v>73</v>
      </c>
      <c r="F347" s="30" t="s">
        <v>28</v>
      </c>
      <c r="G347" s="30"/>
      <c r="H347" s="30" t="s">
        <v>788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397</v>
      </c>
      <c r="C348" t="s">
        <v>1067</v>
      </c>
      <c r="D348" t="s">
        <v>396</v>
      </c>
      <c r="E348" s="30" t="s">
        <v>73</v>
      </c>
      <c r="F348" s="30" t="s">
        <v>28</v>
      </c>
      <c r="G348" s="30"/>
      <c r="H348" s="30" t="s">
        <v>789</v>
      </c>
      <c r="I348" s="31">
        <f t="shared" si="16"/>
        <v>28</v>
      </c>
      <c r="J348" s="31">
        <f t="shared" si="17"/>
        <v>0</v>
      </c>
      <c r="K348" s="32">
        <f t="shared" si="18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1270</v>
      </c>
      <c r="C349" t="s">
        <v>1067</v>
      </c>
      <c r="D349" t="s">
        <v>1271</v>
      </c>
      <c r="E349" s="30" t="s">
        <v>15</v>
      </c>
      <c r="F349" s="30" t="s">
        <v>1061</v>
      </c>
      <c r="G349" s="30" t="s">
        <v>1273</v>
      </c>
      <c r="H349" s="30" t="s">
        <v>1272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s="73" customFormat="1" ht="15.75" thickBot="1" x14ac:dyDescent="0.3">
      <c r="A350" s="73" t="s">
        <v>294</v>
      </c>
      <c r="B350" s="73" t="s">
        <v>1320</v>
      </c>
      <c r="C350" s="73" t="s">
        <v>1068</v>
      </c>
      <c r="D350" s="73" t="s">
        <v>1321</v>
      </c>
      <c r="E350" s="85" t="s">
        <v>15</v>
      </c>
      <c r="F350" s="85" t="s">
        <v>1307</v>
      </c>
      <c r="G350" s="85"/>
      <c r="H350" s="85" t="s">
        <v>1322</v>
      </c>
      <c r="I350" s="31">
        <f t="shared" si="16"/>
        <v>27</v>
      </c>
      <c r="J350" s="31">
        <f t="shared" si="17"/>
        <v>1</v>
      </c>
      <c r="K350" s="32">
        <f t="shared" si="18"/>
        <v>0.9642857142857143</v>
      </c>
      <c r="L350" s="70" t="s">
        <v>1527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90"/>
    </row>
    <row r="351" spans="1:41" s="92" customFormat="1" ht="15.75" thickBot="1" x14ac:dyDescent="0.3">
      <c r="A351" s="92" t="s">
        <v>402</v>
      </c>
      <c r="B351" s="92" t="s">
        <v>407</v>
      </c>
      <c r="C351" s="92" t="s">
        <v>1067</v>
      </c>
      <c r="D351" s="92" t="s">
        <v>408</v>
      </c>
      <c r="E351" s="93" t="s">
        <v>15</v>
      </c>
      <c r="F351" s="93" t="s">
        <v>20</v>
      </c>
      <c r="G351" s="93"/>
      <c r="H351" s="93" t="s">
        <v>792</v>
      </c>
      <c r="I351" s="31">
        <f t="shared" si="16"/>
        <v>27</v>
      </c>
      <c r="J351" s="31">
        <f t="shared" si="17"/>
        <v>1</v>
      </c>
      <c r="K351" s="32">
        <f t="shared" si="18"/>
        <v>0.9642857142857143</v>
      </c>
      <c r="L351" s="70" t="s">
        <v>1527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94"/>
      <c r="AE351" s="94"/>
      <c r="AF351" s="70"/>
      <c r="AG351" s="94"/>
      <c r="AH351" s="94"/>
      <c r="AI351" s="94"/>
      <c r="AJ351" s="94"/>
      <c r="AK351" s="94"/>
      <c r="AL351" s="94"/>
      <c r="AM351" s="94"/>
      <c r="AN351" s="94"/>
      <c r="AO351" s="94"/>
    </row>
    <row r="352" spans="1:41" s="73" customFormat="1" ht="15.75" thickBot="1" x14ac:dyDescent="0.3">
      <c r="A352" s="73" t="s">
        <v>384</v>
      </c>
      <c r="B352" s="73" t="s">
        <v>398</v>
      </c>
      <c r="C352" s="73" t="s">
        <v>1067</v>
      </c>
      <c r="D352" s="73" t="s">
        <v>399</v>
      </c>
      <c r="E352" s="85" t="s">
        <v>19</v>
      </c>
      <c r="F352" s="85" t="s">
        <v>1307</v>
      </c>
      <c r="G352" s="85"/>
      <c r="H352" s="85" t="s">
        <v>1295</v>
      </c>
      <c r="I352" s="147">
        <f t="shared" si="16"/>
        <v>27</v>
      </c>
      <c r="J352" s="147">
        <f t="shared" si="17"/>
        <v>1</v>
      </c>
      <c r="K352" s="148">
        <f t="shared" si="18"/>
        <v>0.9642857142857143</v>
      </c>
      <c r="L352" s="70" t="s">
        <v>1527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90"/>
    </row>
    <row r="353" spans="1:41" s="73" customFormat="1" ht="15.75" thickBot="1" x14ac:dyDescent="0.3">
      <c r="A353" s="73" t="s">
        <v>384</v>
      </c>
      <c r="B353" s="73" t="s">
        <v>400</v>
      </c>
      <c r="C353" s="73" t="s">
        <v>1067</v>
      </c>
      <c r="D353" s="73" t="s">
        <v>401</v>
      </c>
      <c r="E353" s="85" t="s">
        <v>15</v>
      </c>
      <c r="F353" s="85" t="s">
        <v>28</v>
      </c>
      <c r="G353" s="85"/>
      <c r="H353" s="85" t="s">
        <v>1526</v>
      </c>
      <c r="I353" s="88">
        <f t="shared" si="16"/>
        <v>28</v>
      </c>
      <c r="J353" s="88">
        <f t="shared" si="17"/>
        <v>0</v>
      </c>
      <c r="K353" s="89">
        <f t="shared" si="18"/>
        <v>1</v>
      </c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</row>
    <row r="354" spans="1:41" ht="15.75" thickBot="1" x14ac:dyDescent="0.3">
      <c r="A354" t="s">
        <v>402</v>
      </c>
      <c r="B354" t="s">
        <v>403</v>
      </c>
      <c r="C354" t="s">
        <v>1067</v>
      </c>
      <c r="D354" t="s">
        <v>404</v>
      </c>
      <c r="E354" s="30" t="s">
        <v>19</v>
      </c>
      <c r="F354" s="30" t="s">
        <v>28</v>
      </c>
      <c r="G354" s="30"/>
      <c r="H354" s="30" t="s">
        <v>793</v>
      </c>
      <c r="I354" s="31">
        <f t="shared" si="16"/>
        <v>28</v>
      </c>
      <c r="J354" s="31">
        <f t="shared" si="17"/>
        <v>0</v>
      </c>
      <c r="K354" s="32">
        <f t="shared" si="18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402</v>
      </c>
      <c r="B355" t="s">
        <v>405</v>
      </c>
      <c r="C355" t="s">
        <v>1067</v>
      </c>
      <c r="D355" t="s">
        <v>404</v>
      </c>
      <c r="E355" s="30" t="s">
        <v>73</v>
      </c>
      <c r="F355" s="30" t="s">
        <v>28</v>
      </c>
      <c r="G355" s="30"/>
      <c r="H355" s="30" t="s">
        <v>794</v>
      </c>
      <c r="I355" s="31">
        <f t="shared" si="16"/>
        <v>28</v>
      </c>
      <c r="J355" s="31">
        <f t="shared" si="17"/>
        <v>0</v>
      </c>
      <c r="K355" s="32">
        <f t="shared" si="18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406</v>
      </c>
      <c r="C356" t="s">
        <v>1067</v>
      </c>
      <c r="D356" t="s">
        <v>404</v>
      </c>
      <c r="E356" s="30" t="s">
        <v>73</v>
      </c>
      <c r="F356" s="30" t="s">
        <v>28</v>
      </c>
      <c r="G356" s="30"/>
      <c r="H356" s="30" t="s">
        <v>795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409</v>
      </c>
      <c r="B357" t="s">
        <v>410</v>
      </c>
      <c r="C357" t="s">
        <v>1067</v>
      </c>
      <c r="D357" t="s">
        <v>411</v>
      </c>
      <c r="E357" s="30" t="s">
        <v>73</v>
      </c>
      <c r="F357" s="30" t="s">
        <v>28</v>
      </c>
      <c r="G357" s="30"/>
      <c r="H357" s="30" t="s">
        <v>796</v>
      </c>
      <c r="I357" s="31">
        <f t="shared" ref="I357:I426" si="19">COUNTIF(L357:AM357,"")</f>
        <v>28</v>
      </c>
      <c r="J357" s="31">
        <f t="shared" ref="J357:J426" si="20">COUNTIF(L357:AM357,"APAGADO")</f>
        <v>0</v>
      </c>
      <c r="K357" s="32">
        <f t="shared" ref="K357:K426" si="21">(I357)/(J357+I357)</f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412</v>
      </c>
      <c r="C358" t="s">
        <v>1067</v>
      </c>
      <c r="D358" t="s">
        <v>411</v>
      </c>
      <c r="E358" s="30" t="s">
        <v>73</v>
      </c>
      <c r="F358" s="30" t="s">
        <v>28</v>
      </c>
      <c r="G358" s="30"/>
      <c r="H358" s="30" t="s">
        <v>797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402</v>
      </c>
      <c r="B359" t="s">
        <v>413</v>
      </c>
      <c r="C359" t="s">
        <v>1067</v>
      </c>
      <c r="D359" t="s">
        <v>414</v>
      </c>
      <c r="E359" s="30" t="s">
        <v>73</v>
      </c>
      <c r="F359" s="30" t="s">
        <v>28</v>
      </c>
      <c r="G359" s="30"/>
      <c r="H359" s="30" t="s">
        <v>798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415</v>
      </c>
      <c r="C360" t="s">
        <v>1067</v>
      </c>
      <c r="D360" t="s">
        <v>414</v>
      </c>
      <c r="E360" s="30" t="s">
        <v>73</v>
      </c>
      <c r="F360" s="30" t="s">
        <v>28</v>
      </c>
      <c r="G360" s="30"/>
      <c r="H360" s="30" t="s">
        <v>799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416</v>
      </c>
      <c r="C361" t="s">
        <v>1067</v>
      </c>
      <c r="D361" t="s">
        <v>417</v>
      </c>
      <c r="E361" s="30" t="s">
        <v>73</v>
      </c>
      <c r="F361" s="30" t="s">
        <v>28</v>
      </c>
      <c r="G361" s="30"/>
      <c r="H361" s="30" t="s">
        <v>800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418</v>
      </c>
      <c r="C362" t="s">
        <v>1067</v>
      </c>
      <c r="D362" t="s">
        <v>417</v>
      </c>
      <c r="E362" s="30" t="s">
        <v>73</v>
      </c>
      <c r="F362" s="30" t="s">
        <v>28</v>
      </c>
      <c r="G362" s="30"/>
      <c r="H362" s="30" t="s">
        <v>801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409</v>
      </c>
      <c r="B363" t="s">
        <v>906</v>
      </c>
      <c r="C363" t="s">
        <v>1067</v>
      </c>
      <c r="D363" t="s">
        <v>907</v>
      </c>
      <c r="E363" s="30" t="s">
        <v>19</v>
      </c>
      <c r="F363" s="30" t="s">
        <v>28</v>
      </c>
      <c r="G363" s="30"/>
      <c r="H363" s="30" t="s">
        <v>914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402</v>
      </c>
      <c r="B364" t="s">
        <v>908</v>
      </c>
      <c r="C364" t="s">
        <v>1067</v>
      </c>
      <c r="D364" t="s">
        <v>909</v>
      </c>
      <c r="E364" s="30" t="s">
        <v>19</v>
      </c>
      <c r="F364" s="30" t="s">
        <v>28</v>
      </c>
      <c r="G364" s="30"/>
      <c r="H364" s="30" t="s">
        <v>915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1016</v>
      </c>
      <c r="C365" t="s">
        <v>1067</v>
      </c>
      <c r="D365" t="s">
        <v>1017</v>
      </c>
      <c r="E365" s="30" t="s">
        <v>19</v>
      </c>
      <c r="F365" s="30" t="s">
        <v>28</v>
      </c>
      <c r="G365" s="30"/>
      <c r="H365" s="30" t="s">
        <v>1225</v>
      </c>
      <c r="I365" s="31">
        <f t="shared" si="19"/>
        <v>27</v>
      </c>
      <c r="J365" s="31">
        <f t="shared" si="20"/>
        <v>1</v>
      </c>
      <c r="K365" s="32">
        <f t="shared" si="21"/>
        <v>0.9642857142857143</v>
      </c>
      <c r="L365" s="70" t="s">
        <v>1527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s="73" customFormat="1" ht="15.75" thickBot="1" x14ac:dyDescent="0.3">
      <c r="A366" s="73" t="s">
        <v>402</v>
      </c>
      <c r="B366" s="73" t="s">
        <v>1444</v>
      </c>
      <c r="C366" s="73" t="s">
        <v>1067</v>
      </c>
      <c r="D366" s="73" t="s">
        <v>1447</v>
      </c>
      <c r="E366" s="87"/>
      <c r="F366" s="85" t="s">
        <v>1307</v>
      </c>
      <c r="G366" s="85"/>
      <c r="H366" s="85" t="s">
        <v>1448</v>
      </c>
      <c r="I366" s="147">
        <f t="shared" si="19"/>
        <v>28</v>
      </c>
      <c r="J366" s="147">
        <f t="shared" si="20"/>
        <v>0</v>
      </c>
      <c r="K366" s="148">
        <f t="shared" si="21"/>
        <v>1</v>
      </c>
      <c r="L366" s="70"/>
      <c r="M366" s="70"/>
      <c r="N366" s="70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</row>
    <row r="367" spans="1:41" ht="15.75" thickBot="1" x14ac:dyDescent="0.3">
      <c r="A367" t="s">
        <v>402</v>
      </c>
      <c r="B367" t="s">
        <v>1445</v>
      </c>
      <c r="C367" t="s">
        <v>1067</v>
      </c>
      <c r="D367" t="s">
        <v>1447</v>
      </c>
      <c r="E367" s="87"/>
      <c r="F367" s="30" t="s">
        <v>28</v>
      </c>
      <c r="G367" s="30"/>
      <c r="H367" s="85" t="s">
        <v>1512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91"/>
    </row>
    <row r="368" spans="1:41" ht="15.75" thickBot="1" x14ac:dyDescent="0.3">
      <c r="A368" t="s">
        <v>402</v>
      </c>
      <c r="B368" t="s">
        <v>1446</v>
      </c>
      <c r="C368" t="s">
        <v>1067</v>
      </c>
      <c r="D368" t="s">
        <v>1447</v>
      </c>
      <c r="E368" s="87"/>
      <c r="F368" s="30" t="s">
        <v>28</v>
      </c>
      <c r="G368" s="30"/>
      <c r="H368" s="85" t="s">
        <v>1510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196</v>
      </c>
      <c r="B369" t="s">
        <v>419</v>
      </c>
      <c r="C369" t="s">
        <v>1068</v>
      </c>
      <c r="D369" t="s">
        <v>420</v>
      </c>
      <c r="E369" s="30" t="s">
        <v>15</v>
      </c>
      <c r="F369" s="30" t="s">
        <v>20</v>
      </c>
      <c r="G369" s="30"/>
      <c r="H369" s="30" t="s">
        <v>803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s="73" customFormat="1" ht="15.75" thickBot="1" x14ac:dyDescent="0.3">
      <c r="A370" s="73" t="s">
        <v>196</v>
      </c>
      <c r="B370" s="73" t="s">
        <v>421</v>
      </c>
      <c r="C370" s="73" t="s">
        <v>1068</v>
      </c>
      <c r="D370" s="73" t="s">
        <v>422</v>
      </c>
      <c r="E370" s="85" t="s">
        <v>15</v>
      </c>
      <c r="F370" s="85" t="s">
        <v>1307</v>
      </c>
      <c r="G370" s="85"/>
      <c r="H370" s="85" t="s">
        <v>1438</v>
      </c>
      <c r="I370" s="147">
        <f t="shared" si="19"/>
        <v>28</v>
      </c>
      <c r="J370" s="147">
        <f t="shared" si="20"/>
        <v>0</v>
      </c>
      <c r="K370" s="148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90"/>
    </row>
    <row r="371" spans="1:41" ht="15.75" thickBot="1" x14ac:dyDescent="0.3">
      <c r="A371" t="s">
        <v>196</v>
      </c>
      <c r="B371" t="s">
        <v>1018</v>
      </c>
      <c r="C371" t="s">
        <v>1068</v>
      </c>
      <c r="D371" t="s">
        <v>1019</v>
      </c>
      <c r="E371" s="30" t="s">
        <v>73</v>
      </c>
      <c r="F371" s="30" t="s">
        <v>20</v>
      </c>
      <c r="G371" s="30"/>
      <c r="H371" s="30" t="s">
        <v>1287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196</v>
      </c>
      <c r="B372" t="s">
        <v>1020</v>
      </c>
      <c r="C372" t="s">
        <v>1068</v>
      </c>
      <c r="D372" t="s">
        <v>1019</v>
      </c>
      <c r="E372" s="30" t="s">
        <v>73</v>
      </c>
      <c r="F372" s="30" t="s">
        <v>20</v>
      </c>
      <c r="G372" s="30"/>
      <c r="H372" s="30" t="s">
        <v>1406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196</v>
      </c>
      <c r="B373" s="73" t="s">
        <v>423</v>
      </c>
      <c r="C373" s="73" t="s">
        <v>1068</v>
      </c>
      <c r="D373" s="73" t="s">
        <v>424</v>
      </c>
      <c r="E373" s="85" t="s">
        <v>19</v>
      </c>
      <c r="F373" s="85" t="s">
        <v>20</v>
      </c>
      <c r="G373" s="85"/>
      <c r="H373" s="85" t="s">
        <v>1439</v>
      </c>
      <c r="I373" s="88">
        <f t="shared" si="19"/>
        <v>28</v>
      </c>
      <c r="J373" s="88">
        <f t="shared" si="20"/>
        <v>0</v>
      </c>
      <c r="K373" s="89">
        <f t="shared" si="21"/>
        <v>1</v>
      </c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</row>
    <row r="374" spans="1:41" ht="15.75" thickBot="1" x14ac:dyDescent="0.3">
      <c r="A374" t="s">
        <v>196</v>
      </c>
      <c r="B374" t="s">
        <v>425</v>
      </c>
      <c r="C374" t="s">
        <v>1068</v>
      </c>
      <c r="D374" t="s">
        <v>426</v>
      </c>
      <c r="E374" s="30" t="s">
        <v>19</v>
      </c>
      <c r="F374" s="30" t="s">
        <v>20</v>
      </c>
      <c r="G374" s="30"/>
      <c r="H374" s="30" t="s">
        <v>802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ht="15.75" thickBot="1" x14ac:dyDescent="0.3">
      <c r="A375" t="s">
        <v>196</v>
      </c>
      <c r="B375" t="s">
        <v>427</v>
      </c>
      <c r="C375" t="s">
        <v>1068</v>
      </c>
      <c r="D375" t="s">
        <v>428</v>
      </c>
      <c r="E375" s="30" t="s">
        <v>73</v>
      </c>
      <c r="F375" s="30" t="s">
        <v>28</v>
      </c>
      <c r="G375" s="30"/>
      <c r="H375" s="30" t="s">
        <v>805</v>
      </c>
      <c r="I375" s="31">
        <f t="shared" si="19"/>
        <v>27</v>
      </c>
      <c r="J375" s="31">
        <f t="shared" si="20"/>
        <v>1</v>
      </c>
      <c r="K375" s="32">
        <f t="shared" si="21"/>
        <v>0.9642857142857143</v>
      </c>
      <c r="L375" s="70" t="s">
        <v>1527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</row>
    <row r="376" spans="1:41" ht="15.75" thickBot="1" x14ac:dyDescent="0.3">
      <c r="A376" t="s">
        <v>196</v>
      </c>
      <c r="B376" t="s">
        <v>429</v>
      </c>
      <c r="C376" t="s">
        <v>1068</v>
      </c>
      <c r="D376" t="s">
        <v>428</v>
      </c>
      <c r="E376" s="30" t="s">
        <v>73</v>
      </c>
      <c r="F376" s="30" t="s">
        <v>28</v>
      </c>
      <c r="G376" s="30"/>
      <c r="H376" s="30" t="s">
        <v>806</v>
      </c>
      <c r="I376" s="31">
        <f t="shared" si="19"/>
        <v>27</v>
      </c>
      <c r="J376" s="31">
        <f t="shared" si="20"/>
        <v>1</v>
      </c>
      <c r="K376" s="32">
        <f t="shared" si="21"/>
        <v>0.9642857142857143</v>
      </c>
      <c r="L376" s="70" t="s">
        <v>1527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s="73" customFormat="1" ht="15.75" thickBot="1" x14ac:dyDescent="0.3">
      <c r="A377" s="73" t="s">
        <v>196</v>
      </c>
      <c r="B377" s="73" t="s">
        <v>430</v>
      </c>
      <c r="C377" s="73" t="s">
        <v>1068</v>
      </c>
      <c r="D377" s="73" t="s">
        <v>431</v>
      </c>
      <c r="E377" s="85" t="s">
        <v>73</v>
      </c>
      <c r="F377" s="85" t="s">
        <v>1307</v>
      </c>
      <c r="G377" s="85"/>
      <c r="H377" s="85" t="s">
        <v>807</v>
      </c>
      <c r="I377" s="147">
        <f t="shared" si="19"/>
        <v>28</v>
      </c>
      <c r="J377" s="147">
        <f t="shared" si="20"/>
        <v>0</v>
      </c>
      <c r="K377" s="148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90"/>
    </row>
    <row r="378" spans="1:41" s="73" customFormat="1" ht="15.75" thickBot="1" x14ac:dyDescent="0.3">
      <c r="A378" s="73" t="s">
        <v>196</v>
      </c>
      <c r="B378" s="73" t="s">
        <v>432</v>
      </c>
      <c r="C378" s="73" t="s">
        <v>1068</v>
      </c>
      <c r="D378" s="73" t="s">
        <v>431</v>
      </c>
      <c r="E378" s="85" t="s">
        <v>73</v>
      </c>
      <c r="F378" s="85" t="s">
        <v>1307</v>
      </c>
      <c r="G378" s="85"/>
      <c r="H378" s="85" t="s">
        <v>808</v>
      </c>
      <c r="I378" s="147">
        <f t="shared" si="19"/>
        <v>28</v>
      </c>
      <c r="J378" s="147">
        <f t="shared" si="20"/>
        <v>0</v>
      </c>
      <c r="K378" s="148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s="73" customFormat="1" ht="15.75" thickBot="1" x14ac:dyDescent="0.3">
      <c r="A379" s="73" t="s">
        <v>196</v>
      </c>
      <c r="B379" s="73" t="s">
        <v>1556</v>
      </c>
      <c r="C379" s="73" t="s">
        <v>1068</v>
      </c>
      <c r="D379" s="73" t="s">
        <v>1557</v>
      </c>
      <c r="E379" s="85" t="s">
        <v>73</v>
      </c>
      <c r="F379" s="85" t="s">
        <v>1307</v>
      </c>
      <c r="G379" s="85"/>
      <c r="H379" s="85"/>
      <c r="I379" s="147">
        <f t="shared" si="19"/>
        <v>28</v>
      </c>
      <c r="J379" s="147">
        <f t="shared" si="20"/>
        <v>0</v>
      </c>
      <c r="K379" s="148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1558</v>
      </c>
      <c r="C380" s="73" t="s">
        <v>1068</v>
      </c>
      <c r="D380" s="73" t="s">
        <v>1557</v>
      </c>
      <c r="E380" s="85" t="s">
        <v>73</v>
      </c>
      <c r="F380" s="85" t="s">
        <v>1307</v>
      </c>
      <c r="G380" s="85"/>
      <c r="H380" s="85"/>
      <c r="I380" s="147">
        <f t="shared" si="19"/>
        <v>28</v>
      </c>
      <c r="J380" s="147">
        <f t="shared" si="20"/>
        <v>0</v>
      </c>
      <c r="K380" s="148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92" customFormat="1" ht="15.75" thickBot="1" x14ac:dyDescent="0.3">
      <c r="A381" s="92" t="s">
        <v>433</v>
      </c>
      <c r="B381" s="92" t="s">
        <v>434</v>
      </c>
      <c r="C381" s="92" t="s">
        <v>1068</v>
      </c>
      <c r="D381" s="92" t="s">
        <v>435</v>
      </c>
      <c r="E381" s="93" t="s">
        <v>19</v>
      </c>
      <c r="F381" s="93" t="s">
        <v>20</v>
      </c>
      <c r="G381" s="93"/>
      <c r="H381" s="93" t="s">
        <v>809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1527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94"/>
      <c r="AE381" s="94"/>
      <c r="AF381" s="70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s="73" customFormat="1" ht="15.75" thickBot="1" x14ac:dyDescent="0.3">
      <c r="A382" s="73" t="s">
        <v>433</v>
      </c>
      <c r="B382" s="73" t="s">
        <v>1360</v>
      </c>
      <c r="C382" s="73" t="s">
        <v>1068</v>
      </c>
      <c r="D382" s="73" t="s">
        <v>1361</v>
      </c>
      <c r="E382" s="85"/>
      <c r="F382" s="85" t="s">
        <v>1307</v>
      </c>
      <c r="G382" s="85"/>
      <c r="H382" s="85" t="s">
        <v>1422</v>
      </c>
      <c r="I382" s="147">
        <f t="shared" si="19"/>
        <v>27</v>
      </c>
      <c r="J382" s="147">
        <f t="shared" si="20"/>
        <v>1</v>
      </c>
      <c r="K382" s="148">
        <f t="shared" si="21"/>
        <v>0.9642857142857143</v>
      </c>
      <c r="L382" s="70" t="s">
        <v>1527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433</v>
      </c>
      <c r="B383" s="73" t="s">
        <v>1410</v>
      </c>
      <c r="C383" s="73" t="s">
        <v>1068</v>
      </c>
      <c r="D383" s="73" t="s">
        <v>1411</v>
      </c>
      <c r="E383" s="87"/>
      <c r="F383" s="85" t="s">
        <v>1307</v>
      </c>
      <c r="G383" s="85"/>
      <c r="H383" s="85" t="s">
        <v>1412</v>
      </c>
      <c r="I383" s="147">
        <f t="shared" si="19"/>
        <v>28</v>
      </c>
      <c r="J383" s="147">
        <f t="shared" si="20"/>
        <v>0</v>
      </c>
      <c r="K383" s="148">
        <f t="shared" si="21"/>
        <v>1</v>
      </c>
      <c r="L383" s="70"/>
      <c r="M383" s="70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</row>
    <row r="384" spans="1:41" s="73" customFormat="1" ht="15.75" thickBot="1" x14ac:dyDescent="0.3">
      <c r="A384" s="73" t="s">
        <v>438</v>
      </c>
      <c r="B384" s="73" t="s">
        <v>445</v>
      </c>
      <c r="C384" s="73" t="s">
        <v>1068</v>
      </c>
      <c r="D384" s="73" t="s">
        <v>446</v>
      </c>
      <c r="E384" s="85" t="s">
        <v>15</v>
      </c>
      <c r="F384" s="85" t="s">
        <v>1307</v>
      </c>
      <c r="G384" s="85"/>
      <c r="H384" s="85" t="s">
        <v>1381</v>
      </c>
      <c r="I384" s="147">
        <f t="shared" si="19"/>
        <v>28</v>
      </c>
      <c r="J384" s="147">
        <f t="shared" si="20"/>
        <v>0</v>
      </c>
      <c r="K384" s="148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90"/>
    </row>
    <row r="385" spans="1:41" s="73" customFormat="1" ht="15.75" thickBot="1" x14ac:dyDescent="0.3">
      <c r="A385" s="73" t="s">
        <v>438</v>
      </c>
      <c r="B385" s="73" t="s">
        <v>447</v>
      </c>
      <c r="C385" s="73" t="s">
        <v>1068</v>
      </c>
      <c r="D385" s="73" t="s">
        <v>448</v>
      </c>
      <c r="E385" s="85" t="s">
        <v>19</v>
      </c>
      <c r="F385" s="85" t="s">
        <v>1307</v>
      </c>
      <c r="G385" s="85"/>
      <c r="H385" s="85" t="s">
        <v>1431</v>
      </c>
      <c r="I385" s="147">
        <f t="shared" si="19"/>
        <v>28</v>
      </c>
      <c r="J385" s="147">
        <f t="shared" si="20"/>
        <v>0</v>
      </c>
      <c r="K385" s="148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92" customFormat="1" ht="15.75" thickBot="1" x14ac:dyDescent="0.3">
      <c r="A386" s="92" t="s">
        <v>438</v>
      </c>
      <c r="B386" s="92" t="s">
        <v>436</v>
      </c>
      <c r="C386" s="92" t="s">
        <v>1068</v>
      </c>
      <c r="D386" s="92" t="s">
        <v>437</v>
      </c>
      <c r="E386" s="93" t="s">
        <v>19</v>
      </c>
      <c r="F386" s="93" t="s">
        <v>20</v>
      </c>
      <c r="G386" s="93"/>
      <c r="H386" s="93" t="s">
        <v>810</v>
      </c>
      <c r="I386" s="31">
        <f t="shared" si="19"/>
        <v>27</v>
      </c>
      <c r="J386" s="31">
        <f t="shared" si="20"/>
        <v>1</v>
      </c>
      <c r="K386" s="32">
        <f t="shared" si="21"/>
        <v>0.9642857142857143</v>
      </c>
      <c r="L386" s="70" t="s">
        <v>1527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94"/>
      <c r="AE386" s="94"/>
      <c r="AF386" s="70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s="73" customFormat="1" ht="15.75" thickBot="1" x14ac:dyDescent="0.3">
      <c r="A387" s="73" t="s">
        <v>438</v>
      </c>
      <c r="B387" s="73" t="s">
        <v>439</v>
      </c>
      <c r="C387" s="73" t="s">
        <v>1068</v>
      </c>
      <c r="D387" s="73" t="s">
        <v>440</v>
      </c>
      <c r="E387" s="85" t="s">
        <v>46</v>
      </c>
      <c r="F387" s="85" t="s">
        <v>1307</v>
      </c>
      <c r="G387" s="85"/>
      <c r="H387" s="85" t="s">
        <v>1382</v>
      </c>
      <c r="I387" s="147">
        <f t="shared" si="19"/>
        <v>28</v>
      </c>
      <c r="J387" s="147">
        <f t="shared" si="20"/>
        <v>0</v>
      </c>
      <c r="K387" s="148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ht="15.75" thickBot="1" x14ac:dyDescent="0.3">
      <c r="A388" t="s">
        <v>438</v>
      </c>
      <c r="B388" t="s">
        <v>449</v>
      </c>
      <c r="C388" t="s">
        <v>1068</v>
      </c>
      <c r="D388" t="s">
        <v>450</v>
      </c>
      <c r="E388" s="30" t="s">
        <v>15</v>
      </c>
      <c r="F388" s="30" t="s">
        <v>1061</v>
      </c>
      <c r="G388" s="30" t="s">
        <v>1262</v>
      </c>
      <c r="H388" s="30" t="s">
        <v>811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</row>
    <row r="389" spans="1:41" ht="15.75" thickBot="1" x14ac:dyDescent="0.3">
      <c r="A389" t="s">
        <v>438</v>
      </c>
      <c r="B389" t="s">
        <v>441</v>
      </c>
      <c r="C389" t="s">
        <v>1068</v>
      </c>
      <c r="D389" t="s">
        <v>442</v>
      </c>
      <c r="E389" s="30" t="s">
        <v>15</v>
      </c>
      <c r="F389" s="30" t="s">
        <v>28</v>
      </c>
      <c r="G389" s="30"/>
      <c r="H389" s="30" t="s">
        <v>812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</row>
    <row r="390" spans="1:41" s="73" customFormat="1" ht="15.75" thickBot="1" x14ac:dyDescent="0.3">
      <c r="A390" s="73" t="s">
        <v>438</v>
      </c>
      <c r="B390" s="73" t="s">
        <v>443</v>
      </c>
      <c r="C390" s="73" t="s">
        <v>1068</v>
      </c>
      <c r="D390" s="73" t="s">
        <v>444</v>
      </c>
      <c r="E390" s="85" t="s">
        <v>15</v>
      </c>
      <c r="F390" s="85" t="s">
        <v>1307</v>
      </c>
      <c r="G390" s="85"/>
      <c r="H390" s="85" t="s">
        <v>813</v>
      </c>
      <c r="I390" s="147">
        <f t="shared" si="19"/>
        <v>28</v>
      </c>
      <c r="J390" s="147">
        <f t="shared" si="20"/>
        <v>0</v>
      </c>
      <c r="K390" s="148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1129</v>
      </c>
      <c r="B391" t="s">
        <v>1130</v>
      </c>
      <c r="C391" t="s">
        <v>1068</v>
      </c>
      <c r="D391" t="s">
        <v>1131</v>
      </c>
      <c r="E391" s="30" t="s">
        <v>1119</v>
      </c>
      <c r="F391" s="30" t="s">
        <v>28</v>
      </c>
      <c r="G391" s="30"/>
      <c r="H391" s="30" t="s">
        <v>1145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6.899999999999999" customHeight="1" thickBot="1" x14ac:dyDescent="0.3">
      <c r="A392" t="s">
        <v>1129</v>
      </c>
      <c r="B392" t="s">
        <v>1149</v>
      </c>
      <c r="C392" t="s">
        <v>1068</v>
      </c>
      <c r="D392" t="s">
        <v>1131</v>
      </c>
      <c r="E392" s="30" t="s">
        <v>1119</v>
      </c>
      <c r="F392" s="30" t="s">
        <v>28</v>
      </c>
      <c r="G392" s="30"/>
      <c r="H392" s="30" t="s">
        <v>1146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6.899999999999999" customHeight="1" thickBot="1" x14ac:dyDescent="0.3">
      <c r="B393" s="73" t="s">
        <v>1571</v>
      </c>
      <c r="C393" s="73" t="s">
        <v>1068</v>
      </c>
      <c r="D393" s="73" t="s">
        <v>1572</v>
      </c>
      <c r="E393" s="85" t="s">
        <v>1119</v>
      </c>
      <c r="F393" s="85" t="s">
        <v>1307</v>
      </c>
      <c r="G393" s="85"/>
      <c r="H393" s="85" t="s">
        <v>1574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6.899999999999999" customHeight="1" thickBot="1" x14ac:dyDescent="0.3">
      <c r="B394" s="73" t="s">
        <v>1570</v>
      </c>
      <c r="C394" s="73" t="s">
        <v>1068</v>
      </c>
      <c r="D394" s="73" t="s">
        <v>1573</v>
      </c>
      <c r="E394" s="85" t="s">
        <v>1119</v>
      </c>
      <c r="F394" s="85" t="s">
        <v>1307</v>
      </c>
      <c r="G394" s="85"/>
      <c r="H394" s="85" t="s">
        <v>1575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ht="15.75" thickBot="1" x14ac:dyDescent="0.3">
      <c r="A395" t="s">
        <v>165</v>
      </c>
      <c r="B395" t="s">
        <v>451</v>
      </c>
      <c r="C395" t="s">
        <v>1067</v>
      </c>
      <c r="D395" t="s">
        <v>452</v>
      </c>
      <c r="E395" s="30" t="s">
        <v>73</v>
      </c>
      <c r="F395" s="30" t="s">
        <v>28</v>
      </c>
      <c r="G395" s="30"/>
      <c r="H395" s="30" t="s">
        <v>814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ht="15.75" thickBot="1" x14ac:dyDescent="0.3">
      <c r="A396" t="s">
        <v>165</v>
      </c>
      <c r="B396" t="s">
        <v>453</v>
      </c>
      <c r="C396" t="s">
        <v>1067</v>
      </c>
      <c r="D396" t="s">
        <v>452</v>
      </c>
      <c r="E396" s="30" t="s">
        <v>73</v>
      </c>
      <c r="F396" s="30" t="s">
        <v>28</v>
      </c>
      <c r="G396" s="30"/>
      <c r="H396" s="30" t="s">
        <v>815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</row>
    <row r="397" spans="1:41" ht="15.75" thickBot="1" x14ac:dyDescent="0.3">
      <c r="A397" t="s">
        <v>165</v>
      </c>
      <c r="B397" t="s">
        <v>1021</v>
      </c>
      <c r="C397" t="s">
        <v>1067</v>
      </c>
      <c r="D397" t="s">
        <v>454</v>
      </c>
      <c r="E397" s="30" t="s">
        <v>73</v>
      </c>
      <c r="F397" s="30" t="s">
        <v>28</v>
      </c>
      <c r="G397" s="30"/>
      <c r="H397" s="30" t="s">
        <v>816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165</v>
      </c>
      <c r="B398" t="s">
        <v>1022</v>
      </c>
      <c r="C398" t="s">
        <v>1067</v>
      </c>
      <c r="D398" t="s">
        <v>454</v>
      </c>
      <c r="E398" s="30" t="s">
        <v>73</v>
      </c>
      <c r="F398" s="30" t="s">
        <v>28</v>
      </c>
      <c r="G398" s="30"/>
      <c r="H398" s="30" t="s">
        <v>817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455</v>
      </c>
      <c r="B399" t="s">
        <v>464</v>
      </c>
      <c r="C399" t="s">
        <v>1068</v>
      </c>
      <c r="D399" t="s">
        <v>1029</v>
      </c>
      <c r="E399" s="30" t="s">
        <v>19</v>
      </c>
      <c r="F399" s="30" t="s">
        <v>20</v>
      </c>
      <c r="G399" s="30"/>
      <c r="H399" s="30" t="s">
        <v>1418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350</v>
      </c>
      <c r="B400" t="s">
        <v>465</v>
      </c>
      <c r="C400" t="s">
        <v>1068</v>
      </c>
      <c r="D400" t="s">
        <v>1328</v>
      </c>
      <c r="E400" s="30" t="s">
        <v>19</v>
      </c>
      <c r="F400" s="30" t="s">
        <v>20</v>
      </c>
      <c r="G400" s="30"/>
      <c r="H400" s="30" t="s">
        <v>1419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s="73" customFormat="1" ht="15.75" thickBot="1" x14ac:dyDescent="0.3">
      <c r="A401" s="73" t="s">
        <v>455</v>
      </c>
      <c r="B401" s="73" t="s">
        <v>466</v>
      </c>
      <c r="C401" s="73" t="s">
        <v>1068</v>
      </c>
      <c r="D401" s="73" t="s">
        <v>467</v>
      </c>
      <c r="E401" s="85" t="s">
        <v>19</v>
      </c>
      <c r="F401" s="85" t="s">
        <v>1307</v>
      </c>
      <c r="G401" s="85"/>
      <c r="H401" s="85" t="s">
        <v>1430</v>
      </c>
      <c r="I401" s="147">
        <f t="shared" si="19"/>
        <v>28</v>
      </c>
      <c r="J401" s="147">
        <f t="shared" si="20"/>
        <v>0</v>
      </c>
      <c r="K401" s="148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90"/>
    </row>
    <row r="402" spans="1:41" s="73" customFormat="1" ht="15.75" thickBot="1" x14ac:dyDescent="0.3">
      <c r="A402" s="73" t="s">
        <v>455</v>
      </c>
      <c r="B402" s="73" t="s">
        <v>1023</v>
      </c>
      <c r="C402" s="73" t="s">
        <v>1068</v>
      </c>
      <c r="D402" s="73" t="s">
        <v>468</v>
      </c>
      <c r="E402" s="85" t="s">
        <v>19</v>
      </c>
      <c r="F402" s="85" t="s">
        <v>1307</v>
      </c>
      <c r="G402" s="85"/>
      <c r="H402" s="85" t="s">
        <v>1335</v>
      </c>
      <c r="I402" s="147">
        <f t="shared" si="19"/>
        <v>28</v>
      </c>
      <c r="J402" s="147">
        <f t="shared" si="20"/>
        <v>0</v>
      </c>
      <c r="K402" s="148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ht="15.75" thickBot="1" x14ac:dyDescent="0.3">
      <c r="A403" t="s">
        <v>455</v>
      </c>
      <c r="B403" t="s">
        <v>1030</v>
      </c>
      <c r="C403" t="s">
        <v>1068</v>
      </c>
      <c r="D403" t="s">
        <v>456</v>
      </c>
      <c r="E403" s="30" t="s">
        <v>15</v>
      </c>
      <c r="F403" s="30" t="s">
        <v>20</v>
      </c>
      <c r="G403" s="30"/>
      <c r="H403" s="30" t="s">
        <v>820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ht="15.75" thickBot="1" x14ac:dyDescent="0.3">
      <c r="A404" t="s">
        <v>455</v>
      </c>
      <c r="B404" t="s">
        <v>1031</v>
      </c>
      <c r="C404" t="s">
        <v>1068</v>
      </c>
      <c r="D404" t="s">
        <v>457</v>
      </c>
      <c r="E404" s="30" t="s">
        <v>19</v>
      </c>
      <c r="F404" s="30" t="s">
        <v>28</v>
      </c>
      <c r="G404" s="30"/>
      <c r="H404" s="30" t="s">
        <v>821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455</v>
      </c>
      <c r="B405" t="s">
        <v>1032</v>
      </c>
      <c r="C405" t="s">
        <v>1068</v>
      </c>
      <c r="D405" t="s">
        <v>458</v>
      </c>
      <c r="E405" s="30" t="s">
        <v>19</v>
      </c>
      <c r="F405" s="30" t="s">
        <v>28</v>
      </c>
      <c r="G405" s="30"/>
      <c r="H405" s="30" t="s">
        <v>822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455</v>
      </c>
      <c r="B406" t="s">
        <v>459</v>
      </c>
      <c r="C406" t="s">
        <v>1068</v>
      </c>
      <c r="D406" t="s">
        <v>460</v>
      </c>
      <c r="E406" s="30" t="s">
        <v>19</v>
      </c>
      <c r="F406" s="30" t="s">
        <v>28</v>
      </c>
      <c r="G406" s="30"/>
      <c r="H406" s="30" t="s">
        <v>823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1033</v>
      </c>
      <c r="C407" t="s">
        <v>1068</v>
      </c>
      <c r="D407" t="s">
        <v>461</v>
      </c>
      <c r="E407" s="30" t="s">
        <v>15</v>
      </c>
      <c r="F407" s="30" t="s">
        <v>20</v>
      </c>
      <c r="G407" s="30"/>
      <c r="H407" s="30" t="s">
        <v>804</v>
      </c>
      <c r="I407" s="31">
        <f t="shared" si="19"/>
        <v>27</v>
      </c>
      <c r="J407" s="31">
        <f t="shared" si="20"/>
        <v>1</v>
      </c>
      <c r="K407" s="32">
        <f t="shared" si="21"/>
        <v>0.9642857142857143</v>
      </c>
      <c r="L407" s="70" t="s">
        <v>1527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1034</v>
      </c>
      <c r="C408" t="s">
        <v>1068</v>
      </c>
      <c r="D408" t="s">
        <v>462</v>
      </c>
      <c r="E408" s="30" t="s">
        <v>15</v>
      </c>
      <c r="F408" s="30" t="s">
        <v>20</v>
      </c>
      <c r="G408" s="30"/>
      <c r="H408" s="30" t="s">
        <v>824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1024</v>
      </c>
      <c r="C409" t="s">
        <v>1068</v>
      </c>
      <c r="D409" t="s">
        <v>469</v>
      </c>
      <c r="E409" s="30" t="s">
        <v>15</v>
      </c>
      <c r="F409" s="30" t="s">
        <v>20</v>
      </c>
      <c r="G409" s="30"/>
      <c r="H409" s="30" t="s">
        <v>818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470</v>
      </c>
      <c r="C410" t="s">
        <v>1068</v>
      </c>
      <c r="D410" t="s">
        <v>471</v>
      </c>
      <c r="E410" s="30" t="s">
        <v>15</v>
      </c>
      <c r="F410" s="30" t="s">
        <v>20</v>
      </c>
      <c r="G410" s="30"/>
      <c r="H410" s="30" t="s">
        <v>819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350</v>
      </c>
      <c r="B411" t="s">
        <v>1025</v>
      </c>
      <c r="C411" t="s">
        <v>1068</v>
      </c>
      <c r="D411" t="s">
        <v>472</v>
      </c>
      <c r="E411" s="30" t="s">
        <v>73</v>
      </c>
      <c r="F411" s="30" t="s">
        <v>20</v>
      </c>
      <c r="G411" s="30"/>
      <c r="H411" s="30" t="s">
        <v>1420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350</v>
      </c>
      <c r="B412" t="s">
        <v>1026</v>
      </c>
      <c r="C412" t="s">
        <v>1068</v>
      </c>
      <c r="D412" t="s">
        <v>472</v>
      </c>
      <c r="E412" s="30" t="s">
        <v>73</v>
      </c>
      <c r="F412" s="30" t="s">
        <v>20</v>
      </c>
      <c r="G412" s="30"/>
      <c r="H412" s="30" t="s">
        <v>1421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s="73" customFormat="1" ht="15.75" thickBot="1" x14ac:dyDescent="0.3">
      <c r="A413" s="73" t="s">
        <v>455</v>
      </c>
      <c r="B413" s="73" t="s">
        <v>473</v>
      </c>
      <c r="C413" s="73" t="s">
        <v>1068</v>
      </c>
      <c r="D413" s="73" t="s">
        <v>474</v>
      </c>
      <c r="E413" s="85" t="s">
        <v>15</v>
      </c>
      <c r="F413" s="85" t="s">
        <v>1307</v>
      </c>
      <c r="G413" s="85"/>
      <c r="H413" s="85" t="s">
        <v>825</v>
      </c>
      <c r="I413" s="147">
        <f t="shared" si="19"/>
        <v>28</v>
      </c>
      <c r="J413" s="147">
        <f t="shared" si="20"/>
        <v>0</v>
      </c>
      <c r="K413" s="148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90"/>
    </row>
    <row r="414" spans="1:41" s="73" customFormat="1" ht="15.75" thickBot="1" x14ac:dyDescent="0.3">
      <c r="A414" s="73" t="s">
        <v>455</v>
      </c>
      <c r="B414" s="73" t="s">
        <v>1035</v>
      </c>
      <c r="C414" s="73" t="s">
        <v>1068</v>
      </c>
      <c r="D414" s="73" t="s">
        <v>463</v>
      </c>
      <c r="E414" s="85" t="s">
        <v>73</v>
      </c>
      <c r="F414" s="85" t="s">
        <v>1307</v>
      </c>
      <c r="G414" s="85"/>
      <c r="H414" s="85" t="s">
        <v>826</v>
      </c>
      <c r="I414" s="147">
        <f t="shared" si="19"/>
        <v>28</v>
      </c>
      <c r="J414" s="147">
        <f t="shared" si="20"/>
        <v>0</v>
      </c>
      <c r="K414" s="148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90"/>
    </row>
    <row r="415" spans="1:41" s="73" customFormat="1" ht="15.75" thickBot="1" x14ac:dyDescent="0.3">
      <c r="A415" s="73" t="s">
        <v>455</v>
      </c>
      <c r="B415" s="73" t="s">
        <v>1036</v>
      </c>
      <c r="C415" s="73" t="s">
        <v>1068</v>
      </c>
      <c r="D415" s="73" t="s">
        <v>463</v>
      </c>
      <c r="E415" s="85" t="s">
        <v>73</v>
      </c>
      <c r="F415" s="85" t="s">
        <v>1307</v>
      </c>
      <c r="G415" s="85"/>
      <c r="H415" s="85" t="s">
        <v>827</v>
      </c>
      <c r="I415" s="147">
        <f t="shared" si="19"/>
        <v>28</v>
      </c>
      <c r="J415" s="147">
        <f t="shared" si="20"/>
        <v>0</v>
      </c>
      <c r="K415" s="148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90"/>
    </row>
    <row r="416" spans="1:41" ht="15.75" thickBot="1" x14ac:dyDescent="0.3">
      <c r="A416" t="s">
        <v>455</v>
      </c>
      <c r="B416" t="s">
        <v>1027</v>
      </c>
      <c r="C416" t="s">
        <v>1068</v>
      </c>
      <c r="D416" t="s">
        <v>475</v>
      </c>
      <c r="E416" s="30" t="s">
        <v>73</v>
      </c>
      <c r="F416" s="30" t="s">
        <v>28</v>
      </c>
      <c r="G416" s="30"/>
      <c r="H416" s="30" t="s">
        <v>828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1028</v>
      </c>
      <c r="C417" t="s">
        <v>1068</v>
      </c>
      <c r="D417" t="s">
        <v>475</v>
      </c>
      <c r="E417" s="30" t="s">
        <v>73</v>
      </c>
      <c r="F417" s="30" t="s">
        <v>28</v>
      </c>
      <c r="G417" s="30"/>
      <c r="H417" s="30" t="s">
        <v>829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s="30" t="s">
        <v>1294</v>
      </c>
      <c r="C418" t="s">
        <v>1068</v>
      </c>
      <c r="D418" s="68" t="s">
        <v>1293</v>
      </c>
      <c r="E418" s="30" t="s">
        <v>73</v>
      </c>
      <c r="F418" s="30" t="s">
        <v>28</v>
      </c>
      <c r="G418" s="30"/>
      <c r="H418" s="30" t="s">
        <v>1295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1292</v>
      </c>
      <c r="C419" t="s">
        <v>1068</v>
      </c>
      <c r="D419" s="68" t="s">
        <v>1293</v>
      </c>
      <c r="E419" s="30" t="s">
        <v>73</v>
      </c>
      <c r="F419" s="30" t="s">
        <v>28</v>
      </c>
      <c r="G419" s="30"/>
      <c r="H419" s="30" t="s">
        <v>1296</v>
      </c>
      <c r="I419" s="31">
        <f t="shared" si="19"/>
        <v>27</v>
      </c>
      <c r="J419" s="31">
        <f t="shared" si="20"/>
        <v>1</v>
      </c>
      <c r="K419" s="32">
        <f t="shared" si="21"/>
        <v>0.9642857142857143</v>
      </c>
      <c r="L419" s="70" t="s">
        <v>1527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s="73" customFormat="1" ht="15.75" thickBot="1" x14ac:dyDescent="0.3">
      <c r="A420" s="73" t="s">
        <v>1616</v>
      </c>
      <c r="B420" s="73" t="s">
        <v>1617</v>
      </c>
      <c r="C420" s="73" t="s">
        <v>1068</v>
      </c>
      <c r="D420" s="151" t="s">
        <v>1618</v>
      </c>
      <c r="E420" s="85" t="s">
        <v>15</v>
      </c>
      <c r="F420" s="85" t="s">
        <v>1307</v>
      </c>
      <c r="G420" s="85"/>
      <c r="H420" s="85" t="s">
        <v>1619</v>
      </c>
      <c r="I420" s="147"/>
      <c r="J420" s="147"/>
      <c r="K420" s="148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90"/>
    </row>
    <row r="421" spans="1:41" s="73" customFormat="1" ht="15.75" thickBot="1" x14ac:dyDescent="0.3">
      <c r="A421" s="73" t="s">
        <v>1622</v>
      </c>
      <c r="B421" s="73" t="s">
        <v>1621</v>
      </c>
      <c r="C421" s="73" t="s">
        <v>1068</v>
      </c>
      <c r="D421" s="151" t="s">
        <v>1623</v>
      </c>
      <c r="E421" s="85" t="s">
        <v>73</v>
      </c>
      <c r="F421" s="85" t="s">
        <v>1307</v>
      </c>
      <c r="G421" s="85"/>
      <c r="H421" s="85" t="s">
        <v>1624</v>
      </c>
      <c r="I421" s="147"/>
      <c r="J421" s="147"/>
      <c r="K421" s="148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90"/>
    </row>
    <row r="422" spans="1:41" s="73" customFormat="1" ht="15.75" thickBot="1" x14ac:dyDescent="0.3">
      <c r="A422" s="73" t="s">
        <v>359</v>
      </c>
      <c r="B422" s="73" t="s">
        <v>476</v>
      </c>
      <c r="C422" s="73" t="s">
        <v>1068</v>
      </c>
      <c r="D422" s="73" t="s">
        <v>477</v>
      </c>
      <c r="E422" s="85" t="s">
        <v>73</v>
      </c>
      <c r="F422" s="85" t="s">
        <v>1307</v>
      </c>
      <c r="G422" s="85"/>
      <c r="H422" s="85" t="s">
        <v>830</v>
      </c>
      <c r="I422" s="147">
        <f t="shared" si="19"/>
        <v>28</v>
      </c>
      <c r="J422" s="147">
        <f t="shared" si="20"/>
        <v>0</v>
      </c>
      <c r="K422" s="148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359</v>
      </c>
      <c r="B423" s="73" t="s">
        <v>478</v>
      </c>
      <c r="C423" s="73" t="s">
        <v>1068</v>
      </c>
      <c r="D423" s="73" t="s">
        <v>477</v>
      </c>
      <c r="E423" s="85" t="s">
        <v>73</v>
      </c>
      <c r="F423" s="85" t="s">
        <v>1307</v>
      </c>
      <c r="G423" s="85"/>
      <c r="H423" s="85" t="s">
        <v>831</v>
      </c>
      <c r="I423" s="147">
        <f t="shared" si="19"/>
        <v>28</v>
      </c>
      <c r="J423" s="147">
        <f t="shared" si="20"/>
        <v>0</v>
      </c>
      <c r="K423" s="148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359</v>
      </c>
      <c r="B424" s="85" t="s">
        <v>1110</v>
      </c>
      <c r="C424" s="85" t="s">
        <v>1068</v>
      </c>
      <c r="D424" s="73" t="s">
        <v>1109</v>
      </c>
      <c r="E424" s="85" t="s">
        <v>15</v>
      </c>
      <c r="F424" s="85" t="s">
        <v>1307</v>
      </c>
      <c r="G424" s="85"/>
      <c r="H424" s="85" t="s">
        <v>1111</v>
      </c>
      <c r="I424" s="147">
        <f t="shared" si="19"/>
        <v>27</v>
      </c>
      <c r="J424" s="147">
        <f t="shared" si="20"/>
        <v>1</v>
      </c>
      <c r="K424" s="148">
        <f t="shared" si="21"/>
        <v>0.9642857142857143</v>
      </c>
      <c r="L424" s="70" t="s">
        <v>1527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264</v>
      </c>
      <c r="B425" t="s">
        <v>1037</v>
      </c>
      <c r="C425" t="s">
        <v>1067</v>
      </c>
      <c r="D425" t="s">
        <v>496</v>
      </c>
      <c r="E425" s="30" t="s">
        <v>19</v>
      </c>
      <c r="F425" s="30" t="s">
        <v>1061</v>
      </c>
      <c r="G425" s="30" t="s">
        <v>1263</v>
      </c>
      <c r="H425" s="30" t="s">
        <v>840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479</v>
      </c>
      <c r="B426" t="s">
        <v>480</v>
      </c>
      <c r="C426" t="s">
        <v>1067</v>
      </c>
      <c r="D426" t="s">
        <v>1626</v>
      </c>
      <c r="E426" s="30" t="s">
        <v>19</v>
      </c>
      <c r="F426" s="30" t="s">
        <v>1061</v>
      </c>
      <c r="G426" s="30" t="s">
        <v>1263</v>
      </c>
      <c r="H426" s="30" t="s">
        <v>832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479</v>
      </c>
      <c r="B427" t="s">
        <v>481</v>
      </c>
      <c r="C427" t="s">
        <v>1067</v>
      </c>
      <c r="D427" t="s">
        <v>482</v>
      </c>
      <c r="E427" s="30" t="s">
        <v>19</v>
      </c>
      <c r="F427" s="30" t="s">
        <v>28</v>
      </c>
      <c r="G427" s="30"/>
      <c r="H427" s="30" t="s">
        <v>833</v>
      </c>
      <c r="I427" s="31">
        <f t="shared" ref="I427:I494" si="22">COUNTIF(L427:AM427,"")</f>
        <v>28</v>
      </c>
      <c r="J427" s="31">
        <f t="shared" ref="J427:J494" si="23">COUNTIF(L427:AM427,"APAGADO")</f>
        <v>0</v>
      </c>
      <c r="K427" s="32">
        <f t="shared" ref="K427:K494" si="24">(I427)/(J427+I427)</f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483</v>
      </c>
      <c r="B428" t="s">
        <v>484</v>
      </c>
      <c r="C428" t="s">
        <v>1067</v>
      </c>
      <c r="D428" t="s">
        <v>485</v>
      </c>
      <c r="E428" s="30" t="s">
        <v>19</v>
      </c>
      <c r="F428" s="30" t="s">
        <v>28</v>
      </c>
      <c r="G428" s="30"/>
      <c r="H428" s="30" t="s">
        <v>834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ht="15.75" thickBot="1" x14ac:dyDescent="0.3">
      <c r="A429" t="s">
        <v>479</v>
      </c>
      <c r="B429" t="s">
        <v>486</v>
      </c>
      <c r="C429" t="s">
        <v>1067</v>
      </c>
      <c r="D429" t="s">
        <v>487</v>
      </c>
      <c r="E429" s="30" t="s">
        <v>15</v>
      </c>
      <c r="F429" s="30" t="s">
        <v>28</v>
      </c>
      <c r="G429" s="30"/>
      <c r="H429" s="30" t="s">
        <v>835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488</v>
      </c>
      <c r="C430" t="s">
        <v>1067</v>
      </c>
      <c r="D430" t="s">
        <v>489</v>
      </c>
      <c r="E430" s="30" t="s">
        <v>19</v>
      </c>
      <c r="F430" s="30" t="s">
        <v>28</v>
      </c>
      <c r="G430" s="30"/>
      <c r="H430" s="30" t="s">
        <v>836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s="73" customFormat="1" ht="15.75" thickBot="1" x14ac:dyDescent="0.3">
      <c r="A431" s="73" t="s">
        <v>479</v>
      </c>
      <c r="B431" s="73" t="s">
        <v>490</v>
      </c>
      <c r="C431" s="73" t="s">
        <v>1067</v>
      </c>
      <c r="D431" s="73" t="s">
        <v>491</v>
      </c>
      <c r="E431" s="85" t="s">
        <v>15</v>
      </c>
      <c r="F431" s="85" t="s">
        <v>1307</v>
      </c>
      <c r="G431" s="85"/>
      <c r="H431" s="85" t="s">
        <v>837</v>
      </c>
      <c r="I431" s="147">
        <f t="shared" si="22"/>
        <v>28</v>
      </c>
      <c r="J431" s="147">
        <f t="shared" si="23"/>
        <v>0</v>
      </c>
      <c r="K431" s="148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479</v>
      </c>
      <c r="B432" s="73" t="s">
        <v>492</v>
      </c>
      <c r="C432" s="73" t="s">
        <v>1067</v>
      </c>
      <c r="D432" s="73" t="s">
        <v>493</v>
      </c>
      <c r="E432" s="85" t="s">
        <v>19</v>
      </c>
      <c r="F432" s="85" t="s">
        <v>1307</v>
      </c>
      <c r="G432" s="85"/>
      <c r="H432" s="85" t="s">
        <v>838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ht="15.75" thickBot="1" x14ac:dyDescent="0.3">
      <c r="A433" t="s">
        <v>479</v>
      </c>
      <c r="B433" t="s">
        <v>494</v>
      </c>
      <c r="C433" t="s">
        <v>1067</v>
      </c>
      <c r="D433" t="s">
        <v>495</v>
      </c>
      <c r="E433" s="30" t="s">
        <v>19</v>
      </c>
      <c r="F433" s="30" t="s">
        <v>1061</v>
      </c>
      <c r="G433" s="30" t="s">
        <v>1264</v>
      </c>
      <c r="H433" s="30" t="s">
        <v>839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s="73" customFormat="1" ht="15.75" thickBot="1" x14ac:dyDescent="0.3">
      <c r="A434" s="73" t="s">
        <v>479</v>
      </c>
      <c r="B434" s="73" t="s">
        <v>1193</v>
      </c>
      <c r="C434" s="73" t="s">
        <v>1067</v>
      </c>
      <c r="D434" s="73" t="s">
        <v>1194</v>
      </c>
      <c r="E434" s="85" t="s">
        <v>1119</v>
      </c>
      <c r="F434" s="85" t="s">
        <v>1307</v>
      </c>
      <c r="G434" s="85"/>
      <c r="H434" s="85" t="s">
        <v>1195</v>
      </c>
      <c r="I434" s="147">
        <f t="shared" si="22"/>
        <v>28</v>
      </c>
      <c r="J434" s="147">
        <f t="shared" si="23"/>
        <v>0</v>
      </c>
      <c r="K434" s="148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s="73" customFormat="1" ht="15.75" thickBot="1" x14ac:dyDescent="0.3">
      <c r="A435" s="73" t="s">
        <v>479</v>
      </c>
      <c r="B435" s="73" t="s">
        <v>1196</v>
      </c>
      <c r="C435" s="73" t="s">
        <v>1067</v>
      </c>
      <c r="D435" s="73" t="s">
        <v>1194</v>
      </c>
      <c r="E435" s="85" t="s">
        <v>1119</v>
      </c>
      <c r="F435" s="85" t="s">
        <v>28</v>
      </c>
      <c r="G435" s="85"/>
      <c r="H435" s="85" t="s">
        <v>1197</v>
      </c>
      <c r="I435" s="88">
        <f t="shared" si="22"/>
        <v>28</v>
      </c>
      <c r="J435" s="88">
        <f t="shared" si="23"/>
        <v>0</v>
      </c>
      <c r="K435" s="89">
        <f t="shared" si="24"/>
        <v>1</v>
      </c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</row>
    <row r="436" spans="1:41" ht="15.75" thickBot="1" x14ac:dyDescent="0.3">
      <c r="A436" t="s">
        <v>479</v>
      </c>
      <c r="B436" t="s">
        <v>1227</v>
      </c>
      <c r="C436" t="s">
        <v>1067</v>
      </c>
      <c r="D436" t="s">
        <v>1243</v>
      </c>
      <c r="E436" t="s">
        <v>73</v>
      </c>
      <c r="F436" t="s">
        <v>28</v>
      </c>
      <c r="G436"/>
      <c r="H436" s="30" t="s">
        <v>1288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1228</v>
      </c>
      <c r="C437" t="s">
        <v>1067</v>
      </c>
      <c r="D437" t="s">
        <v>1243</v>
      </c>
      <c r="E437" t="s">
        <v>73</v>
      </c>
      <c r="F437" t="s">
        <v>28</v>
      </c>
      <c r="G437"/>
      <c r="H437" s="30" t="s">
        <v>1289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479</v>
      </c>
      <c r="B438" t="s">
        <v>1347</v>
      </c>
      <c r="C438" t="s">
        <v>1067</v>
      </c>
      <c r="D438" s="68" t="s">
        <v>1348</v>
      </c>
      <c r="E438"/>
      <c r="F438"/>
      <c r="G438"/>
      <c r="H438" s="30" t="s">
        <v>1171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s="73" customFormat="1" ht="15.75" thickBot="1" x14ac:dyDescent="0.3">
      <c r="A439" s="73" t="s">
        <v>479</v>
      </c>
      <c r="B439" s="73" t="s">
        <v>1359</v>
      </c>
      <c r="C439" s="73" t="s">
        <v>1067</v>
      </c>
      <c r="D439" s="151" t="s">
        <v>1366</v>
      </c>
      <c r="F439" s="73" t="s">
        <v>1307</v>
      </c>
      <c r="H439" s="85" t="s">
        <v>1429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s="73" customFormat="1" ht="15.75" thickBot="1" x14ac:dyDescent="0.3">
      <c r="A440" s="73" t="s">
        <v>479</v>
      </c>
      <c r="B440" s="73" t="s">
        <v>1620</v>
      </c>
      <c r="D440" s="151" t="s">
        <v>1625</v>
      </c>
      <c r="E440" s="73" t="s">
        <v>15</v>
      </c>
      <c r="F440" s="73" t="s">
        <v>1307</v>
      </c>
      <c r="H440" s="85" t="s">
        <v>1627</v>
      </c>
      <c r="I440" s="88"/>
      <c r="J440" s="88"/>
      <c r="K440" s="89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</row>
    <row r="441" spans="1:41" s="73" customFormat="1" ht="15.75" thickBot="1" x14ac:dyDescent="0.3">
      <c r="A441" s="73" t="s">
        <v>229</v>
      </c>
      <c r="B441" s="73" t="s">
        <v>497</v>
      </c>
      <c r="C441" s="73" t="s">
        <v>1068</v>
      </c>
      <c r="D441" s="73" t="s">
        <v>498</v>
      </c>
      <c r="E441" s="85" t="s">
        <v>19</v>
      </c>
      <c r="F441" s="85" t="s">
        <v>1307</v>
      </c>
      <c r="G441" s="85"/>
      <c r="H441" s="85" t="s">
        <v>841</v>
      </c>
      <c r="I441" s="147">
        <f t="shared" si="22"/>
        <v>28</v>
      </c>
      <c r="J441" s="147">
        <f t="shared" si="23"/>
        <v>0</v>
      </c>
      <c r="K441" s="148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ht="15.75" thickBot="1" x14ac:dyDescent="0.3">
      <c r="A442" t="s">
        <v>229</v>
      </c>
      <c r="B442" t="s">
        <v>499</v>
      </c>
      <c r="C442" t="s">
        <v>1068</v>
      </c>
      <c r="D442" t="s">
        <v>500</v>
      </c>
      <c r="E442" s="30" t="s">
        <v>15</v>
      </c>
      <c r="F442" s="30" t="s">
        <v>20</v>
      </c>
      <c r="G442" s="30"/>
      <c r="H442" s="30" t="s">
        <v>842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ht="15.75" thickBot="1" x14ac:dyDescent="0.3">
      <c r="A443" t="s">
        <v>229</v>
      </c>
      <c r="B443" t="s">
        <v>501</v>
      </c>
      <c r="C443" t="s">
        <v>1068</v>
      </c>
      <c r="D443" t="s">
        <v>502</v>
      </c>
      <c r="E443" s="30" t="s">
        <v>73</v>
      </c>
      <c r="F443" s="30" t="s">
        <v>20</v>
      </c>
      <c r="G443" s="30"/>
      <c r="H443" s="30" t="s">
        <v>843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ht="15.75" thickBot="1" x14ac:dyDescent="0.3">
      <c r="A444" t="s">
        <v>229</v>
      </c>
      <c r="B444" t="s">
        <v>503</v>
      </c>
      <c r="C444" t="s">
        <v>1068</v>
      </c>
      <c r="D444" t="s">
        <v>502</v>
      </c>
      <c r="E444" s="30" t="s">
        <v>73</v>
      </c>
      <c r="F444" s="30" t="s">
        <v>20</v>
      </c>
      <c r="G444" s="30"/>
      <c r="H444" s="30" t="s">
        <v>844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</row>
    <row r="445" spans="1:41" ht="15.75" thickBot="1" x14ac:dyDescent="0.3">
      <c r="A445" t="s">
        <v>229</v>
      </c>
      <c r="B445" t="s">
        <v>504</v>
      </c>
      <c r="C445" t="s">
        <v>1068</v>
      </c>
      <c r="D445" t="s">
        <v>505</v>
      </c>
      <c r="E445" s="30" t="s">
        <v>73</v>
      </c>
      <c r="F445" s="30" t="s">
        <v>20</v>
      </c>
      <c r="G445" s="30"/>
      <c r="H445" s="30" t="s">
        <v>845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</row>
    <row r="446" spans="1:41" ht="15.75" thickBot="1" x14ac:dyDescent="0.3">
      <c r="A446" t="s">
        <v>229</v>
      </c>
      <c r="B446" t="s">
        <v>506</v>
      </c>
      <c r="C446" t="s">
        <v>1068</v>
      </c>
      <c r="D446" t="s">
        <v>505</v>
      </c>
      <c r="E446" s="30" t="s">
        <v>73</v>
      </c>
      <c r="F446" s="30" t="s">
        <v>20</v>
      </c>
      <c r="G446" s="30"/>
      <c r="H446" s="30" t="s">
        <v>846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 t="s">
        <v>1527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229</v>
      </c>
      <c r="B447" t="s">
        <v>507</v>
      </c>
      <c r="C447" t="s">
        <v>1068</v>
      </c>
      <c r="D447" t="s">
        <v>508</v>
      </c>
      <c r="E447" s="30" t="s">
        <v>15</v>
      </c>
      <c r="F447" s="30" t="s">
        <v>28</v>
      </c>
      <c r="G447" s="30"/>
      <c r="H447" s="30" t="s">
        <v>847</v>
      </c>
      <c r="I447" s="31">
        <f t="shared" si="22"/>
        <v>27</v>
      </c>
      <c r="J447" s="31">
        <f t="shared" si="23"/>
        <v>1</v>
      </c>
      <c r="K447" s="32">
        <f t="shared" si="24"/>
        <v>0.9642857142857143</v>
      </c>
      <c r="L447" s="70" t="s">
        <v>1527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229</v>
      </c>
      <c r="B448" t="s">
        <v>1038</v>
      </c>
      <c r="C448" t="s">
        <v>1068</v>
      </c>
      <c r="D448" t="s">
        <v>509</v>
      </c>
      <c r="E448" s="30" t="s">
        <v>73</v>
      </c>
      <c r="F448" s="30" t="s">
        <v>28</v>
      </c>
      <c r="G448" s="30"/>
      <c r="H448" s="30" t="s">
        <v>848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ht="15.75" thickBot="1" x14ac:dyDescent="0.3">
      <c r="A449" t="s">
        <v>229</v>
      </c>
      <c r="B449" t="s">
        <v>1039</v>
      </c>
      <c r="C449" t="s">
        <v>1068</v>
      </c>
      <c r="D449" t="s">
        <v>509</v>
      </c>
      <c r="E449" s="30" t="s">
        <v>73</v>
      </c>
      <c r="F449" s="30" t="s">
        <v>28</v>
      </c>
      <c r="G449" s="30"/>
      <c r="H449" s="30" t="s">
        <v>849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510</v>
      </c>
      <c r="C450" t="s">
        <v>1068</v>
      </c>
      <c r="D450" t="s">
        <v>511</v>
      </c>
      <c r="E450" s="30" t="s">
        <v>73</v>
      </c>
      <c r="F450" s="30" t="s">
        <v>28</v>
      </c>
      <c r="G450" s="30"/>
      <c r="H450" s="30" t="s">
        <v>850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512</v>
      </c>
      <c r="C451" t="s">
        <v>1068</v>
      </c>
      <c r="D451" t="s">
        <v>511</v>
      </c>
      <c r="E451" s="30" t="s">
        <v>73</v>
      </c>
      <c r="F451" s="30" t="s">
        <v>28</v>
      </c>
      <c r="G451" s="30"/>
      <c r="H451" s="30" t="s">
        <v>851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s="30" t="s">
        <v>1100</v>
      </c>
      <c r="C452" s="30" t="s">
        <v>1068</v>
      </c>
      <c r="D452" t="s">
        <v>1101</v>
      </c>
      <c r="E452" s="30" t="s">
        <v>19</v>
      </c>
      <c r="F452" s="30" t="s">
        <v>28</v>
      </c>
      <c r="G452" s="30"/>
      <c r="H452" s="30" t="s">
        <v>1102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s="30" t="s">
        <v>1105</v>
      </c>
      <c r="C453" s="30" t="s">
        <v>1068</v>
      </c>
      <c r="D453" t="s">
        <v>1103</v>
      </c>
      <c r="E453" s="30" t="s">
        <v>19</v>
      </c>
      <c r="F453" s="30" t="s">
        <v>28</v>
      </c>
      <c r="G453" s="30"/>
      <c r="H453" s="30" t="s">
        <v>1104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s="30" t="s">
        <v>1106</v>
      </c>
      <c r="C454" s="30" t="s">
        <v>1068</v>
      </c>
      <c r="D454" t="s">
        <v>1107</v>
      </c>
      <c r="E454" s="30" t="s">
        <v>19</v>
      </c>
      <c r="F454" s="30" t="s">
        <v>28</v>
      </c>
      <c r="G454" s="30"/>
      <c r="H454" s="30" t="s">
        <v>1108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518</v>
      </c>
      <c r="B455" t="s">
        <v>526</v>
      </c>
      <c r="C455" t="s">
        <v>1068</v>
      </c>
      <c r="D455" t="s">
        <v>1044</v>
      </c>
      <c r="E455" s="30" t="s">
        <v>19</v>
      </c>
      <c r="F455" s="30" t="s">
        <v>28</v>
      </c>
      <c r="G455" s="30"/>
      <c r="H455" s="30" t="s">
        <v>852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514</v>
      </c>
      <c r="B456" t="s">
        <v>527</v>
      </c>
      <c r="C456" t="s">
        <v>1068</v>
      </c>
      <c r="D456" t="s">
        <v>1096</v>
      </c>
      <c r="E456" s="30" t="s">
        <v>19</v>
      </c>
      <c r="F456" s="30" t="s">
        <v>28</v>
      </c>
      <c r="G456" s="30"/>
      <c r="H456" s="30" t="s">
        <v>853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514</v>
      </c>
      <c r="B457" t="s">
        <v>528</v>
      </c>
      <c r="C457" t="s">
        <v>1068</v>
      </c>
      <c r="D457" t="s">
        <v>529</v>
      </c>
      <c r="E457" s="30" t="s">
        <v>19</v>
      </c>
      <c r="F457" s="30" t="s">
        <v>28</v>
      </c>
      <c r="G457" s="30"/>
      <c r="H457" s="30" t="s">
        <v>854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s="73" t="s">
        <v>514</v>
      </c>
      <c r="B458" s="73" t="s">
        <v>530</v>
      </c>
      <c r="C458" s="73" t="s">
        <v>1068</v>
      </c>
      <c r="D458" s="73" t="s">
        <v>531</v>
      </c>
      <c r="E458" s="85" t="s">
        <v>19</v>
      </c>
      <c r="F458" s="85" t="s">
        <v>28</v>
      </c>
      <c r="G458" s="85"/>
      <c r="H458" s="85" t="s">
        <v>855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s="73" customFormat="1" ht="15.75" thickBot="1" x14ac:dyDescent="0.3">
      <c r="A459" s="73" t="s">
        <v>514</v>
      </c>
      <c r="B459" s="73" t="s">
        <v>532</v>
      </c>
      <c r="C459" s="73" t="s">
        <v>1068</v>
      </c>
      <c r="D459" s="73" t="s">
        <v>533</v>
      </c>
      <c r="E459" s="85" t="s">
        <v>19</v>
      </c>
      <c r="F459" s="85" t="s">
        <v>1307</v>
      </c>
      <c r="G459" s="85"/>
      <c r="H459" s="85" t="s">
        <v>1513</v>
      </c>
      <c r="I459" s="147">
        <f t="shared" si="22"/>
        <v>28</v>
      </c>
      <c r="J459" s="147">
        <f t="shared" si="23"/>
        <v>0</v>
      </c>
      <c r="K459" s="148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90"/>
    </row>
    <row r="460" spans="1:41" ht="15.75" thickBot="1" x14ac:dyDescent="0.3">
      <c r="A460" t="s">
        <v>514</v>
      </c>
      <c r="B460" t="s">
        <v>534</v>
      </c>
      <c r="C460" t="s">
        <v>1068</v>
      </c>
      <c r="D460" t="s">
        <v>1074</v>
      </c>
      <c r="E460" s="30" t="s">
        <v>19</v>
      </c>
      <c r="F460" s="30" t="s">
        <v>28</v>
      </c>
      <c r="G460" s="30"/>
      <c r="H460" s="30" t="s">
        <v>856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514</v>
      </c>
      <c r="B461" t="s">
        <v>535</v>
      </c>
      <c r="C461" t="s">
        <v>1067</v>
      </c>
      <c r="D461" t="s">
        <v>1073</v>
      </c>
      <c r="E461" s="30"/>
      <c r="F461" s="30" t="s">
        <v>28</v>
      </c>
      <c r="G461" s="30"/>
      <c r="H461" s="30" t="s">
        <v>857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s="73" customFormat="1" ht="15.75" thickBot="1" x14ac:dyDescent="0.3">
      <c r="A462" s="73" t="s">
        <v>518</v>
      </c>
      <c r="B462" s="73" t="s">
        <v>536</v>
      </c>
      <c r="C462" s="73" t="s">
        <v>1068</v>
      </c>
      <c r="D462" s="73" t="s">
        <v>537</v>
      </c>
      <c r="E462" s="85" t="s">
        <v>19</v>
      </c>
      <c r="F462" s="85" t="s">
        <v>1307</v>
      </c>
      <c r="G462" s="85"/>
      <c r="H462" s="85" t="s">
        <v>858</v>
      </c>
      <c r="I462" s="147">
        <f t="shared" si="22"/>
        <v>28</v>
      </c>
      <c r="J462" s="147">
        <f t="shared" si="23"/>
        <v>0</v>
      </c>
      <c r="K462" s="148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90"/>
    </row>
    <row r="463" spans="1:41" ht="15.75" thickBot="1" x14ac:dyDescent="0.3">
      <c r="A463" t="s">
        <v>518</v>
      </c>
      <c r="B463" t="s">
        <v>538</v>
      </c>
      <c r="C463" t="s">
        <v>1068</v>
      </c>
      <c r="D463" t="s">
        <v>539</v>
      </c>
      <c r="E463" s="30" t="s">
        <v>19</v>
      </c>
      <c r="F463" s="30" t="s">
        <v>28</v>
      </c>
      <c r="G463" s="30"/>
      <c r="H463" s="30" t="s">
        <v>859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1040</v>
      </c>
      <c r="C464" t="s">
        <v>1068</v>
      </c>
      <c r="D464" t="s">
        <v>540</v>
      </c>
      <c r="E464" s="30" t="s">
        <v>19</v>
      </c>
      <c r="F464" s="30" t="s">
        <v>28</v>
      </c>
      <c r="G464" s="30"/>
      <c r="H464" s="30" t="s">
        <v>860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518</v>
      </c>
      <c r="B465" t="s">
        <v>541</v>
      </c>
      <c r="C465" t="s">
        <v>1068</v>
      </c>
      <c r="D465" t="s">
        <v>542</v>
      </c>
      <c r="E465" s="30" t="s">
        <v>19</v>
      </c>
      <c r="F465" s="30" t="s">
        <v>28</v>
      </c>
      <c r="G465" s="30"/>
      <c r="H465" s="30" t="s">
        <v>861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518</v>
      </c>
      <c r="B466" t="s">
        <v>1045</v>
      </c>
      <c r="C466" t="s">
        <v>1068</v>
      </c>
      <c r="D466" t="s">
        <v>513</v>
      </c>
      <c r="E466" s="30" t="s">
        <v>15</v>
      </c>
      <c r="F466" s="30" t="s">
        <v>1061</v>
      </c>
      <c r="G466" s="30" t="s">
        <v>1265</v>
      </c>
      <c r="H466" s="30" t="s">
        <v>862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514</v>
      </c>
      <c r="B467" t="s">
        <v>1046</v>
      </c>
      <c r="C467" t="s">
        <v>1068</v>
      </c>
      <c r="D467" t="s">
        <v>515</v>
      </c>
      <c r="E467" s="30" t="s">
        <v>19</v>
      </c>
      <c r="F467" s="30" t="s">
        <v>28</v>
      </c>
      <c r="G467" s="30"/>
      <c r="H467" s="30" t="s">
        <v>863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1041</v>
      </c>
      <c r="C468" t="s">
        <v>1068</v>
      </c>
      <c r="D468" t="s">
        <v>543</v>
      </c>
      <c r="E468" s="30" t="s">
        <v>15</v>
      </c>
      <c r="F468" s="30" t="s">
        <v>28</v>
      </c>
      <c r="G468" s="30"/>
      <c r="H468" s="30" t="s">
        <v>864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518</v>
      </c>
      <c r="B469" t="s">
        <v>516</v>
      </c>
      <c r="C469" t="s">
        <v>1068</v>
      </c>
      <c r="D469" t="s">
        <v>517</v>
      </c>
      <c r="E469" s="30" t="s">
        <v>15</v>
      </c>
      <c r="F469" s="30" t="s">
        <v>1061</v>
      </c>
      <c r="G469" s="30" t="s">
        <v>1266</v>
      </c>
      <c r="H469" s="30" t="s">
        <v>865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518</v>
      </c>
      <c r="B470" t="s">
        <v>519</v>
      </c>
      <c r="C470" t="s">
        <v>1068</v>
      </c>
      <c r="D470" t="s">
        <v>520</v>
      </c>
      <c r="E470" s="30" t="s">
        <v>15</v>
      </c>
      <c r="F470" s="30" t="s">
        <v>1061</v>
      </c>
      <c r="G470" s="30" t="s">
        <v>1262</v>
      </c>
      <c r="H470" s="30" t="s">
        <v>866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518</v>
      </c>
      <c r="B471" t="s">
        <v>521</v>
      </c>
      <c r="C471" t="s">
        <v>1068</v>
      </c>
      <c r="D471" t="s">
        <v>1095</v>
      </c>
      <c r="E471" s="30" t="s">
        <v>15</v>
      </c>
      <c r="F471" s="30" t="s">
        <v>1061</v>
      </c>
      <c r="G471" s="30" t="s">
        <v>1267</v>
      </c>
      <c r="H471" s="30" t="s">
        <v>867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514</v>
      </c>
      <c r="B472" t="s">
        <v>1047</v>
      </c>
      <c r="C472" t="s">
        <v>1068</v>
      </c>
      <c r="D472" t="s">
        <v>522</v>
      </c>
      <c r="E472" s="30" t="s">
        <v>15</v>
      </c>
      <c r="F472" s="30" t="s">
        <v>1061</v>
      </c>
      <c r="G472" s="30" t="s">
        <v>1268</v>
      </c>
      <c r="H472" s="30" t="s">
        <v>868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514</v>
      </c>
      <c r="B473" t="s">
        <v>1048</v>
      </c>
      <c r="C473" t="s">
        <v>1068</v>
      </c>
      <c r="D473" t="s">
        <v>523</v>
      </c>
      <c r="E473" s="30" t="s">
        <v>15</v>
      </c>
      <c r="F473" s="30" t="s">
        <v>20</v>
      </c>
      <c r="G473" s="30"/>
      <c r="H473" s="30" t="s">
        <v>869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s="73" customFormat="1" ht="15.75" thickBot="1" x14ac:dyDescent="0.3">
      <c r="A474" s="73" t="s">
        <v>518</v>
      </c>
      <c r="B474" s="73" t="s">
        <v>524</v>
      </c>
      <c r="C474" s="73" t="s">
        <v>1068</v>
      </c>
      <c r="D474" s="73" t="s">
        <v>525</v>
      </c>
      <c r="E474" s="85" t="s">
        <v>46</v>
      </c>
      <c r="F474" s="85" t="s">
        <v>1307</v>
      </c>
      <c r="G474" s="85"/>
      <c r="H474" s="85" t="s">
        <v>1374</v>
      </c>
      <c r="I474" s="147">
        <f t="shared" si="22"/>
        <v>28</v>
      </c>
      <c r="J474" s="147">
        <f t="shared" si="23"/>
        <v>0</v>
      </c>
      <c r="K474" s="148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90"/>
    </row>
    <row r="475" spans="1:41" ht="15.75" thickBot="1" x14ac:dyDescent="0.3">
      <c r="A475" t="s">
        <v>514</v>
      </c>
      <c r="B475" t="s">
        <v>1042</v>
      </c>
      <c r="C475" t="s">
        <v>1068</v>
      </c>
      <c r="D475" t="s">
        <v>544</v>
      </c>
      <c r="E475" s="30" t="s">
        <v>73</v>
      </c>
      <c r="F475" s="30" t="s">
        <v>28</v>
      </c>
      <c r="G475" s="30"/>
      <c r="H475" s="30" t="s">
        <v>870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514</v>
      </c>
      <c r="B476" t="s">
        <v>1043</v>
      </c>
      <c r="C476" t="s">
        <v>1068</v>
      </c>
      <c r="D476" t="s">
        <v>544</v>
      </c>
      <c r="E476" s="30" t="s">
        <v>73</v>
      </c>
      <c r="F476" s="30" t="s">
        <v>28</v>
      </c>
      <c r="G476" s="30"/>
      <c r="H476" s="30" t="s">
        <v>871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545</v>
      </c>
      <c r="C477" t="s">
        <v>1067</v>
      </c>
      <c r="D477" t="s">
        <v>546</v>
      </c>
      <c r="E477" s="30" t="s">
        <v>73</v>
      </c>
      <c r="F477" s="30" t="s">
        <v>28</v>
      </c>
      <c r="G477" s="30"/>
      <c r="H477" s="30" t="s">
        <v>671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514</v>
      </c>
      <c r="B478" t="s">
        <v>547</v>
      </c>
      <c r="C478" t="s">
        <v>1067</v>
      </c>
      <c r="D478" t="s">
        <v>546</v>
      </c>
      <c r="E478" s="30" t="s">
        <v>73</v>
      </c>
      <c r="F478" s="30" t="s">
        <v>28</v>
      </c>
      <c r="G478" s="30"/>
      <c r="H478" s="30" t="s">
        <v>872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2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1150</v>
      </c>
      <c r="C479" t="s">
        <v>1068</v>
      </c>
      <c r="D479" t="s">
        <v>1152</v>
      </c>
      <c r="E479" s="30" t="s">
        <v>73</v>
      </c>
      <c r="F479" s="30" t="s">
        <v>28</v>
      </c>
      <c r="G479" s="30"/>
      <c r="H479" s="30" t="s">
        <v>1153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1151</v>
      </c>
      <c r="C480" t="s">
        <v>1068</v>
      </c>
      <c r="D480" t="s">
        <v>1152</v>
      </c>
      <c r="E480" s="30" t="s">
        <v>1119</v>
      </c>
      <c r="F480" s="30" t="s">
        <v>28</v>
      </c>
      <c r="G480" s="30"/>
      <c r="H480" s="30" t="s">
        <v>1154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85" t="s">
        <v>1213</v>
      </c>
      <c r="C481" s="85" t="s">
        <v>1068</v>
      </c>
      <c r="D481" s="73" t="s">
        <v>1209</v>
      </c>
      <c r="E481" s="85" t="s">
        <v>15</v>
      </c>
      <c r="F481" s="85" t="s">
        <v>1307</v>
      </c>
      <c r="G481" s="85"/>
      <c r="H481" s="85" t="s">
        <v>1210</v>
      </c>
      <c r="I481" s="147">
        <f t="shared" si="22"/>
        <v>28</v>
      </c>
      <c r="J481" s="147">
        <f t="shared" si="23"/>
        <v>0</v>
      </c>
      <c r="K481" s="148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518</v>
      </c>
      <c r="B482" s="30" t="s">
        <v>1542</v>
      </c>
      <c r="C482" s="30" t="s">
        <v>1068</v>
      </c>
      <c r="D482" t="s">
        <v>1543</v>
      </c>
      <c r="E482" s="30" t="s">
        <v>1119</v>
      </c>
      <c r="F482" s="30" t="s">
        <v>28</v>
      </c>
      <c r="G482" s="30"/>
      <c r="H482" s="30" t="s">
        <v>1544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s="73" customFormat="1" ht="15.75" thickBot="1" x14ac:dyDescent="0.3">
      <c r="A483" s="73" t="s">
        <v>518</v>
      </c>
      <c r="B483" s="85" t="s">
        <v>1595</v>
      </c>
      <c r="C483" s="85" t="s">
        <v>1068</v>
      </c>
      <c r="D483" s="73" t="s">
        <v>1596</v>
      </c>
      <c r="E483" s="85" t="s">
        <v>15</v>
      </c>
      <c r="F483" s="85" t="s">
        <v>1307</v>
      </c>
      <c r="G483" s="85"/>
      <c r="H483" s="85" t="s">
        <v>1597</v>
      </c>
      <c r="I483" s="147"/>
      <c r="J483" s="147"/>
      <c r="K483" s="148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90"/>
    </row>
    <row r="484" spans="1:41" s="73" customFormat="1" ht="15.75" thickBot="1" x14ac:dyDescent="0.3">
      <c r="A484" s="73" t="s">
        <v>518</v>
      </c>
      <c r="B484" s="85" t="s">
        <v>1598</v>
      </c>
      <c r="C484" s="85" t="s">
        <v>1068</v>
      </c>
      <c r="D484" s="73" t="s">
        <v>1599</v>
      </c>
      <c r="E484" s="85" t="s">
        <v>15</v>
      </c>
      <c r="F484" s="85" t="s">
        <v>1307</v>
      </c>
      <c r="G484" s="85"/>
      <c r="H484" s="85" t="s">
        <v>1600</v>
      </c>
      <c r="I484" s="147"/>
      <c r="J484" s="147"/>
      <c r="K484" s="148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90"/>
    </row>
    <row r="485" spans="1:41" ht="15.75" thickBot="1" x14ac:dyDescent="0.3">
      <c r="A485" t="s">
        <v>409</v>
      </c>
      <c r="B485" t="s">
        <v>1049</v>
      </c>
      <c r="C485" t="s">
        <v>1067</v>
      </c>
      <c r="D485" t="s">
        <v>550</v>
      </c>
      <c r="E485" s="30" t="s">
        <v>19</v>
      </c>
      <c r="F485" s="30" t="s">
        <v>28</v>
      </c>
      <c r="G485" s="30"/>
      <c r="H485" s="30" t="s">
        <v>875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294</v>
      </c>
      <c r="B486" t="s">
        <v>1050</v>
      </c>
      <c r="C486" t="s">
        <v>1067</v>
      </c>
      <c r="D486" t="s">
        <v>551</v>
      </c>
      <c r="E486" s="30" t="s">
        <v>19</v>
      </c>
      <c r="F486" s="30" t="s">
        <v>28</v>
      </c>
      <c r="G486" s="30"/>
      <c r="H486" s="30" t="s">
        <v>876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409</v>
      </c>
      <c r="B487" t="s">
        <v>552</v>
      </c>
      <c r="C487" t="s">
        <v>1067</v>
      </c>
      <c r="D487" t="s">
        <v>553</v>
      </c>
      <c r="E487" s="30" t="s">
        <v>73</v>
      </c>
      <c r="F487" s="30" t="s">
        <v>28</v>
      </c>
      <c r="G487" s="30"/>
      <c r="H487" s="30" t="s">
        <v>873</v>
      </c>
      <c r="I487" s="31">
        <f t="shared" si="22"/>
        <v>27</v>
      </c>
      <c r="J487" s="31">
        <f t="shared" si="23"/>
        <v>1</v>
      </c>
      <c r="K487" s="32">
        <f t="shared" si="24"/>
        <v>0.9642857142857143</v>
      </c>
      <c r="L487" s="70" t="s">
        <v>1527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ht="15.75" thickBot="1" x14ac:dyDescent="0.3">
      <c r="A488" t="s">
        <v>409</v>
      </c>
      <c r="B488" t="s">
        <v>554</v>
      </c>
      <c r="C488" t="s">
        <v>1067</v>
      </c>
      <c r="D488" t="s">
        <v>553</v>
      </c>
      <c r="E488" s="30" t="s">
        <v>73</v>
      </c>
      <c r="F488" s="30" t="s">
        <v>28</v>
      </c>
      <c r="G488" s="30"/>
      <c r="H488" s="30" t="s">
        <v>874</v>
      </c>
      <c r="I488" s="31">
        <f t="shared" si="22"/>
        <v>27</v>
      </c>
      <c r="J488" s="31">
        <f t="shared" si="23"/>
        <v>1</v>
      </c>
      <c r="K488" s="32">
        <f t="shared" si="24"/>
        <v>0.9642857142857143</v>
      </c>
      <c r="L488" s="70" t="s">
        <v>1527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409</v>
      </c>
      <c r="B489" t="s">
        <v>555</v>
      </c>
      <c r="C489" t="s">
        <v>1067</v>
      </c>
      <c r="D489" t="s">
        <v>556</v>
      </c>
      <c r="E489" s="30" t="s">
        <v>73</v>
      </c>
      <c r="F489" s="30" t="s">
        <v>28</v>
      </c>
      <c r="G489" s="30"/>
      <c r="H489" s="30" t="s">
        <v>877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409</v>
      </c>
      <c r="B490" t="s">
        <v>557</v>
      </c>
      <c r="C490" t="s">
        <v>1067</v>
      </c>
      <c r="D490" t="s">
        <v>556</v>
      </c>
      <c r="E490" s="30" t="s">
        <v>73</v>
      </c>
      <c r="F490" s="30" t="s">
        <v>28</v>
      </c>
      <c r="G490" s="30"/>
      <c r="H490" s="30" t="s">
        <v>878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s="92" customFormat="1" ht="15.75" thickBot="1" x14ac:dyDescent="0.3">
      <c r="A491" s="73" t="s">
        <v>409</v>
      </c>
      <c r="B491" s="73" t="s">
        <v>548</v>
      </c>
      <c r="C491" s="92" t="s">
        <v>1067</v>
      </c>
      <c r="D491" s="73" t="s">
        <v>549</v>
      </c>
      <c r="E491" s="93" t="s">
        <v>19</v>
      </c>
      <c r="F491" s="85" t="s">
        <v>28</v>
      </c>
      <c r="G491" s="85"/>
      <c r="H491" s="85" t="s">
        <v>879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s="92" customFormat="1" ht="15.75" thickBot="1" x14ac:dyDescent="0.3">
      <c r="A492" s="73" t="s">
        <v>409</v>
      </c>
      <c r="B492" s="73" t="s">
        <v>558</v>
      </c>
      <c r="C492" s="92" t="s">
        <v>1067</v>
      </c>
      <c r="D492" s="73" t="s">
        <v>559</v>
      </c>
      <c r="E492" s="93" t="s">
        <v>15</v>
      </c>
      <c r="F492" s="85" t="s">
        <v>28</v>
      </c>
      <c r="G492" s="85"/>
      <c r="H492" s="85" t="s">
        <v>1515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s="73" customFormat="1" ht="15.75" thickBot="1" x14ac:dyDescent="0.3">
      <c r="A493" s="73" t="s">
        <v>483</v>
      </c>
      <c r="B493" s="73" t="s">
        <v>1351</v>
      </c>
      <c r="C493" s="85" t="s">
        <v>1067</v>
      </c>
      <c r="D493" s="73" t="s">
        <v>1352</v>
      </c>
      <c r="E493" s="85"/>
      <c r="F493" s="85" t="s">
        <v>1307</v>
      </c>
      <c r="G493" s="85"/>
      <c r="H493" s="85" t="s">
        <v>1358</v>
      </c>
      <c r="I493" s="147">
        <f t="shared" si="22"/>
        <v>28</v>
      </c>
      <c r="J493" s="147">
        <f t="shared" si="23"/>
        <v>0</v>
      </c>
      <c r="K493" s="148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90"/>
    </row>
    <row r="494" spans="1:41" ht="15.75" thickBot="1" x14ac:dyDescent="0.3">
      <c r="A494" t="s">
        <v>483</v>
      </c>
      <c r="B494" t="s">
        <v>560</v>
      </c>
      <c r="C494" t="s">
        <v>1067</v>
      </c>
      <c r="D494" t="s">
        <v>561</v>
      </c>
      <c r="E494" s="30" t="s">
        <v>19</v>
      </c>
      <c r="F494" s="30" t="s">
        <v>28</v>
      </c>
      <c r="G494" s="30"/>
      <c r="H494" s="30" t="s">
        <v>880</v>
      </c>
      <c r="I494" s="31">
        <f t="shared" si="22"/>
        <v>28</v>
      </c>
      <c r="J494" s="31">
        <f t="shared" si="23"/>
        <v>0</v>
      </c>
      <c r="K494" s="32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s="73" customFormat="1" ht="15.75" thickBot="1" x14ac:dyDescent="0.3">
      <c r="A495" s="73" t="s">
        <v>483</v>
      </c>
      <c r="B495" s="73" t="s">
        <v>562</v>
      </c>
      <c r="C495" s="73" t="s">
        <v>1067</v>
      </c>
      <c r="D495" s="73" t="s">
        <v>563</v>
      </c>
      <c r="E495" s="85" t="s">
        <v>19</v>
      </c>
      <c r="F495" s="85" t="s">
        <v>1307</v>
      </c>
      <c r="G495" s="85"/>
      <c r="H495" s="85" t="s">
        <v>1377</v>
      </c>
      <c r="I495" s="147">
        <f t="shared" ref="I495:I531" si="25">COUNTIF(L495:AM495,"")</f>
        <v>28</v>
      </c>
      <c r="J495" s="147">
        <f t="shared" ref="J495:J531" si="26">COUNTIF(L495:AM495,"APAGADO")</f>
        <v>0</v>
      </c>
      <c r="K495" s="148">
        <f t="shared" ref="K495:K531" si="27">(I495)/(J495+I495)</f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90"/>
    </row>
    <row r="496" spans="1:41" s="73" customFormat="1" ht="15.75" thickBot="1" x14ac:dyDescent="0.3">
      <c r="A496" s="73" t="s">
        <v>483</v>
      </c>
      <c r="B496" s="73" t="s">
        <v>564</v>
      </c>
      <c r="C496" s="73" t="s">
        <v>1067</v>
      </c>
      <c r="D496" s="73" t="s">
        <v>565</v>
      </c>
      <c r="E496" s="85" t="s">
        <v>19</v>
      </c>
      <c r="F496" s="85" t="s">
        <v>1307</v>
      </c>
      <c r="G496" s="85"/>
      <c r="H496" s="85" t="s">
        <v>1435</v>
      </c>
      <c r="I496" s="147">
        <f t="shared" si="25"/>
        <v>27</v>
      </c>
      <c r="J496" s="147">
        <f t="shared" si="26"/>
        <v>1</v>
      </c>
      <c r="K496" s="148">
        <f t="shared" si="27"/>
        <v>0.9642857142857143</v>
      </c>
      <c r="L496" s="70" t="s">
        <v>1527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ht="15.75" thickBot="1" x14ac:dyDescent="0.3">
      <c r="A497" t="s">
        <v>483</v>
      </c>
      <c r="B497" t="s">
        <v>566</v>
      </c>
      <c r="C497" t="s">
        <v>1067</v>
      </c>
      <c r="D497" t="s">
        <v>567</v>
      </c>
      <c r="E497" s="30" t="s">
        <v>19</v>
      </c>
      <c r="F497" s="30" t="s">
        <v>1061</v>
      </c>
      <c r="G497" s="30" t="s">
        <v>1269</v>
      </c>
      <c r="H497" s="30" t="s">
        <v>881</v>
      </c>
      <c r="I497" s="31">
        <f t="shared" si="25"/>
        <v>27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 t="s">
        <v>1368</v>
      </c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73" customFormat="1" ht="15.75" thickBot="1" x14ac:dyDescent="0.3">
      <c r="A498" s="73" t="s">
        <v>479</v>
      </c>
      <c r="B498" s="73" t="s">
        <v>568</v>
      </c>
      <c r="C498" s="73" t="s">
        <v>1067</v>
      </c>
      <c r="D498" s="73" t="s">
        <v>569</v>
      </c>
      <c r="E498" s="85" t="s">
        <v>19</v>
      </c>
      <c r="F498" s="85" t="s">
        <v>1307</v>
      </c>
      <c r="G498" s="85"/>
      <c r="H498" s="85" t="s">
        <v>1514</v>
      </c>
      <c r="I498" s="147">
        <f t="shared" si="25"/>
        <v>27</v>
      </c>
      <c r="J498" s="147">
        <f t="shared" si="26"/>
        <v>1</v>
      </c>
      <c r="K498" s="148">
        <f t="shared" si="27"/>
        <v>0.9642857142857143</v>
      </c>
      <c r="L498" s="70" t="s">
        <v>1527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90"/>
    </row>
    <row r="499" spans="1:41" ht="15.75" thickBot="1" x14ac:dyDescent="0.3">
      <c r="A499" t="s">
        <v>479</v>
      </c>
      <c r="B499" t="s">
        <v>1318</v>
      </c>
      <c r="C499" t="s">
        <v>1067</v>
      </c>
      <c r="D499" t="s">
        <v>1319</v>
      </c>
      <c r="E499" s="30" t="s">
        <v>73</v>
      </c>
      <c r="F499" s="30" t="s">
        <v>28</v>
      </c>
      <c r="G499" s="30"/>
      <c r="H499" s="30" t="s">
        <v>1337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570</v>
      </c>
      <c r="B500" s="73" t="s">
        <v>571</v>
      </c>
      <c r="C500" s="73" t="s">
        <v>1068</v>
      </c>
      <c r="D500" s="73" t="s">
        <v>572</v>
      </c>
      <c r="E500" s="85" t="s">
        <v>15</v>
      </c>
      <c r="F500" s="85" t="s">
        <v>1307</v>
      </c>
      <c r="G500" s="85"/>
      <c r="H500" s="85" t="s">
        <v>882</v>
      </c>
      <c r="I500" s="147">
        <f t="shared" si="25"/>
        <v>28</v>
      </c>
      <c r="J500" s="147">
        <f t="shared" si="26"/>
        <v>0</v>
      </c>
      <c r="K500" s="148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s="73" customFormat="1" ht="15.75" thickBot="1" x14ac:dyDescent="0.3">
      <c r="A501" s="73" t="s">
        <v>570</v>
      </c>
      <c r="B501" s="73" t="s">
        <v>1470</v>
      </c>
      <c r="C501" s="73" t="s">
        <v>1068</v>
      </c>
      <c r="D501" s="73" t="s">
        <v>573</v>
      </c>
      <c r="E501" s="85" t="s">
        <v>15</v>
      </c>
      <c r="F501" s="85" t="s">
        <v>1307</v>
      </c>
      <c r="G501" s="85"/>
      <c r="H501" s="85" t="s">
        <v>883</v>
      </c>
      <c r="I501" s="147">
        <f t="shared" si="25"/>
        <v>28</v>
      </c>
      <c r="J501" s="147">
        <f t="shared" si="26"/>
        <v>0</v>
      </c>
      <c r="K501" s="148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90"/>
    </row>
    <row r="502" spans="1:41" s="73" customFormat="1" ht="15.75" thickBot="1" x14ac:dyDescent="0.3">
      <c r="A502" s="73" t="s">
        <v>570</v>
      </c>
      <c r="B502" s="73" t="s">
        <v>1051</v>
      </c>
      <c r="C502" s="73" t="s">
        <v>1068</v>
      </c>
      <c r="D502" s="73" t="s">
        <v>574</v>
      </c>
      <c r="E502" s="85" t="s">
        <v>73</v>
      </c>
      <c r="F502" s="85" t="s">
        <v>1307</v>
      </c>
      <c r="G502" s="85"/>
      <c r="H502" s="85" t="s">
        <v>884</v>
      </c>
      <c r="I502" s="147">
        <f t="shared" si="25"/>
        <v>28</v>
      </c>
      <c r="J502" s="147">
        <f t="shared" si="26"/>
        <v>0</v>
      </c>
      <c r="K502" s="148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570</v>
      </c>
      <c r="B503" s="73" t="s">
        <v>1052</v>
      </c>
      <c r="C503" s="73" t="s">
        <v>1068</v>
      </c>
      <c r="D503" s="73" t="s">
        <v>574</v>
      </c>
      <c r="E503" s="85" t="s">
        <v>73</v>
      </c>
      <c r="F503" s="85" t="s">
        <v>1307</v>
      </c>
      <c r="G503" s="85"/>
      <c r="H503" s="85" t="s">
        <v>885</v>
      </c>
      <c r="I503" s="147">
        <f t="shared" si="25"/>
        <v>28</v>
      </c>
      <c r="J503" s="147">
        <f t="shared" si="26"/>
        <v>0</v>
      </c>
      <c r="K503" s="148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575</v>
      </c>
      <c r="B504" t="s">
        <v>1053</v>
      </c>
      <c r="C504" t="s">
        <v>1068</v>
      </c>
      <c r="D504" t="s">
        <v>576</v>
      </c>
      <c r="E504" s="30" t="s">
        <v>73</v>
      </c>
      <c r="F504" s="30" t="s">
        <v>28</v>
      </c>
      <c r="G504" s="30"/>
      <c r="H504" s="30" t="s">
        <v>886</v>
      </c>
      <c r="I504" s="31">
        <f t="shared" si="25"/>
        <v>27</v>
      </c>
      <c r="J504" s="31">
        <f t="shared" si="26"/>
        <v>1</v>
      </c>
      <c r="K504" s="32">
        <f t="shared" si="27"/>
        <v>0.9642857142857143</v>
      </c>
      <c r="L504" s="70" t="s">
        <v>1527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ht="15.75" thickBot="1" x14ac:dyDescent="0.3">
      <c r="A505" t="s">
        <v>575</v>
      </c>
      <c r="B505" t="s">
        <v>1054</v>
      </c>
      <c r="C505" t="s">
        <v>1068</v>
      </c>
      <c r="D505" t="s">
        <v>577</v>
      </c>
      <c r="E505" s="30" t="s">
        <v>15</v>
      </c>
      <c r="F505" s="30" t="s">
        <v>28</v>
      </c>
      <c r="G505" s="30"/>
      <c r="H505" s="30" t="s">
        <v>887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ht="15.75" thickBot="1" x14ac:dyDescent="0.3">
      <c r="A506" t="s">
        <v>575</v>
      </c>
      <c r="B506" t="s">
        <v>578</v>
      </c>
      <c r="C506" t="s">
        <v>1068</v>
      </c>
      <c r="D506" t="s">
        <v>579</v>
      </c>
      <c r="E506" s="30" t="s">
        <v>73</v>
      </c>
      <c r="F506" s="30" t="s">
        <v>28</v>
      </c>
      <c r="G506" s="30"/>
      <c r="H506" s="30" t="s">
        <v>888</v>
      </c>
      <c r="I506" s="31">
        <f t="shared" si="25"/>
        <v>27</v>
      </c>
      <c r="J506" s="31">
        <f t="shared" si="26"/>
        <v>1</v>
      </c>
      <c r="K506" s="32">
        <f t="shared" si="27"/>
        <v>0.9642857142857143</v>
      </c>
      <c r="L506" s="70" t="s">
        <v>1527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ht="15.75" thickBot="1" x14ac:dyDescent="0.3">
      <c r="A507" t="s">
        <v>575</v>
      </c>
      <c r="B507" t="s">
        <v>580</v>
      </c>
      <c r="C507" t="s">
        <v>1068</v>
      </c>
      <c r="D507" t="s">
        <v>581</v>
      </c>
      <c r="E507" s="30" t="s">
        <v>15</v>
      </c>
      <c r="F507" s="30" t="s">
        <v>28</v>
      </c>
      <c r="G507" s="30"/>
      <c r="H507" s="30" t="s">
        <v>889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575</v>
      </c>
      <c r="B508" s="73" t="s">
        <v>582</v>
      </c>
      <c r="C508" s="73" t="s">
        <v>1068</v>
      </c>
      <c r="D508" s="73" t="s">
        <v>583</v>
      </c>
      <c r="E508" s="85" t="s">
        <v>15</v>
      </c>
      <c r="F508" s="85" t="s">
        <v>1307</v>
      </c>
      <c r="G508" s="85"/>
      <c r="H508" s="85" t="s">
        <v>890</v>
      </c>
      <c r="I508" s="147">
        <f t="shared" si="25"/>
        <v>28</v>
      </c>
      <c r="J508" s="147">
        <f t="shared" si="26"/>
        <v>0</v>
      </c>
      <c r="K508" s="148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ht="15.75" thickBot="1" x14ac:dyDescent="0.3">
      <c r="A509" t="s">
        <v>175</v>
      </c>
      <c r="B509" t="s">
        <v>584</v>
      </c>
      <c r="C509" t="s">
        <v>1068</v>
      </c>
      <c r="D509" t="s">
        <v>1097</v>
      </c>
      <c r="E509" s="30" t="s">
        <v>19</v>
      </c>
      <c r="F509" s="30" t="s">
        <v>20</v>
      </c>
      <c r="G509" s="30"/>
      <c r="H509" s="30" t="s">
        <v>1405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</row>
    <row r="510" spans="1:41" ht="15.75" thickBot="1" x14ac:dyDescent="0.3">
      <c r="A510" t="s">
        <v>175</v>
      </c>
      <c r="B510" t="s">
        <v>1055</v>
      </c>
      <c r="C510" t="s">
        <v>1068</v>
      </c>
      <c r="D510" t="s">
        <v>1098</v>
      </c>
      <c r="E510" s="30" t="s">
        <v>73</v>
      </c>
      <c r="F510" s="30" t="s">
        <v>28</v>
      </c>
      <c r="G510" s="30"/>
      <c r="H510" s="30" t="s">
        <v>891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ht="15.75" thickBot="1" x14ac:dyDescent="0.3">
      <c r="A511" t="s">
        <v>175</v>
      </c>
      <c r="B511" t="s">
        <v>1056</v>
      </c>
      <c r="C511" t="s">
        <v>1068</v>
      </c>
      <c r="D511" t="s">
        <v>1098</v>
      </c>
      <c r="E511" s="30" t="s">
        <v>73</v>
      </c>
      <c r="F511" s="30" t="s">
        <v>28</v>
      </c>
      <c r="G511" s="30"/>
      <c r="H511" s="30" t="s">
        <v>892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175</v>
      </c>
      <c r="B512" t="s">
        <v>1057</v>
      </c>
      <c r="C512" t="s">
        <v>1068</v>
      </c>
      <c r="D512" t="s">
        <v>1112</v>
      </c>
      <c r="E512" s="30" t="s">
        <v>15</v>
      </c>
      <c r="F512" s="30" t="s">
        <v>28</v>
      </c>
      <c r="G512" s="30"/>
      <c r="H512" s="30" t="s">
        <v>893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175</v>
      </c>
      <c r="B513" t="s">
        <v>585</v>
      </c>
      <c r="C513" t="s">
        <v>1068</v>
      </c>
      <c r="D513" t="s">
        <v>1099</v>
      </c>
      <c r="E513" s="30" t="s">
        <v>15</v>
      </c>
      <c r="F513" s="30" t="s">
        <v>28</v>
      </c>
      <c r="G513" s="30"/>
      <c r="H513" s="30" t="s">
        <v>1226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586</v>
      </c>
      <c r="B514" t="s">
        <v>587</v>
      </c>
      <c r="C514" t="s">
        <v>1068</v>
      </c>
      <c r="D514" t="s">
        <v>588</v>
      </c>
      <c r="E514" s="30" t="s">
        <v>73</v>
      </c>
      <c r="F514" s="30" t="s">
        <v>28</v>
      </c>
      <c r="G514" s="30"/>
      <c r="H514" s="30" t="s">
        <v>894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ht="15.75" thickBot="1" x14ac:dyDescent="0.3">
      <c r="A515" t="s">
        <v>586</v>
      </c>
      <c r="B515" t="s">
        <v>1058</v>
      </c>
      <c r="C515" t="s">
        <v>1068</v>
      </c>
      <c r="D515" t="s">
        <v>588</v>
      </c>
      <c r="E515" s="30" t="s">
        <v>73</v>
      </c>
      <c r="F515" s="30" t="s">
        <v>28</v>
      </c>
      <c r="G515" s="30"/>
      <c r="H515" s="30" t="s">
        <v>895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</row>
    <row r="516" spans="1:41" ht="15.75" thickBot="1" x14ac:dyDescent="0.3">
      <c r="A516" t="s">
        <v>586</v>
      </c>
      <c r="B516" t="s">
        <v>1059</v>
      </c>
      <c r="C516" t="s">
        <v>1068</v>
      </c>
      <c r="D516" t="s">
        <v>589</v>
      </c>
      <c r="E516" s="30" t="s">
        <v>73</v>
      </c>
      <c r="F516" s="30" t="s">
        <v>28</v>
      </c>
      <c r="G516" s="30"/>
      <c r="H516" s="30" t="s">
        <v>896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586</v>
      </c>
      <c r="B517" t="s">
        <v>590</v>
      </c>
      <c r="C517" t="s">
        <v>1068</v>
      </c>
      <c r="D517" t="s">
        <v>589</v>
      </c>
      <c r="E517" s="30" t="s">
        <v>73</v>
      </c>
      <c r="F517" s="30" t="s">
        <v>28</v>
      </c>
      <c r="G517" s="30"/>
      <c r="H517" s="30" t="s">
        <v>897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s="73" customFormat="1" ht="15.75" thickBot="1" x14ac:dyDescent="0.3">
      <c r="A518" s="73" t="s">
        <v>591</v>
      </c>
      <c r="B518" s="73" t="s">
        <v>592</v>
      </c>
      <c r="C518" s="73" t="s">
        <v>1068</v>
      </c>
      <c r="D518" s="73" t="s">
        <v>593</v>
      </c>
      <c r="E518" s="85" t="s">
        <v>15</v>
      </c>
      <c r="F518" s="85" t="s">
        <v>1307</v>
      </c>
      <c r="G518" s="85"/>
      <c r="H518" s="85" t="s">
        <v>898</v>
      </c>
      <c r="I518" s="147">
        <f t="shared" si="25"/>
        <v>28</v>
      </c>
      <c r="J518" s="147">
        <f t="shared" si="26"/>
        <v>0</v>
      </c>
      <c r="K518" s="148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594</v>
      </c>
      <c r="B519" t="s">
        <v>1060</v>
      </c>
      <c r="C519" t="s">
        <v>1068</v>
      </c>
      <c r="D519" t="s">
        <v>595</v>
      </c>
      <c r="E519" s="30" t="s">
        <v>15</v>
      </c>
      <c r="F519" s="30" t="s">
        <v>20</v>
      </c>
      <c r="G519" s="30"/>
      <c r="H519" s="30" t="s">
        <v>899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594</v>
      </c>
      <c r="B520" t="s">
        <v>596</v>
      </c>
      <c r="C520" t="s">
        <v>1068</v>
      </c>
      <c r="D520" t="s">
        <v>597</v>
      </c>
      <c r="E520" s="30" t="s">
        <v>15</v>
      </c>
      <c r="F520" s="30" t="s">
        <v>20</v>
      </c>
      <c r="G520" s="30"/>
      <c r="H520" s="30" t="s">
        <v>900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594</v>
      </c>
      <c r="B521" t="s">
        <v>598</v>
      </c>
      <c r="C521" t="s">
        <v>1068</v>
      </c>
      <c r="D521" t="s">
        <v>599</v>
      </c>
      <c r="E521" s="30" t="s">
        <v>15</v>
      </c>
      <c r="F521" s="30" t="s">
        <v>20</v>
      </c>
      <c r="G521" s="30"/>
      <c r="H521" s="30" t="s">
        <v>901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594</v>
      </c>
      <c r="B522" s="30" t="s">
        <v>1120</v>
      </c>
      <c r="C522" s="30" t="s">
        <v>1068</v>
      </c>
      <c r="D522" t="s">
        <v>1122</v>
      </c>
      <c r="E522" s="30" t="s">
        <v>1119</v>
      </c>
      <c r="F522" s="30" t="s">
        <v>28</v>
      </c>
      <c r="G522" s="30"/>
      <c r="H522" s="30" t="s">
        <v>1127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594</v>
      </c>
      <c r="B523" s="30" t="s">
        <v>1121</v>
      </c>
      <c r="C523" s="30" t="s">
        <v>1068</v>
      </c>
      <c r="D523" t="s">
        <v>1122</v>
      </c>
      <c r="E523" s="30" t="s">
        <v>1119</v>
      </c>
      <c r="F523" s="30" t="s">
        <v>28</v>
      </c>
      <c r="G523" s="30"/>
      <c r="H523" s="30" t="s">
        <v>1128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594</v>
      </c>
      <c r="B524" s="30" t="s">
        <v>1206</v>
      </c>
      <c r="C524" s="30" t="s">
        <v>1068</v>
      </c>
      <c r="D524" t="s">
        <v>1207</v>
      </c>
      <c r="E524" s="30" t="s">
        <v>15</v>
      </c>
      <c r="F524" s="30" t="s">
        <v>28</v>
      </c>
      <c r="G524" s="30"/>
      <c r="H524" s="30" t="s">
        <v>1208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602</v>
      </c>
      <c r="B525" s="73" t="s">
        <v>603</v>
      </c>
      <c r="C525" s="73" t="s">
        <v>1068</v>
      </c>
      <c r="D525" s="73" t="s">
        <v>604</v>
      </c>
      <c r="E525" s="85" t="s">
        <v>19</v>
      </c>
      <c r="F525" s="85" t="s">
        <v>1307</v>
      </c>
      <c r="G525" s="85"/>
      <c r="H525" s="85" t="s">
        <v>1378</v>
      </c>
      <c r="I525" s="147">
        <f t="shared" si="25"/>
        <v>28</v>
      </c>
      <c r="J525" s="147">
        <f t="shared" si="26"/>
        <v>0</v>
      </c>
      <c r="K525" s="148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s="73" customFormat="1" ht="15.75" thickBot="1" x14ac:dyDescent="0.3">
      <c r="A526" s="73" t="s">
        <v>310</v>
      </c>
      <c r="B526" s="73" t="s">
        <v>605</v>
      </c>
      <c r="C526" s="73" t="s">
        <v>1068</v>
      </c>
      <c r="D526" s="73" t="s">
        <v>606</v>
      </c>
      <c r="E526" s="85" t="s">
        <v>19</v>
      </c>
      <c r="F526" s="85" t="s">
        <v>1307</v>
      </c>
      <c r="G526" s="85"/>
      <c r="H526" s="85" t="s">
        <v>1375</v>
      </c>
      <c r="I526" s="147">
        <f t="shared" si="25"/>
        <v>28</v>
      </c>
      <c r="J526" s="147">
        <f t="shared" si="26"/>
        <v>0</v>
      </c>
      <c r="K526" s="148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90"/>
    </row>
    <row r="527" spans="1:41" s="73" customFormat="1" ht="15.75" thickBot="1" x14ac:dyDescent="0.3">
      <c r="A527" s="73" t="s">
        <v>602</v>
      </c>
      <c r="B527" s="73" t="s">
        <v>607</v>
      </c>
      <c r="C527" s="73" t="s">
        <v>1067</v>
      </c>
      <c r="D527" s="73" t="s">
        <v>608</v>
      </c>
      <c r="E527" s="85" t="s">
        <v>15</v>
      </c>
      <c r="F527" s="85" t="s">
        <v>1307</v>
      </c>
      <c r="G527" s="85"/>
      <c r="H527" s="85" t="s">
        <v>1516</v>
      </c>
      <c r="I527" s="147">
        <f t="shared" si="25"/>
        <v>27</v>
      </c>
      <c r="J527" s="147">
        <f t="shared" si="26"/>
        <v>1</v>
      </c>
      <c r="K527" s="148">
        <f t="shared" si="27"/>
        <v>0.9642857142857143</v>
      </c>
      <c r="L527" s="70" t="s">
        <v>1527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90"/>
    </row>
    <row r="528" spans="1:41" s="73" customFormat="1" ht="15.75" thickBot="1" x14ac:dyDescent="0.3">
      <c r="A528" s="73" t="s">
        <v>602</v>
      </c>
      <c r="B528" s="73" t="s">
        <v>600</v>
      </c>
      <c r="C528" s="73" t="s">
        <v>1067</v>
      </c>
      <c r="D528" s="73" t="s">
        <v>601</v>
      </c>
      <c r="E528" s="85" t="s">
        <v>19</v>
      </c>
      <c r="F528" s="85" t="s">
        <v>1307</v>
      </c>
      <c r="G528" s="85"/>
      <c r="H528" s="85" t="s">
        <v>1436</v>
      </c>
      <c r="I528" s="147">
        <f t="shared" si="25"/>
        <v>27</v>
      </c>
      <c r="J528" s="147">
        <f t="shared" si="26"/>
        <v>1</v>
      </c>
      <c r="K528" s="148">
        <f t="shared" si="27"/>
        <v>0.9642857142857143</v>
      </c>
      <c r="L528" s="70" t="s">
        <v>1527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90"/>
    </row>
    <row r="529" spans="1:41" s="73" customFormat="1" ht="15.75" thickBot="1" x14ac:dyDescent="0.3">
      <c r="A529" s="73" t="s">
        <v>602</v>
      </c>
      <c r="B529" s="73" t="s">
        <v>1454</v>
      </c>
      <c r="C529" s="73" t="s">
        <v>1067</v>
      </c>
      <c r="D529" s="73" t="s">
        <v>1455</v>
      </c>
      <c r="E529" s="85" t="s">
        <v>46</v>
      </c>
      <c r="F529" s="85" t="s">
        <v>1307</v>
      </c>
      <c r="G529" s="85"/>
      <c r="H529" s="85" t="s">
        <v>1460</v>
      </c>
      <c r="I529" s="147">
        <f t="shared" si="25"/>
        <v>28</v>
      </c>
      <c r="J529" s="147">
        <f t="shared" si="26"/>
        <v>0</v>
      </c>
      <c r="K529" s="148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90"/>
    </row>
    <row r="530" spans="1:41" s="73" customFormat="1" ht="15.75" thickBot="1" x14ac:dyDescent="0.3">
      <c r="A530" s="73" t="s">
        <v>602</v>
      </c>
      <c r="B530" s="73" t="s">
        <v>1457</v>
      </c>
      <c r="C530" s="73" t="s">
        <v>1067</v>
      </c>
      <c r="D530" s="73" t="s">
        <v>1456</v>
      </c>
      <c r="E530" s="85" t="s">
        <v>73</v>
      </c>
      <c r="F530" s="85" t="s">
        <v>1307</v>
      </c>
      <c r="G530" s="85"/>
      <c r="H530" s="85" t="s">
        <v>1461</v>
      </c>
      <c r="I530" s="147">
        <f t="shared" si="25"/>
        <v>28</v>
      </c>
      <c r="J530" s="147">
        <f t="shared" si="26"/>
        <v>0</v>
      </c>
      <c r="K530" s="148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90"/>
    </row>
    <row r="531" spans="1:41" s="73" customFormat="1" ht="15.75" thickBot="1" x14ac:dyDescent="0.3">
      <c r="A531" s="73" t="s">
        <v>602</v>
      </c>
      <c r="B531" s="73" t="s">
        <v>1458</v>
      </c>
      <c r="C531" s="73" t="s">
        <v>1067</v>
      </c>
      <c r="D531" s="73" t="s">
        <v>1459</v>
      </c>
      <c r="E531" s="85" t="s">
        <v>73</v>
      </c>
      <c r="F531" s="85" t="s">
        <v>1307</v>
      </c>
      <c r="G531" s="85"/>
      <c r="H531" s="85" t="s">
        <v>1462</v>
      </c>
      <c r="I531" s="147">
        <f t="shared" si="25"/>
        <v>28</v>
      </c>
      <c r="J531" s="147">
        <f t="shared" si="26"/>
        <v>0</v>
      </c>
      <c r="K531" s="148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90"/>
    </row>
    <row r="612" spans="5:40" x14ac:dyDescent="0.25"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</row>
    <row r="613" spans="5:40" x14ac:dyDescent="0.25"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E779" s="30"/>
      <c r="F779" s="30"/>
      <c r="G779" s="30"/>
      <c r="H779" s="30"/>
      <c r="K779" s="13"/>
      <c r="N779" s="70"/>
    </row>
    <row r="780" spans="5:40" x14ac:dyDescent="0.25">
      <c r="E780" s="30"/>
      <c r="F780" s="30"/>
      <c r="G780" s="30"/>
      <c r="H780" s="30"/>
      <c r="K780" s="13"/>
      <c r="N780" s="70"/>
    </row>
    <row r="781" spans="5:40" x14ac:dyDescent="0.25">
      <c r="K781" s="13"/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</sheetData>
  <autoFilter ref="A7:AO611" xr:uid="{00000000-0001-0000-0000-000000000000}"/>
  <sortState xmlns:xlrd2="http://schemas.microsoft.com/office/spreadsheetml/2017/richdata2" ref="A604:AN609">
    <sortCondition ref="B604:B609"/>
  </sortState>
  <phoneticPr fontId="6" type="noConversion"/>
  <conditionalFormatting sqref="C1:C248 D20:D21 D122:D133 D141 D149 D197:D198 D202:D204 D209:D211 D240:D241 D248 C249:D249 C250:C531 D254:D255 D265:D266 D337:D341 D349 C350:D350 D366:D368 D380 D383 D434:D437 D499 C614:C1048576">
    <cfRule type="cellIs" dxfId="119" priority="472" operator="equal">
      <formula>$C$251</formula>
    </cfRule>
  </conditionalFormatting>
  <conditionalFormatting sqref="C1:C248 D20:D21 D149 D202:D204 C249:D249 C250:C531 D254:D255 D265:D266 C350:D350 D366:D368 D380 D383 C614:C1048576 D122:D133 D141 D197:D198 D209:D211 D240:D241 D248 D337:D341 D349 D434:D437 D499">
    <cfRule type="cellIs" dxfId="118" priority="471" operator="equal">
      <formula>$C$267</formula>
    </cfRule>
  </conditionalFormatting>
  <conditionalFormatting sqref="C1:C531 D20:D21 D149 D202 D254:D255 D265:D266 D366:D368 D380 D383 C614:C1048576">
    <cfRule type="cellIs" dxfId="117" priority="17" operator="equal">
      <formula>"IPCOMS"</formula>
    </cfRule>
  </conditionalFormatting>
  <conditionalFormatting sqref="E37:E209 E211:E365 E369:E382 E384:E508 E521:E531 E614:E1048576 E1:E35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84:E531 E37:E209 E211:E365 E369:E382 E614:E1048576 E1:E35">
    <cfRule type="cellIs" dxfId="114" priority="473" operator="equal">
      <formula>$E$10</formula>
    </cfRule>
  </conditionalFormatting>
  <conditionalFormatting sqref="E510">
    <cfRule type="containsText" dxfId="113" priority="418" operator="containsText" text="fija">
      <formula>NOT(ISERROR(SEARCH("fija",E510)))</formula>
    </cfRule>
    <cfRule type="containsText" dxfId="112" priority="419" operator="containsText" text="domo">
      <formula>NOT(ISERROR(SEARCH("domo",E510)))</formula>
    </cfRule>
    <cfRule type="containsText" dxfId="111" priority="420" operator="containsText" text="Radio">
      <formula>NOT(ISERROR(SEARCH("Radio",E510)))</formula>
    </cfRule>
  </conditionalFormatting>
  <conditionalFormatting sqref="E510:E511">
    <cfRule type="containsText" dxfId="110" priority="413" operator="containsText" text="fija">
      <formula>NOT(ISERROR(SEARCH("fija",E510)))</formula>
    </cfRule>
    <cfRule type="containsText" dxfId="109" priority="414" operator="containsText" text="domo">
      <formula>NOT(ISERROR(SEARCH("domo",E510)))</formula>
    </cfRule>
  </conditionalFormatting>
  <conditionalFormatting sqref="E511">
    <cfRule type="containsText" dxfId="108" priority="411" operator="containsText" text="fija">
      <formula>NOT(ISERROR(SEARCH("fija",E511)))</formula>
    </cfRule>
    <cfRule type="containsText" dxfId="107" priority="412" operator="containsText" text="domo">
      <formula>NOT(ISERROR(SEARCH("domo",E511)))</formula>
    </cfRule>
    <cfRule type="containsText" dxfId="106" priority="415" operator="containsText" text="Radio">
      <formula>NOT(ISERROR(SEARCH("Radio",E511)))</formula>
    </cfRule>
  </conditionalFormatting>
  <conditionalFormatting sqref="E514">
    <cfRule type="containsText" dxfId="105" priority="408" operator="containsText" text="fija">
      <formula>NOT(ISERROR(SEARCH("fija",E514)))</formula>
    </cfRule>
    <cfRule type="containsText" dxfId="104" priority="409" operator="containsText" text="domo">
      <formula>NOT(ISERROR(SEARCH("domo",E514)))</formula>
    </cfRule>
    <cfRule type="containsText" dxfId="103" priority="410" operator="containsText" text="Radio">
      <formula>NOT(ISERROR(SEARCH("Radio",E514)))</formula>
    </cfRule>
  </conditionalFormatting>
  <conditionalFormatting sqref="E514:E515">
    <cfRule type="containsText" dxfId="102" priority="403" operator="containsText" text="fija">
      <formula>NOT(ISERROR(SEARCH("fija",E514)))</formula>
    </cfRule>
    <cfRule type="containsText" dxfId="101" priority="404" operator="containsText" text="domo">
      <formula>NOT(ISERROR(SEARCH("domo",E514)))</formula>
    </cfRule>
  </conditionalFormatting>
  <conditionalFormatting sqref="E515 F35:G38 E39:H125 F126:F127 E134:H209 E211:F211 E212:H364 E365:F365 F366:F368 E369:H382 E384:H508 E521:H531 E614:H1048576 E126:E133 H365 G365:G368 F383">
    <cfRule type="containsText" dxfId="100" priority="405" operator="containsText" text="Radio">
      <formula>NOT(ISERROR(SEARCH("Radio",E35)))</formula>
    </cfRule>
  </conditionalFormatting>
  <conditionalFormatting sqref="E515:E516">
    <cfRule type="containsText" dxfId="99" priority="398" operator="containsText" text="fija">
      <formula>NOT(ISERROR(SEARCH("fija",E515)))</formula>
    </cfRule>
    <cfRule type="containsText" dxfId="98" priority="399" operator="containsText" text="domo">
      <formula>NOT(ISERROR(SEARCH("domo",E515)))</formula>
    </cfRule>
  </conditionalFormatting>
  <conditionalFormatting sqref="E516">
    <cfRule type="containsText" dxfId="97" priority="400" operator="containsText" text="Radio">
      <formula>NOT(ISERROR(SEARCH("Radio",E516)))</formula>
    </cfRule>
  </conditionalFormatting>
  <conditionalFormatting sqref="E516:E517">
    <cfRule type="containsText" dxfId="96" priority="393" operator="containsText" text="fija">
      <formula>NOT(ISERROR(SEARCH("fija",E516)))</formula>
    </cfRule>
    <cfRule type="containsText" dxfId="95" priority="394" operator="containsText" text="domo">
      <formula>NOT(ISERROR(SEARCH("domo",E516)))</formula>
    </cfRule>
  </conditionalFormatting>
  <conditionalFormatting sqref="E517">
    <cfRule type="containsText" dxfId="94" priority="391" operator="containsText" text="fija">
      <formula>NOT(ISERROR(SEARCH("fija",E517)))</formula>
    </cfRule>
    <cfRule type="containsText" dxfId="93" priority="392" operator="containsText" text="domo">
      <formula>NOT(ISERROR(SEARCH("domo",E517)))</formula>
    </cfRule>
    <cfRule type="containsText" dxfId="92" priority="395" operator="containsText" text="Radio">
      <formula>NOT(ISERROR(SEARCH("Radio",E517)))</formula>
    </cfRule>
  </conditionalFormatting>
  <conditionalFormatting sqref="E519">
    <cfRule type="containsText" dxfId="91" priority="689" operator="containsText" text="fija">
      <formula>NOT(ISERROR(SEARCH("fija",E519)))</formula>
    </cfRule>
    <cfRule type="containsText" dxfId="90" priority="690" operator="containsText" text="domo">
      <formula>NOT(ISERROR(SEARCH("domo",E519)))</formula>
    </cfRule>
  </conditionalFormatting>
  <conditionalFormatting sqref="E522:E524">
    <cfRule type="containsText" dxfId="89" priority="421" operator="containsText" text="fija">
      <formula>NOT(ISERROR(SEARCH("fija",E522)))</formula>
    </cfRule>
    <cfRule type="containsText" dxfId="88" priority="422" operator="containsText" text="domo">
      <formula>NOT(ISERROR(SEARCH("domo",E522)))</formula>
    </cfRule>
  </conditionalFormatting>
  <conditionalFormatting sqref="E1:H34 E37:E38">
    <cfRule type="containsText" dxfId="87" priority="15" operator="containsText" text="Radio">
      <formula>NOT(ISERROR(SEARCH("Radio",E1)))</formula>
    </cfRule>
  </conditionalFormatting>
  <conditionalFormatting sqref="E519:H519">
    <cfRule type="containsText" dxfId="86" priority="946" operator="containsText" text="Radio">
      <formula>NOT(ISERROR(SEARCH("Radio",E519)))</formula>
    </cfRule>
  </conditionalFormatting>
  <conditionalFormatting sqref="F1:F127 F134:F209 F614:F1048576 F211:F531">
    <cfRule type="cellIs" dxfId="85" priority="19" operator="equal">
      <formula>"GPON"</formula>
    </cfRule>
  </conditionalFormatting>
  <conditionalFormatting sqref="F1:F127 F134:F209 F614:F1048576 F211:F531">
    <cfRule type="cellIs" dxfId="84" priority="18" operator="equal">
      <formula>"GPON"</formula>
    </cfRule>
  </conditionalFormatting>
  <conditionalFormatting sqref="F130">
    <cfRule type="cellIs" dxfId="83" priority="6" operator="equal">
      <formula>"GPON"</formula>
    </cfRule>
    <cfRule type="cellIs" dxfId="82" priority="7" operator="equal">
      <formula>"GPON"</formula>
    </cfRule>
    <cfRule type="containsText" dxfId="81" priority="8" operator="containsText" text="Radio">
      <formula>NOT(ISERROR(SEARCH("Radio",F130)))</formula>
    </cfRule>
    <cfRule type="cellIs" dxfId="80" priority="9" operator="equal">
      <formula>$F$13</formula>
    </cfRule>
    <cfRule type="cellIs" dxfId="79" priority="10" operator="equal">
      <formula>"PTP A FO"</formula>
    </cfRule>
    <cfRule type="cellIs" dxfId="78" priority="11" operator="equal">
      <formula>"PTP A FO"</formula>
    </cfRule>
  </conditionalFormatting>
  <conditionalFormatting sqref="F211">
    <cfRule type="cellIs" dxfId="77" priority="12" operator="equal">
      <formula>$F$13</formula>
    </cfRule>
    <cfRule type="cellIs" dxfId="76" priority="13" operator="equal">
      <formula>"PTP A FO"</formula>
    </cfRule>
    <cfRule type="cellIs" dxfId="75" priority="14" operator="equal">
      <formula>"PTP A FO"</formula>
    </cfRule>
  </conditionalFormatting>
  <conditionalFormatting sqref="F383">
    <cfRule type="containsText" dxfId="74" priority="2" operator="containsText" text="Radio">
      <formula>NOT(ISERROR(SEARCH("Radio",F383)))</formula>
    </cfRule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</conditionalFormatting>
  <conditionalFormatting sqref="F509">
    <cfRule type="containsText" dxfId="70" priority="68" operator="containsText" text="Radio">
      <formula>NOT(ISERROR(SEARCH("Radio",F509)))</formula>
    </cfRule>
    <cfRule type="cellIs" dxfId="69" priority="69" operator="equal">
      <formula>"PTP A FO"</formula>
    </cfRule>
  </conditionalFormatting>
  <conditionalFormatting sqref="F1:G125 F126:F127 F134:G209 F212:G382 F384:G508 F519:G519 F521:G531 F614:G1048576 F383">
    <cfRule type="cellIs" dxfId="68" priority="670" operator="equal">
      <formula>"PTP A FO"</formula>
    </cfRule>
  </conditionalFormatting>
  <conditionalFormatting sqref="F1:G125 F126:F127 F134:G209 F212:G382 F384:G531 F614:G1048576 F383">
    <cfRule type="cellIs" dxfId="67" priority="474" operator="equal">
      <formula>$F$13</formula>
    </cfRule>
    <cfRule type="cellIs" dxfId="66" priority="475" operator="equal">
      <formula>"PTP A FO"</formula>
    </cfRule>
  </conditionalFormatting>
  <conditionalFormatting sqref="K7:K531">
    <cfRule type="cellIs" dxfId="65" priority="905" operator="lessThan">
      <formula>0.8</formula>
    </cfRule>
    <cfRule type="cellIs" dxfId="64" priority="906" operator="greaterThan">
      <formula>0.8</formula>
    </cfRule>
  </conditionalFormatting>
  <conditionalFormatting sqref="L614:AN690 V614:AG1048576">
    <cfRule type="cellIs" dxfId="63" priority="52" operator="equal">
      <formula>"apagado"</formula>
    </cfRule>
  </conditionalFormatting>
  <conditionalFormatting sqref="L614:AN1048576">
    <cfRule type="containsText" dxfId="62" priority="602" operator="containsText" text="Caida">
      <formula>NOT(ISERROR(SEARCH("Caida",L614)))</formula>
    </cfRule>
    <cfRule type="notContainsText" dxfId="61" priority="935" operator="notContains" text="Caida">
      <formula>ISERROR(SEARCH("Caida",L614))</formula>
    </cfRule>
  </conditionalFormatting>
  <conditionalFormatting sqref="L8:AO38 L39:AN85 AO39:AO125 L86:AF86 AH86:AN86 L87:AN124 AB125:AN125 L125:AA133 AB126:AO133 L134:AO209 Y210:Y211 L212:AN316 AO212:AO365 L317:AA317 AC317:AN317 L318:AN365 M366:N366 L366:L368 M367:M368 N367:N369 L369:M369 O369:AO369 L370:AO377 N378:AO382 L378:M383 L384:AO531 AH614:AN1048576">
    <cfRule type="cellIs" dxfId="60" priority="51" operator="equal">
      <formula>"APAGADO"</formula>
    </cfRule>
  </conditionalFormatting>
  <conditionalFormatting sqref="N614:N1133">
    <cfRule type="notContainsText" dxfId="59" priority="231" operator="notContains" text="Caida">
      <formula>ISERROR(SEARCH("Caida",N614))</formula>
    </cfRule>
    <cfRule type="containsText" dxfId="58" priority="232" operator="containsText" text="Caida">
      <formula>NOT(ISERROR(SEARCH("Caida",N614)))</formula>
    </cfRule>
    <cfRule type="cellIs" dxfId="57" priority="233" operator="lessThan">
      <formula>0.8</formula>
    </cfRule>
    <cfRule type="cellIs" dxfId="56" priority="234" operator="greaterThan">
      <formula>0.8</formula>
    </cfRule>
    <cfRule type="cellIs" dxfId="55" priority="257" operator="greaterThan">
      <formula>0.8</formula>
    </cfRule>
    <cfRule type="cellIs" dxfId="54" priority="361" operator="equal">
      <formula>"APAGADO"</formula>
    </cfRule>
  </conditionalFormatting>
  <conditionalFormatting sqref="N614:N1048576">
    <cfRule type="cellIs" dxfId="53" priority="251" operator="equal">
      <formula>$N$16</formula>
    </cfRule>
  </conditionalFormatting>
  <conditionalFormatting sqref="E35">
    <cfRule type="containsText" dxfId="0" priority="1" operator="containsText" text="Radio">
      <formula>NOT(ISERROR(SEARCH("Radio",E35)))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zoomScale="90" zoomScaleNormal="90" workbookViewId="0">
      <selection activeCell="B1" sqref="B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916</v>
      </c>
      <c r="D1" s="109" t="s">
        <v>1472</v>
      </c>
      <c r="E1" s="110" t="s">
        <v>917</v>
      </c>
    </row>
    <row r="2" spans="1:6" ht="15.6" customHeight="1" thickTop="1" x14ac:dyDescent="0.25">
      <c r="A2" s="75"/>
      <c r="B2" s="52" t="s">
        <v>1248</v>
      </c>
      <c r="C2" s="101">
        <f>CANTIDAD_DE_CAMARAS</f>
        <v>524</v>
      </c>
      <c r="D2" s="102"/>
      <c r="E2" s="107"/>
      <c r="F2" s="144">
        <v>45901</v>
      </c>
    </row>
    <row r="3" spans="1:6" ht="15" customHeight="1" x14ac:dyDescent="0.25">
      <c r="A3" s="76" t="s">
        <v>1484</v>
      </c>
      <c r="B3" s="53" t="s">
        <v>6</v>
      </c>
      <c r="C3" s="66">
        <f>'RESUMEN TOTAL'!L3</f>
        <v>69</v>
      </c>
      <c r="D3" s="54"/>
      <c r="E3" s="55">
        <f>C3/C2</f>
        <v>0.1316793893129771</v>
      </c>
      <c r="F3" s="145"/>
    </row>
    <row r="4" spans="1:6" x14ac:dyDescent="0.25">
      <c r="A4" s="76"/>
      <c r="B4" s="53" t="s">
        <v>1249</v>
      </c>
      <c r="C4" s="67">
        <v>7</v>
      </c>
      <c r="D4" s="104">
        <v>62</v>
      </c>
      <c r="E4" s="55">
        <f>D4/C2</f>
        <v>0.1183206106870229</v>
      </c>
      <c r="F4" s="145"/>
    </row>
    <row r="5" spans="1:6" x14ac:dyDescent="0.25">
      <c r="A5" s="76"/>
      <c r="B5" s="53" t="s">
        <v>1250</v>
      </c>
      <c r="C5" s="67">
        <v>6</v>
      </c>
      <c r="D5" s="104">
        <v>56</v>
      </c>
      <c r="E5" s="55">
        <f>D5/C2</f>
        <v>0.10687022900763359</v>
      </c>
      <c r="F5" s="145"/>
    </row>
    <row r="6" spans="1:6" x14ac:dyDescent="0.25">
      <c r="A6" s="98" t="s">
        <v>1484</v>
      </c>
      <c r="B6" s="53" t="s">
        <v>16</v>
      </c>
      <c r="C6" s="95">
        <f>'RESUMEN TOTAL'!L5</f>
        <v>11</v>
      </c>
      <c r="D6" s="104">
        <v>44</v>
      </c>
      <c r="E6" s="55">
        <f>D6/C2</f>
        <v>8.3969465648854963E-2</v>
      </c>
      <c r="F6" s="145"/>
    </row>
    <row r="7" spans="1:6" ht="15.75" thickBot="1" x14ac:dyDescent="0.3">
      <c r="A7" s="96"/>
      <c r="B7" s="56" t="s">
        <v>1471</v>
      </c>
      <c r="C7" s="132">
        <v>9</v>
      </c>
      <c r="D7" s="105">
        <v>35</v>
      </c>
      <c r="E7" s="74">
        <f>D7/C2</f>
        <v>6.6793893129770993E-2</v>
      </c>
      <c r="F7" s="145"/>
    </row>
    <row r="8" spans="1:6" ht="16.5" thickTop="1" thickBot="1" x14ac:dyDescent="0.3">
      <c r="A8" s="96"/>
      <c r="B8" s="112"/>
      <c r="C8" s="111" t="s">
        <v>916</v>
      </c>
      <c r="D8" s="97" t="s">
        <v>1472</v>
      </c>
      <c r="E8" s="103" t="s">
        <v>917</v>
      </c>
      <c r="F8" s="145"/>
    </row>
    <row r="9" spans="1:6" ht="15" customHeight="1" thickTop="1" thickBot="1" x14ac:dyDescent="0.3">
      <c r="A9" s="35" t="s">
        <v>1486</v>
      </c>
      <c r="B9" s="99" t="s">
        <v>1067</v>
      </c>
      <c r="C9" s="100">
        <f>BONOMOcam</f>
        <v>282</v>
      </c>
      <c r="D9" s="116">
        <f>Hoja1!F3</f>
        <v>38</v>
      </c>
      <c r="E9" s="106">
        <f>D9/C9</f>
        <v>0.13475177304964539</v>
      </c>
      <c r="F9" s="145"/>
    </row>
    <row r="10" spans="1:6" ht="15.75" thickBot="1" x14ac:dyDescent="0.3">
      <c r="A10" t="s">
        <v>1486</v>
      </c>
      <c r="B10" s="113" t="s">
        <v>1068</v>
      </c>
      <c r="C10" s="114">
        <f>COSEIDIcam</f>
        <v>241</v>
      </c>
      <c r="D10" s="114">
        <f>Hoja1!F5</f>
        <v>31</v>
      </c>
      <c r="E10" s="115">
        <v>0.12</v>
      </c>
      <c r="F10" s="14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916</v>
      </c>
      <c r="D12" s="109" t="s">
        <v>1472</v>
      </c>
      <c r="E12" s="110" t="s">
        <v>917</v>
      </c>
    </row>
    <row r="13" spans="1:6" ht="15" customHeight="1" thickTop="1" x14ac:dyDescent="0.25">
      <c r="B13" s="52" t="s">
        <v>1248</v>
      </c>
      <c r="C13" s="101">
        <f>CANTIDAD_DE_CAMARAS</f>
        <v>524</v>
      </c>
      <c r="D13" s="102"/>
      <c r="E13" s="107"/>
      <c r="F13" s="144">
        <v>45902</v>
      </c>
    </row>
    <row r="14" spans="1:6" x14ac:dyDescent="0.25">
      <c r="A14" t="s">
        <v>1485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5"/>
    </row>
    <row r="15" spans="1:6" x14ac:dyDescent="0.25">
      <c r="B15" s="53" t="s">
        <v>1249</v>
      </c>
      <c r="C15" s="67">
        <v>0</v>
      </c>
      <c r="D15" s="104">
        <v>0</v>
      </c>
      <c r="E15" s="55">
        <f>D15/C13</f>
        <v>0</v>
      </c>
      <c r="F15" s="145"/>
    </row>
    <row r="16" spans="1:6" x14ac:dyDescent="0.25">
      <c r="B16" s="53" t="s">
        <v>1250</v>
      </c>
      <c r="C16" s="67">
        <v>0</v>
      </c>
      <c r="D16" s="104">
        <f>D15-C16</f>
        <v>0</v>
      </c>
      <c r="E16" s="55">
        <f>D16/C13</f>
        <v>0</v>
      </c>
      <c r="F16" s="145"/>
    </row>
    <row r="17" spans="1:6" x14ac:dyDescent="0.25">
      <c r="A17" t="s">
        <v>1485</v>
      </c>
      <c r="B17" s="53" t="s">
        <v>16</v>
      </c>
      <c r="C17" s="95">
        <f>'RESUMEN TOTAL'!M5</f>
        <v>0</v>
      </c>
      <c r="D17" s="104">
        <f>D16-C17</f>
        <v>0</v>
      </c>
      <c r="E17" s="55">
        <f>D17/C13</f>
        <v>0</v>
      </c>
      <c r="F17" s="145"/>
    </row>
    <row r="18" spans="1:6" ht="15.75" thickBot="1" x14ac:dyDescent="0.3">
      <c r="B18" s="56" t="s">
        <v>1471</v>
      </c>
      <c r="C18" s="132">
        <v>0</v>
      </c>
      <c r="D18" s="105">
        <f>D17-C18</f>
        <v>0</v>
      </c>
      <c r="E18" s="74">
        <f>D18/C13</f>
        <v>0</v>
      </c>
      <c r="F18" s="145"/>
    </row>
    <row r="19" spans="1:6" ht="16.5" thickTop="1" thickBot="1" x14ac:dyDescent="0.3">
      <c r="B19" s="112"/>
      <c r="C19" s="111" t="s">
        <v>916</v>
      </c>
      <c r="D19" s="97" t="s">
        <v>1472</v>
      </c>
      <c r="E19" s="103" t="s">
        <v>917</v>
      </c>
      <c r="F19" s="145"/>
    </row>
    <row r="20" spans="1:6" ht="16.5" thickTop="1" thickBot="1" x14ac:dyDescent="0.3">
      <c r="A20" t="s">
        <v>1487</v>
      </c>
      <c r="B20" s="99" t="s">
        <v>1067</v>
      </c>
      <c r="C20" s="100">
        <f>BONOMOcam</f>
        <v>282</v>
      </c>
      <c r="D20" s="116">
        <f>Hoja1!G3</f>
        <v>0</v>
      </c>
      <c r="E20" s="106">
        <f>D20/C20</f>
        <v>0</v>
      </c>
      <c r="F20" s="145"/>
    </row>
    <row r="21" spans="1:6" ht="15.75" thickBot="1" x14ac:dyDescent="0.3">
      <c r="A21" t="s">
        <v>1487</v>
      </c>
      <c r="B21" s="113" t="s">
        <v>1068</v>
      </c>
      <c r="C21" s="114">
        <f>COSEIDIcam</f>
        <v>241</v>
      </c>
      <c r="D21" s="114">
        <f>Hoja1!G5</f>
        <v>0</v>
      </c>
      <c r="E21" s="115">
        <f>D21/C21</f>
        <v>0</v>
      </c>
      <c r="F21" s="14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916</v>
      </c>
      <c r="D23" s="109" t="s">
        <v>1472</v>
      </c>
      <c r="E23" s="110" t="s">
        <v>917</v>
      </c>
    </row>
    <row r="24" spans="1:6" ht="15.75" thickTop="1" x14ac:dyDescent="0.25">
      <c r="B24" s="52" t="s">
        <v>1248</v>
      </c>
      <c r="C24" s="101">
        <f>CANTIDAD_DE_CAMARAS</f>
        <v>524</v>
      </c>
      <c r="D24" s="102"/>
      <c r="E24" s="107"/>
      <c r="F24" s="144">
        <v>45903</v>
      </c>
    </row>
    <row r="25" spans="1:6" x14ac:dyDescent="0.25">
      <c r="A25" t="s">
        <v>1478</v>
      </c>
      <c r="B25" s="53" t="s">
        <v>6</v>
      </c>
      <c r="C25" s="66">
        <f>'RESUMEN TOTAL'!N3</f>
        <v>0</v>
      </c>
      <c r="D25" s="54"/>
      <c r="E25" s="55">
        <f>C25/C24</f>
        <v>0</v>
      </c>
      <c r="F25" s="145"/>
    </row>
    <row r="26" spans="1:6" x14ac:dyDescent="0.25">
      <c r="B26" s="53" t="s">
        <v>1249</v>
      </c>
      <c r="C26" s="67">
        <v>0</v>
      </c>
      <c r="D26" s="104">
        <f>C25-C26</f>
        <v>0</v>
      </c>
      <c r="E26" s="55">
        <f>D26/C24</f>
        <v>0</v>
      </c>
      <c r="F26" s="145"/>
    </row>
    <row r="27" spans="1:6" x14ac:dyDescent="0.25">
      <c r="B27" s="53" t="s">
        <v>1250</v>
      </c>
      <c r="C27" s="67">
        <v>0</v>
      </c>
      <c r="D27" s="104">
        <f>D26-C27</f>
        <v>0</v>
      </c>
      <c r="E27" s="55">
        <f>D27/C24</f>
        <v>0</v>
      </c>
      <c r="F27" s="145"/>
    </row>
    <row r="28" spans="1:6" x14ac:dyDescent="0.25">
      <c r="A28" t="s">
        <v>1478</v>
      </c>
      <c r="B28" s="53" t="s">
        <v>16</v>
      </c>
      <c r="C28" s="95">
        <f>'RESUMEN TOTAL'!N5</f>
        <v>0</v>
      </c>
      <c r="D28" s="104">
        <f>D27-C28</f>
        <v>0</v>
      </c>
      <c r="E28" s="55">
        <f>D28/C24</f>
        <v>0</v>
      </c>
      <c r="F28" s="145"/>
    </row>
    <row r="29" spans="1:6" ht="15.75" thickBot="1" x14ac:dyDescent="0.3">
      <c r="B29" s="56" t="s">
        <v>1471</v>
      </c>
      <c r="C29" s="132">
        <v>0</v>
      </c>
      <c r="D29" s="105">
        <f>D28-C29</f>
        <v>0</v>
      </c>
      <c r="E29" s="74">
        <f>D29/C24</f>
        <v>0</v>
      </c>
      <c r="F29" s="145"/>
    </row>
    <row r="30" spans="1:6" ht="16.5" thickTop="1" thickBot="1" x14ac:dyDescent="0.3">
      <c r="B30" s="112"/>
      <c r="C30" s="111" t="s">
        <v>916</v>
      </c>
      <c r="D30" s="97" t="s">
        <v>1472</v>
      </c>
      <c r="E30" s="103" t="s">
        <v>917</v>
      </c>
      <c r="F30" s="145"/>
    </row>
    <row r="31" spans="1:6" ht="16.5" thickTop="1" thickBot="1" x14ac:dyDescent="0.3">
      <c r="B31" s="99" t="s">
        <v>1067</v>
      </c>
      <c r="C31" s="100">
        <f>BONOMOcam</f>
        <v>282</v>
      </c>
      <c r="D31" s="116">
        <f>Hoja1!H3</f>
        <v>0</v>
      </c>
      <c r="E31" s="106">
        <f>D31/C31</f>
        <v>0</v>
      </c>
      <c r="F31" s="145"/>
    </row>
    <row r="32" spans="1:6" ht="15.75" thickBot="1" x14ac:dyDescent="0.3">
      <c r="B32" s="113" t="s">
        <v>1068</v>
      </c>
      <c r="C32" s="114">
        <f>COSEIDIcam</f>
        <v>241</v>
      </c>
      <c r="D32" s="114">
        <f>Hoja1!H5</f>
        <v>0</v>
      </c>
      <c r="E32" s="115">
        <f>D32/C32</f>
        <v>0</v>
      </c>
      <c r="F32" s="146"/>
    </row>
    <row r="33" spans="1:6" ht="16.5" thickTop="1" thickBot="1" x14ac:dyDescent="0.3"/>
    <row r="34" spans="1:6" ht="16.5" thickTop="1" thickBot="1" x14ac:dyDescent="0.3">
      <c r="C34" s="108" t="s">
        <v>916</v>
      </c>
      <c r="D34" s="109" t="s">
        <v>1472</v>
      </c>
      <c r="E34" s="110" t="s">
        <v>917</v>
      </c>
    </row>
    <row r="35" spans="1:6" ht="15.75" thickTop="1" x14ac:dyDescent="0.25">
      <c r="B35" s="52" t="s">
        <v>1248</v>
      </c>
      <c r="C35" s="101">
        <f>CANTIDAD_DE_CAMARAS</f>
        <v>524</v>
      </c>
      <c r="D35" s="102"/>
      <c r="E35" s="107"/>
      <c r="F35" s="144">
        <v>45904</v>
      </c>
    </row>
    <row r="36" spans="1:6" x14ac:dyDescent="0.25">
      <c r="A36" t="s">
        <v>1477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45"/>
    </row>
    <row r="37" spans="1:6" x14ac:dyDescent="0.25">
      <c r="B37" s="53" t="s">
        <v>1249</v>
      </c>
      <c r="C37" s="67">
        <v>0</v>
      </c>
      <c r="D37" s="104">
        <v>0</v>
      </c>
      <c r="E37" s="55">
        <f>D37/C35</f>
        <v>0</v>
      </c>
      <c r="F37" s="145"/>
    </row>
    <row r="38" spans="1:6" x14ac:dyDescent="0.25">
      <c r="B38" s="53" t="s">
        <v>1250</v>
      </c>
      <c r="C38" s="67">
        <v>0</v>
      </c>
      <c r="D38" s="104">
        <f>D37-C38</f>
        <v>0</v>
      </c>
      <c r="E38" s="55">
        <f>D38/C35</f>
        <v>0</v>
      </c>
      <c r="F38" s="145"/>
    </row>
    <row r="39" spans="1:6" x14ac:dyDescent="0.25">
      <c r="A39" t="s">
        <v>1477</v>
      </c>
      <c r="B39" s="53" t="s">
        <v>16</v>
      </c>
      <c r="C39" s="95">
        <f>'RESUMEN TOTAL'!O5</f>
        <v>0</v>
      </c>
      <c r="D39" s="104">
        <f>D38-C39</f>
        <v>0</v>
      </c>
      <c r="E39" s="55">
        <f>D39/C35</f>
        <v>0</v>
      </c>
      <c r="F39" s="145"/>
    </row>
    <row r="40" spans="1:6" ht="15.75" thickBot="1" x14ac:dyDescent="0.3">
      <c r="B40" s="56" t="s">
        <v>1471</v>
      </c>
      <c r="C40" s="132">
        <v>0</v>
      </c>
      <c r="D40" s="105">
        <v>0</v>
      </c>
      <c r="E40" s="74">
        <f>D40/C35</f>
        <v>0</v>
      </c>
      <c r="F40" s="145"/>
    </row>
    <row r="41" spans="1:6" ht="16.5" thickTop="1" thickBot="1" x14ac:dyDescent="0.3">
      <c r="B41" s="112"/>
      <c r="C41" s="111" t="s">
        <v>916</v>
      </c>
      <c r="D41" s="97" t="s">
        <v>1472</v>
      </c>
      <c r="E41" s="103" t="s">
        <v>917</v>
      </c>
      <c r="F41" s="145"/>
    </row>
    <row r="42" spans="1:6" ht="16.5" thickTop="1" thickBot="1" x14ac:dyDescent="0.3">
      <c r="B42" s="99" t="s">
        <v>1067</v>
      </c>
      <c r="C42" s="100">
        <f>BONOMOcam</f>
        <v>282</v>
      </c>
      <c r="D42" s="116">
        <f>Hoja1!I3</f>
        <v>0</v>
      </c>
      <c r="E42" s="106">
        <f>D42/C42</f>
        <v>0</v>
      </c>
      <c r="F42" s="145"/>
    </row>
    <row r="43" spans="1:6" ht="15.75" thickBot="1" x14ac:dyDescent="0.3">
      <c r="B43" s="113" t="s">
        <v>1068</v>
      </c>
      <c r="C43" s="114">
        <f>COSEIDIcam</f>
        <v>241</v>
      </c>
      <c r="D43" s="114">
        <f>Hoja1!I5</f>
        <v>0</v>
      </c>
      <c r="E43" s="115">
        <v>0</v>
      </c>
      <c r="F43" s="146"/>
    </row>
    <row r="44" spans="1:6" ht="16.5" thickTop="1" thickBot="1" x14ac:dyDescent="0.3"/>
    <row r="45" spans="1:6" ht="16.5" thickTop="1" thickBot="1" x14ac:dyDescent="0.3">
      <c r="C45" s="108" t="s">
        <v>916</v>
      </c>
      <c r="D45" s="109" t="s">
        <v>1472</v>
      </c>
      <c r="E45" s="110" t="s">
        <v>917</v>
      </c>
    </row>
    <row r="46" spans="1:6" ht="15.75" thickTop="1" x14ac:dyDescent="0.25">
      <c r="B46" s="52" t="s">
        <v>1248</v>
      </c>
      <c r="C46" s="101">
        <f>CANTIDAD_DE_CAMARAS</f>
        <v>524</v>
      </c>
      <c r="D46" s="102"/>
      <c r="E46" s="107"/>
      <c r="F46" s="144">
        <v>45905</v>
      </c>
    </row>
    <row r="47" spans="1:6" x14ac:dyDescent="0.25">
      <c r="A47" t="s">
        <v>1479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5"/>
    </row>
    <row r="48" spans="1:6" x14ac:dyDescent="0.25">
      <c r="B48" s="53" t="s">
        <v>1249</v>
      </c>
      <c r="C48" s="67">
        <v>0</v>
      </c>
      <c r="D48" s="104">
        <f>C47-C48</f>
        <v>0</v>
      </c>
      <c r="E48" s="55">
        <f>D48/C46</f>
        <v>0</v>
      </c>
      <c r="F48" s="145"/>
    </row>
    <row r="49" spans="1:6" x14ac:dyDescent="0.25">
      <c r="B49" s="53" t="s">
        <v>1250</v>
      </c>
      <c r="C49" s="67">
        <v>0</v>
      </c>
      <c r="D49" s="104">
        <f>D48-C49</f>
        <v>0</v>
      </c>
      <c r="E49" s="55">
        <f>D49/C46</f>
        <v>0</v>
      </c>
      <c r="F49" s="145"/>
    </row>
    <row r="50" spans="1:6" x14ac:dyDescent="0.25">
      <c r="A50" t="s">
        <v>1479</v>
      </c>
      <c r="B50" s="53" t="s">
        <v>16</v>
      </c>
      <c r="C50" s="95">
        <f>'RESUMEN TOTAL'!P5</f>
        <v>0</v>
      </c>
      <c r="D50" s="104">
        <f>D49-C50</f>
        <v>0</v>
      </c>
      <c r="E50" s="55">
        <f>D50/C46</f>
        <v>0</v>
      </c>
      <c r="F50" s="145"/>
    </row>
    <row r="51" spans="1:6" ht="15.75" thickBot="1" x14ac:dyDescent="0.3">
      <c r="B51" s="56" t="s">
        <v>1471</v>
      </c>
      <c r="C51" s="132">
        <v>0</v>
      </c>
      <c r="D51" s="105">
        <f>D50-C51</f>
        <v>0</v>
      </c>
      <c r="E51" s="74">
        <f>D51/C46</f>
        <v>0</v>
      </c>
      <c r="F51" s="145"/>
    </row>
    <row r="52" spans="1:6" ht="16.5" thickTop="1" thickBot="1" x14ac:dyDescent="0.3">
      <c r="B52" s="112"/>
      <c r="C52" s="111" t="s">
        <v>916</v>
      </c>
      <c r="D52" s="97" t="s">
        <v>1472</v>
      </c>
      <c r="E52" s="103" t="s">
        <v>917</v>
      </c>
      <c r="F52" s="145"/>
    </row>
    <row r="53" spans="1:6" ht="16.5" thickTop="1" thickBot="1" x14ac:dyDescent="0.3">
      <c r="B53" s="99" t="s">
        <v>1067</v>
      </c>
      <c r="C53" s="100">
        <f>BONOMOcam</f>
        <v>282</v>
      </c>
      <c r="D53" s="116">
        <f>Hoja1!J3</f>
        <v>0</v>
      </c>
      <c r="E53" s="106">
        <v>0</v>
      </c>
      <c r="F53" s="145"/>
    </row>
    <row r="54" spans="1:6" ht="15.75" thickBot="1" x14ac:dyDescent="0.3">
      <c r="B54" s="113" t="s">
        <v>1068</v>
      </c>
      <c r="C54" s="114">
        <f>COSEIDIcam</f>
        <v>241</v>
      </c>
      <c r="D54" s="114">
        <f>Hoja1!J5</f>
        <v>0</v>
      </c>
      <c r="E54" s="115">
        <v>0</v>
      </c>
      <c r="F54" s="146"/>
    </row>
    <row r="55" spans="1:6" ht="16.5" thickTop="1" thickBot="1" x14ac:dyDescent="0.3"/>
    <row r="56" spans="1:6" ht="16.5" thickTop="1" thickBot="1" x14ac:dyDescent="0.3">
      <c r="C56" s="108" t="s">
        <v>916</v>
      </c>
      <c r="D56" s="109" t="s">
        <v>1472</v>
      </c>
      <c r="E56" s="110" t="s">
        <v>917</v>
      </c>
    </row>
    <row r="57" spans="1:6" ht="15.75" thickTop="1" x14ac:dyDescent="0.25">
      <c r="B57" s="52" t="s">
        <v>1248</v>
      </c>
      <c r="C57" s="101">
        <f>CANTIDAD_DE_CAMARAS</f>
        <v>524</v>
      </c>
      <c r="D57" s="102"/>
      <c r="E57" s="107"/>
      <c r="F57" s="144">
        <v>45906</v>
      </c>
    </row>
    <row r="58" spans="1:6" x14ac:dyDescent="0.25">
      <c r="A58" t="s">
        <v>1480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5"/>
    </row>
    <row r="59" spans="1:6" x14ac:dyDescent="0.25">
      <c r="B59" s="53" t="s">
        <v>1249</v>
      </c>
      <c r="C59" s="67">
        <v>0</v>
      </c>
      <c r="D59" s="104">
        <v>0</v>
      </c>
      <c r="E59" s="55">
        <f>D59/C57</f>
        <v>0</v>
      </c>
      <c r="F59" s="145"/>
    </row>
    <row r="60" spans="1:6" x14ac:dyDescent="0.25">
      <c r="B60" s="53" t="s">
        <v>1250</v>
      </c>
      <c r="C60" s="67">
        <v>0</v>
      </c>
      <c r="D60" s="104">
        <v>0</v>
      </c>
      <c r="E60" s="55">
        <f>D60/C57</f>
        <v>0</v>
      </c>
      <c r="F60" s="145"/>
    </row>
    <row r="61" spans="1:6" x14ac:dyDescent="0.25">
      <c r="A61" t="s">
        <v>1480</v>
      </c>
      <c r="B61" s="53" t="s">
        <v>16</v>
      </c>
      <c r="C61" s="95">
        <f>'RESUMEN TOTAL'!Q5</f>
        <v>0</v>
      </c>
      <c r="D61" s="104">
        <v>0</v>
      </c>
      <c r="E61" s="55">
        <f>D61/C57</f>
        <v>0</v>
      </c>
      <c r="F61" s="145"/>
    </row>
    <row r="62" spans="1:6" ht="15.75" thickBot="1" x14ac:dyDescent="0.3">
      <c r="B62" s="56" t="s">
        <v>1471</v>
      </c>
      <c r="C62" s="132">
        <v>0</v>
      </c>
      <c r="D62" s="105">
        <v>0</v>
      </c>
      <c r="E62" s="74">
        <f>D62/C57</f>
        <v>0</v>
      </c>
      <c r="F62" s="145"/>
    </row>
    <row r="63" spans="1:6" ht="16.5" thickTop="1" thickBot="1" x14ac:dyDescent="0.3">
      <c r="B63" s="112"/>
      <c r="C63" s="111" t="s">
        <v>916</v>
      </c>
      <c r="D63" s="97" t="s">
        <v>1472</v>
      </c>
      <c r="E63" s="103" t="s">
        <v>917</v>
      </c>
      <c r="F63" s="145"/>
    </row>
    <row r="64" spans="1:6" ht="16.5" thickTop="1" thickBot="1" x14ac:dyDescent="0.3">
      <c r="B64" s="99" t="s">
        <v>1067</v>
      </c>
      <c r="C64" s="100">
        <f>BONOMOcam</f>
        <v>282</v>
      </c>
      <c r="D64" s="116">
        <f>Hoja1!K3</f>
        <v>0</v>
      </c>
      <c r="E64" s="106">
        <f>D64/C64</f>
        <v>0</v>
      </c>
      <c r="F64" s="145"/>
    </row>
    <row r="65" spans="1:6" ht="15.75" thickBot="1" x14ac:dyDescent="0.3">
      <c r="B65" s="113" t="s">
        <v>1068</v>
      </c>
      <c r="C65" s="114">
        <f>COSEIDIcam</f>
        <v>241</v>
      </c>
      <c r="D65" s="114">
        <f>Hoja1!K5</f>
        <v>0</v>
      </c>
      <c r="E65" s="115">
        <f>D65/C65</f>
        <v>0</v>
      </c>
      <c r="F65" s="146"/>
    </row>
    <row r="66" spans="1:6" ht="16.5" thickTop="1" thickBot="1" x14ac:dyDescent="0.3"/>
    <row r="67" spans="1:6" ht="16.5" thickTop="1" thickBot="1" x14ac:dyDescent="0.3">
      <c r="C67" s="108" t="s">
        <v>916</v>
      </c>
      <c r="D67" s="109" t="s">
        <v>1472</v>
      </c>
      <c r="E67" s="110" t="s">
        <v>917</v>
      </c>
    </row>
    <row r="68" spans="1:6" ht="15.75" thickTop="1" x14ac:dyDescent="0.25">
      <c r="B68" s="52" t="s">
        <v>1248</v>
      </c>
      <c r="C68" s="101">
        <f>CANTIDAD_DE_CAMARAS</f>
        <v>524</v>
      </c>
      <c r="D68" s="102"/>
      <c r="E68" s="107"/>
      <c r="F68" s="144">
        <v>45907</v>
      </c>
    </row>
    <row r="69" spans="1:6" x14ac:dyDescent="0.25">
      <c r="A69" t="s">
        <v>1481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5"/>
    </row>
    <row r="70" spans="1:6" x14ac:dyDescent="0.25">
      <c r="B70" s="53" t="s">
        <v>1249</v>
      </c>
      <c r="C70" s="67">
        <v>0</v>
      </c>
      <c r="D70" s="104">
        <f>C69-C70</f>
        <v>0</v>
      </c>
      <c r="E70" s="55">
        <f>D70/C68</f>
        <v>0</v>
      </c>
      <c r="F70" s="145"/>
    </row>
    <row r="71" spans="1:6" x14ac:dyDescent="0.25">
      <c r="B71" s="53" t="s">
        <v>1250</v>
      </c>
      <c r="C71" s="67">
        <v>0</v>
      </c>
      <c r="D71" s="104">
        <f>D70-C71</f>
        <v>0</v>
      </c>
      <c r="E71" s="55">
        <f>D71/C68</f>
        <v>0</v>
      </c>
      <c r="F71" s="145"/>
    </row>
    <row r="72" spans="1:6" x14ac:dyDescent="0.25">
      <c r="A72" t="s">
        <v>1481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45"/>
    </row>
    <row r="73" spans="1:6" ht="15.75" thickBot="1" x14ac:dyDescent="0.3">
      <c r="B73" s="56" t="s">
        <v>1471</v>
      </c>
      <c r="C73" s="132">
        <v>0</v>
      </c>
      <c r="D73" s="105">
        <f>D72-C73</f>
        <v>0</v>
      </c>
      <c r="E73" s="74">
        <f>D73/C68</f>
        <v>0</v>
      </c>
      <c r="F73" s="145"/>
    </row>
    <row r="74" spans="1:6" ht="16.5" thickTop="1" thickBot="1" x14ac:dyDescent="0.3">
      <c r="B74" s="112"/>
      <c r="C74" s="111" t="s">
        <v>916</v>
      </c>
      <c r="D74" s="97" t="s">
        <v>1472</v>
      </c>
      <c r="E74" s="103" t="s">
        <v>917</v>
      </c>
      <c r="F74" s="145"/>
    </row>
    <row r="75" spans="1:6" ht="16.5" thickTop="1" thickBot="1" x14ac:dyDescent="0.3">
      <c r="B75" s="99" t="s">
        <v>1067</v>
      </c>
      <c r="C75" s="100">
        <f>BONOMOcam</f>
        <v>282</v>
      </c>
      <c r="D75" s="116">
        <f>Hoja1!L3</f>
        <v>0</v>
      </c>
      <c r="E75" s="106">
        <v>0</v>
      </c>
      <c r="F75" s="145"/>
    </row>
    <row r="76" spans="1:6" ht="15.75" thickBot="1" x14ac:dyDescent="0.3">
      <c r="B76" s="113" t="s">
        <v>1068</v>
      </c>
      <c r="C76" s="114">
        <f>COSEIDIcam</f>
        <v>241</v>
      </c>
      <c r="D76" s="114">
        <f>Hoja1!L5</f>
        <v>0</v>
      </c>
      <c r="E76" s="115">
        <f>D76/C76</f>
        <v>0</v>
      </c>
      <c r="F76" s="146"/>
    </row>
    <row r="77" spans="1:6" ht="16.5" thickTop="1" thickBot="1" x14ac:dyDescent="0.3"/>
    <row r="78" spans="1:6" ht="16.5" thickTop="1" thickBot="1" x14ac:dyDescent="0.3">
      <c r="C78" s="108" t="s">
        <v>916</v>
      </c>
      <c r="D78" s="109" t="s">
        <v>1472</v>
      </c>
      <c r="E78" s="110" t="s">
        <v>917</v>
      </c>
    </row>
    <row r="79" spans="1:6" ht="15.75" thickTop="1" x14ac:dyDescent="0.25">
      <c r="B79" s="52" t="s">
        <v>1248</v>
      </c>
      <c r="C79" s="101">
        <f>CANTIDAD_DE_CAMARAS</f>
        <v>524</v>
      </c>
      <c r="D79" s="102"/>
      <c r="E79" s="107"/>
      <c r="F79" s="144">
        <v>45908</v>
      </c>
    </row>
    <row r="80" spans="1:6" x14ac:dyDescent="0.25">
      <c r="A80" t="s">
        <v>1476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5"/>
    </row>
    <row r="81" spans="1:6" x14ac:dyDescent="0.25">
      <c r="B81" s="53" t="s">
        <v>1249</v>
      </c>
      <c r="C81" s="67">
        <v>0</v>
      </c>
      <c r="D81" s="104">
        <f>C80-C81</f>
        <v>0</v>
      </c>
      <c r="E81" s="55">
        <f>D81/C79</f>
        <v>0</v>
      </c>
      <c r="F81" s="145"/>
    </row>
    <row r="82" spans="1:6" x14ac:dyDescent="0.25">
      <c r="B82" s="53" t="s">
        <v>1250</v>
      </c>
      <c r="C82" s="67">
        <v>0</v>
      </c>
      <c r="D82" s="104">
        <f>D81-C82</f>
        <v>0</v>
      </c>
      <c r="E82" s="55">
        <f>D82/C79</f>
        <v>0</v>
      </c>
      <c r="F82" s="145"/>
    </row>
    <row r="83" spans="1:6" x14ac:dyDescent="0.25">
      <c r="A83" t="s">
        <v>1476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45"/>
    </row>
    <row r="84" spans="1:6" ht="15.75" thickBot="1" x14ac:dyDescent="0.3">
      <c r="B84" s="56" t="s">
        <v>1471</v>
      </c>
      <c r="C84" s="132">
        <v>0</v>
      </c>
      <c r="D84" s="105">
        <f>D83-C84</f>
        <v>0</v>
      </c>
      <c r="E84" s="74">
        <f>D84/C79</f>
        <v>0</v>
      </c>
      <c r="F84" s="145"/>
    </row>
    <row r="85" spans="1:6" ht="16.5" thickTop="1" thickBot="1" x14ac:dyDescent="0.3">
      <c r="B85" s="112"/>
      <c r="C85" s="111" t="s">
        <v>916</v>
      </c>
      <c r="D85" s="97" t="s">
        <v>1472</v>
      </c>
      <c r="E85" s="103" t="s">
        <v>917</v>
      </c>
      <c r="F85" s="145"/>
    </row>
    <row r="86" spans="1:6" ht="16.5" thickTop="1" thickBot="1" x14ac:dyDescent="0.3">
      <c r="B86" s="99" t="s">
        <v>1067</v>
      </c>
      <c r="C86" s="100">
        <f>BONOMOcam</f>
        <v>282</v>
      </c>
      <c r="D86" s="116">
        <f>Hoja1!M3</f>
        <v>0</v>
      </c>
      <c r="E86" s="106">
        <v>0</v>
      </c>
      <c r="F86" s="145"/>
    </row>
    <row r="87" spans="1:6" ht="15.75" thickBot="1" x14ac:dyDescent="0.3">
      <c r="B87" s="113" t="s">
        <v>1068</v>
      </c>
      <c r="C87" s="114">
        <f>COSEIDIcam</f>
        <v>241</v>
      </c>
      <c r="D87" s="114">
        <f>Hoja1!M5</f>
        <v>0</v>
      </c>
      <c r="E87" s="115">
        <v>0</v>
      </c>
      <c r="F87" s="146"/>
    </row>
    <row r="88" spans="1:6" ht="16.5" thickTop="1" thickBot="1" x14ac:dyDescent="0.3"/>
    <row r="89" spans="1:6" ht="16.5" thickTop="1" thickBot="1" x14ac:dyDescent="0.3">
      <c r="C89" s="108" t="s">
        <v>916</v>
      </c>
      <c r="D89" s="109" t="s">
        <v>1472</v>
      </c>
      <c r="E89" s="110" t="s">
        <v>917</v>
      </c>
    </row>
    <row r="90" spans="1:6" ht="15.75" thickTop="1" x14ac:dyDescent="0.25">
      <c r="B90" s="52" t="s">
        <v>1248</v>
      </c>
      <c r="C90" s="101">
        <f>CANTIDAD_DE_CAMARAS</f>
        <v>524</v>
      </c>
      <c r="D90" s="102"/>
      <c r="E90" s="107"/>
      <c r="F90" s="144">
        <v>45909</v>
      </c>
    </row>
    <row r="91" spans="1:6" x14ac:dyDescent="0.25">
      <c r="A91" t="s">
        <v>1482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5"/>
    </row>
    <row r="92" spans="1:6" x14ac:dyDescent="0.25">
      <c r="B92" s="53" t="s">
        <v>1249</v>
      </c>
      <c r="C92" s="67">
        <v>0</v>
      </c>
      <c r="D92" s="104">
        <v>0</v>
      </c>
      <c r="E92" s="55">
        <f>D92/C90</f>
        <v>0</v>
      </c>
      <c r="F92" s="145"/>
    </row>
    <row r="93" spans="1:6" x14ac:dyDescent="0.25">
      <c r="B93" s="53" t="s">
        <v>1250</v>
      </c>
      <c r="C93" s="67">
        <v>0</v>
      </c>
      <c r="D93" s="104">
        <f>D92-C93</f>
        <v>0</v>
      </c>
      <c r="E93" s="55">
        <f>D93/C90</f>
        <v>0</v>
      </c>
      <c r="F93" s="145"/>
    </row>
    <row r="94" spans="1:6" x14ac:dyDescent="0.25">
      <c r="A94" t="s">
        <v>1482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45"/>
    </row>
    <row r="95" spans="1:6" ht="15.75" thickBot="1" x14ac:dyDescent="0.3">
      <c r="B95" s="56" t="s">
        <v>1471</v>
      </c>
      <c r="C95" s="132">
        <v>0</v>
      </c>
      <c r="D95" s="105">
        <v>0</v>
      </c>
      <c r="E95" s="74">
        <f>D95/C90</f>
        <v>0</v>
      </c>
      <c r="F95" s="145"/>
    </row>
    <row r="96" spans="1:6" ht="16.5" thickTop="1" thickBot="1" x14ac:dyDescent="0.3">
      <c r="B96" s="112"/>
      <c r="C96" s="111" t="s">
        <v>916</v>
      </c>
      <c r="D96" s="97" t="s">
        <v>1472</v>
      </c>
      <c r="E96" s="103" t="s">
        <v>917</v>
      </c>
      <c r="F96" s="145"/>
    </row>
    <row r="97" spans="1:6" ht="16.5" thickTop="1" thickBot="1" x14ac:dyDescent="0.3">
      <c r="B97" s="99" t="s">
        <v>1067</v>
      </c>
      <c r="C97" s="100">
        <f>BONOMOcam</f>
        <v>282</v>
      </c>
      <c r="D97" s="116">
        <f>Hoja1!N3</f>
        <v>0</v>
      </c>
      <c r="E97" s="106">
        <f>D97/C97</f>
        <v>0</v>
      </c>
      <c r="F97" s="145"/>
    </row>
    <row r="98" spans="1:6" ht="15.75" thickBot="1" x14ac:dyDescent="0.3">
      <c r="B98" s="113" t="s">
        <v>1068</v>
      </c>
      <c r="C98" s="114">
        <f>COSEIDIcam</f>
        <v>241</v>
      </c>
      <c r="D98" s="114">
        <f>Hoja1!N5</f>
        <v>0</v>
      </c>
      <c r="E98" s="115">
        <f>D98/C98</f>
        <v>0</v>
      </c>
      <c r="F98" s="146"/>
    </row>
    <row r="99" spans="1:6" ht="16.5" thickTop="1" thickBot="1" x14ac:dyDescent="0.3"/>
    <row r="100" spans="1:6" ht="16.5" thickTop="1" thickBot="1" x14ac:dyDescent="0.3">
      <c r="C100" s="108" t="s">
        <v>916</v>
      </c>
      <c r="D100" s="109" t="s">
        <v>1472</v>
      </c>
      <c r="E100" s="110" t="s">
        <v>917</v>
      </c>
    </row>
    <row r="101" spans="1:6" ht="15.75" thickTop="1" x14ac:dyDescent="0.25">
      <c r="B101" s="52" t="s">
        <v>1248</v>
      </c>
      <c r="C101" s="101">
        <f>CANTIDAD_DE_CAMARAS</f>
        <v>524</v>
      </c>
      <c r="D101" s="102"/>
      <c r="E101" s="107"/>
      <c r="F101" s="144">
        <v>45910</v>
      </c>
    </row>
    <row r="102" spans="1:6" x14ac:dyDescent="0.25">
      <c r="A102" t="s">
        <v>1483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5"/>
    </row>
    <row r="103" spans="1:6" x14ac:dyDescent="0.25">
      <c r="B103" s="53" t="s">
        <v>1249</v>
      </c>
      <c r="C103" s="67">
        <v>0</v>
      </c>
      <c r="D103" s="104">
        <f>C102-C103</f>
        <v>0</v>
      </c>
      <c r="E103" s="55">
        <f>D103/C101</f>
        <v>0</v>
      </c>
      <c r="F103" s="145"/>
    </row>
    <row r="104" spans="1:6" x14ac:dyDescent="0.25">
      <c r="B104" s="53" t="s">
        <v>1250</v>
      </c>
      <c r="C104" s="67">
        <v>0</v>
      </c>
      <c r="D104" s="104">
        <f>D103-C104</f>
        <v>0</v>
      </c>
      <c r="E104" s="55">
        <f>D104/C101</f>
        <v>0</v>
      </c>
      <c r="F104" s="145"/>
    </row>
    <row r="105" spans="1:6" x14ac:dyDescent="0.25">
      <c r="A105" t="s">
        <v>1483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45"/>
    </row>
    <row r="106" spans="1:6" ht="15.75" thickBot="1" x14ac:dyDescent="0.3">
      <c r="B106" s="56" t="s">
        <v>1471</v>
      </c>
      <c r="C106" s="132">
        <v>0</v>
      </c>
      <c r="D106" s="105">
        <f>D105-C106</f>
        <v>0</v>
      </c>
      <c r="E106" s="74">
        <f>D106/C101</f>
        <v>0</v>
      </c>
      <c r="F106" s="145"/>
    </row>
    <row r="107" spans="1:6" ht="16.5" thickTop="1" thickBot="1" x14ac:dyDescent="0.3">
      <c r="B107" s="112"/>
      <c r="C107" s="111" t="s">
        <v>916</v>
      </c>
      <c r="D107" s="97" t="s">
        <v>1472</v>
      </c>
      <c r="E107" s="103" t="s">
        <v>917</v>
      </c>
      <c r="F107" s="145"/>
    </row>
    <row r="108" spans="1:6" ht="16.5" thickTop="1" thickBot="1" x14ac:dyDescent="0.3">
      <c r="B108" s="99" t="s">
        <v>1067</v>
      </c>
      <c r="C108" s="100">
        <f>BONOMOcam</f>
        <v>282</v>
      </c>
      <c r="D108" s="116">
        <f>Hoja1!O3</f>
        <v>0</v>
      </c>
      <c r="E108" s="106">
        <f>D108/C108</f>
        <v>0</v>
      </c>
      <c r="F108" s="145"/>
    </row>
    <row r="109" spans="1:6" ht="15.75" thickBot="1" x14ac:dyDescent="0.3">
      <c r="B109" s="113" t="s">
        <v>1068</v>
      </c>
      <c r="C109" s="114">
        <f>COSEIDIcam</f>
        <v>241</v>
      </c>
      <c r="D109" s="114">
        <f>Hoja1!O5</f>
        <v>0</v>
      </c>
      <c r="E109" s="115">
        <f>D109/C109</f>
        <v>0</v>
      </c>
      <c r="F109" s="146"/>
    </row>
    <row r="110" spans="1:6" ht="16.5" thickTop="1" thickBot="1" x14ac:dyDescent="0.3"/>
    <row r="111" spans="1:6" ht="16.5" thickTop="1" thickBot="1" x14ac:dyDescent="0.3">
      <c r="C111" s="108" t="s">
        <v>916</v>
      </c>
      <c r="D111" s="109" t="s">
        <v>1472</v>
      </c>
      <c r="E111" s="110" t="s">
        <v>917</v>
      </c>
    </row>
    <row r="112" spans="1:6" ht="15.75" thickTop="1" x14ac:dyDescent="0.25">
      <c r="B112" s="52" t="s">
        <v>1248</v>
      </c>
      <c r="C112" s="101">
        <f>CANTIDAD_DE_CAMARAS</f>
        <v>524</v>
      </c>
      <c r="D112" s="102"/>
      <c r="E112" s="107"/>
      <c r="F112" s="144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5"/>
    </row>
    <row r="114" spans="2:6" x14ac:dyDescent="0.25">
      <c r="B114" s="53" t="s">
        <v>1249</v>
      </c>
      <c r="C114" s="67">
        <v>0</v>
      </c>
      <c r="D114" s="104">
        <f>C113-C114</f>
        <v>0</v>
      </c>
      <c r="E114" s="55">
        <f>D114/C112</f>
        <v>0</v>
      </c>
      <c r="F114" s="145"/>
    </row>
    <row r="115" spans="2:6" x14ac:dyDescent="0.25">
      <c r="B115" s="53" t="s">
        <v>1250</v>
      </c>
      <c r="C115" s="67">
        <v>0</v>
      </c>
      <c r="D115" s="104">
        <v>0</v>
      </c>
      <c r="E115" s="55">
        <f>D115/C112</f>
        <v>0</v>
      </c>
      <c r="F115" s="145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45"/>
    </row>
    <row r="117" spans="2:6" ht="15.75" thickBot="1" x14ac:dyDescent="0.3">
      <c r="B117" s="56" t="s">
        <v>1471</v>
      </c>
      <c r="C117" s="132">
        <v>0</v>
      </c>
      <c r="D117" s="105">
        <v>0</v>
      </c>
      <c r="E117" s="74">
        <f>D117/C112</f>
        <v>0</v>
      </c>
      <c r="F117" s="145"/>
    </row>
    <row r="118" spans="2:6" ht="16.5" thickTop="1" thickBot="1" x14ac:dyDescent="0.3">
      <c r="B118" s="112"/>
      <c r="C118" s="111" t="s">
        <v>916</v>
      </c>
      <c r="D118" s="97" t="s">
        <v>1472</v>
      </c>
      <c r="E118" s="103" t="s">
        <v>917</v>
      </c>
      <c r="F118" s="145"/>
    </row>
    <row r="119" spans="2:6" ht="16.5" thickTop="1" thickBot="1" x14ac:dyDescent="0.3">
      <c r="B119" s="99" t="s">
        <v>1067</v>
      </c>
      <c r="C119" s="100">
        <f>BONOMOcam</f>
        <v>282</v>
      </c>
      <c r="D119" s="116">
        <f>Hoja1!P3</f>
        <v>0</v>
      </c>
      <c r="E119" s="106">
        <f>D119/C119</f>
        <v>0</v>
      </c>
      <c r="F119" s="145"/>
    </row>
    <row r="120" spans="2:6" ht="15.75" thickBot="1" x14ac:dyDescent="0.3">
      <c r="B120" s="113" t="s">
        <v>1068</v>
      </c>
      <c r="C120" s="114">
        <f>COSEIDIcam</f>
        <v>241</v>
      </c>
      <c r="D120" s="114">
        <f>Hoja1!P5</f>
        <v>0</v>
      </c>
      <c r="E120" s="115">
        <f>D120/C120</f>
        <v>0</v>
      </c>
      <c r="F120" s="146"/>
    </row>
    <row r="121" spans="2:6" ht="16.5" thickTop="1" thickBot="1" x14ac:dyDescent="0.3"/>
    <row r="122" spans="2:6" ht="16.5" thickTop="1" thickBot="1" x14ac:dyDescent="0.3">
      <c r="C122" s="108" t="s">
        <v>916</v>
      </c>
      <c r="D122" s="109" t="s">
        <v>1472</v>
      </c>
      <c r="E122" s="110" t="s">
        <v>917</v>
      </c>
    </row>
    <row r="123" spans="2:6" ht="15.75" thickTop="1" x14ac:dyDescent="0.25">
      <c r="B123" s="52" t="s">
        <v>1248</v>
      </c>
      <c r="C123" s="101">
        <f>CANTIDAD_DE_CAMARAS</f>
        <v>524</v>
      </c>
      <c r="D123" s="102"/>
      <c r="E123" s="107"/>
      <c r="F123" s="144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5"/>
    </row>
    <row r="125" spans="2:6" x14ac:dyDescent="0.25">
      <c r="B125" s="53" t="s">
        <v>1249</v>
      </c>
      <c r="C125" s="67">
        <v>0</v>
      </c>
      <c r="D125" s="104">
        <f>C124-C125</f>
        <v>0</v>
      </c>
      <c r="E125" s="55">
        <f>D125/C123</f>
        <v>0</v>
      </c>
      <c r="F125" s="145"/>
    </row>
    <row r="126" spans="2:6" x14ac:dyDescent="0.25">
      <c r="B126" s="53" t="s">
        <v>1250</v>
      </c>
      <c r="C126" s="67">
        <v>0</v>
      </c>
      <c r="D126" s="104">
        <f>D125-C126</f>
        <v>0</v>
      </c>
      <c r="E126" s="55">
        <f>D126/C123</f>
        <v>0</v>
      </c>
      <c r="F126" s="145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45"/>
    </row>
    <row r="128" spans="2:6" ht="15.75" thickBot="1" x14ac:dyDescent="0.3">
      <c r="B128" s="56" t="s">
        <v>1471</v>
      </c>
      <c r="C128" s="132">
        <v>0</v>
      </c>
      <c r="D128" s="105">
        <f>D127-C128</f>
        <v>0</v>
      </c>
      <c r="E128" s="74">
        <f>D128/C123</f>
        <v>0</v>
      </c>
      <c r="F128" s="145"/>
    </row>
    <row r="129" spans="2:6" ht="16.5" thickTop="1" thickBot="1" x14ac:dyDescent="0.3">
      <c r="B129" s="112"/>
      <c r="C129" s="111" t="s">
        <v>916</v>
      </c>
      <c r="D129" s="97" t="s">
        <v>1472</v>
      </c>
      <c r="E129" s="103" t="s">
        <v>917</v>
      </c>
      <c r="F129" s="145"/>
    </row>
    <row r="130" spans="2:6" ht="16.5" thickTop="1" thickBot="1" x14ac:dyDescent="0.3">
      <c r="B130" s="99" t="s">
        <v>1067</v>
      </c>
      <c r="C130" s="100">
        <f>BONOMOcam</f>
        <v>282</v>
      </c>
      <c r="D130" s="116">
        <f>Hoja1!Q3</f>
        <v>0</v>
      </c>
      <c r="E130" s="106">
        <f>D130/C130</f>
        <v>0</v>
      </c>
      <c r="F130" s="145"/>
    </row>
    <row r="131" spans="2:6" ht="15.75" thickBot="1" x14ac:dyDescent="0.3">
      <c r="B131" s="113" t="s">
        <v>1068</v>
      </c>
      <c r="C131" s="114">
        <f>COSEIDIcam</f>
        <v>241</v>
      </c>
      <c r="D131" s="114">
        <f>Hoja1!Q5</f>
        <v>0</v>
      </c>
      <c r="E131" s="115">
        <v>0</v>
      </c>
      <c r="F131" s="146"/>
    </row>
    <row r="132" spans="2:6" ht="16.5" thickTop="1" thickBot="1" x14ac:dyDescent="0.3"/>
    <row r="133" spans="2:6" ht="16.5" thickTop="1" thickBot="1" x14ac:dyDescent="0.3">
      <c r="C133" s="108" t="s">
        <v>916</v>
      </c>
      <c r="D133" s="109" t="s">
        <v>1472</v>
      </c>
      <c r="E133" s="110" t="s">
        <v>917</v>
      </c>
    </row>
    <row r="134" spans="2:6" ht="15.75" thickTop="1" x14ac:dyDescent="0.25">
      <c r="B134" s="52" t="s">
        <v>1248</v>
      </c>
      <c r="C134" s="101">
        <f>CANTIDAD_DE_CAMARAS</f>
        <v>524</v>
      </c>
      <c r="D134" s="102"/>
      <c r="E134" s="107"/>
      <c r="F134" s="144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5"/>
    </row>
    <row r="136" spans="2:6" x14ac:dyDescent="0.25">
      <c r="B136" s="53" t="s">
        <v>1249</v>
      </c>
      <c r="C136" s="67">
        <v>0</v>
      </c>
      <c r="D136" s="104">
        <f>C135-C136</f>
        <v>0</v>
      </c>
      <c r="E136" s="55">
        <f>D136/C134</f>
        <v>0</v>
      </c>
      <c r="F136" s="145"/>
    </row>
    <row r="137" spans="2:6" x14ac:dyDescent="0.25">
      <c r="B137" s="53" t="s">
        <v>1250</v>
      </c>
      <c r="C137" s="67">
        <v>0</v>
      </c>
      <c r="D137" s="104">
        <f>D136-C137</f>
        <v>0</v>
      </c>
      <c r="E137" s="55">
        <f>D137/C134</f>
        <v>0</v>
      </c>
      <c r="F137" s="145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45"/>
    </row>
    <row r="139" spans="2:6" ht="15.75" thickBot="1" x14ac:dyDescent="0.3">
      <c r="B139" s="56" t="s">
        <v>1471</v>
      </c>
      <c r="C139" s="132">
        <v>0</v>
      </c>
      <c r="D139" s="105">
        <v>0</v>
      </c>
      <c r="E139" s="74">
        <f>D139/C134</f>
        <v>0</v>
      </c>
      <c r="F139" s="145"/>
    </row>
    <row r="140" spans="2:6" ht="16.5" thickTop="1" thickBot="1" x14ac:dyDescent="0.3">
      <c r="B140" s="112"/>
      <c r="C140" s="111" t="s">
        <v>916</v>
      </c>
      <c r="D140" s="97" t="s">
        <v>1472</v>
      </c>
      <c r="E140" s="103" t="s">
        <v>917</v>
      </c>
      <c r="F140" s="145"/>
    </row>
    <row r="141" spans="2:6" ht="16.5" thickTop="1" thickBot="1" x14ac:dyDescent="0.3">
      <c r="B141" s="99" t="s">
        <v>1067</v>
      </c>
      <c r="C141" s="100">
        <f>BONOMOcam</f>
        <v>282</v>
      </c>
      <c r="D141" s="116">
        <v>0</v>
      </c>
      <c r="E141" s="106">
        <f>D141/C141</f>
        <v>0</v>
      </c>
      <c r="F141" s="145"/>
    </row>
    <row r="142" spans="2:6" ht="15.75" thickBot="1" x14ac:dyDescent="0.3">
      <c r="B142" s="113" t="s">
        <v>1068</v>
      </c>
      <c r="C142" s="114">
        <f>COSEIDIcam</f>
        <v>241</v>
      </c>
      <c r="D142" s="114">
        <v>0</v>
      </c>
      <c r="E142" s="115">
        <f>D142/C142</f>
        <v>0</v>
      </c>
      <c r="F142" s="146"/>
    </row>
    <row r="143" spans="2:6" ht="16.5" thickTop="1" thickBot="1" x14ac:dyDescent="0.3"/>
    <row r="144" spans="2:6" ht="16.5" thickTop="1" thickBot="1" x14ac:dyDescent="0.3">
      <c r="C144" s="108" t="s">
        <v>916</v>
      </c>
      <c r="D144" s="109" t="s">
        <v>1472</v>
      </c>
      <c r="E144" s="110" t="s">
        <v>917</v>
      </c>
    </row>
    <row r="145" spans="2:6" ht="15.75" thickTop="1" x14ac:dyDescent="0.25">
      <c r="B145" s="52" t="s">
        <v>1248</v>
      </c>
      <c r="C145" s="101">
        <f>CANTIDAD_DE_CAMARAS</f>
        <v>524</v>
      </c>
      <c r="D145" s="102"/>
      <c r="E145" s="107"/>
      <c r="F145" s="144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5"/>
    </row>
    <row r="147" spans="2:6" x14ac:dyDescent="0.25">
      <c r="B147" s="53" t="s">
        <v>1249</v>
      </c>
      <c r="C147" s="67">
        <v>0</v>
      </c>
      <c r="D147" s="104">
        <f>C146-C147</f>
        <v>0</v>
      </c>
      <c r="E147" s="55">
        <f>D147/C145</f>
        <v>0</v>
      </c>
      <c r="F147" s="145"/>
    </row>
    <row r="148" spans="2:6" x14ac:dyDescent="0.25">
      <c r="B148" s="53" t="s">
        <v>1250</v>
      </c>
      <c r="C148" s="67">
        <v>0</v>
      </c>
      <c r="D148" s="104">
        <f>D147-C148</f>
        <v>0</v>
      </c>
      <c r="E148" s="55">
        <f>D148/C145</f>
        <v>0</v>
      </c>
      <c r="F148" s="145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45"/>
    </row>
    <row r="150" spans="2:6" ht="15.75" thickBot="1" x14ac:dyDescent="0.3">
      <c r="B150" s="56" t="s">
        <v>1471</v>
      </c>
      <c r="C150" s="132">
        <v>0</v>
      </c>
      <c r="D150" s="105">
        <f>D149-C150</f>
        <v>0</v>
      </c>
      <c r="E150" s="74">
        <f>D150/C145</f>
        <v>0</v>
      </c>
      <c r="F150" s="145"/>
    </row>
    <row r="151" spans="2:6" ht="16.5" thickTop="1" thickBot="1" x14ac:dyDescent="0.3">
      <c r="B151" s="112"/>
      <c r="C151" s="111" t="s">
        <v>916</v>
      </c>
      <c r="D151" s="97" t="s">
        <v>1472</v>
      </c>
      <c r="E151" s="103" t="s">
        <v>917</v>
      </c>
      <c r="F151" s="145"/>
    </row>
    <row r="152" spans="2:6" ht="16.5" thickTop="1" thickBot="1" x14ac:dyDescent="0.3">
      <c r="B152" s="99" t="s">
        <v>1067</v>
      </c>
      <c r="C152" s="100">
        <f>BONOMOcam</f>
        <v>282</v>
      </c>
      <c r="D152" s="116">
        <v>0</v>
      </c>
      <c r="E152" s="106">
        <f>D152/C152</f>
        <v>0</v>
      </c>
      <c r="F152" s="145"/>
    </row>
    <row r="153" spans="2:6" ht="15.75" thickBot="1" x14ac:dyDescent="0.3">
      <c r="B153" s="113" t="s">
        <v>1068</v>
      </c>
      <c r="C153" s="114">
        <f>COSEIDIcam</f>
        <v>241</v>
      </c>
      <c r="D153" s="114">
        <v>0</v>
      </c>
      <c r="E153" s="115">
        <f>D153/C153</f>
        <v>0</v>
      </c>
      <c r="F153" s="146"/>
    </row>
    <row r="154" spans="2:6" ht="15" customHeight="1" thickTop="1" thickBot="1" x14ac:dyDescent="0.3"/>
    <row r="155" spans="2:6" ht="16.5" thickTop="1" thickBot="1" x14ac:dyDescent="0.3">
      <c r="C155" s="108" t="s">
        <v>916</v>
      </c>
      <c r="D155" s="109" t="s">
        <v>1472</v>
      </c>
      <c r="E155" s="110" t="s">
        <v>917</v>
      </c>
    </row>
    <row r="156" spans="2:6" ht="15.75" thickTop="1" x14ac:dyDescent="0.25">
      <c r="B156" s="52" t="s">
        <v>1248</v>
      </c>
      <c r="C156" s="101">
        <f>CANTIDAD_DE_CAMARAS</f>
        <v>524</v>
      </c>
      <c r="D156" s="102"/>
      <c r="E156" s="107"/>
      <c r="F156" s="144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5"/>
    </row>
    <row r="158" spans="2:6" x14ac:dyDescent="0.25">
      <c r="B158" s="53" t="s">
        <v>1249</v>
      </c>
      <c r="C158" s="67">
        <v>0</v>
      </c>
      <c r="D158" s="104">
        <f>C157-C158</f>
        <v>0</v>
      </c>
      <c r="E158" s="55">
        <f>D158/C156</f>
        <v>0</v>
      </c>
      <c r="F158" s="145"/>
    </row>
    <row r="159" spans="2:6" x14ac:dyDescent="0.25">
      <c r="B159" s="53" t="s">
        <v>1250</v>
      </c>
      <c r="C159" s="67">
        <v>0</v>
      </c>
      <c r="D159" s="104">
        <f>D158-C159</f>
        <v>0</v>
      </c>
      <c r="E159" s="55">
        <f>D159/C156</f>
        <v>0</v>
      </c>
      <c r="F159" s="145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45"/>
    </row>
    <row r="161" spans="2:6" ht="15.75" thickBot="1" x14ac:dyDescent="0.3">
      <c r="B161" s="56" t="s">
        <v>1471</v>
      </c>
      <c r="C161" s="132">
        <v>0</v>
      </c>
      <c r="D161" s="105">
        <f>D160-C161</f>
        <v>0</v>
      </c>
      <c r="E161" s="74">
        <f>D161/C156</f>
        <v>0</v>
      </c>
      <c r="F161" s="145"/>
    </row>
    <row r="162" spans="2:6" ht="16.5" thickTop="1" thickBot="1" x14ac:dyDescent="0.3">
      <c r="B162" s="112"/>
      <c r="C162" s="111" t="s">
        <v>916</v>
      </c>
      <c r="D162" s="97" t="s">
        <v>1472</v>
      </c>
      <c r="E162" s="103" t="s">
        <v>917</v>
      </c>
      <c r="F162" s="145"/>
    </row>
    <row r="163" spans="2:6" ht="16.5" thickTop="1" thickBot="1" x14ac:dyDescent="0.3">
      <c r="B163" s="99" t="s">
        <v>1067</v>
      </c>
      <c r="C163" s="100">
        <f>BONOMOcam</f>
        <v>282</v>
      </c>
      <c r="D163" s="116">
        <f>Hoja1!T3</f>
        <v>0</v>
      </c>
      <c r="E163" s="106">
        <f>D163/C163</f>
        <v>0</v>
      </c>
      <c r="F163" s="145"/>
    </row>
    <row r="164" spans="2:6" ht="15.75" thickBot="1" x14ac:dyDescent="0.3">
      <c r="B164" s="113" t="s">
        <v>1068</v>
      </c>
      <c r="C164" s="114">
        <f>COSEIDIcam</f>
        <v>241</v>
      </c>
      <c r="D164" s="114">
        <f>Hoja1!T5</f>
        <v>0</v>
      </c>
      <c r="E164" s="115">
        <f>D164/C164</f>
        <v>0</v>
      </c>
      <c r="F164" s="146"/>
    </row>
    <row r="165" spans="2:6" ht="16.5" thickTop="1" thickBot="1" x14ac:dyDescent="0.3"/>
    <row r="166" spans="2:6" ht="16.5" thickTop="1" thickBot="1" x14ac:dyDescent="0.3">
      <c r="C166" s="108" t="s">
        <v>916</v>
      </c>
      <c r="D166" s="109" t="s">
        <v>1472</v>
      </c>
      <c r="E166" s="110" t="s">
        <v>917</v>
      </c>
    </row>
    <row r="167" spans="2:6" ht="15.75" thickTop="1" x14ac:dyDescent="0.25">
      <c r="B167" s="52" t="s">
        <v>1248</v>
      </c>
      <c r="C167" s="101">
        <f>CANTIDAD_DE_CAMARAS</f>
        <v>524</v>
      </c>
      <c r="D167" s="102"/>
      <c r="E167" s="107"/>
      <c r="F167" s="144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5"/>
    </row>
    <row r="169" spans="2:6" x14ac:dyDescent="0.25">
      <c r="B169" s="53" t="s">
        <v>1249</v>
      </c>
      <c r="C169" s="67">
        <v>0</v>
      </c>
      <c r="D169" s="104">
        <f>C168-C169</f>
        <v>0</v>
      </c>
      <c r="E169" s="55">
        <f>D169/C167</f>
        <v>0</v>
      </c>
      <c r="F169" s="145"/>
    </row>
    <row r="170" spans="2:6" x14ac:dyDescent="0.25">
      <c r="B170" s="53" t="s">
        <v>1250</v>
      </c>
      <c r="C170" s="67">
        <v>0</v>
      </c>
      <c r="D170" s="104">
        <f>D169-C170</f>
        <v>0</v>
      </c>
      <c r="E170" s="55">
        <f>D170/C167</f>
        <v>0</v>
      </c>
      <c r="F170" s="145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45"/>
    </row>
    <row r="172" spans="2:6" ht="15.75" thickBot="1" x14ac:dyDescent="0.3">
      <c r="B172" s="56" t="s">
        <v>1471</v>
      </c>
      <c r="C172" s="132"/>
      <c r="D172" s="105">
        <f>D171-C172</f>
        <v>0</v>
      </c>
      <c r="E172" s="74">
        <f>D172/C167</f>
        <v>0</v>
      </c>
      <c r="F172" s="145"/>
    </row>
    <row r="173" spans="2:6" ht="16.5" thickTop="1" thickBot="1" x14ac:dyDescent="0.3">
      <c r="B173" s="112"/>
      <c r="C173" s="111" t="s">
        <v>916</v>
      </c>
      <c r="D173" s="97" t="s">
        <v>1472</v>
      </c>
      <c r="E173" s="103" t="s">
        <v>917</v>
      </c>
      <c r="F173" s="145"/>
    </row>
    <row r="174" spans="2:6" ht="16.5" thickTop="1" thickBot="1" x14ac:dyDescent="0.3">
      <c r="B174" s="99" t="s">
        <v>1067</v>
      </c>
      <c r="C174" s="100">
        <f>BONOMOcam</f>
        <v>282</v>
      </c>
      <c r="D174" s="116">
        <v>0</v>
      </c>
      <c r="E174" s="106">
        <f>D174/C174</f>
        <v>0</v>
      </c>
      <c r="F174" s="145"/>
    </row>
    <row r="175" spans="2:6" ht="15.75" thickBot="1" x14ac:dyDescent="0.3">
      <c r="B175" s="113" t="s">
        <v>1068</v>
      </c>
      <c r="C175" s="114">
        <f>COSEIDIcam</f>
        <v>241</v>
      </c>
      <c r="D175" s="114">
        <f>Hoja1!U5</f>
        <v>0</v>
      </c>
      <c r="E175" s="115">
        <f>D175/C175</f>
        <v>0</v>
      </c>
      <c r="F175" s="146"/>
    </row>
    <row r="176" spans="2:6" ht="16.5" thickTop="1" thickBot="1" x14ac:dyDescent="0.3"/>
    <row r="177" spans="2:6" ht="16.5" thickTop="1" thickBot="1" x14ac:dyDescent="0.3">
      <c r="C177" s="108" t="s">
        <v>916</v>
      </c>
      <c r="D177" s="109" t="s">
        <v>1472</v>
      </c>
      <c r="E177" s="110" t="s">
        <v>917</v>
      </c>
    </row>
    <row r="178" spans="2:6" ht="15.75" thickTop="1" x14ac:dyDescent="0.25">
      <c r="B178" s="52" t="s">
        <v>1248</v>
      </c>
      <c r="C178" s="101">
        <f>CANTIDAD_DE_CAMARAS</f>
        <v>524</v>
      </c>
      <c r="D178" s="102"/>
      <c r="E178" s="107"/>
      <c r="F178" s="144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5"/>
    </row>
    <row r="180" spans="2:6" x14ac:dyDescent="0.25">
      <c r="B180" s="53" t="s">
        <v>1249</v>
      </c>
      <c r="C180" s="67">
        <v>0</v>
      </c>
      <c r="D180" s="104">
        <f>C179-C180</f>
        <v>0</v>
      </c>
      <c r="E180" s="55">
        <f>D180/C178</f>
        <v>0</v>
      </c>
      <c r="F180" s="145"/>
    </row>
    <row r="181" spans="2:6" x14ac:dyDescent="0.25">
      <c r="B181" s="53" t="s">
        <v>1250</v>
      </c>
      <c r="C181" s="67">
        <v>0</v>
      </c>
      <c r="D181" s="104">
        <f>D180-C181</f>
        <v>0</v>
      </c>
      <c r="E181" s="55">
        <f>D181/C178</f>
        <v>0</v>
      </c>
      <c r="F181" s="145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45"/>
    </row>
    <row r="183" spans="2:6" ht="15.75" thickBot="1" x14ac:dyDescent="0.3">
      <c r="B183" s="56" t="s">
        <v>1471</v>
      </c>
      <c r="C183" s="132">
        <v>0</v>
      </c>
      <c r="D183" s="105">
        <f>D182-C183</f>
        <v>0</v>
      </c>
      <c r="E183" s="74">
        <f>D183/C178</f>
        <v>0</v>
      </c>
      <c r="F183" s="145"/>
    </row>
    <row r="184" spans="2:6" ht="16.5" thickTop="1" thickBot="1" x14ac:dyDescent="0.3">
      <c r="B184" s="112"/>
      <c r="C184" s="111" t="s">
        <v>916</v>
      </c>
      <c r="D184" s="97" t="s">
        <v>1472</v>
      </c>
      <c r="E184" s="103" t="s">
        <v>917</v>
      </c>
      <c r="F184" s="145"/>
    </row>
    <row r="185" spans="2:6" ht="16.5" thickTop="1" thickBot="1" x14ac:dyDescent="0.3">
      <c r="B185" s="99" t="s">
        <v>1067</v>
      </c>
      <c r="C185" s="100">
        <f>BONOMOcam</f>
        <v>282</v>
      </c>
      <c r="D185" s="116">
        <f>Hoja1!V3</f>
        <v>0</v>
      </c>
      <c r="E185" s="106">
        <v>0</v>
      </c>
      <c r="F185" s="145"/>
    </row>
    <row r="186" spans="2:6" ht="15.75" thickBot="1" x14ac:dyDescent="0.3">
      <c r="B186" s="113" t="s">
        <v>1068</v>
      </c>
      <c r="C186" s="114">
        <f>COSEIDIcam</f>
        <v>241</v>
      </c>
      <c r="D186" s="114">
        <f>Hoja1!V5</f>
        <v>0</v>
      </c>
      <c r="E186" s="115">
        <v>0</v>
      </c>
      <c r="F186" s="146"/>
    </row>
    <row r="187" spans="2:6" ht="16.5" thickTop="1" thickBot="1" x14ac:dyDescent="0.3"/>
    <row r="188" spans="2:6" ht="16.5" thickTop="1" thickBot="1" x14ac:dyDescent="0.3">
      <c r="C188" s="108" t="s">
        <v>916</v>
      </c>
      <c r="D188" s="109" t="s">
        <v>1472</v>
      </c>
      <c r="E188" s="110" t="s">
        <v>917</v>
      </c>
    </row>
    <row r="189" spans="2:6" ht="15.75" thickTop="1" x14ac:dyDescent="0.25">
      <c r="B189" s="52" t="s">
        <v>1248</v>
      </c>
      <c r="C189" s="101">
        <f>CANTIDAD_DE_CAMARAS</f>
        <v>524</v>
      </c>
      <c r="D189" s="102"/>
      <c r="E189" s="107"/>
      <c r="F189" s="144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5"/>
    </row>
    <row r="191" spans="2:6" x14ac:dyDescent="0.25">
      <c r="B191" s="53" t="s">
        <v>1249</v>
      </c>
      <c r="C191" s="67">
        <v>0</v>
      </c>
      <c r="D191" s="104">
        <f>C190-C191</f>
        <v>0</v>
      </c>
      <c r="E191" s="55">
        <f>D191/C189</f>
        <v>0</v>
      </c>
      <c r="F191" s="145"/>
    </row>
    <row r="192" spans="2:6" x14ac:dyDescent="0.25">
      <c r="B192" s="53" t="s">
        <v>1250</v>
      </c>
      <c r="C192" s="67">
        <v>0</v>
      </c>
      <c r="D192" s="104">
        <f>D191-C192</f>
        <v>0</v>
      </c>
      <c r="E192" s="55">
        <f>D192/C189</f>
        <v>0</v>
      </c>
      <c r="F192" s="145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45"/>
    </row>
    <row r="194" spans="2:6" ht="15.75" thickBot="1" x14ac:dyDescent="0.3">
      <c r="B194" s="56" t="s">
        <v>1471</v>
      </c>
      <c r="C194" s="132">
        <v>0</v>
      </c>
      <c r="D194" s="105">
        <f>D193-C194</f>
        <v>0</v>
      </c>
      <c r="E194" s="74">
        <f>D194/C189</f>
        <v>0</v>
      </c>
      <c r="F194" s="145"/>
    </row>
    <row r="195" spans="2:6" ht="16.5" thickTop="1" thickBot="1" x14ac:dyDescent="0.3">
      <c r="B195" s="112"/>
      <c r="C195" s="111" t="s">
        <v>916</v>
      </c>
      <c r="D195" s="97" t="s">
        <v>1472</v>
      </c>
      <c r="E195" s="103" t="s">
        <v>917</v>
      </c>
      <c r="F195" s="145"/>
    </row>
    <row r="196" spans="2:6" ht="16.5" thickTop="1" thickBot="1" x14ac:dyDescent="0.3">
      <c r="B196" s="99" t="s">
        <v>1067</v>
      </c>
      <c r="C196" s="100">
        <f>BONOMOcam</f>
        <v>282</v>
      </c>
      <c r="D196" s="116">
        <v>0</v>
      </c>
      <c r="E196" s="106">
        <f>D196/C196</f>
        <v>0</v>
      </c>
      <c r="F196" s="145"/>
    </row>
    <row r="197" spans="2:6" ht="15.75" thickBot="1" x14ac:dyDescent="0.3">
      <c r="B197" s="113" t="s">
        <v>1068</v>
      </c>
      <c r="C197" s="114">
        <f>COSEIDIcam</f>
        <v>241</v>
      </c>
      <c r="D197" s="114">
        <v>0</v>
      </c>
      <c r="E197" s="115">
        <f>D197/C197</f>
        <v>0</v>
      </c>
      <c r="F197" s="146"/>
    </row>
    <row r="198" spans="2:6" ht="16.5" thickTop="1" thickBot="1" x14ac:dyDescent="0.3"/>
    <row r="199" spans="2:6" ht="16.5" thickTop="1" thickBot="1" x14ac:dyDescent="0.3">
      <c r="C199" s="108" t="s">
        <v>916</v>
      </c>
      <c r="D199" s="109" t="s">
        <v>1472</v>
      </c>
      <c r="E199" s="110" t="s">
        <v>917</v>
      </c>
    </row>
    <row r="200" spans="2:6" ht="15.75" thickTop="1" x14ac:dyDescent="0.25">
      <c r="B200" s="52" t="s">
        <v>1248</v>
      </c>
      <c r="C200" s="101">
        <f>CANTIDAD_DE_CAMARAS</f>
        <v>524</v>
      </c>
      <c r="D200" s="102"/>
      <c r="E200" s="107"/>
      <c r="F200" s="144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5"/>
    </row>
    <row r="202" spans="2:6" x14ac:dyDescent="0.25">
      <c r="B202" s="53" t="s">
        <v>1249</v>
      </c>
      <c r="C202" s="67">
        <v>0</v>
      </c>
      <c r="D202" s="104">
        <f>C201-C202</f>
        <v>0</v>
      </c>
      <c r="E202" s="55">
        <f>D202/C200</f>
        <v>0</v>
      </c>
      <c r="F202" s="145"/>
    </row>
    <row r="203" spans="2:6" x14ac:dyDescent="0.25">
      <c r="B203" s="53" t="s">
        <v>1250</v>
      </c>
      <c r="C203" s="67">
        <v>0</v>
      </c>
      <c r="D203" s="104">
        <f>D202-C203</f>
        <v>0</v>
      </c>
      <c r="E203" s="55">
        <f>D203/C200</f>
        <v>0</v>
      </c>
      <c r="F203" s="145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45"/>
    </row>
    <row r="205" spans="2:6" ht="15.75" thickBot="1" x14ac:dyDescent="0.3">
      <c r="B205" s="56" t="s">
        <v>1471</v>
      </c>
      <c r="C205" s="132">
        <v>0</v>
      </c>
      <c r="D205" s="105">
        <f>D204-C205</f>
        <v>0</v>
      </c>
      <c r="E205" s="74">
        <f>D205/C200</f>
        <v>0</v>
      </c>
      <c r="F205" s="145"/>
    </row>
    <row r="206" spans="2:6" ht="16.5" thickTop="1" thickBot="1" x14ac:dyDescent="0.3">
      <c r="B206" s="112"/>
      <c r="C206" s="111" t="s">
        <v>916</v>
      </c>
      <c r="D206" s="97" t="s">
        <v>1472</v>
      </c>
      <c r="E206" s="103" t="s">
        <v>917</v>
      </c>
      <c r="F206" s="145"/>
    </row>
    <row r="207" spans="2:6" ht="16.5" thickTop="1" thickBot="1" x14ac:dyDescent="0.3">
      <c r="B207" s="99" t="s">
        <v>1067</v>
      </c>
      <c r="C207" s="100">
        <f>BONOMOcam</f>
        <v>282</v>
      </c>
      <c r="D207" s="116">
        <v>0</v>
      </c>
      <c r="E207" s="106">
        <f>D207/C207</f>
        <v>0</v>
      </c>
      <c r="F207" s="145"/>
    </row>
    <row r="208" spans="2:6" ht="15.75" thickBot="1" x14ac:dyDescent="0.3">
      <c r="B208" s="113" t="s">
        <v>1068</v>
      </c>
      <c r="C208" s="114">
        <f>COSEIDIcam</f>
        <v>241</v>
      </c>
      <c r="D208" s="114">
        <v>0</v>
      </c>
      <c r="E208" s="115">
        <f>D208/C208</f>
        <v>0</v>
      </c>
      <c r="F208" s="146"/>
    </row>
    <row r="209" spans="2:6" ht="16.5" thickTop="1" thickBot="1" x14ac:dyDescent="0.3"/>
    <row r="210" spans="2:6" ht="16.5" thickTop="1" thickBot="1" x14ac:dyDescent="0.3">
      <c r="C210" s="108" t="s">
        <v>916</v>
      </c>
      <c r="D210" s="109" t="s">
        <v>1472</v>
      </c>
      <c r="E210" s="110" t="s">
        <v>917</v>
      </c>
    </row>
    <row r="211" spans="2:6" ht="15.75" thickTop="1" x14ac:dyDescent="0.25">
      <c r="B211" s="52" t="s">
        <v>1248</v>
      </c>
      <c r="C211" s="101">
        <f>CANTIDAD_DE_CAMARAS</f>
        <v>524</v>
      </c>
      <c r="D211" s="102"/>
      <c r="E211" s="107"/>
      <c r="F211" s="144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5"/>
    </row>
    <row r="213" spans="2:6" x14ac:dyDescent="0.25">
      <c r="B213" s="53" t="s">
        <v>1249</v>
      </c>
      <c r="C213" s="67">
        <v>0</v>
      </c>
      <c r="D213" s="104">
        <f>C212-C213</f>
        <v>0</v>
      </c>
      <c r="E213" s="55">
        <f>D213/C211</f>
        <v>0</v>
      </c>
      <c r="F213" s="145"/>
    </row>
    <row r="214" spans="2:6" x14ac:dyDescent="0.25">
      <c r="B214" s="53" t="s">
        <v>1250</v>
      </c>
      <c r="C214" s="67">
        <v>0</v>
      </c>
      <c r="D214" s="104">
        <f>D213-C214</f>
        <v>0</v>
      </c>
      <c r="E214" s="55">
        <f>D214/C211</f>
        <v>0</v>
      </c>
      <c r="F214" s="145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45"/>
    </row>
    <row r="216" spans="2:6" ht="15.75" thickBot="1" x14ac:dyDescent="0.3">
      <c r="B216" s="56" t="s">
        <v>1471</v>
      </c>
      <c r="C216" s="132">
        <v>0</v>
      </c>
      <c r="D216" s="105">
        <f>D215-C216</f>
        <v>0</v>
      </c>
      <c r="E216" s="74">
        <f>D216/C211</f>
        <v>0</v>
      </c>
      <c r="F216" s="145"/>
    </row>
    <row r="217" spans="2:6" ht="16.5" thickTop="1" thickBot="1" x14ac:dyDescent="0.3">
      <c r="B217" s="112"/>
      <c r="C217" s="111" t="s">
        <v>916</v>
      </c>
      <c r="D217" s="97" t="s">
        <v>1472</v>
      </c>
      <c r="E217" s="103" t="s">
        <v>917</v>
      </c>
      <c r="F217" s="145"/>
    </row>
    <row r="218" spans="2:6" ht="16.5" thickTop="1" thickBot="1" x14ac:dyDescent="0.3">
      <c r="B218" s="99" t="s">
        <v>1067</v>
      </c>
      <c r="C218" s="100">
        <f>BONOMOcam</f>
        <v>282</v>
      </c>
      <c r="D218" s="116">
        <v>0</v>
      </c>
      <c r="E218" s="106">
        <f>D218/C218</f>
        <v>0</v>
      </c>
      <c r="F218" s="145"/>
    </row>
    <row r="219" spans="2:6" ht="15.75" thickBot="1" x14ac:dyDescent="0.3">
      <c r="B219" s="113" t="s">
        <v>1068</v>
      </c>
      <c r="C219" s="114">
        <f>COSEIDIcam</f>
        <v>241</v>
      </c>
      <c r="D219" s="114">
        <v>0</v>
      </c>
      <c r="E219" s="115">
        <f>D219/C219</f>
        <v>0</v>
      </c>
      <c r="F219" s="14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916</v>
      </c>
      <c r="D222" s="109" t="s">
        <v>1472</v>
      </c>
      <c r="E222" s="110" t="s">
        <v>917</v>
      </c>
    </row>
    <row r="223" spans="2:6" ht="15.75" thickTop="1" x14ac:dyDescent="0.25">
      <c r="B223" s="52" t="s">
        <v>1248</v>
      </c>
      <c r="C223" s="101">
        <f>CANTIDAD_DE_CAMARAS</f>
        <v>524</v>
      </c>
      <c r="D223" s="102"/>
      <c r="E223" s="107"/>
      <c r="F223" s="144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45"/>
    </row>
    <row r="225" spans="2:6" x14ac:dyDescent="0.25">
      <c r="B225" s="53" t="s">
        <v>1249</v>
      </c>
      <c r="C225" s="67">
        <v>0</v>
      </c>
      <c r="D225" s="104">
        <f>C224-C225</f>
        <v>0</v>
      </c>
      <c r="E225" s="55">
        <f>D225/C223</f>
        <v>0</v>
      </c>
      <c r="F225" s="145"/>
    </row>
    <row r="226" spans="2:6" x14ac:dyDescent="0.25">
      <c r="B226" s="53" t="s">
        <v>1250</v>
      </c>
      <c r="C226" s="67">
        <v>0</v>
      </c>
      <c r="D226" s="104">
        <v>0</v>
      </c>
      <c r="E226" s="55">
        <f>D226/C223</f>
        <v>0</v>
      </c>
      <c r="F226" s="145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45"/>
    </row>
    <row r="228" spans="2:6" ht="15.75" thickBot="1" x14ac:dyDescent="0.3">
      <c r="B228" s="56" t="s">
        <v>1471</v>
      </c>
      <c r="C228" s="132">
        <v>0</v>
      </c>
      <c r="D228" s="105">
        <v>0</v>
      </c>
      <c r="E228" s="74">
        <v>0</v>
      </c>
      <c r="F228" s="145"/>
    </row>
    <row r="229" spans="2:6" ht="16.5" thickTop="1" thickBot="1" x14ac:dyDescent="0.3">
      <c r="B229" s="112"/>
      <c r="C229" s="111" t="s">
        <v>916</v>
      </c>
      <c r="D229" s="97" t="s">
        <v>1472</v>
      </c>
      <c r="E229" s="103" t="s">
        <v>917</v>
      </c>
      <c r="F229" s="145"/>
    </row>
    <row r="230" spans="2:6" ht="16.5" thickTop="1" thickBot="1" x14ac:dyDescent="0.3">
      <c r="B230" s="99" t="s">
        <v>1067</v>
      </c>
      <c r="C230" s="100">
        <f>BONOMOcam</f>
        <v>282</v>
      </c>
      <c r="D230" s="116">
        <f>Hoja1!Z3</f>
        <v>0</v>
      </c>
      <c r="E230" s="106">
        <f>D230/C230</f>
        <v>0</v>
      </c>
      <c r="F230" s="145"/>
    </row>
    <row r="231" spans="2:6" ht="15.75" thickBot="1" x14ac:dyDescent="0.3">
      <c r="B231" s="113" t="s">
        <v>1068</v>
      </c>
      <c r="C231" s="114">
        <f>COSEIDIcam</f>
        <v>241</v>
      </c>
      <c r="D231" s="114">
        <f>Hoja1!Z5</f>
        <v>0</v>
      </c>
      <c r="E231" s="115">
        <f>D231/C231</f>
        <v>0</v>
      </c>
      <c r="F231" s="14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916</v>
      </c>
      <c r="D234" s="109" t="s">
        <v>1472</v>
      </c>
      <c r="E234" s="110" t="s">
        <v>917</v>
      </c>
    </row>
    <row r="235" spans="2:6" ht="15.75" thickTop="1" x14ac:dyDescent="0.25">
      <c r="B235" s="52" t="s">
        <v>1248</v>
      </c>
      <c r="C235" s="101">
        <f>CANTIDAD_DE_CAMARAS</f>
        <v>524</v>
      </c>
      <c r="D235" s="102"/>
      <c r="E235" s="107"/>
      <c r="F235" s="144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5"/>
    </row>
    <row r="237" spans="2:6" x14ac:dyDescent="0.25">
      <c r="B237" s="53" t="s">
        <v>1249</v>
      </c>
      <c r="C237" s="67">
        <v>0</v>
      </c>
      <c r="D237" s="104">
        <v>0</v>
      </c>
      <c r="E237" s="55">
        <f>D237/C235</f>
        <v>0</v>
      </c>
      <c r="F237" s="145"/>
    </row>
    <row r="238" spans="2:6" x14ac:dyDescent="0.25">
      <c r="B238" s="53" t="s">
        <v>1250</v>
      </c>
      <c r="C238" s="67">
        <v>0</v>
      </c>
      <c r="D238" s="104">
        <v>0</v>
      </c>
      <c r="E238" s="55">
        <f>D238/C235</f>
        <v>0</v>
      </c>
      <c r="F238" s="145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45"/>
    </row>
    <row r="240" spans="2:6" ht="15.75" thickBot="1" x14ac:dyDescent="0.3">
      <c r="B240" s="56" t="s">
        <v>1471</v>
      </c>
      <c r="C240" s="132">
        <v>0</v>
      </c>
      <c r="D240" s="105">
        <v>0</v>
      </c>
      <c r="E240" s="74">
        <v>6.9400000000000003E-2</v>
      </c>
      <c r="F240" s="145"/>
    </row>
    <row r="241" spans="2:6" ht="16.5" thickTop="1" thickBot="1" x14ac:dyDescent="0.3">
      <c r="B241" s="112"/>
      <c r="C241" s="111" t="s">
        <v>916</v>
      </c>
      <c r="D241" s="97" t="s">
        <v>1472</v>
      </c>
      <c r="E241" s="103" t="s">
        <v>917</v>
      </c>
      <c r="F241" s="145"/>
    </row>
    <row r="242" spans="2:6" ht="16.5" thickTop="1" thickBot="1" x14ac:dyDescent="0.3">
      <c r="B242" s="99" t="s">
        <v>1067</v>
      </c>
      <c r="C242" s="100">
        <f>BONOMOcam</f>
        <v>282</v>
      </c>
      <c r="D242" s="116">
        <v>0</v>
      </c>
      <c r="E242" s="106">
        <f>D242/C242</f>
        <v>0</v>
      </c>
      <c r="F242" s="145"/>
    </row>
    <row r="243" spans="2:6" ht="15.75" thickBot="1" x14ac:dyDescent="0.3">
      <c r="B243" s="113" t="s">
        <v>1068</v>
      </c>
      <c r="C243" s="114">
        <f>COSEIDIcam</f>
        <v>241</v>
      </c>
      <c r="D243" s="114">
        <v>0</v>
      </c>
      <c r="E243" s="115">
        <v>0</v>
      </c>
      <c r="F243" s="14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916</v>
      </c>
      <c r="D246" s="109" t="s">
        <v>1472</v>
      </c>
      <c r="E246" s="110" t="s">
        <v>917</v>
      </c>
    </row>
    <row r="247" spans="2:6" ht="15.75" thickTop="1" x14ac:dyDescent="0.25">
      <c r="B247" s="52" t="s">
        <v>1248</v>
      </c>
      <c r="C247" s="101">
        <f>CANTIDAD_DE_CAMARAS</f>
        <v>524</v>
      </c>
      <c r="D247" s="102"/>
      <c r="E247" s="107"/>
      <c r="F247" s="144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5"/>
    </row>
    <row r="249" spans="2:6" x14ac:dyDescent="0.25">
      <c r="B249" s="53" t="s">
        <v>1249</v>
      </c>
      <c r="C249" s="67">
        <v>0</v>
      </c>
      <c r="D249" s="104">
        <v>0</v>
      </c>
      <c r="E249" s="55">
        <f>D249/C247</f>
        <v>0</v>
      </c>
      <c r="F249" s="145"/>
    </row>
    <row r="250" spans="2:6" x14ac:dyDescent="0.25">
      <c r="B250" s="53" t="s">
        <v>1250</v>
      </c>
      <c r="C250" s="67">
        <v>0</v>
      </c>
      <c r="D250" s="104">
        <v>0</v>
      </c>
      <c r="E250" s="55">
        <f>D250/C247</f>
        <v>0</v>
      </c>
      <c r="F250" s="145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45"/>
    </row>
    <row r="252" spans="2:6" ht="15.75" thickBot="1" x14ac:dyDescent="0.3">
      <c r="B252" s="56" t="s">
        <v>1471</v>
      </c>
      <c r="C252" s="132">
        <v>0</v>
      </c>
      <c r="D252" s="105">
        <v>0</v>
      </c>
      <c r="E252" s="74">
        <v>0</v>
      </c>
      <c r="F252" s="145"/>
    </row>
    <row r="253" spans="2:6" ht="16.5" thickTop="1" thickBot="1" x14ac:dyDescent="0.3">
      <c r="B253" s="112"/>
      <c r="C253" s="111" t="s">
        <v>916</v>
      </c>
      <c r="D253" s="97">
        <v>0</v>
      </c>
      <c r="E253" s="103" t="s">
        <v>917</v>
      </c>
      <c r="F253" s="145"/>
    </row>
    <row r="254" spans="2:6" ht="16.5" thickTop="1" thickBot="1" x14ac:dyDescent="0.3">
      <c r="B254" s="99" t="s">
        <v>1067</v>
      </c>
      <c r="C254" s="100">
        <f>BONOMOcam</f>
        <v>282</v>
      </c>
      <c r="D254" s="116">
        <v>0</v>
      </c>
      <c r="E254" s="106">
        <f>D254/C254</f>
        <v>0</v>
      </c>
      <c r="F254" s="145"/>
    </row>
    <row r="255" spans="2:6" ht="15.75" thickBot="1" x14ac:dyDescent="0.3">
      <c r="B255" s="113" t="s">
        <v>1068</v>
      </c>
      <c r="C255" s="114">
        <f>COSEIDIcam</f>
        <v>241</v>
      </c>
      <c r="D255" s="114">
        <v>0</v>
      </c>
      <c r="E255" s="115">
        <f>D255/C255</f>
        <v>0</v>
      </c>
      <c r="F255" s="14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916</v>
      </c>
      <c r="D258" s="109" t="s">
        <v>1472</v>
      </c>
      <c r="E258" s="110" t="s">
        <v>917</v>
      </c>
    </row>
    <row r="259" spans="2:6" ht="15.75" thickTop="1" x14ac:dyDescent="0.25">
      <c r="B259" s="52" t="s">
        <v>1248</v>
      </c>
      <c r="C259" s="101">
        <f>CANTIDAD_DE_CAMARAS</f>
        <v>524</v>
      </c>
      <c r="D259" s="102"/>
      <c r="E259" s="107"/>
      <c r="F259" s="144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5"/>
    </row>
    <row r="261" spans="2:6" x14ac:dyDescent="0.25">
      <c r="B261" s="53" t="s">
        <v>1249</v>
      </c>
      <c r="C261" s="67">
        <v>0</v>
      </c>
      <c r="D261" s="104">
        <v>0</v>
      </c>
      <c r="E261" s="55">
        <f>D261/C259</f>
        <v>0</v>
      </c>
      <c r="F261" s="145"/>
    </row>
    <row r="262" spans="2:6" x14ac:dyDescent="0.25">
      <c r="B262" s="53" t="s">
        <v>1250</v>
      </c>
      <c r="C262" s="67">
        <v>0</v>
      </c>
      <c r="D262" s="104">
        <v>0</v>
      </c>
      <c r="E262" s="55">
        <f>D262/C259</f>
        <v>0</v>
      </c>
      <c r="F262" s="145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45"/>
    </row>
    <row r="264" spans="2:6" ht="15.75" thickBot="1" x14ac:dyDescent="0.3">
      <c r="B264" s="56" t="s">
        <v>1471</v>
      </c>
      <c r="C264" s="132">
        <v>0</v>
      </c>
      <c r="D264" s="105">
        <v>0</v>
      </c>
      <c r="E264" s="74">
        <v>0</v>
      </c>
      <c r="F264" s="145"/>
    </row>
    <row r="265" spans="2:6" ht="16.5" thickTop="1" thickBot="1" x14ac:dyDescent="0.3">
      <c r="B265" s="112"/>
      <c r="C265" s="111" t="s">
        <v>916</v>
      </c>
      <c r="D265" s="97" t="s">
        <v>1472</v>
      </c>
      <c r="E265" s="103" t="s">
        <v>917</v>
      </c>
      <c r="F265" s="145"/>
    </row>
    <row r="266" spans="2:6" ht="16.5" thickTop="1" thickBot="1" x14ac:dyDescent="0.3">
      <c r="B266" s="99" t="s">
        <v>1067</v>
      </c>
      <c r="C266" s="100">
        <f>BONOMOcam</f>
        <v>282</v>
      </c>
      <c r="D266" s="116">
        <v>0</v>
      </c>
      <c r="E266" s="106">
        <v>0.12</v>
      </c>
      <c r="F266" s="145"/>
    </row>
    <row r="267" spans="2:6" ht="15.75" thickBot="1" x14ac:dyDescent="0.3">
      <c r="B267" s="113" t="s">
        <v>1068</v>
      </c>
      <c r="C267" s="114">
        <f>COSEIDIcam</f>
        <v>241</v>
      </c>
      <c r="D267" s="114">
        <v>0</v>
      </c>
      <c r="E267" s="115">
        <f>D267/C267</f>
        <v>0</v>
      </c>
      <c r="F267" s="146"/>
    </row>
    <row r="268" spans="2:6" ht="16.5" thickTop="1" thickBot="1" x14ac:dyDescent="0.3"/>
    <row r="269" spans="2:6" ht="16.5" thickTop="1" thickBot="1" x14ac:dyDescent="0.3">
      <c r="C269" s="108" t="s">
        <v>916</v>
      </c>
      <c r="D269" s="109" t="s">
        <v>1472</v>
      </c>
      <c r="E269" s="110" t="s">
        <v>917</v>
      </c>
    </row>
    <row r="270" spans="2:6" ht="15.75" thickTop="1" x14ac:dyDescent="0.25">
      <c r="B270" s="52" t="s">
        <v>1248</v>
      </c>
      <c r="C270" s="101">
        <f>CANTIDAD_DE_CAMARAS</f>
        <v>524</v>
      </c>
      <c r="D270" s="102"/>
      <c r="E270" s="107"/>
      <c r="F270" s="144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5"/>
    </row>
    <row r="272" spans="2:6" x14ac:dyDescent="0.25">
      <c r="B272" s="53" t="s">
        <v>1249</v>
      </c>
      <c r="C272" s="67">
        <v>0</v>
      </c>
      <c r="D272" s="104">
        <v>0</v>
      </c>
      <c r="E272" s="55">
        <f>D272/C270</f>
        <v>0</v>
      </c>
      <c r="F272" s="145"/>
    </row>
    <row r="273" spans="2:6" x14ac:dyDescent="0.25">
      <c r="B273" s="53" t="s">
        <v>1250</v>
      </c>
      <c r="C273" s="67">
        <v>0</v>
      </c>
      <c r="D273" s="104">
        <v>0</v>
      </c>
      <c r="E273" s="55">
        <f>D273/C270</f>
        <v>0</v>
      </c>
      <c r="F273" s="145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45"/>
    </row>
    <row r="275" spans="2:6" ht="15.75" thickBot="1" x14ac:dyDescent="0.3">
      <c r="B275" s="56" t="s">
        <v>1471</v>
      </c>
      <c r="C275" s="132">
        <v>0</v>
      </c>
      <c r="D275" s="105">
        <v>0</v>
      </c>
      <c r="E275" s="74">
        <v>7.5399999999999995E-2</v>
      </c>
      <c r="F275" s="145"/>
    </row>
    <row r="276" spans="2:6" ht="16.5" thickTop="1" thickBot="1" x14ac:dyDescent="0.3">
      <c r="B276" s="112"/>
      <c r="C276" s="111" t="s">
        <v>916</v>
      </c>
      <c r="D276" s="97" t="s">
        <v>1472</v>
      </c>
      <c r="E276" s="103" t="s">
        <v>917</v>
      </c>
      <c r="F276" s="145"/>
    </row>
    <row r="277" spans="2:6" ht="16.5" thickTop="1" thickBot="1" x14ac:dyDescent="0.3">
      <c r="B277" s="99" t="s">
        <v>1067</v>
      </c>
      <c r="C277" s="100">
        <f>BONOMOcam</f>
        <v>282</v>
      </c>
      <c r="D277" s="116">
        <v>0</v>
      </c>
      <c r="E277" s="106">
        <f>D277/C277</f>
        <v>0</v>
      </c>
      <c r="F277" s="145"/>
    </row>
    <row r="278" spans="2:6" ht="15.75" thickBot="1" x14ac:dyDescent="0.3">
      <c r="B278" s="113" t="s">
        <v>1068</v>
      </c>
      <c r="C278" s="114">
        <f>COSEIDIcam</f>
        <v>241</v>
      </c>
      <c r="D278" s="114">
        <v>0</v>
      </c>
      <c r="E278" s="115">
        <v>0</v>
      </c>
      <c r="F278" s="146"/>
    </row>
    <row r="279" spans="2:6" ht="16.5" thickTop="1" thickBot="1" x14ac:dyDescent="0.3"/>
    <row r="280" spans="2:6" ht="16.5" thickTop="1" thickBot="1" x14ac:dyDescent="0.3">
      <c r="C280" s="108" t="s">
        <v>916</v>
      </c>
      <c r="D280" s="109" t="s">
        <v>1472</v>
      </c>
      <c r="E280" s="110" t="s">
        <v>917</v>
      </c>
    </row>
    <row r="281" spans="2:6" ht="15.75" thickTop="1" x14ac:dyDescent="0.25">
      <c r="B281" s="52" t="s">
        <v>1248</v>
      </c>
      <c r="C281" s="101">
        <f>CANTIDAD_DE_CAMARAS</f>
        <v>524</v>
      </c>
      <c r="D281" s="102"/>
      <c r="E281" s="107"/>
      <c r="F281" s="144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5"/>
    </row>
    <row r="283" spans="2:6" x14ac:dyDescent="0.25">
      <c r="B283" s="53" t="s">
        <v>1249</v>
      </c>
      <c r="C283" s="67">
        <v>0</v>
      </c>
      <c r="D283" s="104">
        <v>0</v>
      </c>
      <c r="E283" s="55">
        <f>D283/C281</f>
        <v>0</v>
      </c>
      <c r="F283" s="145"/>
    </row>
    <row r="284" spans="2:6" x14ac:dyDescent="0.25">
      <c r="B284" s="53" t="s">
        <v>1250</v>
      </c>
      <c r="C284" s="67">
        <v>0</v>
      </c>
      <c r="D284" s="104">
        <v>0</v>
      </c>
      <c r="E284" s="55">
        <f>D284/C281</f>
        <v>0</v>
      </c>
      <c r="F284" s="145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45"/>
    </row>
    <row r="286" spans="2:6" ht="15.75" thickBot="1" x14ac:dyDescent="0.3">
      <c r="B286" s="56" t="s">
        <v>1471</v>
      </c>
      <c r="C286" s="132">
        <v>0</v>
      </c>
      <c r="D286" s="105">
        <v>0</v>
      </c>
      <c r="E286" s="74">
        <v>0.06</v>
      </c>
      <c r="F286" s="145"/>
    </row>
    <row r="287" spans="2:6" ht="16.5" thickTop="1" thickBot="1" x14ac:dyDescent="0.3">
      <c r="B287" s="112"/>
      <c r="C287" s="111" t="s">
        <v>916</v>
      </c>
      <c r="D287" s="97" t="s">
        <v>1472</v>
      </c>
      <c r="E287" s="103" t="s">
        <v>917</v>
      </c>
      <c r="F287" s="145"/>
    </row>
    <row r="288" spans="2:6" ht="16.5" thickTop="1" thickBot="1" x14ac:dyDescent="0.3">
      <c r="B288" s="99" t="s">
        <v>1067</v>
      </c>
      <c r="C288" s="100">
        <f>BONOMOcam</f>
        <v>282</v>
      </c>
      <c r="D288" s="116">
        <v>0</v>
      </c>
      <c r="E288" s="106">
        <f>D288/C288</f>
        <v>0</v>
      </c>
      <c r="F288" s="145"/>
    </row>
    <row r="289" spans="2:6" ht="15.75" thickBot="1" x14ac:dyDescent="0.3">
      <c r="B289" s="113" t="s">
        <v>1068</v>
      </c>
      <c r="C289" s="114">
        <f>COSEIDIcam</f>
        <v>241</v>
      </c>
      <c r="D289" s="114">
        <v>0</v>
      </c>
      <c r="E289" s="115">
        <f>D289/C289</f>
        <v>0</v>
      </c>
      <c r="F289" s="146"/>
    </row>
    <row r="290" spans="2:6" ht="16.5" thickTop="1" thickBot="1" x14ac:dyDescent="0.3"/>
    <row r="291" spans="2:6" ht="16.5" thickTop="1" thickBot="1" x14ac:dyDescent="0.3">
      <c r="C291" s="108" t="s">
        <v>916</v>
      </c>
      <c r="D291" s="109" t="s">
        <v>1472</v>
      </c>
      <c r="E291" s="110" t="s">
        <v>917</v>
      </c>
    </row>
    <row r="292" spans="2:6" ht="15.75" thickTop="1" x14ac:dyDescent="0.25">
      <c r="B292" s="52" t="s">
        <v>1248</v>
      </c>
      <c r="C292" s="101">
        <f>CANTIDAD_DE_CAMARAS</f>
        <v>524</v>
      </c>
      <c r="D292" s="102"/>
      <c r="E292" s="107"/>
      <c r="F292" s="144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5"/>
    </row>
    <row r="294" spans="2:6" x14ac:dyDescent="0.25">
      <c r="B294" s="53" t="s">
        <v>1249</v>
      </c>
      <c r="C294" s="67">
        <v>0</v>
      </c>
      <c r="D294" s="104">
        <v>0</v>
      </c>
      <c r="E294" s="55">
        <f>D294/C292</f>
        <v>0</v>
      </c>
      <c r="F294" s="145"/>
    </row>
    <row r="295" spans="2:6" x14ac:dyDescent="0.25">
      <c r="B295" s="53" t="s">
        <v>1250</v>
      </c>
      <c r="C295" s="67">
        <v>0</v>
      </c>
      <c r="D295" s="104">
        <v>0</v>
      </c>
      <c r="E295" s="55">
        <f>D295/C292</f>
        <v>0</v>
      </c>
      <c r="F295" s="145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45"/>
    </row>
    <row r="297" spans="2:6" ht="15.75" thickBot="1" x14ac:dyDescent="0.3">
      <c r="B297" s="56" t="s">
        <v>1471</v>
      </c>
      <c r="C297" s="132">
        <v>0</v>
      </c>
      <c r="D297" s="105">
        <v>0</v>
      </c>
      <c r="E297" s="74">
        <v>9.8599999999999993E-2</v>
      </c>
      <c r="F297" s="145"/>
    </row>
    <row r="298" spans="2:6" ht="16.5" thickTop="1" thickBot="1" x14ac:dyDescent="0.3">
      <c r="B298" s="112"/>
      <c r="C298" s="111" t="s">
        <v>916</v>
      </c>
      <c r="D298" s="97" t="s">
        <v>1472</v>
      </c>
      <c r="E298" s="103" t="s">
        <v>917</v>
      </c>
      <c r="F298" s="145"/>
    </row>
    <row r="299" spans="2:6" ht="16.5" thickTop="1" thickBot="1" x14ac:dyDescent="0.3">
      <c r="B299" s="99" t="s">
        <v>1067</v>
      </c>
      <c r="C299" s="100">
        <f>BONOMOcam</f>
        <v>282</v>
      </c>
      <c r="D299" s="116">
        <v>0</v>
      </c>
      <c r="E299" s="106">
        <f>D299/C299</f>
        <v>0</v>
      </c>
      <c r="F299" s="145"/>
    </row>
    <row r="300" spans="2:6" ht="15.75" thickBot="1" x14ac:dyDescent="0.3">
      <c r="B300" s="113" t="s">
        <v>1068</v>
      </c>
      <c r="C300" s="114">
        <f>COSEIDIcam</f>
        <v>241</v>
      </c>
      <c r="D300" s="114">
        <v>0</v>
      </c>
      <c r="E300" s="115">
        <f>D300/C300</f>
        <v>0</v>
      </c>
      <c r="F300" s="146"/>
    </row>
    <row r="301" spans="2:6" ht="16.5" thickTop="1" thickBot="1" x14ac:dyDescent="0.3"/>
    <row r="302" spans="2:6" ht="16.5" thickTop="1" thickBot="1" x14ac:dyDescent="0.3">
      <c r="C302" s="108" t="s">
        <v>916</v>
      </c>
      <c r="D302" s="109" t="s">
        <v>1472</v>
      </c>
      <c r="E302" s="110" t="s">
        <v>917</v>
      </c>
    </row>
    <row r="303" spans="2:6" ht="15.75" thickTop="1" x14ac:dyDescent="0.25">
      <c r="B303" s="52" t="s">
        <v>1248</v>
      </c>
      <c r="C303" s="101">
        <f>CANTIDAD_DE_CAMARAS</f>
        <v>524</v>
      </c>
      <c r="D303" s="102"/>
      <c r="E303" s="107"/>
      <c r="F303" s="144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5"/>
    </row>
    <row r="305" spans="2:6" x14ac:dyDescent="0.25">
      <c r="B305" s="53" t="s">
        <v>1249</v>
      </c>
      <c r="C305" s="67">
        <v>0</v>
      </c>
      <c r="D305" s="104">
        <v>0</v>
      </c>
      <c r="E305" s="55">
        <f>D305/C303</f>
        <v>0</v>
      </c>
      <c r="F305" s="145"/>
    </row>
    <row r="306" spans="2:6" x14ac:dyDescent="0.25">
      <c r="B306" s="53" t="s">
        <v>1250</v>
      </c>
      <c r="C306" s="67">
        <v>0</v>
      </c>
      <c r="D306" s="104">
        <v>0</v>
      </c>
      <c r="E306" s="55">
        <f>D306/C303</f>
        <v>0</v>
      </c>
      <c r="F306" s="145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45"/>
    </row>
    <row r="308" spans="2:6" ht="15.75" thickBot="1" x14ac:dyDescent="0.3">
      <c r="B308" s="56" t="s">
        <v>1471</v>
      </c>
      <c r="C308" s="132">
        <v>0</v>
      </c>
      <c r="D308" s="105">
        <v>0</v>
      </c>
      <c r="E308" s="74">
        <v>0</v>
      </c>
      <c r="F308" s="145"/>
    </row>
    <row r="309" spans="2:6" ht="16.5" thickTop="1" thickBot="1" x14ac:dyDescent="0.3">
      <c r="B309" s="112"/>
      <c r="C309" s="111" t="s">
        <v>916</v>
      </c>
      <c r="D309" s="97" t="s">
        <v>1472</v>
      </c>
      <c r="E309" s="103" t="s">
        <v>917</v>
      </c>
      <c r="F309" s="145"/>
    </row>
    <row r="310" spans="2:6" ht="16.5" thickTop="1" thickBot="1" x14ac:dyDescent="0.3">
      <c r="B310" s="99" t="s">
        <v>1067</v>
      </c>
      <c r="C310" s="100">
        <f>BONOMOcam</f>
        <v>282</v>
      </c>
      <c r="D310" s="116">
        <v>0</v>
      </c>
      <c r="E310" s="106">
        <v>0</v>
      </c>
      <c r="F310" s="145"/>
    </row>
    <row r="311" spans="2:6" ht="15.75" thickBot="1" x14ac:dyDescent="0.3">
      <c r="B311" s="113" t="s">
        <v>1068</v>
      </c>
      <c r="C311" s="114">
        <f>COSEIDIcam</f>
        <v>241</v>
      </c>
      <c r="D311" s="114">
        <v>0</v>
      </c>
      <c r="E311" s="115">
        <v>0</v>
      </c>
      <c r="F311" s="146"/>
    </row>
    <row r="312" spans="2:6" ht="16.5" thickTop="1" thickBot="1" x14ac:dyDescent="0.3"/>
    <row r="313" spans="2:6" ht="16.5" thickTop="1" thickBot="1" x14ac:dyDescent="0.3">
      <c r="C313" s="108" t="s">
        <v>916</v>
      </c>
      <c r="D313" s="109" t="s">
        <v>1472</v>
      </c>
      <c r="E313" s="110" t="s">
        <v>917</v>
      </c>
    </row>
    <row r="314" spans="2:6" ht="15.75" thickTop="1" x14ac:dyDescent="0.25">
      <c r="B314" s="52" t="s">
        <v>1248</v>
      </c>
      <c r="C314" s="101">
        <f>CANTIDAD_DE_CAMARAS</f>
        <v>524</v>
      </c>
      <c r="D314" s="102"/>
      <c r="E314" s="107"/>
      <c r="F314" s="144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5"/>
    </row>
    <row r="316" spans="2:6" x14ac:dyDescent="0.25">
      <c r="B316" s="53" t="s">
        <v>1249</v>
      </c>
      <c r="C316" s="67">
        <v>0</v>
      </c>
      <c r="D316" s="104">
        <v>0</v>
      </c>
      <c r="E316" s="55">
        <f>D316/C314</f>
        <v>0</v>
      </c>
      <c r="F316" s="145"/>
    </row>
    <row r="317" spans="2:6" x14ac:dyDescent="0.25">
      <c r="B317" s="53" t="s">
        <v>1250</v>
      </c>
      <c r="C317" s="67">
        <v>0</v>
      </c>
      <c r="D317" s="104">
        <v>0</v>
      </c>
      <c r="E317" s="55">
        <f>D317/C314</f>
        <v>0</v>
      </c>
      <c r="F317" s="145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45"/>
    </row>
    <row r="319" spans="2:6" ht="15.75" thickBot="1" x14ac:dyDescent="0.3">
      <c r="B319" s="56" t="s">
        <v>1471</v>
      </c>
      <c r="C319" s="132">
        <v>0</v>
      </c>
      <c r="D319" s="105">
        <v>0</v>
      </c>
      <c r="E319" s="74">
        <v>5.2200000000000003E-2</v>
      </c>
      <c r="F319" s="145"/>
    </row>
    <row r="320" spans="2:6" ht="16.5" thickTop="1" thickBot="1" x14ac:dyDescent="0.3">
      <c r="B320" s="112"/>
      <c r="C320" s="111" t="s">
        <v>916</v>
      </c>
      <c r="D320" s="97" t="s">
        <v>1472</v>
      </c>
      <c r="E320" s="103" t="s">
        <v>917</v>
      </c>
      <c r="F320" s="145"/>
    </row>
    <row r="321" spans="2:6" ht="16.5" thickTop="1" thickBot="1" x14ac:dyDescent="0.3">
      <c r="B321" s="99" t="s">
        <v>1067</v>
      </c>
      <c r="C321" s="100">
        <f>BONOMOcam</f>
        <v>282</v>
      </c>
      <c r="D321" s="116">
        <v>0</v>
      </c>
      <c r="E321" s="106">
        <v>0</v>
      </c>
      <c r="F321" s="145"/>
    </row>
    <row r="322" spans="2:6" ht="15.75" thickBot="1" x14ac:dyDescent="0.3">
      <c r="B322" s="113" t="s">
        <v>1068</v>
      </c>
      <c r="C322" s="114">
        <f>COSEIDIcam</f>
        <v>241</v>
      </c>
      <c r="D322" s="114">
        <v>0</v>
      </c>
      <c r="E322" s="115">
        <f>D322/C322</f>
        <v>0</v>
      </c>
      <c r="F322" s="146"/>
    </row>
    <row r="323" spans="2:6" ht="16.5" thickTop="1" thickBot="1" x14ac:dyDescent="0.3"/>
    <row r="324" spans="2:6" ht="16.5" thickTop="1" thickBot="1" x14ac:dyDescent="0.3">
      <c r="C324" s="108" t="s">
        <v>916</v>
      </c>
      <c r="D324" s="109" t="s">
        <v>1472</v>
      </c>
      <c r="E324" s="110" t="s">
        <v>917</v>
      </c>
    </row>
    <row r="325" spans="2:6" ht="15.75" thickTop="1" x14ac:dyDescent="0.25">
      <c r="B325" s="52" t="s">
        <v>1248</v>
      </c>
      <c r="C325" s="101">
        <f>CANTIDAD_DE_CAMARAS</f>
        <v>524</v>
      </c>
      <c r="D325" s="102"/>
      <c r="E325" s="107"/>
      <c r="F325" s="144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5"/>
    </row>
    <row r="327" spans="2:6" x14ac:dyDescent="0.25">
      <c r="B327" s="53" t="s">
        <v>1249</v>
      </c>
      <c r="C327" s="67">
        <v>0</v>
      </c>
      <c r="D327" s="104">
        <v>0</v>
      </c>
      <c r="E327" s="55">
        <f>D327/C325</f>
        <v>0</v>
      </c>
      <c r="F327" s="145"/>
    </row>
    <row r="328" spans="2:6" x14ac:dyDescent="0.25">
      <c r="B328" s="53" t="s">
        <v>1250</v>
      </c>
      <c r="C328" s="67">
        <v>0</v>
      </c>
      <c r="D328" s="104">
        <v>0</v>
      </c>
      <c r="E328" s="55">
        <f>D328/C325</f>
        <v>0</v>
      </c>
      <c r="F328" s="145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45"/>
    </row>
    <row r="330" spans="2:6" ht="15.75" thickBot="1" x14ac:dyDescent="0.3">
      <c r="B330" s="56" t="s">
        <v>1471</v>
      </c>
      <c r="C330" s="132">
        <v>0</v>
      </c>
      <c r="D330" s="105">
        <v>0</v>
      </c>
      <c r="E330" s="74">
        <v>0</v>
      </c>
      <c r="F330" s="145"/>
    </row>
    <row r="331" spans="2:6" ht="16.5" thickTop="1" thickBot="1" x14ac:dyDescent="0.3">
      <c r="B331" s="112"/>
      <c r="C331" s="111" t="s">
        <v>916</v>
      </c>
      <c r="D331" s="97" t="s">
        <v>1472</v>
      </c>
      <c r="E331" s="103" t="s">
        <v>917</v>
      </c>
      <c r="F331" s="145"/>
    </row>
    <row r="332" spans="2:6" ht="16.5" thickTop="1" thickBot="1" x14ac:dyDescent="0.3">
      <c r="B332" s="99" t="s">
        <v>1067</v>
      </c>
      <c r="C332" s="100">
        <f>BONOMOcam</f>
        <v>282</v>
      </c>
      <c r="D332" s="116">
        <v>0</v>
      </c>
      <c r="E332" s="106">
        <v>0</v>
      </c>
      <c r="F332" s="145"/>
    </row>
    <row r="333" spans="2:6" ht="15.75" thickBot="1" x14ac:dyDescent="0.3">
      <c r="B333" s="113" t="s">
        <v>1068</v>
      </c>
      <c r="C333" s="114">
        <f>COSEIDIcam</f>
        <v>241</v>
      </c>
      <c r="D333" s="114">
        <v>0</v>
      </c>
      <c r="E333" s="115">
        <v>0</v>
      </c>
      <c r="F333" s="146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1309</v>
      </c>
      <c r="D1" s="29">
        <f>COUNTIFS(A5:A602,"=paradas seguras")/2</f>
        <v>0</v>
      </c>
      <c r="E1" s="77" t="s">
        <v>1310</v>
      </c>
      <c r="F1" s="77"/>
      <c r="G1" s="77"/>
      <c r="H1" s="78">
        <f>COUNTIFS(A5:A602,"=paradas seguras")</f>
        <v>0</v>
      </c>
      <c r="I1" s="79" t="s">
        <v>1311</v>
      </c>
      <c r="J1" s="79"/>
      <c r="K1" s="80">
        <f>COUNTIFS(D5:D602,"=GFIJA")</f>
        <v>0</v>
      </c>
      <c r="L1" s="81" t="s">
        <v>1312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1539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>
        <f>'RESUMEN TOTAL'!M59</f>
        <v>0</v>
      </c>
      <c r="H45" s="70">
        <f>'RESUMEN TOTAL'!N59</f>
        <v>0</v>
      </c>
      <c r="I45" s="70">
        <f>'RESUMEN TOTAL'!O59</f>
        <v>0</v>
      </c>
      <c r="J45" s="70">
        <f>'RESUMEN TOTAL'!P59</f>
        <v>0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>
        <f>'RESUMEN TOTAL'!M62</f>
        <v>0</v>
      </c>
      <c r="H48" s="70">
        <f>'RESUMEN TOTAL'!N62</f>
        <v>0</v>
      </c>
      <c r="I48" s="70">
        <f>'RESUMEN TOTAL'!O62</f>
        <v>0</v>
      </c>
      <c r="J48" s="70">
        <f>'RESUMEN TOTAL'!P62</f>
        <v>0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>
        <f>'RESUMEN TOTAL'!M91</f>
        <v>0</v>
      </c>
      <c r="H77" s="70">
        <f>'RESUMEN TOTAL'!N91</f>
        <v>0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>
        <f>'RESUMEN TOTAL'!M92</f>
        <v>0</v>
      </c>
      <c r="H78" s="70">
        <f>'RESUMEN TOTAL'!N92</f>
        <v>0</v>
      </c>
      <c r="I78" s="70">
        <f>'RESUMEN TOTAL'!O92</f>
        <v>0</v>
      </c>
      <c r="J78" s="70">
        <f>'RESUMEN TOTAL'!P92</f>
        <v>0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>
        <f>'RESUMEN TOTAL'!M94</f>
        <v>0</v>
      </c>
      <c r="H80" s="70">
        <f>'RESUMEN TOTAL'!N94</f>
        <v>0</v>
      </c>
      <c r="I80" s="70">
        <f>'RESUMEN TOTAL'!O94</f>
        <v>0</v>
      </c>
      <c r="J80" s="70">
        <f>'RESUMEN TOTAL'!P94</f>
        <v>0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>
        <f>'RESUMEN TOTAL'!P99</f>
        <v>0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>
        <f>'RESUMEN TOTAL'!M112</f>
        <v>0</v>
      </c>
      <c r="H98" s="70">
        <f>'RESUMEN TOTAL'!N112</f>
        <v>0</v>
      </c>
      <c r="I98" s="70">
        <f>'RESUMEN TOTAL'!O112</f>
        <v>0</v>
      </c>
      <c r="J98" s="70">
        <f>'RESUMEN TOTAL'!P112</f>
        <v>0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>
        <f>'RESUMEN TOTAL'!M113</f>
        <v>0</v>
      </c>
      <c r="H99" s="70">
        <f>'RESUMEN TOTAL'!N113</f>
        <v>0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>
        <f>'RESUMEN TOTAL'!M117</f>
        <v>0</v>
      </c>
      <c r="H103" s="70">
        <f>'RESUMEN TOTAL'!N117</f>
        <v>0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>
        <f>'RESUMEN TOTAL'!M118</f>
        <v>0</v>
      </c>
      <c r="H104" s="70">
        <f>'RESUMEN TOTAL'!N118</f>
        <v>0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>
        <f>'RESUMEN TOTAL'!M123</f>
        <v>0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>
        <f>'RESUMEN TOTAL'!P140</f>
        <v>0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>
        <f>'RESUMEN TOTAL'!M142</f>
        <v>0</v>
      </c>
      <c r="H119" s="70">
        <f>'RESUMEN TOTAL'!N142</f>
        <v>0</v>
      </c>
      <c r="I119" s="70">
        <f>'RESUMEN TOTAL'!O142</f>
        <v>0</v>
      </c>
      <c r="J119" s="70">
        <f>'RESUMEN TOTAL'!P142</f>
        <v>0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>
        <f>'RESUMEN TOTAL'!M145</f>
        <v>0</v>
      </c>
      <c r="H122" s="70">
        <f>'RESUMEN TOTAL'!N145</f>
        <v>0</v>
      </c>
      <c r="I122" s="70">
        <f>'RESUMEN TOTAL'!O145</f>
        <v>0</v>
      </c>
      <c r="J122" s="70">
        <f>'RESUMEN TOTAL'!P145</f>
        <v>0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>
        <f>'RESUMEN TOTAL'!M146</f>
        <v>0</v>
      </c>
      <c r="H123" s="70">
        <f>'RESUMEN TOTAL'!N146</f>
        <v>0</v>
      </c>
      <c r="I123" s="70">
        <f>'RESUMEN TOTAL'!O146</f>
        <v>0</v>
      </c>
      <c r="J123" s="70">
        <f>'RESUMEN TOTAL'!P146</f>
        <v>0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>
        <f>'RESUMEN TOTAL'!M152</f>
        <v>0</v>
      </c>
      <c r="H126" s="70">
        <f>'RESUMEN TOTAL'!N152</f>
        <v>0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>
        <f>'RESUMEN TOTAL'!M153</f>
        <v>0</v>
      </c>
      <c r="H127" s="70">
        <f>'RESUMEN TOTAL'!N153</f>
        <v>0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>
        <f>'RESUMEN TOTAL'!M155</f>
        <v>0</v>
      </c>
      <c r="H129" s="70">
        <f>'RESUMEN TOTAL'!N155</f>
        <v>0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>
        <f>'RESUMEN TOTAL'!M179</f>
        <v>0</v>
      </c>
      <c r="H148" s="70">
        <f>'RESUMEN TOTAL'!N179</f>
        <v>0</v>
      </c>
      <c r="I148" s="70">
        <f>'RESUMEN TOTAL'!O179</f>
        <v>0</v>
      </c>
      <c r="J148" s="70">
        <f>'RESUMEN TOTAL'!P179</f>
        <v>0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>
        <f>'RESUMEN TOTAL'!M183</f>
        <v>0</v>
      </c>
      <c r="H152" s="70">
        <f>'RESUMEN TOTAL'!N183</f>
        <v>0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>
        <f>'RESUMEN TOTAL'!M184</f>
        <v>0</v>
      </c>
      <c r="H153" s="70">
        <f>'RESUMEN TOTAL'!N184</f>
        <v>0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>
        <f>'RESUMEN TOTAL'!M185</f>
        <v>0</v>
      </c>
      <c r="H154" s="70">
        <f>'RESUMEN TOTAL'!N185</f>
        <v>0</v>
      </c>
      <c r="I154" s="70">
        <f>'RESUMEN TOTAL'!O185</f>
        <v>0</v>
      </c>
      <c r="J154" s="70">
        <f>'RESUMEN TOTAL'!P185</f>
        <v>0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>
        <f>'RESUMEN TOTAL'!M186</f>
        <v>0</v>
      </c>
      <c r="H155" s="70">
        <f>'RESUMEN TOTAL'!N186</f>
        <v>0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>
        <f>'RESUMEN TOTAL'!M187</f>
        <v>0</v>
      </c>
      <c r="H156" s="70">
        <f>'RESUMEN TOTAL'!N187</f>
        <v>0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>
        <f>'RESUMEN TOTAL'!M216</f>
        <v>0</v>
      </c>
      <c r="H180" s="70">
        <f>'RESUMEN TOTAL'!N216</f>
        <v>0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>
        <f>'RESUMEN TOTAL'!M218</f>
        <v>0</v>
      </c>
      <c r="H182" s="70">
        <f>'RESUMEN TOTAL'!N218</f>
        <v>0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>
        <f>'RESUMEN TOTAL'!M219</f>
        <v>0</v>
      </c>
      <c r="H183" s="70">
        <f>'RESUMEN TOTAL'!N219</f>
        <v>0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>
        <f>'RESUMEN TOTAL'!M229</f>
        <v>0</v>
      </c>
      <c r="H193" s="70">
        <f>'RESUMEN TOTAL'!N229</f>
        <v>0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>
        <f>'RESUMEN TOTAL'!M230</f>
        <v>0</v>
      </c>
      <c r="H194" s="70">
        <f>'RESUMEN TOTAL'!N230</f>
        <v>0</v>
      </c>
      <c r="I194" s="70">
        <f>'RESUMEN TOTAL'!O230</f>
        <v>0</v>
      </c>
      <c r="J194" s="70">
        <f>'RESUMEN TOTAL'!P230</f>
        <v>0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>
        <f>'RESUMEN TOTAL'!M231</f>
        <v>0</v>
      </c>
      <c r="H195" s="70">
        <f>'RESUMEN TOTAL'!N231</f>
        <v>0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>
        <f>'RESUMEN TOTAL'!M238</f>
        <v>0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>
        <f>'RESUMEN TOTAL'!O241</f>
        <v>0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>
        <f>'RESUMEN TOTAL'!M249</f>
        <v>0</v>
      </c>
      <c r="H213" s="70">
        <f>'RESUMEN TOTAL'!N249</f>
        <v>0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>
        <f>'RESUMEN TOTAL'!M251</f>
        <v>0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>
        <f>'RESUMEN TOTAL'!M259</f>
        <v>0</v>
      </c>
      <c r="H221" s="70">
        <f>'RESUMEN TOTAL'!N259</f>
        <v>0</v>
      </c>
      <c r="I221" s="70">
        <f>'RESUMEN TOTAL'!O259</f>
        <v>0</v>
      </c>
      <c r="J221" s="70">
        <f>'RESUMEN TOTAL'!P259</f>
        <v>0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>
        <f>'RESUMEN TOTAL'!N267</f>
        <v>0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>
        <f>'RESUMEN TOTAL'!M277</f>
        <v>0</v>
      </c>
      <c r="H237" s="70">
        <f>'RESUMEN TOTAL'!N277</f>
        <v>0</v>
      </c>
      <c r="I237" s="70">
        <f>'RESUMEN TOTAL'!O277</f>
        <v>0</v>
      </c>
      <c r="J237" s="70">
        <f>'RESUMEN TOTAL'!P277</f>
        <v>0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>
        <f>'RESUMEN TOTAL'!M288</f>
        <v>0</v>
      </c>
      <c r="H248" s="70">
        <f>'RESUMEN TOTAL'!N288</f>
        <v>0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>
        <f>'RESUMEN TOTAL'!M289</f>
        <v>0</v>
      </c>
      <c r="H249" s="70">
        <f>'RESUMEN TOTAL'!N289</f>
        <v>0</v>
      </c>
      <c r="I249" s="70">
        <f>'RESUMEN TOTAL'!O289</f>
        <v>0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>
        <f>'RESUMEN TOTAL'!M290</f>
        <v>0</v>
      </c>
      <c r="H250" s="70">
        <f>'RESUMEN TOTAL'!N290</f>
        <v>0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>
        <f>'RESUMEN TOTAL'!M292</f>
        <v>0</v>
      </c>
      <c r="H252" s="70">
        <f>'RESUMEN TOTAL'!N292</f>
        <v>0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>
        <f>'RESUMEN TOTAL'!M311</f>
        <v>0</v>
      </c>
      <c r="H267" s="70">
        <f>'RESUMEN TOTAL'!N311</f>
        <v>0</v>
      </c>
      <c r="I267" s="70">
        <f>'RESUMEN TOTAL'!O311</f>
        <v>0</v>
      </c>
      <c r="J267" s="70">
        <f>'RESUMEN TOTAL'!P311</f>
        <v>0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>
        <f>'RESUMEN TOTAL'!M319</f>
        <v>0</v>
      </c>
      <c r="H275" s="70">
        <f>'RESUMEN TOTAL'!N319</f>
        <v>0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>
        <f>'RESUMEN TOTAL'!M320</f>
        <v>0</v>
      </c>
      <c r="H276" s="70">
        <f>'RESUMEN TOTAL'!N320</f>
        <v>0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>
        <f>'RESUMEN TOTAL'!AL342</f>
        <v>0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</row>
    <row r="293" spans="1:35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</row>
    <row r="294" spans="1:35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</row>
    <row r="295" spans="1:35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>
        <f>'RESUMEN TOTAL'!AL345</f>
        <v>0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</row>
    <row r="296" spans="1:35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>
        <f>'RESUMEN TOTAL'!N346</f>
        <v>0</v>
      </c>
      <c r="I296" s="70">
        <f>'RESUMEN TOTAL'!O346</f>
        <v>0</v>
      </c>
      <c r="J296" s="70">
        <f>'RESUMEN TOTAL'!P346</f>
        <v>0</v>
      </c>
      <c r="K296" s="70">
        <f>'RESUMEN TOTAL'!Q346</f>
        <v>0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>
        <f>'RESUMEN TOTAL'!AN346</f>
        <v>0</v>
      </c>
      <c r="AI296" s="70">
        <f>'RESUMEN TOTAL'!AO346</f>
        <v>0</v>
      </c>
    </row>
    <row r="297" spans="1:35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>
        <f>'RESUMEN TOTAL'!Q347</f>
        <v>0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>
        <f>'RESUMEN TOTAL'!AL347</f>
        <v>0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</row>
    <row r="298" spans="1:35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>
        <f>'RESUMEN TOTAL'!Q348</f>
        <v>0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>
        <f>'RESUMEN TOTAL'!AL348</f>
        <v>0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</row>
    <row r="299" spans="1:35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>
        <f>'RESUMEN TOTAL'!AL349</f>
        <v>0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</row>
    <row r="300" spans="1:35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 t="str">
        <f>'RESUMEN TOTAL'!L350</f>
        <v>APAGADO</v>
      </c>
      <c r="G300" s="70">
        <f>'RESUMEN TOTAL'!M350</f>
        <v>0</v>
      </c>
      <c r="H300" s="70">
        <f>'RESUMEN TOTAL'!N350</f>
        <v>0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>
        <f>'RESUMEN TOTAL'!AG350</f>
        <v>0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</row>
    <row r="301" spans="1:35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>
        <f>'RESUMEN TOTAL'!M351</f>
        <v>0</v>
      </c>
      <c r="H301" s="70">
        <f>'RESUMEN TOTAL'!N351</f>
        <v>0</v>
      </c>
      <c r="I301" s="70">
        <f>'RESUMEN TOTAL'!O351</f>
        <v>0</v>
      </c>
      <c r="J301" s="70">
        <f>'RESUMEN TOTAL'!P351</f>
        <v>0</v>
      </c>
      <c r="K301" s="70">
        <f>'RESUMEN TOTAL'!Q351</f>
        <v>0</v>
      </c>
      <c r="L301" s="70">
        <f>'RESUMEN TOTAL'!R351</f>
        <v>0</v>
      </c>
      <c r="M301" s="70">
        <f>'RESUMEN TOTAL'!S351</f>
        <v>0</v>
      </c>
      <c r="N301" s="70">
        <f>'RESUMEN TOTAL'!T351</f>
        <v>0</v>
      </c>
      <c r="O301" s="70">
        <f>'RESUMEN TOTAL'!U351</f>
        <v>0</v>
      </c>
      <c r="P301" s="70">
        <f>'RESUMEN TOTAL'!V351</f>
        <v>0</v>
      </c>
      <c r="Q301" s="70">
        <f>'RESUMEN TOTAL'!W351</f>
        <v>0</v>
      </c>
      <c r="R301" s="70">
        <f>'RESUMEN TOTAL'!X351</f>
        <v>0</v>
      </c>
      <c r="S301" s="70">
        <f>'RESUMEN TOTAL'!Y351</f>
        <v>0</v>
      </c>
      <c r="T301" s="70">
        <f>'RESUMEN TOTAL'!Z351</f>
        <v>0</v>
      </c>
      <c r="U301" s="70">
        <f>'RESUMEN TOTAL'!AA351</f>
        <v>0</v>
      </c>
      <c r="V301" s="70">
        <f>'RESUMEN TOTAL'!AB351</f>
        <v>0</v>
      </c>
      <c r="W301" s="70">
        <f>'RESUMEN TOTAL'!AC351</f>
        <v>0</v>
      </c>
      <c r="X301" s="70">
        <f>'RESUMEN TOTAL'!AD351</f>
        <v>0</v>
      </c>
      <c r="Y301" s="70">
        <f>'RESUMEN TOTAL'!AE351</f>
        <v>0</v>
      </c>
      <c r="Z301" s="70">
        <f>'RESUMEN TOTAL'!AF351</f>
        <v>0</v>
      </c>
      <c r="AA301" s="70">
        <f>'RESUMEN TOTAL'!AG351</f>
        <v>0</v>
      </c>
      <c r="AB301" s="70">
        <f>'RESUMEN TOTAL'!AH351</f>
        <v>0</v>
      </c>
      <c r="AC301" s="70">
        <f>'RESUMEN TOTAL'!AI351</f>
        <v>0</v>
      </c>
      <c r="AD301" s="70">
        <f>'RESUMEN TOTAL'!AJ351</f>
        <v>0</v>
      </c>
      <c r="AE301" s="70">
        <f>'RESUMEN TOTAL'!AK351</f>
        <v>0</v>
      </c>
      <c r="AF301" s="70">
        <f>'RESUMEN TOTAL'!AL351</f>
        <v>0</v>
      </c>
      <c r="AG301" s="70">
        <f>'RESUMEN TOTAL'!AM351</f>
        <v>0</v>
      </c>
      <c r="AH301" s="70">
        <f>'RESUMEN TOTAL'!AN351</f>
        <v>0</v>
      </c>
      <c r="AI301" s="70">
        <f>'RESUMEN TOTAL'!AO351</f>
        <v>0</v>
      </c>
    </row>
    <row r="302" spans="1:35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>
        <f>'RESUMEN TOTAL'!M352</f>
        <v>0</v>
      </c>
      <c r="H302" s="70">
        <f>'RESUMEN TOTAL'!N352</f>
        <v>0</v>
      </c>
      <c r="I302" s="70">
        <f>'RESUMEN TOTAL'!O352</f>
        <v>0</v>
      </c>
      <c r="J302" s="70">
        <f>'RESUMEN TOTAL'!P352</f>
        <v>0</v>
      </c>
      <c r="K302" s="70">
        <f>'RESUMEN TOTAL'!Q352</f>
        <v>0</v>
      </c>
      <c r="L302" s="70">
        <f>'RESUMEN TOTAL'!R352</f>
        <v>0</v>
      </c>
      <c r="M302" s="70">
        <f>'RESUMEN TOTAL'!S352</f>
        <v>0</v>
      </c>
      <c r="N302" s="70">
        <f>'RESUMEN TOTAL'!T352</f>
        <v>0</v>
      </c>
      <c r="O302" s="70">
        <f>'RESUMEN TOTAL'!U352</f>
        <v>0</v>
      </c>
      <c r="P302" s="70">
        <f>'RESUMEN TOTAL'!V352</f>
        <v>0</v>
      </c>
      <c r="Q302" s="70">
        <f>'RESUMEN TOTAL'!W352</f>
        <v>0</v>
      </c>
      <c r="R302" s="70">
        <f>'RESUMEN TOTAL'!X352</f>
        <v>0</v>
      </c>
      <c r="S302" s="70">
        <f>'RESUMEN TOTAL'!Y352</f>
        <v>0</v>
      </c>
      <c r="T302" s="70">
        <f>'RESUMEN TOTAL'!Z352</f>
        <v>0</v>
      </c>
      <c r="U302" s="70">
        <f>'RESUMEN TOTAL'!AA352</f>
        <v>0</v>
      </c>
      <c r="V302" s="70">
        <f>'RESUMEN TOTAL'!AB352</f>
        <v>0</v>
      </c>
      <c r="W302" s="70">
        <f>'RESUMEN TOTAL'!AC352</f>
        <v>0</v>
      </c>
      <c r="X302" s="70">
        <f>'RESUMEN TOTAL'!AD352</f>
        <v>0</v>
      </c>
      <c r="Y302" s="70">
        <f>'RESUMEN TOTAL'!AE352</f>
        <v>0</v>
      </c>
      <c r="Z302" s="70">
        <f>'RESUMEN TOTAL'!AF352</f>
        <v>0</v>
      </c>
      <c r="AA302" s="70">
        <f>'RESUMEN TOTAL'!AG352</f>
        <v>0</v>
      </c>
      <c r="AB302" s="70">
        <f>'RESUMEN TOTAL'!AH352</f>
        <v>0</v>
      </c>
      <c r="AC302" s="70">
        <f>'RESUMEN TOTAL'!AI352</f>
        <v>0</v>
      </c>
      <c r="AD302" s="70">
        <f>'RESUMEN TOTAL'!AJ352</f>
        <v>0</v>
      </c>
      <c r="AE302" s="70">
        <f>'RESUMEN TOTAL'!AK352</f>
        <v>0</v>
      </c>
      <c r="AF302" s="70">
        <f>'RESUMEN TOTAL'!AL352</f>
        <v>0</v>
      </c>
      <c r="AG302" s="70">
        <f>'RESUMEN TOTAL'!AM352</f>
        <v>0</v>
      </c>
      <c r="AH302" s="70">
        <f>'RESUMEN TOTAL'!AN352</f>
        <v>0</v>
      </c>
      <c r="AI302" s="70">
        <f>'RESUMEN TOTAL'!AO352</f>
        <v>0</v>
      </c>
    </row>
    <row r="303" spans="1:35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</row>
    <row r="304" spans="1:35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>
        <f>'RESUMEN TOTAL'!Q354</f>
        <v>0</v>
      </c>
      <c r="L304" s="70">
        <f>'RESUMEN TOTAL'!R354</f>
        <v>0</v>
      </c>
      <c r="M304" s="70">
        <f>'RESUMEN TOTAL'!S354</f>
        <v>0</v>
      </c>
      <c r="N304" s="70">
        <f>'RESUMEN TOTAL'!T354</f>
        <v>0</v>
      </c>
      <c r="O304" s="70">
        <f>'RESUMEN TOTAL'!U354</f>
        <v>0</v>
      </c>
      <c r="P304" s="70">
        <f>'RESUMEN TOTAL'!V354</f>
        <v>0</v>
      </c>
      <c r="Q304" s="70">
        <f>'RESUMEN TOTAL'!W354</f>
        <v>0</v>
      </c>
      <c r="R304" s="70">
        <f>'RESUMEN TOTAL'!X354</f>
        <v>0</v>
      </c>
      <c r="S304" s="70">
        <f>'RESUMEN TOTAL'!Y354</f>
        <v>0</v>
      </c>
      <c r="T304" s="70">
        <f>'RESUMEN TOTAL'!Z354</f>
        <v>0</v>
      </c>
      <c r="U304" s="70">
        <f>'RESUMEN TOTAL'!AA354</f>
        <v>0</v>
      </c>
      <c r="V304" s="70">
        <f>'RESUMEN TOTAL'!AB354</f>
        <v>0</v>
      </c>
      <c r="W304" s="70">
        <f>'RESUMEN TOTAL'!AC354</f>
        <v>0</v>
      </c>
      <c r="X304" s="70">
        <f>'RESUMEN TOTAL'!AD354</f>
        <v>0</v>
      </c>
      <c r="Y304" s="70">
        <f>'RESUMEN TOTAL'!AE354</f>
        <v>0</v>
      </c>
      <c r="Z304" s="70">
        <f>'RESUMEN TOTAL'!AF354</f>
        <v>0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>
        <f>'RESUMEN TOTAL'!AL354</f>
        <v>0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</row>
    <row r="305" spans="1:35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>
        <f>'RESUMEN TOTAL'!Q355</f>
        <v>0</v>
      </c>
      <c r="L305" s="70">
        <f>'RESUMEN TOTAL'!R355</f>
        <v>0</v>
      </c>
      <c r="M305" s="70">
        <f>'RESUMEN TOTAL'!S355</f>
        <v>0</v>
      </c>
      <c r="N305" s="70">
        <f>'RESUMEN TOTAL'!T355</f>
        <v>0</v>
      </c>
      <c r="O305" s="70">
        <f>'RESUMEN TOTAL'!U355</f>
        <v>0</v>
      </c>
      <c r="P305" s="70">
        <f>'RESUMEN TOTAL'!V355</f>
        <v>0</v>
      </c>
      <c r="Q305" s="70">
        <f>'RESUMEN TOTAL'!W355</f>
        <v>0</v>
      </c>
      <c r="R305" s="70">
        <f>'RESUMEN TOTAL'!X355</f>
        <v>0</v>
      </c>
      <c r="S305" s="70">
        <f>'RESUMEN TOTAL'!Y355</f>
        <v>0</v>
      </c>
      <c r="T305" s="70">
        <f>'RESUMEN TOTAL'!Z355</f>
        <v>0</v>
      </c>
      <c r="U305" s="70">
        <f>'RESUMEN TOTAL'!AA355</f>
        <v>0</v>
      </c>
      <c r="V305" s="70">
        <f>'RESUMEN TOTAL'!AB355</f>
        <v>0</v>
      </c>
      <c r="W305" s="70">
        <f>'RESUMEN TOTAL'!AC355</f>
        <v>0</v>
      </c>
      <c r="X305" s="70">
        <f>'RESUMEN TOTAL'!AD355</f>
        <v>0</v>
      </c>
      <c r="Y305" s="70">
        <f>'RESUMEN TOTAL'!AE355</f>
        <v>0</v>
      </c>
      <c r="Z305" s="70">
        <f>'RESUMEN TOTAL'!AF355</f>
        <v>0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>
        <f>'RESUMEN TOTAL'!AL355</f>
        <v>0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</row>
    <row r="306" spans="1:35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>
        <f>'RESUMEN TOTAL'!Q356</f>
        <v>0</v>
      </c>
      <c r="L306" s="70">
        <f>'RESUMEN TOTAL'!R356</f>
        <v>0</v>
      </c>
      <c r="M306" s="70">
        <f>'RESUMEN TOTAL'!S356</f>
        <v>0</v>
      </c>
      <c r="N306" s="70">
        <f>'RESUMEN TOTAL'!T356</f>
        <v>0</v>
      </c>
      <c r="O306" s="70">
        <f>'RESUMEN TOTAL'!U356</f>
        <v>0</v>
      </c>
      <c r="P306" s="70">
        <f>'RESUMEN TOTAL'!V356</f>
        <v>0</v>
      </c>
      <c r="Q306" s="70">
        <f>'RESUMEN TOTAL'!W356</f>
        <v>0</v>
      </c>
      <c r="R306" s="70">
        <f>'RESUMEN TOTAL'!X356</f>
        <v>0</v>
      </c>
      <c r="S306" s="70">
        <f>'RESUMEN TOTAL'!Y356</f>
        <v>0</v>
      </c>
      <c r="T306" s="70">
        <f>'RESUMEN TOTAL'!Z356</f>
        <v>0</v>
      </c>
      <c r="U306" s="70">
        <f>'RESUMEN TOTAL'!AA356</f>
        <v>0</v>
      </c>
      <c r="V306" s="70">
        <f>'RESUMEN TOTAL'!AB356</f>
        <v>0</v>
      </c>
      <c r="W306" s="70">
        <f>'RESUMEN TOTAL'!AC356</f>
        <v>0</v>
      </c>
      <c r="X306" s="70">
        <f>'RESUMEN TOTAL'!AD356</f>
        <v>0</v>
      </c>
      <c r="Y306" s="70">
        <f>'RESUMEN TOTAL'!AE356</f>
        <v>0</v>
      </c>
      <c r="Z306" s="70">
        <f>'RESUMEN TOTAL'!AF356</f>
        <v>0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>
        <f>'RESUMEN TOTAL'!AL356</f>
        <v>0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</row>
    <row r="307" spans="1:35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>
        <f>'RESUMEN TOTAL'!Q357</f>
        <v>0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>
        <f>'RESUMEN TOTAL'!AL357</f>
        <v>0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</row>
    <row r="308" spans="1:35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>
        <f>'RESUMEN TOTAL'!Q358</f>
        <v>0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>
        <f>'RESUMEN TOTAL'!AL358</f>
        <v>0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</row>
    <row r="309" spans="1:35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>
        <f>'RESUMEN TOTAL'!Q359</f>
        <v>0</v>
      </c>
      <c r="L309" s="70">
        <f>'RESUMEN TOTAL'!R359</f>
        <v>0</v>
      </c>
      <c r="M309" s="70">
        <f>'RESUMEN TOTAL'!S359</f>
        <v>0</v>
      </c>
      <c r="N309" s="70">
        <f>'RESUMEN TOTAL'!T359</f>
        <v>0</v>
      </c>
      <c r="O309" s="70">
        <f>'RESUMEN TOTAL'!U359</f>
        <v>0</v>
      </c>
      <c r="P309" s="70">
        <f>'RESUMEN TOTAL'!V359</f>
        <v>0</v>
      </c>
      <c r="Q309" s="70">
        <f>'RESUMEN TOTAL'!W359</f>
        <v>0</v>
      </c>
      <c r="R309" s="70">
        <f>'RESUMEN TOTAL'!X359</f>
        <v>0</v>
      </c>
      <c r="S309" s="70">
        <f>'RESUMEN TOTAL'!Y359</f>
        <v>0</v>
      </c>
      <c r="T309" s="70">
        <f>'RESUMEN TOTAL'!Z359</f>
        <v>0</v>
      </c>
      <c r="U309" s="70">
        <f>'RESUMEN TOTAL'!AA359</f>
        <v>0</v>
      </c>
      <c r="V309" s="70">
        <f>'RESUMEN TOTAL'!AB359</f>
        <v>0</v>
      </c>
      <c r="W309" s="70">
        <f>'RESUMEN TOTAL'!AC359</f>
        <v>0</v>
      </c>
      <c r="X309" s="70">
        <f>'RESUMEN TOTAL'!AD359</f>
        <v>0</v>
      </c>
      <c r="Y309" s="70">
        <f>'RESUMEN TOTAL'!AE359</f>
        <v>0</v>
      </c>
      <c r="Z309" s="70">
        <f>'RESUMEN TOTAL'!AF359</f>
        <v>0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>
        <f>'RESUMEN TOTAL'!AL359</f>
        <v>0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</row>
    <row r="310" spans="1:35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>
        <f>'RESUMEN TOTAL'!Q360</f>
        <v>0</v>
      </c>
      <c r="L310" s="70">
        <f>'RESUMEN TOTAL'!R360</f>
        <v>0</v>
      </c>
      <c r="M310" s="70">
        <f>'RESUMEN TOTAL'!S360</f>
        <v>0</v>
      </c>
      <c r="N310" s="70">
        <f>'RESUMEN TOTAL'!T360</f>
        <v>0</v>
      </c>
      <c r="O310" s="70">
        <f>'RESUMEN TOTAL'!U360</f>
        <v>0</v>
      </c>
      <c r="P310" s="70">
        <f>'RESUMEN TOTAL'!V360</f>
        <v>0</v>
      </c>
      <c r="Q310" s="70">
        <f>'RESUMEN TOTAL'!W360</f>
        <v>0</v>
      </c>
      <c r="R310" s="70">
        <f>'RESUMEN TOTAL'!X360</f>
        <v>0</v>
      </c>
      <c r="S310" s="70">
        <f>'RESUMEN TOTAL'!Y360</f>
        <v>0</v>
      </c>
      <c r="T310" s="70">
        <f>'RESUMEN TOTAL'!Z360</f>
        <v>0</v>
      </c>
      <c r="U310" s="70">
        <f>'RESUMEN TOTAL'!AA360</f>
        <v>0</v>
      </c>
      <c r="V310" s="70">
        <f>'RESUMEN TOTAL'!AB360</f>
        <v>0</v>
      </c>
      <c r="W310" s="70">
        <f>'RESUMEN TOTAL'!AC360</f>
        <v>0</v>
      </c>
      <c r="X310" s="70">
        <f>'RESUMEN TOTAL'!AD360</f>
        <v>0</v>
      </c>
      <c r="Y310" s="70">
        <f>'RESUMEN TOTAL'!AE360</f>
        <v>0</v>
      </c>
      <c r="Z310" s="70">
        <f>'RESUMEN TOTAL'!AF360</f>
        <v>0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>
        <f>'RESUMEN TOTAL'!AL360</f>
        <v>0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</row>
    <row r="311" spans="1:35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>
        <f>'RESUMEN TOTAL'!Q361</f>
        <v>0</v>
      </c>
      <c r="L311" s="70">
        <f>'RESUMEN TOTAL'!R361</f>
        <v>0</v>
      </c>
      <c r="M311" s="70">
        <f>'RESUMEN TOTAL'!S361</f>
        <v>0</v>
      </c>
      <c r="N311" s="70">
        <f>'RESUMEN TOTAL'!T361</f>
        <v>0</v>
      </c>
      <c r="O311" s="70">
        <f>'RESUMEN TOTAL'!U361</f>
        <v>0</v>
      </c>
      <c r="P311" s="70">
        <f>'RESUMEN TOTAL'!V361</f>
        <v>0</v>
      </c>
      <c r="Q311" s="70">
        <f>'RESUMEN TOTAL'!W361</f>
        <v>0</v>
      </c>
      <c r="R311" s="70">
        <f>'RESUMEN TOTAL'!X361</f>
        <v>0</v>
      </c>
      <c r="S311" s="70">
        <f>'RESUMEN TOTAL'!Y361</f>
        <v>0</v>
      </c>
      <c r="T311" s="70">
        <f>'RESUMEN TOTAL'!Z361</f>
        <v>0</v>
      </c>
      <c r="U311" s="70">
        <f>'RESUMEN TOTAL'!AA361</f>
        <v>0</v>
      </c>
      <c r="V311" s="70">
        <f>'RESUMEN TOTAL'!AB361</f>
        <v>0</v>
      </c>
      <c r="W311" s="70">
        <f>'RESUMEN TOTAL'!AC361</f>
        <v>0</v>
      </c>
      <c r="X311" s="70">
        <f>'RESUMEN TOTAL'!AD361</f>
        <v>0</v>
      </c>
      <c r="Y311" s="70">
        <f>'RESUMEN TOTAL'!AE361</f>
        <v>0</v>
      </c>
      <c r="Z311" s="70">
        <f>'RESUMEN TOTAL'!AF361</f>
        <v>0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>
        <f>'RESUMEN TOTAL'!AL361</f>
        <v>0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</row>
    <row r="312" spans="1:35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>
        <f>'RESUMEN TOTAL'!Q362</f>
        <v>0</v>
      </c>
      <c r="L312" s="70">
        <f>'RESUMEN TOTAL'!R362</f>
        <v>0</v>
      </c>
      <c r="M312" s="70">
        <f>'RESUMEN TOTAL'!S362</f>
        <v>0</v>
      </c>
      <c r="N312" s="70">
        <f>'RESUMEN TOTAL'!T362</f>
        <v>0</v>
      </c>
      <c r="O312" s="70">
        <f>'RESUMEN TOTAL'!U362</f>
        <v>0</v>
      </c>
      <c r="P312" s="70">
        <f>'RESUMEN TOTAL'!V362</f>
        <v>0</v>
      </c>
      <c r="Q312" s="70">
        <f>'RESUMEN TOTAL'!W362</f>
        <v>0</v>
      </c>
      <c r="R312" s="70">
        <f>'RESUMEN TOTAL'!X362</f>
        <v>0</v>
      </c>
      <c r="S312" s="70">
        <f>'RESUMEN TOTAL'!Y362</f>
        <v>0</v>
      </c>
      <c r="T312" s="70">
        <f>'RESUMEN TOTAL'!Z362</f>
        <v>0</v>
      </c>
      <c r="U312" s="70">
        <f>'RESUMEN TOTAL'!AA362</f>
        <v>0</v>
      </c>
      <c r="V312" s="70">
        <f>'RESUMEN TOTAL'!AB362</f>
        <v>0</v>
      </c>
      <c r="W312" s="70">
        <f>'RESUMEN TOTAL'!AC362</f>
        <v>0</v>
      </c>
      <c r="X312" s="70">
        <f>'RESUMEN TOTAL'!AD362</f>
        <v>0</v>
      </c>
      <c r="Y312" s="70">
        <f>'RESUMEN TOTAL'!AE362</f>
        <v>0</v>
      </c>
      <c r="Z312" s="70">
        <f>'RESUMEN TOTAL'!AF362</f>
        <v>0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>
        <f>'RESUMEN TOTAL'!AL362</f>
        <v>0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</row>
    <row r="313" spans="1:35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>
        <f>'RESUMEN TOTAL'!Q363</f>
        <v>0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>
        <f>'RESUMEN TOTAL'!AL363</f>
        <v>0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</row>
    <row r="314" spans="1:35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>
        <f>'RESUMEN TOTAL'!Q364</f>
        <v>0</v>
      </c>
      <c r="L314" s="70">
        <f>'RESUMEN TOTAL'!R364</f>
        <v>0</v>
      </c>
      <c r="M314" s="70">
        <f>'RESUMEN TOTAL'!S364</f>
        <v>0</v>
      </c>
      <c r="N314" s="70">
        <f>'RESUMEN TOTAL'!T364</f>
        <v>0</v>
      </c>
      <c r="O314" s="70">
        <f>'RESUMEN TOTAL'!U364</f>
        <v>0</v>
      </c>
      <c r="P314" s="70">
        <f>'RESUMEN TOTAL'!V364</f>
        <v>0</v>
      </c>
      <c r="Q314" s="70">
        <f>'RESUMEN TOTAL'!W364</f>
        <v>0</v>
      </c>
      <c r="R314" s="70">
        <f>'RESUMEN TOTAL'!X364</f>
        <v>0</v>
      </c>
      <c r="S314" s="70">
        <f>'RESUMEN TOTAL'!Y364</f>
        <v>0</v>
      </c>
      <c r="T314" s="70">
        <f>'RESUMEN TOTAL'!Z364</f>
        <v>0</v>
      </c>
      <c r="U314" s="70">
        <f>'RESUMEN TOTAL'!AA364</f>
        <v>0</v>
      </c>
      <c r="V314" s="70">
        <f>'RESUMEN TOTAL'!AB364</f>
        <v>0</v>
      </c>
      <c r="W314" s="70">
        <f>'RESUMEN TOTAL'!AC364</f>
        <v>0</v>
      </c>
      <c r="X314" s="70">
        <f>'RESUMEN TOTAL'!AD364</f>
        <v>0</v>
      </c>
      <c r="Y314" s="70">
        <f>'RESUMEN TOTAL'!AE364</f>
        <v>0</v>
      </c>
      <c r="Z314" s="70">
        <f>'RESUMEN TOTAL'!AF364</f>
        <v>0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>
        <f>'RESUMEN TOTAL'!AL364</f>
        <v>0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</row>
    <row r="315" spans="1:35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 t="str">
        <f>'RESUMEN TOTAL'!L365</f>
        <v>APAGADO</v>
      </c>
      <c r="G315" s="70">
        <f>'RESUMEN TOTAL'!M365</f>
        <v>0</v>
      </c>
      <c r="H315" s="70">
        <f>'RESUMEN TOTAL'!N365</f>
        <v>0</v>
      </c>
      <c r="I315" s="70">
        <f>'RESUMEN TOTAL'!O365</f>
        <v>0</v>
      </c>
      <c r="J315" s="70">
        <f>'RESUMEN TOTAL'!P365</f>
        <v>0</v>
      </c>
      <c r="K315" s="70">
        <f>'RESUMEN TOTAL'!Q365</f>
        <v>0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>
        <f>'RESUMEN TOTAL'!AG365</f>
        <v>0</v>
      </c>
      <c r="AB315" s="70">
        <f>'RESUMEN TOTAL'!AH365</f>
        <v>0</v>
      </c>
      <c r="AC315" s="70">
        <f>'RESUMEN TOTAL'!AI365</f>
        <v>0</v>
      </c>
      <c r="AD315" s="70">
        <f>'RESUMEN TOTAL'!AJ365</f>
        <v>0</v>
      </c>
      <c r="AE315" s="70">
        <f>'RESUMEN TOTAL'!AK365</f>
        <v>0</v>
      </c>
      <c r="AF315" s="70">
        <f>'RESUMEN TOTAL'!AL365</f>
        <v>0</v>
      </c>
      <c r="AG315" s="70">
        <f>'RESUMEN TOTAL'!AM365</f>
        <v>0</v>
      </c>
      <c r="AH315" s="70">
        <f>'RESUMEN TOTAL'!AN365</f>
        <v>0</v>
      </c>
      <c r="AI315" s="70">
        <f>'RESUMEN TOTAL'!AO365</f>
        <v>0</v>
      </c>
    </row>
    <row r="316" spans="1:35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>
        <f>'RESUMEN TOTAL'!L369</f>
        <v>0</v>
      </c>
      <c r="G316" s="70">
        <f>'RESUMEN TOTAL'!M369</f>
        <v>0</v>
      </c>
      <c r="H316" s="70">
        <f>'RESUMEN TOTAL'!N369</f>
        <v>0</v>
      </c>
      <c r="I316" s="70">
        <f>'RESUMEN TOTAL'!O369</f>
        <v>0</v>
      </c>
      <c r="J316" s="70">
        <f>'RESUMEN TOTAL'!P369</f>
        <v>0</v>
      </c>
      <c r="K316" s="70">
        <f>'RESUMEN TOTAL'!Q369</f>
        <v>0</v>
      </c>
      <c r="L316" s="70">
        <f>'RESUMEN TOTAL'!R369</f>
        <v>0</v>
      </c>
      <c r="M316" s="70">
        <f>'RESUMEN TOTAL'!S369</f>
        <v>0</v>
      </c>
      <c r="N316" s="70">
        <f>'RESUMEN TOTAL'!T369</f>
        <v>0</v>
      </c>
      <c r="O316" s="70">
        <f>'RESUMEN TOTAL'!U369</f>
        <v>0</v>
      </c>
      <c r="P316" s="70">
        <f>'RESUMEN TOTAL'!V369</f>
        <v>0</v>
      </c>
      <c r="Q316" s="70">
        <f>'RESUMEN TOTAL'!W369</f>
        <v>0</v>
      </c>
      <c r="R316" s="70">
        <f>'RESUMEN TOTAL'!X369</f>
        <v>0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</row>
    <row r="317" spans="1:35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</row>
    <row r="318" spans="1:35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</row>
    <row r="319" spans="1:35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</row>
    <row r="320" spans="1:35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</row>
    <row r="321" spans="1:35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</row>
    <row r="322" spans="1:35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 t="str">
        <f>'RESUMEN TOTAL'!L375</f>
        <v>APAGADO</v>
      </c>
      <c r="G322" s="70">
        <f>'RESUMEN TOTAL'!M375</f>
        <v>0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>
        <f>'RESUMEN TOTAL'!V375</f>
        <v>0</v>
      </c>
      <c r="Q322" s="70">
        <f>'RESUMEN TOTAL'!W375</f>
        <v>0</v>
      </c>
      <c r="R322" s="70">
        <f>'RESUMEN TOTAL'!X375</f>
        <v>0</v>
      </c>
      <c r="S322" s="70">
        <f>'RESUMEN TOTAL'!Y375</f>
        <v>0</v>
      </c>
      <c r="T322" s="70">
        <f>'RESUMEN TOTAL'!Z375</f>
        <v>0</v>
      </c>
      <c r="U322" s="70">
        <f>'RESUMEN TOTAL'!AA375</f>
        <v>0</v>
      </c>
      <c r="V322" s="70">
        <f>'RESUMEN TOTAL'!AB375</f>
        <v>0</v>
      </c>
      <c r="W322" s="70">
        <f>'RESUMEN TOTAL'!AC375</f>
        <v>0</v>
      </c>
      <c r="X322" s="70">
        <f>'RESUMEN TOTAL'!AD375</f>
        <v>0</v>
      </c>
      <c r="Y322" s="70">
        <f>'RESUMEN TOTAL'!AE375</f>
        <v>0</v>
      </c>
      <c r="Z322" s="70">
        <f>'RESUMEN TOTAL'!AF375</f>
        <v>0</v>
      </c>
      <c r="AA322" s="70">
        <f>'RESUMEN TOTAL'!AG375</f>
        <v>0</v>
      </c>
      <c r="AB322" s="70">
        <f>'RESUMEN TOTAL'!AH375</f>
        <v>0</v>
      </c>
      <c r="AC322" s="70">
        <f>'RESUMEN TOTAL'!AI375</f>
        <v>0</v>
      </c>
      <c r="AD322" s="70">
        <f>'RESUMEN TOTAL'!AJ375</f>
        <v>0</v>
      </c>
      <c r="AE322" s="70">
        <f>'RESUMEN TOTAL'!AK375</f>
        <v>0</v>
      </c>
      <c r="AF322" s="70">
        <f>'RESUMEN TOTAL'!AL375</f>
        <v>0</v>
      </c>
      <c r="AG322" s="70">
        <f>'RESUMEN TOTAL'!AM375</f>
        <v>0</v>
      </c>
      <c r="AH322" s="70">
        <f>'RESUMEN TOTAL'!AN375</f>
        <v>0</v>
      </c>
      <c r="AI322" s="70">
        <f>'RESUMEN TOTAL'!AO375</f>
        <v>0</v>
      </c>
    </row>
    <row r="323" spans="1:35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 t="str">
        <f>'RESUMEN TOTAL'!L376</f>
        <v>APAGADO</v>
      </c>
      <c r="G323" s="70">
        <f>'RESUMEN TOTAL'!M376</f>
        <v>0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>
        <f>'RESUMEN TOTAL'!V376</f>
        <v>0</v>
      </c>
      <c r="Q323" s="70">
        <f>'RESUMEN TOTAL'!W376</f>
        <v>0</v>
      </c>
      <c r="R323" s="70">
        <f>'RESUMEN TOTAL'!X376</f>
        <v>0</v>
      </c>
      <c r="S323" s="70">
        <f>'RESUMEN TOTAL'!Y376</f>
        <v>0</v>
      </c>
      <c r="T323" s="70">
        <f>'RESUMEN TOTAL'!Z376</f>
        <v>0</v>
      </c>
      <c r="U323" s="70">
        <f>'RESUMEN TOTAL'!AA376</f>
        <v>0</v>
      </c>
      <c r="V323" s="70">
        <f>'RESUMEN TOTAL'!AB376</f>
        <v>0</v>
      </c>
      <c r="W323" s="70">
        <f>'RESUMEN TOTAL'!AC376</f>
        <v>0</v>
      </c>
      <c r="X323" s="70">
        <f>'RESUMEN TOTAL'!AD376</f>
        <v>0</v>
      </c>
      <c r="Y323" s="70">
        <f>'RESUMEN TOTAL'!AE376</f>
        <v>0</v>
      </c>
      <c r="Z323" s="70">
        <f>'RESUMEN TOTAL'!AF376</f>
        <v>0</v>
      </c>
      <c r="AA323" s="70">
        <f>'RESUMEN TOTAL'!AG376</f>
        <v>0</v>
      </c>
      <c r="AB323" s="70">
        <f>'RESUMEN TOTAL'!AH376</f>
        <v>0</v>
      </c>
      <c r="AC323" s="70">
        <f>'RESUMEN TOTAL'!AI376</f>
        <v>0</v>
      </c>
      <c r="AD323" s="70">
        <f>'RESUMEN TOTAL'!AJ376</f>
        <v>0</v>
      </c>
      <c r="AE323" s="70">
        <f>'RESUMEN TOTAL'!AK376</f>
        <v>0</v>
      </c>
      <c r="AF323" s="70">
        <f>'RESUMEN TOTAL'!AL376</f>
        <v>0</v>
      </c>
      <c r="AG323" s="70">
        <f>'RESUMEN TOTAL'!AM376</f>
        <v>0</v>
      </c>
      <c r="AH323" s="70">
        <f>'RESUMEN TOTAL'!AN376</f>
        <v>0</v>
      </c>
      <c r="AI323" s="70">
        <f>'RESUMEN TOTAL'!AO376</f>
        <v>0</v>
      </c>
    </row>
    <row r="324" spans="1:35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GPON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</row>
    <row r="325" spans="1:35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GPON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</row>
    <row r="326" spans="1:35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>
        <f>'RESUMEN TOTAL'!M381</f>
        <v>0</v>
      </c>
      <c r="H326" s="70">
        <f>'RESUMEN TOTAL'!N381</f>
        <v>0</v>
      </c>
      <c r="I326" s="70">
        <f>'RESUMEN TOTAL'!O381</f>
        <v>0</v>
      </c>
      <c r="J326" s="70">
        <f>'RESUMEN TOTAL'!P381</f>
        <v>0</v>
      </c>
      <c r="K326" s="70">
        <f>'RESUMEN TOTAL'!Q381</f>
        <v>0</v>
      </c>
      <c r="L326" s="70">
        <f>'RESUMEN TOTAL'!R381</f>
        <v>0</v>
      </c>
      <c r="M326" s="70">
        <f>'RESUMEN TOTAL'!S381</f>
        <v>0</v>
      </c>
      <c r="N326" s="70">
        <f>'RESUMEN TOTAL'!T381</f>
        <v>0</v>
      </c>
      <c r="O326" s="70">
        <f>'RESUMEN TOTAL'!U381</f>
        <v>0</v>
      </c>
      <c r="P326" s="70">
        <f>'RESUMEN TOTAL'!V381</f>
        <v>0</v>
      </c>
      <c r="Q326" s="70">
        <f>'RESUMEN TOTAL'!W381</f>
        <v>0</v>
      </c>
      <c r="R326" s="70">
        <f>'RESUMEN TOTAL'!X381</f>
        <v>0</v>
      </c>
      <c r="S326" s="70">
        <f>'RESUMEN TOTAL'!Y381</f>
        <v>0</v>
      </c>
      <c r="T326" s="70">
        <f>'RESUMEN TOTAL'!Z381</f>
        <v>0</v>
      </c>
      <c r="U326" s="70">
        <f>'RESUMEN TOTAL'!AA381</f>
        <v>0</v>
      </c>
      <c r="V326" s="70">
        <f>'RESUMEN TOTAL'!AB381</f>
        <v>0</v>
      </c>
      <c r="W326" s="70">
        <f>'RESUMEN TOTAL'!AC381</f>
        <v>0</v>
      </c>
      <c r="X326" s="70">
        <f>'RESUMEN TOTAL'!AD381</f>
        <v>0</v>
      </c>
      <c r="Y326" s="70">
        <f>'RESUMEN TOTAL'!AE381</f>
        <v>0</v>
      </c>
      <c r="Z326" s="70">
        <f>'RESUMEN TOTAL'!AF381</f>
        <v>0</v>
      </c>
      <c r="AA326" s="70">
        <f>'RESUMEN TOTAL'!AG381</f>
        <v>0</v>
      </c>
      <c r="AB326" s="70">
        <f>'RESUMEN TOTAL'!AH381</f>
        <v>0</v>
      </c>
      <c r="AC326" s="70">
        <f>'RESUMEN TOTAL'!AI381</f>
        <v>0</v>
      </c>
      <c r="AD326" s="70">
        <f>'RESUMEN TOTAL'!AJ381</f>
        <v>0</v>
      </c>
      <c r="AE326" s="70">
        <f>'RESUMEN TOTAL'!AK381</f>
        <v>0</v>
      </c>
      <c r="AF326" s="70">
        <f>'RESUMEN TOTAL'!AL381</f>
        <v>0</v>
      </c>
      <c r="AG326" s="70">
        <f>'RESUMEN TOTAL'!AM381</f>
        <v>0</v>
      </c>
      <c r="AH326" s="70">
        <f>'RESUMEN TOTAL'!AN381</f>
        <v>0</v>
      </c>
      <c r="AI326" s="70">
        <f>'RESUMEN TOTAL'!AO381</f>
        <v>0</v>
      </c>
    </row>
    <row r="327" spans="1:35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</row>
    <row r="328" spans="1:35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</row>
    <row r="329" spans="1:35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>
        <f>'RESUMEN TOTAL'!M386</f>
        <v>0</v>
      </c>
      <c r="H329" s="70">
        <f>'RESUMEN TOTAL'!N386</f>
        <v>0</v>
      </c>
      <c r="I329" s="70">
        <f>'RESUMEN TOTAL'!O386</f>
        <v>0</v>
      </c>
      <c r="J329" s="70">
        <f>'RESUMEN TOTAL'!P386</f>
        <v>0</v>
      </c>
      <c r="K329" s="70">
        <f>'RESUMEN TOTAL'!Q386</f>
        <v>0</v>
      </c>
      <c r="L329" s="70">
        <f>'RESUMEN TOTAL'!R386</f>
        <v>0</v>
      </c>
      <c r="M329" s="70">
        <f>'RESUMEN TOTAL'!S386</f>
        <v>0</v>
      </c>
      <c r="N329" s="70">
        <f>'RESUMEN TOTAL'!T386</f>
        <v>0</v>
      </c>
      <c r="O329" s="70">
        <f>'RESUMEN TOTAL'!U386</f>
        <v>0</v>
      </c>
      <c r="P329" s="70">
        <f>'RESUMEN TOTAL'!V386</f>
        <v>0</v>
      </c>
      <c r="Q329" s="70">
        <f>'RESUMEN TOTAL'!W386</f>
        <v>0</v>
      </c>
      <c r="R329" s="70">
        <f>'RESUMEN TOTAL'!X386</f>
        <v>0</v>
      </c>
      <c r="S329" s="70">
        <f>'RESUMEN TOTAL'!Y386</f>
        <v>0</v>
      </c>
      <c r="T329" s="70">
        <f>'RESUMEN TOTAL'!Z386</f>
        <v>0</v>
      </c>
      <c r="U329" s="70">
        <f>'RESUMEN TOTAL'!AA386</f>
        <v>0</v>
      </c>
      <c r="V329" s="70">
        <f>'RESUMEN TOTAL'!AB386</f>
        <v>0</v>
      </c>
      <c r="W329" s="70">
        <f>'RESUMEN TOTAL'!AC386</f>
        <v>0</v>
      </c>
      <c r="X329" s="70">
        <f>'RESUMEN TOTAL'!AD386</f>
        <v>0</v>
      </c>
      <c r="Y329" s="70">
        <f>'RESUMEN TOTAL'!AE386</f>
        <v>0</v>
      </c>
      <c r="Z329" s="70">
        <f>'RESUMEN TOTAL'!AF386</f>
        <v>0</v>
      </c>
      <c r="AA329" s="70">
        <f>'RESUMEN TOTAL'!AG386</f>
        <v>0</v>
      </c>
      <c r="AB329" s="70">
        <f>'RESUMEN TOTAL'!AH386</f>
        <v>0</v>
      </c>
      <c r="AC329" s="70">
        <f>'RESUMEN TOTAL'!AI386</f>
        <v>0</v>
      </c>
      <c r="AD329" s="70">
        <f>'RESUMEN TOTAL'!AJ386</f>
        <v>0</v>
      </c>
      <c r="AE329" s="70">
        <f>'RESUMEN TOTAL'!AK386</f>
        <v>0</v>
      </c>
      <c r="AF329" s="70">
        <f>'RESUMEN TOTAL'!AL386</f>
        <v>0</v>
      </c>
      <c r="AG329" s="70">
        <f>'RESUMEN TOTAL'!AM386</f>
        <v>0</v>
      </c>
      <c r="AH329" s="70">
        <f>'RESUMEN TOTAL'!AN386</f>
        <v>0</v>
      </c>
      <c r="AI329" s="70">
        <f>'RESUMEN TOTAL'!AO386</f>
        <v>0</v>
      </c>
    </row>
    <row r="330" spans="1:35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</row>
    <row r="331" spans="1:35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</row>
    <row r="332" spans="1:35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>
        <f>'RESUMEN TOTAL'!L389</f>
        <v>0</v>
      </c>
      <c r="G332" s="70">
        <f>'RESUMEN TOTAL'!M389</f>
        <v>0</v>
      </c>
      <c r="H332" s="70">
        <f>'RESUMEN TOTAL'!N389</f>
        <v>0</v>
      </c>
      <c r="I332" s="70">
        <f>'RESUMEN TOTAL'!O389</f>
        <v>0</v>
      </c>
      <c r="J332" s="70">
        <f>'RESUMEN TOTAL'!P389</f>
        <v>0</v>
      </c>
      <c r="K332" s="70">
        <f>'RESUMEN TOTAL'!Q389</f>
        <v>0</v>
      </c>
      <c r="L332" s="70">
        <f>'RESUMEN TOTAL'!R389</f>
        <v>0</v>
      </c>
      <c r="M332" s="70">
        <f>'RESUMEN TOTAL'!S389</f>
        <v>0</v>
      </c>
      <c r="N332" s="70">
        <f>'RESUMEN TOTAL'!T389</f>
        <v>0</v>
      </c>
      <c r="O332" s="70">
        <f>'RESUMEN TOTAL'!U389</f>
        <v>0</v>
      </c>
      <c r="P332" s="70">
        <f>'RESUMEN TOTAL'!V389</f>
        <v>0</v>
      </c>
      <c r="Q332" s="70">
        <f>'RESUMEN TOTAL'!W389</f>
        <v>0</v>
      </c>
      <c r="R332" s="70">
        <f>'RESUMEN TOTAL'!X389</f>
        <v>0</v>
      </c>
      <c r="S332" s="70">
        <f>'RESUMEN TOTAL'!Y389</f>
        <v>0</v>
      </c>
      <c r="T332" s="70">
        <f>'RESUMEN TOTAL'!Z389</f>
        <v>0</v>
      </c>
      <c r="U332" s="70">
        <f>'RESUMEN TOTAL'!AA389</f>
        <v>0</v>
      </c>
      <c r="V332" s="70">
        <f>'RESUMEN TOTAL'!AB389</f>
        <v>0</v>
      </c>
      <c r="W332" s="70">
        <f>'RESUMEN TOTAL'!AC389</f>
        <v>0</v>
      </c>
      <c r="X332" s="70">
        <f>'RESUMEN TOTAL'!AD389</f>
        <v>0</v>
      </c>
      <c r="Y332" s="70">
        <f>'RESUMEN TOTAL'!AE389</f>
        <v>0</v>
      </c>
      <c r="Z332" s="70">
        <f>'RESUMEN TOTAL'!AF389</f>
        <v>0</v>
      </c>
      <c r="AA332" s="70">
        <f>'RESUMEN TOTAL'!AG389</f>
        <v>0</v>
      </c>
      <c r="AB332" s="70">
        <f>'RESUMEN TOTAL'!AH389</f>
        <v>0</v>
      </c>
      <c r="AC332" s="70">
        <f>'RESUMEN TOTAL'!AI389</f>
        <v>0</v>
      </c>
      <c r="AD332" s="70">
        <f>'RESUMEN TOTAL'!AJ389</f>
        <v>0</v>
      </c>
      <c r="AE332" s="70">
        <f>'RESUMEN TOTAL'!AK389</f>
        <v>0</v>
      </c>
      <c r="AF332" s="70">
        <f>'RESUMEN TOTAL'!AL389</f>
        <v>0</v>
      </c>
      <c r="AG332" s="70">
        <f>'RESUMEN TOTAL'!AM389</f>
        <v>0</v>
      </c>
      <c r="AH332" s="70">
        <f>'RESUMEN TOTAL'!AN389</f>
        <v>0</v>
      </c>
      <c r="AI332" s="70">
        <f>'RESUMEN TOTAL'!AO389</f>
        <v>0</v>
      </c>
    </row>
    <row r="333" spans="1:35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</row>
    <row r="334" spans="1:35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</row>
    <row r="335" spans="1:35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</row>
    <row r="336" spans="1:35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>
        <f>'RESUMEN TOTAL'!L395</f>
        <v>0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>
        <f>'RESUMEN TOTAL'!X395</f>
        <v>0</v>
      </c>
      <c r="S336" s="70">
        <f>'RESUMEN TOTAL'!Y395</f>
        <v>0</v>
      </c>
      <c r="T336" s="70">
        <f>'RESUMEN TOTAL'!Z395</f>
        <v>0</v>
      </c>
      <c r="U336" s="70">
        <f>'RESUMEN TOTAL'!AA395</f>
        <v>0</v>
      </c>
      <c r="V336" s="70">
        <f>'RESUMEN TOTAL'!AB395</f>
        <v>0</v>
      </c>
      <c r="W336" s="70">
        <f>'RESUMEN TOTAL'!AC395</f>
        <v>0</v>
      </c>
      <c r="X336" s="70">
        <f>'RESUMEN TOTAL'!AD395</f>
        <v>0</v>
      </c>
      <c r="Y336" s="70">
        <f>'RESUMEN TOTAL'!AE395</f>
        <v>0</v>
      </c>
      <c r="Z336" s="70">
        <f>'RESUMEN TOTAL'!AF395</f>
        <v>0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</row>
    <row r="337" spans="1:35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>
        <f>'RESUMEN TOTAL'!L396</f>
        <v>0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>
        <f>'RESUMEN TOTAL'!X396</f>
        <v>0</v>
      </c>
      <c r="S337" s="70">
        <f>'RESUMEN TOTAL'!Y396</f>
        <v>0</v>
      </c>
      <c r="T337" s="70">
        <f>'RESUMEN TOTAL'!Z396</f>
        <v>0</v>
      </c>
      <c r="U337" s="70">
        <f>'RESUMEN TOTAL'!AA396</f>
        <v>0</v>
      </c>
      <c r="V337" s="70">
        <f>'RESUMEN TOTAL'!AB396</f>
        <v>0</v>
      </c>
      <c r="W337" s="70">
        <f>'RESUMEN TOTAL'!AC396</f>
        <v>0</v>
      </c>
      <c r="X337" s="70">
        <f>'RESUMEN TOTAL'!AD396</f>
        <v>0</v>
      </c>
      <c r="Y337" s="70">
        <f>'RESUMEN TOTAL'!AE396</f>
        <v>0</v>
      </c>
      <c r="Z337" s="70">
        <f>'RESUMEN TOTAL'!AF396</f>
        <v>0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</row>
    <row r="338" spans="1:35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>
        <f>'RESUMEN TOTAL'!L397</f>
        <v>0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>
        <f>'RESUMEN TOTAL'!X397</f>
        <v>0</v>
      </c>
      <c r="S338" s="70">
        <f>'RESUMEN TOTAL'!Y397</f>
        <v>0</v>
      </c>
      <c r="T338" s="70">
        <f>'RESUMEN TOTAL'!Z397</f>
        <v>0</v>
      </c>
      <c r="U338" s="70">
        <f>'RESUMEN TOTAL'!AA397</f>
        <v>0</v>
      </c>
      <c r="V338" s="70">
        <f>'RESUMEN TOTAL'!AB397</f>
        <v>0</v>
      </c>
      <c r="W338" s="70">
        <f>'RESUMEN TOTAL'!AC397</f>
        <v>0</v>
      </c>
      <c r="X338" s="70">
        <f>'RESUMEN TOTAL'!AD397</f>
        <v>0</v>
      </c>
      <c r="Y338" s="70">
        <f>'RESUMEN TOTAL'!AE397</f>
        <v>0</v>
      </c>
      <c r="Z338" s="70">
        <f>'RESUMEN TOTAL'!AF397</f>
        <v>0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</row>
    <row r="339" spans="1:35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>
        <f>'RESUMEN TOTAL'!L398</f>
        <v>0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>
        <f>'RESUMEN TOTAL'!X398</f>
        <v>0</v>
      </c>
      <c r="S339" s="70">
        <f>'RESUMEN TOTAL'!Y398</f>
        <v>0</v>
      </c>
      <c r="T339" s="70">
        <f>'RESUMEN TOTAL'!Z398</f>
        <v>0</v>
      </c>
      <c r="U339" s="70">
        <f>'RESUMEN TOTAL'!AA398</f>
        <v>0</v>
      </c>
      <c r="V339" s="70">
        <f>'RESUMEN TOTAL'!AB398</f>
        <v>0</v>
      </c>
      <c r="W339" s="70">
        <f>'RESUMEN TOTAL'!AC398</f>
        <v>0</v>
      </c>
      <c r="X339" s="70">
        <f>'RESUMEN TOTAL'!AD398</f>
        <v>0</v>
      </c>
      <c r="Y339" s="70">
        <f>'RESUMEN TOTAL'!AE398</f>
        <v>0</v>
      </c>
      <c r="Z339" s="70">
        <f>'RESUMEN TOTAL'!AF398</f>
        <v>0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</row>
    <row r="340" spans="1:35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>
        <f>'RESUMEN TOTAL'!V399</f>
        <v>0</v>
      </c>
      <c r="Q340" s="70">
        <f>'RESUMEN TOTAL'!W399</f>
        <v>0</v>
      </c>
      <c r="R340" s="70">
        <f>'RESUMEN TOTAL'!X399</f>
        <v>0</v>
      </c>
      <c r="S340" s="70">
        <f>'RESUMEN TOTAL'!Y399</f>
        <v>0</v>
      </c>
      <c r="T340" s="70">
        <f>'RESUMEN TOTAL'!Z399</f>
        <v>0</v>
      </c>
      <c r="U340" s="70">
        <f>'RESUMEN TOTAL'!AA399</f>
        <v>0</v>
      </c>
      <c r="V340" s="70">
        <f>'RESUMEN TOTAL'!AB399</f>
        <v>0</v>
      </c>
      <c r="W340" s="70">
        <f>'RESUMEN TOTAL'!AC399</f>
        <v>0</v>
      </c>
      <c r="X340" s="70">
        <f>'RESUMEN TOTAL'!AD399</f>
        <v>0</v>
      </c>
      <c r="Y340" s="70">
        <f>'RESUMEN TOTAL'!AE399</f>
        <v>0</v>
      </c>
      <c r="Z340" s="70">
        <f>'RESUMEN TOTAL'!AF399</f>
        <v>0</v>
      </c>
      <c r="AA340" s="70">
        <f>'RESUMEN TOTAL'!AG399</f>
        <v>0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>
        <f>'RESUMEN TOTAL'!AK399</f>
        <v>0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</row>
    <row r="341" spans="1:35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>
        <f>'RESUMEN TOTAL'!AG400</f>
        <v>0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</row>
    <row r="342" spans="1:35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</row>
    <row r="343" spans="1:35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>
        <f>'RESUMEN TOTAL'!AD402</f>
        <v>0</v>
      </c>
      <c r="Y343" s="70">
        <f>'RESUMEN TOTAL'!AE402</f>
        <v>0</v>
      </c>
      <c r="Z343" s="70">
        <f>'RESUMEN TOTAL'!AF402</f>
        <v>0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</row>
    <row r="344" spans="1:35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</row>
    <row r="345" spans="1:35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>
        <f>'RESUMEN TOTAL'!AE404</f>
        <v>0</v>
      </c>
      <c r="Z345" s="70">
        <f>'RESUMEN TOTAL'!AF404</f>
        <v>0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</row>
    <row r="346" spans="1:35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>
        <f>'RESUMEN TOTAL'!AE405</f>
        <v>0</v>
      </c>
      <c r="Z346" s="70">
        <f>'RESUMEN TOTAL'!AF405</f>
        <v>0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</row>
    <row r="347" spans="1:35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>
        <f>'RESUMEN TOTAL'!AE406</f>
        <v>0</v>
      </c>
      <c r="Z347" s="70">
        <f>'RESUMEN TOTAL'!AF406</f>
        <v>0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</row>
    <row r="348" spans="1:35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>
        <f>'RESUMEN TOTAL'!M407</f>
        <v>0</v>
      </c>
      <c r="H348" s="70">
        <f>'RESUMEN TOTAL'!N407</f>
        <v>0</v>
      </c>
      <c r="I348" s="70">
        <f>'RESUMEN TOTAL'!O407</f>
        <v>0</v>
      </c>
      <c r="J348" s="70">
        <f>'RESUMEN TOTAL'!P407</f>
        <v>0</v>
      </c>
      <c r="K348" s="70">
        <f>'RESUMEN TOTAL'!Q407</f>
        <v>0</v>
      </c>
      <c r="L348" s="70">
        <f>'RESUMEN TOTAL'!R407</f>
        <v>0</v>
      </c>
      <c r="M348" s="70">
        <f>'RESUMEN TOTAL'!S407</f>
        <v>0</v>
      </c>
      <c r="N348" s="70">
        <f>'RESUMEN TOTAL'!T407</f>
        <v>0</v>
      </c>
      <c r="O348" s="70">
        <f>'RESUMEN TOTAL'!U407</f>
        <v>0</v>
      </c>
      <c r="P348" s="70">
        <f>'RESUMEN TOTAL'!V407</f>
        <v>0</v>
      </c>
      <c r="Q348" s="70">
        <f>'RESUMEN TOTAL'!W407</f>
        <v>0</v>
      </c>
      <c r="R348" s="70">
        <f>'RESUMEN TOTAL'!X407</f>
        <v>0</v>
      </c>
      <c r="S348" s="70">
        <f>'RESUMEN TOTAL'!Y407</f>
        <v>0</v>
      </c>
      <c r="T348" s="70">
        <f>'RESUMEN TOTAL'!Z407</f>
        <v>0</v>
      </c>
      <c r="U348" s="70">
        <f>'RESUMEN TOTAL'!AA407</f>
        <v>0</v>
      </c>
      <c r="V348" s="70">
        <f>'RESUMEN TOTAL'!AB407</f>
        <v>0</v>
      </c>
      <c r="W348" s="70">
        <f>'RESUMEN TOTAL'!AC407</f>
        <v>0</v>
      </c>
      <c r="X348" s="70">
        <f>'RESUMEN TOTAL'!AD407</f>
        <v>0</v>
      </c>
      <c r="Y348" s="70">
        <f>'RESUMEN TOTAL'!AE407</f>
        <v>0</v>
      </c>
      <c r="Z348" s="70">
        <f>'RESUMEN TOTAL'!AF407</f>
        <v>0</v>
      </c>
      <c r="AA348" s="70">
        <f>'RESUMEN TOTAL'!AG407</f>
        <v>0</v>
      </c>
      <c r="AB348" s="70">
        <f>'RESUMEN TOTAL'!AH407</f>
        <v>0</v>
      </c>
      <c r="AC348" s="70">
        <f>'RESUMEN TOTAL'!AI407</f>
        <v>0</v>
      </c>
      <c r="AD348" s="70">
        <f>'RESUMEN TOTAL'!AJ407</f>
        <v>0</v>
      </c>
      <c r="AE348" s="70">
        <f>'RESUMEN TOTAL'!AK407</f>
        <v>0</v>
      </c>
      <c r="AF348" s="70">
        <f>'RESUMEN TOTAL'!AL407</f>
        <v>0</v>
      </c>
      <c r="AG348" s="70">
        <f>'RESUMEN TOTAL'!AM407</f>
        <v>0</v>
      </c>
      <c r="AH348" s="70">
        <f>'RESUMEN TOTAL'!AN407</f>
        <v>0</v>
      </c>
      <c r="AI348" s="70">
        <f>'RESUMEN TOTAL'!AO407</f>
        <v>0</v>
      </c>
    </row>
    <row r="349" spans="1:35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>
        <f>'RESUMEN TOTAL'!N408</f>
        <v>0</v>
      </c>
      <c r="I349" s="70">
        <f>'RESUMEN TOTAL'!O408</f>
        <v>0</v>
      </c>
      <c r="J349" s="70">
        <f>'RESUMEN TOTAL'!P408</f>
        <v>0</v>
      </c>
      <c r="K349" s="70">
        <f>'RESUMEN TOTAL'!Q408</f>
        <v>0</v>
      </c>
      <c r="L349" s="70">
        <f>'RESUMEN TOTAL'!R408</f>
        <v>0</v>
      </c>
      <c r="M349" s="70">
        <f>'RESUMEN TOTAL'!S408</f>
        <v>0</v>
      </c>
      <c r="N349" s="70">
        <f>'RESUMEN TOTAL'!T408</f>
        <v>0</v>
      </c>
      <c r="O349" s="70">
        <f>'RESUMEN TOTAL'!U408</f>
        <v>0</v>
      </c>
      <c r="P349" s="70">
        <f>'RESUMEN TOTAL'!V408</f>
        <v>0</v>
      </c>
      <c r="Q349" s="70">
        <f>'RESUMEN TOTAL'!W408</f>
        <v>0</v>
      </c>
      <c r="R349" s="70">
        <f>'RESUMEN TOTAL'!X408</f>
        <v>0</v>
      </c>
      <c r="S349" s="70">
        <f>'RESUMEN TOTAL'!Y408</f>
        <v>0</v>
      </c>
      <c r="T349" s="70">
        <f>'RESUMEN TOTAL'!Z408</f>
        <v>0</v>
      </c>
      <c r="U349" s="70">
        <f>'RESUMEN TOTAL'!AA408</f>
        <v>0</v>
      </c>
      <c r="V349" s="70">
        <f>'RESUMEN TOTAL'!AB408</f>
        <v>0</v>
      </c>
      <c r="W349" s="70">
        <f>'RESUMEN TOTAL'!AC408</f>
        <v>0</v>
      </c>
      <c r="X349" s="70">
        <f>'RESUMEN TOTAL'!AD408</f>
        <v>0</v>
      </c>
      <c r="Y349" s="70">
        <f>'RESUMEN TOTAL'!AE408</f>
        <v>0</v>
      </c>
      <c r="Z349" s="70">
        <f>'RESUMEN TOTAL'!AF408</f>
        <v>0</v>
      </c>
      <c r="AA349" s="70">
        <f>'RESUMEN TOTAL'!AG408</f>
        <v>0</v>
      </c>
      <c r="AB349" s="70">
        <f>'RESUMEN TOTAL'!AH408</f>
        <v>0</v>
      </c>
      <c r="AC349" s="70">
        <f>'RESUMEN TOTAL'!AI408</f>
        <v>0</v>
      </c>
      <c r="AD349" s="70">
        <f>'RESUMEN TOTAL'!AJ408</f>
        <v>0</v>
      </c>
      <c r="AE349" s="70">
        <f>'RESUMEN TOTAL'!AK408</f>
        <v>0</v>
      </c>
      <c r="AF349" s="70">
        <f>'RESUMEN TOTAL'!AL408</f>
        <v>0</v>
      </c>
      <c r="AG349" s="70">
        <f>'RESUMEN TOTAL'!AM408</f>
        <v>0</v>
      </c>
      <c r="AH349" s="70">
        <f>'RESUMEN TOTAL'!AN408</f>
        <v>0</v>
      </c>
      <c r="AI349" s="70">
        <f>'RESUMEN TOTAL'!AO408</f>
        <v>0</v>
      </c>
    </row>
    <row r="350" spans="1:35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</row>
    <row r="351" spans="1:35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</row>
    <row r="352" spans="1:35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</row>
    <row r="353" spans="1:35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>
        <f>'RESUMEN TOTAL'!W412</f>
        <v>0</v>
      </c>
      <c r="R353" s="70">
        <f>'RESUMEN TOTAL'!X412</f>
        <v>0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>
        <f>'RESUMEN TOTAL'!AH412</f>
        <v>0</v>
      </c>
      <c r="AC353" s="70">
        <f>'RESUMEN TOTAL'!AI412</f>
        <v>0</v>
      </c>
      <c r="AD353" s="70">
        <f>'RESUMEN TOTAL'!AJ412</f>
        <v>0</v>
      </c>
      <c r="AE353" s="70">
        <f>'RESUMEN TOTAL'!AK412</f>
        <v>0</v>
      </c>
      <c r="AF353" s="70">
        <f>'RESUMEN TOTAL'!AL412</f>
        <v>0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</row>
    <row r="354" spans="1:35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GPON</v>
      </c>
      <c r="F354" s="70">
        <f>'RESUMEN TOTAL'!L413</f>
        <v>0</v>
      </c>
      <c r="G354" s="70">
        <f>'RESUMEN TOTAL'!M413</f>
        <v>0</v>
      </c>
      <c r="H354" s="70">
        <f>'RESUMEN TOTAL'!N413</f>
        <v>0</v>
      </c>
      <c r="I354" s="70">
        <f>'RESUMEN TOTAL'!O413</f>
        <v>0</v>
      </c>
      <c r="J354" s="70">
        <f>'RESUMEN TOTAL'!P413</f>
        <v>0</v>
      </c>
      <c r="K354" s="70">
        <f>'RESUMEN TOTAL'!Q413</f>
        <v>0</v>
      </c>
      <c r="L354" s="70">
        <f>'RESUMEN TOTAL'!R413</f>
        <v>0</v>
      </c>
      <c r="M354" s="70">
        <f>'RESUMEN TOTAL'!S413</f>
        <v>0</v>
      </c>
      <c r="N354" s="70">
        <f>'RESUMEN TOTAL'!T413</f>
        <v>0</v>
      </c>
      <c r="O354" s="70">
        <f>'RESUMEN TOTAL'!U413</f>
        <v>0</v>
      </c>
      <c r="P354" s="70">
        <f>'RESUMEN TOTAL'!V413</f>
        <v>0</v>
      </c>
      <c r="Q354" s="70">
        <f>'RESUMEN TOTAL'!W413</f>
        <v>0</v>
      </c>
      <c r="R354" s="70">
        <f>'RESUMEN TOTAL'!X413</f>
        <v>0</v>
      </c>
      <c r="S354" s="70">
        <f>'RESUMEN TOTAL'!Y413</f>
        <v>0</v>
      </c>
      <c r="T354" s="70">
        <f>'RESUMEN TOTAL'!Z413</f>
        <v>0</v>
      </c>
      <c r="U354" s="70">
        <f>'RESUMEN TOTAL'!AA413</f>
        <v>0</v>
      </c>
      <c r="V354" s="70">
        <f>'RESUMEN TOTAL'!AB413</f>
        <v>0</v>
      </c>
      <c r="W354" s="70">
        <f>'RESUMEN TOTAL'!AC413</f>
        <v>0</v>
      </c>
      <c r="X354" s="70">
        <f>'RESUMEN TOTAL'!AD413</f>
        <v>0</v>
      </c>
      <c r="Y354" s="70">
        <f>'RESUMEN TOTAL'!AE413</f>
        <v>0</v>
      </c>
      <c r="Z354" s="70">
        <f>'RESUMEN TOTAL'!AF413</f>
        <v>0</v>
      </c>
      <c r="AA354" s="70">
        <f>'RESUMEN TOTAL'!AG413</f>
        <v>0</v>
      </c>
      <c r="AB354" s="70">
        <f>'RESUMEN TOTAL'!AH413</f>
        <v>0</v>
      </c>
      <c r="AC354" s="70">
        <f>'RESUMEN TOTAL'!AI413</f>
        <v>0</v>
      </c>
      <c r="AD354" s="70">
        <f>'RESUMEN TOTAL'!AJ413</f>
        <v>0</v>
      </c>
      <c r="AE354" s="70">
        <f>'RESUMEN TOTAL'!AK413</f>
        <v>0</v>
      </c>
      <c r="AF354" s="70">
        <f>'RESUMEN TOTAL'!AL413</f>
        <v>0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</row>
    <row r="355" spans="1:35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>
        <f>'RESUMEN TOTAL'!AD414</f>
        <v>0</v>
      </c>
      <c r="Y355" s="70">
        <f>'RESUMEN TOTAL'!AE414</f>
        <v>0</v>
      </c>
      <c r="Z355" s="70">
        <f>'RESUMEN TOTAL'!AF414</f>
        <v>0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</row>
    <row r="356" spans="1:35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>
        <f>'RESUMEN TOTAL'!AD415</f>
        <v>0</v>
      </c>
      <c r="Y356" s="70">
        <f>'RESUMEN TOTAL'!AE415</f>
        <v>0</v>
      </c>
      <c r="Z356" s="70">
        <f>'RESUMEN TOTAL'!AF415</f>
        <v>0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</row>
    <row r="357" spans="1:35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</row>
    <row r="358" spans="1:35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</row>
    <row r="359" spans="1:35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>
        <f>'RESUMEN TOTAL'!AE418</f>
        <v>0</v>
      </c>
      <c r="Z359" s="70">
        <f>'RESUMEN TOTAL'!AF418</f>
        <v>0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</row>
    <row r="360" spans="1:35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>
        <f>'RESUMEN TOTAL'!M419</f>
        <v>0</v>
      </c>
      <c r="H360" s="70">
        <f>'RESUMEN TOTAL'!N419</f>
        <v>0</v>
      </c>
      <c r="I360" s="70">
        <f>'RESUMEN TOTAL'!O419</f>
        <v>0</v>
      </c>
      <c r="J360" s="70">
        <f>'RESUMEN TOTAL'!P419</f>
        <v>0</v>
      </c>
      <c r="K360" s="70">
        <f>'RESUMEN TOTAL'!Q419</f>
        <v>0</v>
      </c>
      <c r="L360" s="70">
        <f>'RESUMEN TOTAL'!R419</f>
        <v>0</v>
      </c>
      <c r="M360" s="70">
        <f>'RESUMEN TOTAL'!S419</f>
        <v>0</v>
      </c>
      <c r="N360" s="70">
        <f>'RESUMEN TOTAL'!T419</f>
        <v>0</v>
      </c>
      <c r="O360" s="70">
        <f>'RESUMEN TOTAL'!U419</f>
        <v>0</v>
      </c>
      <c r="P360" s="70">
        <f>'RESUMEN TOTAL'!V419</f>
        <v>0</v>
      </c>
      <c r="Q360" s="70">
        <f>'RESUMEN TOTAL'!W419</f>
        <v>0</v>
      </c>
      <c r="R360" s="70">
        <f>'RESUMEN TOTAL'!X419</f>
        <v>0</v>
      </c>
      <c r="S360" s="70">
        <f>'RESUMEN TOTAL'!Y419</f>
        <v>0</v>
      </c>
      <c r="T360" s="70">
        <f>'RESUMEN TOTAL'!Z419</f>
        <v>0</v>
      </c>
      <c r="U360" s="70">
        <f>'RESUMEN TOTAL'!AA419</f>
        <v>0</v>
      </c>
      <c r="V360" s="70">
        <f>'RESUMEN TOTAL'!AB419</f>
        <v>0</v>
      </c>
      <c r="W360" s="70">
        <f>'RESUMEN TOTAL'!AC419</f>
        <v>0</v>
      </c>
      <c r="X360" s="70">
        <f>'RESUMEN TOTAL'!AD419</f>
        <v>0</v>
      </c>
      <c r="Y360" s="70">
        <f>'RESUMEN TOTAL'!AE419</f>
        <v>0</v>
      </c>
      <c r="Z360" s="70">
        <f>'RESUMEN TOTAL'!AF419</f>
        <v>0</v>
      </c>
      <c r="AA360" s="70">
        <f>'RESUMEN TOTAL'!AG419</f>
        <v>0</v>
      </c>
      <c r="AB360" s="70">
        <f>'RESUMEN TOTAL'!AH419</f>
        <v>0</v>
      </c>
      <c r="AC360" s="70">
        <f>'RESUMEN TOTAL'!AI419</f>
        <v>0</v>
      </c>
      <c r="AD360" s="70">
        <f>'RESUMEN TOTAL'!AJ419</f>
        <v>0</v>
      </c>
      <c r="AE360" s="70">
        <f>'RESUMEN TOTAL'!AK419</f>
        <v>0</v>
      </c>
      <c r="AF360" s="70">
        <f>'RESUMEN TOTAL'!AL419</f>
        <v>0</v>
      </c>
      <c r="AG360" s="70">
        <f>'RESUMEN TOTAL'!AM419</f>
        <v>0</v>
      </c>
      <c r="AH360" s="70">
        <f>'RESUMEN TOTAL'!AN419</f>
        <v>0</v>
      </c>
      <c r="AI360" s="70">
        <f>'RESUMEN TOTAL'!AO419</f>
        <v>0</v>
      </c>
    </row>
    <row r="361" spans="1:35" x14ac:dyDescent="0.25">
      <c r="A361" t="str">
        <f>'RESUMEN TOTAL'!A422</f>
        <v>SAN RUDECINDO</v>
      </c>
      <c r="B361" t="str">
        <f>'RESUMEN TOTAL'!B422</f>
        <v>SRU01 (fija 1)</v>
      </c>
      <c r="C361" t="str">
        <f>'RESUMEN TOTAL'!D422</f>
        <v>HERNANDARIAS Y AMBATO</v>
      </c>
      <c r="D361" s="30" t="str">
        <f>'RESUMEN TOTAL'!E422</f>
        <v>Fija</v>
      </c>
      <c r="E361" s="30" t="str">
        <f>'RESUMEN TOTAL'!F422</f>
        <v>GPON</v>
      </c>
      <c r="F361" s="70">
        <f>'RESUMEN TOTAL'!L422</f>
        <v>0</v>
      </c>
      <c r="G361" s="70">
        <f>'RESUMEN TOTAL'!M422</f>
        <v>0</v>
      </c>
      <c r="H361" s="70">
        <f>'RESUMEN TOTAL'!N422</f>
        <v>0</v>
      </c>
      <c r="I361" s="70">
        <f>'RESUMEN TOTAL'!O422</f>
        <v>0</v>
      </c>
      <c r="J361" s="70">
        <f>'RESUMEN TOTAL'!P422</f>
        <v>0</v>
      </c>
      <c r="K361" s="70">
        <f>'RESUMEN TOTAL'!Q422</f>
        <v>0</v>
      </c>
      <c r="L361" s="70">
        <f>'RESUMEN TOTAL'!R422</f>
        <v>0</v>
      </c>
      <c r="M361" s="70">
        <f>'RESUMEN TOTAL'!S422</f>
        <v>0</v>
      </c>
      <c r="N361" s="70">
        <f>'RESUMEN TOTAL'!T422</f>
        <v>0</v>
      </c>
      <c r="O361" s="70">
        <f>'RESUMEN TOTAL'!U422</f>
        <v>0</v>
      </c>
      <c r="P361" s="70">
        <f>'RESUMEN TOTAL'!V422</f>
        <v>0</v>
      </c>
      <c r="Q361" s="70">
        <f>'RESUMEN TOTAL'!W422</f>
        <v>0</v>
      </c>
      <c r="R361" s="70">
        <f>'RESUMEN TOTAL'!X422</f>
        <v>0</v>
      </c>
      <c r="S361" s="70">
        <f>'RESUMEN TOTAL'!Y422</f>
        <v>0</v>
      </c>
      <c r="T361" s="70">
        <f>'RESUMEN TOTAL'!Z422</f>
        <v>0</v>
      </c>
      <c r="U361" s="70">
        <f>'RESUMEN TOTAL'!AA422</f>
        <v>0</v>
      </c>
      <c r="V361" s="70">
        <f>'RESUMEN TOTAL'!AB422</f>
        <v>0</v>
      </c>
      <c r="W361" s="70">
        <f>'RESUMEN TOTAL'!AC422</f>
        <v>0</v>
      </c>
      <c r="X361" s="70">
        <f>'RESUMEN TOTAL'!AD422</f>
        <v>0</v>
      </c>
      <c r="Y361" s="70">
        <f>'RESUMEN TOTAL'!AE422</f>
        <v>0</v>
      </c>
      <c r="Z361" s="70">
        <f>'RESUMEN TOTAL'!AF422</f>
        <v>0</v>
      </c>
      <c r="AA361" s="70">
        <f>'RESUMEN TOTAL'!AG422</f>
        <v>0</v>
      </c>
      <c r="AB361" s="70">
        <f>'RESUMEN TOTAL'!AH422</f>
        <v>0</v>
      </c>
      <c r="AC361" s="70">
        <f>'RESUMEN TOTAL'!AI422</f>
        <v>0</v>
      </c>
      <c r="AD361" s="70">
        <f>'RESUMEN TOTAL'!AJ422</f>
        <v>0</v>
      </c>
      <c r="AE361" s="70">
        <f>'RESUMEN TOTAL'!AK422</f>
        <v>0</v>
      </c>
      <c r="AF361" s="70">
        <f>'RESUMEN TOTAL'!AL422</f>
        <v>0</v>
      </c>
      <c r="AG361" s="70">
        <f>'RESUMEN TOTAL'!AM422</f>
        <v>0</v>
      </c>
      <c r="AH361" s="70">
        <f>'RESUMEN TOTAL'!AN422</f>
        <v>0</v>
      </c>
      <c r="AI361" s="70">
        <f>'RESUMEN TOTAL'!AO422</f>
        <v>0</v>
      </c>
    </row>
    <row r="362" spans="1:35" x14ac:dyDescent="0.25">
      <c r="A362" t="str">
        <f>'RESUMEN TOTAL'!A423</f>
        <v>SAN RUDECINDO</v>
      </c>
      <c r="B362" t="str">
        <f>'RESUMEN TOTAL'!B423</f>
        <v>SRU02 (fija 2)</v>
      </c>
      <c r="C362" t="str">
        <f>'RESUMEN TOTAL'!D423</f>
        <v>HERNANDARIAS Y AMBATO</v>
      </c>
      <c r="D362" s="30" t="str">
        <f>'RESUMEN TOTAL'!E423</f>
        <v>Fija</v>
      </c>
      <c r="E362" s="30" t="str">
        <f>'RESUMEN TOTAL'!F423</f>
        <v>GPON</v>
      </c>
      <c r="F362" s="70">
        <f>'RESUMEN TOTAL'!L423</f>
        <v>0</v>
      </c>
      <c r="G362" s="70">
        <f>'RESUMEN TOTAL'!M423</f>
        <v>0</v>
      </c>
      <c r="H362" s="70">
        <f>'RESUMEN TOTAL'!N423</f>
        <v>0</v>
      </c>
      <c r="I362" s="70">
        <f>'RESUMEN TOTAL'!O423</f>
        <v>0</v>
      </c>
      <c r="J362" s="70">
        <f>'RESUMEN TOTAL'!P423</f>
        <v>0</v>
      </c>
      <c r="K362" s="70">
        <f>'RESUMEN TOTAL'!Q423</f>
        <v>0</v>
      </c>
      <c r="L362" s="70">
        <f>'RESUMEN TOTAL'!R423</f>
        <v>0</v>
      </c>
      <c r="M362" s="70">
        <f>'RESUMEN TOTAL'!S423</f>
        <v>0</v>
      </c>
      <c r="N362" s="70">
        <f>'RESUMEN TOTAL'!T423</f>
        <v>0</v>
      </c>
      <c r="O362" s="70">
        <f>'RESUMEN TOTAL'!U423</f>
        <v>0</v>
      </c>
      <c r="P362" s="70">
        <f>'RESUMEN TOTAL'!V423</f>
        <v>0</v>
      </c>
      <c r="Q362" s="70">
        <f>'RESUMEN TOTAL'!W423</f>
        <v>0</v>
      </c>
      <c r="R362" s="70">
        <f>'RESUMEN TOTAL'!X423</f>
        <v>0</v>
      </c>
      <c r="S362" s="70">
        <f>'RESUMEN TOTAL'!Y423</f>
        <v>0</v>
      </c>
      <c r="T362" s="70">
        <f>'RESUMEN TOTAL'!Z423</f>
        <v>0</v>
      </c>
      <c r="U362" s="70">
        <f>'RESUMEN TOTAL'!AA423</f>
        <v>0</v>
      </c>
      <c r="V362" s="70">
        <f>'RESUMEN TOTAL'!AB423</f>
        <v>0</v>
      </c>
      <c r="W362" s="70">
        <f>'RESUMEN TOTAL'!AC423</f>
        <v>0</v>
      </c>
      <c r="X362" s="70">
        <f>'RESUMEN TOTAL'!AD423</f>
        <v>0</v>
      </c>
      <c r="Y362" s="70">
        <f>'RESUMEN TOTAL'!AE423</f>
        <v>0</v>
      </c>
      <c r="Z362" s="70">
        <f>'RESUMEN TOTAL'!AF423</f>
        <v>0</v>
      </c>
      <c r="AA362" s="70">
        <f>'RESUMEN TOTAL'!AG423</f>
        <v>0</v>
      </c>
      <c r="AB362" s="70">
        <f>'RESUMEN TOTAL'!AH423</f>
        <v>0</v>
      </c>
      <c r="AC362" s="70">
        <f>'RESUMEN TOTAL'!AI423</f>
        <v>0</v>
      </c>
      <c r="AD362" s="70">
        <f>'RESUMEN TOTAL'!AJ423</f>
        <v>0</v>
      </c>
      <c r="AE362" s="70">
        <f>'RESUMEN TOTAL'!AK423</f>
        <v>0</v>
      </c>
      <c r="AF362" s="70">
        <f>'RESUMEN TOTAL'!AL423</f>
        <v>0</v>
      </c>
      <c r="AG362" s="70">
        <f>'RESUMEN TOTAL'!AM423</f>
        <v>0</v>
      </c>
      <c r="AH362" s="70">
        <f>'RESUMEN TOTAL'!AN423</f>
        <v>0</v>
      </c>
      <c r="AI362" s="70">
        <f>'RESUMEN TOTAL'!AO423</f>
        <v>0</v>
      </c>
    </row>
    <row r="363" spans="1:35" x14ac:dyDescent="0.25">
      <c r="A363" t="str">
        <f>'RESUMEN TOTAL'!A424</f>
        <v>SAN RUDECINDO</v>
      </c>
      <c r="B363" t="str">
        <f>'RESUMEN TOTAL'!B424</f>
        <v>SRU03</v>
      </c>
      <c r="C363" t="str">
        <f>'RESUMEN TOTAL'!D424</f>
        <v>SANTA SOFIA Y LUIS AGOTE</v>
      </c>
      <c r="D363" s="30" t="str">
        <f>'RESUMEN TOTAL'!E424</f>
        <v>DOMO</v>
      </c>
      <c r="E363" s="30" t="str">
        <f>'RESUMEN TOTAL'!F424</f>
        <v>GPON</v>
      </c>
      <c r="F363" s="70" t="str">
        <f>'RESUMEN TOTAL'!L424</f>
        <v>APAGADO</v>
      </c>
      <c r="G363" s="70">
        <f>'RESUMEN TOTAL'!M424</f>
        <v>0</v>
      </c>
      <c r="H363" s="70">
        <f>'RESUMEN TOTAL'!N424</f>
        <v>0</v>
      </c>
      <c r="I363" s="70">
        <f>'RESUMEN TOTAL'!O424</f>
        <v>0</v>
      </c>
      <c r="J363" s="70">
        <f>'RESUMEN TOTAL'!P424</f>
        <v>0</v>
      </c>
      <c r="K363" s="70">
        <f>'RESUMEN TOTAL'!Q424</f>
        <v>0</v>
      </c>
      <c r="L363" s="70">
        <f>'RESUMEN TOTAL'!R424</f>
        <v>0</v>
      </c>
      <c r="M363" s="70">
        <f>'RESUMEN TOTAL'!S424</f>
        <v>0</v>
      </c>
      <c r="N363" s="70">
        <f>'RESUMEN TOTAL'!T424</f>
        <v>0</v>
      </c>
      <c r="O363" s="70">
        <f>'RESUMEN TOTAL'!U424</f>
        <v>0</v>
      </c>
      <c r="P363" s="70">
        <f>'RESUMEN TOTAL'!V424</f>
        <v>0</v>
      </c>
      <c r="Q363" s="70">
        <f>'RESUMEN TOTAL'!W424</f>
        <v>0</v>
      </c>
      <c r="R363" s="70">
        <f>'RESUMEN TOTAL'!X424</f>
        <v>0</v>
      </c>
      <c r="S363" s="70">
        <f>'RESUMEN TOTAL'!Y424</f>
        <v>0</v>
      </c>
      <c r="T363" s="70">
        <f>'RESUMEN TOTAL'!Z424</f>
        <v>0</v>
      </c>
      <c r="U363" s="70">
        <f>'RESUMEN TOTAL'!AA424</f>
        <v>0</v>
      </c>
      <c r="V363" s="70">
        <f>'RESUMEN TOTAL'!AB424</f>
        <v>0</v>
      </c>
      <c r="W363" s="70">
        <f>'RESUMEN TOTAL'!AC424</f>
        <v>0</v>
      </c>
      <c r="X363" s="70">
        <f>'RESUMEN TOTAL'!AD424</f>
        <v>0</v>
      </c>
      <c r="Y363" s="70">
        <f>'RESUMEN TOTAL'!AE424</f>
        <v>0</v>
      </c>
      <c r="Z363" s="70">
        <f>'RESUMEN TOTAL'!AF424</f>
        <v>0</v>
      </c>
      <c r="AA363" s="70">
        <f>'RESUMEN TOTAL'!AG424</f>
        <v>0</v>
      </c>
      <c r="AB363" s="70">
        <f>'RESUMEN TOTAL'!AH424</f>
        <v>0</v>
      </c>
      <c r="AC363" s="70">
        <f>'RESUMEN TOTAL'!AI424</f>
        <v>0</v>
      </c>
      <c r="AD363" s="70">
        <f>'RESUMEN TOTAL'!AJ424</f>
        <v>0</v>
      </c>
      <c r="AE363" s="70">
        <f>'RESUMEN TOTAL'!AK424</f>
        <v>0</v>
      </c>
      <c r="AF363" s="70">
        <f>'RESUMEN TOTAL'!AL424</f>
        <v>0</v>
      </c>
      <c r="AG363" s="70">
        <f>'RESUMEN TOTAL'!AM424</f>
        <v>0</v>
      </c>
      <c r="AH363" s="70">
        <f>'RESUMEN TOTAL'!AN424</f>
        <v>0</v>
      </c>
      <c r="AI363" s="70">
        <f>'RESUMEN TOTAL'!AO424</f>
        <v>0</v>
      </c>
    </row>
    <row r="364" spans="1:35" x14ac:dyDescent="0.25">
      <c r="A364" t="str">
        <f>'RESUMEN TOTAL'!A425</f>
        <v>PRESIDENTE SARMIENTO</v>
      </c>
      <c r="B364" t="str">
        <f>'RESUMEN TOTAL'!B425</f>
        <v>VANG 09</v>
      </c>
      <c r="C364" t="str">
        <f>'RESUMEN TOTAL'!D425</f>
        <v>Ruta 36 y Senzabello</v>
      </c>
      <c r="D364" s="30" t="str">
        <f>'RESUMEN TOTAL'!E425</f>
        <v>Domo</v>
      </c>
      <c r="E364" s="30" t="str">
        <f>'RESUMEN TOTAL'!F425</f>
        <v>PTO A FO</v>
      </c>
      <c r="F364" s="70">
        <f>'RESUMEN TOTAL'!L425</f>
        <v>0</v>
      </c>
      <c r="G364" s="70">
        <f>'RESUMEN TOTAL'!M425</f>
        <v>0</v>
      </c>
      <c r="H364" s="70">
        <f>'RESUMEN TOTAL'!N425</f>
        <v>0</v>
      </c>
      <c r="I364" s="70">
        <f>'RESUMEN TOTAL'!O425</f>
        <v>0</v>
      </c>
      <c r="J364" s="70">
        <f>'RESUMEN TOTAL'!P425</f>
        <v>0</v>
      </c>
      <c r="K364" s="70">
        <f>'RESUMEN TOTAL'!Q425</f>
        <v>0</v>
      </c>
      <c r="L364" s="70">
        <f>'RESUMEN TOTAL'!R425</f>
        <v>0</v>
      </c>
      <c r="M364" s="70">
        <f>'RESUMEN TOTAL'!S425</f>
        <v>0</v>
      </c>
      <c r="N364" s="70">
        <f>'RESUMEN TOTAL'!T425</f>
        <v>0</v>
      </c>
      <c r="O364" s="70">
        <f>'RESUMEN TOTAL'!U425</f>
        <v>0</v>
      </c>
      <c r="P364" s="70">
        <f>'RESUMEN TOTAL'!V425</f>
        <v>0</v>
      </c>
      <c r="Q364" s="70">
        <f>'RESUMEN TOTAL'!W425</f>
        <v>0</v>
      </c>
      <c r="R364" s="70">
        <f>'RESUMEN TOTAL'!X425</f>
        <v>0</v>
      </c>
      <c r="S364" s="70">
        <f>'RESUMEN TOTAL'!Y425</f>
        <v>0</v>
      </c>
      <c r="T364" s="70">
        <f>'RESUMEN TOTAL'!Z425</f>
        <v>0</v>
      </c>
      <c r="U364" s="70">
        <f>'RESUMEN TOTAL'!AA425</f>
        <v>0</v>
      </c>
      <c r="V364" s="70">
        <f>'RESUMEN TOTAL'!AB425</f>
        <v>0</v>
      </c>
      <c r="W364" s="70">
        <f>'RESUMEN TOTAL'!AC425</f>
        <v>0</v>
      </c>
      <c r="X364" s="70">
        <f>'RESUMEN TOTAL'!AD425</f>
        <v>0</v>
      </c>
      <c r="Y364" s="70">
        <f>'RESUMEN TOTAL'!AE425</f>
        <v>0</v>
      </c>
      <c r="Z364" s="70">
        <f>'RESUMEN TOTAL'!AF425</f>
        <v>0</v>
      </c>
      <c r="AA364" s="70">
        <f>'RESUMEN TOTAL'!AG425</f>
        <v>0</v>
      </c>
      <c r="AB364" s="70">
        <f>'RESUMEN TOTAL'!AH425</f>
        <v>0</v>
      </c>
      <c r="AC364" s="70">
        <f>'RESUMEN TOTAL'!AI425</f>
        <v>0</v>
      </c>
      <c r="AD364" s="70">
        <f>'RESUMEN TOTAL'!AJ425</f>
        <v>0</v>
      </c>
      <c r="AE364" s="70">
        <f>'RESUMEN TOTAL'!AK425</f>
        <v>0</v>
      </c>
      <c r="AF364" s="70">
        <f>'RESUMEN TOTAL'!AL425</f>
        <v>0</v>
      </c>
      <c r="AG364" s="70">
        <f>'RESUMEN TOTAL'!AM425</f>
        <v>0</v>
      </c>
      <c r="AH364" s="70">
        <f>'RESUMEN TOTAL'!AN425</f>
        <v>0</v>
      </c>
      <c r="AI364" s="70">
        <f>'RESUMEN TOTAL'!AO425</f>
        <v>0</v>
      </c>
    </row>
    <row r="365" spans="1:35" x14ac:dyDescent="0.25">
      <c r="A365" t="str">
        <f>'RESUMEN TOTAL'!A426</f>
        <v>VILLA ANGELICA</v>
      </c>
      <c r="B365" t="str">
        <f>'RESUMEN TOTAL'!B426</f>
        <v>VANG01</v>
      </c>
      <c r="C365" t="str">
        <f>'RESUMEN TOTAL'!D426</f>
        <v>SENZABELLO Y REMDIOS DE ESCALADA</v>
      </c>
      <c r="D365" s="30" t="str">
        <f>'RESUMEN TOTAL'!E426</f>
        <v>Domo</v>
      </c>
      <c r="E365" s="30" t="str">
        <f>'RESUMEN TOTAL'!F426</f>
        <v>PTO A FO</v>
      </c>
      <c r="F365" s="70">
        <f>'RESUMEN TOTAL'!L426</f>
        <v>0</v>
      </c>
      <c r="G365" s="70">
        <f>'RESUMEN TOTAL'!M426</f>
        <v>0</v>
      </c>
      <c r="H365" s="70">
        <f>'RESUMEN TOTAL'!N426</f>
        <v>0</v>
      </c>
      <c r="I365" s="70">
        <f>'RESUMEN TOTAL'!O426</f>
        <v>0</v>
      </c>
      <c r="J365" s="70">
        <f>'RESUMEN TOTAL'!P426</f>
        <v>0</v>
      </c>
      <c r="K365" s="70">
        <f>'RESUMEN TOTAL'!Q426</f>
        <v>0</v>
      </c>
      <c r="L365" s="70">
        <f>'RESUMEN TOTAL'!R426</f>
        <v>0</v>
      </c>
      <c r="M365" s="70">
        <f>'RESUMEN TOTAL'!S426</f>
        <v>0</v>
      </c>
      <c r="N365" s="70">
        <f>'RESUMEN TOTAL'!T426</f>
        <v>0</v>
      </c>
      <c r="O365" s="70">
        <f>'RESUMEN TOTAL'!U426</f>
        <v>0</v>
      </c>
      <c r="P365" s="70">
        <f>'RESUMEN TOTAL'!V426</f>
        <v>0</v>
      </c>
      <c r="Q365" s="70">
        <f>'RESUMEN TOTAL'!W426</f>
        <v>0</v>
      </c>
      <c r="R365" s="70">
        <f>'RESUMEN TOTAL'!X426</f>
        <v>0</v>
      </c>
      <c r="S365" s="70">
        <f>'RESUMEN TOTAL'!Y426</f>
        <v>0</v>
      </c>
      <c r="T365" s="70">
        <f>'RESUMEN TOTAL'!Z426</f>
        <v>0</v>
      </c>
      <c r="U365" s="70">
        <f>'RESUMEN TOTAL'!AA426</f>
        <v>0</v>
      </c>
      <c r="V365" s="70">
        <f>'RESUMEN TOTAL'!AB426</f>
        <v>0</v>
      </c>
      <c r="W365" s="70">
        <f>'RESUMEN TOTAL'!AC426</f>
        <v>0</v>
      </c>
      <c r="X365" s="70">
        <f>'RESUMEN TOTAL'!AD426</f>
        <v>0</v>
      </c>
      <c r="Y365" s="70">
        <f>'RESUMEN TOTAL'!AE426</f>
        <v>0</v>
      </c>
      <c r="Z365" s="70">
        <f>'RESUMEN TOTAL'!AF426</f>
        <v>0</v>
      </c>
      <c r="AA365" s="70">
        <f>'RESUMEN TOTAL'!AG426</f>
        <v>0</v>
      </c>
      <c r="AB365" s="70">
        <f>'RESUMEN TOTAL'!AH426</f>
        <v>0</v>
      </c>
      <c r="AC365" s="70">
        <f>'RESUMEN TOTAL'!AI426</f>
        <v>0</v>
      </c>
      <c r="AD365" s="70">
        <f>'RESUMEN TOTAL'!AJ426</f>
        <v>0</v>
      </c>
      <c r="AE365" s="70">
        <f>'RESUMEN TOTAL'!AK426</f>
        <v>0</v>
      </c>
      <c r="AF365" s="70">
        <f>'RESUMEN TOTAL'!AL426</f>
        <v>0</v>
      </c>
      <c r="AG365" s="70">
        <f>'RESUMEN TOTAL'!AM426</f>
        <v>0</v>
      </c>
      <c r="AH365" s="70">
        <f>'RESUMEN TOTAL'!AN426</f>
        <v>0</v>
      </c>
      <c r="AI365" s="70">
        <f>'RESUMEN TOTAL'!AO426</f>
        <v>0</v>
      </c>
    </row>
    <row r="366" spans="1:35" x14ac:dyDescent="0.25">
      <c r="A366" t="str">
        <f>'RESUMEN TOTAL'!A427</f>
        <v>VILLA ANGELICA</v>
      </c>
      <c r="B366" t="str">
        <f>'RESUMEN TOTAL'!B427</f>
        <v>VANG02</v>
      </c>
      <c r="C366" t="str">
        <f>'RESUMEN TOTAL'!D427</f>
        <v>Thevenet y Ruta 36</v>
      </c>
      <c r="D366" s="30" t="str">
        <f>'RESUMEN TOTAL'!E427</f>
        <v>Domo</v>
      </c>
      <c r="E366" s="30" t="str">
        <f>'RESUMEN TOTAL'!F427</f>
        <v>Fibra Optica</v>
      </c>
      <c r="F366" s="70">
        <f>'RESUMEN TOTAL'!L427</f>
        <v>0</v>
      </c>
      <c r="G366" s="70">
        <f>'RESUMEN TOTAL'!M427</f>
        <v>0</v>
      </c>
      <c r="H366" s="70">
        <f>'RESUMEN TOTAL'!N427</f>
        <v>0</v>
      </c>
      <c r="I366" s="70">
        <f>'RESUMEN TOTAL'!O427</f>
        <v>0</v>
      </c>
      <c r="J366" s="70">
        <f>'RESUMEN TOTAL'!P427</f>
        <v>0</v>
      </c>
      <c r="K366" s="70">
        <f>'RESUMEN TOTAL'!Q427</f>
        <v>0</v>
      </c>
      <c r="L366" s="70">
        <f>'RESUMEN TOTAL'!R427</f>
        <v>0</v>
      </c>
      <c r="M366" s="70">
        <f>'RESUMEN TOTAL'!S427</f>
        <v>0</v>
      </c>
      <c r="N366" s="70">
        <f>'RESUMEN TOTAL'!T427</f>
        <v>0</v>
      </c>
      <c r="O366" s="70">
        <f>'RESUMEN TOTAL'!U427</f>
        <v>0</v>
      </c>
      <c r="P366" s="70">
        <f>'RESUMEN TOTAL'!V427</f>
        <v>0</v>
      </c>
      <c r="Q366" s="70">
        <f>'RESUMEN TOTAL'!W427</f>
        <v>0</v>
      </c>
      <c r="R366" s="70">
        <f>'RESUMEN TOTAL'!X427</f>
        <v>0</v>
      </c>
      <c r="S366" s="70">
        <f>'RESUMEN TOTAL'!Y427</f>
        <v>0</v>
      </c>
      <c r="T366" s="70">
        <f>'RESUMEN TOTAL'!Z427</f>
        <v>0</v>
      </c>
      <c r="U366" s="70">
        <f>'RESUMEN TOTAL'!AA427</f>
        <v>0</v>
      </c>
      <c r="V366" s="70">
        <f>'RESUMEN TOTAL'!AB427</f>
        <v>0</v>
      </c>
      <c r="W366" s="70">
        <f>'RESUMEN TOTAL'!AC427</f>
        <v>0</v>
      </c>
      <c r="X366" s="70">
        <f>'RESUMEN TOTAL'!AD427</f>
        <v>0</v>
      </c>
      <c r="Y366" s="70">
        <f>'RESUMEN TOTAL'!AE427</f>
        <v>0</v>
      </c>
      <c r="Z366" s="70">
        <f>'RESUMEN TOTAL'!AF427</f>
        <v>0</v>
      </c>
      <c r="AA366" s="70">
        <f>'RESUMEN TOTAL'!AG427</f>
        <v>0</v>
      </c>
      <c r="AB366" s="70">
        <f>'RESUMEN TOTAL'!AH427</f>
        <v>0</v>
      </c>
      <c r="AC366" s="70">
        <f>'RESUMEN TOTAL'!AI427</f>
        <v>0</v>
      </c>
      <c r="AD366" s="70">
        <f>'RESUMEN TOTAL'!AJ427</f>
        <v>0</v>
      </c>
      <c r="AE366" s="70">
        <f>'RESUMEN TOTAL'!AK427</f>
        <v>0</v>
      </c>
      <c r="AF366" s="70">
        <f>'RESUMEN TOTAL'!AL427</f>
        <v>0</v>
      </c>
      <c r="AG366" s="70">
        <f>'RESUMEN TOTAL'!AM427</f>
        <v>0</v>
      </c>
      <c r="AH366" s="70">
        <f>'RESUMEN TOTAL'!AN427</f>
        <v>0</v>
      </c>
      <c r="AI366" s="70">
        <f>'RESUMEN TOTAL'!AO427</f>
        <v>0</v>
      </c>
    </row>
    <row r="367" spans="1:35" x14ac:dyDescent="0.25">
      <c r="A367" t="str">
        <f>'RESUMEN TOTAL'!A428</f>
        <v>VILLA DEL PLATA</v>
      </c>
      <c r="B367" t="str">
        <f>'RESUMEN TOTAL'!B428</f>
        <v>VANG03</v>
      </c>
      <c r="C367" t="str">
        <f>'RESUMEN TOTAL'!D428</f>
        <v>Thevenet 1950</v>
      </c>
      <c r="D367" s="30" t="str">
        <f>'RESUMEN TOTAL'!E428</f>
        <v>Domo</v>
      </c>
      <c r="E367" s="30" t="str">
        <f>'RESUMEN TOTAL'!F428</f>
        <v>Fibra Optica</v>
      </c>
      <c r="F367" s="70">
        <f>'RESUMEN TOTAL'!L428</f>
        <v>0</v>
      </c>
      <c r="G367" s="70">
        <f>'RESUMEN TOTAL'!M428</f>
        <v>0</v>
      </c>
      <c r="H367" s="70">
        <f>'RESUMEN TOTAL'!N428</f>
        <v>0</v>
      </c>
      <c r="I367" s="70">
        <f>'RESUMEN TOTAL'!O428</f>
        <v>0</v>
      </c>
      <c r="J367" s="70">
        <f>'RESUMEN TOTAL'!P428</f>
        <v>0</v>
      </c>
      <c r="K367" s="70">
        <f>'RESUMEN TOTAL'!Q428</f>
        <v>0</v>
      </c>
      <c r="L367" s="70">
        <f>'RESUMEN TOTAL'!R428</f>
        <v>0</v>
      </c>
      <c r="M367" s="70">
        <f>'RESUMEN TOTAL'!S428</f>
        <v>0</v>
      </c>
      <c r="N367" s="70">
        <f>'RESUMEN TOTAL'!T428</f>
        <v>0</v>
      </c>
      <c r="O367" s="70">
        <f>'RESUMEN TOTAL'!U428</f>
        <v>0</v>
      </c>
      <c r="P367" s="70">
        <f>'RESUMEN TOTAL'!V428</f>
        <v>0</v>
      </c>
      <c r="Q367" s="70">
        <f>'RESUMEN TOTAL'!W428</f>
        <v>0</v>
      </c>
      <c r="R367" s="70">
        <f>'RESUMEN TOTAL'!X428</f>
        <v>0</v>
      </c>
      <c r="S367" s="70">
        <f>'RESUMEN TOTAL'!Y428</f>
        <v>0</v>
      </c>
      <c r="T367" s="70">
        <f>'RESUMEN TOTAL'!Z428</f>
        <v>0</v>
      </c>
      <c r="U367" s="70">
        <f>'RESUMEN TOTAL'!AA428</f>
        <v>0</v>
      </c>
      <c r="V367" s="70">
        <f>'RESUMEN TOTAL'!AB428</f>
        <v>0</v>
      </c>
      <c r="W367" s="70">
        <f>'RESUMEN TOTAL'!AC428</f>
        <v>0</v>
      </c>
      <c r="X367" s="70">
        <f>'RESUMEN TOTAL'!AD428</f>
        <v>0</v>
      </c>
      <c r="Y367" s="70">
        <f>'RESUMEN TOTAL'!AE428</f>
        <v>0</v>
      </c>
      <c r="Z367" s="70">
        <f>'RESUMEN TOTAL'!AF428</f>
        <v>0</v>
      </c>
      <c r="AA367" s="70">
        <f>'RESUMEN TOTAL'!AG428</f>
        <v>0</v>
      </c>
      <c r="AB367" s="70">
        <f>'RESUMEN TOTAL'!AH428</f>
        <v>0</v>
      </c>
      <c r="AC367" s="70">
        <f>'RESUMEN TOTAL'!AI428</f>
        <v>0</v>
      </c>
      <c r="AD367" s="70">
        <f>'RESUMEN TOTAL'!AJ428</f>
        <v>0</v>
      </c>
      <c r="AE367" s="70">
        <f>'RESUMEN TOTAL'!AK428</f>
        <v>0</v>
      </c>
      <c r="AF367" s="70">
        <f>'RESUMEN TOTAL'!AL428</f>
        <v>0</v>
      </c>
      <c r="AG367" s="70">
        <f>'RESUMEN TOTAL'!AM428</f>
        <v>0</v>
      </c>
      <c r="AH367" s="70">
        <f>'RESUMEN TOTAL'!AN428</f>
        <v>0</v>
      </c>
      <c r="AI367" s="70">
        <f>'RESUMEN TOTAL'!AO428</f>
        <v>0</v>
      </c>
    </row>
    <row r="368" spans="1:35" x14ac:dyDescent="0.25">
      <c r="A368" t="str">
        <f>'RESUMEN TOTAL'!A429</f>
        <v>VILLA ANGELICA</v>
      </c>
      <c r="B368" t="str">
        <f>'RESUMEN TOTAL'!B429</f>
        <v>VANG04</v>
      </c>
      <c r="C368" t="str">
        <f>'RESUMEN TOTAL'!D429</f>
        <v>Storni e/Thevenet y Calle 158</v>
      </c>
      <c r="D368" s="30" t="str">
        <f>'RESUMEN TOTAL'!E429</f>
        <v>DOMO</v>
      </c>
      <c r="E368" s="30" t="str">
        <f>'RESUMEN TOTAL'!F429</f>
        <v>Fibra Optica</v>
      </c>
      <c r="F368" s="70">
        <f>'RESUMEN TOTAL'!L429</f>
        <v>0</v>
      </c>
      <c r="G368" s="70">
        <f>'RESUMEN TOTAL'!M429</f>
        <v>0</v>
      </c>
      <c r="H368" s="70">
        <f>'RESUMEN TOTAL'!N429</f>
        <v>0</v>
      </c>
      <c r="I368" s="70">
        <f>'RESUMEN TOTAL'!O429</f>
        <v>0</v>
      </c>
      <c r="J368" s="70">
        <f>'RESUMEN TOTAL'!P429</f>
        <v>0</v>
      </c>
      <c r="K368" s="70">
        <f>'RESUMEN TOTAL'!Q429</f>
        <v>0</v>
      </c>
      <c r="L368" s="70">
        <f>'RESUMEN TOTAL'!R429</f>
        <v>0</v>
      </c>
      <c r="M368" s="70">
        <f>'RESUMEN TOTAL'!S429</f>
        <v>0</v>
      </c>
      <c r="N368" s="70">
        <f>'RESUMEN TOTAL'!T429</f>
        <v>0</v>
      </c>
      <c r="O368" s="70">
        <f>'RESUMEN TOTAL'!U429</f>
        <v>0</v>
      </c>
      <c r="P368" s="70">
        <f>'RESUMEN TOTAL'!V429</f>
        <v>0</v>
      </c>
      <c r="Q368" s="70">
        <f>'RESUMEN TOTAL'!W429</f>
        <v>0</v>
      </c>
      <c r="R368" s="70">
        <f>'RESUMEN TOTAL'!X429</f>
        <v>0</v>
      </c>
      <c r="S368" s="70">
        <f>'RESUMEN TOTAL'!Y429</f>
        <v>0</v>
      </c>
      <c r="T368" s="70">
        <f>'RESUMEN TOTAL'!Z429</f>
        <v>0</v>
      </c>
      <c r="U368" s="70">
        <f>'RESUMEN TOTAL'!AA429</f>
        <v>0</v>
      </c>
      <c r="V368" s="70">
        <f>'RESUMEN TOTAL'!AB429</f>
        <v>0</v>
      </c>
      <c r="W368" s="70">
        <f>'RESUMEN TOTAL'!AC429</f>
        <v>0</v>
      </c>
      <c r="X368" s="70">
        <f>'RESUMEN TOTAL'!AD429</f>
        <v>0</v>
      </c>
      <c r="Y368" s="70">
        <f>'RESUMEN TOTAL'!AE429</f>
        <v>0</v>
      </c>
      <c r="Z368" s="70">
        <f>'RESUMEN TOTAL'!AF429</f>
        <v>0</v>
      </c>
      <c r="AA368" s="70">
        <f>'RESUMEN TOTAL'!AG429</f>
        <v>0</v>
      </c>
      <c r="AB368" s="70">
        <f>'RESUMEN TOTAL'!AH429</f>
        <v>0</v>
      </c>
      <c r="AC368" s="70">
        <f>'RESUMEN TOTAL'!AI429</f>
        <v>0</v>
      </c>
      <c r="AD368" s="70">
        <f>'RESUMEN TOTAL'!AJ429</f>
        <v>0</v>
      </c>
      <c r="AE368" s="70">
        <f>'RESUMEN TOTAL'!AK429</f>
        <v>0</v>
      </c>
      <c r="AF368" s="70">
        <f>'RESUMEN TOTAL'!AL429</f>
        <v>0</v>
      </c>
      <c r="AG368" s="70">
        <f>'RESUMEN TOTAL'!AM429</f>
        <v>0</v>
      </c>
      <c r="AH368" s="70">
        <f>'RESUMEN TOTAL'!AN429</f>
        <v>0</v>
      </c>
      <c r="AI368" s="70">
        <f>'RESUMEN TOTAL'!AO429</f>
        <v>0</v>
      </c>
    </row>
    <row r="369" spans="1:35" x14ac:dyDescent="0.25">
      <c r="A369" t="str">
        <f>'RESUMEN TOTAL'!A430</f>
        <v>VILLA ANGELICA</v>
      </c>
      <c r="B369" t="str">
        <f>'RESUMEN TOTAL'!B430</f>
        <v>VANG05</v>
      </c>
      <c r="C369" t="str">
        <f>'RESUMEN TOTAL'!D430</f>
        <v>Storni y Thevenet</v>
      </c>
      <c r="D369" s="30" t="str">
        <f>'RESUMEN TOTAL'!E430</f>
        <v>Domo</v>
      </c>
      <c r="E369" s="30" t="str">
        <f>'RESUMEN TOTAL'!F430</f>
        <v>Fibra Optica</v>
      </c>
      <c r="F369" s="70">
        <f>'RESUMEN TOTAL'!L430</f>
        <v>0</v>
      </c>
      <c r="G369" s="70">
        <f>'RESUMEN TOTAL'!M430</f>
        <v>0</v>
      </c>
      <c r="H369" s="70">
        <f>'RESUMEN TOTAL'!N430</f>
        <v>0</v>
      </c>
      <c r="I369" s="70">
        <f>'RESUMEN TOTAL'!O430</f>
        <v>0</v>
      </c>
      <c r="J369" s="70">
        <f>'RESUMEN TOTAL'!P430</f>
        <v>0</v>
      </c>
      <c r="K369" s="70">
        <f>'RESUMEN TOTAL'!Q430</f>
        <v>0</v>
      </c>
      <c r="L369" s="70">
        <f>'RESUMEN TOTAL'!R430</f>
        <v>0</v>
      </c>
      <c r="M369" s="70">
        <f>'RESUMEN TOTAL'!S430</f>
        <v>0</v>
      </c>
      <c r="N369" s="70">
        <f>'RESUMEN TOTAL'!T430</f>
        <v>0</v>
      </c>
      <c r="O369" s="70">
        <f>'RESUMEN TOTAL'!U430</f>
        <v>0</v>
      </c>
      <c r="P369" s="70">
        <f>'RESUMEN TOTAL'!V430</f>
        <v>0</v>
      </c>
      <c r="Q369" s="70">
        <f>'RESUMEN TOTAL'!W430</f>
        <v>0</v>
      </c>
      <c r="R369" s="70">
        <f>'RESUMEN TOTAL'!X430</f>
        <v>0</v>
      </c>
      <c r="S369" s="70">
        <f>'RESUMEN TOTAL'!Y430</f>
        <v>0</v>
      </c>
      <c r="T369" s="70">
        <f>'RESUMEN TOTAL'!Z430</f>
        <v>0</v>
      </c>
      <c r="U369" s="70">
        <f>'RESUMEN TOTAL'!AA430</f>
        <v>0</v>
      </c>
      <c r="V369" s="70">
        <f>'RESUMEN TOTAL'!AB430</f>
        <v>0</v>
      </c>
      <c r="W369" s="70">
        <f>'RESUMEN TOTAL'!AC430</f>
        <v>0</v>
      </c>
      <c r="X369" s="70">
        <f>'RESUMEN TOTAL'!AD430</f>
        <v>0</v>
      </c>
      <c r="Y369" s="70">
        <f>'RESUMEN TOTAL'!AE430</f>
        <v>0</v>
      </c>
      <c r="Z369" s="70">
        <f>'RESUMEN TOTAL'!AF430</f>
        <v>0</v>
      </c>
      <c r="AA369" s="70">
        <f>'RESUMEN TOTAL'!AG430</f>
        <v>0</v>
      </c>
      <c r="AB369" s="70">
        <f>'RESUMEN TOTAL'!AH430</f>
        <v>0</v>
      </c>
      <c r="AC369" s="70">
        <f>'RESUMEN TOTAL'!AI430</f>
        <v>0</v>
      </c>
      <c r="AD369" s="70">
        <f>'RESUMEN TOTAL'!AJ430</f>
        <v>0</v>
      </c>
      <c r="AE369" s="70">
        <f>'RESUMEN TOTAL'!AK430</f>
        <v>0</v>
      </c>
      <c r="AF369" s="70">
        <f>'RESUMEN TOTAL'!AL430</f>
        <v>0</v>
      </c>
      <c r="AG369" s="70">
        <f>'RESUMEN TOTAL'!AM430</f>
        <v>0</v>
      </c>
      <c r="AH369" s="70">
        <f>'RESUMEN TOTAL'!AN430</f>
        <v>0</v>
      </c>
      <c r="AI369" s="70">
        <f>'RESUMEN TOTAL'!AO430</f>
        <v>0</v>
      </c>
    </row>
    <row r="370" spans="1:35" x14ac:dyDescent="0.25">
      <c r="A370" t="str">
        <f>'RESUMEN TOTAL'!A431</f>
        <v>VILLA ANGELICA</v>
      </c>
      <c r="B370" t="str">
        <f>'RESUMEN TOTAL'!B431</f>
        <v>VANG06</v>
      </c>
      <c r="C370" t="str">
        <f>'RESUMEN TOTAL'!D431</f>
        <v>Arenales e/Thevenet y Calle 158</v>
      </c>
      <c r="D370" s="30" t="str">
        <f>'RESUMEN TOTAL'!E431</f>
        <v>DOMO</v>
      </c>
      <c r="E370" s="30" t="str">
        <f>'RESUMEN TOTAL'!F431</f>
        <v>GPON</v>
      </c>
      <c r="F370" s="70">
        <f>'RESUMEN TOTAL'!L431</f>
        <v>0</v>
      </c>
      <c r="G370" s="70">
        <f>'RESUMEN TOTAL'!M431</f>
        <v>0</v>
      </c>
      <c r="H370" s="70">
        <f>'RESUMEN TOTAL'!N431</f>
        <v>0</v>
      </c>
      <c r="I370" s="70">
        <f>'RESUMEN TOTAL'!O431</f>
        <v>0</v>
      </c>
      <c r="J370" s="70">
        <f>'RESUMEN TOTAL'!P431</f>
        <v>0</v>
      </c>
      <c r="K370" s="70">
        <f>'RESUMEN TOTAL'!Q431</f>
        <v>0</v>
      </c>
      <c r="L370" s="70">
        <f>'RESUMEN TOTAL'!R431</f>
        <v>0</v>
      </c>
      <c r="M370" s="70">
        <f>'RESUMEN TOTAL'!S431</f>
        <v>0</v>
      </c>
      <c r="N370" s="70">
        <f>'RESUMEN TOTAL'!T431</f>
        <v>0</v>
      </c>
      <c r="O370" s="70">
        <f>'RESUMEN TOTAL'!U431</f>
        <v>0</v>
      </c>
      <c r="P370" s="70">
        <f>'RESUMEN TOTAL'!V431</f>
        <v>0</v>
      </c>
      <c r="Q370" s="70">
        <f>'RESUMEN TOTAL'!W431</f>
        <v>0</v>
      </c>
      <c r="R370" s="70">
        <f>'RESUMEN TOTAL'!X431</f>
        <v>0</v>
      </c>
      <c r="S370" s="70">
        <f>'RESUMEN TOTAL'!Y431</f>
        <v>0</v>
      </c>
      <c r="T370" s="70">
        <f>'RESUMEN TOTAL'!Z431</f>
        <v>0</v>
      </c>
      <c r="U370" s="70">
        <f>'RESUMEN TOTAL'!AA431</f>
        <v>0</v>
      </c>
      <c r="V370" s="70">
        <f>'RESUMEN TOTAL'!AB431</f>
        <v>0</v>
      </c>
      <c r="W370" s="70">
        <f>'RESUMEN TOTAL'!AC431</f>
        <v>0</v>
      </c>
      <c r="X370" s="70">
        <f>'RESUMEN TOTAL'!AD431</f>
        <v>0</v>
      </c>
      <c r="Y370" s="70">
        <f>'RESUMEN TOTAL'!AE431</f>
        <v>0</v>
      </c>
      <c r="Z370" s="70">
        <f>'RESUMEN TOTAL'!AF431</f>
        <v>0</v>
      </c>
      <c r="AA370" s="70">
        <f>'RESUMEN TOTAL'!AG431</f>
        <v>0</v>
      </c>
      <c r="AB370" s="70">
        <f>'RESUMEN TOTAL'!AH431</f>
        <v>0</v>
      </c>
      <c r="AC370" s="70">
        <f>'RESUMEN TOTAL'!AI431</f>
        <v>0</v>
      </c>
      <c r="AD370" s="70">
        <f>'RESUMEN TOTAL'!AJ431</f>
        <v>0</v>
      </c>
      <c r="AE370" s="70">
        <f>'RESUMEN TOTAL'!AK431</f>
        <v>0</v>
      </c>
      <c r="AF370" s="70">
        <f>'RESUMEN TOTAL'!AL431</f>
        <v>0</v>
      </c>
      <c r="AG370" s="70">
        <f>'RESUMEN TOTAL'!AM431</f>
        <v>0</v>
      </c>
      <c r="AH370" s="70">
        <f>'RESUMEN TOTAL'!AN431</f>
        <v>0</v>
      </c>
      <c r="AI370" s="70">
        <f>'RESUMEN TOTAL'!AO431</f>
        <v>0</v>
      </c>
    </row>
    <row r="371" spans="1:35" x14ac:dyDescent="0.25">
      <c r="A371" t="str">
        <f>'RESUMEN TOTAL'!A432</f>
        <v>VILLA ANGELICA</v>
      </c>
      <c r="B371" t="str">
        <f>'RESUMEN TOTAL'!B432</f>
        <v>VANG07</v>
      </c>
      <c r="C371" t="str">
        <f>'RESUMEN TOTAL'!D432</f>
        <v>Arenales y Thevenet</v>
      </c>
      <c r="D371" s="30" t="str">
        <f>'RESUMEN TOTAL'!E432</f>
        <v>Domo</v>
      </c>
      <c r="E371" s="30" t="str">
        <f>'RESUMEN TOTAL'!F432</f>
        <v>GPON</v>
      </c>
      <c r="F371" s="70">
        <f>'RESUMEN TOTAL'!L432</f>
        <v>0</v>
      </c>
      <c r="G371" s="70">
        <f>'RESUMEN TOTAL'!M432</f>
        <v>0</v>
      </c>
      <c r="H371" s="70">
        <f>'RESUMEN TOTAL'!N432</f>
        <v>0</v>
      </c>
      <c r="I371" s="70">
        <f>'RESUMEN TOTAL'!O432</f>
        <v>0</v>
      </c>
      <c r="J371" s="70">
        <f>'RESUMEN TOTAL'!P432</f>
        <v>0</v>
      </c>
      <c r="K371" s="70">
        <f>'RESUMEN TOTAL'!Q432</f>
        <v>0</v>
      </c>
      <c r="L371" s="70">
        <f>'RESUMEN TOTAL'!R432</f>
        <v>0</v>
      </c>
      <c r="M371" s="70">
        <f>'RESUMEN TOTAL'!S432</f>
        <v>0</v>
      </c>
      <c r="N371" s="70">
        <f>'RESUMEN TOTAL'!T432</f>
        <v>0</v>
      </c>
      <c r="O371" s="70">
        <f>'RESUMEN TOTAL'!U432</f>
        <v>0</v>
      </c>
      <c r="P371" s="70">
        <f>'RESUMEN TOTAL'!V432</f>
        <v>0</v>
      </c>
      <c r="Q371" s="70">
        <f>'RESUMEN TOTAL'!W432</f>
        <v>0</v>
      </c>
      <c r="R371" s="70">
        <f>'RESUMEN TOTAL'!X432</f>
        <v>0</v>
      </c>
      <c r="S371" s="70">
        <f>'RESUMEN TOTAL'!Y432</f>
        <v>0</v>
      </c>
      <c r="T371" s="70">
        <f>'RESUMEN TOTAL'!Z432</f>
        <v>0</v>
      </c>
      <c r="U371" s="70">
        <f>'RESUMEN TOTAL'!AA432</f>
        <v>0</v>
      </c>
      <c r="V371" s="70">
        <f>'RESUMEN TOTAL'!AB432</f>
        <v>0</v>
      </c>
      <c r="W371" s="70">
        <f>'RESUMEN TOTAL'!AC432</f>
        <v>0</v>
      </c>
      <c r="X371" s="70">
        <f>'RESUMEN TOTAL'!AD432</f>
        <v>0</v>
      </c>
      <c r="Y371" s="70">
        <f>'RESUMEN TOTAL'!AE432</f>
        <v>0</v>
      </c>
      <c r="Z371" s="70">
        <f>'RESUMEN TOTAL'!AF432</f>
        <v>0</v>
      </c>
      <c r="AA371" s="70">
        <f>'RESUMEN TOTAL'!AG432</f>
        <v>0</v>
      </c>
      <c r="AB371" s="70">
        <f>'RESUMEN TOTAL'!AH432</f>
        <v>0</v>
      </c>
      <c r="AC371" s="70">
        <f>'RESUMEN TOTAL'!AI432</f>
        <v>0</v>
      </c>
      <c r="AD371" s="70">
        <f>'RESUMEN TOTAL'!AJ432</f>
        <v>0</v>
      </c>
      <c r="AE371" s="70">
        <f>'RESUMEN TOTAL'!AK432</f>
        <v>0</v>
      </c>
      <c r="AF371" s="70">
        <f>'RESUMEN TOTAL'!AL432</f>
        <v>0</v>
      </c>
      <c r="AG371" s="70">
        <f>'RESUMEN TOTAL'!AM432</f>
        <v>0</v>
      </c>
      <c r="AH371" s="70">
        <f>'RESUMEN TOTAL'!AN432</f>
        <v>0</v>
      </c>
      <c r="AI371" s="70">
        <f>'RESUMEN TOTAL'!AO432</f>
        <v>0</v>
      </c>
    </row>
    <row r="372" spans="1:35" x14ac:dyDescent="0.25">
      <c r="A372" t="str">
        <f>'RESUMEN TOTAL'!A433</f>
        <v>VILLA ANGELICA</v>
      </c>
      <c r="B372" t="str">
        <f>'RESUMEN TOTAL'!B433</f>
        <v>VANG08</v>
      </c>
      <c r="C372" t="str">
        <f>'RESUMEN TOTAL'!D433</f>
        <v>Calle 158 al 2200</v>
      </c>
      <c r="D372" s="30" t="str">
        <f>'RESUMEN TOTAL'!E433</f>
        <v>Domo</v>
      </c>
      <c r="E372" s="30" t="str">
        <f>'RESUMEN TOTAL'!F433</f>
        <v>PTO A FO</v>
      </c>
      <c r="F372" s="70">
        <f>'RESUMEN TOTAL'!L433</f>
        <v>0</v>
      </c>
      <c r="G372" s="70">
        <f>'RESUMEN TOTAL'!M433</f>
        <v>0</v>
      </c>
      <c r="H372" s="70">
        <f>'RESUMEN TOTAL'!N433</f>
        <v>0</v>
      </c>
      <c r="I372" s="70">
        <f>'RESUMEN TOTAL'!O433</f>
        <v>0</v>
      </c>
      <c r="J372" s="70">
        <f>'RESUMEN TOTAL'!P433</f>
        <v>0</v>
      </c>
      <c r="K372" s="70">
        <f>'RESUMEN TOTAL'!Q433</f>
        <v>0</v>
      </c>
      <c r="L372" s="70">
        <f>'RESUMEN TOTAL'!R433</f>
        <v>0</v>
      </c>
      <c r="M372" s="70">
        <f>'RESUMEN TOTAL'!S433</f>
        <v>0</v>
      </c>
      <c r="N372" s="70">
        <f>'RESUMEN TOTAL'!T433</f>
        <v>0</v>
      </c>
      <c r="O372" s="70">
        <f>'RESUMEN TOTAL'!U433</f>
        <v>0</v>
      </c>
      <c r="P372" s="70">
        <f>'RESUMEN TOTAL'!V433</f>
        <v>0</v>
      </c>
      <c r="Q372" s="70">
        <f>'RESUMEN TOTAL'!W433</f>
        <v>0</v>
      </c>
      <c r="R372" s="70">
        <f>'RESUMEN TOTAL'!X433</f>
        <v>0</v>
      </c>
      <c r="S372" s="70">
        <f>'RESUMEN TOTAL'!Y433</f>
        <v>0</v>
      </c>
      <c r="T372" s="70">
        <f>'RESUMEN TOTAL'!Z433</f>
        <v>0</v>
      </c>
      <c r="U372" s="70">
        <f>'RESUMEN TOTAL'!AA433</f>
        <v>0</v>
      </c>
      <c r="V372" s="70">
        <f>'RESUMEN TOTAL'!AB433</f>
        <v>0</v>
      </c>
      <c r="W372" s="70">
        <f>'RESUMEN TOTAL'!AC433</f>
        <v>0</v>
      </c>
      <c r="X372" s="70">
        <f>'RESUMEN TOTAL'!AD433</f>
        <v>0</v>
      </c>
      <c r="Y372" s="70">
        <f>'RESUMEN TOTAL'!AE433</f>
        <v>0</v>
      </c>
      <c r="Z372" s="70">
        <f>'RESUMEN TOTAL'!AF433</f>
        <v>0</v>
      </c>
      <c r="AA372" s="70">
        <f>'RESUMEN TOTAL'!AG433</f>
        <v>0</v>
      </c>
      <c r="AB372" s="70">
        <f>'RESUMEN TOTAL'!AH433</f>
        <v>0</v>
      </c>
      <c r="AC372" s="70">
        <f>'RESUMEN TOTAL'!AI433</f>
        <v>0</v>
      </c>
      <c r="AD372" s="70">
        <f>'RESUMEN TOTAL'!AJ433</f>
        <v>0</v>
      </c>
      <c r="AE372" s="70">
        <f>'RESUMEN TOTAL'!AK433</f>
        <v>0</v>
      </c>
      <c r="AF372" s="70">
        <f>'RESUMEN TOTAL'!AL433</f>
        <v>0</v>
      </c>
      <c r="AG372" s="70">
        <f>'RESUMEN TOTAL'!AM433</f>
        <v>0</v>
      </c>
      <c r="AH372" s="70">
        <f>'RESUMEN TOTAL'!AN433</f>
        <v>0</v>
      </c>
      <c r="AI372" s="70">
        <f>'RESUMEN TOTAL'!AO433</f>
        <v>0</v>
      </c>
    </row>
    <row r="373" spans="1:35" x14ac:dyDescent="0.25">
      <c r="A373" t="str">
        <f>'RESUMEN TOTAL'!A434</f>
        <v>VILLA ANGELICA</v>
      </c>
      <c r="B373" t="str">
        <f>'RESUMEN TOTAL'!B434</f>
        <v>VANG10</v>
      </c>
      <c r="C373" t="str">
        <f>'RESUMEN TOTAL'!D434</f>
        <v>Senzabello y Braile</v>
      </c>
      <c r="D373" s="30" t="str">
        <f>'RESUMEN TOTAL'!E434</f>
        <v>fija</v>
      </c>
      <c r="E373" s="30" t="str">
        <f>'RESUMEN TOTAL'!F434</f>
        <v>GPON</v>
      </c>
      <c r="F373" s="70">
        <f>'RESUMEN TOTAL'!L434</f>
        <v>0</v>
      </c>
      <c r="G373" s="70">
        <f>'RESUMEN TOTAL'!M434</f>
        <v>0</v>
      </c>
      <c r="H373" s="70">
        <f>'RESUMEN TOTAL'!N434</f>
        <v>0</v>
      </c>
      <c r="I373" s="70">
        <f>'RESUMEN TOTAL'!O434</f>
        <v>0</v>
      </c>
      <c r="J373" s="70">
        <f>'RESUMEN TOTAL'!P434</f>
        <v>0</v>
      </c>
      <c r="K373" s="70">
        <f>'RESUMEN TOTAL'!Q434</f>
        <v>0</v>
      </c>
      <c r="L373" s="70">
        <f>'RESUMEN TOTAL'!R434</f>
        <v>0</v>
      </c>
      <c r="M373" s="70">
        <f>'RESUMEN TOTAL'!S434</f>
        <v>0</v>
      </c>
      <c r="N373" s="70">
        <f>'RESUMEN TOTAL'!T434</f>
        <v>0</v>
      </c>
      <c r="O373" s="70">
        <f>'RESUMEN TOTAL'!U434</f>
        <v>0</v>
      </c>
      <c r="P373" s="70">
        <f>'RESUMEN TOTAL'!V434</f>
        <v>0</v>
      </c>
      <c r="Q373" s="70">
        <f>'RESUMEN TOTAL'!W434</f>
        <v>0</v>
      </c>
      <c r="R373" s="70">
        <f>'RESUMEN TOTAL'!X434</f>
        <v>0</v>
      </c>
      <c r="S373" s="70">
        <f>'RESUMEN TOTAL'!Y434</f>
        <v>0</v>
      </c>
      <c r="T373" s="70">
        <f>'RESUMEN TOTAL'!Z434</f>
        <v>0</v>
      </c>
      <c r="U373" s="70">
        <f>'RESUMEN TOTAL'!AA434</f>
        <v>0</v>
      </c>
      <c r="V373" s="70">
        <f>'RESUMEN TOTAL'!AB434</f>
        <v>0</v>
      </c>
      <c r="W373" s="70">
        <f>'RESUMEN TOTAL'!AC434</f>
        <v>0</v>
      </c>
      <c r="X373" s="70">
        <f>'RESUMEN TOTAL'!AD434</f>
        <v>0</v>
      </c>
      <c r="Y373" s="70">
        <f>'RESUMEN TOTAL'!AE434</f>
        <v>0</v>
      </c>
      <c r="Z373" s="70">
        <f>'RESUMEN TOTAL'!AF434</f>
        <v>0</v>
      </c>
      <c r="AA373" s="70">
        <f>'RESUMEN TOTAL'!AG434</f>
        <v>0</v>
      </c>
      <c r="AB373" s="70">
        <f>'RESUMEN TOTAL'!AH434</f>
        <v>0</v>
      </c>
      <c r="AC373" s="70">
        <f>'RESUMEN TOTAL'!AI434</f>
        <v>0</v>
      </c>
      <c r="AD373" s="70">
        <f>'RESUMEN TOTAL'!AJ434</f>
        <v>0</v>
      </c>
      <c r="AE373" s="70">
        <f>'RESUMEN TOTAL'!AK434</f>
        <v>0</v>
      </c>
      <c r="AF373" s="70">
        <f>'RESUMEN TOTAL'!AL434</f>
        <v>0</v>
      </c>
      <c r="AG373" s="70">
        <f>'RESUMEN TOTAL'!AM434</f>
        <v>0</v>
      </c>
      <c r="AH373" s="70">
        <f>'RESUMEN TOTAL'!AN434</f>
        <v>0</v>
      </c>
      <c r="AI373" s="70">
        <f>'RESUMEN TOTAL'!AO434</f>
        <v>0</v>
      </c>
    </row>
    <row r="374" spans="1:35" x14ac:dyDescent="0.25">
      <c r="A374" t="str">
        <f>'RESUMEN TOTAL'!A435</f>
        <v>VILLA ANGELICA</v>
      </c>
      <c r="B374" t="str">
        <f>'RESUMEN TOTAL'!B435</f>
        <v>VANG11</v>
      </c>
      <c r="C374" t="str">
        <f>'RESUMEN TOTAL'!D435</f>
        <v>Senzabello y Braile</v>
      </c>
      <c r="D374" s="30" t="str">
        <f>'RESUMEN TOTAL'!E435</f>
        <v>fija</v>
      </c>
      <c r="E374" s="30" t="str">
        <f>'RESUMEN TOTAL'!F435</f>
        <v>Fibra Optica</v>
      </c>
      <c r="F374" s="70">
        <f>'RESUMEN TOTAL'!L435</f>
        <v>0</v>
      </c>
      <c r="G374" s="70">
        <f>'RESUMEN TOTAL'!M435</f>
        <v>0</v>
      </c>
      <c r="H374" s="70">
        <f>'RESUMEN TOTAL'!N435</f>
        <v>0</v>
      </c>
      <c r="I374" s="70">
        <f>'RESUMEN TOTAL'!O435</f>
        <v>0</v>
      </c>
      <c r="J374" s="70">
        <f>'RESUMEN TOTAL'!P435</f>
        <v>0</v>
      </c>
      <c r="K374" s="70">
        <f>'RESUMEN TOTAL'!Q435</f>
        <v>0</v>
      </c>
      <c r="L374" s="70">
        <f>'RESUMEN TOTAL'!R435</f>
        <v>0</v>
      </c>
      <c r="M374" s="70">
        <f>'RESUMEN TOTAL'!S435</f>
        <v>0</v>
      </c>
      <c r="N374" s="70">
        <f>'RESUMEN TOTAL'!T435</f>
        <v>0</v>
      </c>
      <c r="O374" s="70">
        <f>'RESUMEN TOTAL'!U435</f>
        <v>0</v>
      </c>
      <c r="P374" s="70">
        <f>'RESUMEN TOTAL'!V435</f>
        <v>0</v>
      </c>
      <c r="Q374" s="70">
        <f>'RESUMEN TOTAL'!W435</f>
        <v>0</v>
      </c>
      <c r="R374" s="70">
        <f>'RESUMEN TOTAL'!X435</f>
        <v>0</v>
      </c>
      <c r="S374" s="70">
        <f>'RESUMEN TOTAL'!Y435</f>
        <v>0</v>
      </c>
      <c r="T374" s="70">
        <f>'RESUMEN TOTAL'!Z435</f>
        <v>0</v>
      </c>
      <c r="U374" s="70">
        <f>'RESUMEN TOTAL'!AA435</f>
        <v>0</v>
      </c>
      <c r="V374" s="70">
        <f>'RESUMEN TOTAL'!AB435</f>
        <v>0</v>
      </c>
      <c r="W374" s="70">
        <f>'RESUMEN TOTAL'!AC435</f>
        <v>0</v>
      </c>
      <c r="X374" s="70">
        <f>'RESUMEN TOTAL'!AD435</f>
        <v>0</v>
      </c>
      <c r="Y374" s="70">
        <f>'RESUMEN TOTAL'!AE435</f>
        <v>0</v>
      </c>
      <c r="Z374" s="70">
        <f>'RESUMEN TOTAL'!AF435</f>
        <v>0</v>
      </c>
      <c r="AA374" s="70">
        <f>'RESUMEN TOTAL'!AG435</f>
        <v>0</v>
      </c>
      <c r="AB374" s="70">
        <f>'RESUMEN TOTAL'!AH435</f>
        <v>0</v>
      </c>
      <c r="AC374" s="70">
        <f>'RESUMEN TOTAL'!AI435</f>
        <v>0</v>
      </c>
      <c r="AD374" s="70">
        <f>'RESUMEN TOTAL'!AJ435</f>
        <v>0</v>
      </c>
      <c r="AE374" s="70">
        <f>'RESUMEN TOTAL'!AK435</f>
        <v>0</v>
      </c>
      <c r="AF374" s="70">
        <f>'RESUMEN TOTAL'!AL435</f>
        <v>0</v>
      </c>
      <c r="AG374" s="70">
        <f>'RESUMEN TOTAL'!AM435</f>
        <v>0</v>
      </c>
      <c r="AH374" s="70">
        <f>'RESUMEN TOTAL'!AN435</f>
        <v>0</v>
      </c>
      <c r="AI374" s="70">
        <f>'RESUMEN TOTAL'!AO435</f>
        <v>0</v>
      </c>
    </row>
    <row r="375" spans="1:35" x14ac:dyDescent="0.25">
      <c r="A375" t="str">
        <f>'RESUMEN TOTAL'!A436</f>
        <v>VILLA ANGELICA</v>
      </c>
      <c r="B375" t="str">
        <f>'RESUMEN TOTAL'!B436</f>
        <v>VANG12</v>
      </c>
      <c r="C375" t="str">
        <f>'RESUMEN TOTAL'!D436</f>
        <v>TAPALQUE E/ BOLIVAR Y GORRITI</v>
      </c>
      <c r="D375" s="30" t="str">
        <f>'RESUMEN TOTAL'!E436</f>
        <v>Fija</v>
      </c>
      <c r="E375" s="30" t="str">
        <f>'RESUMEN TOTAL'!F436</f>
        <v>Fibra Optica</v>
      </c>
      <c r="F375" s="70">
        <f>'RESUMEN TOTAL'!L436</f>
        <v>0</v>
      </c>
      <c r="G375" s="70">
        <f>'RESUMEN TOTAL'!M436</f>
        <v>0</v>
      </c>
      <c r="H375" s="70">
        <f>'RESUMEN TOTAL'!N436</f>
        <v>0</v>
      </c>
      <c r="I375" s="70">
        <f>'RESUMEN TOTAL'!O436</f>
        <v>0</v>
      </c>
      <c r="J375" s="70">
        <f>'RESUMEN TOTAL'!P436</f>
        <v>0</v>
      </c>
      <c r="K375" s="70">
        <f>'RESUMEN TOTAL'!Q436</f>
        <v>0</v>
      </c>
      <c r="L375" s="70">
        <f>'RESUMEN TOTAL'!R436</f>
        <v>0</v>
      </c>
      <c r="M375" s="70">
        <f>'RESUMEN TOTAL'!S436</f>
        <v>0</v>
      </c>
      <c r="N375" s="70">
        <f>'RESUMEN TOTAL'!T436</f>
        <v>0</v>
      </c>
      <c r="O375" s="70">
        <f>'RESUMEN TOTAL'!U436</f>
        <v>0</v>
      </c>
      <c r="P375" s="70">
        <f>'RESUMEN TOTAL'!V436</f>
        <v>0</v>
      </c>
      <c r="Q375" s="70">
        <f>'RESUMEN TOTAL'!W436</f>
        <v>0</v>
      </c>
      <c r="R375" s="70">
        <f>'RESUMEN TOTAL'!X436</f>
        <v>0</v>
      </c>
      <c r="S375" s="70">
        <f>'RESUMEN TOTAL'!Y436</f>
        <v>0</v>
      </c>
      <c r="T375" s="70">
        <f>'RESUMEN TOTAL'!Z436</f>
        <v>0</v>
      </c>
      <c r="U375" s="70">
        <f>'RESUMEN TOTAL'!AA436</f>
        <v>0</v>
      </c>
      <c r="V375" s="70">
        <f>'RESUMEN TOTAL'!AB436</f>
        <v>0</v>
      </c>
      <c r="W375" s="70">
        <f>'RESUMEN TOTAL'!AC436</f>
        <v>0</v>
      </c>
      <c r="X375" s="70">
        <f>'RESUMEN TOTAL'!AD436</f>
        <v>0</v>
      </c>
      <c r="Y375" s="70">
        <f>'RESUMEN TOTAL'!AE436</f>
        <v>0</v>
      </c>
      <c r="Z375" s="70">
        <f>'RESUMEN TOTAL'!AF436</f>
        <v>0</v>
      </c>
      <c r="AA375" s="70">
        <f>'RESUMEN TOTAL'!AG436</f>
        <v>0</v>
      </c>
      <c r="AB375" s="70">
        <f>'RESUMEN TOTAL'!AH436</f>
        <v>0</v>
      </c>
      <c r="AC375" s="70">
        <f>'RESUMEN TOTAL'!AI436</f>
        <v>0</v>
      </c>
      <c r="AD375" s="70">
        <f>'RESUMEN TOTAL'!AJ436</f>
        <v>0</v>
      </c>
      <c r="AE375" s="70">
        <f>'RESUMEN TOTAL'!AK436</f>
        <v>0</v>
      </c>
      <c r="AF375" s="70">
        <f>'RESUMEN TOTAL'!AL436</f>
        <v>0</v>
      </c>
      <c r="AG375" s="70">
        <f>'RESUMEN TOTAL'!AM436</f>
        <v>0</v>
      </c>
      <c r="AH375" s="70">
        <f>'RESUMEN TOTAL'!AN436</f>
        <v>0</v>
      </c>
      <c r="AI375" s="70">
        <f>'RESUMEN TOTAL'!AO436</f>
        <v>0</v>
      </c>
    </row>
    <row r="376" spans="1:35" x14ac:dyDescent="0.25">
      <c r="A376" t="str">
        <f>'RESUMEN TOTAL'!A437</f>
        <v>VILLA ANGELICA</v>
      </c>
      <c r="B376" t="str">
        <f>'RESUMEN TOTAL'!B437</f>
        <v>VANG13</v>
      </c>
      <c r="C376" t="str">
        <f>'RESUMEN TOTAL'!D437</f>
        <v>TAPALQUE E/ BOLIVAR Y GORRITI</v>
      </c>
      <c r="D376" s="30" t="str">
        <f>'RESUMEN TOTAL'!E437</f>
        <v>Fija</v>
      </c>
      <c r="E376" s="30" t="str">
        <f>'RESUMEN TOTAL'!F437</f>
        <v>Fibra Optica</v>
      </c>
      <c r="F376" s="70">
        <f>'RESUMEN TOTAL'!L437</f>
        <v>0</v>
      </c>
      <c r="G376" s="70">
        <f>'RESUMEN TOTAL'!M437</f>
        <v>0</v>
      </c>
      <c r="H376" s="70">
        <f>'RESUMEN TOTAL'!N437</f>
        <v>0</v>
      </c>
      <c r="I376" s="70">
        <f>'RESUMEN TOTAL'!O437</f>
        <v>0</v>
      </c>
      <c r="J376" s="70">
        <f>'RESUMEN TOTAL'!P437</f>
        <v>0</v>
      </c>
      <c r="K376" s="70">
        <f>'RESUMEN TOTAL'!Q437</f>
        <v>0</v>
      </c>
      <c r="L376" s="70">
        <f>'RESUMEN TOTAL'!R437</f>
        <v>0</v>
      </c>
      <c r="M376" s="70">
        <f>'RESUMEN TOTAL'!S437</f>
        <v>0</v>
      </c>
      <c r="N376" s="70">
        <f>'RESUMEN TOTAL'!T437</f>
        <v>0</v>
      </c>
      <c r="O376" s="70">
        <f>'RESUMEN TOTAL'!U437</f>
        <v>0</v>
      </c>
      <c r="P376" s="70">
        <f>'RESUMEN TOTAL'!V437</f>
        <v>0</v>
      </c>
      <c r="Q376" s="70">
        <f>'RESUMEN TOTAL'!W437</f>
        <v>0</v>
      </c>
      <c r="R376" s="70">
        <f>'RESUMEN TOTAL'!X437</f>
        <v>0</v>
      </c>
      <c r="S376" s="70">
        <f>'RESUMEN TOTAL'!Y437</f>
        <v>0</v>
      </c>
      <c r="T376" s="70">
        <f>'RESUMEN TOTAL'!Z437</f>
        <v>0</v>
      </c>
      <c r="U376" s="70">
        <f>'RESUMEN TOTAL'!AA437</f>
        <v>0</v>
      </c>
      <c r="V376" s="70">
        <f>'RESUMEN TOTAL'!AB437</f>
        <v>0</v>
      </c>
      <c r="W376" s="70">
        <f>'RESUMEN TOTAL'!AC437</f>
        <v>0</v>
      </c>
      <c r="X376" s="70">
        <f>'RESUMEN TOTAL'!AD437</f>
        <v>0</v>
      </c>
      <c r="Y376" s="70">
        <f>'RESUMEN TOTAL'!AE437</f>
        <v>0</v>
      </c>
      <c r="Z376" s="70">
        <f>'RESUMEN TOTAL'!AF437</f>
        <v>0</v>
      </c>
      <c r="AA376" s="70">
        <f>'RESUMEN TOTAL'!AG437</f>
        <v>0</v>
      </c>
      <c r="AB376" s="70">
        <f>'RESUMEN TOTAL'!AH437</f>
        <v>0</v>
      </c>
      <c r="AC376" s="70">
        <f>'RESUMEN TOTAL'!AI437</f>
        <v>0</v>
      </c>
      <c r="AD376" s="70">
        <f>'RESUMEN TOTAL'!AJ437</f>
        <v>0</v>
      </c>
      <c r="AE376" s="70">
        <f>'RESUMEN TOTAL'!AK437</f>
        <v>0</v>
      </c>
      <c r="AF376" s="70">
        <f>'RESUMEN TOTAL'!AL437</f>
        <v>0</v>
      </c>
      <c r="AG376" s="70">
        <f>'RESUMEN TOTAL'!AM437</f>
        <v>0</v>
      </c>
      <c r="AH376" s="70">
        <f>'RESUMEN TOTAL'!AN437</f>
        <v>0</v>
      </c>
      <c r="AI376" s="70">
        <f>'RESUMEN TOTAL'!AO437</f>
        <v>0</v>
      </c>
    </row>
    <row r="377" spans="1:35" x14ac:dyDescent="0.25">
      <c r="A377" t="str">
        <f>'RESUMEN TOTAL'!A441</f>
        <v>VILLA ARGENTINA</v>
      </c>
      <c r="B377" t="str">
        <f>'RESUMEN TOTAL'!B441</f>
        <v>VAR 01</v>
      </c>
      <c r="C377" t="str">
        <f>'RESUMEN TOTAL'!D441</f>
        <v>Calle 519 y 546</v>
      </c>
      <c r="D377" s="30" t="str">
        <f>'RESUMEN TOTAL'!E441</f>
        <v>Domo</v>
      </c>
      <c r="E377" s="30" t="str">
        <f>'RESUMEN TOTAL'!F441</f>
        <v>GPON</v>
      </c>
      <c r="F377" s="70">
        <f>'RESUMEN TOTAL'!L441</f>
        <v>0</v>
      </c>
      <c r="G377" s="70">
        <f>'RESUMEN TOTAL'!M441</f>
        <v>0</v>
      </c>
      <c r="H377" s="70">
        <f>'RESUMEN TOTAL'!N441</f>
        <v>0</v>
      </c>
      <c r="I377" s="70">
        <f>'RESUMEN TOTAL'!O441</f>
        <v>0</v>
      </c>
      <c r="J377" s="70">
        <f>'RESUMEN TOTAL'!P441</f>
        <v>0</v>
      </c>
      <c r="K377" s="70">
        <f>'RESUMEN TOTAL'!Q441</f>
        <v>0</v>
      </c>
      <c r="L377" s="70">
        <f>'RESUMEN TOTAL'!R441</f>
        <v>0</v>
      </c>
      <c r="M377" s="70">
        <f>'RESUMEN TOTAL'!S441</f>
        <v>0</v>
      </c>
      <c r="N377" s="70">
        <f>'RESUMEN TOTAL'!T441</f>
        <v>0</v>
      </c>
      <c r="O377" s="70">
        <f>'RESUMEN TOTAL'!U441</f>
        <v>0</v>
      </c>
      <c r="P377" s="70">
        <f>'RESUMEN TOTAL'!V441</f>
        <v>0</v>
      </c>
      <c r="Q377" s="70">
        <f>'RESUMEN TOTAL'!W441</f>
        <v>0</v>
      </c>
      <c r="R377" s="70">
        <f>'RESUMEN TOTAL'!X441</f>
        <v>0</v>
      </c>
      <c r="S377" s="70">
        <f>'RESUMEN TOTAL'!Y441</f>
        <v>0</v>
      </c>
      <c r="T377" s="70">
        <f>'RESUMEN TOTAL'!Z441</f>
        <v>0</v>
      </c>
      <c r="U377" s="70">
        <f>'RESUMEN TOTAL'!AA441</f>
        <v>0</v>
      </c>
      <c r="V377" s="70">
        <f>'RESUMEN TOTAL'!AB441</f>
        <v>0</v>
      </c>
      <c r="W377" s="70">
        <f>'RESUMEN TOTAL'!AC441</f>
        <v>0</v>
      </c>
      <c r="X377" s="70">
        <f>'RESUMEN TOTAL'!AD441</f>
        <v>0</v>
      </c>
      <c r="Y377" s="70">
        <f>'RESUMEN TOTAL'!AE441</f>
        <v>0</v>
      </c>
      <c r="Z377" s="70">
        <f>'RESUMEN TOTAL'!AF441</f>
        <v>0</v>
      </c>
      <c r="AA377" s="70">
        <f>'RESUMEN TOTAL'!AG441</f>
        <v>0</v>
      </c>
      <c r="AB377" s="70">
        <f>'RESUMEN TOTAL'!AH441</f>
        <v>0</v>
      </c>
      <c r="AC377" s="70">
        <f>'RESUMEN TOTAL'!AI441</f>
        <v>0</v>
      </c>
      <c r="AD377" s="70">
        <f>'RESUMEN TOTAL'!AJ441</f>
        <v>0</v>
      </c>
      <c r="AE377" s="70">
        <f>'RESUMEN TOTAL'!AK441</f>
        <v>0</v>
      </c>
      <c r="AF377" s="70">
        <f>'RESUMEN TOTAL'!AL441</f>
        <v>0</v>
      </c>
      <c r="AG377" s="70">
        <f>'RESUMEN TOTAL'!AM441</f>
        <v>0</v>
      </c>
      <c r="AH377" s="70">
        <f>'RESUMEN TOTAL'!AN441</f>
        <v>0</v>
      </c>
      <c r="AI377" s="70">
        <f>'RESUMEN TOTAL'!AO441</f>
        <v>0</v>
      </c>
    </row>
    <row r="378" spans="1:35" x14ac:dyDescent="0.25">
      <c r="A378" t="str">
        <f>'RESUMEN TOTAL'!A442</f>
        <v>VILLA ARGENTINA</v>
      </c>
      <c r="B378" t="str">
        <f>'RESUMEN TOTAL'!B442</f>
        <v>VAR 02</v>
      </c>
      <c r="C378" t="str">
        <f>'RESUMEN TOTAL'!D442</f>
        <v>DIAGONAL LOS TILOS Y 542</v>
      </c>
      <c r="D378" s="30" t="str">
        <f>'RESUMEN TOTAL'!E442</f>
        <v>DOMO</v>
      </c>
      <c r="E378" s="30" t="str">
        <f>'RESUMEN TOTAL'!F442</f>
        <v>Radio</v>
      </c>
      <c r="F378" s="70">
        <f>'RESUMEN TOTAL'!L442</f>
        <v>0</v>
      </c>
      <c r="G378" s="70">
        <f>'RESUMEN TOTAL'!M442</f>
        <v>0</v>
      </c>
      <c r="H378" s="70">
        <f>'RESUMEN TOTAL'!N442</f>
        <v>0</v>
      </c>
      <c r="I378" s="70">
        <f>'RESUMEN TOTAL'!O442</f>
        <v>0</v>
      </c>
      <c r="J378" s="70">
        <f>'RESUMEN TOTAL'!P442</f>
        <v>0</v>
      </c>
      <c r="K378" s="70">
        <f>'RESUMEN TOTAL'!Q442</f>
        <v>0</v>
      </c>
      <c r="L378" s="70">
        <f>'RESUMEN TOTAL'!R442</f>
        <v>0</v>
      </c>
      <c r="M378" s="70">
        <f>'RESUMEN TOTAL'!S442</f>
        <v>0</v>
      </c>
      <c r="N378" s="70">
        <f>'RESUMEN TOTAL'!T442</f>
        <v>0</v>
      </c>
      <c r="O378" s="70">
        <f>'RESUMEN TOTAL'!U442</f>
        <v>0</v>
      </c>
      <c r="P378" s="70">
        <f>'RESUMEN TOTAL'!V442</f>
        <v>0</v>
      </c>
      <c r="Q378" s="70">
        <f>'RESUMEN TOTAL'!W442</f>
        <v>0</v>
      </c>
      <c r="R378" s="70">
        <f>'RESUMEN TOTAL'!X442</f>
        <v>0</v>
      </c>
      <c r="S378" s="70">
        <f>'RESUMEN TOTAL'!Y442</f>
        <v>0</v>
      </c>
      <c r="T378" s="70">
        <f>'RESUMEN TOTAL'!Z442</f>
        <v>0</v>
      </c>
      <c r="U378" s="70">
        <f>'RESUMEN TOTAL'!AA442</f>
        <v>0</v>
      </c>
      <c r="V378" s="70">
        <f>'RESUMEN TOTAL'!AB442</f>
        <v>0</v>
      </c>
      <c r="W378" s="70">
        <f>'RESUMEN TOTAL'!AC442</f>
        <v>0</v>
      </c>
      <c r="X378" s="70">
        <f>'RESUMEN TOTAL'!AD442</f>
        <v>0</v>
      </c>
      <c r="Y378" s="70">
        <f>'RESUMEN TOTAL'!AE442</f>
        <v>0</v>
      </c>
      <c r="Z378" s="70">
        <f>'RESUMEN TOTAL'!AF442</f>
        <v>0</v>
      </c>
      <c r="AA378" s="70">
        <f>'RESUMEN TOTAL'!AG442</f>
        <v>0</v>
      </c>
      <c r="AB378" s="70">
        <f>'RESUMEN TOTAL'!AH442</f>
        <v>0</v>
      </c>
      <c r="AC378" s="70">
        <f>'RESUMEN TOTAL'!AI442</f>
        <v>0</v>
      </c>
      <c r="AD378" s="70">
        <f>'RESUMEN TOTAL'!AJ442</f>
        <v>0</v>
      </c>
      <c r="AE378" s="70">
        <f>'RESUMEN TOTAL'!AK442</f>
        <v>0</v>
      </c>
      <c r="AF378" s="70">
        <f>'RESUMEN TOTAL'!AL442</f>
        <v>0</v>
      </c>
      <c r="AG378" s="70">
        <f>'RESUMEN TOTAL'!AM442</f>
        <v>0</v>
      </c>
      <c r="AH378" s="70">
        <f>'RESUMEN TOTAL'!AN442</f>
        <v>0</v>
      </c>
      <c r="AI378" s="70">
        <f>'RESUMEN TOTAL'!AO442</f>
        <v>0</v>
      </c>
    </row>
    <row r="379" spans="1:35" x14ac:dyDescent="0.25">
      <c r="A379" t="str">
        <f>'RESUMEN TOTAL'!A443</f>
        <v>VILLA ARGENTINA</v>
      </c>
      <c r="B379" t="str">
        <f>'RESUMEN TOTAL'!B443</f>
        <v>VAR03 (fija 1)</v>
      </c>
      <c r="C379" t="str">
        <f>'RESUMEN TOTAL'!D443</f>
        <v>509 y 546</v>
      </c>
      <c r="D379" s="30" t="str">
        <f>'RESUMEN TOTAL'!E443</f>
        <v>Fija</v>
      </c>
      <c r="E379" s="30" t="str">
        <f>'RESUMEN TOTAL'!F443</f>
        <v>Radio</v>
      </c>
      <c r="F379" s="70">
        <f>'RESUMEN TOTAL'!L443</f>
        <v>0</v>
      </c>
      <c r="G379" s="70">
        <f>'RESUMEN TOTAL'!M443</f>
        <v>0</v>
      </c>
      <c r="H379" s="70">
        <f>'RESUMEN TOTAL'!N443</f>
        <v>0</v>
      </c>
      <c r="I379" s="70">
        <f>'RESUMEN TOTAL'!O443</f>
        <v>0</v>
      </c>
      <c r="J379" s="70">
        <f>'RESUMEN TOTAL'!P443</f>
        <v>0</v>
      </c>
      <c r="K379" s="70">
        <f>'RESUMEN TOTAL'!Q443</f>
        <v>0</v>
      </c>
      <c r="L379" s="70">
        <f>'RESUMEN TOTAL'!R443</f>
        <v>0</v>
      </c>
      <c r="M379" s="70">
        <f>'RESUMEN TOTAL'!S443</f>
        <v>0</v>
      </c>
      <c r="N379" s="70">
        <f>'RESUMEN TOTAL'!T443</f>
        <v>0</v>
      </c>
      <c r="O379" s="70">
        <f>'RESUMEN TOTAL'!U443</f>
        <v>0</v>
      </c>
      <c r="P379" s="70">
        <f>'RESUMEN TOTAL'!V443</f>
        <v>0</v>
      </c>
      <c r="Q379" s="70">
        <f>'RESUMEN TOTAL'!W443</f>
        <v>0</v>
      </c>
      <c r="R379" s="70">
        <f>'RESUMEN TOTAL'!X443</f>
        <v>0</v>
      </c>
      <c r="S379" s="70">
        <f>'RESUMEN TOTAL'!Y443</f>
        <v>0</v>
      </c>
      <c r="T379" s="70">
        <f>'RESUMEN TOTAL'!Z443</f>
        <v>0</v>
      </c>
      <c r="U379" s="70">
        <f>'RESUMEN TOTAL'!AA443</f>
        <v>0</v>
      </c>
      <c r="V379" s="70">
        <f>'RESUMEN TOTAL'!AB443</f>
        <v>0</v>
      </c>
      <c r="W379" s="70">
        <f>'RESUMEN TOTAL'!AC443</f>
        <v>0</v>
      </c>
      <c r="X379" s="70">
        <f>'RESUMEN TOTAL'!AD443</f>
        <v>0</v>
      </c>
      <c r="Y379" s="70">
        <f>'RESUMEN TOTAL'!AE443</f>
        <v>0</v>
      </c>
      <c r="Z379" s="70">
        <f>'RESUMEN TOTAL'!AF443</f>
        <v>0</v>
      </c>
      <c r="AA379" s="70">
        <f>'RESUMEN TOTAL'!AG443</f>
        <v>0</v>
      </c>
      <c r="AB379" s="70">
        <f>'RESUMEN TOTAL'!AH443</f>
        <v>0</v>
      </c>
      <c r="AC379" s="70">
        <f>'RESUMEN TOTAL'!AI443</f>
        <v>0</v>
      </c>
      <c r="AD379" s="70">
        <f>'RESUMEN TOTAL'!AJ443</f>
        <v>0</v>
      </c>
      <c r="AE379" s="70">
        <f>'RESUMEN TOTAL'!AK443</f>
        <v>0</v>
      </c>
      <c r="AF379" s="70">
        <f>'RESUMEN TOTAL'!AL443</f>
        <v>0</v>
      </c>
      <c r="AG379" s="70">
        <f>'RESUMEN TOTAL'!AM443</f>
        <v>0</v>
      </c>
      <c r="AH379" s="70">
        <f>'RESUMEN TOTAL'!AN443</f>
        <v>0</v>
      </c>
      <c r="AI379" s="70">
        <f>'RESUMEN TOTAL'!AO443</f>
        <v>0</v>
      </c>
    </row>
    <row r="380" spans="1:35" x14ac:dyDescent="0.25">
      <c r="A380" t="str">
        <f>'RESUMEN TOTAL'!A444</f>
        <v>VILLA ARGENTINA</v>
      </c>
      <c r="B380" t="str">
        <f>'RESUMEN TOTAL'!B444</f>
        <v>VAR04 (fija 2)</v>
      </c>
      <c r="C380" t="str">
        <f>'RESUMEN TOTAL'!D444</f>
        <v>509 y 546</v>
      </c>
      <c r="D380" s="30" t="str">
        <f>'RESUMEN TOTAL'!E444</f>
        <v>Fija</v>
      </c>
      <c r="E380" s="30" t="str">
        <f>'RESUMEN TOTAL'!F444</f>
        <v>Radio</v>
      </c>
      <c r="F380" s="70">
        <f>'RESUMEN TOTAL'!L444</f>
        <v>0</v>
      </c>
      <c r="G380" s="70">
        <f>'RESUMEN TOTAL'!M444</f>
        <v>0</v>
      </c>
      <c r="H380" s="70">
        <f>'RESUMEN TOTAL'!N444</f>
        <v>0</v>
      </c>
      <c r="I380" s="70">
        <f>'RESUMEN TOTAL'!O444</f>
        <v>0</v>
      </c>
      <c r="J380" s="70">
        <f>'RESUMEN TOTAL'!P444</f>
        <v>0</v>
      </c>
      <c r="K380" s="70">
        <f>'RESUMEN TOTAL'!Q444</f>
        <v>0</v>
      </c>
      <c r="L380" s="70">
        <f>'RESUMEN TOTAL'!R444</f>
        <v>0</v>
      </c>
      <c r="M380" s="70">
        <f>'RESUMEN TOTAL'!S444</f>
        <v>0</v>
      </c>
      <c r="N380" s="70">
        <f>'RESUMEN TOTAL'!T444</f>
        <v>0</v>
      </c>
      <c r="O380" s="70">
        <f>'RESUMEN TOTAL'!U444</f>
        <v>0</v>
      </c>
      <c r="P380" s="70">
        <f>'RESUMEN TOTAL'!V444</f>
        <v>0</v>
      </c>
      <c r="Q380" s="70">
        <f>'RESUMEN TOTAL'!W444</f>
        <v>0</v>
      </c>
      <c r="R380" s="70">
        <f>'RESUMEN TOTAL'!X444</f>
        <v>0</v>
      </c>
      <c r="S380" s="70">
        <f>'RESUMEN TOTAL'!Y444</f>
        <v>0</v>
      </c>
      <c r="T380" s="70">
        <f>'RESUMEN TOTAL'!Z444</f>
        <v>0</v>
      </c>
      <c r="U380" s="70">
        <f>'RESUMEN TOTAL'!AA444</f>
        <v>0</v>
      </c>
      <c r="V380" s="70">
        <f>'RESUMEN TOTAL'!AB444</f>
        <v>0</v>
      </c>
      <c r="W380" s="70">
        <f>'RESUMEN TOTAL'!AC444</f>
        <v>0</v>
      </c>
      <c r="X380" s="70">
        <f>'RESUMEN TOTAL'!AD444</f>
        <v>0</v>
      </c>
      <c r="Y380" s="70">
        <f>'RESUMEN TOTAL'!AE444</f>
        <v>0</v>
      </c>
      <c r="Z380" s="70">
        <f>'RESUMEN TOTAL'!AF444</f>
        <v>0</v>
      </c>
      <c r="AA380" s="70">
        <f>'RESUMEN TOTAL'!AG444</f>
        <v>0</v>
      </c>
      <c r="AB380" s="70">
        <f>'RESUMEN TOTAL'!AH444</f>
        <v>0</v>
      </c>
      <c r="AC380" s="70">
        <f>'RESUMEN TOTAL'!AI444</f>
        <v>0</v>
      </c>
      <c r="AD380" s="70">
        <f>'RESUMEN TOTAL'!AJ444</f>
        <v>0</v>
      </c>
      <c r="AE380" s="70">
        <f>'RESUMEN TOTAL'!AK444</f>
        <v>0</v>
      </c>
      <c r="AF380" s="70">
        <f>'RESUMEN TOTAL'!AL444</f>
        <v>0</v>
      </c>
      <c r="AG380" s="70">
        <f>'RESUMEN TOTAL'!AM444</f>
        <v>0</v>
      </c>
      <c r="AH380" s="70">
        <f>'RESUMEN TOTAL'!AN444</f>
        <v>0</v>
      </c>
      <c r="AI380" s="70">
        <f>'RESUMEN TOTAL'!AO444</f>
        <v>0</v>
      </c>
    </row>
    <row r="381" spans="1:35" x14ac:dyDescent="0.25">
      <c r="A381" t="str">
        <f>'RESUMEN TOTAL'!A445</f>
        <v>VILLA ARGENTINA</v>
      </c>
      <c r="B381" t="str">
        <f>'RESUMEN TOTAL'!B445</f>
        <v>VAR05 (fija 1)</v>
      </c>
      <c r="C381" t="str">
        <f>'RESUMEN TOTAL'!D445</f>
        <v>511 E/ 544 Y 546</v>
      </c>
      <c r="D381" s="30" t="str">
        <f>'RESUMEN TOTAL'!E445</f>
        <v>Fija</v>
      </c>
      <c r="E381" s="30" t="str">
        <f>'RESUMEN TOTAL'!F445</f>
        <v>Radio</v>
      </c>
      <c r="F381" s="70">
        <f>'RESUMEN TOTAL'!L445</f>
        <v>0</v>
      </c>
      <c r="G381" s="70">
        <f>'RESUMEN TOTAL'!M445</f>
        <v>0</v>
      </c>
      <c r="H381" s="70">
        <f>'RESUMEN TOTAL'!N445</f>
        <v>0</v>
      </c>
      <c r="I381" s="70">
        <f>'RESUMEN TOTAL'!O445</f>
        <v>0</v>
      </c>
      <c r="J381" s="70">
        <f>'RESUMEN TOTAL'!P445</f>
        <v>0</v>
      </c>
      <c r="K381" s="70">
        <f>'RESUMEN TOTAL'!Q445</f>
        <v>0</v>
      </c>
      <c r="L381" s="70">
        <f>'RESUMEN TOTAL'!R445</f>
        <v>0</v>
      </c>
      <c r="M381" s="70">
        <f>'RESUMEN TOTAL'!S445</f>
        <v>0</v>
      </c>
      <c r="N381" s="70">
        <f>'RESUMEN TOTAL'!T445</f>
        <v>0</v>
      </c>
      <c r="O381" s="70">
        <f>'RESUMEN TOTAL'!U445</f>
        <v>0</v>
      </c>
      <c r="P381" s="70">
        <f>'RESUMEN TOTAL'!V445</f>
        <v>0</v>
      </c>
      <c r="Q381" s="70">
        <f>'RESUMEN TOTAL'!W445</f>
        <v>0</v>
      </c>
      <c r="R381" s="70">
        <f>'RESUMEN TOTAL'!X445</f>
        <v>0</v>
      </c>
      <c r="S381" s="70">
        <f>'RESUMEN TOTAL'!Y445</f>
        <v>0</v>
      </c>
      <c r="T381" s="70">
        <f>'RESUMEN TOTAL'!Z445</f>
        <v>0</v>
      </c>
      <c r="U381" s="70">
        <f>'RESUMEN TOTAL'!AA445</f>
        <v>0</v>
      </c>
      <c r="V381" s="70">
        <f>'RESUMEN TOTAL'!AB445</f>
        <v>0</v>
      </c>
      <c r="W381" s="70">
        <f>'RESUMEN TOTAL'!AC445</f>
        <v>0</v>
      </c>
      <c r="X381" s="70">
        <f>'RESUMEN TOTAL'!AD445</f>
        <v>0</v>
      </c>
      <c r="Y381" s="70">
        <f>'RESUMEN TOTAL'!AE445</f>
        <v>0</v>
      </c>
      <c r="Z381" s="70">
        <f>'RESUMEN TOTAL'!AF445</f>
        <v>0</v>
      </c>
      <c r="AA381" s="70">
        <f>'RESUMEN TOTAL'!AG445</f>
        <v>0</v>
      </c>
      <c r="AB381" s="70">
        <f>'RESUMEN TOTAL'!AH445</f>
        <v>0</v>
      </c>
      <c r="AC381" s="70">
        <f>'RESUMEN TOTAL'!AI445</f>
        <v>0</v>
      </c>
      <c r="AD381" s="70">
        <f>'RESUMEN TOTAL'!AJ445</f>
        <v>0</v>
      </c>
      <c r="AE381" s="70">
        <f>'RESUMEN TOTAL'!AK445</f>
        <v>0</v>
      </c>
      <c r="AF381" s="70">
        <f>'RESUMEN TOTAL'!AL445</f>
        <v>0</v>
      </c>
      <c r="AG381" s="70">
        <f>'RESUMEN TOTAL'!AM445</f>
        <v>0</v>
      </c>
      <c r="AH381" s="70">
        <f>'RESUMEN TOTAL'!AN445</f>
        <v>0</v>
      </c>
      <c r="AI381" s="70">
        <f>'RESUMEN TOTAL'!AO445</f>
        <v>0</v>
      </c>
    </row>
    <row r="382" spans="1:35" x14ac:dyDescent="0.25">
      <c r="A382" t="str">
        <f>'RESUMEN TOTAL'!A446</f>
        <v>VILLA ARGENTINA</v>
      </c>
      <c r="B382" t="str">
        <f>'RESUMEN TOTAL'!B446</f>
        <v>VAR06 (fija 2)</v>
      </c>
      <c r="C382" t="str">
        <f>'RESUMEN TOTAL'!D446</f>
        <v>511 E/ 544 Y 546</v>
      </c>
      <c r="D382" s="30" t="str">
        <f>'RESUMEN TOTAL'!E446</f>
        <v>Fija</v>
      </c>
      <c r="E382" s="30" t="str">
        <f>'RESUMEN TOTAL'!F446</f>
        <v>Radio</v>
      </c>
      <c r="F382" s="70" t="str">
        <f>'RESUMEN TOTAL'!L446</f>
        <v>APAGADO</v>
      </c>
      <c r="G382" s="70">
        <f>'RESUMEN TOTAL'!M446</f>
        <v>0</v>
      </c>
      <c r="H382" s="70">
        <f>'RESUMEN TOTAL'!N446</f>
        <v>0</v>
      </c>
      <c r="I382" s="70">
        <f>'RESUMEN TOTAL'!O446</f>
        <v>0</v>
      </c>
      <c r="J382" s="70">
        <f>'RESUMEN TOTAL'!P446</f>
        <v>0</v>
      </c>
      <c r="K382" s="70">
        <f>'RESUMEN TOTAL'!Q446</f>
        <v>0</v>
      </c>
      <c r="L382" s="70">
        <f>'RESUMEN TOTAL'!R446</f>
        <v>0</v>
      </c>
      <c r="M382" s="70">
        <f>'RESUMEN TOTAL'!S446</f>
        <v>0</v>
      </c>
      <c r="N382" s="70">
        <f>'RESUMEN TOTAL'!T446</f>
        <v>0</v>
      </c>
      <c r="O382" s="70">
        <f>'RESUMEN TOTAL'!U446</f>
        <v>0</v>
      </c>
      <c r="P382" s="70">
        <f>'RESUMEN TOTAL'!V446</f>
        <v>0</v>
      </c>
      <c r="Q382" s="70">
        <f>'RESUMEN TOTAL'!W446</f>
        <v>0</v>
      </c>
      <c r="R382" s="70">
        <f>'RESUMEN TOTAL'!X446</f>
        <v>0</v>
      </c>
      <c r="S382" s="70">
        <f>'RESUMEN TOTAL'!Y446</f>
        <v>0</v>
      </c>
      <c r="T382" s="70">
        <f>'RESUMEN TOTAL'!Z446</f>
        <v>0</v>
      </c>
      <c r="U382" s="70">
        <f>'RESUMEN TOTAL'!AA446</f>
        <v>0</v>
      </c>
      <c r="V382" s="70">
        <f>'RESUMEN TOTAL'!AB446</f>
        <v>0</v>
      </c>
      <c r="W382" s="70">
        <f>'RESUMEN TOTAL'!AC446</f>
        <v>0</v>
      </c>
      <c r="X382" s="70">
        <f>'RESUMEN TOTAL'!AD446</f>
        <v>0</v>
      </c>
      <c r="Y382" s="70">
        <f>'RESUMEN TOTAL'!AE446</f>
        <v>0</v>
      </c>
      <c r="Z382" s="70">
        <f>'RESUMEN TOTAL'!AF446</f>
        <v>0</v>
      </c>
      <c r="AA382" s="70">
        <f>'RESUMEN TOTAL'!AG446</f>
        <v>0</v>
      </c>
      <c r="AB382" s="70">
        <f>'RESUMEN TOTAL'!AH446</f>
        <v>0</v>
      </c>
      <c r="AC382" s="70">
        <f>'RESUMEN TOTAL'!AI446</f>
        <v>0</v>
      </c>
      <c r="AD382" s="70">
        <f>'RESUMEN TOTAL'!AJ446</f>
        <v>0</v>
      </c>
      <c r="AE382" s="70">
        <f>'RESUMEN TOTAL'!AK446</f>
        <v>0</v>
      </c>
      <c r="AF382" s="70">
        <f>'RESUMEN TOTAL'!AL446</f>
        <v>0</v>
      </c>
      <c r="AG382" s="70">
        <f>'RESUMEN TOTAL'!AM446</f>
        <v>0</v>
      </c>
      <c r="AH382" s="70">
        <f>'RESUMEN TOTAL'!AN446</f>
        <v>0</v>
      </c>
      <c r="AI382" s="70">
        <f>'RESUMEN TOTAL'!AO446</f>
        <v>0</v>
      </c>
    </row>
    <row r="383" spans="1:35" x14ac:dyDescent="0.25">
      <c r="A383" t="str">
        <f>'RESUMEN TOTAL'!A447</f>
        <v>VILLA ARGENTINA</v>
      </c>
      <c r="B383" t="str">
        <f>'RESUMEN TOTAL'!B447</f>
        <v>VAR07</v>
      </c>
      <c r="C383" t="str">
        <f>'RESUMEN TOTAL'!D447</f>
        <v>DIAG. LOS TILOS Y 517</v>
      </c>
      <c r="D383" s="30" t="str">
        <f>'RESUMEN TOTAL'!E447</f>
        <v>DOMO</v>
      </c>
      <c r="E383" s="30" t="str">
        <f>'RESUMEN TOTAL'!F447</f>
        <v>Fibra Optica</v>
      </c>
      <c r="F383" s="70" t="str">
        <f>'RESUMEN TOTAL'!L447</f>
        <v>APAGADO</v>
      </c>
      <c r="G383" s="70">
        <f>'RESUMEN TOTAL'!M447</f>
        <v>0</v>
      </c>
      <c r="H383" s="70">
        <f>'RESUMEN TOTAL'!N447</f>
        <v>0</v>
      </c>
      <c r="I383" s="70">
        <f>'RESUMEN TOTAL'!O447</f>
        <v>0</v>
      </c>
      <c r="J383" s="70">
        <f>'RESUMEN TOTAL'!P447</f>
        <v>0</v>
      </c>
      <c r="K383" s="70">
        <f>'RESUMEN TOTAL'!Q447</f>
        <v>0</v>
      </c>
      <c r="L383" s="70">
        <f>'RESUMEN TOTAL'!R447</f>
        <v>0</v>
      </c>
      <c r="M383" s="70">
        <f>'RESUMEN TOTAL'!S447</f>
        <v>0</v>
      </c>
      <c r="N383" s="70">
        <f>'RESUMEN TOTAL'!T447</f>
        <v>0</v>
      </c>
      <c r="O383" s="70">
        <f>'RESUMEN TOTAL'!U447</f>
        <v>0</v>
      </c>
      <c r="P383" s="70">
        <f>'RESUMEN TOTAL'!V447</f>
        <v>0</v>
      </c>
      <c r="Q383" s="70">
        <f>'RESUMEN TOTAL'!W447</f>
        <v>0</v>
      </c>
      <c r="R383" s="70">
        <f>'RESUMEN TOTAL'!X447</f>
        <v>0</v>
      </c>
      <c r="S383" s="70">
        <f>'RESUMEN TOTAL'!Y447</f>
        <v>0</v>
      </c>
      <c r="T383" s="70">
        <f>'RESUMEN TOTAL'!Z447</f>
        <v>0</v>
      </c>
      <c r="U383" s="70">
        <f>'RESUMEN TOTAL'!AA447</f>
        <v>0</v>
      </c>
      <c r="V383" s="70">
        <f>'RESUMEN TOTAL'!AB447</f>
        <v>0</v>
      </c>
      <c r="W383" s="70">
        <f>'RESUMEN TOTAL'!AC447</f>
        <v>0</v>
      </c>
      <c r="X383" s="70">
        <f>'RESUMEN TOTAL'!AD447</f>
        <v>0</v>
      </c>
      <c r="Y383" s="70">
        <f>'RESUMEN TOTAL'!AE447</f>
        <v>0</v>
      </c>
      <c r="Z383" s="70">
        <f>'RESUMEN TOTAL'!AF447</f>
        <v>0</v>
      </c>
      <c r="AA383" s="70">
        <f>'RESUMEN TOTAL'!AG447</f>
        <v>0</v>
      </c>
      <c r="AB383" s="70">
        <f>'RESUMEN TOTAL'!AH447</f>
        <v>0</v>
      </c>
      <c r="AC383" s="70">
        <f>'RESUMEN TOTAL'!AI447</f>
        <v>0</v>
      </c>
      <c r="AD383" s="70">
        <f>'RESUMEN TOTAL'!AJ447</f>
        <v>0</v>
      </c>
      <c r="AE383" s="70">
        <f>'RESUMEN TOTAL'!AK447</f>
        <v>0</v>
      </c>
      <c r="AF383" s="70">
        <f>'RESUMEN TOTAL'!AL447</f>
        <v>0</v>
      </c>
      <c r="AG383" s="70">
        <f>'RESUMEN TOTAL'!AM447</f>
        <v>0</v>
      </c>
      <c r="AH383" s="70">
        <f>'RESUMEN TOTAL'!AN447</f>
        <v>0</v>
      </c>
      <c r="AI383" s="70">
        <f>'RESUMEN TOTAL'!AO447</f>
        <v>0</v>
      </c>
    </row>
    <row r="384" spans="1:35" x14ac:dyDescent="0.25">
      <c r="A384" t="str">
        <f>'RESUMEN TOTAL'!A448</f>
        <v>VILLA ARGENTINA</v>
      </c>
      <c r="B384" t="str">
        <f>'RESUMEN TOTAL'!B448</f>
        <v>VAR 08 (fija 1)</v>
      </c>
      <c r="C384" t="str">
        <f>'RESUMEN TOTAL'!D448</f>
        <v>534 Y 523</v>
      </c>
      <c r="D384" s="30" t="str">
        <f>'RESUMEN TOTAL'!E448</f>
        <v>Fija</v>
      </c>
      <c r="E384" s="30" t="str">
        <f>'RESUMEN TOTAL'!F448</f>
        <v>Fibra Optica</v>
      </c>
      <c r="F384" s="70">
        <f>'RESUMEN TOTAL'!L448</f>
        <v>0</v>
      </c>
      <c r="G384" s="70">
        <f>'RESUMEN TOTAL'!M448</f>
        <v>0</v>
      </c>
      <c r="H384" s="70">
        <f>'RESUMEN TOTAL'!N448</f>
        <v>0</v>
      </c>
      <c r="I384" s="70">
        <f>'RESUMEN TOTAL'!O448</f>
        <v>0</v>
      </c>
      <c r="J384" s="70">
        <f>'RESUMEN TOTAL'!P448</f>
        <v>0</v>
      </c>
      <c r="K384" s="70">
        <f>'RESUMEN TOTAL'!Q448</f>
        <v>0</v>
      </c>
      <c r="L384" s="70">
        <f>'RESUMEN TOTAL'!R448</f>
        <v>0</v>
      </c>
      <c r="M384" s="70">
        <f>'RESUMEN TOTAL'!S448</f>
        <v>0</v>
      </c>
      <c r="N384" s="70">
        <f>'RESUMEN TOTAL'!T448</f>
        <v>0</v>
      </c>
      <c r="O384" s="70">
        <f>'RESUMEN TOTAL'!U448</f>
        <v>0</v>
      </c>
      <c r="P384" s="70">
        <f>'RESUMEN TOTAL'!V448</f>
        <v>0</v>
      </c>
      <c r="Q384" s="70">
        <f>'RESUMEN TOTAL'!W448</f>
        <v>0</v>
      </c>
      <c r="R384" s="70">
        <f>'RESUMEN TOTAL'!X448</f>
        <v>0</v>
      </c>
      <c r="S384" s="70">
        <f>'RESUMEN TOTAL'!Y448</f>
        <v>0</v>
      </c>
      <c r="T384" s="70">
        <f>'RESUMEN TOTAL'!Z448</f>
        <v>0</v>
      </c>
      <c r="U384" s="70">
        <f>'RESUMEN TOTAL'!AA448</f>
        <v>0</v>
      </c>
      <c r="V384" s="70">
        <f>'RESUMEN TOTAL'!AB448</f>
        <v>0</v>
      </c>
      <c r="W384" s="70">
        <f>'RESUMEN TOTAL'!AC448</f>
        <v>0</v>
      </c>
      <c r="X384" s="70">
        <f>'RESUMEN TOTAL'!AD448</f>
        <v>0</v>
      </c>
      <c r="Y384" s="70">
        <f>'RESUMEN TOTAL'!AE448</f>
        <v>0</v>
      </c>
      <c r="Z384" s="70">
        <f>'RESUMEN TOTAL'!AF448</f>
        <v>0</v>
      </c>
      <c r="AA384" s="70">
        <f>'RESUMEN TOTAL'!AG448</f>
        <v>0</v>
      </c>
      <c r="AB384" s="70">
        <f>'RESUMEN TOTAL'!AH448</f>
        <v>0</v>
      </c>
      <c r="AC384" s="70">
        <f>'RESUMEN TOTAL'!AI448</f>
        <v>0</v>
      </c>
      <c r="AD384" s="70">
        <f>'RESUMEN TOTAL'!AJ448</f>
        <v>0</v>
      </c>
      <c r="AE384" s="70">
        <f>'RESUMEN TOTAL'!AK448</f>
        <v>0</v>
      </c>
      <c r="AF384" s="70">
        <f>'RESUMEN TOTAL'!AL448</f>
        <v>0</v>
      </c>
      <c r="AG384" s="70">
        <f>'RESUMEN TOTAL'!AM448</f>
        <v>0</v>
      </c>
      <c r="AH384" s="70">
        <f>'RESUMEN TOTAL'!AN448</f>
        <v>0</v>
      </c>
      <c r="AI384" s="70">
        <f>'RESUMEN TOTAL'!AO448</f>
        <v>0</v>
      </c>
    </row>
    <row r="385" spans="1:35" x14ac:dyDescent="0.25">
      <c r="A385" t="str">
        <f>'RESUMEN TOTAL'!A449</f>
        <v>VILLA ARGENTINA</v>
      </c>
      <c r="B385" t="str">
        <f>'RESUMEN TOTAL'!B449</f>
        <v>VAR 09 (fija 2)</v>
      </c>
      <c r="C385" t="str">
        <f>'RESUMEN TOTAL'!D449</f>
        <v>534 Y 523</v>
      </c>
      <c r="D385" s="30" t="str">
        <f>'RESUMEN TOTAL'!E449</f>
        <v>Fija</v>
      </c>
      <c r="E385" s="30" t="str">
        <f>'RESUMEN TOTAL'!F449</f>
        <v>Fibra Optica</v>
      </c>
      <c r="F385" s="70">
        <f>'RESUMEN TOTAL'!L449</f>
        <v>0</v>
      </c>
      <c r="G385" s="70">
        <f>'RESUMEN TOTAL'!M449</f>
        <v>0</v>
      </c>
      <c r="H385" s="70">
        <f>'RESUMEN TOTAL'!N449</f>
        <v>0</v>
      </c>
      <c r="I385" s="70">
        <f>'RESUMEN TOTAL'!O449</f>
        <v>0</v>
      </c>
      <c r="J385" s="70">
        <f>'RESUMEN TOTAL'!P449</f>
        <v>0</v>
      </c>
      <c r="K385" s="70">
        <f>'RESUMEN TOTAL'!Q449</f>
        <v>0</v>
      </c>
      <c r="L385" s="70">
        <f>'RESUMEN TOTAL'!R449</f>
        <v>0</v>
      </c>
      <c r="M385" s="70">
        <f>'RESUMEN TOTAL'!S449</f>
        <v>0</v>
      </c>
      <c r="N385" s="70">
        <f>'RESUMEN TOTAL'!T449</f>
        <v>0</v>
      </c>
      <c r="O385" s="70">
        <f>'RESUMEN TOTAL'!U449</f>
        <v>0</v>
      </c>
      <c r="P385" s="70">
        <f>'RESUMEN TOTAL'!V449</f>
        <v>0</v>
      </c>
      <c r="Q385" s="70">
        <f>'RESUMEN TOTAL'!W449</f>
        <v>0</v>
      </c>
      <c r="R385" s="70">
        <f>'RESUMEN TOTAL'!X449</f>
        <v>0</v>
      </c>
      <c r="S385" s="70">
        <f>'RESUMEN TOTAL'!Y449</f>
        <v>0</v>
      </c>
      <c r="T385" s="70">
        <f>'RESUMEN TOTAL'!Z449</f>
        <v>0</v>
      </c>
      <c r="U385" s="70">
        <f>'RESUMEN TOTAL'!AA449</f>
        <v>0</v>
      </c>
      <c r="V385" s="70">
        <f>'RESUMEN TOTAL'!AB449</f>
        <v>0</v>
      </c>
      <c r="W385" s="70">
        <f>'RESUMEN TOTAL'!AC449</f>
        <v>0</v>
      </c>
      <c r="X385" s="70">
        <f>'RESUMEN TOTAL'!AD449</f>
        <v>0</v>
      </c>
      <c r="Y385" s="70">
        <f>'RESUMEN TOTAL'!AE449</f>
        <v>0</v>
      </c>
      <c r="Z385" s="70">
        <f>'RESUMEN TOTAL'!AF449</f>
        <v>0</v>
      </c>
      <c r="AA385" s="70">
        <f>'RESUMEN TOTAL'!AG449</f>
        <v>0</v>
      </c>
      <c r="AB385" s="70">
        <f>'RESUMEN TOTAL'!AH449</f>
        <v>0</v>
      </c>
      <c r="AC385" s="70">
        <f>'RESUMEN TOTAL'!AI449</f>
        <v>0</v>
      </c>
      <c r="AD385" s="70">
        <f>'RESUMEN TOTAL'!AJ449</f>
        <v>0</v>
      </c>
      <c r="AE385" s="70">
        <f>'RESUMEN TOTAL'!AK449</f>
        <v>0</v>
      </c>
      <c r="AF385" s="70">
        <f>'RESUMEN TOTAL'!AL449</f>
        <v>0</v>
      </c>
      <c r="AG385" s="70">
        <f>'RESUMEN TOTAL'!AM449</f>
        <v>0</v>
      </c>
      <c r="AH385" s="70">
        <f>'RESUMEN TOTAL'!AN449</f>
        <v>0</v>
      </c>
      <c r="AI385" s="70">
        <f>'RESUMEN TOTAL'!AO449</f>
        <v>0</v>
      </c>
    </row>
    <row r="386" spans="1:35" x14ac:dyDescent="0.25">
      <c r="A386" t="str">
        <f>'RESUMEN TOTAL'!A450</f>
        <v>VILLA ARGENTINA</v>
      </c>
      <c r="B386" t="str">
        <f>'RESUMEN TOTAL'!B450</f>
        <v>VAR10 (fija 1)</v>
      </c>
      <c r="C386" t="str">
        <f>'RESUMEN TOTAL'!D450</f>
        <v>532 A Y 523</v>
      </c>
      <c r="D386" s="30" t="str">
        <f>'RESUMEN TOTAL'!E450</f>
        <v>Fija</v>
      </c>
      <c r="E386" s="30" t="str">
        <f>'RESUMEN TOTAL'!F450</f>
        <v>Fibra Optica</v>
      </c>
      <c r="F386" s="70">
        <f>'RESUMEN TOTAL'!L450</f>
        <v>0</v>
      </c>
      <c r="G386" s="70">
        <f>'RESUMEN TOTAL'!M450</f>
        <v>0</v>
      </c>
      <c r="H386" s="70">
        <f>'RESUMEN TOTAL'!N450</f>
        <v>0</v>
      </c>
      <c r="I386" s="70">
        <f>'RESUMEN TOTAL'!O450</f>
        <v>0</v>
      </c>
      <c r="J386" s="70">
        <f>'RESUMEN TOTAL'!P450</f>
        <v>0</v>
      </c>
      <c r="K386" s="70">
        <f>'RESUMEN TOTAL'!Q450</f>
        <v>0</v>
      </c>
      <c r="L386" s="70">
        <f>'RESUMEN TOTAL'!R450</f>
        <v>0</v>
      </c>
      <c r="M386" s="70">
        <f>'RESUMEN TOTAL'!S450</f>
        <v>0</v>
      </c>
      <c r="N386" s="70">
        <f>'RESUMEN TOTAL'!T450</f>
        <v>0</v>
      </c>
      <c r="O386" s="70">
        <f>'RESUMEN TOTAL'!U450</f>
        <v>0</v>
      </c>
      <c r="P386" s="70">
        <f>'RESUMEN TOTAL'!V450</f>
        <v>0</v>
      </c>
      <c r="Q386" s="70">
        <f>'RESUMEN TOTAL'!W450</f>
        <v>0</v>
      </c>
      <c r="R386" s="70">
        <f>'RESUMEN TOTAL'!X450</f>
        <v>0</v>
      </c>
      <c r="S386" s="70">
        <f>'RESUMEN TOTAL'!Y450</f>
        <v>0</v>
      </c>
      <c r="T386" s="70">
        <f>'RESUMEN TOTAL'!Z450</f>
        <v>0</v>
      </c>
      <c r="U386" s="70">
        <f>'RESUMEN TOTAL'!AA450</f>
        <v>0</v>
      </c>
      <c r="V386" s="70">
        <f>'RESUMEN TOTAL'!AB450</f>
        <v>0</v>
      </c>
      <c r="W386" s="70">
        <f>'RESUMEN TOTAL'!AC450</f>
        <v>0</v>
      </c>
      <c r="X386" s="70">
        <f>'RESUMEN TOTAL'!AD450</f>
        <v>0</v>
      </c>
      <c r="Y386" s="70">
        <f>'RESUMEN TOTAL'!AE450</f>
        <v>0</v>
      </c>
      <c r="Z386" s="70">
        <f>'RESUMEN TOTAL'!AF450</f>
        <v>0</v>
      </c>
      <c r="AA386" s="70">
        <f>'RESUMEN TOTAL'!AG450</f>
        <v>0</v>
      </c>
      <c r="AB386" s="70">
        <f>'RESUMEN TOTAL'!AH450</f>
        <v>0</v>
      </c>
      <c r="AC386" s="70">
        <f>'RESUMEN TOTAL'!AI450</f>
        <v>0</v>
      </c>
      <c r="AD386" s="70">
        <f>'RESUMEN TOTAL'!AJ450</f>
        <v>0</v>
      </c>
      <c r="AE386" s="70">
        <f>'RESUMEN TOTAL'!AK450</f>
        <v>0</v>
      </c>
      <c r="AF386" s="70">
        <f>'RESUMEN TOTAL'!AL450</f>
        <v>0</v>
      </c>
      <c r="AG386" s="70">
        <f>'RESUMEN TOTAL'!AM450</f>
        <v>0</v>
      </c>
      <c r="AH386" s="70">
        <f>'RESUMEN TOTAL'!AN450</f>
        <v>0</v>
      </c>
      <c r="AI386" s="70">
        <f>'RESUMEN TOTAL'!AO450</f>
        <v>0</v>
      </c>
    </row>
    <row r="387" spans="1:35" x14ac:dyDescent="0.25">
      <c r="A387" t="str">
        <f>'RESUMEN TOTAL'!A451</f>
        <v>VILLA ARGENTINA</v>
      </c>
      <c r="B387" t="str">
        <f>'RESUMEN TOTAL'!B451</f>
        <v>VAR11 (fija 2)</v>
      </c>
      <c r="C387" t="str">
        <f>'RESUMEN TOTAL'!D451</f>
        <v>532 A Y 523</v>
      </c>
      <c r="D387" s="30" t="str">
        <f>'RESUMEN TOTAL'!E451</f>
        <v>Fija</v>
      </c>
      <c r="E387" s="30" t="str">
        <f>'RESUMEN TOTAL'!F451</f>
        <v>Fibra Optica</v>
      </c>
      <c r="F387" s="70">
        <f>'RESUMEN TOTAL'!L451</f>
        <v>0</v>
      </c>
      <c r="G387" s="70">
        <f>'RESUMEN TOTAL'!M451</f>
        <v>0</v>
      </c>
      <c r="H387" s="70">
        <f>'RESUMEN TOTAL'!N451</f>
        <v>0</v>
      </c>
      <c r="I387" s="70">
        <f>'RESUMEN TOTAL'!O451</f>
        <v>0</v>
      </c>
      <c r="J387" s="70">
        <f>'RESUMEN TOTAL'!P451</f>
        <v>0</v>
      </c>
      <c r="K387" s="70">
        <f>'RESUMEN TOTAL'!Q451</f>
        <v>0</v>
      </c>
      <c r="L387" s="70">
        <f>'RESUMEN TOTAL'!R451</f>
        <v>0</v>
      </c>
      <c r="M387" s="70">
        <f>'RESUMEN TOTAL'!S451</f>
        <v>0</v>
      </c>
      <c r="N387" s="70">
        <f>'RESUMEN TOTAL'!T451</f>
        <v>0</v>
      </c>
      <c r="O387" s="70">
        <f>'RESUMEN TOTAL'!U451</f>
        <v>0</v>
      </c>
      <c r="P387" s="70">
        <f>'RESUMEN TOTAL'!V451</f>
        <v>0</v>
      </c>
      <c r="Q387" s="70">
        <f>'RESUMEN TOTAL'!W451</f>
        <v>0</v>
      </c>
      <c r="R387" s="70">
        <f>'RESUMEN TOTAL'!X451</f>
        <v>0</v>
      </c>
      <c r="S387" s="70">
        <f>'RESUMEN TOTAL'!Y451</f>
        <v>0</v>
      </c>
      <c r="T387" s="70">
        <f>'RESUMEN TOTAL'!Z451</f>
        <v>0</v>
      </c>
      <c r="U387" s="70">
        <f>'RESUMEN TOTAL'!AA451</f>
        <v>0</v>
      </c>
      <c r="V387" s="70">
        <f>'RESUMEN TOTAL'!AB451</f>
        <v>0</v>
      </c>
      <c r="W387" s="70">
        <f>'RESUMEN TOTAL'!AC451</f>
        <v>0</v>
      </c>
      <c r="X387" s="70">
        <f>'RESUMEN TOTAL'!AD451</f>
        <v>0</v>
      </c>
      <c r="Y387" s="70">
        <f>'RESUMEN TOTAL'!AE451</f>
        <v>0</v>
      </c>
      <c r="Z387" s="70">
        <f>'RESUMEN TOTAL'!AF451</f>
        <v>0</v>
      </c>
      <c r="AA387" s="70">
        <f>'RESUMEN TOTAL'!AG451</f>
        <v>0</v>
      </c>
      <c r="AB387" s="70">
        <f>'RESUMEN TOTAL'!AH451</f>
        <v>0</v>
      </c>
      <c r="AC387" s="70">
        <f>'RESUMEN TOTAL'!AI451</f>
        <v>0</v>
      </c>
      <c r="AD387" s="70">
        <f>'RESUMEN TOTAL'!AJ451</f>
        <v>0</v>
      </c>
      <c r="AE387" s="70">
        <f>'RESUMEN TOTAL'!AK451</f>
        <v>0</v>
      </c>
      <c r="AF387" s="70">
        <f>'RESUMEN TOTAL'!AL451</f>
        <v>0</v>
      </c>
      <c r="AG387" s="70">
        <f>'RESUMEN TOTAL'!AM451</f>
        <v>0</v>
      </c>
      <c r="AH387" s="70">
        <f>'RESUMEN TOTAL'!AN451</f>
        <v>0</v>
      </c>
      <c r="AI387" s="70">
        <f>'RESUMEN TOTAL'!AO451</f>
        <v>0</v>
      </c>
    </row>
    <row r="388" spans="1:35" x14ac:dyDescent="0.25">
      <c r="A388" t="str">
        <f>'RESUMEN TOTAL'!A452</f>
        <v>VILLA ARGENTINA</v>
      </c>
      <c r="B388" t="str">
        <f>'RESUMEN TOTAL'!B452</f>
        <v>VAR12</v>
      </c>
      <c r="C388" t="str">
        <f>'RESUMEN TOTAL'!D452</f>
        <v>Calle 527 y Portela</v>
      </c>
      <c r="D388" s="30" t="str">
        <f>'RESUMEN TOTAL'!E452</f>
        <v>Domo</v>
      </c>
      <c r="E388" s="30" t="str">
        <f>'RESUMEN TOTAL'!F452</f>
        <v>Fibra Optica</v>
      </c>
      <c r="F388" s="70">
        <f>'RESUMEN TOTAL'!L452</f>
        <v>0</v>
      </c>
      <c r="G388" s="70">
        <f>'RESUMEN TOTAL'!M452</f>
        <v>0</v>
      </c>
      <c r="H388" s="70">
        <f>'RESUMEN TOTAL'!N452</f>
        <v>0</v>
      </c>
      <c r="I388" s="70">
        <f>'RESUMEN TOTAL'!O452</f>
        <v>0</v>
      </c>
      <c r="J388" s="70">
        <f>'RESUMEN TOTAL'!P452</f>
        <v>0</v>
      </c>
      <c r="K388" s="70">
        <f>'RESUMEN TOTAL'!Q452</f>
        <v>0</v>
      </c>
      <c r="L388" s="70">
        <f>'RESUMEN TOTAL'!R452</f>
        <v>0</v>
      </c>
      <c r="M388" s="70">
        <f>'RESUMEN TOTAL'!S452</f>
        <v>0</v>
      </c>
      <c r="N388" s="70">
        <f>'RESUMEN TOTAL'!T452</f>
        <v>0</v>
      </c>
      <c r="O388" s="70">
        <f>'RESUMEN TOTAL'!U452</f>
        <v>0</v>
      </c>
      <c r="P388" s="70">
        <f>'RESUMEN TOTAL'!V452</f>
        <v>0</v>
      </c>
      <c r="Q388" s="70">
        <f>'RESUMEN TOTAL'!W452</f>
        <v>0</v>
      </c>
      <c r="R388" s="70">
        <f>'RESUMEN TOTAL'!X452</f>
        <v>0</v>
      </c>
      <c r="S388" s="70">
        <f>'RESUMEN TOTAL'!Y452</f>
        <v>0</v>
      </c>
      <c r="T388" s="70">
        <f>'RESUMEN TOTAL'!Z452</f>
        <v>0</v>
      </c>
      <c r="U388" s="70">
        <f>'RESUMEN TOTAL'!AA452</f>
        <v>0</v>
      </c>
      <c r="V388" s="70">
        <f>'RESUMEN TOTAL'!AB452</f>
        <v>0</v>
      </c>
      <c r="W388" s="70">
        <f>'RESUMEN TOTAL'!AC452</f>
        <v>0</v>
      </c>
      <c r="X388" s="70">
        <f>'RESUMEN TOTAL'!AD452</f>
        <v>0</v>
      </c>
      <c r="Y388" s="70">
        <f>'RESUMEN TOTAL'!AE452</f>
        <v>0</v>
      </c>
      <c r="Z388" s="70">
        <f>'RESUMEN TOTAL'!AF452</f>
        <v>0</v>
      </c>
      <c r="AA388" s="70">
        <f>'RESUMEN TOTAL'!AG452</f>
        <v>0</v>
      </c>
      <c r="AB388" s="70">
        <f>'RESUMEN TOTAL'!AH452</f>
        <v>0</v>
      </c>
      <c r="AC388" s="70">
        <f>'RESUMEN TOTAL'!AI452</f>
        <v>0</v>
      </c>
      <c r="AD388" s="70">
        <f>'RESUMEN TOTAL'!AJ452</f>
        <v>0</v>
      </c>
      <c r="AE388" s="70">
        <f>'RESUMEN TOTAL'!AK452</f>
        <v>0</v>
      </c>
      <c r="AF388" s="70">
        <f>'RESUMEN TOTAL'!AL452</f>
        <v>0</v>
      </c>
      <c r="AG388" s="70">
        <f>'RESUMEN TOTAL'!AM452</f>
        <v>0</v>
      </c>
      <c r="AH388" s="70">
        <f>'RESUMEN TOTAL'!AN452</f>
        <v>0</v>
      </c>
      <c r="AI388" s="70">
        <f>'RESUMEN TOTAL'!AO452</f>
        <v>0</v>
      </c>
    </row>
    <row r="389" spans="1:35" x14ac:dyDescent="0.25">
      <c r="A389" t="str">
        <f>'RESUMEN TOTAL'!A453</f>
        <v>VILLA ARGENTINA</v>
      </c>
      <c r="B389" t="str">
        <f>'RESUMEN TOTAL'!B453</f>
        <v>VAR13</v>
      </c>
      <c r="C389" t="str">
        <f>'RESUMEN TOTAL'!D453</f>
        <v>Calle 527 y 532</v>
      </c>
      <c r="D389" s="30" t="str">
        <f>'RESUMEN TOTAL'!E453</f>
        <v>Domo</v>
      </c>
      <c r="E389" s="30" t="str">
        <f>'RESUMEN TOTAL'!F453</f>
        <v>Fibra Optica</v>
      </c>
      <c r="F389" s="70">
        <f>'RESUMEN TOTAL'!L453</f>
        <v>0</v>
      </c>
      <c r="G389" s="70">
        <f>'RESUMEN TOTAL'!M453</f>
        <v>0</v>
      </c>
      <c r="H389" s="70">
        <f>'RESUMEN TOTAL'!N453</f>
        <v>0</v>
      </c>
      <c r="I389" s="70">
        <f>'RESUMEN TOTAL'!O453</f>
        <v>0</v>
      </c>
      <c r="J389" s="70">
        <f>'RESUMEN TOTAL'!P453</f>
        <v>0</v>
      </c>
      <c r="K389" s="70">
        <f>'RESUMEN TOTAL'!Q453</f>
        <v>0</v>
      </c>
      <c r="L389" s="70">
        <f>'RESUMEN TOTAL'!R453</f>
        <v>0</v>
      </c>
      <c r="M389" s="70">
        <f>'RESUMEN TOTAL'!S453</f>
        <v>0</v>
      </c>
      <c r="N389" s="70">
        <f>'RESUMEN TOTAL'!T453</f>
        <v>0</v>
      </c>
      <c r="O389" s="70">
        <f>'RESUMEN TOTAL'!U453</f>
        <v>0</v>
      </c>
      <c r="P389" s="70">
        <f>'RESUMEN TOTAL'!V453</f>
        <v>0</v>
      </c>
      <c r="Q389" s="70">
        <f>'RESUMEN TOTAL'!W453</f>
        <v>0</v>
      </c>
      <c r="R389" s="70">
        <f>'RESUMEN TOTAL'!X453</f>
        <v>0</v>
      </c>
      <c r="S389" s="70">
        <f>'RESUMEN TOTAL'!Y453</f>
        <v>0</v>
      </c>
      <c r="T389" s="70">
        <f>'RESUMEN TOTAL'!Z453</f>
        <v>0</v>
      </c>
      <c r="U389" s="70">
        <f>'RESUMEN TOTAL'!AA453</f>
        <v>0</v>
      </c>
      <c r="V389" s="70">
        <f>'RESUMEN TOTAL'!AB453</f>
        <v>0</v>
      </c>
      <c r="W389" s="70">
        <f>'RESUMEN TOTAL'!AC453</f>
        <v>0</v>
      </c>
      <c r="X389" s="70">
        <f>'RESUMEN TOTAL'!AD453</f>
        <v>0</v>
      </c>
      <c r="Y389" s="70">
        <f>'RESUMEN TOTAL'!AE453</f>
        <v>0</v>
      </c>
      <c r="Z389" s="70">
        <f>'RESUMEN TOTAL'!AF453</f>
        <v>0</v>
      </c>
      <c r="AA389" s="70">
        <f>'RESUMEN TOTAL'!AG453</f>
        <v>0</v>
      </c>
      <c r="AB389" s="70">
        <f>'RESUMEN TOTAL'!AH453</f>
        <v>0</v>
      </c>
      <c r="AC389" s="70">
        <f>'RESUMEN TOTAL'!AI453</f>
        <v>0</v>
      </c>
      <c r="AD389" s="70">
        <f>'RESUMEN TOTAL'!AJ453</f>
        <v>0</v>
      </c>
      <c r="AE389" s="70">
        <f>'RESUMEN TOTAL'!AK453</f>
        <v>0</v>
      </c>
      <c r="AF389" s="70">
        <f>'RESUMEN TOTAL'!AL453</f>
        <v>0</v>
      </c>
      <c r="AG389" s="70">
        <f>'RESUMEN TOTAL'!AM453</f>
        <v>0</v>
      </c>
      <c r="AH389" s="70">
        <f>'RESUMEN TOTAL'!AN453</f>
        <v>0</v>
      </c>
      <c r="AI389" s="70">
        <f>'RESUMEN TOTAL'!AO453</f>
        <v>0</v>
      </c>
    </row>
    <row r="390" spans="1:35" x14ac:dyDescent="0.25">
      <c r="A390" t="str">
        <f>'RESUMEN TOTAL'!A454</f>
        <v>VILLA ARGENTINA</v>
      </c>
      <c r="B390" t="str">
        <f>'RESUMEN TOTAL'!B454</f>
        <v>VAR14</v>
      </c>
      <c r="C390" t="str">
        <f>'RESUMEN TOTAL'!D454</f>
        <v>Pportela y 517</v>
      </c>
      <c r="D390" s="30" t="str">
        <f>'RESUMEN TOTAL'!E454</f>
        <v>Domo</v>
      </c>
      <c r="E390" s="30" t="str">
        <f>'RESUMEN TOTAL'!F454</f>
        <v>Fibra Optica</v>
      </c>
      <c r="F390" s="70">
        <f>'RESUMEN TOTAL'!L454</f>
        <v>0</v>
      </c>
      <c r="G390" s="70">
        <f>'RESUMEN TOTAL'!M454</f>
        <v>0</v>
      </c>
      <c r="H390" s="70">
        <f>'RESUMEN TOTAL'!N454</f>
        <v>0</v>
      </c>
      <c r="I390" s="70">
        <f>'RESUMEN TOTAL'!O454</f>
        <v>0</v>
      </c>
      <c r="J390" s="70">
        <f>'RESUMEN TOTAL'!P454</f>
        <v>0</v>
      </c>
      <c r="K390" s="70">
        <f>'RESUMEN TOTAL'!Q454</f>
        <v>0</v>
      </c>
      <c r="L390" s="70">
        <f>'RESUMEN TOTAL'!R454</f>
        <v>0</v>
      </c>
      <c r="M390" s="70">
        <f>'RESUMEN TOTAL'!S454</f>
        <v>0</v>
      </c>
      <c r="N390" s="70">
        <f>'RESUMEN TOTAL'!T454</f>
        <v>0</v>
      </c>
      <c r="O390" s="70">
        <f>'RESUMEN TOTAL'!U454</f>
        <v>0</v>
      </c>
      <c r="P390" s="70">
        <f>'RESUMEN TOTAL'!V454</f>
        <v>0</v>
      </c>
      <c r="Q390" s="70">
        <f>'RESUMEN TOTAL'!W454</f>
        <v>0</v>
      </c>
      <c r="R390" s="70">
        <f>'RESUMEN TOTAL'!X454</f>
        <v>0</v>
      </c>
      <c r="S390" s="70">
        <f>'RESUMEN TOTAL'!Y454</f>
        <v>0</v>
      </c>
      <c r="T390" s="70">
        <f>'RESUMEN TOTAL'!Z454</f>
        <v>0</v>
      </c>
      <c r="U390" s="70">
        <f>'RESUMEN TOTAL'!AA454</f>
        <v>0</v>
      </c>
      <c r="V390" s="70">
        <f>'RESUMEN TOTAL'!AB454</f>
        <v>0</v>
      </c>
      <c r="W390" s="70">
        <f>'RESUMEN TOTAL'!AC454</f>
        <v>0</v>
      </c>
      <c r="X390" s="70">
        <f>'RESUMEN TOTAL'!AD454</f>
        <v>0</v>
      </c>
      <c r="Y390" s="70">
        <f>'RESUMEN TOTAL'!AE454</f>
        <v>0</v>
      </c>
      <c r="Z390" s="70">
        <f>'RESUMEN TOTAL'!AF454</f>
        <v>0</v>
      </c>
      <c r="AA390" s="70">
        <f>'RESUMEN TOTAL'!AG454</f>
        <v>0</v>
      </c>
      <c r="AB390" s="70">
        <f>'RESUMEN TOTAL'!AH454</f>
        <v>0</v>
      </c>
      <c r="AC390" s="70">
        <f>'RESUMEN TOTAL'!AI454</f>
        <v>0</v>
      </c>
      <c r="AD390" s="70">
        <f>'RESUMEN TOTAL'!AJ454</f>
        <v>0</v>
      </c>
      <c r="AE390" s="70">
        <f>'RESUMEN TOTAL'!AK454</f>
        <v>0</v>
      </c>
      <c r="AF390" s="70">
        <f>'RESUMEN TOTAL'!AL454</f>
        <v>0</v>
      </c>
      <c r="AG390" s="70">
        <f>'RESUMEN TOTAL'!AM454</f>
        <v>0</v>
      </c>
      <c r="AH390" s="70">
        <f>'RESUMEN TOTAL'!AN454</f>
        <v>0</v>
      </c>
      <c r="AI390" s="70">
        <f>'RESUMEN TOTAL'!AO454</f>
        <v>0</v>
      </c>
    </row>
    <row r="391" spans="1:35" x14ac:dyDescent="0.25">
      <c r="A391" t="str">
        <f>'RESUMEN TOTAL'!A455</f>
        <v>VILLA VATTEONE</v>
      </c>
      <c r="B391" t="str">
        <f>'RESUMEN TOTAL'!B455</f>
        <v>VAT01</v>
      </c>
      <c r="C391" t="str">
        <f>'RESUMEN TOTAL'!D455</f>
        <v>Montevideo y El ChaÃ±ar</v>
      </c>
      <c r="D391" s="30" t="str">
        <f>'RESUMEN TOTAL'!E455</f>
        <v>Domo</v>
      </c>
      <c r="E391" s="30" t="str">
        <f>'RESUMEN TOTAL'!F455</f>
        <v>Fibra Optica</v>
      </c>
      <c r="F391" s="70">
        <f>'RESUMEN TOTAL'!L455</f>
        <v>0</v>
      </c>
      <c r="G391" s="70">
        <f>'RESUMEN TOTAL'!M455</f>
        <v>0</v>
      </c>
      <c r="H391" s="70">
        <f>'RESUMEN TOTAL'!N455</f>
        <v>0</v>
      </c>
      <c r="I391" s="70">
        <f>'RESUMEN TOTAL'!O455</f>
        <v>0</v>
      </c>
      <c r="J391" s="70">
        <f>'RESUMEN TOTAL'!P455</f>
        <v>0</v>
      </c>
      <c r="K391" s="70">
        <f>'RESUMEN TOTAL'!Q455</f>
        <v>0</v>
      </c>
      <c r="L391" s="70">
        <f>'RESUMEN TOTAL'!R455</f>
        <v>0</v>
      </c>
      <c r="M391" s="70">
        <f>'RESUMEN TOTAL'!S455</f>
        <v>0</v>
      </c>
      <c r="N391" s="70">
        <f>'RESUMEN TOTAL'!T455</f>
        <v>0</v>
      </c>
      <c r="O391" s="70">
        <f>'RESUMEN TOTAL'!U455</f>
        <v>0</v>
      </c>
      <c r="P391" s="70">
        <f>'RESUMEN TOTAL'!V455</f>
        <v>0</v>
      </c>
      <c r="Q391" s="70">
        <f>'RESUMEN TOTAL'!W455</f>
        <v>0</v>
      </c>
      <c r="R391" s="70">
        <f>'RESUMEN TOTAL'!X455</f>
        <v>0</v>
      </c>
      <c r="S391" s="70">
        <f>'RESUMEN TOTAL'!Y455</f>
        <v>0</v>
      </c>
      <c r="T391" s="70">
        <f>'RESUMEN TOTAL'!Z455</f>
        <v>0</v>
      </c>
      <c r="U391" s="70">
        <f>'RESUMEN TOTAL'!AA455</f>
        <v>0</v>
      </c>
      <c r="V391" s="70">
        <f>'RESUMEN TOTAL'!AB455</f>
        <v>0</v>
      </c>
      <c r="W391" s="70">
        <f>'RESUMEN TOTAL'!AC455</f>
        <v>0</v>
      </c>
      <c r="X391" s="70">
        <f>'RESUMEN TOTAL'!AD455</f>
        <v>0</v>
      </c>
      <c r="Y391" s="70">
        <f>'RESUMEN TOTAL'!AE455</f>
        <v>0</v>
      </c>
      <c r="Z391" s="70">
        <f>'RESUMEN TOTAL'!AF455</f>
        <v>0</v>
      </c>
      <c r="AA391" s="70">
        <f>'RESUMEN TOTAL'!AG455</f>
        <v>0</v>
      </c>
      <c r="AB391" s="70">
        <f>'RESUMEN TOTAL'!AH455</f>
        <v>0</v>
      </c>
      <c r="AC391" s="70">
        <f>'RESUMEN TOTAL'!AI455</f>
        <v>0</v>
      </c>
      <c r="AD391" s="70">
        <f>'RESUMEN TOTAL'!AJ455</f>
        <v>0</v>
      </c>
      <c r="AE391" s="70">
        <f>'RESUMEN TOTAL'!AK455</f>
        <v>0</v>
      </c>
      <c r="AF391" s="70">
        <f>'RESUMEN TOTAL'!AL455</f>
        <v>0</v>
      </c>
      <c r="AG391" s="70">
        <f>'RESUMEN TOTAL'!AM455</f>
        <v>0</v>
      </c>
      <c r="AH391" s="70">
        <f>'RESUMEN TOTAL'!AN455</f>
        <v>0</v>
      </c>
      <c r="AI391" s="70">
        <f>'RESUMEN TOTAL'!AO455</f>
        <v>0</v>
      </c>
    </row>
    <row r="392" spans="1:35" x14ac:dyDescent="0.25">
      <c r="A392" t="str">
        <f>'RESUMEN TOTAL'!A456</f>
        <v>VILLA VATTEONE CENTRO</v>
      </c>
      <c r="B392" t="str">
        <f>'RESUMEN TOTAL'!B456</f>
        <v>VAT02</v>
      </c>
      <c r="C392" t="str">
        <f>'RESUMEN TOTAL'!D456</f>
        <v>Eva Peron y 12 de Octubre</v>
      </c>
      <c r="D392" s="30" t="str">
        <f>'RESUMEN TOTAL'!E456</f>
        <v>Domo</v>
      </c>
      <c r="E392" s="30" t="str">
        <f>'RESUMEN TOTAL'!F456</f>
        <v>Fibra Optica</v>
      </c>
      <c r="F392" s="70">
        <f>'RESUMEN TOTAL'!L456</f>
        <v>0</v>
      </c>
      <c r="G392" s="70">
        <f>'RESUMEN TOTAL'!M456</f>
        <v>0</v>
      </c>
      <c r="H392" s="70">
        <f>'RESUMEN TOTAL'!N456</f>
        <v>0</v>
      </c>
      <c r="I392" s="70">
        <f>'RESUMEN TOTAL'!O456</f>
        <v>0</v>
      </c>
      <c r="J392" s="70">
        <f>'RESUMEN TOTAL'!P456</f>
        <v>0</v>
      </c>
      <c r="K392" s="70">
        <f>'RESUMEN TOTAL'!Q456</f>
        <v>0</v>
      </c>
      <c r="L392" s="70">
        <f>'RESUMEN TOTAL'!R456</f>
        <v>0</v>
      </c>
      <c r="M392" s="70">
        <f>'RESUMEN TOTAL'!S456</f>
        <v>0</v>
      </c>
      <c r="N392" s="70">
        <f>'RESUMEN TOTAL'!T456</f>
        <v>0</v>
      </c>
      <c r="O392" s="70">
        <f>'RESUMEN TOTAL'!U456</f>
        <v>0</v>
      </c>
      <c r="P392" s="70">
        <f>'RESUMEN TOTAL'!V456</f>
        <v>0</v>
      </c>
      <c r="Q392" s="70">
        <f>'RESUMEN TOTAL'!W456</f>
        <v>0</v>
      </c>
      <c r="R392" s="70">
        <f>'RESUMEN TOTAL'!X456</f>
        <v>0</v>
      </c>
      <c r="S392" s="70">
        <f>'RESUMEN TOTAL'!Y456</f>
        <v>0</v>
      </c>
      <c r="T392" s="70">
        <f>'RESUMEN TOTAL'!Z456</f>
        <v>0</v>
      </c>
      <c r="U392" s="70">
        <f>'RESUMEN TOTAL'!AA456</f>
        <v>0</v>
      </c>
      <c r="V392" s="70">
        <f>'RESUMEN TOTAL'!AB456</f>
        <v>0</v>
      </c>
      <c r="W392" s="70">
        <f>'RESUMEN TOTAL'!AC456</f>
        <v>0</v>
      </c>
      <c r="X392" s="70">
        <f>'RESUMEN TOTAL'!AD456</f>
        <v>0</v>
      </c>
      <c r="Y392" s="70">
        <f>'RESUMEN TOTAL'!AE456</f>
        <v>0</v>
      </c>
      <c r="Z392" s="70">
        <f>'RESUMEN TOTAL'!AF456</f>
        <v>0</v>
      </c>
      <c r="AA392" s="70">
        <f>'RESUMEN TOTAL'!AG456</f>
        <v>0</v>
      </c>
      <c r="AB392" s="70">
        <f>'RESUMEN TOTAL'!AH456</f>
        <v>0</v>
      </c>
      <c r="AC392" s="70">
        <f>'RESUMEN TOTAL'!AI456</f>
        <v>0</v>
      </c>
      <c r="AD392" s="70">
        <f>'RESUMEN TOTAL'!AJ456</f>
        <v>0</v>
      </c>
      <c r="AE392" s="70">
        <f>'RESUMEN TOTAL'!AK456</f>
        <v>0</v>
      </c>
      <c r="AF392" s="70">
        <f>'RESUMEN TOTAL'!AL456</f>
        <v>0</v>
      </c>
      <c r="AG392" s="70">
        <f>'RESUMEN TOTAL'!AM456</f>
        <v>0</v>
      </c>
      <c r="AH392" s="70">
        <f>'RESUMEN TOTAL'!AN456</f>
        <v>0</v>
      </c>
      <c r="AI392" s="70">
        <f>'RESUMEN TOTAL'!AO456</f>
        <v>0</v>
      </c>
    </row>
    <row r="393" spans="1:35" x14ac:dyDescent="0.25">
      <c r="A393" t="str">
        <f>'RESUMEN TOTAL'!A457</f>
        <v>VILLA VATTEONE CENTRO</v>
      </c>
      <c r="B393" t="str">
        <f>'RESUMEN TOTAL'!B457</f>
        <v>VAT03</v>
      </c>
      <c r="C393" t="str">
        <f>'RESUMEN TOTAL'!D457</f>
        <v>Lavalle y Belgrano</v>
      </c>
      <c r="D393" s="30" t="str">
        <f>'RESUMEN TOTAL'!E457</f>
        <v>Domo</v>
      </c>
      <c r="E393" s="30" t="str">
        <f>'RESUMEN TOTAL'!F457</f>
        <v>Fibra Optica</v>
      </c>
      <c r="F393" s="70">
        <f>'RESUMEN TOTAL'!L457</f>
        <v>0</v>
      </c>
      <c r="G393" s="70">
        <f>'RESUMEN TOTAL'!M457</f>
        <v>0</v>
      </c>
      <c r="H393" s="70">
        <f>'RESUMEN TOTAL'!N457</f>
        <v>0</v>
      </c>
      <c r="I393" s="70">
        <f>'RESUMEN TOTAL'!O457</f>
        <v>0</v>
      </c>
      <c r="J393" s="70">
        <f>'RESUMEN TOTAL'!P457</f>
        <v>0</v>
      </c>
      <c r="K393" s="70">
        <f>'RESUMEN TOTAL'!Q457</f>
        <v>0</v>
      </c>
      <c r="L393" s="70">
        <f>'RESUMEN TOTAL'!R457</f>
        <v>0</v>
      </c>
      <c r="M393" s="70">
        <f>'RESUMEN TOTAL'!S457</f>
        <v>0</v>
      </c>
      <c r="N393" s="70">
        <f>'RESUMEN TOTAL'!T457</f>
        <v>0</v>
      </c>
      <c r="O393" s="70">
        <f>'RESUMEN TOTAL'!U457</f>
        <v>0</v>
      </c>
      <c r="P393" s="70">
        <f>'RESUMEN TOTAL'!V457</f>
        <v>0</v>
      </c>
      <c r="Q393" s="70">
        <f>'RESUMEN TOTAL'!W457</f>
        <v>0</v>
      </c>
      <c r="R393" s="70">
        <f>'RESUMEN TOTAL'!X457</f>
        <v>0</v>
      </c>
      <c r="S393" s="70">
        <f>'RESUMEN TOTAL'!Y457</f>
        <v>0</v>
      </c>
      <c r="T393" s="70">
        <f>'RESUMEN TOTAL'!Z457</f>
        <v>0</v>
      </c>
      <c r="U393" s="70">
        <f>'RESUMEN TOTAL'!AA457</f>
        <v>0</v>
      </c>
      <c r="V393" s="70">
        <f>'RESUMEN TOTAL'!AB457</f>
        <v>0</v>
      </c>
      <c r="W393" s="70">
        <f>'RESUMEN TOTAL'!AC457</f>
        <v>0</v>
      </c>
      <c r="X393" s="70">
        <f>'RESUMEN TOTAL'!AD457</f>
        <v>0</v>
      </c>
      <c r="Y393" s="70">
        <f>'RESUMEN TOTAL'!AE457</f>
        <v>0</v>
      </c>
      <c r="Z393" s="70">
        <f>'RESUMEN TOTAL'!AF457</f>
        <v>0</v>
      </c>
      <c r="AA393" s="70">
        <f>'RESUMEN TOTAL'!AG457</f>
        <v>0</v>
      </c>
      <c r="AB393" s="70">
        <f>'RESUMEN TOTAL'!AH457</f>
        <v>0</v>
      </c>
      <c r="AC393" s="70">
        <f>'RESUMEN TOTAL'!AI457</f>
        <v>0</v>
      </c>
      <c r="AD393" s="70">
        <f>'RESUMEN TOTAL'!AJ457</f>
        <v>0</v>
      </c>
      <c r="AE393" s="70">
        <f>'RESUMEN TOTAL'!AK457</f>
        <v>0</v>
      </c>
      <c r="AF393" s="70">
        <f>'RESUMEN TOTAL'!AL457</f>
        <v>0</v>
      </c>
      <c r="AG393" s="70">
        <f>'RESUMEN TOTAL'!AM457</f>
        <v>0</v>
      </c>
      <c r="AH393" s="70">
        <f>'RESUMEN TOTAL'!AN457</f>
        <v>0</v>
      </c>
      <c r="AI393" s="70">
        <f>'RESUMEN TOTAL'!AO457</f>
        <v>0</v>
      </c>
    </row>
    <row r="394" spans="1:35" x14ac:dyDescent="0.25">
      <c r="A394" t="str">
        <f>'RESUMEN TOTAL'!A458</f>
        <v>VILLA VATTEONE CENTRO</v>
      </c>
      <c r="B394" t="str">
        <f>'RESUMEN TOTAL'!B458</f>
        <v>VAT04</v>
      </c>
      <c r="C394" t="str">
        <f>'RESUMEN TOTAL'!D458</f>
        <v>Lavalle y Entre Rios</v>
      </c>
      <c r="D394" s="30" t="str">
        <f>'RESUMEN TOTAL'!E458</f>
        <v>Domo</v>
      </c>
      <c r="E394" s="30" t="str">
        <f>'RESUMEN TOTAL'!F458</f>
        <v>Fibra Optica</v>
      </c>
      <c r="F394" s="70">
        <f>'RESUMEN TOTAL'!L458</f>
        <v>0</v>
      </c>
      <c r="G394" s="70">
        <f>'RESUMEN TOTAL'!M458</f>
        <v>0</v>
      </c>
      <c r="H394" s="70">
        <f>'RESUMEN TOTAL'!N458</f>
        <v>0</v>
      </c>
      <c r="I394" s="70">
        <f>'RESUMEN TOTAL'!O458</f>
        <v>0</v>
      </c>
      <c r="J394" s="70">
        <f>'RESUMEN TOTAL'!P458</f>
        <v>0</v>
      </c>
      <c r="K394" s="70">
        <f>'RESUMEN TOTAL'!Q458</f>
        <v>0</v>
      </c>
      <c r="L394" s="70">
        <f>'RESUMEN TOTAL'!R458</f>
        <v>0</v>
      </c>
      <c r="M394" s="70">
        <f>'RESUMEN TOTAL'!S458</f>
        <v>0</v>
      </c>
      <c r="N394" s="70">
        <f>'RESUMEN TOTAL'!T458</f>
        <v>0</v>
      </c>
      <c r="O394" s="70">
        <f>'RESUMEN TOTAL'!U458</f>
        <v>0</v>
      </c>
      <c r="P394" s="70">
        <f>'RESUMEN TOTAL'!V458</f>
        <v>0</v>
      </c>
      <c r="Q394" s="70">
        <f>'RESUMEN TOTAL'!W458</f>
        <v>0</v>
      </c>
      <c r="R394" s="70">
        <f>'RESUMEN TOTAL'!X458</f>
        <v>0</v>
      </c>
      <c r="S394" s="70">
        <f>'RESUMEN TOTAL'!Y458</f>
        <v>0</v>
      </c>
      <c r="T394" s="70">
        <f>'RESUMEN TOTAL'!Z458</f>
        <v>0</v>
      </c>
      <c r="U394" s="70">
        <f>'RESUMEN TOTAL'!AA458</f>
        <v>0</v>
      </c>
      <c r="V394" s="70">
        <f>'RESUMEN TOTAL'!AB458</f>
        <v>0</v>
      </c>
      <c r="W394" s="70">
        <f>'RESUMEN TOTAL'!AC458</f>
        <v>0</v>
      </c>
      <c r="X394" s="70">
        <f>'RESUMEN TOTAL'!AD458</f>
        <v>0</v>
      </c>
      <c r="Y394" s="70">
        <f>'RESUMEN TOTAL'!AE458</f>
        <v>0</v>
      </c>
      <c r="Z394" s="70">
        <f>'RESUMEN TOTAL'!AF458</f>
        <v>0</v>
      </c>
      <c r="AA394" s="70">
        <f>'RESUMEN TOTAL'!AG458</f>
        <v>0</v>
      </c>
      <c r="AB394" s="70">
        <f>'RESUMEN TOTAL'!AH458</f>
        <v>0</v>
      </c>
      <c r="AC394" s="70">
        <f>'RESUMEN TOTAL'!AI458</f>
        <v>0</v>
      </c>
      <c r="AD394" s="70">
        <f>'RESUMEN TOTAL'!AJ458</f>
        <v>0</v>
      </c>
      <c r="AE394" s="70">
        <f>'RESUMEN TOTAL'!AK458</f>
        <v>0</v>
      </c>
      <c r="AF394" s="70">
        <f>'RESUMEN TOTAL'!AL458</f>
        <v>0</v>
      </c>
      <c r="AG394" s="70">
        <f>'RESUMEN TOTAL'!AM458</f>
        <v>0</v>
      </c>
      <c r="AH394" s="70">
        <f>'RESUMEN TOTAL'!AN458</f>
        <v>0</v>
      </c>
      <c r="AI394" s="70">
        <f>'RESUMEN TOTAL'!AO458</f>
        <v>0</v>
      </c>
    </row>
    <row r="395" spans="1:35" x14ac:dyDescent="0.25">
      <c r="A395" t="str">
        <f>'RESUMEN TOTAL'!A459</f>
        <v>VILLA VATTEONE CENTRO</v>
      </c>
      <c r="B395" t="str">
        <f>'RESUMEN TOTAL'!B459</f>
        <v>VAT05</v>
      </c>
      <c r="C395" t="str">
        <f>'RESUMEN TOTAL'!D459</f>
        <v>Lavalle y Colombia</v>
      </c>
      <c r="D395" s="30" t="str">
        <f>'RESUMEN TOTAL'!E459</f>
        <v>Domo</v>
      </c>
      <c r="E395" s="30" t="str">
        <f>'RESUMEN TOTAL'!F459</f>
        <v>GPON</v>
      </c>
      <c r="F395" s="70">
        <f>'RESUMEN TOTAL'!L459</f>
        <v>0</v>
      </c>
      <c r="G395" s="70">
        <f>'RESUMEN TOTAL'!M459</f>
        <v>0</v>
      </c>
      <c r="H395" s="70">
        <f>'RESUMEN TOTAL'!N459</f>
        <v>0</v>
      </c>
      <c r="I395" s="70">
        <f>'RESUMEN TOTAL'!O459</f>
        <v>0</v>
      </c>
      <c r="J395" s="70">
        <f>'RESUMEN TOTAL'!P459</f>
        <v>0</v>
      </c>
      <c r="K395" s="70">
        <f>'RESUMEN TOTAL'!Q459</f>
        <v>0</v>
      </c>
      <c r="L395" s="70">
        <f>'RESUMEN TOTAL'!R459</f>
        <v>0</v>
      </c>
      <c r="M395" s="70">
        <f>'RESUMEN TOTAL'!S459</f>
        <v>0</v>
      </c>
      <c r="N395" s="70">
        <f>'RESUMEN TOTAL'!T459</f>
        <v>0</v>
      </c>
      <c r="O395" s="70">
        <f>'RESUMEN TOTAL'!U459</f>
        <v>0</v>
      </c>
      <c r="P395" s="70">
        <f>'RESUMEN TOTAL'!V459</f>
        <v>0</v>
      </c>
      <c r="Q395" s="70">
        <f>'RESUMEN TOTAL'!W459</f>
        <v>0</v>
      </c>
      <c r="R395" s="70">
        <f>'RESUMEN TOTAL'!X459</f>
        <v>0</v>
      </c>
      <c r="S395" s="70">
        <f>'RESUMEN TOTAL'!Y459</f>
        <v>0</v>
      </c>
      <c r="T395" s="70">
        <f>'RESUMEN TOTAL'!Z459</f>
        <v>0</v>
      </c>
      <c r="U395" s="70">
        <f>'RESUMEN TOTAL'!AA459</f>
        <v>0</v>
      </c>
      <c r="V395" s="70">
        <f>'RESUMEN TOTAL'!AB459</f>
        <v>0</v>
      </c>
      <c r="W395" s="70">
        <f>'RESUMEN TOTAL'!AC459</f>
        <v>0</v>
      </c>
      <c r="X395" s="70">
        <f>'RESUMEN TOTAL'!AD459</f>
        <v>0</v>
      </c>
      <c r="Y395" s="70">
        <f>'RESUMEN TOTAL'!AE459</f>
        <v>0</v>
      </c>
      <c r="Z395" s="70">
        <f>'RESUMEN TOTAL'!AF459</f>
        <v>0</v>
      </c>
      <c r="AA395" s="70">
        <f>'RESUMEN TOTAL'!AG459</f>
        <v>0</v>
      </c>
      <c r="AB395" s="70">
        <f>'RESUMEN TOTAL'!AH459</f>
        <v>0</v>
      </c>
      <c r="AC395" s="70">
        <f>'RESUMEN TOTAL'!AI459</f>
        <v>0</v>
      </c>
      <c r="AD395" s="70">
        <f>'RESUMEN TOTAL'!AJ459</f>
        <v>0</v>
      </c>
      <c r="AE395" s="70">
        <f>'RESUMEN TOTAL'!AK459</f>
        <v>0</v>
      </c>
      <c r="AF395" s="70">
        <f>'RESUMEN TOTAL'!AL459</f>
        <v>0</v>
      </c>
      <c r="AG395" s="70">
        <f>'RESUMEN TOTAL'!AM459</f>
        <v>0</v>
      </c>
      <c r="AH395" s="70">
        <f>'RESUMEN TOTAL'!AN459</f>
        <v>0</v>
      </c>
      <c r="AI395" s="70">
        <f>'RESUMEN TOTAL'!AO459</f>
        <v>0</v>
      </c>
    </row>
    <row r="396" spans="1:35" x14ac:dyDescent="0.25">
      <c r="A396" t="str">
        <f>'RESUMEN TOTAL'!A460</f>
        <v>VILLA VATTEONE CENTRO</v>
      </c>
      <c r="B396" t="str">
        <f>'RESUMEN TOTAL'!B460</f>
        <v>VAT06</v>
      </c>
      <c r="C396" t="str">
        <f>'RESUMEN TOTAL'!D460</f>
        <v>Eva Peron y Pueyrredon</v>
      </c>
      <c r="D396" s="30" t="str">
        <f>'RESUMEN TOTAL'!E460</f>
        <v>Domo</v>
      </c>
      <c r="E396" s="30" t="str">
        <f>'RESUMEN TOTAL'!F460</f>
        <v>Fibra Optica</v>
      </c>
      <c r="F396" s="70">
        <f>'RESUMEN TOTAL'!L460</f>
        <v>0</v>
      </c>
      <c r="G396" s="70">
        <f>'RESUMEN TOTAL'!M460</f>
        <v>0</v>
      </c>
      <c r="H396" s="70">
        <f>'RESUMEN TOTAL'!N460</f>
        <v>0</v>
      </c>
      <c r="I396" s="70">
        <f>'RESUMEN TOTAL'!O460</f>
        <v>0</v>
      </c>
      <c r="J396" s="70">
        <f>'RESUMEN TOTAL'!P460</f>
        <v>0</v>
      </c>
      <c r="K396" s="70">
        <f>'RESUMEN TOTAL'!Q460</f>
        <v>0</v>
      </c>
      <c r="L396" s="70">
        <f>'RESUMEN TOTAL'!R460</f>
        <v>0</v>
      </c>
      <c r="M396" s="70">
        <f>'RESUMEN TOTAL'!S460</f>
        <v>0</v>
      </c>
      <c r="N396" s="70">
        <f>'RESUMEN TOTAL'!T460</f>
        <v>0</v>
      </c>
      <c r="O396" s="70">
        <f>'RESUMEN TOTAL'!U460</f>
        <v>0</v>
      </c>
      <c r="P396" s="70">
        <f>'RESUMEN TOTAL'!V460</f>
        <v>0</v>
      </c>
      <c r="Q396" s="70">
        <f>'RESUMEN TOTAL'!W460</f>
        <v>0</v>
      </c>
      <c r="R396" s="70">
        <f>'RESUMEN TOTAL'!X460</f>
        <v>0</v>
      </c>
      <c r="S396" s="70">
        <f>'RESUMEN TOTAL'!Y460</f>
        <v>0</v>
      </c>
      <c r="T396" s="70">
        <f>'RESUMEN TOTAL'!Z460</f>
        <v>0</v>
      </c>
      <c r="U396" s="70">
        <f>'RESUMEN TOTAL'!AA460</f>
        <v>0</v>
      </c>
      <c r="V396" s="70">
        <f>'RESUMEN TOTAL'!AB460</f>
        <v>0</v>
      </c>
      <c r="W396" s="70">
        <f>'RESUMEN TOTAL'!AC460</f>
        <v>0</v>
      </c>
      <c r="X396" s="70">
        <f>'RESUMEN TOTAL'!AD460</f>
        <v>0</v>
      </c>
      <c r="Y396" s="70">
        <f>'RESUMEN TOTAL'!AE460</f>
        <v>0</v>
      </c>
      <c r="Z396" s="70">
        <f>'RESUMEN TOTAL'!AF460</f>
        <v>0</v>
      </c>
      <c r="AA396" s="70">
        <f>'RESUMEN TOTAL'!AG460</f>
        <v>0</v>
      </c>
      <c r="AB396" s="70">
        <f>'RESUMEN TOTAL'!AH460</f>
        <v>0</v>
      </c>
      <c r="AC396" s="70">
        <f>'RESUMEN TOTAL'!AI460</f>
        <v>0</v>
      </c>
      <c r="AD396" s="70">
        <f>'RESUMEN TOTAL'!AJ460</f>
        <v>0</v>
      </c>
      <c r="AE396" s="70">
        <f>'RESUMEN TOTAL'!AK460</f>
        <v>0</v>
      </c>
      <c r="AF396" s="70">
        <f>'RESUMEN TOTAL'!AL460</f>
        <v>0</v>
      </c>
      <c r="AG396" s="70">
        <f>'RESUMEN TOTAL'!AM460</f>
        <v>0</v>
      </c>
      <c r="AH396" s="70">
        <f>'RESUMEN TOTAL'!AN460</f>
        <v>0</v>
      </c>
      <c r="AI396" s="70">
        <f>'RESUMEN TOTAL'!AO460</f>
        <v>0</v>
      </c>
    </row>
    <row r="397" spans="1:35" x14ac:dyDescent="0.25">
      <c r="A397" t="str">
        <f>'RESUMEN TOTAL'!A461</f>
        <v>VILLA VATTEONE CENTRO</v>
      </c>
      <c r="B397" t="str">
        <f>'RESUMEN TOTAL'!B461</f>
        <v>VAT07</v>
      </c>
      <c r="C397" t="str">
        <f>'RESUMEN TOTAL'!D461</f>
        <v>Eva Peron y Lavalle</v>
      </c>
      <c r="D397" s="30">
        <f>'RESUMEN TOTAL'!E461</f>
        <v>0</v>
      </c>
      <c r="E397" s="30" t="str">
        <f>'RESUMEN TOTAL'!F461</f>
        <v>Fibra Optica</v>
      </c>
      <c r="F397" s="70">
        <f>'RESUMEN TOTAL'!L461</f>
        <v>0</v>
      </c>
      <c r="G397" s="70">
        <f>'RESUMEN TOTAL'!M461</f>
        <v>0</v>
      </c>
      <c r="H397" s="70">
        <f>'RESUMEN TOTAL'!N461</f>
        <v>0</v>
      </c>
      <c r="I397" s="70">
        <f>'RESUMEN TOTAL'!O461</f>
        <v>0</v>
      </c>
      <c r="J397" s="70">
        <f>'RESUMEN TOTAL'!P461</f>
        <v>0</v>
      </c>
      <c r="K397" s="70">
        <f>'RESUMEN TOTAL'!Q461</f>
        <v>0</v>
      </c>
      <c r="L397" s="70">
        <f>'RESUMEN TOTAL'!R461</f>
        <v>0</v>
      </c>
      <c r="M397" s="70">
        <f>'RESUMEN TOTAL'!S461</f>
        <v>0</v>
      </c>
      <c r="N397" s="70">
        <f>'RESUMEN TOTAL'!T461</f>
        <v>0</v>
      </c>
      <c r="O397" s="70">
        <f>'RESUMEN TOTAL'!U461</f>
        <v>0</v>
      </c>
      <c r="P397" s="70">
        <f>'RESUMEN TOTAL'!V461</f>
        <v>0</v>
      </c>
      <c r="Q397" s="70">
        <f>'RESUMEN TOTAL'!W461</f>
        <v>0</v>
      </c>
      <c r="R397" s="70">
        <f>'RESUMEN TOTAL'!X461</f>
        <v>0</v>
      </c>
      <c r="S397" s="70">
        <f>'RESUMEN TOTAL'!Y461</f>
        <v>0</v>
      </c>
      <c r="T397" s="70">
        <f>'RESUMEN TOTAL'!Z461</f>
        <v>0</v>
      </c>
      <c r="U397" s="70">
        <f>'RESUMEN TOTAL'!AA461</f>
        <v>0</v>
      </c>
      <c r="V397" s="70">
        <f>'RESUMEN TOTAL'!AB461</f>
        <v>0</v>
      </c>
      <c r="W397" s="70">
        <f>'RESUMEN TOTAL'!AC461</f>
        <v>0</v>
      </c>
      <c r="X397" s="70">
        <f>'RESUMEN TOTAL'!AD461</f>
        <v>0</v>
      </c>
      <c r="Y397" s="70">
        <f>'RESUMEN TOTAL'!AE461</f>
        <v>0</v>
      </c>
      <c r="Z397" s="70">
        <f>'RESUMEN TOTAL'!AF461</f>
        <v>0</v>
      </c>
      <c r="AA397" s="70">
        <f>'RESUMEN TOTAL'!AG461</f>
        <v>0</v>
      </c>
      <c r="AB397" s="70">
        <f>'RESUMEN TOTAL'!AH461</f>
        <v>0</v>
      </c>
      <c r="AC397" s="70">
        <f>'RESUMEN TOTAL'!AI461</f>
        <v>0</v>
      </c>
      <c r="AD397" s="70">
        <f>'RESUMEN TOTAL'!AJ461</f>
        <v>0</v>
      </c>
      <c r="AE397" s="70">
        <f>'RESUMEN TOTAL'!AK461</f>
        <v>0</v>
      </c>
      <c r="AF397" s="70">
        <f>'RESUMEN TOTAL'!AL461</f>
        <v>0</v>
      </c>
      <c r="AG397" s="70">
        <f>'RESUMEN TOTAL'!AM461</f>
        <v>0</v>
      </c>
      <c r="AH397" s="70">
        <f>'RESUMEN TOTAL'!AN461</f>
        <v>0</v>
      </c>
      <c r="AI397" s="70">
        <f>'RESUMEN TOTAL'!AO461</f>
        <v>0</v>
      </c>
    </row>
    <row r="398" spans="1:35" x14ac:dyDescent="0.25">
      <c r="A398" t="str">
        <f>'RESUMEN TOTAL'!A462</f>
        <v>VILLA VATTEONE</v>
      </c>
      <c r="B398" t="str">
        <f>'RESUMEN TOTAL'!B462</f>
        <v>VAT08</v>
      </c>
      <c r="C398" t="str">
        <f>'RESUMEN TOTAL'!D462</f>
        <v>12 de Octubre y Florida</v>
      </c>
      <c r="D398" s="30" t="str">
        <f>'RESUMEN TOTAL'!E462</f>
        <v>Domo</v>
      </c>
      <c r="E398" s="30" t="str">
        <f>'RESUMEN TOTAL'!F462</f>
        <v>GPON</v>
      </c>
      <c r="F398" s="70">
        <f>'RESUMEN TOTAL'!L462</f>
        <v>0</v>
      </c>
      <c r="G398" s="70">
        <f>'RESUMEN TOTAL'!M462</f>
        <v>0</v>
      </c>
      <c r="H398" s="70">
        <f>'RESUMEN TOTAL'!N462</f>
        <v>0</v>
      </c>
      <c r="I398" s="70">
        <f>'RESUMEN TOTAL'!O462</f>
        <v>0</v>
      </c>
      <c r="J398" s="70">
        <f>'RESUMEN TOTAL'!P462</f>
        <v>0</v>
      </c>
      <c r="K398" s="70">
        <f>'RESUMEN TOTAL'!Q462</f>
        <v>0</v>
      </c>
      <c r="L398" s="70">
        <f>'RESUMEN TOTAL'!R462</f>
        <v>0</v>
      </c>
      <c r="M398" s="70">
        <f>'RESUMEN TOTAL'!S462</f>
        <v>0</v>
      </c>
      <c r="N398" s="70">
        <f>'RESUMEN TOTAL'!T462</f>
        <v>0</v>
      </c>
      <c r="O398" s="70">
        <f>'RESUMEN TOTAL'!U462</f>
        <v>0</v>
      </c>
      <c r="P398" s="70">
        <f>'RESUMEN TOTAL'!V462</f>
        <v>0</v>
      </c>
      <c r="Q398" s="70">
        <f>'RESUMEN TOTAL'!W462</f>
        <v>0</v>
      </c>
      <c r="R398" s="70">
        <f>'RESUMEN TOTAL'!X462</f>
        <v>0</v>
      </c>
      <c r="S398" s="70">
        <f>'RESUMEN TOTAL'!Y462</f>
        <v>0</v>
      </c>
      <c r="T398" s="70">
        <f>'RESUMEN TOTAL'!Z462</f>
        <v>0</v>
      </c>
      <c r="U398" s="70">
        <f>'RESUMEN TOTAL'!AA462</f>
        <v>0</v>
      </c>
      <c r="V398" s="70">
        <f>'RESUMEN TOTAL'!AB462</f>
        <v>0</v>
      </c>
      <c r="W398" s="70">
        <f>'RESUMEN TOTAL'!AC462</f>
        <v>0</v>
      </c>
      <c r="X398" s="70">
        <f>'RESUMEN TOTAL'!AD462</f>
        <v>0</v>
      </c>
      <c r="Y398" s="70">
        <f>'RESUMEN TOTAL'!AE462</f>
        <v>0</v>
      </c>
      <c r="Z398" s="70">
        <f>'RESUMEN TOTAL'!AF462</f>
        <v>0</v>
      </c>
      <c r="AA398" s="70">
        <f>'RESUMEN TOTAL'!AG462</f>
        <v>0</v>
      </c>
      <c r="AB398" s="70">
        <f>'RESUMEN TOTAL'!AH462</f>
        <v>0</v>
      </c>
      <c r="AC398" s="70">
        <f>'RESUMEN TOTAL'!AI462</f>
        <v>0</v>
      </c>
      <c r="AD398" s="70">
        <f>'RESUMEN TOTAL'!AJ462</f>
        <v>0</v>
      </c>
      <c r="AE398" s="70">
        <f>'RESUMEN TOTAL'!AK462</f>
        <v>0</v>
      </c>
      <c r="AF398" s="70">
        <f>'RESUMEN TOTAL'!AL462</f>
        <v>0</v>
      </c>
      <c r="AG398" s="70">
        <f>'RESUMEN TOTAL'!AM462</f>
        <v>0</v>
      </c>
      <c r="AH398" s="70">
        <f>'RESUMEN TOTAL'!AN462</f>
        <v>0</v>
      </c>
      <c r="AI398" s="70">
        <f>'RESUMEN TOTAL'!AO462</f>
        <v>0</v>
      </c>
    </row>
    <row r="399" spans="1:35" x14ac:dyDescent="0.25">
      <c r="A399" t="str">
        <f>'RESUMEN TOTAL'!A463</f>
        <v>VILLA VATTEONE</v>
      </c>
      <c r="B399" t="str">
        <f>'RESUMEN TOTAL'!B463</f>
        <v>VAT09</v>
      </c>
      <c r="C399" t="str">
        <f>'RESUMEN TOTAL'!D463</f>
        <v>Montevideo y Alsina</v>
      </c>
      <c r="D399" s="30" t="str">
        <f>'RESUMEN TOTAL'!E463</f>
        <v>Domo</v>
      </c>
      <c r="E399" s="30" t="str">
        <f>'RESUMEN TOTAL'!F463</f>
        <v>Fibra Optica</v>
      </c>
      <c r="F399" s="70">
        <f>'RESUMEN TOTAL'!L463</f>
        <v>0</v>
      </c>
      <c r="G399" s="70">
        <f>'RESUMEN TOTAL'!M463</f>
        <v>0</v>
      </c>
      <c r="H399" s="70">
        <f>'RESUMEN TOTAL'!N463</f>
        <v>0</v>
      </c>
      <c r="I399" s="70">
        <f>'RESUMEN TOTAL'!O463</f>
        <v>0</v>
      </c>
      <c r="J399" s="70">
        <f>'RESUMEN TOTAL'!P463</f>
        <v>0</v>
      </c>
      <c r="K399" s="70">
        <f>'RESUMEN TOTAL'!Q463</f>
        <v>0</v>
      </c>
      <c r="L399" s="70">
        <f>'RESUMEN TOTAL'!R463</f>
        <v>0</v>
      </c>
      <c r="M399" s="70">
        <f>'RESUMEN TOTAL'!S463</f>
        <v>0</v>
      </c>
      <c r="N399" s="70">
        <f>'RESUMEN TOTAL'!T463</f>
        <v>0</v>
      </c>
      <c r="O399" s="70">
        <f>'RESUMEN TOTAL'!U463</f>
        <v>0</v>
      </c>
      <c r="P399" s="70">
        <f>'RESUMEN TOTAL'!V463</f>
        <v>0</v>
      </c>
      <c r="Q399" s="70">
        <f>'RESUMEN TOTAL'!W463</f>
        <v>0</v>
      </c>
      <c r="R399" s="70">
        <f>'RESUMEN TOTAL'!X463</f>
        <v>0</v>
      </c>
      <c r="S399" s="70">
        <f>'RESUMEN TOTAL'!Y463</f>
        <v>0</v>
      </c>
      <c r="T399" s="70">
        <f>'RESUMEN TOTAL'!Z463</f>
        <v>0</v>
      </c>
      <c r="U399" s="70">
        <f>'RESUMEN TOTAL'!AA463</f>
        <v>0</v>
      </c>
      <c r="V399" s="70">
        <f>'RESUMEN TOTAL'!AB463</f>
        <v>0</v>
      </c>
      <c r="W399" s="70">
        <f>'RESUMEN TOTAL'!AC463</f>
        <v>0</v>
      </c>
      <c r="X399" s="70">
        <f>'RESUMEN TOTAL'!AD463</f>
        <v>0</v>
      </c>
      <c r="Y399" s="70">
        <f>'RESUMEN TOTAL'!AE463</f>
        <v>0</v>
      </c>
      <c r="Z399" s="70">
        <f>'RESUMEN TOTAL'!AF463</f>
        <v>0</v>
      </c>
      <c r="AA399" s="70">
        <f>'RESUMEN TOTAL'!AG463</f>
        <v>0</v>
      </c>
      <c r="AB399" s="70">
        <f>'RESUMEN TOTAL'!AH463</f>
        <v>0</v>
      </c>
      <c r="AC399" s="70">
        <f>'RESUMEN TOTAL'!AI463</f>
        <v>0</v>
      </c>
      <c r="AD399" s="70">
        <f>'RESUMEN TOTAL'!AJ463</f>
        <v>0</v>
      </c>
      <c r="AE399" s="70">
        <f>'RESUMEN TOTAL'!AK463</f>
        <v>0</v>
      </c>
      <c r="AF399" s="70">
        <f>'RESUMEN TOTAL'!AL463</f>
        <v>0</v>
      </c>
      <c r="AG399" s="70">
        <f>'RESUMEN TOTAL'!AM463</f>
        <v>0</v>
      </c>
      <c r="AH399" s="70">
        <f>'RESUMEN TOTAL'!AN463</f>
        <v>0</v>
      </c>
      <c r="AI399" s="70">
        <f>'RESUMEN TOTAL'!AO463</f>
        <v>0</v>
      </c>
    </row>
    <row r="400" spans="1:35" x14ac:dyDescent="0.25">
      <c r="A400" t="str">
        <f>'RESUMEN TOTAL'!A464</f>
        <v>VILLA VATTEONE CENTRO</v>
      </c>
      <c r="B400" t="str">
        <f>'RESUMEN TOTAL'!B464</f>
        <v>VAT 10</v>
      </c>
      <c r="C400" t="str">
        <f>'RESUMEN TOTAL'!D464</f>
        <v>Belgrano y Quintana</v>
      </c>
      <c r="D400" s="30" t="str">
        <f>'RESUMEN TOTAL'!E464</f>
        <v>Domo</v>
      </c>
      <c r="E400" s="30" t="str">
        <f>'RESUMEN TOTAL'!F464</f>
        <v>Fibra Optica</v>
      </c>
      <c r="F400" s="70">
        <f>'RESUMEN TOTAL'!L464</f>
        <v>0</v>
      </c>
      <c r="G400" s="70">
        <f>'RESUMEN TOTAL'!M464</f>
        <v>0</v>
      </c>
      <c r="H400" s="70">
        <f>'RESUMEN TOTAL'!N464</f>
        <v>0</v>
      </c>
      <c r="I400" s="70">
        <f>'RESUMEN TOTAL'!O464</f>
        <v>0</v>
      </c>
      <c r="J400" s="70">
        <f>'RESUMEN TOTAL'!P464</f>
        <v>0</v>
      </c>
      <c r="K400" s="70">
        <f>'RESUMEN TOTAL'!Q464</f>
        <v>0</v>
      </c>
      <c r="L400" s="70">
        <f>'RESUMEN TOTAL'!R464</f>
        <v>0</v>
      </c>
      <c r="M400" s="70">
        <f>'RESUMEN TOTAL'!S464</f>
        <v>0</v>
      </c>
      <c r="N400" s="70">
        <f>'RESUMEN TOTAL'!T464</f>
        <v>0</v>
      </c>
      <c r="O400" s="70">
        <f>'RESUMEN TOTAL'!U464</f>
        <v>0</v>
      </c>
      <c r="P400" s="70">
        <f>'RESUMEN TOTAL'!V464</f>
        <v>0</v>
      </c>
      <c r="Q400" s="70">
        <f>'RESUMEN TOTAL'!W464</f>
        <v>0</v>
      </c>
      <c r="R400" s="70">
        <f>'RESUMEN TOTAL'!X464</f>
        <v>0</v>
      </c>
      <c r="S400" s="70">
        <f>'RESUMEN TOTAL'!Y464</f>
        <v>0</v>
      </c>
      <c r="T400" s="70">
        <f>'RESUMEN TOTAL'!Z464</f>
        <v>0</v>
      </c>
      <c r="U400" s="70">
        <f>'RESUMEN TOTAL'!AA464</f>
        <v>0</v>
      </c>
      <c r="V400" s="70">
        <f>'RESUMEN TOTAL'!AB464</f>
        <v>0</v>
      </c>
      <c r="W400" s="70">
        <f>'RESUMEN TOTAL'!AC464</f>
        <v>0</v>
      </c>
      <c r="X400" s="70">
        <f>'RESUMEN TOTAL'!AD464</f>
        <v>0</v>
      </c>
      <c r="Y400" s="70">
        <f>'RESUMEN TOTAL'!AE464</f>
        <v>0</v>
      </c>
      <c r="Z400" s="70">
        <f>'RESUMEN TOTAL'!AF464</f>
        <v>0</v>
      </c>
      <c r="AA400" s="70">
        <f>'RESUMEN TOTAL'!AG464</f>
        <v>0</v>
      </c>
      <c r="AB400" s="70">
        <f>'RESUMEN TOTAL'!AH464</f>
        <v>0</v>
      </c>
      <c r="AC400" s="70">
        <f>'RESUMEN TOTAL'!AI464</f>
        <v>0</v>
      </c>
      <c r="AD400" s="70">
        <f>'RESUMEN TOTAL'!AJ464</f>
        <v>0</v>
      </c>
      <c r="AE400" s="70">
        <f>'RESUMEN TOTAL'!AK464</f>
        <v>0</v>
      </c>
      <c r="AF400" s="70">
        <f>'RESUMEN TOTAL'!AL464</f>
        <v>0</v>
      </c>
      <c r="AG400" s="70">
        <f>'RESUMEN TOTAL'!AM464</f>
        <v>0</v>
      </c>
      <c r="AH400" s="70">
        <f>'RESUMEN TOTAL'!AN464</f>
        <v>0</v>
      </c>
      <c r="AI400" s="70">
        <f>'RESUMEN TOTAL'!AO464</f>
        <v>0</v>
      </c>
    </row>
    <row r="401" spans="1:35" x14ac:dyDescent="0.25">
      <c r="A401" t="str">
        <f>'RESUMEN TOTAL'!A465</f>
        <v>VILLA VATTEONE</v>
      </c>
      <c r="B401" t="str">
        <f>'RESUMEN TOTAL'!B465</f>
        <v>VAT11</v>
      </c>
      <c r="C401" t="str">
        <f>'RESUMEN TOTAL'!D465</f>
        <v>Mainini y Montevideo</v>
      </c>
      <c r="D401" s="30" t="str">
        <f>'RESUMEN TOTAL'!E465</f>
        <v>Domo</v>
      </c>
      <c r="E401" s="30" t="str">
        <f>'RESUMEN TOTAL'!F465</f>
        <v>Fibra Optica</v>
      </c>
      <c r="F401" s="70">
        <f>'RESUMEN TOTAL'!L465</f>
        <v>0</v>
      </c>
      <c r="G401" s="70">
        <f>'RESUMEN TOTAL'!M465</f>
        <v>0</v>
      </c>
      <c r="H401" s="70">
        <f>'RESUMEN TOTAL'!N465</f>
        <v>0</v>
      </c>
      <c r="I401" s="70">
        <f>'RESUMEN TOTAL'!O465</f>
        <v>0</v>
      </c>
      <c r="J401" s="70">
        <f>'RESUMEN TOTAL'!P465</f>
        <v>0</v>
      </c>
      <c r="K401" s="70">
        <f>'RESUMEN TOTAL'!Q465</f>
        <v>0</v>
      </c>
      <c r="L401" s="70">
        <f>'RESUMEN TOTAL'!R465</f>
        <v>0</v>
      </c>
      <c r="M401" s="70">
        <f>'RESUMEN TOTAL'!S465</f>
        <v>0</v>
      </c>
      <c r="N401" s="70">
        <f>'RESUMEN TOTAL'!T465</f>
        <v>0</v>
      </c>
      <c r="O401" s="70">
        <f>'RESUMEN TOTAL'!U465</f>
        <v>0</v>
      </c>
      <c r="P401" s="70">
        <f>'RESUMEN TOTAL'!V465</f>
        <v>0</v>
      </c>
      <c r="Q401" s="70">
        <f>'RESUMEN TOTAL'!W465</f>
        <v>0</v>
      </c>
      <c r="R401" s="70">
        <f>'RESUMEN TOTAL'!X465</f>
        <v>0</v>
      </c>
      <c r="S401" s="70">
        <f>'RESUMEN TOTAL'!Y465</f>
        <v>0</v>
      </c>
      <c r="T401" s="70">
        <f>'RESUMEN TOTAL'!Z465</f>
        <v>0</v>
      </c>
      <c r="U401" s="70">
        <f>'RESUMEN TOTAL'!AA465</f>
        <v>0</v>
      </c>
      <c r="V401" s="70">
        <f>'RESUMEN TOTAL'!AB465</f>
        <v>0</v>
      </c>
      <c r="W401" s="70">
        <f>'RESUMEN TOTAL'!AC465</f>
        <v>0</v>
      </c>
      <c r="X401" s="70">
        <f>'RESUMEN TOTAL'!AD465</f>
        <v>0</v>
      </c>
      <c r="Y401" s="70">
        <f>'RESUMEN TOTAL'!AE465</f>
        <v>0</v>
      </c>
      <c r="Z401" s="70">
        <f>'RESUMEN TOTAL'!AF465</f>
        <v>0</v>
      </c>
      <c r="AA401" s="70">
        <f>'RESUMEN TOTAL'!AG465</f>
        <v>0</v>
      </c>
      <c r="AB401" s="70">
        <f>'RESUMEN TOTAL'!AH465</f>
        <v>0</v>
      </c>
      <c r="AC401" s="70">
        <f>'RESUMEN TOTAL'!AI465</f>
        <v>0</v>
      </c>
      <c r="AD401" s="70">
        <f>'RESUMEN TOTAL'!AJ465</f>
        <v>0</v>
      </c>
      <c r="AE401" s="70">
        <f>'RESUMEN TOTAL'!AK465</f>
        <v>0</v>
      </c>
      <c r="AF401" s="70">
        <f>'RESUMEN TOTAL'!AL465</f>
        <v>0</v>
      </c>
      <c r="AG401" s="70">
        <f>'RESUMEN TOTAL'!AM465</f>
        <v>0</v>
      </c>
      <c r="AH401" s="70">
        <f>'RESUMEN TOTAL'!AN465</f>
        <v>0</v>
      </c>
      <c r="AI401" s="70">
        <f>'RESUMEN TOTAL'!AO465</f>
        <v>0</v>
      </c>
    </row>
    <row r="402" spans="1:35" x14ac:dyDescent="0.25">
      <c r="A402" t="str">
        <f>'RESUMEN TOTAL'!A466</f>
        <v>VILLA VATTEONE</v>
      </c>
      <c r="B402" t="str">
        <f>'RESUMEN TOTAL'!B466</f>
        <v>VAT12</v>
      </c>
      <c r="C402" t="str">
        <f>'RESUMEN TOTAL'!D466</f>
        <v>12 DE OCTUBRE Y CHACO</v>
      </c>
      <c r="D402" s="30" t="str">
        <f>'RESUMEN TOTAL'!E466</f>
        <v>DOMO</v>
      </c>
      <c r="E402" s="30" t="str">
        <f>'RESUMEN TOTAL'!F466</f>
        <v>PTO A FO</v>
      </c>
      <c r="F402" s="70">
        <f>'RESUMEN TOTAL'!L466</f>
        <v>0</v>
      </c>
      <c r="G402" s="70">
        <f>'RESUMEN TOTAL'!M466</f>
        <v>0</v>
      </c>
      <c r="H402" s="70">
        <f>'RESUMEN TOTAL'!N466</f>
        <v>0</v>
      </c>
      <c r="I402" s="70">
        <f>'RESUMEN TOTAL'!O466</f>
        <v>0</v>
      </c>
      <c r="J402" s="70">
        <f>'RESUMEN TOTAL'!P466</f>
        <v>0</v>
      </c>
      <c r="K402" s="70">
        <f>'RESUMEN TOTAL'!Q466</f>
        <v>0</v>
      </c>
      <c r="L402" s="70">
        <f>'RESUMEN TOTAL'!R466</f>
        <v>0</v>
      </c>
      <c r="M402" s="70">
        <f>'RESUMEN TOTAL'!S466</f>
        <v>0</v>
      </c>
      <c r="N402" s="70">
        <f>'RESUMEN TOTAL'!T466</f>
        <v>0</v>
      </c>
      <c r="O402" s="70">
        <f>'RESUMEN TOTAL'!U466</f>
        <v>0</v>
      </c>
      <c r="P402" s="70">
        <f>'RESUMEN TOTAL'!V466</f>
        <v>0</v>
      </c>
      <c r="Q402" s="70">
        <f>'RESUMEN TOTAL'!W466</f>
        <v>0</v>
      </c>
      <c r="R402" s="70">
        <f>'RESUMEN TOTAL'!X466</f>
        <v>0</v>
      </c>
      <c r="S402" s="70">
        <f>'RESUMEN TOTAL'!Y466</f>
        <v>0</v>
      </c>
      <c r="T402" s="70">
        <f>'RESUMEN TOTAL'!Z466</f>
        <v>0</v>
      </c>
      <c r="U402" s="70">
        <f>'RESUMEN TOTAL'!AA466</f>
        <v>0</v>
      </c>
      <c r="V402" s="70">
        <f>'RESUMEN TOTAL'!AB466</f>
        <v>0</v>
      </c>
      <c r="W402" s="70">
        <f>'RESUMEN TOTAL'!AC466</f>
        <v>0</v>
      </c>
      <c r="X402" s="70">
        <f>'RESUMEN TOTAL'!AD466</f>
        <v>0</v>
      </c>
      <c r="Y402" s="70">
        <f>'RESUMEN TOTAL'!AE466</f>
        <v>0</v>
      </c>
      <c r="Z402" s="70">
        <f>'RESUMEN TOTAL'!AF466</f>
        <v>0</v>
      </c>
      <c r="AA402" s="70">
        <f>'RESUMEN TOTAL'!AG466</f>
        <v>0</v>
      </c>
      <c r="AB402" s="70">
        <f>'RESUMEN TOTAL'!AH466</f>
        <v>0</v>
      </c>
      <c r="AC402" s="70">
        <f>'RESUMEN TOTAL'!AI466</f>
        <v>0</v>
      </c>
      <c r="AD402" s="70">
        <f>'RESUMEN TOTAL'!AJ466</f>
        <v>0</v>
      </c>
      <c r="AE402" s="70">
        <f>'RESUMEN TOTAL'!AK466</f>
        <v>0</v>
      </c>
      <c r="AF402" s="70">
        <f>'RESUMEN TOTAL'!AL466</f>
        <v>0</v>
      </c>
      <c r="AG402" s="70">
        <f>'RESUMEN TOTAL'!AM466</f>
        <v>0</v>
      </c>
      <c r="AH402" s="70">
        <f>'RESUMEN TOTAL'!AN466</f>
        <v>0</v>
      </c>
      <c r="AI402" s="70">
        <f>'RESUMEN TOTAL'!AO466</f>
        <v>0</v>
      </c>
    </row>
    <row r="403" spans="1:35" x14ac:dyDescent="0.25">
      <c r="A403" t="str">
        <f>'RESUMEN TOTAL'!A467</f>
        <v>VILLA VATTEONE CENTRO</v>
      </c>
      <c r="B403" t="str">
        <f>'RESUMEN TOTAL'!B467</f>
        <v>VAT13</v>
      </c>
      <c r="C403" t="str">
        <f>'RESUMEN TOTAL'!D467</f>
        <v>Av.12 de Octubre y Belgrano</v>
      </c>
      <c r="D403" s="30" t="str">
        <f>'RESUMEN TOTAL'!E467</f>
        <v>Domo</v>
      </c>
      <c r="E403" s="30" t="str">
        <f>'RESUMEN TOTAL'!F467</f>
        <v>Fibra Optica</v>
      </c>
      <c r="F403" s="70">
        <f>'RESUMEN TOTAL'!L467</f>
        <v>0</v>
      </c>
      <c r="G403" s="70">
        <f>'RESUMEN TOTAL'!M467</f>
        <v>0</v>
      </c>
      <c r="H403" s="70">
        <f>'RESUMEN TOTAL'!N467</f>
        <v>0</v>
      </c>
      <c r="I403" s="70">
        <f>'RESUMEN TOTAL'!O467</f>
        <v>0</v>
      </c>
      <c r="J403" s="70">
        <f>'RESUMEN TOTAL'!P467</f>
        <v>0</v>
      </c>
      <c r="K403" s="70">
        <f>'RESUMEN TOTAL'!Q467</f>
        <v>0</v>
      </c>
      <c r="L403" s="70">
        <f>'RESUMEN TOTAL'!R467</f>
        <v>0</v>
      </c>
      <c r="M403" s="70">
        <f>'RESUMEN TOTAL'!S467</f>
        <v>0</v>
      </c>
      <c r="N403" s="70">
        <f>'RESUMEN TOTAL'!T467</f>
        <v>0</v>
      </c>
      <c r="O403" s="70">
        <f>'RESUMEN TOTAL'!U467</f>
        <v>0</v>
      </c>
      <c r="P403" s="70">
        <f>'RESUMEN TOTAL'!V467</f>
        <v>0</v>
      </c>
      <c r="Q403" s="70">
        <f>'RESUMEN TOTAL'!W467</f>
        <v>0</v>
      </c>
      <c r="R403" s="70">
        <f>'RESUMEN TOTAL'!X467</f>
        <v>0</v>
      </c>
      <c r="S403" s="70">
        <f>'RESUMEN TOTAL'!Y467</f>
        <v>0</v>
      </c>
      <c r="T403" s="70">
        <f>'RESUMEN TOTAL'!Z467</f>
        <v>0</v>
      </c>
      <c r="U403" s="70">
        <f>'RESUMEN TOTAL'!AA467</f>
        <v>0</v>
      </c>
      <c r="V403" s="70">
        <f>'RESUMEN TOTAL'!AB467</f>
        <v>0</v>
      </c>
      <c r="W403" s="70">
        <f>'RESUMEN TOTAL'!AC467</f>
        <v>0</v>
      </c>
      <c r="X403" s="70">
        <f>'RESUMEN TOTAL'!AD467</f>
        <v>0</v>
      </c>
      <c r="Y403" s="70">
        <f>'RESUMEN TOTAL'!AE467</f>
        <v>0</v>
      </c>
      <c r="Z403" s="70">
        <f>'RESUMEN TOTAL'!AF467</f>
        <v>0</v>
      </c>
      <c r="AA403" s="70">
        <f>'RESUMEN TOTAL'!AG467</f>
        <v>0</v>
      </c>
      <c r="AB403" s="70">
        <f>'RESUMEN TOTAL'!AH467</f>
        <v>0</v>
      </c>
      <c r="AC403" s="70">
        <f>'RESUMEN TOTAL'!AI467</f>
        <v>0</v>
      </c>
      <c r="AD403" s="70">
        <f>'RESUMEN TOTAL'!AJ467</f>
        <v>0</v>
      </c>
      <c r="AE403" s="70">
        <f>'RESUMEN TOTAL'!AK467</f>
        <v>0</v>
      </c>
      <c r="AF403" s="70">
        <f>'RESUMEN TOTAL'!AL467</f>
        <v>0</v>
      </c>
      <c r="AG403" s="70">
        <f>'RESUMEN TOTAL'!AM467</f>
        <v>0</v>
      </c>
      <c r="AH403" s="70">
        <f>'RESUMEN TOTAL'!AN467</f>
        <v>0</v>
      </c>
      <c r="AI403" s="70">
        <f>'RESUMEN TOTAL'!AO467</f>
        <v>0</v>
      </c>
    </row>
    <row r="404" spans="1:35" x14ac:dyDescent="0.25">
      <c r="A404" t="str">
        <f>'RESUMEN TOTAL'!A468</f>
        <v>VILLA VATTEONE</v>
      </c>
      <c r="B404" t="str">
        <f>'RESUMEN TOTAL'!B468</f>
        <v>VAT 14</v>
      </c>
      <c r="C404" t="str">
        <f>'RESUMEN TOTAL'!D468</f>
        <v>FLORIDA Y MONTEVIDEO</v>
      </c>
      <c r="D404" s="30" t="str">
        <f>'RESUMEN TOTAL'!E468</f>
        <v>DOMO</v>
      </c>
      <c r="E404" s="30" t="str">
        <f>'RESUMEN TOTAL'!F468</f>
        <v>Fibra Optica</v>
      </c>
      <c r="F404" s="70">
        <f>'RESUMEN TOTAL'!L468</f>
        <v>0</v>
      </c>
      <c r="G404" s="70">
        <f>'RESUMEN TOTAL'!M468</f>
        <v>0</v>
      </c>
      <c r="H404" s="70">
        <f>'RESUMEN TOTAL'!N468</f>
        <v>0</v>
      </c>
      <c r="I404" s="70">
        <f>'RESUMEN TOTAL'!O468</f>
        <v>0</v>
      </c>
      <c r="J404" s="70">
        <f>'RESUMEN TOTAL'!P468</f>
        <v>0</v>
      </c>
      <c r="K404" s="70">
        <f>'RESUMEN TOTAL'!Q468</f>
        <v>0</v>
      </c>
      <c r="L404" s="70">
        <f>'RESUMEN TOTAL'!R468</f>
        <v>0</v>
      </c>
      <c r="M404" s="70">
        <f>'RESUMEN TOTAL'!S468</f>
        <v>0</v>
      </c>
      <c r="N404" s="70">
        <f>'RESUMEN TOTAL'!T468</f>
        <v>0</v>
      </c>
      <c r="O404" s="70">
        <f>'RESUMEN TOTAL'!U468</f>
        <v>0</v>
      </c>
      <c r="P404" s="70">
        <f>'RESUMEN TOTAL'!V468</f>
        <v>0</v>
      </c>
      <c r="Q404" s="70">
        <f>'RESUMEN TOTAL'!W468</f>
        <v>0</v>
      </c>
      <c r="R404" s="70">
        <f>'RESUMEN TOTAL'!X468</f>
        <v>0</v>
      </c>
      <c r="S404" s="70">
        <f>'RESUMEN TOTAL'!Y468</f>
        <v>0</v>
      </c>
      <c r="T404" s="70">
        <f>'RESUMEN TOTAL'!Z468</f>
        <v>0</v>
      </c>
      <c r="U404" s="70">
        <f>'RESUMEN TOTAL'!AA468</f>
        <v>0</v>
      </c>
      <c r="V404" s="70">
        <f>'RESUMEN TOTAL'!AB468</f>
        <v>0</v>
      </c>
      <c r="W404" s="70">
        <f>'RESUMEN TOTAL'!AC468</f>
        <v>0</v>
      </c>
      <c r="X404" s="70">
        <f>'RESUMEN TOTAL'!AD468</f>
        <v>0</v>
      </c>
      <c r="Y404" s="70">
        <f>'RESUMEN TOTAL'!AE468</f>
        <v>0</v>
      </c>
      <c r="Z404" s="70">
        <f>'RESUMEN TOTAL'!AF468</f>
        <v>0</v>
      </c>
      <c r="AA404" s="70">
        <f>'RESUMEN TOTAL'!AG468</f>
        <v>0</v>
      </c>
      <c r="AB404" s="70">
        <f>'RESUMEN TOTAL'!AH468</f>
        <v>0</v>
      </c>
      <c r="AC404" s="70">
        <f>'RESUMEN TOTAL'!AI468</f>
        <v>0</v>
      </c>
      <c r="AD404" s="70">
        <f>'RESUMEN TOTAL'!AJ468</f>
        <v>0</v>
      </c>
      <c r="AE404" s="70">
        <f>'RESUMEN TOTAL'!AK468</f>
        <v>0</v>
      </c>
      <c r="AF404" s="70">
        <f>'RESUMEN TOTAL'!AL468</f>
        <v>0</v>
      </c>
      <c r="AG404" s="70">
        <f>'RESUMEN TOTAL'!AM468</f>
        <v>0</v>
      </c>
      <c r="AH404" s="70">
        <f>'RESUMEN TOTAL'!AN468</f>
        <v>0</v>
      </c>
      <c r="AI404" s="70">
        <f>'RESUMEN TOTAL'!AO468</f>
        <v>0</v>
      </c>
    </row>
    <row r="405" spans="1:35" x14ac:dyDescent="0.25">
      <c r="A405" t="str">
        <f>'RESUMEN TOTAL'!A469</f>
        <v>VILLA VATTEONE</v>
      </c>
      <c r="B405" t="str">
        <f>'RESUMEN TOTAL'!B469</f>
        <v>VAT 15</v>
      </c>
      <c r="C405" t="str">
        <f>'RESUMEN TOTAL'!D469</f>
        <v>CORRIENTES Y VICENTE LOPEZ</v>
      </c>
      <c r="D405" s="30" t="str">
        <f>'RESUMEN TOTAL'!E469</f>
        <v>DOMO</v>
      </c>
      <c r="E405" s="30" t="str">
        <f>'RESUMEN TOTAL'!F469</f>
        <v>PTO A FO</v>
      </c>
      <c r="F405" s="70">
        <f>'RESUMEN TOTAL'!L469</f>
        <v>0</v>
      </c>
      <c r="G405" s="70">
        <f>'RESUMEN TOTAL'!M469</f>
        <v>0</v>
      </c>
      <c r="H405" s="70">
        <f>'RESUMEN TOTAL'!N469</f>
        <v>0</v>
      </c>
      <c r="I405" s="70">
        <f>'RESUMEN TOTAL'!O469</f>
        <v>0</v>
      </c>
      <c r="J405" s="70">
        <f>'RESUMEN TOTAL'!P469</f>
        <v>0</v>
      </c>
      <c r="K405" s="70">
        <f>'RESUMEN TOTAL'!Q469</f>
        <v>0</v>
      </c>
      <c r="L405" s="70">
        <f>'RESUMEN TOTAL'!R469</f>
        <v>0</v>
      </c>
      <c r="M405" s="70">
        <f>'RESUMEN TOTAL'!S469</f>
        <v>0</v>
      </c>
      <c r="N405" s="70">
        <f>'RESUMEN TOTAL'!T469</f>
        <v>0</v>
      </c>
      <c r="O405" s="70">
        <f>'RESUMEN TOTAL'!U469</f>
        <v>0</v>
      </c>
      <c r="P405" s="70">
        <f>'RESUMEN TOTAL'!V469</f>
        <v>0</v>
      </c>
      <c r="Q405" s="70">
        <f>'RESUMEN TOTAL'!W469</f>
        <v>0</v>
      </c>
      <c r="R405" s="70">
        <f>'RESUMEN TOTAL'!X469</f>
        <v>0</v>
      </c>
      <c r="S405" s="70">
        <f>'RESUMEN TOTAL'!Y469</f>
        <v>0</v>
      </c>
      <c r="T405" s="70">
        <f>'RESUMEN TOTAL'!Z469</f>
        <v>0</v>
      </c>
      <c r="U405" s="70">
        <f>'RESUMEN TOTAL'!AA469</f>
        <v>0</v>
      </c>
      <c r="V405" s="70">
        <f>'RESUMEN TOTAL'!AB469</f>
        <v>0</v>
      </c>
      <c r="W405" s="70">
        <f>'RESUMEN TOTAL'!AC469</f>
        <v>0</v>
      </c>
      <c r="X405" s="70">
        <f>'RESUMEN TOTAL'!AD469</f>
        <v>0</v>
      </c>
      <c r="Y405" s="70">
        <f>'RESUMEN TOTAL'!AE469</f>
        <v>0</v>
      </c>
      <c r="Z405" s="70">
        <f>'RESUMEN TOTAL'!AF469</f>
        <v>0</v>
      </c>
      <c r="AA405" s="70">
        <f>'RESUMEN TOTAL'!AG469</f>
        <v>0</v>
      </c>
      <c r="AB405" s="70">
        <f>'RESUMEN TOTAL'!AH469</f>
        <v>0</v>
      </c>
      <c r="AC405" s="70">
        <f>'RESUMEN TOTAL'!AI469</f>
        <v>0</v>
      </c>
      <c r="AD405" s="70">
        <f>'RESUMEN TOTAL'!AJ469</f>
        <v>0</v>
      </c>
      <c r="AE405" s="70">
        <f>'RESUMEN TOTAL'!AK469</f>
        <v>0</v>
      </c>
      <c r="AF405" s="70">
        <f>'RESUMEN TOTAL'!AL469</f>
        <v>0</v>
      </c>
      <c r="AG405" s="70">
        <f>'RESUMEN TOTAL'!AM469</f>
        <v>0</v>
      </c>
      <c r="AH405" s="70">
        <f>'RESUMEN TOTAL'!AN469</f>
        <v>0</v>
      </c>
      <c r="AI405" s="70">
        <f>'RESUMEN TOTAL'!AO469</f>
        <v>0</v>
      </c>
    </row>
    <row r="406" spans="1:35" x14ac:dyDescent="0.25">
      <c r="A406" t="str">
        <f>'RESUMEN TOTAL'!A470</f>
        <v>VILLA VATTEONE</v>
      </c>
      <c r="B406" t="str">
        <f>'RESUMEN TOTAL'!B470</f>
        <v>VAT 16</v>
      </c>
      <c r="C406" t="str">
        <f>'RESUMEN TOTAL'!D470</f>
        <v>MONTEVIDEO Y CHACO</v>
      </c>
      <c r="D406" s="30" t="str">
        <f>'RESUMEN TOTAL'!E470</f>
        <v>DOMO</v>
      </c>
      <c r="E406" s="30" t="str">
        <f>'RESUMEN TOTAL'!F470</f>
        <v>PTO A FO</v>
      </c>
      <c r="F406" s="70">
        <f>'RESUMEN TOTAL'!L470</f>
        <v>0</v>
      </c>
      <c r="G406" s="70">
        <f>'RESUMEN TOTAL'!M470</f>
        <v>0</v>
      </c>
      <c r="H406" s="70">
        <f>'RESUMEN TOTAL'!N470</f>
        <v>0</v>
      </c>
      <c r="I406" s="70">
        <f>'RESUMEN TOTAL'!O470</f>
        <v>0</v>
      </c>
      <c r="J406" s="70">
        <f>'RESUMEN TOTAL'!P470</f>
        <v>0</v>
      </c>
      <c r="K406" s="70">
        <f>'RESUMEN TOTAL'!Q470</f>
        <v>0</v>
      </c>
      <c r="L406" s="70">
        <f>'RESUMEN TOTAL'!R470</f>
        <v>0</v>
      </c>
      <c r="M406" s="70">
        <f>'RESUMEN TOTAL'!S470</f>
        <v>0</v>
      </c>
      <c r="N406" s="70">
        <f>'RESUMEN TOTAL'!T470</f>
        <v>0</v>
      </c>
      <c r="O406" s="70">
        <f>'RESUMEN TOTAL'!U470</f>
        <v>0</v>
      </c>
      <c r="P406" s="70">
        <f>'RESUMEN TOTAL'!V470</f>
        <v>0</v>
      </c>
      <c r="Q406" s="70">
        <f>'RESUMEN TOTAL'!W470</f>
        <v>0</v>
      </c>
      <c r="R406" s="70">
        <f>'RESUMEN TOTAL'!X470</f>
        <v>0</v>
      </c>
      <c r="S406" s="70">
        <f>'RESUMEN TOTAL'!Y470</f>
        <v>0</v>
      </c>
      <c r="T406" s="70">
        <f>'RESUMEN TOTAL'!Z470</f>
        <v>0</v>
      </c>
      <c r="U406" s="70">
        <f>'RESUMEN TOTAL'!AA470</f>
        <v>0</v>
      </c>
      <c r="V406" s="70">
        <f>'RESUMEN TOTAL'!AB470</f>
        <v>0</v>
      </c>
      <c r="W406" s="70">
        <f>'RESUMEN TOTAL'!AC470</f>
        <v>0</v>
      </c>
      <c r="X406" s="70">
        <f>'RESUMEN TOTAL'!AD470</f>
        <v>0</v>
      </c>
      <c r="Y406" s="70">
        <f>'RESUMEN TOTAL'!AE470</f>
        <v>0</v>
      </c>
      <c r="Z406" s="70">
        <f>'RESUMEN TOTAL'!AF470</f>
        <v>0</v>
      </c>
      <c r="AA406" s="70">
        <f>'RESUMEN TOTAL'!AG470</f>
        <v>0</v>
      </c>
      <c r="AB406" s="70">
        <f>'RESUMEN TOTAL'!AH470</f>
        <v>0</v>
      </c>
      <c r="AC406" s="70">
        <f>'RESUMEN TOTAL'!AI470</f>
        <v>0</v>
      </c>
      <c r="AD406" s="70">
        <f>'RESUMEN TOTAL'!AJ470</f>
        <v>0</v>
      </c>
      <c r="AE406" s="70">
        <f>'RESUMEN TOTAL'!AK470</f>
        <v>0</v>
      </c>
      <c r="AF406" s="70">
        <f>'RESUMEN TOTAL'!AL470</f>
        <v>0</v>
      </c>
      <c r="AG406" s="70">
        <f>'RESUMEN TOTAL'!AM470</f>
        <v>0</v>
      </c>
      <c r="AH406" s="70">
        <f>'RESUMEN TOTAL'!AN470</f>
        <v>0</v>
      </c>
      <c r="AI406" s="70">
        <f>'RESUMEN TOTAL'!AO470</f>
        <v>0</v>
      </c>
    </row>
    <row r="407" spans="1:35" x14ac:dyDescent="0.25">
      <c r="A407" t="str">
        <f>'RESUMEN TOTAL'!A471</f>
        <v>VILLA VATTEONE</v>
      </c>
      <c r="B407" t="str">
        <f>'RESUMEN TOTAL'!B471</f>
        <v>VAT 17</v>
      </c>
      <c r="C407" t="str">
        <f>'RESUMEN TOTAL'!D471</f>
        <v>CHAÑAR Y URUGUAY</v>
      </c>
      <c r="D407" s="30" t="str">
        <f>'RESUMEN TOTAL'!E471</f>
        <v>DOMO</v>
      </c>
      <c r="E407" s="30" t="str">
        <f>'RESUMEN TOTAL'!F471</f>
        <v>PTO A FO</v>
      </c>
      <c r="F407" s="70">
        <f>'RESUMEN TOTAL'!L471</f>
        <v>0</v>
      </c>
      <c r="G407" s="70">
        <f>'RESUMEN TOTAL'!M471</f>
        <v>0</v>
      </c>
      <c r="H407" s="70">
        <f>'RESUMEN TOTAL'!N471</f>
        <v>0</v>
      </c>
      <c r="I407" s="70">
        <f>'RESUMEN TOTAL'!O471</f>
        <v>0</v>
      </c>
      <c r="J407" s="70">
        <f>'RESUMEN TOTAL'!P471</f>
        <v>0</v>
      </c>
      <c r="K407" s="70">
        <f>'RESUMEN TOTAL'!Q471</f>
        <v>0</v>
      </c>
      <c r="L407" s="70">
        <f>'RESUMEN TOTAL'!R471</f>
        <v>0</v>
      </c>
      <c r="M407" s="70">
        <f>'RESUMEN TOTAL'!S471</f>
        <v>0</v>
      </c>
      <c r="N407" s="70">
        <f>'RESUMEN TOTAL'!T471</f>
        <v>0</v>
      </c>
      <c r="O407" s="70">
        <f>'RESUMEN TOTAL'!U471</f>
        <v>0</v>
      </c>
      <c r="P407" s="70">
        <f>'RESUMEN TOTAL'!V471</f>
        <v>0</v>
      </c>
      <c r="Q407" s="70">
        <f>'RESUMEN TOTAL'!W471</f>
        <v>0</v>
      </c>
      <c r="R407" s="70">
        <f>'RESUMEN TOTAL'!X471</f>
        <v>0</v>
      </c>
      <c r="S407" s="70">
        <f>'RESUMEN TOTAL'!Y471</f>
        <v>0</v>
      </c>
      <c r="T407" s="70">
        <f>'RESUMEN TOTAL'!Z471</f>
        <v>0</v>
      </c>
      <c r="U407" s="70">
        <f>'RESUMEN TOTAL'!AA471</f>
        <v>0</v>
      </c>
      <c r="V407" s="70">
        <f>'RESUMEN TOTAL'!AB471</f>
        <v>0</v>
      </c>
      <c r="W407" s="70">
        <f>'RESUMEN TOTAL'!AC471</f>
        <v>0</v>
      </c>
      <c r="X407" s="70">
        <f>'RESUMEN TOTAL'!AD471</f>
        <v>0</v>
      </c>
      <c r="Y407" s="70">
        <f>'RESUMEN TOTAL'!AE471</f>
        <v>0</v>
      </c>
      <c r="Z407" s="70">
        <f>'RESUMEN TOTAL'!AF471</f>
        <v>0</v>
      </c>
      <c r="AA407" s="70">
        <f>'RESUMEN TOTAL'!AG471</f>
        <v>0</v>
      </c>
      <c r="AB407" s="70">
        <f>'RESUMEN TOTAL'!AH471</f>
        <v>0</v>
      </c>
      <c r="AC407" s="70">
        <f>'RESUMEN TOTAL'!AI471</f>
        <v>0</v>
      </c>
      <c r="AD407" s="70">
        <f>'RESUMEN TOTAL'!AJ471</f>
        <v>0</v>
      </c>
      <c r="AE407" s="70">
        <f>'RESUMEN TOTAL'!AK471</f>
        <v>0</v>
      </c>
      <c r="AF407" s="70">
        <f>'RESUMEN TOTAL'!AL471</f>
        <v>0</v>
      </c>
      <c r="AG407" s="70">
        <f>'RESUMEN TOTAL'!AM471</f>
        <v>0</v>
      </c>
      <c r="AH407" s="70">
        <f>'RESUMEN TOTAL'!AN471</f>
        <v>0</v>
      </c>
      <c r="AI407" s="70">
        <f>'RESUMEN TOTAL'!AO471</f>
        <v>0</v>
      </c>
    </row>
    <row r="408" spans="1:35" x14ac:dyDescent="0.25">
      <c r="A408" t="str">
        <f>'RESUMEN TOTAL'!A472</f>
        <v>VILLA VATTEONE CENTRO</v>
      </c>
      <c r="B408" t="str">
        <f>'RESUMEN TOTAL'!B472</f>
        <v>VAT18</v>
      </c>
      <c r="C408" t="str">
        <f>'RESUMEN TOTAL'!D472</f>
        <v>LAVALLE Y FONROUGE</v>
      </c>
      <c r="D408" s="30" t="str">
        <f>'RESUMEN TOTAL'!E472</f>
        <v>DOMO</v>
      </c>
      <c r="E408" s="30" t="str">
        <f>'RESUMEN TOTAL'!F472</f>
        <v>PTO A FO</v>
      </c>
      <c r="F408" s="70">
        <f>'RESUMEN TOTAL'!L472</f>
        <v>0</v>
      </c>
      <c r="G408" s="70">
        <f>'RESUMEN TOTAL'!M472</f>
        <v>0</v>
      </c>
      <c r="H408" s="70">
        <f>'RESUMEN TOTAL'!N472</f>
        <v>0</v>
      </c>
      <c r="I408" s="70">
        <f>'RESUMEN TOTAL'!O472</f>
        <v>0</v>
      </c>
      <c r="J408" s="70">
        <f>'RESUMEN TOTAL'!P472</f>
        <v>0</v>
      </c>
      <c r="K408" s="70">
        <f>'RESUMEN TOTAL'!Q472</f>
        <v>0</v>
      </c>
      <c r="L408" s="70">
        <f>'RESUMEN TOTAL'!R472</f>
        <v>0</v>
      </c>
      <c r="M408" s="70">
        <f>'RESUMEN TOTAL'!S472</f>
        <v>0</v>
      </c>
      <c r="N408" s="70">
        <f>'RESUMEN TOTAL'!T472</f>
        <v>0</v>
      </c>
      <c r="O408" s="70">
        <f>'RESUMEN TOTAL'!U472</f>
        <v>0</v>
      </c>
      <c r="P408" s="70">
        <f>'RESUMEN TOTAL'!V472</f>
        <v>0</v>
      </c>
      <c r="Q408" s="70">
        <f>'RESUMEN TOTAL'!W472</f>
        <v>0</v>
      </c>
      <c r="R408" s="70">
        <f>'RESUMEN TOTAL'!X472</f>
        <v>0</v>
      </c>
      <c r="S408" s="70">
        <f>'RESUMEN TOTAL'!Y472</f>
        <v>0</v>
      </c>
      <c r="T408" s="70">
        <f>'RESUMEN TOTAL'!Z472</f>
        <v>0</v>
      </c>
      <c r="U408" s="70">
        <f>'RESUMEN TOTAL'!AA472</f>
        <v>0</v>
      </c>
      <c r="V408" s="70">
        <f>'RESUMEN TOTAL'!AB472</f>
        <v>0</v>
      </c>
      <c r="W408" s="70">
        <f>'RESUMEN TOTAL'!AC472</f>
        <v>0</v>
      </c>
      <c r="X408" s="70">
        <f>'RESUMEN TOTAL'!AD472</f>
        <v>0</v>
      </c>
      <c r="Y408" s="70">
        <f>'RESUMEN TOTAL'!AE472</f>
        <v>0</v>
      </c>
      <c r="Z408" s="70">
        <f>'RESUMEN TOTAL'!AF472</f>
        <v>0</v>
      </c>
      <c r="AA408" s="70">
        <f>'RESUMEN TOTAL'!AG472</f>
        <v>0</v>
      </c>
      <c r="AB408" s="70">
        <f>'RESUMEN TOTAL'!AH472</f>
        <v>0</v>
      </c>
      <c r="AC408" s="70">
        <f>'RESUMEN TOTAL'!AI472</f>
        <v>0</v>
      </c>
      <c r="AD408" s="70">
        <f>'RESUMEN TOTAL'!AJ472</f>
        <v>0</v>
      </c>
      <c r="AE408" s="70">
        <f>'RESUMEN TOTAL'!AK472</f>
        <v>0</v>
      </c>
      <c r="AF408" s="70">
        <f>'RESUMEN TOTAL'!AL472</f>
        <v>0</v>
      </c>
      <c r="AG408" s="70">
        <f>'RESUMEN TOTAL'!AM472</f>
        <v>0</v>
      </c>
      <c r="AH408" s="70">
        <f>'RESUMEN TOTAL'!AN472</f>
        <v>0</v>
      </c>
      <c r="AI408" s="70">
        <f>'RESUMEN TOTAL'!AO472</f>
        <v>0</v>
      </c>
    </row>
    <row r="409" spans="1:35" x14ac:dyDescent="0.25">
      <c r="A409" t="str">
        <f>'RESUMEN TOTAL'!A473</f>
        <v>VILLA VATTEONE CENTRO</v>
      </c>
      <c r="B409" t="str">
        <f>'RESUMEN TOTAL'!B473</f>
        <v>VAT19</v>
      </c>
      <c r="C409" t="str">
        <f>'RESUMEN TOTAL'!D473</f>
        <v>QUINTANA Y FONROUGE ( TUCUMAN )</v>
      </c>
      <c r="D409" s="30" t="str">
        <f>'RESUMEN TOTAL'!E473</f>
        <v>DOMO</v>
      </c>
      <c r="E409" s="30" t="str">
        <f>'RESUMEN TOTAL'!F473</f>
        <v>Radio</v>
      </c>
      <c r="F409" s="70">
        <f>'RESUMEN TOTAL'!L473</f>
        <v>0</v>
      </c>
      <c r="G409" s="70">
        <f>'RESUMEN TOTAL'!M473</f>
        <v>0</v>
      </c>
      <c r="H409" s="70">
        <f>'RESUMEN TOTAL'!N473</f>
        <v>0</v>
      </c>
      <c r="I409" s="70">
        <f>'RESUMEN TOTAL'!O473</f>
        <v>0</v>
      </c>
      <c r="J409" s="70">
        <f>'RESUMEN TOTAL'!P473</f>
        <v>0</v>
      </c>
      <c r="K409" s="70">
        <f>'RESUMEN TOTAL'!Q473</f>
        <v>0</v>
      </c>
      <c r="L409" s="70">
        <f>'RESUMEN TOTAL'!R473</f>
        <v>0</v>
      </c>
      <c r="M409" s="70">
        <f>'RESUMEN TOTAL'!S473</f>
        <v>0</v>
      </c>
      <c r="N409" s="70">
        <f>'RESUMEN TOTAL'!T473</f>
        <v>0</v>
      </c>
      <c r="O409" s="70">
        <f>'RESUMEN TOTAL'!U473</f>
        <v>0</v>
      </c>
      <c r="P409" s="70">
        <f>'RESUMEN TOTAL'!V473</f>
        <v>0</v>
      </c>
      <c r="Q409" s="70">
        <f>'RESUMEN TOTAL'!W473</f>
        <v>0</v>
      </c>
      <c r="R409" s="70">
        <f>'RESUMEN TOTAL'!X473</f>
        <v>0</v>
      </c>
      <c r="S409" s="70">
        <f>'RESUMEN TOTAL'!Y473</f>
        <v>0</v>
      </c>
      <c r="T409" s="70">
        <f>'RESUMEN TOTAL'!Z473</f>
        <v>0</v>
      </c>
      <c r="U409" s="70">
        <f>'RESUMEN TOTAL'!AA473</f>
        <v>0</v>
      </c>
      <c r="V409" s="70">
        <f>'RESUMEN TOTAL'!AB473</f>
        <v>0</v>
      </c>
      <c r="W409" s="70">
        <f>'RESUMEN TOTAL'!AC473</f>
        <v>0</v>
      </c>
      <c r="X409" s="70">
        <f>'RESUMEN TOTAL'!AD473</f>
        <v>0</v>
      </c>
      <c r="Y409" s="70">
        <f>'RESUMEN TOTAL'!AE473</f>
        <v>0</v>
      </c>
      <c r="Z409" s="70">
        <f>'RESUMEN TOTAL'!AF473</f>
        <v>0</v>
      </c>
      <c r="AA409" s="70">
        <f>'RESUMEN TOTAL'!AG473</f>
        <v>0</v>
      </c>
      <c r="AB409" s="70">
        <f>'RESUMEN TOTAL'!AH473</f>
        <v>0</v>
      </c>
      <c r="AC409" s="70">
        <f>'RESUMEN TOTAL'!AI473</f>
        <v>0</v>
      </c>
      <c r="AD409" s="70">
        <f>'RESUMEN TOTAL'!AJ473</f>
        <v>0</v>
      </c>
      <c r="AE409" s="70">
        <f>'RESUMEN TOTAL'!AK473</f>
        <v>0</v>
      </c>
      <c r="AF409" s="70">
        <f>'RESUMEN TOTAL'!AL473</f>
        <v>0</v>
      </c>
      <c r="AG409" s="70">
        <f>'RESUMEN TOTAL'!AM473</f>
        <v>0</v>
      </c>
      <c r="AH409" s="70">
        <f>'RESUMEN TOTAL'!AN473</f>
        <v>0</v>
      </c>
      <c r="AI409" s="70">
        <f>'RESUMEN TOTAL'!AO473</f>
        <v>0</v>
      </c>
    </row>
    <row r="410" spans="1:35" x14ac:dyDescent="0.25">
      <c r="A410" t="str">
        <f>'RESUMEN TOTAL'!A474</f>
        <v>VILLA VATTEONE</v>
      </c>
      <c r="B410" t="str">
        <f>'RESUMEN TOTAL'!B474</f>
        <v>VAT 20</v>
      </c>
      <c r="C410" t="str">
        <f>'RESUMEN TOTAL'!D474</f>
        <v>URUGUAY Y PILCOMAYO</v>
      </c>
      <c r="D410" s="30" t="str">
        <f>'RESUMEN TOTAL'!E474</f>
        <v>FIJA</v>
      </c>
      <c r="E410" s="30" t="str">
        <f>'RESUMEN TOTAL'!F474</f>
        <v>GPON</v>
      </c>
      <c r="F410" s="70">
        <f>'RESUMEN TOTAL'!L474</f>
        <v>0</v>
      </c>
      <c r="G410" s="70">
        <f>'RESUMEN TOTAL'!M474</f>
        <v>0</v>
      </c>
      <c r="H410" s="70">
        <f>'RESUMEN TOTAL'!N474</f>
        <v>0</v>
      </c>
      <c r="I410" s="70">
        <f>'RESUMEN TOTAL'!O474</f>
        <v>0</v>
      </c>
      <c r="J410" s="70">
        <f>'RESUMEN TOTAL'!P474</f>
        <v>0</v>
      </c>
      <c r="K410" s="70">
        <f>'RESUMEN TOTAL'!Q474</f>
        <v>0</v>
      </c>
      <c r="L410" s="70">
        <f>'RESUMEN TOTAL'!R474</f>
        <v>0</v>
      </c>
      <c r="M410" s="70">
        <f>'RESUMEN TOTAL'!S474</f>
        <v>0</v>
      </c>
      <c r="N410" s="70">
        <f>'RESUMEN TOTAL'!T474</f>
        <v>0</v>
      </c>
      <c r="O410" s="70">
        <f>'RESUMEN TOTAL'!U474</f>
        <v>0</v>
      </c>
      <c r="P410" s="70">
        <f>'RESUMEN TOTAL'!V474</f>
        <v>0</v>
      </c>
      <c r="Q410" s="70">
        <f>'RESUMEN TOTAL'!W474</f>
        <v>0</v>
      </c>
      <c r="R410" s="70">
        <f>'RESUMEN TOTAL'!X474</f>
        <v>0</v>
      </c>
      <c r="S410" s="70">
        <f>'RESUMEN TOTAL'!Y474</f>
        <v>0</v>
      </c>
      <c r="T410" s="70">
        <f>'RESUMEN TOTAL'!Z474</f>
        <v>0</v>
      </c>
      <c r="U410" s="70">
        <f>'RESUMEN TOTAL'!AA474</f>
        <v>0</v>
      </c>
      <c r="V410" s="70">
        <f>'RESUMEN TOTAL'!AB474</f>
        <v>0</v>
      </c>
      <c r="W410" s="70">
        <f>'RESUMEN TOTAL'!AC474</f>
        <v>0</v>
      </c>
      <c r="X410" s="70">
        <f>'RESUMEN TOTAL'!AD474</f>
        <v>0</v>
      </c>
      <c r="Y410" s="70">
        <f>'RESUMEN TOTAL'!AE474</f>
        <v>0</v>
      </c>
      <c r="Z410" s="70">
        <f>'RESUMEN TOTAL'!AF474</f>
        <v>0</v>
      </c>
      <c r="AA410" s="70">
        <f>'RESUMEN TOTAL'!AG474</f>
        <v>0</v>
      </c>
      <c r="AB410" s="70">
        <f>'RESUMEN TOTAL'!AH474</f>
        <v>0</v>
      </c>
      <c r="AC410" s="70">
        <f>'RESUMEN TOTAL'!AI474</f>
        <v>0</v>
      </c>
      <c r="AD410" s="70">
        <f>'RESUMEN TOTAL'!AJ474</f>
        <v>0</v>
      </c>
      <c r="AE410" s="70">
        <f>'RESUMEN TOTAL'!AK474</f>
        <v>0</v>
      </c>
      <c r="AF410" s="70">
        <f>'RESUMEN TOTAL'!AL474</f>
        <v>0</v>
      </c>
      <c r="AG410" s="70">
        <f>'RESUMEN TOTAL'!AM474</f>
        <v>0</v>
      </c>
      <c r="AH410" s="70">
        <f>'RESUMEN TOTAL'!AN474</f>
        <v>0</v>
      </c>
      <c r="AI410" s="70">
        <f>'RESUMEN TOTAL'!AO474</f>
        <v>0</v>
      </c>
    </row>
    <row r="411" spans="1:35" x14ac:dyDescent="0.25">
      <c r="A411" t="str">
        <f>'RESUMEN TOTAL'!A475</f>
        <v>VILLA VATTEONE CENTRO</v>
      </c>
      <c r="B411" t="str">
        <f>'RESUMEN TOTAL'!B475</f>
        <v>VAT 21 (fija 1)</v>
      </c>
      <c r="C411" t="str">
        <f>'RESUMEN TOTAL'!D475</f>
        <v>QUINTANA E/ BELGRANO Y FONROUGE</v>
      </c>
      <c r="D411" s="30" t="str">
        <f>'RESUMEN TOTAL'!E475</f>
        <v>Fija</v>
      </c>
      <c r="E411" s="30" t="str">
        <f>'RESUMEN TOTAL'!F475</f>
        <v>Fibra Optica</v>
      </c>
      <c r="F411" s="70">
        <f>'RESUMEN TOTAL'!L475</f>
        <v>0</v>
      </c>
      <c r="G411" s="70">
        <f>'RESUMEN TOTAL'!M475</f>
        <v>0</v>
      </c>
      <c r="H411" s="70">
        <f>'RESUMEN TOTAL'!N475</f>
        <v>0</v>
      </c>
      <c r="I411" s="70">
        <f>'RESUMEN TOTAL'!O475</f>
        <v>0</v>
      </c>
      <c r="J411" s="70">
        <f>'RESUMEN TOTAL'!P475</f>
        <v>0</v>
      </c>
      <c r="K411" s="70">
        <f>'RESUMEN TOTAL'!Q475</f>
        <v>0</v>
      </c>
      <c r="L411" s="70">
        <f>'RESUMEN TOTAL'!R475</f>
        <v>0</v>
      </c>
      <c r="M411" s="70">
        <f>'RESUMEN TOTAL'!S475</f>
        <v>0</v>
      </c>
      <c r="N411" s="70">
        <f>'RESUMEN TOTAL'!T475</f>
        <v>0</v>
      </c>
      <c r="O411" s="70">
        <f>'RESUMEN TOTAL'!U475</f>
        <v>0</v>
      </c>
      <c r="P411" s="70">
        <f>'RESUMEN TOTAL'!V475</f>
        <v>0</v>
      </c>
      <c r="Q411" s="70">
        <f>'RESUMEN TOTAL'!W475</f>
        <v>0</v>
      </c>
      <c r="R411" s="70">
        <f>'RESUMEN TOTAL'!X475</f>
        <v>0</v>
      </c>
      <c r="S411" s="70">
        <f>'RESUMEN TOTAL'!Y475</f>
        <v>0</v>
      </c>
      <c r="T411" s="70">
        <f>'RESUMEN TOTAL'!Z475</f>
        <v>0</v>
      </c>
      <c r="U411" s="70">
        <f>'RESUMEN TOTAL'!AA475</f>
        <v>0</v>
      </c>
      <c r="V411" s="70">
        <f>'RESUMEN TOTAL'!AB475</f>
        <v>0</v>
      </c>
      <c r="W411" s="70">
        <f>'RESUMEN TOTAL'!AC475</f>
        <v>0</v>
      </c>
      <c r="X411" s="70">
        <f>'RESUMEN TOTAL'!AD475</f>
        <v>0</v>
      </c>
      <c r="Y411" s="70">
        <f>'RESUMEN TOTAL'!AE475</f>
        <v>0</v>
      </c>
      <c r="Z411" s="70">
        <f>'RESUMEN TOTAL'!AF475</f>
        <v>0</v>
      </c>
      <c r="AA411" s="70">
        <f>'RESUMEN TOTAL'!AG475</f>
        <v>0</v>
      </c>
      <c r="AB411" s="70">
        <f>'RESUMEN TOTAL'!AH475</f>
        <v>0</v>
      </c>
      <c r="AC411" s="70">
        <f>'RESUMEN TOTAL'!AI475</f>
        <v>0</v>
      </c>
      <c r="AD411" s="70">
        <f>'RESUMEN TOTAL'!AJ475</f>
        <v>0</v>
      </c>
      <c r="AE411" s="70">
        <f>'RESUMEN TOTAL'!AK475</f>
        <v>0</v>
      </c>
      <c r="AF411" s="70">
        <f>'RESUMEN TOTAL'!AL475</f>
        <v>0</v>
      </c>
      <c r="AG411" s="70">
        <f>'RESUMEN TOTAL'!AM475</f>
        <v>0</v>
      </c>
      <c r="AH411" s="70">
        <f>'RESUMEN TOTAL'!AN475</f>
        <v>0</v>
      </c>
      <c r="AI411" s="70">
        <f>'RESUMEN TOTAL'!AO475</f>
        <v>0</v>
      </c>
    </row>
    <row r="412" spans="1:35" x14ac:dyDescent="0.25">
      <c r="A412" t="str">
        <f>'RESUMEN TOTAL'!A476</f>
        <v>VILLA VATTEONE CENTRO</v>
      </c>
      <c r="B412" t="str">
        <f>'RESUMEN TOTAL'!B476</f>
        <v>VAT 22 (fija 2)</v>
      </c>
      <c r="C412" t="str">
        <f>'RESUMEN TOTAL'!D476</f>
        <v>QUINTANA E/ BELGRANO Y FONROUGE</v>
      </c>
      <c r="D412" s="30" t="str">
        <f>'RESUMEN TOTAL'!E476</f>
        <v>Fija</v>
      </c>
      <c r="E412" s="30" t="str">
        <f>'RESUMEN TOTAL'!F476</f>
        <v>Fibra Optica</v>
      </c>
      <c r="F412" s="70">
        <f>'RESUMEN TOTAL'!L476</f>
        <v>0</v>
      </c>
      <c r="G412" s="70">
        <f>'RESUMEN TOTAL'!M476</f>
        <v>0</v>
      </c>
      <c r="H412" s="70">
        <f>'RESUMEN TOTAL'!N476</f>
        <v>0</v>
      </c>
      <c r="I412" s="70">
        <f>'RESUMEN TOTAL'!O476</f>
        <v>0</v>
      </c>
      <c r="J412" s="70">
        <f>'RESUMEN TOTAL'!P476</f>
        <v>0</v>
      </c>
      <c r="K412" s="70">
        <f>'RESUMEN TOTAL'!Q476</f>
        <v>0</v>
      </c>
      <c r="L412" s="70">
        <f>'RESUMEN TOTAL'!R476</f>
        <v>0</v>
      </c>
      <c r="M412" s="70">
        <f>'RESUMEN TOTAL'!S476</f>
        <v>0</v>
      </c>
      <c r="N412" s="70">
        <f>'RESUMEN TOTAL'!T476</f>
        <v>0</v>
      </c>
      <c r="O412" s="70">
        <f>'RESUMEN TOTAL'!U476</f>
        <v>0</v>
      </c>
      <c r="P412" s="70">
        <f>'RESUMEN TOTAL'!V476</f>
        <v>0</v>
      </c>
      <c r="Q412" s="70">
        <f>'RESUMEN TOTAL'!W476</f>
        <v>0</v>
      </c>
      <c r="R412" s="70">
        <f>'RESUMEN TOTAL'!X476</f>
        <v>0</v>
      </c>
      <c r="S412" s="70">
        <f>'RESUMEN TOTAL'!Y476</f>
        <v>0</v>
      </c>
      <c r="T412" s="70">
        <f>'RESUMEN TOTAL'!Z476</f>
        <v>0</v>
      </c>
      <c r="U412" s="70">
        <f>'RESUMEN TOTAL'!AA476</f>
        <v>0</v>
      </c>
      <c r="V412" s="70">
        <f>'RESUMEN TOTAL'!AB476</f>
        <v>0</v>
      </c>
      <c r="W412" s="70">
        <f>'RESUMEN TOTAL'!AC476</f>
        <v>0</v>
      </c>
      <c r="X412" s="70">
        <f>'RESUMEN TOTAL'!AD476</f>
        <v>0</v>
      </c>
      <c r="Y412" s="70">
        <f>'RESUMEN TOTAL'!AE476</f>
        <v>0</v>
      </c>
      <c r="Z412" s="70">
        <f>'RESUMEN TOTAL'!AF476</f>
        <v>0</v>
      </c>
      <c r="AA412" s="70">
        <f>'RESUMEN TOTAL'!AG476</f>
        <v>0</v>
      </c>
      <c r="AB412" s="70">
        <f>'RESUMEN TOTAL'!AH476</f>
        <v>0</v>
      </c>
      <c r="AC412" s="70">
        <f>'RESUMEN TOTAL'!AI476</f>
        <v>0</v>
      </c>
      <c r="AD412" s="70">
        <f>'RESUMEN TOTAL'!AJ476</f>
        <v>0</v>
      </c>
      <c r="AE412" s="70">
        <f>'RESUMEN TOTAL'!AK476</f>
        <v>0</v>
      </c>
      <c r="AF412" s="70">
        <f>'RESUMEN TOTAL'!AL476</f>
        <v>0</v>
      </c>
      <c r="AG412" s="70">
        <f>'RESUMEN TOTAL'!AM476</f>
        <v>0</v>
      </c>
      <c r="AH412" s="70">
        <f>'RESUMEN TOTAL'!AN476</f>
        <v>0</v>
      </c>
      <c r="AI412" s="70">
        <f>'RESUMEN TOTAL'!AO476</f>
        <v>0</v>
      </c>
    </row>
    <row r="413" spans="1:35" x14ac:dyDescent="0.25">
      <c r="A413" t="str">
        <f>'RESUMEN TOTAL'!A477</f>
        <v>VILLA VATTEONE CENTRO</v>
      </c>
      <c r="B413" t="str">
        <f>'RESUMEN TOTAL'!B477</f>
        <v>VAT23 (fija 1)</v>
      </c>
      <c r="C413" t="str">
        <f>'RESUMEN TOTAL'!D477</f>
        <v>EVA PERON Y "EL TUNEL" (BAJO NIVEL)</v>
      </c>
      <c r="D413" s="30" t="str">
        <f>'RESUMEN TOTAL'!E477</f>
        <v>Fija</v>
      </c>
      <c r="E413" s="30" t="str">
        <f>'RESUMEN TOTAL'!F477</f>
        <v>Fibra Optica</v>
      </c>
      <c r="F413" s="70">
        <f>'RESUMEN TOTAL'!L477</f>
        <v>0</v>
      </c>
      <c r="G413" s="70">
        <f>'RESUMEN TOTAL'!M477</f>
        <v>0</v>
      </c>
      <c r="H413" s="70">
        <f>'RESUMEN TOTAL'!N477</f>
        <v>0</v>
      </c>
      <c r="I413" s="70">
        <f>'RESUMEN TOTAL'!O477</f>
        <v>0</v>
      </c>
      <c r="J413" s="70">
        <f>'RESUMEN TOTAL'!P477</f>
        <v>0</v>
      </c>
      <c r="K413" s="70">
        <f>'RESUMEN TOTAL'!Q477</f>
        <v>0</v>
      </c>
      <c r="L413" s="70">
        <f>'RESUMEN TOTAL'!R477</f>
        <v>0</v>
      </c>
      <c r="M413" s="70">
        <f>'RESUMEN TOTAL'!S477</f>
        <v>0</v>
      </c>
      <c r="N413" s="70">
        <f>'RESUMEN TOTAL'!T477</f>
        <v>0</v>
      </c>
      <c r="O413" s="70">
        <f>'RESUMEN TOTAL'!U477</f>
        <v>0</v>
      </c>
      <c r="P413" s="70">
        <f>'RESUMEN TOTAL'!V477</f>
        <v>0</v>
      </c>
      <c r="Q413" s="70">
        <f>'RESUMEN TOTAL'!W477</f>
        <v>0</v>
      </c>
      <c r="R413" s="70">
        <f>'RESUMEN TOTAL'!X477</f>
        <v>0</v>
      </c>
      <c r="S413" s="70">
        <f>'RESUMEN TOTAL'!Y477</f>
        <v>0</v>
      </c>
      <c r="T413" s="70">
        <f>'RESUMEN TOTAL'!Z477</f>
        <v>0</v>
      </c>
      <c r="U413" s="70">
        <f>'RESUMEN TOTAL'!AA477</f>
        <v>0</v>
      </c>
      <c r="V413" s="70">
        <f>'RESUMEN TOTAL'!AB477</f>
        <v>0</v>
      </c>
      <c r="W413" s="70">
        <f>'RESUMEN TOTAL'!AC477</f>
        <v>0</v>
      </c>
      <c r="X413" s="70">
        <f>'RESUMEN TOTAL'!AD477</f>
        <v>0</v>
      </c>
      <c r="Y413" s="70">
        <f>'RESUMEN TOTAL'!AE477</f>
        <v>0</v>
      </c>
      <c r="Z413" s="70">
        <f>'RESUMEN TOTAL'!AF477</f>
        <v>0</v>
      </c>
      <c r="AA413" s="70">
        <f>'RESUMEN TOTAL'!AG477</f>
        <v>0</v>
      </c>
      <c r="AB413" s="70">
        <f>'RESUMEN TOTAL'!AH477</f>
        <v>0</v>
      </c>
      <c r="AC413" s="70">
        <f>'RESUMEN TOTAL'!AI477</f>
        <v>0</v>
      </c>
      <c r="AD413" s="70">
        <f>'RESUMEN TOTAL'!AJ477</f>
        <v>0</v>
      </c>
      <c r="AE413" s="70">
        <f>'RESUMEN TOTAL'!AK477</f>
        <v>0</v>
      </c>
      <c r="AF413" s="70">
        <f>'RESUMEN TOTAL'!AL477</f>
        <v>0</v>
      </c>
      <c r="AG413" s="70">
        <f>'RESUMEN TOTAL'!AM477</f>
        <v>0</v>
      </c>
      <c r="AH413" s="70">
        <f>'RESUMEN TOTAL'!AN477</f>
        <v>0</v>
      </c>
      <c r="AI413" s="70">
        <f>'RESUMEN TOTAL'!AO477</f>
        <v>0</v>
      </c>
    </row>
    <row r="414" spans="1:35" x14ac:dyDescent="0.25">
      <c r="A414" t="str">
        <f>'RESUMEN TOTAL'!A478</f>
        <v>VILLA VATTEONE CENTRO</v>
      </c>
      <c r="B414" t="str">
        <f>'RESUMEN TOTAL'!B478</f>
        <v>VAT24 (fija 2)</v>
      </c>
      <c r="C414" t="str">
        <f>'RESUMEN TOTAL'!D478</f>
        <v>EVA PERON Y "EL TUNEL" (BAJO NIVEL)</v>
      </c>
      <c r="D414" s="30" t="str">
        <f>'RESUMEN TOTAL'!E478</f>
        <v>Fija</v>
      </c>
      <c r="E414" s="30" t="str">
        <f>'RESUMEN TOTAL'!F478</f>
        <v>Fibra Optica</v>
      </c>
      <c r="F414" s="70">
        <f>'RESUMEN TOTAL'!L478</f>
        <v>0</v>
      </c>
      <c r="G414" s="70">
        <f>'RESUMEN TOTAL'!M478</f>
        <v>0</v>
      </c>
      <c r="H414" s="70">
        <f>'RESUMEN TOTAL'!N478</f>
        <v>0</v>
      </c>
      <c r="I414" s="70">
        <f>'RESUMEN TOTAL'!O478</f>
        <v>0</v>
      </c>
      <c r="J414" s="70">
        <f>'RESUMEN TOTAL'!P478</f>
        <v>0</v>
      </c>
      <c r="K414" s="70">
        <f>'RESUMEN TOTAL'!Q478</f>
        <v>0</v>
      </c>
      <c r="L414" s="70">
        <f>'RESUMEN TOTAL'!R478</f>
        <v>0</v>
      </c>
      <c r="M414" s="70">
        <f>'RESUMEN TOTAL'!S478</f>
        <v>0</v>
      </c>
      <c r="N414" s="70">
        <f>'RESUMEN TOTAL'!T478</f>
        <v>0</v>
      </c>
      <c r="O414" s="70">
        <f>'RESUMEN TOTAL'!U478</f>
        <v>0</v>
      </c>
      <c r="P414" s="70">
        <f>'RESUMEN TOTAL'!V478</f>
        <v>0</v>
      </c>
      <c r="Q414" s="70">
        <f>'RESUMEN TOTAL'!W478</f>
        <v>0</v>
      </c>
      <c r="R414" s="70">
        <f>'RESUMEN TOTAL'!X478</f>
        <v>0</v>
      </c>
      <c r="S414" s="70">
        <f>'RESUMEN TOTAL'!Y478</f>
        <v>0</v>
      </c>
      <c r="T414" s="70">
        <f>'RESUMEN TOTAL'!Z478</f>
        <v>0</v>
      </c>
      <c r="U414" s="70">
        <f>'RESUMEN TOTAL'!AA478</f>
        <v>0</v>
      </c>
      <c r="V414" s="70">
        <f>'RESUMEN TOTAL'!AB478</f>
        <v>0</v>
      </c>
      <c r="W414" s="70">
        <f>'RESUMEN TOTAL'!AC478</f>
        <v>0</v>
      </c>
      <c r="X414" s="70">
        <f>'RESUMEN TOTAL'!AD478</f>
        <v>0</v>
      </c>
      <c r="Y414" s="70">
        <f>'RESUMEN TOTAL'!AE478</f>
        <v>0</v>
      </c>
      <c r="Z414" s="70">
        <f>'RESUMEN TOTAL'!AF478</f>
        <v>0</v>
      </c>
      <c r="AA414" s="70">
        <f>'RESUMEN TOTAL'!AG478</f>
        <v>0</v>
      </c>
      <c r="AB414" s="70">
        <f>'RESUMEN TOTAL'!AH478</f>
        <v>0</v>
      </c>
      <c r="AC414" s="70">
        <f>'RESUMEN TOTAL'!AI478</f>
        <v>0</v>
      </c>
      <c r="AD414" s="70">
        <f>'RESUMEN TOTAL'!AJ478</f>
        <v>0</v>
      </c>
      <c r="AE414" s="70">
        <f>'RESUMEN TOTAL'!AK478</f>
        <v>0</v>
      </c>
      <c r="AF414" s="70">
        <f>'RESUMEN TOTAL'!AL478</f>
        <v>0</v>
      </c>
      <c r="AG414" s="70">
        <f>'RESUMEN TOTAL'!AM478</f>
        <v>0</v>
      </c>
      <c r="AH414" s="70">
        <f>'RESUMEN TOTAL'!AN478</f>
        <v>0</v>
      </c>
      <c r="AI414" s="70">
        <f>'RESUMEN TOTAL'!AO478</f>
        <v>0</v>
      </c>
    </row>
    <row r="415" spans="1:35" x14ac:dyDescent="0.25">
      <c r="A415" t="str">
        <f>'RESUMEN TOTAL'!A479</f>
        <v>VILLA VATTEONE CENTRO</v>
      </c>
      <c r="B415" t="str">
        <f>'RESUMEN TOTAL'!B479</f>
        <v>VAT 25</v>
      </c>
      <c r="C415" t="str">
        <f>'RESUMEN TOTAL'!D479</f>
        <v>Mainini y Uruguay</v>
      </c>
      <c r="D415" s="30" t="str">
        <f>'RESUMEN TOTAL'!E479</f>
        <v>Fija</v>
      </c>
      <c r="E415" s="30" t="str">
        <f>'RESUMEN TOTAL'!F479</f>
        <v>Fibra Optica</v>
      </c>
      <c r="F415" s="70">
        <f>'RESUMEN TOTAL'!L479</f>
        <v>0</v>
      </c>
      <c r="G415" s="70">
        <f>'RESUMEN TOTAL'!M479</f>
        <v>0</v>
      </c>
      <c r="H415" s="70">
        <f>'RESUMEN TOTAL'!N479</f>
        <v>0</v>
      </c>
      <c r="I415" s="70">
        <f>'RESUMEN TOTAL'!O479</f>
        <v>0</v>
      </c>
      <c r="J415" s="70">
        <f>'RESUMEN TOTAL'!P479</f>
        <v>0</v>
      </c>
      <c r="K415" s="70">
        <f>'RESUMEN TOTAL'!Q479</f>
        <v>0</v>
      </c>
      <c r="L415" s="70">
        <f>'RESUMEN TOTAL'!R479</f>
        <v>0</v>
      </c>
      <c r="M415" s="70">
        <f>'RESUMEN TOTAL'!S479</f>
        <v>0</v>
      </c>
      <c r="N415" s="70">
        <f>'RESUMEN TOTAL'!T479</f>
        <v>0</v>
      </c>
      <c r="O415" s="70">
        <f>'RESUMEN TOTAL'!U479</f>
        <v>0</v>
      </c>
      <c r="P415" s="70">
        <f>'RESUMEN TOTAL'!V479</f>
        <v>0</v>
      </c>
      <c r="Q415" s="70">
        <f>'RESUMEN TOTAL'!W479</f>
        <v>0</v>
      </c>
      <c r="R415" s="70">
        <f>'RESUMEN TOTAL'!X479</f>
        <v>0</v>
      </c>
      <c r="S415" s="70">
        <f>'RESUMEN TOTAL'!Y479</f>
        <v>0</v>
      </c>
      <c r="T415" s="70">
        <f>'RESUMEN TOTAL'!Z479</f>
        <v>0</v>
      </c>
      <c r="U415" s="70">
        <f>'RESUMEN TOTAL'!AA479</f>
        <v>0</v>
      </c>
      <c r="V415" s="70">
        <f>'RESUMEN TOTAL'!AB479</f>
        <v>0</v>
      </c>
      <c r="W415" s="70">
        <f>'RESUMEN TOTAL'!AC479</f>
        <v>0</v>
      </c>
      <c r="X415" s="70">
        <f>'RESUMEN TOTAL'!AD479</f>
        <v>0</v>
      </c>
      <c r="Y415" s="70">
        <f>'RESUMEN TOTAL'!AE479</f>
        <v>0</v>
      </c>
      <c r="Z415" s="70">
        <f>'RESUMEN TOTAL'!AF479</f>
        <v>0</v>
      </c>
      <c r="AA415" s="70">
        <f>'RESUMEN TOTAL'!AG479</f>
        <v>0</v>
      </c>
      <c r="AB415" s="70">
        <f>'RESUMEN TOTAL'!AH479</f>
        <v>0</v>
      </c>
      <c r="AC415" s="70">
        <f>'RESUMEN TOTAL'!AI479</f>
        <v>0</v>
      </c>
      <c r="AD415" s="70">
        <f>'RESUMEN TOTAL'!AJ479</f>
        <v>0</v>
      </c>
      <c r="AE415" s="70">
        <f>'RESUMEN TOTAL'!AK479</f>
        <v>0</v>
      </c>
      <c r="AF415" s="70">
        <f>'RESUMEN TOTAL'!AL479</f>
        <v>0</v>
      </c>
      <c r="AG415" s="70">
        <f>'RESUMEN TOTAL'!AM479</f>
        <v>0</v>
      </c>
      <c r="AH415" s="70">
        <f>'RESUMEN TOTAL'!AN479</f>
        <v>0</v>
      </c>
      <c r="AI415" s="70">
        <f>'RESUMEN TOTAL'!AO479</f>
        <v>0</v>
      </c>
    </row>
    <row r="416" spans="1:35" x14ac:dyDescent="0.25">
      <c r="A416" t="str">
        <f>'RESUMEN TOTAL'!A480</f>
        <v>VILLA VATTEONE CENTRO</v>
      </c>
      <c r="B416" t="str">
        <f>'RESUMEN TOTAL'!B480</f>
        <v>VAT 26</v>
      </c>
      <c r="C416" t="str">
        <f>'RESUMEN TOTAL'!D480</f>
        <v>Mainini y Uruguay</v>
      </c>
      <c r="D416" s="30" t="str">
        <f>'RESUMEN TOTAL'!E480</f>
        <v>fija</v>
      </c>
      <c r="E416" s="30" t="str">
        <f>'RESUMEN TOTAL'!F480</f>
        <v>Fibra Optica</v>
      </c>
      <c r="F416" s="70">
        <f>'RESUMEN TOTAL'!L480</f>
        <v>0</v>
      </c>
      <c r="G416" s="70">
        <f>'RESUMEN TOTAL'!M480</f>
        <v>0</v>
      </c>
      <c r="H416" s="70">
        <f>'RESUMEN TOTAL'!N480</f>
        <v>0</v>
      </c>
      <c r="I416" s="70">
        <f>'RESUMEN TOTAL'!O480</f>
        <v>0</v>
      </c>
      <c r="J416" s="70">
        <f>'RESUMEN TOTAL'!P480</f>
        <v>0</v>
      </c>
      <c r="K416" s="70">
        <f>'RESUMEN TOTAL'!Q480</f>
        <v>0</v>
      </c>
      <c r="L416" s="70">
        <f>'RESUMEN TOTAL'!R480</f>
        <v>0</v>
      </c>
      <c r="M416" s="70">
        <f>'RESUMEN TOTAL'!S480</f>
        <v>0</v>
      </c>
      <c r="N416" s="70">
        <f>'RESUMEN TOTAL'!T480</f>
        <v>0</v>
      </c>
      <c r="O416" s="70">
        <f>'RESUMEN TOTAL'!U480</f>
        <v>0</v>
      </c>
      <c r="P416" s="70">
        <f>'RESUMEN TOTAL'!V480</f>
        <v>0</v>
      </c>
      <c r="Q416" s="70">
        <f>'RESUMEN TOTAL'!W480</f>
        <v>0</v>
      </c>
      <c r="R416" s="70">
        <f>'RESUMEN TOTAL'!X480</f>
        <v>0</v>
      </c>
      <c r="S416" s="70">
        <f>'RESUMEN TOTAL'!Y480</f>
        <v>0</v>
      </c>
      <c r="T416" s="70">
        <f>'RESUMEN TOTAL'!Z480</f>
        <v>0</v>
      </c>
      <c r="U416" s="70">
        <f>'RESUMEN TOTAL'!AA480</f>
        <v>0</v>
      </c>
      <c r="V416" s="70">
        <f>'RESUMEN TOTAL'!AB480</f>
        <v>0</v>
      </c>
      <c r="W416" s="70">
        <f>'RESUMEN TOTAL'!AC480</f>
        <v>0</v>
      </c>
      <c r="X416" s="70">
        <f>'RESUMEN TOTAL'!AD480</f>
        <v>0</v>
      </c>
      <c r="Y416" s="70">
        <f>'RESUMEN TOTAL'!AE480</f>
        <v>0</v>
      </c>
      <c r="Z416" s="70">
        <f>'RESUMEN TOTAL'!AF480</f>
        <v>0</v>
      </c>
      <c r="AA416" s="70">
        <f>'RESUMEN TOTAL'!AG480</f>
        <v>0</v>
      </c>
      <c r="AB416" s="70">
        <f>'RESUMEN TOTAL'!AH480</f>
        <v>0</v>
      </c>
      <c r="AC416" s="70">
        <f>'RESUMEN TOTAL'!AI480</f>
        <v>0</v>
      </c>
      <c r="AD416" s="70">
        <f>'RESUMEN TOTAL'!AJ480</f>
        <v>0</v>
      </c>
      <c r="AE416" s="70">
        <f>'RESUMEN TOTAL'!AK480</f>
        <v>0</v>
      </c>
      <c r="AF416" s="70">
        <f>'RESUMEN TOTAL'!AL480</f>
        <v>0</v>
      </c>
      <c r="AG416" s="70">
        <f>'RESUMEN TOTAL'!AM480</f>
        <v>0</v>
      </c>
      <c r="AH416" s="70">
        <f>'RESUMEN TOTAL'!AN480</f>
        <v>0</v>
      </c>
      <c r="AI416" s="70">
        <f>'RESUMEN TOTAL'!AO480</f>
        <v>0</v>
      </c>
    </row>
    <row r="417" spans="1:35" x14ac:dyDescent="0.25">
      <c r="A417" t="str">
        <f>'RESUMEN TOTAL'!A481</f>
        <v>VILLA VATTEONE</v>
      </c>
      <c r="B417" t="str">
        <f>'RESUMEN TOTAL'!B481</f>
        <v>VAT 27</v>
      </c>
      <c r="C417" t="str">
        <f>'RESUMEN TOTAL'!D481</f>
        <v>12 DE OCTUBRE Y ROSARIO</v>
      </c>
      <c r="D417" s="30" t="str">
        <f>'RESUMEN TOTAL'!E481</f>
        <v>DOMO</v>
      </c>
      <c r="E417" s="30" t="str">
        <f>'RESUMEN TOTAL'!F481</f>
        <v>GPON</v>
      </c>
      <c r="F417" s="70">
        <f>'RESUMEN TOTAL'!L481</f>
        <v>0</v>
      </c>
      <c r="G417" s="70">
        <f>'RESUMEN TOTAL'!M481</f>
        <v>0</v>
      </c>
      <c r="H417" s="70">
        <f>'RESUMEN TOTAL'!N481</f>
        <v>0</v>
      </c>
      <c r="I417" s="70">
        <f>'RESUMEN TOTAL'!O481</f>
        <v>0</v>
      </c>
      <c r="J417" s="70">
        <f>'RESUMEN TOTAL'!P481</f>
        <v>0</v>
      </c>
      <c r="K417" s="70">
        <f>'RESUMEN TOTAL'!Q481</f>
        <v>0</v>
      </c>
      <c r="L417" s="70">
        <f>'RESUMEN TOTAL'!R481</f>
        <v>0</v>
      </c>
      <c r="M417" s="70">
        <f>'RESUMEN TOTAL'!S481</f>
        <v>0</v>
      </c>
      <c r="N417" s="70">
        <f>'RESUMEN TOTAL'!T481</f>
        <v>0</v>
      </c>
      <c r="O417" s="70">
        <f>'RESUMEN TOTAL'!U481</f>
        <v>0</v>
      </c>
      <c r="P417" s="70">
        <f>'RESUMEN TOTAL'!V481</f>
        <v>0</v>
      </c>
      <c r="Q417" s="70">
        <f>'RESUMEN TOTAL'!W481</f>
        <v>0</v>
      </c>
      <c r="R417" s="70">
        <f>'RESUMEN TOTAL'!X481</f>
        <v>0</v>
      </c>
      <c r="S417" s="70">
        <f>'RESUMEN TOTAL'!Y481</f>
        <v>0</v>
      </c>
      <c r="T417" s="70">
        <f>'RESUMEN TOTAL'!Z481</f>
        <v>0</v>
      </c>
      <c r="U417" s="70">
        <f>'RESUMEN TOTAL'!AA481</f>
        <v>0</v>
      </c>
      <c r="V417" s="70">
        <f>'RESUMEN TOTAL'!AB481</f>
        <v>0</v>
      </c>
      <c r="W417" s="70">
        <f>'RESUMEN TOTAL'!AC481</f>
        <v>0</v>
      </c>
      <c r="X417" s="70">
        <f>'RESUMEN TOTAL'!AD481</f>
        <v>0</v>
      </c>
      <c r="Y417" s="70">
        <f>'RESUMEN TOTAL'!AE481</f>
        <v>0</v>
      </c>
      <c r="Z417" s="70">
        <f>'RESUMEN TOTAL'!AF481</f>
        <v>0</v>
      </c>
      <c r="AA417" s="70">
        <f>'RESUMEN TOTAL'!AG481</f>
        <v>0</v>
      </c>
      <c r="AB417" s="70">
        <f>'RESUMEN TOTAL'!AH481</f>
        <v>0</v>
      </c>
      <c r="AC417" s="70">
        <f>'RESUMEN TOTAL'!AI481</f>
        <v>0</v>
      </c>
      <c r="AD417" s="70">
        <f>'RESUMEN TOTAL'!AJ481</f>
        <v>0</v>
      </c>
      <c r="AE417" s="70">
        <f>'RESUMEN TOTAL'!AK481</f>
        <v>0</v>
      </c>
      <c r="AF417" s="70">
        <f>'RESUMEN TOTAL'!AL481</f>
        <v>0</v>
      </c>
      <c r="AG417" s="70">
        <f>'RESUMEN TOTAL'!AM481</f>
        <v>0</v>
      </c>
      <c r="AH417" s="70">
        <f>'RESUMEN TOTAL'!AN481</f>
        <v>0</v>
      </c>
      <c r="AI417" s="70">
        <f>'RESUMEN TOTAL'!AO481</f>
        <v>0</v>
      </c>
    </row>
    <row r="418" spans="1:35" x14ac:dyDescent="0.25">
      <c r="A418" t="str">
        <f>'RESUMEN TOTAL'!A485</f>
        <v>VILLA AURORA</v>
      </c>
      <c r="B418" t="str">
        <f>'RESUMEN TOTAL'!B485</f>
        <v>VAU 01</v>
      </c>
      <c r="C418" t="str">
        <f>'RESUMEN TOTAL'!D485</f>
        <v>San Martin y Monteverde</v>
      </c>
      <c r="D418" s="30" t="str">
        <f>'RESUMEN TOTAL'!E485</f>
        <v>Domo</v>
      </c>
      <c r="E418" s="30" t="str">
        <f>'RESUMEN TOTAL'!F485</f>
        <v>Fibra Optica</v>
      </c>
      <c r="F418" s="70">
        <f>'RESUMEN TOTAL'!L485</f>
        <v>0</v>
      </c>
      <c r="G418" s="70">
        <f>'RESUMEN TOTAL'!M485</f>
        <v>0</v>
      </c>
      <c r="H418" s="70">
        <f>'RESUMEN TOTAL'!N485</f>
        <v>0</v>
      </c>
      <c r="I418" s="70">
        <f>'RESUMEN TOTAL'!O485</f>
        <v>0</v>
      </c>
      <c r="J418" s="70">
        <f>'RESUMEN TOTAL'!P485</f>
        <v>0</v>
      </c>
      <c r="K418" s="70">
        <f>'RESUMEN TOTAL'!Q485</f>
        <v>0</v>
      </c>
      <c r="L418" s="70">
        <f>'RESUMEN TOTAL'!R485</f>
        <v>0</v>
      </c>
      <c r="M418" s="70">
        <f>'RESUMEN TOTAL'!S485</f>
        <v>0</v>
      </c>
      <c r="N418" s="70">
        <f>'RESUMEN TOTAL'!T485</f>
        <v>0</v>
      </c>
      <c r="O418" s="70">
        <f>'RESUMEN TOTAL'!U485</f>
        <v>0</v>
      </c>
      <c r="P418" s="70">
        <f>'RESUMEN TOTAL'!V485</f>
        <v>0</v>
      </c>
      <c r="Q418" s="70">
        <f>'RESUMEN TOTAL'!W485</f>
        <v>0</v>
      </c>
      <c r="R418" s="70">
        <f>'RESUMEN TOTAL'!X485</f>
        <v>0</v>
      </c>
      <c r="S418" s="70">
        <f>'RESUMEN TOTAL'!Y485</f>
        <v>0</v>
      </c>
      <c r="T418" s="70">
        <f>'RESUMEN TOTAL'!Z485</f>
        <v>0</v>
      </c>
      <c r="U418" s="70">
        <f>'RESUMEN TOTAL'!AA485</f>
        <v>0</v>
      </c>
      <c r="V418" s="70">
        <f>'RESUMEN TOTAL'!AB485</f>
        <v>0</v>
      </c>
      <c r="W418" s="70">
        <f>'RESUMEN TOTAL'!AC485</f>
        <v>0</v>
      </c>
      <c r="X418" s="70">
        <f>'RESUMEN TOTAL'!AD485</f>
        <v>0</v>
      </c>
      <c r="Y418" s="70">
        <f>'RESUMEN TOTAL'!AE485</f>
        <v>0</v>
      </c>
      <c r="Z418" s="70">
        <f>'RESUMEN TOTAL'!AF485</f>
        <v>0</v>
      </c>
      <c r="AA418" s="70">
        <f>'RESUMEN TOTAL'!AG485</f>
        <v>0</v>
      </c>
      <c r="AB418" s="70">
        <f>'RESUMEN TOTAL'!AH485</f>
        <v>0</v>
      </c>
      <c r="AC418" s="70">
        <f>'RESUMEN TOTAL'!AI485</f>
        <v>0</v>
      </c>
      <c r="AD418" s="70">
        <f>'RESUMEN TOTAL'!AJ485</f>
        <v>0</v>
      </c>
      <c r="AE418" s="70">
        <f>'RESUMEN TOTAL'!AK485</f>
        <v>0</v>
      </c>
      <c r="AF418" s="70">
        <f>'RESUMEN TOTAL'!AL485</f>
        <v>0</v>
      </c>
      <c r="AG418" s="70">
        <f>'RESUMEN TOTAL'!AM485</f>
        <v>0</v>
      </c>
      <c r="AH418" s="70">
        <f>'RESUMEN TOTAL'!AN485</f>
        <v>0</v>
      </c>
      <c r="AI418" s="70">
        <f>'RESUMEN TOTAL'!AO485</f>
        <v>0</v>
      </c>
    </row>
    <row r="419" spans="1:35" x14ac:dyDescent="0.25">
      <c r="A419" t="str">
        <f>'RESUMEN TOTAL'!A486</f>
        <v>SAN EMILIO</v>
      </c>
      <c r="B419" t="str">
        <f>'RESUMEN TOTAL'!B486</f>
        <v>VAU 02</v>
      </c>
      <c r="C419" t="str">
        <f>'RESUMEN TOTAL'!D486</f>
        <v>San Martin y Lope de Vega</v>
      </c>
      <c r="D419" s="30" t="str">
        <f>'RESUMEN TOTAL'!E486</f>
        <v>Domo</v>
      </c>
      <c r="E419" s="30" t="str">
        <f>'RESUMEN TOTAL'!F486</f>
        <v>Fibra Optica</v>
      </c>
      <c r="F419" s="70">
        <f>'RESUMEN TOTAL'!L486</f>
        <v>0</v>
      </c>
      <c r="G419" s="70">
        <f>'RESUMEN TOTAL'!M486</f>
        <v>0</v>
      </c>
      <c r="H419" s="70">
        <f>'RESUMEN TOTAL'!N486</f>
        <v>0</v>
      </c>
      <c r="I419" s="70">
        <f>'RESUMEN TOTAL'!O486</f>
        <v>0</v>
      </c>
      <c r="J419" s="70">
        <f>'RESUMEN TOTAL'!P486</f>
        <v>0</v>
      </c>
      <c r="K419" s="70">
        <f>'RESUMEN TOTAL'!Q486</f>
        <v>0</v>
      </c>
      <c r="L419" s="70">
        <f>'RESUMEN TOTAL'!R486</f>
        <v>0</v>
      </c>
      <c r="M419" s="70">
        <f>'RESUMEN TOTAL'!S486</f>
        <v>0</v>
      </c>
      <c r="N419" s="70">
        <f>'RESUMEN TOTAL'!T486</f>
        <v>0</v>
      </c>
      <c r="O419" s="70">
        <f>'RESUMEN TOTAL'!U486</f>
        <v>0</v>
      </c>
      <c r="P419" s="70">
        <f>'RESUMEN TOTAL'!V486</f>
        <v>0</v>
      </c>
      <c r="Q419" s="70">
        <f>'RESUMEN TOTAL'!W486</f>
        <v>0</v>
      </c>
      <c r="R419" s="70">
        <f>'RESUMEN TOTAL'!X486</f>
        <v>0</v>
      </c>
      <c r="S419" s="70">
        <f>'RESUMEN TOTAL'!Y486</f>
        <v>0</v>
      </c>
      <c r="T419" s="70">
        <f>'RESUMEN TOTAL'!Z486</f>
        <v>0</v>
      </c>
      <c r="U419" s="70">
        <f>'RESUMEN TOTAL'!AA486</f>
        <v>0</v>
      </c>
      <c r="V419" s="70">
        <f>'RESUMEN TOTAL'!AB486</f>
        <v>0</v>
      </c>
      <c r="W419" s="70">
        <f>'RESUMEN TOTAL'!AC486</f>
        <v>0</v>
      </c>
      <c r="X419" s="70">
        <f>'RESUMEN TOTAL'!AD486</f>
        <v>0</v>
      </c>
      <c r="Y419" s="70">
        <f>'RESUMEN TOTAL'!AE486</f>
        <v>0</v>
      </c>
      <c r="Z419" s="70">
        <f>'RESUMEN TOTAL'!AF486</f>
        <v>0</v>
      </c>
      <c r="AA419" s="70">
        <f>'RESUMEN TOTAL'!AG486</f>
        <v>0</v>
      </c>
      <c r="AB419" s="70">
        <f>'RESUMEN TOTAL'!AH486</f>
        <v>0</v>
      </c>
      <c r="AC419" s="70">
        <f>'RESUMEN TOTAL'!AI486</f>
        <v>0</v>
      </c>
      <c r="AD419" s="70">
        <f>'RESUMEN TOTAL'!AJ486</f>
        <v>0</v>
      </c>
      <c r="AE419" s="70">
        <f>'RESUMEN TOTAL'!AK486</f>
        <v>0</v>
      </c>
      <c r="AF419" s="70">
        <f>'RESUMEN TOTAL'!AL486</f>
        <v>0</v>
      </c>
      <c r="AG419" s="70">
        <f>'RESUMEN TOTAL'!AM486</f>
        <v>0</v>
      </c>
      <c r="AH419" s="70">
        <f>'RESUMEN TOTAL'!AN486</f>
        <v>0</v>
      </c>
      <c r="AI419" s="70">
        <f>'RESUMEN TOTAL'!AO486</f>
        <v>0</v>
      </c>
    </row>
    <row r="420" spans="1:35" x14ac:dyDescent="0.25">
      <c r="A420" t="str">
        <f>'RESUMEN TOTAL'!A487</f>
        <v>VILLA AURORA</v>
      </c>
      <c r="B420" t="str">
        <f>'RESUMEN TOTAL'!B487</f>
        <v>VAU03 (fija 1)</v>
      </c>
      <c r="C420" t="str">
        <f>'RESUMEN TOTAL'!D487</f>
        <v>PIZZURNO Y NUESTRAS MALVINAS</v>
      </c>
      <c r="D420" s="30" t="str">
        <f>'RESUMEN TOTAL'!E487</f>
        <v>Fija</v>
      </c>
      <c r="E420" s="30" t="str">
        <f>'RESUMEN TOTAL'!F487</f>
        <v>Fibra Optica</v>
      </c>
      <c r="F420" s="70" t="str">
        <f>'RESUMEN TOTAL'!L487</f>
        <v>APAGADO</v>
      </c>
      <c r="G420" s="70">
        <f>'RESUMEN TOTAL'!M487</f>
        <v>0</v>
      </c>
      <c r="H420" s="70">
        <f>'RESUMEN TOTAL'!N487</f>
        <v>0</v>
      </c>
      <c r="I420" s="70">
        <f>'RESUMEN TOTAL'!O487</f>
        <v>0</v>
      </c>
      <c r="J420" s="70">
        <f>'RESUMEN TOTAL'!P487</f>
        <v>0</v>
      </c>
      <c r="K420" s="70">
        <f>'RESUMEN TOTAL'!Q487</f>
        <v>0</v>
      </c>
      <c r="L420" s="70">
        <f>'RESUMEN TOTAL'!R487</f>
        <v>0</v>
      </c>
      <c r="M420" s="70">
        <f>'RESUMEN TOTAL'!S487</f>
        <v>0</v>
      </c>
      <c r="N420" s="70">
        <f>'RESUMEN TOTAL'!T487</f>
        <v>0</v>
      </c>
      <c r="O420" s="70">
        <f>'RESUMEN TOTAL'!U487</f>
        <v>0</v>
      </c>
      <c r="P420" s="70">
        <f>'RESUMEN TOTAL'!V487</f>
        <v>0</v>
      </c>
      <c r="Q420" s="70">
        <f>'RESUMEN TOTAL'!W487</f>
        <v>0</v>
      </c>
      <c r="R420" s="70">
        <f>'RESUMEN TOTAL'!X487</f>
        <v>0</v>
      </c>
      <c r="S420" s="70">
        <f>'RESUMEN TOTAL'!Y487</f>
        <v>0</v>
      </c>
      <c r="T420" s="70">
        <f>'RESUMEN TOTAL'!Z487</f>
        <v>0</v>
      </c>
      <c r="U420" s="70">
        <f>'RESUMEN TOTAL'!AA487</f>
        <v>0</v>
      </c>
      <c r="V420" s="70">
        <f>'RESUMEN TOTAL'!AB487</f>
        <v>0</v>
      </c>
      <c r="W420" s="70">
        <f>'RESUMEN TOTAL'!AC487</f>
        <v>0</v>
      </c>
      <c r="X420" s="70">
        <f>'RESUMEN TOTAL'!AD487</f>
        <v>0</v>
      </c>
      <c r="Y420" s="70">
        <f>'RESUMEN TOTAL'!AE487</f>
        <v>0</v>
      </c>
      <c r="Z420" s="70">
        <f>'RESUMEN TOTAL'!AF487</f>
        <v>0</v>
      </c>
      <c r="AA420" s="70">
        <f>'RESUMEN TOTAL'!AG487</f>
        <v>0</v>
      </c>
      <c r="AB420" s="70">
        <f>'RESUMEN TOTAL'!AH487</f>
        <v>0</v>
      </c>
      <c r="AC420" s="70">
        <f>'RESUMEN TOTAL'!AI487</f>
        <v>0</v>
      </c>
      <c r="AD420" s="70">
        <f>'RESUMEN TOTAL'!AJ487</f>
        <v>0</v>
      </c>
      <c r="AE420" s="70">
        <f>'RESUMEN TOTAL'!AK487</f>
        <v>0</v>
      </c>
      <c r="AF420" s="70">
        <f>'RESUMEN TOTAL'!AL487</f>
        <v>0</v>
      </c>
      <c r="AG420" s="70">
        <f>'RESUMEN TOTAL'!AM487</f>
        <v>0</v>
      </c>
      <c r="AH420" s="70">
        <f>'RESUMEN TOTAL'!AN487</f>
        <v>0</v>
      </c>
      <c r="AI420" s="70">
        <f>'RESUMEN TOTAL'!AO487</f>
        <v>0</v>
      </c>
    </row>
    <row r="421" spans="1:35" x14ac:dyDescent="0.25">
      <c r="A421" t="str">
        <f>'RESUMEN TOTAL'!A488</f>
        <v>VILLA AURORA</v>
      </c>
      <c r="B421" t="str">
        <f>'RESUMEN TOTAL'!B488</f>
        <v>VAU04 (fija 2)</v>
      </c>
      <c r="C421" t="str">
        <f>'RESUMEN TOTAL'!D488</f>
        <v>PIZZURNO Y NUESTRAS MALVINAS</v>
      </c>
      <c r="D421" s="30" t="str">
        <f>'RESUMEN TOTAL'!E488</f>
        <v>Fija</v>
      </c>
      <c r="E421" s="30" t="str">
        <f>'RESUMEN TOTAL'!F488</f>
        <v>Fibra Optica</v>
      </c>
      <c r="F421" s="70" t="str">
        <f>'RESUMEN TOTAL'!L488</f>
        <v>APAGADO</v>
      </c>
      <c r="G421" s="70">
        <f>'RESUMEN TOTAL'!M488</f>
        <v>0</v>
      </c>
      <c r="H421" s="70">
        <f>'RESUMEN TOTAL'!N488</f>
        <v>0</v>
      </c>
      <c r="I421" s="70">
        <f>'RESUMEN TOTAL'!O488</f>
        <v>0</v>
      </c>
      <c r="J421" s="70">
        <f>'RESUMEN TOTAL'!P488</f>
        <v>0</v>
      </c>
      <c r="K421" s="70">
        <f>'RESUMEN TOTAL'!Q488</f>
        <v>0</v>
      </c>
      <c r="L421" s="70">
        <f>'RESUMEN TOTAL'!R488</f>
        <v>0</v>
      </c>
      <c r="M421" s="70">
        <f>'RESUMEN TOTAL'!S488</f>
        <v>0</v>
      </c>
      <c r="N421" s="70">
        <f>'RESUMEN TOTAL'!T488</f>
        <v>0</v>
      </c>
      <c r="O421" s="70">
        <f>'RESUMEN TOTAL'!U488</f>
        <v>0</v>
      </c>
      <c r="P421" s="70">
        <f>'RESUMEN TOTAL'!V488</f>
        <v>0</v>
      </c>
      <c r="Q421" s="70">
        <f>'RESUMEN TOTAL'!W488</f>
        <v>0</v>
      </c>
      <c r="R421" s="70">
        <f>'RESUMEN TOTAL'!X488</f>
        <v>0</v>
      </c>
      <c r="S421" s="70">
        <f>'RESUMEN TOTAL'!Y488</f>
        <v>0</v>
      </c>
      <c r="T421" s="70">
        <f>'RESUMEN TOTAL'!Z488</f>
        <v>0</v>
      </c>
      <c r="U421" s="70">
        <f>'RESUMEN TOTAL'!AA488</f>
        <v>0</v>
      </c>
      <c r="V421" s="70">
        <f>'RESUMEN TOTAL'!AB488</f>
        <v>0</v>
      </c>
      <c r="W421" s="70">
        <f>'RESUMEN TOTAL'!AC488</f>
        <v>0</v>
      </c>
      <c r="X421" s="70">
        <f>'RESUMEN TOTAL'!AD488</f>
        <v>0</v>
      </c>
      <c r="Y421" s="70">
        <f>'RESUMEN TOTAL'!AE488</f>
        <v>0</v>
      </c>
      <c r="Z421" s="70">
        <f>'RESUMEN TOTAL'!AF488</f>
        <v>0</v>
      </c>
      <c r="AA421" s="70">
        <f>'RESUMEN TOTAL'!AG488</f>
        <v>0</v>
      </c>
      <c r="AB421" s="70">
        <f>'RESUMEN TOTAL'!AH488</f>
        <v>0</v>
      </c>
      <c r="AC421" s="70">
        <f>'RESUMEN TOTAL'!AI488</f>
        <v>0</v>
      </c>
      <c r="AD421" s="70">
        <f>'RESUMEN TOTAL'!AJ488</f>
        <v>0</v>
      </c>
      <c r="AE421" s="70">
        <f>'RESUMEN TOTAL'!AK488</f>
        <v>0</v>
      </c>
      <c r="AF421" s="70">
        <f>'RESUMEN TOTAL'!AL488</f>
        <v>0</v>
      </c>
      <c r="AG421" s="70">
        <f>'RESUMEN TOTAL'!AM488</f>
        <v>0</v>
      </c>
      <c r="AH421" s="70">
        <f>'RESUMEN TOTAL'!AN488</f>
        <v>0</v>
      </c>
      <c r="AI421" s="70">
        <f>'RESUMEN TOTAL'!AO488</f>
        <v>0</v>
      </c>
    </row>
    <row r="422" spans="1:35" x14ac:dyDescent="0.25">
      <c r="A422" t="str">
        <f>'RESUMEN TOTAL'!A489</f>
        <v>VILLA AURORA</v>
      </c>
      <c r="B422" t="str">
        <f>'RESUMEN TOTAL'!B489</f>
        <v>VAU05 (fija 1)</v>
      </c>
      <c r="C422" t="str">
        <f>'RESUMEN TOTAL'!D489</f>
        <v>GUIDO SPANO Y VICTORINO DE LA PLAZA</v>
      </c>
      <c r="D422" s="30" t="str">
        <f>'RESUMEN TOTAL'!E489</f>
        <v>Fija</v>
      </c>
      <c r="E422" s="30" t="str">
        <f>'RESUMEN TOTAL'!F489</f>
        <v>Fibra Optica</v>
      </c>
      <c r="F422" s="70">
        <f>'RESUMEN TOTAL'!L489</f>
        <v>0</v>
      </c>
      <c r="G422" s="70">
        <f>'RESUMEN TOTAL'!M489</f>
        <v>0</v>
      </c>
      <c r="H422" s="70">
        <f>'RESUMEN TOTAL'!N489</f>
        <v>0</v>
      </c>
      <c r="I422" s="70">
        <f>'RESUMEN TOTAL'!O489</f>
        <v>0</v>
      </c>
      <c r="J422" s="70">
        <f>'RESUMEN TOTAL'!P489</f>
        <v>0</v>
      </c>
      <c r="K422" s="70">
        <f>'RESUMEN TOTAL'!Q489</f>
        <v>0</v>
      </c>
      <c r="L422" s="70">
        <f>'RESUMEN TOTAL'!R489</f>
        <v>0</v>
      </c>
      <c r="M422" s="70">
        <f>'RESUMEN TOTAL'!S489</f>
        <v>0</v>
      </c>
      <c r="N422" s="70">
        <f>'RESUMEN TOTAL'!T489</f>
        <v>0</v>
      </c>
      <c r="O422" s="70">
        <f>'RESUMEN TOTAL'!U489</f>
        <v>0</v>
      </c>
      <c r="P422" s="70">
        <f>'RESUMEN TOTAL'!V489</f>
        <v>0</v>
      </c>
      <c r="Q422" s="70">
        <f>'RESUMEN TOTAL'!W489</f>
        <v>0</v>
      </c>
      <c r="R422" s="70">
        <f>'RESUMEN TOTAL'!X489</f>
        <v>0</v>
      </c>
      <c r="S422" s="70">
        <f>'RESUMEN TOTAL'!Y489</f>
        <v>0</v>
      </c>
      <c r="T422" s="70">
        <f>'RESUMEN TOTAL'!Z489</f>
        <v>0</v>
      </c>
      <c r="U422" s="70">
        <f>'RESUMEN TOTAL'!AA489</f>
        <v>0</v>
      </c>
      <c r="V422" s="70">
        <f>'RESUMEN TOTAL'!AB489</f>
        <v>0</v>
      </c>
      <c r="W422" s="70">
        <f>'RESUMEN TOTAL'!AC489</f>
        <v>0</v>
      </c>
      <c r="X422" s="70">
        <f>'RESUMEN TOTAL'!AD489</f>
        <v>0</v>
      </c>
      <c r="Y422" s="70">
        <f>'RESUMEN TOTAL'!AE489</f>
        <v>0</v>
      </c>
      <c r="Z422" s="70">
        <f>'RESUMEN TOTAL'!AF489</f>
        <v>0</v>
      </c>
      <c r="AA422" s="70">
        <f>'RESUMEN TOTAL'!AG489</f>
        <v>0</v>
      </c>
      <c r="AB422" s="70">
        <f>'RESUMEN TOTAL'!AH489</f>
        <v>0</v>
      </c>
      <c r="AC422" s="70">
        <f>'RESUMEN TOTAL'!AI489</f>
        <v>0</v>
      </c>
      <c r="AD422" s="70">
        <f>'RESUMEN TOTAL'!AJ489</f>
        <v>0</v>
      </c>
      <c r="AE422" s="70">
        <f>'RESUMEN TOTAL'!AK489</f>
        <v>0</v>
      </c>
      <c r="AF422" s="70">
        <f>'RESUMEN TOTAL'!AL489</f>
        <v>0</v>
      </c>
      <c r="AG422" s="70">
        <f>'RESUMEN TOTAL'!AM489</f>
        <v>0</v>
      </c>
      <c r="AH422" s="70">
        <f>'RESUMEN TOTAL'!AN489</f>
        <v>0</v>
      </c>
      <c r="AI422" s="70">
        <f>'RESUMEN TOTAL'!AO489</f>
        <v>0</v>
      </c>
    </row>
    <row r="423" spans="1:35" x14ac:dyDescent="0.25">
      <c r="A423" t="str">
        <f>'RESUMEN TOTAL'!A490</f>
        <v>VILLA AURORA</v>
      </c>
      <c r="B423" t="str">
        <f>'RESUMEN TOTAL'!B490</f>
        <v>VAU06 (fija 2)</v>
      </c>
      <c r="C423" t="str">
        <f>'RESUMEN TOTAL'!D490</f>
        <v>GUIDO SPANO Y VICTORINO DE LA PLAZA</v>
      </c>
      <c r="D423" s="30" t="str">
        <f>'RESUMEN TOTAL'!E490</f>
        <v>Fija</v>
      </c>
      <c r="E423" s="30" t="str">
        <f>'RESUMEN TOTAL'!F490</f>
        <v>Fibra Optica</v>
      </c>
      <c r="F423" s="70">
        <f>'RESUMEN TOTAL'!L490</f>
        <v>0</v>
      </c>
      <c r="G423" s="70">
        <f>'RESUMEN TOTAL'!M490</f>
        <v>0</v>
      </c>
      <c r="H423" s="70">
        <f>'RESUMEN TOTAL'!N490</f>
        <v>0</v>
      </c>
      <c r="I423" s="70">
        <f>'RESUMEN TOTAL'!O490</f>
        <v>0</v>
      </c>
      <c r="J423" s="70">
        <f>'RESUMEN TOTAL'!P490</f>
        <v>0</v>
      </c>
      <c r="K423" s="70">
        <f>'RESUMEN TOTAL'!Q490</f>
        <v>0</v>
      </c>
      <c r="L423" s="70">
        <f>'RESUMEN TOTAL'!R490</f>
        <v>0</v>
      </c>
      <c r="M423" s="70">
        <f>'RESUMEN TOTAL'!S490</f>
        <v>0</v>
      </c>
      <c r="N423" s="70">
        <f>'RESUMEN TOTAL'!T490</f>
        <v>0</v>
      </c>
      <c r="O423" s="70">
        <f>'RESUMEN TOTAL'!U490</f>
        <v>0</v>
      </c>
      <c r="P423" s="70">
        <f>'RESUMEN TOTAL'!V490</f>
        <v>0</v>
      </c>
      <c r="Q423" s="70">
        <f>'RESUMEN TOTAL'!W490</f>
        <v>0</v>
      </c>
      <c r="R423" s="70">
        <f>'RESUMEN TOTAL'!X490</f>
        <v>0</v>
      </c>
      <c r="S423" s="70">
        <f>'RESUMEN TOTAL'!Y490</f>
        <v>0</v>
      </c>
      <c r="T423" s="70">
        <f>'RESUMEN TOTAL'!Z490</f>
        <v>0</v>
      </c>
      <c r="U423" s="70">
        <f>'RESUMEN TOTAL'!AA490</f>
        <v>0</v>
      </c>
      <c r="V423" s="70">
        <f>'RESUMEN TOTAL'!AB490</f>
        <v>0</v>
      </c>
      <c r="W423" s="70">
        <f>'RESUMEN TOTAL'!AC490</f>
        <v>0</v>
      </c>
      <c r="X423" s="70">
        <f>'RESUMEN TOTAL'!AD490</f>
        <v>0</v>
      </c>
      <c r="Y423" s="70">
        <f>'RESUMEN TOTAL'!AE490</f>
        <v>0</v>
      </c>
      <c r="Z423" s="70">
        <f>'RESUMEN TOTAL'!AF490</f>
        <v>0</v>
      </c>
      <c r="AA423" s="70">
        <f>'RESUMEN TOTAL'!AG490</f>
        <v>0</v>
      </c>
      <c r="AB423" s="70">
        <f>'RESUMEN TOTAL'!AH490</f>
        <v>0</v>
      </c>
      <c r="AC423" s="70">
        <f>'RESUMEN TOTAL'!AI490</f>
        <v>0</v>
      </c>
      <c r="AD423" s="70">
        <f>'RESUMEN TOTAL'!AJ490</f>
        <v>0</v>
      </c>
      <c r="AE423" s="70">
        <f>'RESUMEN TOTAL'!AK490</f>
        <v>0</v>
      </c>
      <c r="AF423" s="70">
        <f>'RESUMEN TOTAL'!AL490</f>
        <v>0</v>
      </c>
      <c r="AG423" s="70">
        <f>'RESUMEN TOTAL'!AM490</f>
        <v>0</v>
      </c>
      <c r="AH423" s="70">
        <f>'RESUMEN TOTAL'!AN490</f>
        <v>0</v>
      </c>
      <c r="AI423" s="70">
        <f>'RESUMEN TOTAL'!AO490</f>
        <v>0</v>
      </c>
    </row>
    <row r="424" spans="1:35" x14ac:dyDescent="0.25">
      <c r="A424" t="str">
        <f>'RESUMEN TOTAL'!A491</f>
        <v>VILLA AURORA</v>
      </c>
      <c r="B424" t="str">
        <f>'RESUMEN TOTAL'!B491</f>
        <v>VAU 07</v>
      </c>
      <c r="C424" t="str">
        <f>'RESUMEN TOTAL'!D491</f>
        <v>VICTORINO DE LA PLAZA Y MONTEVERDE</v>
      </c>
      <c r="D424" s="30" t="str">
        <f>'RESUMEN TOTAL'!E491</f>
        <v>Domo</v>
      </c>
      <c r="E424" s="30" t="str">
        <f>'RESUMEN TOTAL'!F491</f>
        <v>Fibra Optica</v>
      </c>
      <c r="F424" s="70">
        <f>'RESUMEN TOTAL'!L491</f>
        <v>0</v>
      </c>
      <c r="G424" s="70">
        <f>'RESUMEN TOTAL'!M491</f>
        <v>0</v>
      </c>
      <c r="H424" s="70">
        <f>'RESUMEN TOTAL'!N491</f>
        <v>0</v>
      </c>
      <c r="I424" s="70">
        <f>'RESUMEN TOTAL'!O491</f>
        <v>0</v>
      </c>
      <c r="J424" s="70">
        <f>'RESUMEN TOTAL'!P491</f>
        <v>0</v>
      </c>
      <c r="K424" s="70">
        <f>'RESUMEN TOTAL'!Q491</f>
        <v>0</v>
      </c>
      <c r="L424" s="70">
        <f>'RESUMEN TOTAL'!R491</f>
        <v>0</v>
      </c>
      <c r="M424" s="70">
        <f>'RESUMEN TOTAL'!S491</f>
        <v>0</v>
      </c>
      <c r="N424" s="70">
        <f>'RESUMEN TOTAL'!T491</f>
        <v>0</v>
      </c>
      <c r="O424" s="70">
        <f>'RESUMEN TOTAL'!U491</f>
        <v>0</v>
      </c>
      <c r="P424" s="70">
        <f>'RESUMEN TOTAL'!V491</f>
        <v>0</v>
      </c>
      <c r="Q424" s="70">
        <f>'RESUMEN TOTAL'!W491</f>
        <v>0</v>
      </c>
      <c r="R424" s="70">
        <f>'RESUMEN TOTAL'!X491</f>
        <v>0</v>
      </c>
      <c r="S424" s="70">
        <f>'RESUMEN TOTAL'!Y491</f>
        <v>0</v>
      </c>
      <c r="T424" s="70">
        <f>'RESUMEN TOTAL'!Z491</f>
        <v>0</v>
      </c>
      <c r="U424" s="70">
        <f>'RESUMEN TOTAL'!AA491</f>
        <v>0</v>
      </c>
      <c r="V424" s="70">
        <f>'RESUMEN TOTAL'!AB491</f>
        <v>0</v>
      </c>
      <c r="W424" s="70">
        <f>'RESUMEN TOTAL'!AC491</f>
        <v>0</v>
      </c>
      <c r="X424" s="70">
        <f>'RESUMEN TOTAL'!AD491</f>
        <v>0</v>
      </c>
      <c r="Y424" s="70">
        <f>'RESUMEN TOTAL'!AE491</f>
        <v>0</v>
      </c>
      <c r="Z424" s="70">
        <f>'RESUMEN TOTAL'!AF491</f>
        <v>0</v>
      </c>
      <c r="AA424" s="70">
        <f>'RESUMEN TOTAL'!AG491</f>
        <v>0</v>
      </c>
      <c r="AB424" s="70">
        <f>'RESUMEN TOTAL'!AH491</f>
        <v>0</v>
      </c>
      <c r="AC424" s="70">
        <f>'RESUMEN TOTAL'!AI491</f>
        <v>0</v>
      </c>
      <c r="AD424" s="70">
        <f>'RESUMEN TOTAL'!AJ491</f>
        <v>0</v>
      </c>
      <c r="AE424" s="70">
        <f>'RESUMEN TOTAL'!AK491</f>
        <v>0</v>
      </c>
      <c r="AF424" s="70">
        <f>'RESUMEN TOTAL'!AL491</f>
        <v>0</v>
      </c>
      <c r="AG424" s="70">
        <f>'RESUMEN TOTAL'!AM491</f>
        <v>0</v>
      </c>
      <c r="AH424" s="70">
        <f>'RESUMEN TOTAL'!AN491</f>
        <v>0</v>
      </c>
      <c r="AI424" s="70">
        <f>'RESUMEN TOTAL'!AO491</f>
        <v>0</v>
      </c>
    </row>
    <row r="425" spans="1:35" x14ac:dyDescent="0.25">
      <c r="A425" t="str">
        <f>'RESUMEN TOTAL'!A492</f>
        <v>VILLA AURORA</v>
      </c>
      <c r="B425" t="str">
        <f>'RESUMEN TOTAL'!B492</f>
        <v>VAU08</v>
      </c>
      <c r="C425" t="str">
        <f>'RESUMEN TOTAL'!D492</f>
        <v>MONTEVERDE Y WASHINGTON</v>
      </c>
      <c r="D425" s="30" t="str">
        <f>'RESUMEN TOTAL'!E492</f>
        <v>DOMO</v>
      </c>
      <c r="E425" s="30" t="str">
        <f>'RESUMEN TOTAL'!F492</f>
        <v>Fibra Optica</v>
      </c>
      <c r="F425" s="70">
        <f>'RESUMEN TOTAL'!L492</f>
        <v>0</v>
      </c>
      <c r="G425" s="70">
        <f>'RESUMEN TOTAL'!M492</f>
        <v>0</v>
      </c>
      <c r="H425" s="70">
        <f>'RESUMEN TOTAL'!N492</f>
        <v>0</v>
      </c>
      <c r="I425" s="70">
        <f>'RESUMEN TOTAL'!O492</f>
        <v>0</v>
      </c>
      <c r="J425" s="70">
        <f>'RESUMEN TOTAL'!P492</f>
        <v>0</v>
      </c>
      <c r="K425" s="70">
        <f>'RESUMEN TOTAL'!Q492</f>
        <v>0</v>
      </c>
      <c r="L425" s="70">
        <f>'RESUMEN TOTAL'!R492</f>
        <v>0</v>
      </c>
      <c r="M425" s="70">
        <f>'RESUMEN TOTAL'!S492</f>
        <v>0</v>
      </c>
      <c r="N425" s="70">
        <f>'RESUMEN TOTAL'!T492</f>
        <v>0</v>
      </c>
      <c r="O425" s="70">
        <f>'RESUMEN TOTAL'!U492</f>
        <v>0</v>
      </c>
      <c r="P425" s="70">
        <f>'RESUMEN TOTAL'!V492</f>
        <v>0</v>
      </c>
      <c r="Q425" s="70">
        <f>'RESUMEN TOTAL'!W492</f>
        <v>0</v>
      </c>
      <c r="R425" s="70">
        <f>'RESUMEN TOTAL'!X492</f>
        <v>0</v>
      </c>
      <c r="S425" s="70">
        <f>'RESUMEN TOTAL'!Y492</f>
        <v>0</v>
      </c>
      <c r="T425" s="70">
        <f>'RESUMEN TOTAL'!Z492</f>
        <v>0</v>
      </c>
      <c r="U425" s="70">
        <f>'RESUMEN TOTAL'!AA492</f>
        <v>0</v>
      </c>
      <c r="V425" s="70">
        <f>'RESUMEN TOTAL'!AB492</f>
        <v>0</v>
      </c>
      <c r="W425" s="70">
        <f>'RESUMEN TOTAL'!AC492</f>
        <v>0</v>
      </c>
      <c r="X425" s="70">
        <f>'RESUMEN TOTAL'!AD492</f>
        <v>0</v>
      </c>
      <c r="Y425" s="70">
        <f>'RESUMEN TOTAL'!AE492</f>
        <v>0</v>
      </c>
      <c r="Z425" s="70">
        <f>'RESUMEN TOTAL'!AF492</f>
        <v>0</v>
      </c>
      <c r="AA425" s="70">
        <f>'RESUMEN TOTAL'!AG492</f>
        <v>0</v>
      </c>
      <c r="AB425" s="70">
        <f>'RESUMEN TOTAL'!AH492</f>
        <v>0</v>
      </c>
      <c r="AC425" s="70">
        <f>'RESUMEN TOTAL'!AI492</f>
        <v>0</v>
      </c>
      <c r="AD425" s="70">
        <f>'RESUMEN TOTAL'!AJ492</f>
        <v>0</v>
      </c>
      <c r="AE425" s="70">
        <f>'RESUMEN TOTAL'!AK492</f>
        <v>0</v>
      </c>
      <c r="AF425" s="70">
        <f>'RESUMEN TOTAL'!AL492</f>
        <v>0</v>
      </c>
      <c r="AG425" s="70">
        <f>'RESUMEN TOTAL'!AM492</f>
        <v>0</v>
      </c>
      <c r="AH425" s="70">
        <f>'RESUMEN TOTAL'!AN492</f>
        <v>0</v>
      </c>
      <c r="AI425" s="70">
        <f>'RESUMEN TOTAL'!AO492</f>
        <v>0</v>
      </c>
    </row>
    <row r="426" spans="1:35" x14ac:dyDescent="0.25">
      <c r="A426" t="str">
        <f>'RESUMEN TOTAL'!A494</f>
        <v>VILLA DEL PLATA</v>
      </c>
      <c r="B426" t="str">
        <f>'RESUMEN TOTAL'!B494</f>
        <v>VDPL02</v>
      </c>
      <c r="C426" t="str">
        <f>'RESUMEN TOTAL'!D494</f>
        <v>Thevenet y Berutti</v>
      </c>
      <c r="D426" s="30" t="str">
        <f>'RESUMEN TOTAL'!E494</f>
        <v>Domo</v>
      </c>
      <c r="E426" s="30" t="str">
        <f>'RESUMEN TOTAL'!F494</f>
        <v>Fibra Optica</v>
      </c>
      <c r="F426" s="70">
        <f>'RESUMEN TOTAL'!L494</f>
        <v>0</v>
      </c>
      <c r="G426" s="70">
        <f>'RESUMEN TOTAL'!M494</f>
        <v>0</v>
      </c>
      <c r="H426" s="70">
        <f>'RESUMEN TOTAL'!N494</f>
        <v>0</v>
      </c>
      <c r="I426" s="70">
        <f>'RESUMEN TOTAL'!O494</f>
        <v>0</v>
      </c>
      <c r="J426" s="70">
        <f>'RESUMEN TOTAL'!P494</f>
        <v>0</v>
      </c>
      <c r="K426" s="70">
        <f>'RESUMEN TOTAL'!Q494</f>
        <v>0</v>
      </c>
      <c r="L426" s="70">
        <f>'RESUMEN TOTAL'!R494</f>
        <v>0</v>
      </c>
      <c r="M426" s="70">
        <f>'RESUMEN TOTAL'!S494</f>
        <v>0</v>
      </c>
      <c r="N426" s="70">
        <f>'RESUMEN TOTAL'!T494</f>
        <v>0</v>
      </c>
      <c r="O426" s="70">
        <f>'RESUMEN TOTAL'!U494</f>
        <v>0</v>
      </c>
      <c r="P426" s="70">
        <f>'RESUMEN TOTAL'!V494</f>
        <v>0</v>
      </c>
      <c r="Q426" s="70">
        <f>'RESUMEN TOTAL'!W494</f>
        <v>0</v>
      </c>
      <c r="R426" s="70">
        <f>'RESUMEN TOTAL'!X494</f>
        <v>0</v>
      </c>
      <c r="S426" s="70">
        <f>'RESUMEN TOTAL'!Y494</f>
        <v>0</v>
      </c>
      <c r="T426" s="70">
        <f>'RESUMEN TOTAL'!Z494</f>
        <v>0</v>
      </c>
      <c r="U426" s="70">
        <f>'RESUMEN TOTAL'!AA494</f>
        <v>0</v>
      </c>
      <c r="V426" s="70">
        <f>'RESUMEN TOTAL'!AB494</f>
        <v>0</v>
      </c>
      <c r="W426" s="70">
        <f>'RESUMEN TOTAL'!AC494</f>
        <v>0</v>
      </c>
      <c r="X426" s="70">
        <f>'RESUMEN TOTAL'!AD494</f>
        <v>0</v>
      </c>
      <c r="Y426" s="70">
        <f>'RESUMEN TOTAL'!AE494</f>
        <v>0</v>
      </c>
      <c r="Z426" s="70">
        <f>'RESUMEN TOTAL'!AF494</f>
        <v>0</v>
      </c>
      <c r="AA426" s="70">
        <f>'RESUMEN TOTAL'!AG494</f>
        <v>0</v>
      </c>
      <c r="AB426" s="70">
        <f>'RESUMEN TOTAL'!AH494</f>
        <v>0</v>
      </c>
      <c r="AC426" s="70">
        <f>'RESUMEN TOTAL'!AI494</f>
        <v>0</v>
      </c>
      <c r="AD426" s="70">
        <f>'RESUMEN TOTAL'!AJ494</f>
        <v>0</v>
      </c>
      <c r="AE426" s="70">
        <f>'RESUMEN TOTAL'!AK494</f>
        <v>0</v>
      </c>
      <c r="AF426" s="70">
        <f>'RESUMEN TOTAL'!AL494</f>
        <v>0</v>
      </c>
      <c r="AG426" s="70">
        <f>'RESUMEN TOTAL'!AM494</f>
        <v>0</v>
      </c>
      <c r="AH426" s="70">
        <f>'RESUMEN TOTAL'!AN494</f>
        <v>0</v>
      </c>
      <c r="AI426" s="70">
        <f>'RESUMEN TOTAL'!AO494</f>
        <v>0</v>
      </c>
    </row>
    <row r="427" spans="1:35" x14ac:dyDescent="0.25">
      <c r="A427" t="str">
        <f>'RESUMEN TOTAL'!A495</f>
        <v>VILLA DEL PLATA</v>
      </c>
      <c r="B427" t="str">
        <f>'RESUMEN TOTAL'!B495</f>
        <v>VDPL03</v>
      </c>
      <c r="C427" t="str">
        <f>'RESUMEN TOTAL'!D495</f>
        <v>Neuquen y Alvarado</v>
      </c>
      <c r="D427" s="30" t="str">
        <f>'RESUMEN TOTAL'!E495</f>
        <v>Domo</v>
      </c>
      <c r="E427" s="30" t="str">
        <f>'RESUMEN TOTAL'!F495</f>
        <v>GPON</v>
      </c>
      <c r="F427" s="70">
        <f>'RESUMEN TOTAL'!L495</f>
        <v>0</v>
      </c>
      <c r="G427" s="70">
        <f>'RESUMEN TOTAL'!M495</f>
        <v>0</v>
      </c>
      <c r="H427" s="70">
        <f>'RESUMEN TOTAL'!N495</f>
        <v>0</v>
      </c>
      <c r="I427" s="70">
        <f>'RESUMEN TOTAL'!O495</f>
        <v>0</v>
      </c>
      <c r="J427" s="70">
        <f>'RESUMEN TOTAL'!P495</f>
        <v>0</v>
      </c>
      <c r="K427" s="70">
        <f>'RESUMEN TOTAL'!Q495</f>
        <v>0</v>
      </c>
      <c r="L427" s="70">
        <f>'RESUMEN TOTAL'!R495</f>
        <v>0</v>
      </c>
      <c r="M427" s="70">
        <f>'RESUMEN TOTAL'!S495</f>
        <v>0</v>
      </c>
      <c r="N427" s="70">
        <f>'RESUMEN TOTAL'!T495</f>
        <v>0</v>
      </c>
      <c r="O427" s="70">
        <f>'RESUMEN TOTAL'!U495</f>
        <v>0</v>
      </c>
      <c r="P427" s="70">
        <f>'RESUMEN TOTAL'!V495</f>
        <v>0</v>
      </c>
      <c r="Q427" s="70">
        <f>'RESUMEN TOTAL'!W495</f>
        <v>0</v>
      </c>
      <c r="R427" s="70">
        <f>'RESUMEN TOTAL'!X495</f>
        <v>0</v>
      </c>
      <c r="S427" s="70">
        <f>'RESUMEN TOTAL'!Y495</f>
        <v>0</v>
      </c>
      <c r="T427" s="70">
        <f>'RESUMEN TOTAL'!Z495</f>
        <v>0</v>
      </c>
      <c r="U427" s="70">
        <f>'RESUMEN TOTAL'!AA495</f>
        <v>0</v>
      </c>
      <c r="V427" s="70">
        <f>'RESUMEN TOTAL'!AB495</f>
        <v>0</v>
      </c>
      <c r="W427" s="70">
        <f>'RESUMEN TOTAL'!AC495</f>
        <v>0</v>
      </c>
      <c r="X427" s="70">
        <f>'RESUMEN TOTAL'!AD495</f>
        <v>0</v>
      </c>
      <c r="Y427" s="70">
        <f>'RESUMEN TOTAL'!AE495</f>
        <v>0</v>
      </c>
      <c r="Z427" s="70">
        <f>'RESUMEN TOTAL'!AF495</f>
        <v>0</v>
      </c>
      <c r="AA427" s="70">
        <f>'RESUMEN TOTAL'!AG495</f>
        <v>0</v>
      </c>
      <c r="AB427" s="70">
        <f>'RESUMEN TOTAL'!AH495</f>
        <v>0</v>
      </c>
      <c r="AC427" s="70">
        <f>'RESUMEN TOTAL'!AI495</f>
        <v>0</v>
      </c>
      <c r="AD427" s="70">
        <f>'RESUMEN TOTAL'!AJ495</f>
        <v>0</v>
      </c>
      <c r="AE427" s="70">
        <f>'RESUMEN TOTAL'!AK495</f>
        <v>0</v>
      </c>
      <c r="AF427" s="70">
        <f>'RESUMEN TOTAL'!AL495</f>
        <v>0</v>
      </c>
      <c r="AG427" s="70">
        <f>'RESUMEN TOTAL'!AM495</f>
        <v>0</v>
      </c>
      <c r="AH427" s="70">
        <f>'RESUMEN TOTAL'!AN495</f>
        <v>0</v>
      </c>
      <c r="AI427" s="70">
        <f>'RESUMEN TOTAL'!AO495</f>
        <v>0</v>
      </c>
    </row>
    <row r="428" spans="1:35" x14ac:dyDescent="0.25">
      <c r="A428" t="str">
        <f>'RESUMEN TOTAL'!A496</f>
        <v>VILLA DEL PLATA</v>
      </c>
      <c r="B428" t="str">
        <f>'RESUMEN TOTAL'!B496</f>
        <v>VDPL04</v>
      </c>
      <c r="C428" t="str">
        <f>'RESUMEN TOTAL'!D496</f>
        <v>Neuquen y Diagonal Guemes</v>
      </c>
      <c r="D428" s="30" t="str">
        <f>'RESUMEN TOTAL'!E496</f>
        <v>Domo</v>
      </c>
      <c r="E428" s="30" t="str">
        <f>'RESUMEN TOTAL'!F496</f>
        <v>GPON</v>
      </c>
      <c r="F428" s="70" t="str">
        <f>'RESUMEN TOTAL'!L496</f>
        <v>APAGADO</v>
      </c>
      <c r="G428" s="70">
        <f>'RESUMEN TOTAL'!M496</f>
        <v>0</v>
      </c>
      <c r="H428" s="70">
        <f>'RESUMEN TOTAL'!N496</f>
        <v>0</v>
      </c>
      <c r="I428" s="70">
        <f>'RESUMEN TOTAL'!O496</f>
        <v>0</v>
      </c>
      <c r="J428" s="70">
        <f>'RESUMEN TOTAL'!P496</f>
        <v>0</v>
      </c>
      <c r="K428" s="70">
        <f>'RESUMEN TOTAL'!Q496</f>
        <v>0</v>
      </c>
      <c r="L428" s="70">
        <f>'RESUMEN TOTAL'!R496</f>
        <v>0</v>
      </c>
      <c r="M428" s="70">
        <f>'RESUMEN TOTAL'!S496</f>
        <v>0</v>
      </c>
      <c r="N428" s="70">
        <f>'RESUMEN TOTAL'!T496</f>
        <v>0</v>
      </c>
      <c r="O428" s="70">
        <f>'RESUMEN TOTAL'!U496</f>
        <v>0</v>
      </c>
      <c r="P428" s="70">
        <f>'RESUMEN TOTAL'!V496</f>
        <v>0</v>
      </c>
      <c r="Q428" s="70">
        <f>'RESUMEN TOTAL'!W496</f>
        <v>0</v>
      </c>
      <c r="R428" s="70">
        <f>'RESUMEN TOTAL'!X496</f>
        <v>0</v>
      </c>
      <c r="S428" s="70">
        <f>'RESUMEN TOTAL'!Y496</f>
        <v>0</v>
      </c>
      <c r="T428" s="70">
        <f>'RESUMEN TOTAL'!Z496</f>
        <v>0</v>
      </c>
      <c r="U428" s="70">
        <f>'RESUMEN TOTAL'!AA496</f>
        <v>0</v>
      </c>
      <c r="V428" s="70">
        <f>'RESUMEN TOTAL'!AB496</f>
        <v>0</v>
      </c>
      <c r="W428" s="70">
        <f>'RESUMEN TOTAL'!AC496</f>
        <v>0</v>
      </c>
      <c r="X428" s="70">
        <f>'RESUMEN TOTAL'!AD496</f>
        <v>0</v>
      </c>
      <c r="Y428" s="70">
        <f>'RESUMEN TOTAL'!AE496</f>
        <v>0</v>
      </c>
      <c r="Z428" s="70">
        <f>'RESUMEN TOTAL'!AF496</f>
        <v>0</v>
      </c>
      <c r="AA428" s="70">
        <f>'RESUMEN TOTAL'!AG496</f>
        <v>0</v>
      </c>
      <c r="AB428" s="70">
        <f>'RESUMEN TOTAL'!AH496</f>
        <v>0</v>
      </c>
      <c r="AC428" s="70">
        <f>'RESUMEN TOTAL'!AI496</f>
        <v>0</v>
      </c>
      <c r="AD428" s="70">
        <f>'RESUMEN TOTAL'!AJ496</f>
        <v>0</v>
      </c>
      <c r="AE428" s="70">
        <f>'RESUMEN TOTAL'!AK496</f>
        <v>0</v>
      </c>
      <c r="AF428" s="70">
        <f>'RESUMEN TOTAL'!AL496</f>
        <v>0</v>
      </c>
      <c r="AG428" s="70">
        <f>'RESUMEN TOTAL'!AM496</f>
        <v>0</v>
      </c>
      <c r="AH428" s="70">
        <f>'RESUMEN TOTAL'!AN496</f>
        <v>0</v>
      </c>
      <c r="AI428" s="70">
        <f>'RESUMEN TOTAL'!AO496</f>
        <v>0</v>
      </c>
    </row>
    <row r="429" spans="1:35" x14ac:dyDescent="0.25">
      <c r="A429" t="str">
        <f>'RESUMEN TOTAL'!A497</f>
        <v>VILLA DEL PLATA</v>
      </c>
      <c r="B429" t="str">
        <f>'RESUMEN TOTAL'!B497</f>
        <v>VDPL05</v>
      </c>
      <c r="C429" t="str">
        <f>'RESUMEN TOTAL'!D497</f>
        <v>Ruta 36 y Abraham</v>
      </c>
      <c r="D429" s="30" t="str">
        <f>'RESUMEN TOTAL'!E497</f>
        <v>Domo</v>
      </c>
      <c r="E429" s="30" t="str">
        <f>'RESUMEN TOTAL'!F497</f>
        <v>PTO A FO</v>
      </c>
      <c r="F429" s="70">
        <f>'RESUMEN TOTAL'!L497</f>
        <v>0</v>
      </c>
      <c r="G429" s="70">
        <f>'RESUMEN TOTAL'!M497</f>
        <v>0</v>
      </c>
      <c r="H429" s="70">
        <f>'RESUMEN TOTAL'!N497</f>
        <v>0</v>
      </c>
      <c r="I429" s="70">
        <f>'RESUMEN TOTAL'!O497</f>
        <v>0</v>
      </c>
      <c r="J429" s="70">
        <f>'RESUMEN TOTAL'!P497</f>
        <v>0</v>
      </c>
      <c r="K429" s="70">
        <f>'RESUMEN TOTAL'!Q497</f>
        <v>0</v>
      </c>
      <c r="L429" s="70">
        <f>'RESUMEN TOTAL'!R497</f>
        <v>0</v>
      </c>
      <c r="M429" s="70">
        <f>'RESUMEN TOTAL'!S497</f>
        <v>0</v>
      </c>
      <c r="N429" s="70">
        <f>'RESUMEN TOTAL'!T497</f>
        <v>0</v>
      </c>
      <c r="O429" s="70">
        <f>'RESUMEN TOTAL'!U497</f>
        <v>0</v>
      </c>
      <c r="P429" s="70">
        <f>'RESUMEN TOTAL'!V497</f>
        <v>0</v>
      </c>
      <c r="Q429" s="70">
        <f>'RESUMEN TOTAL'!W497</f>
        <v>0</v>
      </c>
      <c r="R429" s="70">
        <f>'RESUMEN TOTAL'!X497</f>
        <v>0</v>
      </c>
      <c r="S429" s="70">
        <f>'RESUMEN TOTAL'!Y497</f>
        <v>0</v>
      </c>
      <c r="T429" s="70">
        <f>'RESUMEN TOTAL'!Z497</f>
        <v>0</v>
      </c>
      <c r="U429" s="70">
        <f>'RESUMEN TOTAL'!AA497</f>
        <v>0</v>
      </c>
      <c r="V429" s="70" t="str">
        <f>'RESUMEN TOTAL'!AB497</f>
        <v xml:space="preserve"> </v>
      </c>
      <c r="W429" s="70">
        <f>'RESUMEN TOTAL'!AC497</f>
        <v>0</v>
      </c>
      <c r="X429" s="70">
        <f>'RESUMEN TOTAL'!AD497</f>
        <v>0</v>
      </c>
      <c r="Y429" s="70">
        <f>'RESUMEN TOTAL'!AE497</f>
        <v>0</v>
      </c>
      <c r="Z429" s="70">
        <f>'RESUMEN TOTAL'!AF497</f>
        <v>0</v>
      </c>
      <c r="AA429" s="70">
        <f>'RESUMEN TOTAL'!AG497</f>
        <v>0</v>
      </c>
      <c r="AB429" s="70">
        <f>'RESUMEN TOTAL'!AH497</f>
        <v>0</v>
      </c>
      <c r="AC429" s="70">
        <f>'RESUMEN TOTAL'!AI497</f>
        <v>0</v>
      </c>
      <c r="AD429" s="70">
        <f>'RESUMEN TOTAL'!AJ497</f>
        <v>0</v>
      </c>
      <c r="AE429" s="70">
        <f>'RESUMEN TOTAL'!AK497</f>
        <v>0</v>
      </c>
      <c r="AF429" s="70">
        <f>'RESUMEN TOTAL'!AL497</f>
        <v>0</v>
      </c>
      <c r="AG429" s="70">
        <f>'RESUMEN TOTAL'!AM497</f>
        <v>0</v>
      </c>
      <c r="AH429" s="70">
        <f>'RESUMEN TOTAL'!AN497</f>
        <v>0</v>
      </c>
      <c r="AI429" s="70">
        <f>'RESUMEN TOTAL'!AO497</f>
        <v>0</v>
      </c>
    </row>
    <row r="430" spans="1:35" x14ac:dyDescent="0.25">
      <c r="A430" t="str">
        <f>'RESUMEN TOTAL'!A498</f>
        <v>VILLA ANGELICA</v>
      </c>
      <c r="B430" t="str">
        <f>'RESUMEN TOTAL'!B498</f>
        <v>VDPL06</v>
      </c>
      <c r="C430" t="str">
        <f>'RESUMEN TOTAL'!D498</f>
        <v>Thevenet e/ Islas Orcadas y Gardel</v>
      </c>
      <c r="D430" s="30" t="str">
        <f>'RESUMEN TOTAL'!E498</f>
        <v>Domo</v>
      </c>
      <c r="E430" s="30" t="str">
        <f>'RESUMEN TOTAL'!F498</f>
        <v>GPON</v>
      </c>
      <c r="F430" s="70" t="str">
        <f>'RESUMEN TOTAL'!L498</f>
        <v>APAGADO</v>
      </c>
      <c r="G430" s="70">
        <f>'RESUMEN TOTAL'!M498</f>
        <v>0</v>
      </c>
      <c r="H430" s="70">
        <f>'RESUMEN TOTAL'!N498</f>
        <v>0</v>
      </c>
      <c r="I430" s="70">
        <f>'RESUMEN TOTAL'!O498</f>
        <v>0</v>
      </c>
      <c r="J430" s="70">
        <f>'RESUMEN TOTAL'!P498</f>
        <v>0</v>
      </c>
      <c r="K430" s="70">
        <f>'RESUMEN TOTAL'!Q498</f>
        <v>0</v>
      </c>
      <c r="L430" s="70">
        <f>'RESUMEN TOTAL'!R498</f>
        <v>0</v>
      </c>
      <c r="M430" s="70">
        <f>'RESUMEN TOTAL'!S498</f>
        <v>0</v>
      </c>
      <c r="N430" s="70">
        <f>'RESUMEN TOTAL'!T498</f>
        <v>0</v>
      </c>
      <c r="O430" s="70">
        <f>'RESUMEN TOTAL'!U498</f>
        <v>0</v>
      </c>
      <c r="P430" s="70">
        <f>'RESUMEN TOTAL'!V498</f>
        <v>0</v>
      </c>
      <c r="Q430" s="70">
        <f>'RESUMEN TOTAL'!W498</f>
        <v>0</v>
      </c>
      <c r="R430" s="70">
        <f>'RESUMEN TOTAL'!X498</f>
        <v>0</v>
      </c>
      <c r="S430" s="70">
        <f>'RESUMEN TOTAL'!Y498</f>
        <v>0</v>
      </c>
      <c r="T430" s="70">
        <f>'RESUMEN TOTAL'!Z498</f>
        <v>0</v>
      </c>
      <c r="U430" s="70">
        <f>'RESUMEN TOTAL'!AA498</f>
        <v>0</v>
      </c>
      <c r="V430" s="70">
        <f>'RESUMEN TOTAL'!AB498</f>
        <v>0</v>
      </c>
      <c r="W430" s="70">
        <f>'RESUMEN TOTAL'!AC498</f>
        <v>0</v>
      </c>
      <c r="X430" s="70">
        <f>'RESUMEN TOTAL'!AD498</f>
        <v>0</v>
      </c>
      <c r="Y430" s="70">
        <f>'RESUMEN TOTAL'!AE498</f>
        <v>0</v>
      </c>
      <c r="Z430" s="70">
        <f>'RESUMEN TOTAL'!AF498</f>
        <v>0</v>
      </c>
      <c r="AA430" s="70">
        <f>'RESUMEN TOTAL'!AG498</f>
        <v>0</v>
      </c>
      <c r="AB430" s="70">
        <f>'RESUMEN TOTAL'!AH498</f>
        <v>0</v>
      </c>
      <c r="AC430" s="70">
        <f>'RESUMEN TOTAL'!AI498</f>
        <v>0</v>
      </c>
      <c r="AD430" s="70">
        <f>'RESUMEN TOTAL'!AJ498</f>
        <v>0</v>
      </c>
      <c r="AE430" s="70">
        <f>'RESUMEN TOTAL'!AK498</f>
        <v>0</v>
      </c>
      <c r="AF430" s="70">
        <f>'RESUMEN TOTAL'!AL498</f>
        <v>0</v>
      </c>
      <c r="AG430" s="70">
        <f>'RESUMEN TOTAL'!AM498</f>
        <v>0</v>
      </c>
      <c r="AH430" s="70">
        <f>'RESUMEN TOTAL'!AN498</f>
        <v>0</v>
      </c>
      <c r="AI430" s="70">
        <f>'RESUMEN TOTAL'!AO498</f>
        <v>0</v>
      </c>
    </row>
    <row r="431" spans="1:35" x14ac:dyDescent="0.25">
      <c r="A431" t="str">
        <f>'RESUMEN TOTAL'!A499</f>
        <v>VILLA ANGELICA</v>
      </c>
      <c r="B431" t="str">
        <f>'RESUMEN TOTAL'!B499</f>
        <v>VDPL07</v>
      </c>
      <c r="C431" t="str">
        <f>'RESUMEN TOTAL'!D499</f>
        <v>THEVENET 2290</v>
      </c>
      <c r="D431" s="30" t="str">
        <f>'RESUMEN TOTAL'!E499</f>
        <v>Fija</v>
      </c>
      <c r="E431" s="30" t="str">
        <f>'RESUMEN TOTAL'!F499</f>
        <v>Fibra Optica</v>
      </c>
      <c r="F431" s="70">
        <f>'RESUMEN TOTAL'!L499</f>
        <v>0</v>
      </c>
      <c r="G431" s="70">
        <f>'RESUMEN TOTAL'!M499</f>
        <v>0</v>
      </c>
      <c r="H431" s="70">
        <f>'RESUMEN TOTAL'!N499</f>
        <v>0</v>
      </c>
      <c r="I431" s="70">
        <f>'RESUMEN TOTAL'!O499</f>
        <v>0</v>
      </c>
      <c r="J431" s="70">
        <f>'RESUMEN TOTAL'!P499</f>
        <v>0</v>
      </c>
      <c r="K431" s="70">
        <f>'RESUMEN TOTAL'!Q499</f>
        <v>0</v>
      </c>
      <c r="L431" s="70">
        <f>'RESUMEN TOTAL'!R499</f>
        <v>0</v>
      </c>
      <c r="M431" s="70">
        <f>'RESUMEN TOTAL'!S499</f>
        <v>0</v>
      </c>
      <c r="N431" s="70">
        <f>'RESUMEN TOTAL'!T499</f>
        <v>0</v>
      </c>
      <c r="O431" s="70">
        <f>'RESUMEN TOTAL'!U499</f>
        <v>0</v>
      </c>
      <c r="P431" s="70">
        <f>'RESUMEN TOTAL'!V499</f>
        <v>0</v>
      </c>
      <c r="Q431" s="70">
        <f>'RESUMEN TOTAL'!W499</f>
        <v>0</v>
      </c>
      <c r="R431" s="70">
        <f>'RESUMEN TOTAL'!X499</f>
        <v>0</v>
      </c>
      <c r="S431" s="70">
        <f>'RESUMEN TOTAL'!Y499</f>
        <v>0</v>
      </c>
      <c r="T431" s="70">
        <f>'RESUMEN TOTAL'!Z499</f>
        <v>0</v>
      </c>
      <c r="U431" s="70">
        <f>'RESUMEN TOTAL'!AA499</f>
        <v>0</v>
      </c>
      <c r="V431" s="70">
        <f>'RESUMEN TOTAL'!AB499</f>
        <v>0</v>
      </c>
      <c r="W431" s="70">
        <f>'RESUMEN TOTAL'!AC499</f>
        <v>0</v>
      </c>
      <c r="X431" s="70">
        <f>'RESUMEN TOTAL'!AD499</f>
        <v>0</v>
      </c>
      <c r="Y431" s="70">
        <f>'RESUMEN TOTAL'!AE499</f>
        <v>0</v>
      </c>
      <c r="Z431" s="70">
        <f>'RESUMEN TOTAL'!AF499</f>
        <v>0</v>
      </c>
      <c r="AA431" s="70">
        <f>'RESUMEN TOTAL'!AG499</f>
        <v>0</v>
      </c>
      <c r="AB431" s="70">
        <f>'RESUMEN TOTAL'!AH499</f>
        <v>0</v>
      </c>
      <c r="AC431" s="70">
        <f>'RESUMEN TOTAL'!AI499</f>
        <v>0</v>
      </c>
      <c r="AD431" s="70">
        <f>'RESUMEN TOTAL'!AJ499</f>
        <v>0</v>
      </c>
      <c r="AE431" s="70">
        <f>'RESUMEN TOTAL'!AK499</f>
        <v>0</v>
      </c>
      <c r="AF431" s="70">
        <f>'RESUMEN TOTAL'!AL499</f>
        <v>0</v>
      </c>
      <c r="AG431" s="70">
        <f>'RESUMEN TOTAL'!AM499</f>
        <v>0</v>
      </c>
      <c r="AH431" s="70">
        <f>'RESUMEN TOTAL'!AN499</f>
        <v>0</v>
      </c>
      <c r="AI431" s="70">
        <f>'RESUMEN TOTAL'!AO499</f>
        <v>0</v>
      </c>
    </row>
    <row r="432" spans="1:35" x14ac:dyDescent="0.25">
      <c r="A432" t="str">
        <f>'RESUMEN TOTAL'!A500</f>
        <v>VILLA HUDSON</v>
      </c>
      <c r="B432" t="str">
        <f>'RESUMEN TOTAL'!B500</f>
        <v>VHS 01</v>
      </c>
      <c r="C432" t="str">
        <f>'RESUMEN TOTAL'!D500</f>
        <v>AV. HUDSON Y AV. LUJAN</v>
      </c>
      <c r="D432" s="30" t="str">
        <f>'RESUMEN TOTAL'!E500</f>
        <v>DOMO</v>
      </c>
      <c r="E432" s="30" t="str">
        <f>'RESUMEN TOTAL'!F500</f>
        <v>GPON</v>
      </c>
      <c r="F432" s="70">
        <f>'RESUMEN TOTAL'!L500</f>
        <v>0</v>
      </c>
      <c r="G432" s="70">
        <f>'RESUMEN TOTAL'!M500</f>
        <v>0</v>
      </c>
      <c r="H432" s="70">
        <f>'RESUMEN TOTAL'!N500</f>
        <v>0</v>
      </c>
      <c r="I432" s="70">
        <f>'RESUMEN TOTAL'!O500</f>
        <v>0</v>
      </c>
      <c r="J432" s="70">
        <f>'RESUMEN TOTAL'!P500</f>
        <v>0</v>
      </c>
      <c r="K432" s="70">
        <f>'RESUMEN TOTAL'!Q500</f>
        <v>0</v>
      </c>
      <c r="L432" s="70">
        <f>'RESUMEN TOTAL'!R500</f>
        <v>0</v>
      </c>
      <c r="M432" s="70">
        <f>'RESUMEN TOTAL'!S500</f>
        <v>0</v>
      </c>
      <c r="N432" s="70">
        <f>'RESUMEN TOTAL'!T500</f>
        <v>0</v>
      </c>
      <c r="O432" s="70">
        <f>'RESUMEN TOTAL'!U500</f>
        <v>0</v>
      </c>
      <c r="P432" s="70">
        <f>'RESUMEN TOTAL'!V500</f>
        <v>0</v>
      </c>
      <c r="Q432" s="70">
        <f>'RESUMEN TOTAL'!W500</f>
        <v>0</v>
      </c>
      <c r="R432" s="70">
        <f>'RESUMEN TOTAL'!X500</f>
        <v>0</v>
      </c>
      <c r="S432" s="70">
        <f>'RESUMEN TOTAL'!Y500</f>
        <v>0</v>
      </c>
      <c r="T432" s="70">
        <f>'RESUMEN TOTAL'!Z500</f>
        <v>0</v>
      </c>
      <c r="U432" s="70">
        <f>'RESUMEN TOTAL'!AA500</f>
        <v>0</v>
      </c>
      <c r="V432" s="70">
        <f>'RESUMEN TOTAL'!AB500</f>
        <v>0</v>
      </c>
      <c r="W432" s="70">
        <f>'RESUMEN TOTAL'!AC500</f>
        <v>0</v>
      </c>
      <c r="X432" s="70">
        <f>'RESUMEN TOTAL'!AD500</f>
        <v>0</v>
      </c>
      <c r="Y432" s="70">
        <f>'RESUMEN TOTAL'!AE500</f>
        <v>0</v>
      </c>
      <c r="Z432" s="70">
        <f>'RESUMEN TOTAL'!AF500</f>
        <v>0</v>
      </c>
      <c r="AA432" s="70">
        <f>'RESUMEN TOTAL'!AG500</f>
        <v>0</v>
      </c>
      <c r="AB432" s="70">
        <f>'RESUMEN TOTAL'!AH500</f>
        <v>0</v>
      </c>
      <c r="AC432" s="70">
        <f>'RESUMEN TOTAL'!AI500</f>
        <v>0</v>
      </c>
      <c r="AD432" s="70">
        <f>'RESUMEN TOTAL'!AJ500</f>
        <v>0</v>
      </c>
      <c r="AE432" s="70">
        <f>'RESUMEN TOTAL'!AK500</f>
        <v>0</v>
      </c>
      <c r="AF432" s="70">
        <f>'RESUMEN TOTAL'!AL500</f>
        <v>0</v>
      </c>
      <c r="AG432" s="70">
        <f>'RESUMEN TOTAL'!AM500</f>
        <v>0</v>
      </c>
      <c r="AH432" s="70">
        <f>'RESUMEN TOTAL'!AN500</f>
        <v>0</v>
      </c>
      <c r="AI432" s="70">
        <f>'RESUMEN TOTAL'!AO500</f>
        <v>0</v>
      </c>
    </row>
    <row r="433" spans="1:35" x14ac:dyDescent="0.25">
      <c r="A433" t="str">
        <f>'RESUMEN TOTAL'!A501</f>
        <v>VILLA HUDSON</v>
      </c>
      <c r="B433" t="str">
        <f>'RESUMEN TOTAL'!B501</f>
        <v>VHS 02</v>
      </c>
      <c r="C433" t="str">
        <f>'RESUMEN TOTAL'!D501</f>
        <v>AV. LUJAN Y CALLE 909 A</v>
      </c>
      <c r="D433" s="30" t="str">
        <f>'RESUMEN TOTAL'!E501</f>
        <v>DOMO</v>
      </c>
      <c r="E433" s="30" t="str">
        <f>'RESUMEN TOTAL'!F501</f>
        <v>GPON</v>
      </c>
      <c r="F433" s="70">
        <f>'RESUMEN TOTAL'!L501</f>
        <v>0</v>
      </c>
      <c r="G433" s="70">
        <f>'RESUMEN TOTAL'!M501</f>
        <v>0</v>
      </c>
      <c r="H433" s="70">
        <f>'RESUMEN TOTAL'!N501</f>
        <v>0</v>
      </c>
      <c r="I433" s="70">
        <f>'RESUMEN TOTAL'!O501</f>
        <v>0</v>
      </c>
      <c r="J433" s="70">
        <f>'RESUMEN TOTAL'!P501</f>
        <v>0</v>
      </c>
      <c r="K433" s="70">
        <f>'RESUMEN TOTAL'!Q501</f>
        <v>0</v>
      </c>
      <c r="L433" s="70">
        <f>'RESUMEN TOTAL'!R501</f>
        <v>0</v>
      </c>
      <c r="M433" s="70">
        <f>'RESUMEN TOTAL'!S501</f>
        <v>0</v>
      </c>
      <c r="N433" s="70">
        <f>'RESUMEN TOTAL'!T501</f>
        <v>0</v>
      </c>
      <c r="O433" s="70">
        <f>'RESUMEN TOTAL'!U501</f>
        <v>0</v>
      </c>
      <c r="P433" s="70">
        <f>'RESUMEN TOTAL'!V501</f>
        <v>0</v>
      </c>
      <c r="Q433" s="70">
        <f>'RESUMEN TOTAL'!W501</f>
        <v>0</v>
      </c>
      <c r="R433" s="70">
        <f>'RESUMEN TOTAL'!X501</f>
        <v>0</v>
      </c>
      <c r="S433" s="70">
        <f>'RESUMEN TOTAL'!Y501</f>
        <v>0</v>
      </c>
      <c r="T433" s="70">
        <f>'RESUMEN TOTAL'!Z501</f>
        <v>0</v>
      </c>
      <c r="U433" s="70">
        <f>'RESUMEN TOTAL'!AA501</f>
        <v>0</v>
      </c>
      <c r="V433" s="70">
        <f>'RESUMEN TOTAL'!AB501</f>
        <v>0</v>
      </c>
      <c r="W433" s="70">
        <f>'RESUMEN TOTAL'!AC501</f>
        <v>0</v>
      </c>
      <c r="X433" s="70">
        <f>'RESUMEN TOTAL'!AD501</f>
        <v>0</v>
      </c>
      <c r="Y433" s="70">
        <f>'RESUMEN TOTAL'!AE501</f>
        <v>0</v>
      </c>
      <c r="Z433" s="70">
        <f>'RESUMEN TOTAL'!AF501</f>
        <v>0</v>
      </c>
      <c r="AA433" s="70">
        <f>'RESUMEN TOTAL'!AG501</f>
        <v>0</v>
      </c>
      <c r="AB433" s="70">
        <f>'RESUMEN TOTAL'!AH501</f>
        <v>0</v>
      </c>
      <c r="AC433" s="70">
        <f>'RESUMEN TOTAL'!AI501</f>
        <v>0</v>
      </c>
      <c r="AD433" s="70">
        <f>'RESUMEN TOTAL'!AJ501</f>
        <v>0</v>
      </c>
      <c r="AE433" s="70">
        <f>'RESUMEN TOTAL'!AK501</f>
        <v>0</v>
      </c>
      <c r="AF433" s="70">
        <f>'RESUMEN TOTAL'!AL501</f>
        <v>0</v>
      </c>
      <c r="AG433" s="70">
        <f>'RESUMEN TOTAL'!AM501</f>
        <v>0</v>
      </c>
      <c r="AH433" s="70">
        <f>'RESUMEN TOTAL'!AN501</f>
        <v>0</v>
      </c>
      <c r="AI433" s="70">
        <f>'RESUMEN TOTAL'!AO501</f>
        <v>0</v>
      </c>
    </row>
    <row r="434" spans="1:35" x14ac:dyDescent="0.25">
      <c r="A434" t="str">
        <f>'RESUMEN TOTAL'!A502</f>
        <v>VILLA HUDSON</v>
      </c>
      <c r="B434" t="str">
        <f>'RESUMEN TOTAL'!B502</f>
        <v>VHS 03 (fija 1)</v>
      </c>
      <c r="C434" t="str">
        <f>'RESUMEN TOTAL'!D502</f>
        <v>AV. HUDSON Y LOS INMIGRANTES</v>
      </c>
      <c r="D434" s="30" t="str">
        <f>'RESUMEN TOTAL'!E502</f>
        <v>Fija</v>
      </c>
      <c r="E434" s="30" t="str">
        <f>'RESUMEN TOTAL'!F502</f>
        <v>GPON</v>
      </c>
      <c r="F434" s="70">
        <f>'RESUMEN TOTAL'!L502</f>
        <v>0</v>
      </c>
      <c r="G434" s="70">
        <f>'RESUMEN TOTAL'!M502</f>
        <v>0</v>
      </c>
      <c r="H434" s="70">
        <f>'RESUMEN TOTAL'!N502</f>
        <v>0</v>
      </c>
      <c r="I434" s="70">
        <f>'RESUMEN TOTAL'!O502</f>
        <v>0</v>
      </c>
      <c r="J434" s="70">
        <f>'RESUMEN TOTAL'!P502</f>
        <v>0</v>
      </c>
      <c r="K434" s="70">
        <f>'RESUMEN TOTAL'!Q502</f>
        <v>0</v>
      </c>
      <c r="L434" s="70">
        <f>'RESUMEN TOTAL'!R502</f>
        <v>0</v>
      </c>
      <c r="M434" s="70">
        <f>'RESUMEN TOTAL'!S502</f>
        <v>0</v>
      </c>
      <c r="N434" s="70">
        <f>'RESUMEN TOTAL'!T502</f>
        <v>0</v>
      </c>
      <c r="O434" s="70">
        <f>'RESUMEN TOTAL'!U502</f>
        <v>0</v>
      </c>
      <c r="P434" s="70">
        <f>'RESUMEN TOTAL'!V502</f>
        <v>0</v>
      </c>
      <c r="Q434" s="70">
        <f>'RESUMEN TOTAL'!W502</f>
        <v>0</v>
      </c>
      <c r="R434" s="70">
        <f>'RESUMEN TOTAL'!X502</f>
        <v>0</v>
      </c>
      <c r="S434" s="70">
        <f>'RESUMEN TOTAL'!Y502</f>
        <v>0</v>
      </c>
      <c r="T434" s="70">
        <f>'RESUMEN TOTAL'!Z502</f>
        <v>0</v>
      </c>
      <c r="U434" s="70">
        <f>'RESUMEN TOTAL'!AA502</f>
        <v>0</v>
      </c>
      <c r="V434" s="70">
        <f>'RESUMEN TOTAL'!AB502</f>
        <v>0</v>
      </c>
      <c r="W434" s="70">
        <f>'RESUMEN TOTAL'!AC502</f>
        <v>0</v>
      </c>
      <c r="X434" s="70">
        <f>'RESUMEN TOTAL'!AD502</f>
        <v>0</v>
      </c>
      <c r="Y434" s="70">
        <f>'RESUMEN TOTAL'!AE502</f>
        <v>0</v>
      </c>
      <c r="Z434" s="70">
        <f>'RESUMEN TOTAL'!AF502</f>
        <v>0</v>
      </c>
      <c r="AA434" s="70">
        <f>'RESUMEN TOTAL'!AG502</f>
        <v>0</v>
      </c>
      <c r="AB434" s="70">
        <f>'RESUMEN TOTAL'!AH502</f>
        <v>0</v>
      </c>
      <c r="AC434" s="70">
        <f>'RESUMEN TOTAL'!AI502</f>
        <v>0</v>
      </c>
      <c r="AD434" s="70">
        <f>'RESUMEN TOTAL'!AJ502</f>
        <v>0</v>
      </c>
      <c r="AE434" s="70">
        <f>'RESUMEN TOTAL'!AK502</f>
        <v>0</v>
      </c>
      <c r="AF434" s="70">
        <f>'RESUMEN TOTAL'!AL502</f>
        <v>0</v>
      </c>
      <c r="AG434" s="70">
        <f>'RESUMEN TOTAL'!AM502</f>
        <v>0</v>
      </c>
      <c r="AH434" s="70">
        <f>'RESUMEN TOTAL'!AN502</f>
        <v>0</v>
      </c>
      <c r="AI434" s="70">
        <f>'RESUMEN TOTAL'!AO502</f>
        <v>0</v>
      </c>
    </row>
    <row r="435" spans="1:35" x14ac:dyDescent="0.25">
      <c r="A435" t="str">
        <f>'RESUMEN TOTAL'!A503</f>
        <v>VILLA HUDSON</v>
      </c>
      <c r="B435" t="str">
        <f>'RESUMEN TOTAL'!B503</f>
        <v>VHS 04 (fija 2)</v>
      </c>
      <c r="C435" t="str">
        <f>'RESUMEN TOTAL'!D503</f>
        <v>AV. HUDSON Y LOS INMIGRANTES</v>
      </c>
      <c r="D435" s="30" t="str">
        <f>'RESUMEN TOTAL'!E503</f>
        <v>Fija</v>
      </c>
      <c r="E435" s="30" t="str">
        <f>'RESUMEN TOTAL'!F503</f>
        <v>GPON</v>
      </c>
      <c r="F435" s="70">
        <f>'RESUMEN TOTAL'!L503</f>
        <v>0</v>
      </c>
      <c r="G435" s="70">
        <f>'RESUMEN TOTAL'!M503</f>
        <v>0</v>
      </c>
      <c r="H435" s="70">
        <f>'RESUMEN TOTAL'!N503</f>
        <v>0</v>
      </c>
      <c r="I435" s="70">
        <f>'RESUMEN TOTAL'!O503</f>
        <v>0</v>
      </c>
      <c r="J435" s="70">
        <f>'RESUMEN TOTAL'!P503</f>
        <v>0</v>
      </c>
      <c r="K435" s="70">
        <f>'RESUMEN TOTAL'!Q503</f>
        <v>0</v>
      </c>
      <c r="L435" s="70">
        <f>'RESUMEN TOTAL'!R503</f>
        <v>0</v>
      </c>
      <c r="M435" s="70">
        <f>'RESUMEN TOTAL'!S503</f>
        <v>0</v>
      </c>
      <c r="N435" s="70">
        <f>'RESUMEN TOTAL'!T503</f>
        <v>0</v>
      </c>
      <c r="O435" s="70">
        <f>'RESUMEN TOTAL'!U503</f>
        <v>0</v>
      </c>
      <c r="P435" s="70">
        <f>'RESUMEN TOTAL'!V503</f>
        <v>0</v>
      </c>
      <c r="Q435" s="70">
        <f>'RESUMEN TOTAL'!W503</f>
        <v>0</v>
      </c>
      <c r="R435" s="70">
        <f>'RESUMEN TOTAL'!X503</f>
        <v>0</v>
      </c>
      <c r="S435" s="70">
        <f>'RESUMEN TOTAL'!Y503</f>
        <v>0</v>
      </c>
      <c r="T435" s="70">
        <f>'RESUMEN TOTAL'!Z503</f>
        <v>0</v>
      </c>
      <c r="U435" s="70">
        <f>'RESUMEN TOTAL'!AA503</f>
        <v>0</v>
      </c>
      <c r="V435" s="70">
        <f>'RESUMEN TOTAL'!AB503</f>
        <v>0</v>
      </c>
      <c r="W435" s="70">
        <f>'RESUMEN TOTAL'!AC503</f>
        <v>0</v>
      </c>
      <c r="X435" s="70">
        <f>'RESUMEN TOTAL'!AD503</f>
        <v>0</v>
      </c>
      <c r="Y435" s="70">
        <f>'RESUMEN TOTAL'!AE503</f>
        <v>0</v>
      </c>
      <c r="Z435" s="70">
        <f>'RESUMEN TOTAL'!AF503</f>
        <v>0</v>
      </c>
      <c r="AA435" s="70">
        <f>'RESUMEN TOTAL'!AG503</f>
        <v>0</v>
      </c>
      <c r="AB435" s="70">
        <f>'RESUMEN TOTAL'!AH503</f>
        <v>0</v>
      </c>
      <c r="AC435" s="70">
        <f>'RESUMEN TOTAL'!AI503</f>
        <v>0</v>
      </c>
      <c r="AD435" s="70">
        <f>'RESUMEN TOTAL'!AJ503</f>
        <v>0</v>
      </c>
      <c r="AE435" s="70">
        <f>'RESUMEN TOTAL'!AK503</f>
        <v>0</v>
      </c>
      <c r="AF435" s="70">
        <f>'RESUMEN TOTAL'!AL503</f>
        <v>0</v>
      </c>
      <c r="AG435" s="70">
        <f>'RESUMEN TOTAL'!AM503</f>
        <v>0</v>
      </c>
      <c r="AH435" s="70">
        <f>'RESUMEN TOTAL'!AN503</f>
        <v>0</v>
      </c>
      <c r="AI435" s="70">
        <f>'RESUMEN TOTAL'!AO503</f>
        <v>0</v>
      </c>
    </row>
    <row r="436" spans="1:35" x14ac:dyDescent="0.25">
      <c r="A436" t="str">
        <f>'RESUMEN TOTAL'!A504</f>
        <v>VILLA ARIAS</v>
      </c>
      <c r="B436" t="str">
        <f>'RESUMEN TOTAL'!B504</f>
        <v>VLA 01 (fija 1)</v>
      </c>
      <c r="C436" t="str">
        <f>'RESUMEN TOTAL'!D504</f>
        <v>820 Y SOLER</v>
      </c>
      <c r="D436" s="30" t="str">
        <f>'RESUMEN TOTAL'!E504</f>
        <v>Fija</v>
      </c>
      <c r="E436" s="30" t="str">
        <f>'RESUMEN TOTAL'!F504</f>
        <v>Fibra Optica</v>
      </c>
      <c r="F436" s="70" t="str">
        <f>'RESUMEN TOTAL'!L504</f>
        <v>APAGADO</v>
      </c>
      <c r="G436" s="70">
        <f>'RESUMEN TOTAL'!M504</f>
        <v>0</v>
      </c>
      <c r="H436" s="70">
        <f>'RESUMEN TOTAL'!N504</f>
        <v>0</v>
      </c>
      <c r="I436" s="70">
        <f>'RESUMEN TOTAL'!O504</f>
        <v>0</v>
      </c>
      <c r="J436" s="70">
        <f>'RESUMEN TOTAL'!P504</f>
        <v>0</v>
      </c>
      <c r="K436" s="70">
        <f>'RESUMEN TOTAL'!Q504</f>
        <v>0</v>
      </c>
      <c r="L436" s="70">
        <f>'RESUMEN TOTAL'!R504</f>
        <v>0</v>
      </c>
      <c r="M436" s="70">
        <f>'RESUMEN TOTAL'!S504</f>
        <v>0</v>
      </c>
      <c r="N436" s="70">
        <f>'RESUMEN TOTAL'!T504</f>
        <v>0</v>
      </c>
      <c r="O436" s="70">
        <f>'RESUMEN TOTAL'!U504</f>
        <v>0</v>
      </c>
      <c r="P436" s="70">
        <f>'RESUMEN TOTAL'!V504</f>
        <v>0</v>
      </c>
      <c r="Q436" s="70">
        <f>'RESUMEN TOTAL'!W504</f>
        <v>0</v>
      </c>
      <c r="R436" s="70">
        <f>'RESUMEN TOTAL'!X504</f>
        <v>0</v>
      </c>
      <c r="S436" s="70">
        <f>'RESUMEN TOTAL'!Y504</f>
        <v>0</v>
      </c>
      <c r="T436" s="70">
        <f>'RESUMEN TOTAL'!Z504</f>
        <v>0</v>
      </c>
      <c r="U436" s="70">
        <f>'RESUMEN TOTAL'!AA504</f>
        <v>0</v>
      </c>
      <c r="V436" s="70">
        <f>'RESUMEN TOTAL'!AB504</f>
        <v>0</v>
      </c>
      <c r="W436" s="70">
        <f>'RESUMEN TOTAL'!AC504</f>
        <v>0</v>
      </c>
      <c r="X436" s="70">
        <f>'RESUMEN TOTAL'!AD504</f>
        <v>0</v>
      </c>
      <c r="Y436" s="70">
        <f>'RESUMEN TOTAL'!AE504</f>
        <v>0</v>
      </c>
      <c r="Z436" s="70">
        <f>'RESUMEN TOTAL'!AF504</f>
        <v>0</v>
      </c>
      <c r="AA436" s="70">
        <f>'RESUMEN TOTAL'!AG504</f>
        <v>0</v>
      </c>
      <c r="AB436" s="70">
        <f>'RESUMEN TOTAL'!AH504</f>
        <v>0</v>
      </c>
      <c r="AC436" s="70">
        <f>'RESUMEN TOTAL'!AI504</f>
        <v>0</v>
      </c>
      <c r="AD436" s="70">
        <f>'RESUMEN TOTAL'!AJ504</f>
        <v>0</v>
      </c>
      <c r="AE436" s="70">
        <f>'RESUMEN TOTAL'!AK504</f>
        <v>0</v>
      </c>
      <c r="AF436" s="70">
        <f>'RESUMEN TOTAL'!AL504</f>
        <v>0</v>
      </c>
      <c r="AG436" s="70">
        <f>'RESUMEN TOTAL'!AM504</f>
        <v>0</v>
      </c>
      <c r="AH436" s="70">
        <f>'RESUMEN TOTAL'!AN504</f>
        <v>0</v>
      </c>
      <c r="AI436" s="70">
        <f>'RESUMEN TOTAL'!AO504</f>
        <v>0</v>
      </c>
    </row>
    <row r="437" spans="1:35" x14ac:dyDescent="0.25">
      <c r="A437" t="str">
        <f>'RESUMEN TOTAL'!A505</f>
        <v>VILLA ARIAS</v>
      </c>
      <c r="B437" t="str">
        <f>'RESUMEN TOTAL'!B505</f>
        <v>VLA 02</v>
      </c>
      <c r="C437" t="str">
        <f>'RESUMEN TOTAL'!D505</f>
        <v>ESPORA Y HUDSON</v>
      </c>
      <c r="D437" s="30" t="str">
        <f>'RESUMEN TOTAL'!E505</f>
        <v>DOMO</v>
      </c>
      <c r="E437" s="30" t="str">
        <f>'RESUMEN TOTAL'!F505</f>
        <v>Fibra Optica</v>
      </c>
      <c r="F437" s="70">
        <f>'RESUMEN TOTAL'!L505</f>
        <v>0</v>
      </c>
      <c r="G437" s="70">
        <f>'RESUMEN TOTAL'!M505</f>
        <v>0</v>
      </c>
      <c r="H437" s="70">
        <f>'RESUMEN TOTAL'!N505</f>
        <v>0</v>
      </c>
      <c r="I437" s="70">
        <f>'RESUMEN TOTAL'!O505</f>
        <v>0</v>
      </c>
      <c r="J437" s="70">
        <f>'RESUMEN TOTAL'!P505</f>
        <v>0</v>
      </c>
      <c r="K437" s="70">
        <f>'RESUMEN TOTAL'!Q505</f>
        <v>0</v>
      </c>
      <c r="L437" s="70">
        <f>'RESUMEN TOTAL'!R505</f>
        <v>0</v>
      </c>
      <c r="M437" s="70">
        <f>'RESUMEN TOTAL'!S505</f>
        <v>0</v>
      </c>
      <c r="N437" s="70">
        <f>'RESUMEN TOTAL'!T505</f>
        <v>0</v>
      </c>
      <c r="O437" s="70">
        <f>'RESUMEN TOTAL'!U505</f>
        <v>0</v>
      </c>
      <c r="P437" s="70">
        <f>'RESUMEN TOTAL'!V505</f>
        <v>0</v>
      </c>
      <c r="Q437" s="70">
        <f>'RESUMEN TOTAL'!W505</f>
        <v>0</v>
      </c>
      <c r="R437" s="70">
        <f>'RESUMEN TOTAL'!X505</f>
        <v>0</v>
      </c>
      <c r="S437" s="70">
        <f>'RESUMEN TOTAL'!Y505</f>
        <v>0</v>
      </c>
      <c r="T437" s="70">
        <f>'RESUMEN TOTAL'!Z505</f>
        <v>0</v>
      </c>
      <c r="U437" s="70">
        <f>'RESUMEN TOTAL'!AA505</f>
        <v>0</v>
      </c>
      <c r="V437" s="70">
        <f>'RESUMEN TOTAL'!AB505</f>
        <v>0</v>
      </c>
      <c r="W437" s="70">
        <f>'RESUMEN TOTAL'!AC505</f>
        <v>0</v>
      </c>
      <c r="X437" s="70">
        <f>'RESUMEN TOTAL'!AD505</f>
        <v>0</v>
      </c>
      <c r="Y437" s="70">
        <f>'RESUMEN TOTAL'!AE505</f>
        <v>0</v>
      </c>
      <c r="Z437" s="70">
        <f>'RESUMEN TOTAL'!AF505</f>
        <v>0</v>
      </c>
      <c r="AA437" s="70">
        <f>'RESUMEN TOTAL'!AG505</f>
        <v>0</v>
      </c>
      <c r="AB437" s="70">
        <f>'RESUMEN TOTAL'!AH505</f>
        <v>0</v>
      </c>
      <c r="AC437" s="70">
        <f>'RESUMEN TOTAL'!AI505</f>
        <v>0</v>
      </c>
      <c r="AD437" s="70">
        <f>'RESUMEN TOTAL'!AJ505</f>
        <v>0</v>
      </c>
      <c r="AE437" s="70">
        <f>'RESUMEN TOTAL'!AK505</f>
        <v>0</v>
      </c>
      <c r="AF437" s="70">
        <f>'RESUMEN TOTAL'!AL505</f>
        <v>0</v>
      </c>
      <c r="AG437" s="70">
        <f>'RESUMEN TOTAL'!AM505</f>
        <v>0</v>
      </c>
      <c r="AH437" s="70">
        <f>'RESUMEN TOTAL'!AN505</f>
        <v>0</v>
      </c>
      <c r="AI437" s="70">
        <f>'RESUMEN TOTAL'!AO505</f>
        <v>0</v>
      </c>
    </row>
    <row r="438" spans="1:35" x14ac:dyDescent="0.25">
      <c r="A438" t="str">
        <f>'RESUMEN TOTAL'!A506</f>
        <v>VILLA ARIAS</v>
      </c>
      <c r="B438" t="str">
        <f>'RESUMEN TOTAL'!B506</f>
        <v>VLA03 (fija 2)</v>
      </c>
      <c r="C438" t="str">
        <f>'RESUMEN TOTAL'!D506</f>
        <v>820 y SOLER</v>
      </c>
      <c r="D438" s="30" t="str">
        <f>'RESUMEN TOTAL'!E506</f>
        <v>Fija</v>
      </c>
      <c r="E438" s="30" t="str">
        <f>'RESUMEN TOTAL'!F506</f>
        <v>Fibra Optica</v>
      </c>
      <c r="F438" s="70" t="str">
        <f>'RESUMEN TOTAL'!L506</f>
        <v>APAGADO</v>
      </c>
      <c r="G438" s="70">
        <f>'RESUMEN TOTAL'!M506</f>
        <v>0</v>
      </c>
      <c r="H438" s="70">
        <f>'RESUMEN TOTAL'!N506</f>
        <v>0</v>
      </c>
      <c r="I438" s="70">
        <f>'RESUMEN TOTAL'!O506</f>
        <v>0</v>
      </c>
      <c r="J438" s="70">
        <f>'RESUMEN TOTAL'!P506</f>
        <v>0</v>
      </c>
      <c r="K438" s="70">
        <f>'RESUMEN TOTAL'!Q506</f>
        <v>0</v>
      </c>
      <c r="L438" s="70">
        <f>'RESUMEN TOTAL'!R506</f>
        <v>0</v>
      </c>
      <c r="M438" s="70">
        <f>'RESUMEN TOTAL'!S506</f>
        <v>0</v>
      </c>
      <c r="N438" s="70">
        <f>'RESUMEN TOTAL'!T506</f>
        <v>0</v>
      </c>
      <c r="O438" s="70">
        <f>'RESUMEN TOTAL'!U506</f>
        <v>0</v>
      </c>
      <c r="P438" s="70">
        <f>'RESUMEN TOTAL'!V506</f>
        <v>0</v>
      </c>
      <c r="Q438" s="70">
        <f>'RESUMEN TOTAL'!W506</f>
        <v>0</v>
      </c>
      <c r="R438" s="70">
        <f>'RESUMEN TOTAL'!X506</f>
        <v>0</v>
      </c>
      <c r="S438" s="70">
        <f>'RESUMEN TOTAL'!Y506</f>
        <v>0</v>
      </c>
      <c r="T438" s="70">
        <f>'RESUMEN TOTAL'!Z506</f>
        <v>0</v>
      </c>
      <c r="U438" s="70">
        <f>'RESUMEN TOTAL'!AA506</f>
        <v>0</v>
      </c>
      <c r="V438" s="70">
        <f>'RESUMEN TOTAL'!AB506</f>
        <v>0</v>
      </c>
      <c r="W438" s="70">
        <f>'RESUMEN TOTAL'!AC506</f>
        <v>0</v>
      </c>
      <c r="X438" s="70">
        <f>'RESUMEN TOTAL'!AD506</f>
        <v>0</v>
      </c>
      <c r="Y438" s="70">
        <f>'RESUMEN TOTAL'!AE506</f>
        <v>0</v>
      </c>
      <c r="Z438" s="70">
        <f>'RESUMEN TOTAL'!AF506</f>
        <v>0</v>
      </c>
      <c r="AA438" s="70">
        <f>'RESUMEN TOTAL'!AG506</f>
        <v>0</v>
      </c>
      <c r="AB438" s="70">
        <f>'RESUMEN TOTAL'!AH506</f>
        <v>0</v>
      </c>
      <c r="AC438" s="70">
        <f>'RESUMEN TOTAL'!AI506</f>
        <v>0</v>
      </c>
      <c r="AD438" s="70">
        <f>'RESUMEN TOTAL'!AJ506</f>
        <v>0</v>
      </c>
      <c r="AE438" s="70">
        <f>'RESUMEN TOTAL'!AK506</f>
        <v>0</v>
      </c>
      <c r="AF438" s="70">
        <f>'RESUMEN TOTAL'!AL506</f>
        <v>0</v>
      </c>
      <c r="AG438" s="70">
        <f>'RESUMEN TOTAL'!AM506</f>
        <v>0</v>
      </c>
      <c r="AH438" s="70">
        <f>'RESUMEN TOTAL'!AN506</f>
        <v>0</v>
      </c>
      <c r="AI438" s="70">
        <f>'RESUMEN TOTAL'!AO506</f>
        <v>0</v>
      </c>
    </row>
    <row r="439" spans="1:35" x14ac:dyDescent="0.25">
      <c r="A439" t="str">
        <f>'RESUMEN TOTAL'!A507</f>
        <v>VILLA ARIAS</v>
      </c>
      <c r="B439" t="str">
        <f>'RESUMEN TOTAL'!B507</f>
        <v>VLA04</v>
      </c>
      <c r="C439" t="str">
        <f>'RESUMEN TOTAL'!D507</f>
        <v>ESPORA Y MARTIN GRASS</v>
      </c>
      <c r="D439" s="30" t="str">
        <f>'RESUMEN TOTAL'!E507</f>
        <v>DOMO</v>
      </c>
      <c r="E439" s="30" t="str">
        <f>'RESUMEN TOTAL'!F507</f>
        <v>Fibra Optica</v>
      </c>
      <c r="F439" s="70">
        <f>'RESUMEN TOTAL'!L507</f>
        <v>0</v>
      </c>
      <c r="G439" s="70">
        <f>'RESUMEN TOTAL'!M507</f>
        <v>0</v>
      </c>
      <c r="H439" s="70">
        <f>'RESUMEN TOTAL'!N507</f>
        <v>0</v>
      </c>
      <c r="I439" s="70">
        <f>'RESUMEN TOTAL'!O507</f>
        <v>0</v>
      </c>
      <c r="J439" s="70">
        <f>'RESUMEN TOTAL'!P507</f>
        <v>0</v>
      </c>
      <c r="K439" s="70">
        <f>'RESUMEN TOTAL'!Q507</f>
        <v>0</v>
      </c>
      <c r="L439" s="70">
        <f>'RESUMEN TOTAL'!R507</f>
        <v>0</v>
      </c>
      <c r="M439" s="70">
        <f>'RESUMEN TOTAL'!S507</f>
        <v>0</v>
      </c>
      <c r="N439" s="70">
        <f>'RESUMEN TOTAL'!T507</f>
        <v>0</v>
      </c>
      <c r="O439" s="70">
        <f>'RESUMEN TOTAL'!U507</f>
        <v>0</v>
      </c>
      <c r="P439" s="70">
        <f>'RESUMEN TOTAL'!V507</f>
        <v>0</v>
      </c>
      <c r="Q439" s="70">
        <f>'RESUMEN TOTAL'!W507</f>
        <v>0</v>
      </c>
      <c r="R439" s="70">
        <f>'RESUMEN TOTAL'!X507</f>
        <v>0</v>
      </c>
      <c r="S439" s="70">
        <f>'RESUMEN TOTAL'!Y507</f>
        <v>0</v>
      </c>
      <c r="T439" s="70">
        <f>'RESUMEN TOTAL'!Z507</f>
        <v>0</v>
      </c>
      <c r="U439" s="70">
        <f>'RESUMEN TOTAL'!AA507</f>
        <v>0</v>
      </c>
      <c r="V439" s="70">
        <f>'RESUMEN TOTAL'!AB507</f>
        <v>0</v>
      </c>
      <c r="W439" s="70">
        <f>'RESUMEN TOTAL'!AC507</f>
        <v>0</v>
      </c>
      <c r="X439" s="70">
        <f>'RESUMEN TOTAL'!AD507</f>
        <v>0</v>
      </c>
      <c r="Y439" s="70">
        <f>'RESUMEN TOTAL'!AE507</f>
        <v>0</v>
      </c>
      <c r="Z439" s="70">
        <f>'RESUMEN TOTAL'!AF507</f>
        <v>0</v>
      </c>
      <c r="AA439" s="70">
        <f>'RESUMEN TOTAL'!AG507</f>
        <v>0</v>
      </c>
      <c r="AB439" s="70">
        <f>'RESUMEN TOTAL'!AH507</f>
        <v>0</v>
      </c>
      <c r="AC439" s="70">
        <f>'RESUMEN TOTAL'!AI507</f>
        <v>0</v>
      </c>
      <c r="AD439" s="70">
        <f>'RESUMEN TOTAL'!AJ507</f>
        <v>0</v>
      </c>
      <c r="AE439" s="70">
        <f>'RESUMEN TOTAL'!AK507</f>
        <v>0</v>
      </c>
      <c r="AF439" s="70">
        <f>'RESUMEN TOTAL'!AL507</f>
        <v>0</v>
      </c>
      <c r="AG439" s="70">
        <f>'RESUMEN TOTAL'!AM507</f>
        <v>0</v>
      </c>
      <c r="AH439" s="70">
        <f>'RESUMEN TOTAL'!AN507</f>
        <v>0</v>
      </c>
      <c r="AI439" s="70">
        <f>'RESUMEN TOTAL'!AO507</f>
        <v>0</v>
      </c>
    </row>
    <row r="440" spans="1:35" x14ac:dyDescent="0.25">
      <c r="A440" t="str">
        <f>'RESUMEN TOTAL'!A508</f>
        <v>VILLA ARIAS</v>
      </c>
      <c r="B440" t="str">
        <f>'RESUMEN TOTAL'!B508</f>
        <v>VLA05</v>
      </c>
      <c r="C440" t="str">
        <f>'RESUMEN TOTAL'!D508</f>
        <v>ESPORA Y 802</v>
      </c>
      <c r="D440" s="30" t="str">
        <f>'RESUMEN TOTAL'!E508</f>
        <v>DOMO</v>
      </c>
      <c r="E440" s="30" t="str">
        <f>'RESUMEN TOTAL'!F508</f>
        <v>GPON</v>
      </c>
      <c r="F440" s="70">
        <f>'RESUMEN TOTAL'!L508</f>
        <v>0</v>
      </c>
      <c r="G440" s="70">
        <f>'RESUMEN TOTAL'!M508</f>
        <v>0</v>
      </c>
      <c r="H440" s="70">
        <f>'RESUMEN TOTAL'!N508</f>
        <v>0</v>
      </c>
      <c r="I440" s="70">
        <f>'RESUMEN TOTAL'!O508</f>
        <v>0</v>
      </c>
      <c r="J440" s="70">
        <f>'RESUMEN TOTAL'!P508</f>
        <v>0</v>
      </c>
      <c r="K440" s="70">
        <f>'RESUMEN TOTAL'!Q508</f>
        <v>0</v>
      </c>
      <c r="L440" s="70">
        <f>'RESUMEN TOTAL'!R508</f>
        <v>0</v>
      </c>
      <c r="M440" s="70">
        <f>'RESUMEN TOTAL'!S508</f>
        <v>0</v>
      </c>
      <c r="N440" s="70">
        <f>'RESUMEN TOTAL'!T508</f>
        <v>0</v>
      </c>
      <c r="O440" s="70">
        <f>'RESUMEN TOTAL'!U508</f>
        <v>0</v>
      </c>
      <c r="P440" s="70">
        <f>'RESUMEN TOTAL'!V508</f>
        <v>0</v>
      </c>
      <c r="Q440" s="70">
        <f>'RESUMEN TOTAL'!W508</f>
        <v>0</v>
      </c>
      <c r="R440" s="70">
        <f>'RESUMEN TOTAL'!X508</f>
        <v>0</v>
      </c>
      <c r="S440" s="70">
        <f>'RESUMEN TOTAL'!Y508</f>
        <v>0</v>
      </c>
      <c r="T440" s="70">
        <f>'RESUMEN TOTAL'!Z508</f>
        <v>0</v>
      </c>
      <c r="U440" s="70">
        <f>'RESUMEN TOTAL'!AA508</f>
        <v>0</v>
      </c>
      <c r="V440" s="70">
        <f>'RESUMEN TOTAL'!AB508</f>
        <v>0</v>
      </c>
      <c r="W440" s="70">
        <f>'RESUMEN TOTAL'!AC508</f>
        <v>0</v>
      </c>
      <c r="X440" s="70">
        <f>'RESUMEN TOTAL'!AD508</f>
        <v>0</v>
      </c>
      <c r="Y440" s="70">
        <f>'RESUMEN TOTAL'!AE508</f>
        <v>0</v>
      </c>
      <c r="Z440" s="70">
        <f>'RESUMEN TOTAL'!AF508</f>
        <v>0</v>
      </c>
      <c r="AA440" s="70">
        <f>'RESUMEN TOTAL'!AG508</f>
        <v>0</v>
      </c>
      <c r="AB440" s="70">
        <f>'RESUMEN TOTAL'!AH508</f>
        <v>0</v>
      </c>
      <c r="AC440" s="70">
        <f>'RESUMEN TOTAL'!AI508</f>
        <v>0</v>
      </c>
      <c r="AD440" s="70">
        <f>'RESUMEN TOTAL'!AJ508</f>
        <v>0</v>
      </c>
      <c r="AE440" s="70">
        <f>'RESUMEN TOTAL'!AK508</f>
        <v>0</v>
      </c>
      <c r="AF440" s="70">
        <f>'RESUMEN TOTAL'!AL508</f>
        <v>0</v>
      </c>
      <c r="AG440" s="70">
        <f>'RESUMEN TOTAL'!AM508</f>
        <v>0</v>
      </c>
      <c r="AH440" s="70">
        <f>'RESUMEN TOTAL'!AN508</f>
        <v>0</v>
      </c>
      <c r="AI440" s="70">
        <f>'RESUMEN TOTAL'!AO508</f>
        <v>0</v>
      </c>
    </row>
    <row r="441" spans="1:35" x14ac:dyDescent="0.25">
      <c r="A441" t="str">
        <f>'RESUMEN TOTAL'!A509</f>
        <v>VILLA MONICA NUEVA</v>
      </c>
      <c r="B441" t="str">
        <f>'RESUMEN TOTAL'!B509</f>
        <v>VMO 02</v>
      </c>
      <c r="C441" t="str">
        <f>'RESUMEN TOTAL'!D509</f>
        <v>Rio Carapachay y Oroño</v>
      </c>
      <c r="D441" s="30" t="str">
        <f>'RESUMEN TOTAL'!E509</f>
        <v>Domo</v>
      </c>
      <c r="E441" s="30" t="str">
        <f>'RESUMEN TOTAL'!F509</f>
        <v>Radio</v>
      </c>
      <c r="F441" s="70">
        <f>'RESUMEN TOTAL'!L509</f>
        <v>0</v>
      </c>
      <c r="G441" s="70">
        <f>'RESUMEN TOTAL'!M509</f>
        <v>0</v>
      </c>
      <c r="H441" s="70">
        <f>'RESUMEN TOTAL'!N509</f>
        <v>0</v>
      </c>
      <c r="I441" s="70">
        <f>'RESUMEN TOTAL'!O509</f>
        <v>0</v>
      </c>
      <c r="J441" s="70">
        <f>'RESUMEN TOTAL'!P509</f>
        <v>0</v>
      </c>
      <c r="K441" s="70">
        <f>'RESUMEN TOTAL'!Q509</f>
        <v>0</v>
      </c>
      <c r="L441" s="70">
        <f>'RESUMEN TOTAL'!R509</f>
        <v>0</v>
      </c>
      <c r="M441" s="70">
        <f>'RESUMEN TOTAL'!S509</f>
        <v>0</v>
      </c>
      <c r="N441" s="70">
        <f>'RESUMEN TOTAL'!T509</f>
        <v>0</v>
      </c>
      <c r="O441" s="70">
        <f>'RESUMEN TOTAL'!U509</f>
        <v>0</v>
      </c>
      <c r="P441" s="70">
        <f>'RESUMEN TOTAL'!V509</f>
        <v>0</v>
      </c>
      <c r="Q441" s="70">
        <f>'RESUMEN TOTAL'!W509</f>
        <v>0</v>
      </c>
      <c r="R441" s="70">
        <f>'RESUMEN TOTAL'!X509</f>
        <v>0</v>
      </c>
      <c r="S441" s="70">
        <f>'RESUMEN TOTAL'!Y509</f>
        <v>0</v>
      </c>
      <c r="T441" s="70">
        <f>'RESUMEN TOTAL'!Z509</f>
        <v>0</v>
      </c>
      <c r="U441" s="70">
        <f>'RESUMEN TOTAL'!AA509</f>
        <v>0</v>
      </c>
      <c r="V441" s="70">
        <f>'RESUMEN TOTAL'!AB509</f>
        <v>0</v>
      </c>
      <c r="W441" s="70">
        <f>'RESUMEN TOTAL'!AC509</f>
        <v>0</v>
      </c>
      <c r="X441" s="70">
        <f>'RESUMEN TOTAL'!AD509</f>
        <v>0</v>
      </c>
      <c r="Y441" s="70">
        <f>'RESUMEN TOTAL'!AE509</f>
        <v>0</v>
      </c>
      <c r="Z441" s="70">
        <f>'RESUMEN TOTAL'!AF509</f>
        <v>0</v>
      </c>
      <c r="AA441" s="70">
        <f>'RESUMEN TOTAL'!AG509</f>
        <v>0</v>
      </c>
      <c r="AB441" s="70">
        <f>'RESUMEN TOTAL'!AH509</f>
        <v>0</v>
      </c>
      <c r="AC441" s="70">
        <f>'RESUMEN TOTAL'!AI509</f>
        <v>0</v>
      </c>
      <c r="AD441" s="70">
        <f>'RESUMEN TOTAL'!AJ509</f>
        <v>0</v>
      </c>
      <c r="AE441" s="70">
        <f>'RESUMEN TOTAL'!AK509</f>
        <v>0</v>
      </c>
      <c r="AF441" s="70">
        <f>'RESUMEN TOTAL'!AL509</f>
        <v>0</v>
      </c>
      <c r="AG441" s="70">
        <f>'RESUMEN TOTAL'!AM509</f>
        <v>0</v>
      </c>
      <c r="AH441" s="70">
        <f>'RESUMEN TOTAL'!AN509</f>
        <v>0</v>
      </c>
      <c r="AI441" s="70">
        <f>'RESUMEN TOTAL'!AO509</f>
        <v>0</v>
      </c>
    </row>
    <row r="442" spans="1:35" x14ac:dyDescent="0.25">
      <c r="A442" t="str">
        <f>'RESUMEN TOTAL'!A510</f>
        <v>VILLA MONICA NUEVA</v>
      </c>
      <c r="B442" t="str">
        <f>'RESUMEN TOTAL'!B510</f>
        <v>VMO 03 (fija 1)</v>
      </c>
      <c r="C442" t="str">
        <f>'RESUMEN TOTAL'!D510</f>
        <v>EVA PERON E/ OROÑO Y 734 A</v>
      </c>
      <c r="D442" s="30" t="str">
        <f>'RESUMEN TOTAL'!E510</f>
        <v>Fija</v>
      </c>
      <c r="E442" s="30" t="str">
        <f>'RESUMEN TOTAL'!F510</f>
        <v>Fibra Optica</v>
      </c>
      <c r="F442" s="70">
        <f>'RESUMEN TOTAL'!L510</f>
        <v>0</v>
      </c>
      <c r="G442" s="70">
        <f>'RESUMEN TOTAL'!M510</f>
        <v>0</v>
      </c>
      <c r="H442" s="70">
        <f>'RESUMEN TOTAL'!N510</f>
        <v>0</v>
      </c>
      <c r="I442" s="70">
        <f>'RESUMEN TOTAL'!O510</f>
        <v>0</v>
      </c>
      <c r="J442" s="70">
        <f>'RESUMEN TOTAL'!P510</f>
        <v>0</v>
      </c>
      <c r="K442" s="70">
        <f>'RESUMEN TOTAL'!Q510</f>
        <v>0</v>
      </c>
      <c r="L442" s="70">
        <f>'RESUMEN TOTAL'!R510</f>
        <v>0</v>
      </c>
      <c r="M442" s="70">
        <f>'RESUMEN TOTAL'!S510</f>
        <v>0</v>
      </c>
      <c r="N442" s="70">
        <f>'RESUMEN TOTAL'!T510</f>
        <v>0</v>
      </c>
      <c r="O442" s="70">
        <f>'RESUMEN TOTAL'!U510</f>
        <v>0</v>
      </c>
      <c r="P442" s="70">
        <f>'RESUMEN TOTAL'!V510</f>
        <v>0</v>
      </c>
      <c r="Q442" s="70">
        <f>'RESUMEN TOTAL'!W510</f>
        <v>0</v>
      </c>
      <c r="R442" s="70">
        <f>'RESUMEN TOTAL'!X510</f>
        <v>0</v>
      </c>
      <c r="S442" s="70">
        <f>'RESUMEN TOTAL'!Y510</f>
        <v>0</v>
      </c>
      <c r="T442" s="70">
        <f>'RESUMEN TOTAL'!Z510</f>
        <v>0</v>
      </c>
      <c r="U442" s="70">
        <f>'RESUMEN TOTAL'!AA510</f>
        <v>0</v>
      </c>
      <c r="V442" s="70">
        <f>'RESUMEN TOTAL'!AB510</f>
        <v>0</v>
      </c>
      <c r="W442" s="70">
        <f>'RESUMEN TOTAL'!AC510</f>
        <v>0</v>
      </c>
      <c r="X442" s="70">
        <f>'RESUMEN TOTAL'!AD510</f>
        <v>0</v>
      </c>
      <c r="Y442" s="70">
        <f>'RESUMEN TOTAL'!AE510</f>
        <v>0</v>
      </c>
      <c r="Z442" s="70">
        <f>'RESUMEN TOTAL'!AF510</f>
        <v>0</v>
      </c>
      <c r="AA442" s="70">
        <f>'RESUMEN TOTAL'!AG510</f>
        <v>0</v>
      </c>
      <c r="AB442" s="70">
        <f>'RESUMEN TOTAL'!AH510</f>
        <v>0</v>
      </c>
      <c r="AC442" s="70">
        <f>'RESUMEN TOTAL'!AI510</f>
        <v>0</v>
      </c>
      <c r="AD442" s="70">
        <f>'RESUMEN TOTAL'!AJ510</f>
        <v>0</v>
      </c>
      <c r="AE442" s="70">
        <f>'RESUMEN TOTAL'!AK510</f>
        <v>0</v>
      </c>
      <c r="AF442" s="70">
        <f>'RESUMEN TOTAL'!AL510</f>
        <v>0</v>
      </c>
      <c r="AG442" s="70">
        <f>'RESUMEN TOTAL'!AM510</f>
        <v>0</v>
      </c>
      <c r="AH442" s="70">
        <f>'RESUMEN TOTAL'!AN510</f>
        <v>0</v>
      </c>
      <c r="AI442" s="70">
        <f>'RESUMEN TOTAL'!AO510</f>
        <v>0</v>
      </c>
    </row>
    <row r="443" spans="1:35" x14ac:dyDescent="0.25">
      <c r="A443" t="str">
        <f>'RESUMEN TOTAL'!A511</f>
        <v>VILLA MONICA NUEVA</v>
      </c>
      <c r="B443" t="str">
        <f>'RESUMEN TOTAL'!B511</f>
        <v>VMO 04 (fija 2)</v>
      </c>
      <c r="C443" t="str">
        <f>'RESUMEN TOTAL'!D511</f>
        <v>EVA PERON E/ OROÑO Y 734 A</v>
      </c>
      <c r="D443" s="30" t="str">
        <f>'RESUMEN TOTAL'!E511</f>
        <v>Fija</v>
      </c>
      <c r="E443" s="30" t="str">
        <f>'RESUMEN TOTAL'!F511</f>
        <v>Fibra Optica</v>
      </c>
      <c r="F443" s="70">
        <f>'RESUMEN TOTAL'!L511</f>
        <v>0</v>
      </c>
      <c r="G443" s="70">
        <f>'RESUMEN TOTAL'!M511</f>
        <v>0</v>
      </c>
      <c r="H443" s="70">
        <f>'RESUMEN TOTAL'!N511</f>
        <v>0</v>
      </c>
      <c r="I443" s="70">
        <f>'RESUMEN TOTAL'!O511</f>
        <v>0</v>
      </c>
      <c r="J443" s="70">
        <f>'RESUMEN TOTAL'!P511</f>
        <v>0</v>
      </c>
      <c r="K443" s="70">
        <f>'RESUMEN TOTAL'!Q511</f>
        <v>0</v>
      </c>
      <c r="L443" s="70">
        <f>'RESUMEN TOTAL'!R511</f>
        <v>0</v>
      </c>
      <c r="M443" s="70">
        <f>'RESUMEN TOTAL'!S511</f>
        <v>0</v>
      </c>
      <c r="N443" s="70">
        <f>'RESUMEN TOTAL'!T511</f>
        <v>0</v>
      </c>
      <c r="O443" s="70">
        <f>'RESUMEN TOTAL'!U511</f>
        <v>0</v>
      </c>
      <c r="P443" s="70">
        <f>'RESUMEN TOTAL'!V511</f>
        <v>0</v>
      </c>
      <c r="Q443" s="70">
        <f>'RESUMEN TOTAL'!W511</f>
        <v>0</v>
      </c>
      <c r="R443" s="70">
        <f>'RESUMEN TOTAL'!X511</f>
        <v>0</v>
      </c>
      <c r="S443" s="70">
        <f>'RESUMEN TOTAL'!Y511</f>
        <v>0</v>
      </c>
      <c r="T443" s="70">
        <f>'RESUMEN TOTAL'!Z511</f>
        <v>0</v>
      </c>
      <c r="U443" s="70">
        <f>'RESUMEN TOTAL'!AA511</f>
        <v>0</v>
      </c>
      <c r="V443" s="70">
        <f>'RESUMEN TOTAL'!AB511</f>
        <v>0</v>
      </c>
      <c r="W443" s="70">
        <f>'RESUMEN TOTAL'!AC511</f>
        <v>0</v>
      </c>
      <c r="X443" s="70">
        <f>'RESUMEN TOTAL'!AD511</f>
        <v>0</v>
      </c>
      <c r="Y443" s="70">
        <f>'RESUMEN TOTAL'!AE511</f>
        <v>0</v>
      </c>
      <c r="Z443" s="70">
        <f>'RESUMEN TOTAL'!AF511</f>
        <v>0</v>
      </c>
      <c r="AA443" s="70">
        <f>'RESUMEN TOTAL'!AG511</f>
        <v>0</v>
      </c>
      <c r="AB443" s="70">
        <f>'RESUMEN TOTAL'!AH511</f>
        <v>0</v>
      </c>
      <c r="AC443" s="70">
        <f>'RESUMEN TOTAL'!AI511</f>
        <v>0</v>
      </c>
      <c r="AD443" s="70">
        <f>'RESUMEN TOTAL'!AJ511</f>
        <v>0</v>
      </c>
      <c r="AE443" s="70">
        <f>'RESUMEN TOTAL'!AK511</f>
        <v>0</v>
      </c>
      <c r="AF443" s="70">
        <f>'RESUMEN TOTAL'!AL511</f>
        <v>0</v>
      </c>
      <c r="AG443" s="70">
        <f>'RESUMEN TOTAL'!AM511</f>
        <v>0</v>
      </c>
      <c r="AH443" s="70">
        <f>'RESUMEN TOTAL'!AN511</f>
        <v>0</v>
      </c>
      <c r="AI443" s="70">
        <f>'RESUMEN TOTAL'!AO511</f>
        <v>0</v>
      </c>
    </row>
    <row r="444" spans="1:35" x14ac:dyDescent="0.25">
      <c r="A444" t="str">
        <f>'RESUMEN TOTAL'!A512</f>
        <v>VILLA MONICA NUEVA</v>
      </c>
      <c r="B444" t="str">
        <f>'RESUMEN TOTAL'!B512</f>
        <v>VMO 05</v>
      </c>
      <c r="C444" t="str">
        <f>'RESUMEN TOTAL'!D512</f>
        <v>OROÑO Y EVA PERON</v>
      </c>
      <c r="D444" s="30" t="str">
        <f>'RESUMEN TOTAL'!E512</f>
        <v>DOMO</v>
      </c>
      <c r="E444" s="30" t="str">
        <f>'RESUMEN TOTAL'!F512</f>
        <v>Fibra Optica</v>
      </c>
      <c r="F444" s="70">
        <f>'RESUMEN TOTAL'!L512</f>
        <v>0</v>
      </c>
      <c r="G444" s="70">
        <f>'RESUMEN TOTAL'!M512</f>
        <v>0</v>
      </c>
      <c r="H444" s="70">
        <f>'RESUMEN TOTAL'!N512</f>
        <v>0</v>
      </c>
      <c r="I444" s="70">
        <f>'RESUMEN TOTAL'!O512</f>
        <v>0</v>
      </c>
      <c r="J444" s="70">
        <f>'RESUMEN TOTAL'!P512</f>
        <v>0</v>
      </c>
      <c r="K444" s="70">
        <f>'RESUMEN TOTAL'!Q512</f>
        <v>0</v>
      </c>
      <c r="L444" s="70">
        <f>'RESUMEN TOTAL'!R512</f>
        <v>0</v>
      </c>
      <c r="M444" s="70">
        <f>'RESUMEN TOTAL'!S512</f>
        <v>0</v>
      </c>
      <c r="N444" s="70">
        <f>'RESUMEN TOTAL'!T512</f>
        <v>0</v>
      </c>
      <c r="O444" s="70">
        <f>'RESUMEN TOTAL'!U512</f>
        <v>0</v>
      </c>
      <c r="P444" s="70">
        <f>'RESUMEN TOTAL'!V512</f>
        <v>0</v>
      </c>
      <c r="Q444" s="70">
        <f>'RESUMEN TOTAL'!W512</f>
        <v>0</v>
      </c>
      <c r="R444" s="70">
        <f>'RESUMEN TOTAL'!X512</f>
        <v>0</v>
      </c>
      <c r="S444" s="70">
        <f>'RESUMEN TOTAL'!Y512</f>
        <v>0</v>
      </c>
      <c r="T444" s="70">
        <f>'RESUMEN TOTAL'!Z512</f>
        <v>0</v>
      </c>
      <c r="U444" s="70">
        <f>'RESUMEN TOTAL'!AA512</f>
        <v>0</v>
      </c>
      <c r="V444" s="70">
        <f>'RESUMEN TOTAL'!AB512</f>
        <v>0</v>
      </c>
      <c r="W444" s="70">
        <f>'RESUMEN TOTAL'!AC512</f>
        <v>0</v>
      </c>
      <c r="X444" s="70">
        <f>'RESUMEN TOTAL'!AD512</f>
        <v>0</v>
      </c>
      <c r="Y444" s="70">
        <f>'RESUMEN TOTAL'!AE512</f>
        <v>0</v>
      </c>
      <c r="Z444" s="70">
        <f>'RESUMEN TOTAL'!AF512</f>
        <v>0</v>
      </c>
      <c r="AA444" s="70">
        <f>'RESUMEN TOTAL'!AG512</f>
        <v>0</v>
      </c>
      <c r="AB444" s="70">
        <f>'RESUMEN TOTAL'!AH512</f>
        <v>0</v>
      </c>
      <c r="AC444" s="70">
        <f>'RESUMEN TOTAL'!AI512</f>
        <v>0</v>
      </c>
      <c r="AD444" s="70">
        <f>'RESUMEN TOTAL'!AJ512</f>
        <v>0</v>
      </c>
      <c r="AE444" s="70">
        <f>'RESUMEN TOTAL'!AK512</f>
        <v>0</v>
      </c>
      <c r="AF444" s="70">
        <f>'RESUMEN TOTAL'!AL512</f>
        <v>0</v>
      </c>
      <c r="AG444" s="70">
        <f>'RESUMEN TOTAL'!AM512</f>
        <v>0</v>
      </c>
      <c r="AH444" s="70">
        <f>'RESUMEN TOTAL'!AN512</f>
        <v>0</v>
      </c>
      <c r="AI444" s="70">
        <f>'RESUMEN TOTAL'!AO512</f>
        <v>0</v>
      </c>
    </row>
    <row r="445" spans="1:35" x14ac:dyDescent="0.25">
      <c r="A445" t="str">
        <f>'RESUMEN TOTAL'!A513</f>
        <v>VILLA MONICA NUEVA</v>
      </c>
      <c r="B445" t="str">
        <f>'RESUMEN TOTAL'!B513</f>
        <v>VMO01</v>
      </c>
      <c r="C445" t="str">
        <f>'RESUMEN TOTAL'!D513</f>
        <v>Eva Peron y Monseñor de las Casas</v>
      </c>
      <c r="D445" s="30" t="str">
        <f>'RESUMEN TOTAL'!E513</f>
        <v>DOMO</v>
      </c>
      <c r="E445" s="30" t="str">
        <f>'RESUMEN TOTAL'!F513</f>
        <v>Fibra Optica</v>
      </c>
      <c r="F445" s="70">
        <f>'RESUMEN TOTAL'!L513</f>
        <v>0</v>
      </c>
      <c r="G445" s="70">
        <f>'RESUMEN TOTAL'!M513</f>
        <v>0</v>
      </c>
      <c r="H445" s="70">
        <f>'RESUMEN TOTAL'!N513</f>
        <v>0</v>
      </c>
      <c r="I445" s="70">
        <f>'RESUMEN TOTAL'!O513</f>
        <v>0</v>
      </c>
      <c r="J445" s="70">
        <f>'RESUMEN TOTAL'!P513</f>
        <v>0</v>
      </c>
      <c r="K445" s="70">
        <f>'RESUMEN TOTAL'!Q513</f>
        <v>0</v>
      </c>
      <c r="L445" s="70">
        <f>'RESUMEN TOTAL'!R513</f>
        <v>0</v>
      </c>
      <c r="M445" s="70">
        <f>'RESUMEN TOTAL'!S513</f>
        <v>0</v>
      </c>
      <c r="N445" s="70">
        <f>'RESUMEN TOTAL'!T513</f>
        <v>0</v>
      </c>
      <c r="O445" s="70">
        <f>'RESUMEN TOTAL'!U513</f>
        <v>0</v>
      </c>
      <c r="P445" s="70">
        <f>'RESUMEN TOTAL'!V513</f>
        <v>0</v>
      </c>
      <c r="Q445" s="70">
        <f>'RESUMEN TOTAL'!W513</f>
        <v>0</v>
      </c>
      <c r="R445" s="70">
        <f>'RESUMEN TOTAL'!X513</f>
        <v>0</v>
      </c>
      <c r="S445" s="70">
        <f>'RESUMEN TOTAL'!Y513</f>
        <v>0</v>
      </c>
      <c r="T445" s="70">
        <f>'RESUMEN TOTAL'!Z513</f>
        <v>0</v>
      </c>
      <c r="U445" s="70">
        <f>'RESUMEN TOTAL'!AA513</f>
        <v>0</v>
      </c>
      <c r="V445" s="70">
        <f>'RESUMEN TOTAL'!AB513</f>
        <v>0</v>
      </c>
      <c r="W445" s="70">
        <f>'RESUMEN TOTAL'!AC513</f>
        <v>0</v>
      </c>
      <c r="X445" s="70">
        <f>'RESUMEN TOTAL'!AD513</f>
        <v>0</v>
      </c>
      <c r="Y445" s="70">
        <f>'RESUMEN TOTAL'!AE513</f>
        <v>0</v>
      </c>
      <c r="Z445" s="70">
        <f>'RESUMEN TOTAL'!AF513</f>
        <v>0</v>
      </c>
      <c r="AA445" s="70">
        <f>'RESUMEN TOTAL'!AG513</f>
        <v>0</v>
      </c>
      <c r="AB445" s="70">
        <f>'RESUMEN TOTAL'!AH513</f>
        <v>0</v>
      </c>
      <c r="AC445" s="70">
        <f>'RESUMEN TOTAL'!AI513</f>
        <v>0</v>
      </c>
      <c r="AD445" s="70">
        <f>'RESUMEN TOTAL'!AJ513</f>
        <v>0</v>
      </c>
      <c r="AE445" s="70">
        <f>'RESUMEN TOTAL'!AK513</f>
        <v>0</v>
      </c>
      <c r="AF445" s="70">
        <f>'RESUMEN TOTAL'!AL513</f>
        <v>0</v>
      </c>
      <c r="AG445" s="70">
        <f>'RESUMEN TOTAL'!AM513</f>
        <v>0</v>
      </c>
      <c r="AH445" s="70">
        <f>'RESUMEN TOTAL'!AN513</f>
        <v>0</v>
      </c>
      <c r="AI445" s="70">
        <f>'RESUMEN TOTAL'!AO513</f>
        <v>0</v>
      </c>
    </row>
    <row r="446" spans="1:35" x14ac:dyDescent="0.25">
      <c r="A446" t="str">
        <f>'RESUMEN TOTAL'!A514</f>
        <v>VILLA MONICA VIEJA</v>
      </c>
      <c r="B446" t="str">
        <f>'RESUMEN TOTAL'!B514</f>
        <v>VMOV01 (fija 1)</v>
      </c>
      <c r="C446" t="str">
        <f>'RESUMEN TOTAL'!D514</f>
        <v>ATENAS E/ CAFFERATA Y ALEMANIA</v>
      </c>
      <c r="D446" s="30" t="str">
        <f>'RESUMEN TOTAL'!E514</f>
        <v>Fija</v>
      </c>
      <c r="E446" s="30" t="str">
        <f>'RESUMEN TOTAL'!F514</f>
        <v>Fibra Optica</v>
      </c>
      <c r="F446" s="70">
        <f>'RESUMEN TOTAL'!L514</f>
        <v>0</v>
      </c>
      <c r="G446" s="70">
        <f>'RESUMEN TOTAL'!M514</f>
        <v>0</v>
      </c>
      <c r="H446" s="70">
        <f>'RESUMEN TOTAL'!N514</f>
        <v>0</v>
      </c>
      <c r="I446" s="70">
        <f>'RESUMEN TOTAL'!O514</f>
        <v>0</v>
      </c>
      <c r="J446" s="70">
        <f>'RESUMEN TOTAL'!P514</f>
        <v>0</v>
      </c>
      <c r="K446" s="70">
        <f>'RESUMEN TOTAL'!Q514</f>
        <v>0</v>
      </c>
      <c r="L446" s="70">
        <f>'RESUMEN TOTAL'!R514</f>
        <v>0</v>
      </c>
      <c r="M446" s="70">
        <f>'RESUMEN TOTAL'!S514</f>
        <v>0</v>
      </c>
      <c r="N446" s="70">
        <f>'RESUMEN TOTAL'!T514</f>
        <v>0</v>
      </c>
      <c r="O446" s="70">
        <f>'RESUMEN TOTAL'!U514</f>
        <v>0</v>
      </c>
      <c r="P446" s="70">
        <f>'RESUMEN TOTAL'!V514</f>
        <v>0</v>
      </c>
      <c r="Q446" s="70">
        <f>'RESUMEN TOTAL'!W514</f>
        <v>0</v>
      </c>
      <c r="R446" s="70">
        <f>'RESUMEN TOTAL'!X514</f>
        <v>0</v>
      </c>
      <c r="S446" s="70">
        <f>'RESUMEN TOTAL'!Y514</f>
        <v>0</v>
      </c>
      <c r="T446" s="70">
        <f>'RESUMEN TOTAL'!Z514</f>
        <v>0</v>
      </c>
      <c r="U446" s="70">
        <f>'RESUMEN TOTAL'!AA514</f>
        <v>0</v>
      </c>
      <c r="V446" s="70">
        <f>'RESUMEN TOTAL'!AB514</f>
        <v>0</v>
      </c>
      <c r="W446" s="70">
        <f>'RESUMEN TOTAL'!AC514</f>
        <v>0</v>
      </c>
      <c r="X446" s="70">
        <f>'RESUMEN TOTAL'!AD514</f>
        <v>0</v>
      </c>
      <c r="Y446" s="70">
        <f>'RESUMEN TOTAL'!AE514</f>
        <v>0</v>
      </c>
      <c r="Z446" s="70">
        <f>'RESUMEN TOTAL'!AF514</f>
        <v>0</v>
      </c>
      <c r="AA446" s="70">
        <f>'RESUMEN TOTAL'!AG514</f>
        <v>0</v>
      </c>
      <c r="AB446" s="70">
        <f>'RESUMEN TOTAL'!AH514</f>
        <v>0</v>
      </c>
      <c r="AC446" s="70">
        <f>'RESUMEN TOTAL'!AI514</f>
        <v>0</v>
      </c>
      <c r="AD446" s="70">
        <f>'RESUMEN TOTAL'!AJ514</f>
        <v>0</v>
      </c>
      <c r="AE446" s="70">
        <f>'RESUMEN TOTAL'!AK514</f>
        <v>0</v>
      </c>
      <c r="AF446" s="70">
        <f>'RESUMEN TOTAL'!AL514</f>
        <v>0</v>
      </c>
      <c r="AG446" s="70">
        <f>'RESUMEN TOTAL'!AM514</f>
        <v>0</v>
      </c>
      <c r="AH446" s="70">
        <f>'RESUMEN TOTAL'!AN514</f>
        <v>0</v>
      </c>
      <c r="AI446" s="70">
        <f>'RESUMEN TOTAL'!AO514</f>
        <v>0</v>
      </c>
    </row>
    <row r="447" spans="1:35" x14ac:dyDescent="0.25">
      <c r="A447" t="str">
        <f>'RESUMEN TOTAL'!A515</f>
        <v>VILLA MONICA VIEJA</v>
      </c>
      <c r="B447" t="str">
        <f>'RESUMEN TOTAL'!B515</f>
        <v>VMOV 02 (fija 2)</v>
      </c>
      <c r="C447" t="str">
        <f>'RESUMEN TOTAL'!D515</f>
        <v>ATENAS E/ CAFFERATA Y ALEMANIA</v>
      </c>
      <c r="D447" s="30" t="str">
        <f>'RESUMEN TOTAL'!E515</f>
        <v>Fija</v>
      </c>
      <c r="E447" s="30" t="str">
        <f>'RESUMEN TOTAL'!F515</f>
        <v>Fibra Optica</v>
      </c>
      <c r="F447" s="70">
        <f>'RESUMEN TOTAL'!L515</f>
        <v>0</v>
      </c>
      <c r="G447" s="70">
        <f>'RESUMEN TOTAL'!M515</f>
        <v>0</v>
      </c>
      <c r="H447" s="70">
        <f>'RESUMEN TOTAL'!N515</f>
        <v>0</v>
      </c>
      <c r="I447" s="70">
        <f>'RESUMEN TOTAL'!O515</f>
        <v>0</v>
      </c>
      <c r="J447" s="70">
        <f>'RESUMEN TOTAL'!P515</f>
        <v>0</v>
      </c>
      <c r="K447" s="70">
        <f>'RESUMEN TOTAL'!Q515</f>
        <v>0</v>
      </c>
      <c r="L447" s="70">
        <f>'RESUMEN TOTAL'!R515</f>
        <v>0</v>
      </c>
      <c r="M447" s="70">
        <f>'RESUMEN TOTAL'!S515</f>
        <v>0</v>
      </c>
      <c r="N447" s="70">
        <f>'RESUMEN TOTAL'!T515</f>
        <v>0</v>
      </c>
      <c r="O447" s="70">
        <f>'RESUMEN TOTAL'!U515</f>
        <v>0</v>
      </c>
      <c r="P447" s="70">
        <f>'RESUMEN TOTAL'!V515</f>
        <v>0</v>
      </c>
      <c r="Q447" s="70">
        <f>'RESUMEN TOTAL'!W515</f>
        <v>0</v>
      </c>
      <c r="R447" s="70">
        <f>'RESUMEN TOTAL'!X515</f>
        <v>0</v>
      </c>
      <c r="S447" s="70">
        <f>'RESUMEN TOTAL'!Y515</f>
        <v>0</v>
      </c>
      <c r="T447" s="70">
        <f>'RESUMEN TOTAL'!Z515</f>
        <v>0</v>
      </c>
      <c r="U447" s="70">
        <f>'RESUMEN TOTAL'!AA515</f>
        <v>0</v>
      </c>
      <c r="V447" s="70">
        <f>'RESUMEN TOTAL'!AB515</f>
        <v>0</v>
      </c>
      <c r="W447" s="70">
        <f>'RESUMEN TOTAL'!AC515</f>
        <v>0</v>
      </c>
      <c r="X447" s="70">
        <f>'RESUMEN TOTAL'!AD515</f>
        <v>0</v>
      </c>
      <c r="Y447" s="70">
        <f>'RESUMEN TOTAL'!AE515</f>
        <v>0</v>
      </c>
      <c r="Z447" s="70">
        <f>'RESUMEN TOTAL'!AF515</f>
        <v>0</v>
      </c>
      <c r="AA447" s="70">
        <f>'RESUMEN TOTAL'!AG515</f>
        <v>0</v>
      </c>
      <c r="AB447" s="70">
        <f>'RESUMEN TOTAL'!AH515</f>
        <v>0</v>
      </c>
      <c r="AC447" s="70">
        <f>'RESUMEN TOTAL'!AI515</f>
        <v>0</v>
      </c>
      <c r="AD447" s="70">
        <f>'RESUMEN TOTAL'!AJ515</f>
        <v>0</v>
      </c>
      <c r="AE447" s="70">
        <f>'RESUMEN TOTAL'!AK515</f>
        <v>0</v>
      </c>
      <c r="AF447" s="70">
        <f>'RESUMEN TOTAL'!AL515</f>
        <v>0</v>
      </c>
      <c r="AG447" s="70">
        <f>'RESUMEN TOTAL'!AM515</f>
        <v>0</v>
      </c>
      <c r="AH447" s="70">
        <f>'RESUMEN TOTAL'!AN515</f>
        <v>0</v>
      </c>
      <c r="AI447" s="70">
        <f>'RESUMEN TOTAL'!AO515</f>
        <v>0</v>
      </c>
    </row>
    <row r="448" spans="1:35" x14ac:dyDescent="0.25">
      <c r="A448" t="str">
        <f>'RESUMEN TOTAL'!A516</f>
        <v>VILLA MONICA VIEJA</v>
      </c>
      <c r="B448" t="str">
        <f>'RESUMEN TOTAL'!B516</f>
        <v>VMOV 03 (fija 1)</v>
      </c>
      <c r="C448" t="str">
        <f>'RESUMEN TOTAL'!D516</f>
        <v>ROMA E/ HOLANDA Y CAFFERATA</v>
      </c>
      <c r="D448" s="30" t="str">
        <f>'RESUMEN TOTAL'!E516</f>
        <v>Fija</v>
      </c>
      <c r="E448" s="30" t="str">
        <f>'RESUMEN TOTAL'!F516</f>
        <v>Fibra Optica</v>
      </c>
      <c r="F448" s="70">
        <f>'RESUMEN TOTAL'!L516</f>
        <v>0</v>
      </c>
      <c r="G448" s="70">
        <f>'RESUMEN TOTAL'!M516</f>
        <v>0</v>
      </c>
      <c r="H448" s="70">
        <f>'RESUMEN TOTAL'!N516</f>
        <v>0</v>
      </c>
      <c r="I448" s="70">
        <f>'RESUMEN TOTAL'!O516</f>
        <v>0</v>
      </c>
      <c r="J448" s="70">
        <f>'RESUMEN TOTAL'!P516</f>
        <v>0</v>
      </c>
      <c r="K448" s="70">
        <f>'RESUMEN TOTAL'!Q516</f>
        <v>0</v>
      </c>
      <c r="L448" s="70">
        <f>'RESUMEN TOTAL'!R516</f>
        <v>0</v>
      </c>
      <c r="M448" s="70">
        <f>'RESUMEN TOTAL'!S516</f>
        <v>0</v>
      </c>
      <c r="N448" s="70">
        <f>'RESUMEN TOTAL'!T516</f>
        <v>0</v>
      </c>
      <c r="O448" s="70">
        <f>'RESUMEN TOTAL'!U516</f>
        <v>0</v>
      </c>
      <c r="P448" s="70">
        <f>'RESUMEN TOTAL'!V516</f>
        <v>0</v>
      </c>
      <c r="Q448" s="70">
        <f>'RESUMEN TOTAL'!W516</f>
        <v>0</v>
      </c>
      <c r="R448" s="70">
        <f>'RESUMEN TOTAL'!X516</f>
        <v>0</v>
      </c>
      <c r="S448" s="70">
        <f>'RESUMEN TOTAL'!Y516</f>
        <v>0</v>
      </c>
      <c r="T448" s="70">
        <f>'RESUMEN TOTAL'!Z516</f>
        <v>0</v>
      </c>
      <c r="U448" s="70">
        <f>'RESUMEN TOTAL'!AA516</f>
        <v>0</v>
      </c>
      <c r="V448" s="70">
        <f>'RESUMEN TOTAL'!AB516</f>
        <v>0</v>
      </c>
      <c r="W448" s="70">
        <f>'RESUMEN TOTAL'!AC516</f>
        <v>0</v>
      </c>
      <c r="X448" s="70">
        <f>'RESUMEN TOTAL'!AD516</f>
        <v>0</v>
      </c>
      <c r="Y448" s="70">
        <f>'RESUMEN TOTAL'!AE516</f>
        <v>0</v>
      </c>
      <c r="Z448" s="70">
        <f>'RESUMEN TOTAL'!AF516</f>
        <v>0</v>
      </c>
      <c r="AA448" s="70">
        <f>'RESUMEN TOTAL'!AG516</f>
        <v>0</v>
      </c>
      <c r="AB448" s="70">
        <f>'RESUMEN TOTAL'!AH516</f>
        <v>0</v>
      </c>
      <c r="AC448" s="70">
        <f>'RESUMEN TOTAL'!AI516</f>
        <v>0</v>
      </c>
      <c r="AD448" s="70">
        <f>'RESUMEN TOTAL'!AJ516</f>
        <v>0</v>
      </c>
      <c r="AE448" s="70">
        <f>'RESUMEN TOTAL'!AK516</f>
        <v>0</v>
      </c>
      <c r="AF448" s="70">
        <f>'RESUMEN TOTAL'!AL516</f>
        <v>0</v>
      </c>
      <c r="AG448" s="70">
        <f>'RESUMEN TOTAL'!AM516</f>
        <v>0</v>
      </c>
      <c r="AH448" s="70">
        <f>'RESUMEN TOTAL'!AN516</f>
        <v>0</v>
      </c>
      <c r="AI448" s="70">
        <f>'RESUMEN TOTAL'!AO516</f>
        <v>0</v>
      </c>
    </row>
    <row r="449" spans="1:35" x14ac:dyDescent="0.25">
      <c r="A449" t="str">
        <f>'RESUMEN TOTAL'!A517</f>
        <v>VILLA MONICA VIEJA</v>
      </c>
      <c r="B449" t="str">
        <f>'RESUMEN TOTAL'!B517</f>
        <v>VMOV04 (fija 2)</v>
      </c>
      <c r="C449" t="str">
        <f>'RESUMEN TOTAL'!D517</f>
        <v>ROMA E/ HOLANDA Y CAFFERATA</v>
      </c>
      <c r="D449" s="30" t="str">
        <f>'RESUMEN TOTAL'!E517</f>
        <v>Fija</v>
      </c>
      <c r="E449" s="30" t="str">
        <f>'RESUMEN TOTAL'!F517</f>
        <v>Fibra Optica</v>
      </c>
      <c r="F449" s="70">
        <f>'RESUMEN TOTAL'!L517</f>
        <v>0</v>
      </c>
      <c r="G449" s="70">
        <f>'RESUMEN TOTAL'!M517</f>
        <v>0</v>
      </c>
      <c r="H449" s="70">
        <f>'RESUMEN TOTAL'!N517</f>
        <v>0</v>
      </c>
      <c r="I449" s="70">
        <f>'RESUMEN TOTAL'!O517</f>
        <v>0</v>
      </c>
      <c r="J449" s="70">
        <f>'RESUMEN TOTAL'!P517</f>
        <v>0</v>
      </c>
      <c r="K449" s="70">
        <f>'RESUMEN TOTAL'!Q517</f>
        <v>0</v>
      </c>
      <c r="L449" s="70">
        <f>'RESUMEN TOTAL'!R517</f>
        <v>0</v>
      </c>
      <c r="M449" s="70">
        <f>'RESUMEN TOTAL'!S517</f>
        <v>0</v>
      </c>
      <c r="N449" s="70">
        <f>'RESUMEN TOTAL'!T517</f>
        <v>0</v>
      </c>
      <c r="O449" s="70">
        <f>'RESUMEN TOTAL'!U517</f>
        <v>0</v>
      </c>
      <c r="P449" s="70">
        <f>'RESUMEN TOTAL'!V517</f>
        <v>0</v>
      </c>
      <c r="Q449" s="70">
        <f>'RESUMEN TOTAL'!W517</f>
        <v>0</v>
      </c>
      <c r="R449" s="70">
        <f>'RESUMEN TOTAL'!X517</f>
        <v>0</v>
      </c>
      <c r="S449" s="70">
        <f>'RESUMEN TOTAL'!Y517</f>
        <v>0</v>
      </c>
      <c r="T449" s="70">
        <f>'RESUMEN TOTAL'!Z517</f>
        <v>0</v>
      </c>
      <c r="U449" s="70">
        <f>'RESUMEN TOTAL'!AA517</f>
        <v>0</v>
      </c>
      <c r="V449" s="70">
        <f>'RESUMEN TOTAL'!AB517</f>
        <v>0</v>
      </c>
      <c r="W449" s="70">
        <f>'RESUMEN TOTAL'!AC517</f>
        <v>0</v>
      </c>
      <c r="X449" s="70">
        <f>'RESUMEN TOTAL'!AD517</f>
        <v>0</v>
      </c>
      <c r="Y449" s="70">
        <f>'RESUMEN TOTAL'!AE517</f>
        <v>0</v>
      </c>
      <c r="Z449" s="70">
        <f>'RESUMEN TOTAL'!AF517</f>
        <v>0</v>
      </c>
      <c r="AA449" s="70">
        <f>'RESUMEN TOTAL'!AG517</f>
        <v>0</v>
      </c>
      <c r="AB449" s="70">
        <f>'RESUMEN TOTAL'!AH517</f>
        <v>0</v>
      </c>
      <c r="AC449" s="70">
        <f>'RESUMEN TOTAL'!AI517</f>
        <v>0</v>
      </c>
      <c r="AD449" s="70">
        <f>'RESUMEN TOTAL'!AJ517</f>
        <v>0</v>
      </c>
      <c r="AE449" s="70">
        <f>'RESUMEN TOTAL'!AK517</f>
        <v>0</v>
      </c>
      <c r="AF449" s="70">
        <f>'RESUMEN TOTAL'!AL517</f>
        <v>0</v>
      </c>
      <c r="AG449" s="70">
        <f>'RESUMEN TOTAL'!AM517</f>
        <v>0</v>
      </c>
      <c r="AH449" s="70">
        <f>'RESUMEN TOTAL'!AN517</f>
        <v>0</v>
      </c>
      <c r="AI449" s="70">
        <f>'RESUMEN TOTAL'!AO517</f>
        <v>0</v>
      </c>
    </row>
    <row r="450" spans="1:35" x14ac:dyDescent="0.25">
      <c r="A450" t="str">
        <f>'RESUMEN TOTAL'!A518</f>
        <v>VILLA SAN LUIS</v>
      </c>
      <c r="B450" t="str">
        <f>'RESUMEN TOTAL'!B518</f>
        <v>VSL 01</v>
      </c>
      <c r="C450" t="str">
        <f>'RESUMEN TOTAL'!D518</f>
        <v>AV. HUDSON Y CACHEUTA</v>
      </c>
      <c r="D450" s="30" t="str">
        <f>'RESUMEN TOTAL'!E518</f>
        <v>DOMO</v>
      </c>
      <c r="E450" s="30" t="str">
        <f>'RESUMEN TOTAL'!F518</f>
        <v>GPON</v>
      </c>
      <c r="F450" s="70">
        <f>'RESUMEN TOTAL'!L518</f>
        <v>0</v>
      </c>
      <c r="G450" s="70">
        <f>'RESUMEN TOTAL'!M518</f>
        <v>0</v>
      </c>
      <c r="H450" s="70">
        <f>'RESUMEN TOTAL'!N518</f>
        <v>0</v>
      </c>
      <c r="I450" s="70">
        <f>'RESUMEN TOTAL'!O518</f>
        <v>0</v>
      </c>
      <c r="J450" s="70">
        <f>'RESUMEN TOTAL'!P518</f>
        <v>0</v>
      </c>
      <c r="K450" s="70">
        <f>'RESUMEN TOTAL'!Q518</f>
        <v>0</v>
      </c>
      <c r="L450" s="70">
        <f>'RESUMEN TOTAL'!R518</f>
        <v>0</v>
      </c>
      <c r="M450" s="70">
        <f>'RESUMEN TOTAL'!S518</f>
        <v>0</v>
      </c>
      <c r="N450" s="70">
        <f>'RESUMEN TOTAL'!T518</f>
        <v>0</v>
      </c>
      <c r="O450" s="70">
        <f>'RESUMEN TOTAL'!U518</f>
        <v>0</v>
      </c>
      <c r="P450" s="70">
        <f>'RESUMEN TOTAL'!V518</f>
        <v>0</v>
      </c>
      <c r="Q450" s="70">
        <f>'RESUMEN TOTAL'!W518</f>
        <v>0</v>
      </c>
      <c r="R450" s="70">
        <f>'RESUMEN TOTAL'!X518</f>
        <v>0</v>
      </c>
      <c r="S450" s="70">
        <f>'RESUMEN TOTAL'!Y518</f>
        <v>0</v>
      </c>
      <c r="T450" s="70">
        <f>'RESUMEN TOTAL'!Z518</f>
        <v>0</v>
      </c>
      <c r="U450" s="70">
        <f>'RESUMEN TOTAL'!AA518</f>
        <v>0</v>
      </c>
      <c r="V450" s="70">
        <f>'RESUMEN TOTAL'!AB518</f>
        <v>0</v>
      </c>
      <c r="W450" s="70">
        <f>'RESUMEN TOTAL'!AC518</f>
        <v>0</v>
      </c>
      <c r="X450" s="70">
        <f>'RESUMEN TOTAL'!AD518</f>
        <v>0</v>
      </c>
      <c r="Y450" s="70">
        <f>'RESUMEN TOTAL'!AE518</f>
        <v>0</v>
      </c>
      <c r="Z450" s="70">
        <f>'RESUMEN TOTAL'!AF518</f>
        <v>0</v>
      </c>
      <c r="AA450" s="70">
        <f>'RESUMEN TOTAL'!AG518</f>
        <v>0</v>
      </c>
      <c r="AB450" s="70">
        <f>'RESUMEN TOTAL'!AH518</f>
        <v>0</v>
      </c>
      <c r="AC450" s="70">
        <f>'RESUMEN TOTAL'!AI518</f>
        <v>0</v>
      </c>
      <c r="AD450" s="70">
        <f>'RESUMEN TOTAL'!AJ518</f>
        <v>0</v>
      </c>
      <c r="AE450" s="70">
        <f>'RESUMEN TOTAL'!AK518</f>
        <v>0</v>
      </c>
      <c r="AF450" s="70">
        <f>'RESUMEN TOTAL'!AL518</f>
        <v>0</v>
      </c>
      <c r="AG450" s="70">
        <f>'RESUMEN TOTAL'!AM518</f>
        <v>0</v>
      </c>
      <c r="AH450" s="70">
        <f>'RESUMEN TOTAL'!AN518</f>
        <v>0</v>
      </c>
      <c r="AI450" s="70">
        <f>'RESUMEN TOTAL'!AO518</f>
        <v>0</v>
      </c>
    </row>
    <row r="451" spans="1:35" x14ac:dyDescent="0.25">
      <c r="A451" t="str">
        <f>'RESUMEN TOTAL'!A519</f>
        <v>VILLA SUSANA</v>
      </c>
      <c r="B451" t="str">
        <f>'RESUMEN TOTAL'!B519</f>
        <v>VSU01</v>
      </c>
      <c r="C451" t="str">
        <f>'RESUMEN TOTAL'!D519</f>
        <v>CJAL. JUAN BROWN Y SANTA FE</v>
      </c>
      <c r="D451" s="30" t="str">
        <f>'RESUMEN TOTAL'!E519</f>
        <v>DOMO</v>
      </c>
      <c r="E451" s="30" t="str">
        <f>'RESUMEN TOTAL'!F519</f>
        <v>Radio</v>
      </c>
      <c r="F451" s="70">
        <f>'RESUMEN TOTAL'!L519</f>
        <v>0</v>
      </c>
      <c r="G451" s="70">
        <f>'RESUMEN TOTAL'!M519</f>
        <v>0</v>
      </c>
      <c r="H451" s="70">
        <f>'RESUMEN TOTAL'!N519</f>
        <v>0</v>
      </c>
      <c r="I451" s="70">
        <f>'RESUMEN TOTAL'!O519</f>
        <v>0</v>
      </c>
      <c r="J451" s="70">
        <f>'RESUMEN TOTAL'!P519</f>
        <v>0</v>
      </c>
      <c r="K451" s="70">
        <f>'RESUMEN TOTAL'!Q519</f>
        <v>0</v>
      </c>
      <c r="L451" s="70">
        <f>'RESUMEN TOTAL'!R519</f>
        <v>0</v>
      </c>
      <c r="M451" s="70">
        <f>'RESUMEN TOTAL'!S519</f>
        <v>0</v>
      </c>
      <c r="N451" s="70">
        <f>'RESUMEN TOTAL'!T519</f>
        <v>0</v>
      </c>
      <c r="O451" s="70">
        <f>'RESUMEN TOTAL'!U519</f>
        <v>0</v>
      </c>
      <c r="P451" s="70">
        <f>'RESUMEN TOTAL'!V519</f>
        <v>0</v>
      </c>
      <c r="Q451" s="70">
        <f>'RESUMEN TOTAL'!W519</f>
        <v>0</v>
      </c>
      <c r="R451" s="70">
        <f>'RESUMEN TOTAL'!X519</f>
        <v>0</v>
      </c>
      <c r="S451" s="70">
        <f>'RESUMEN TOTAL'!Y519</f>
        <v>0</v>
      </c>
      <c r="T451" s="70">
        <f>'RESUMEN TOTAL'!Z519</f>
        <v>0</v>
      </c>
      <c r="U451" s="70">
        <f>'RESUMEN TOTAL'!AA519</f>
        <v>0</v>
      </c>
      <c r="V451" s="70">
        <f>'RESUMEN TOTAL'!AB519</f>
        <v>0</v>
      </c>
      <c r="W451" s="70">
        <f>'RESUMEN TOTAL'!AC519</f>
        <v>0</v>
      </c>
      <c r="X451" s="70">
        <f>'RESUMEN TOTAL'!AD519</f>
        <v>0</v>
      </c>
      <c r="Y451" s="70">
        <f>'RESUMEN TOTAL'!AE519</f>
        <v>0</v>
      </c>
      <c r="Z451" s="70">
        <f>'RESUMEN TOTAL'!AF519</f>
        <v>0</v>
      </c>
      <c r="AA451" s="70">
        <f>'RESUMEN TOTAL'!AG519</f>
        <v>0</v>
      </c>
      <c r="AB451" s="70">
        <f>'RESUMEN TOTAL'!AH519</f>
        <v>0</v>
      </c>
      <c r="AC451" s="70">
        <f>'RESUMEN TOTAL'!AI519</f>
        <v>0</v>
      </c>
      <c r="AD451" s="70">
        <f>'RESUMEN TOTAL'!AJ519</f>
        <v>0</v>
      </c>
      <c r="AE451" s="70">
        <f>'RESUMEN TOTAL'!AK519</f>
        <v>0</v>
      </c>
      <c r="AF451" s="70">
        <f>'RESUMEN TOTAL'!AL519</f>
        <v>0</v>
      </c>
      <c r="AG451" s="70">
        <f>'RESUMEN TOTAL'!AM519</f>
        <v>0</v>
      </c>
      <c r="AH451" s="70">
        <f>'RESUMEN TOTAL'!AN519</f>
        <v>0</v>
      </c>
      <c r="AI451" s="70">
        <f>'RESUMEN TOTAL'!AO519</f>
        <v>0</v>
      </c>
    </row>
    <row r="452" spans="1:35" x14ac:dyDescent="0.25">
      <c r="A452" t="str">
        <f>'RESUMEN TOTAL'!A520</f>
        <v>VILLA SUSANA</v>
      </c>
      <c r="B452" t="str">
        <f>'RESUMEN TOTAL'!B520</f>
        <v>VSU 02</v>
      </c>
      <c r="C452" t="str">
        <f>'RESUMEN TOTAL'!D520</f>
        <v>CABELLO Y SANTA FE</v>
      </c>
      <c r="D452" s="30" t="str">
        <f>'RESUMEN TOTAL'!E520</f>
        <v>DOMO</v>
      </c>
      <c r="E452" s="30" t="str">
        <f>'RESUMEN TOTAL'!F520</f>
        <v>Radio</v>
      </c>
      <c r="F452" s="70">
        <f>'RESUMEN TOTAL'!L520</f>
        <v>0</v>
      </c>
      <c r="G452" s="70">
        <f>'RESUMEN TOTAL'!M520</f>
        <v>0</v>
      </c>
      <c r="H452" s="70">
        <f>'RESUMEN TOTAL'!N520</f>
        <v>0</v>
      </c>
      <c r="I452" s="70">
        <f>'RESUMEN TOTAL'!O520</f>
        <v>0</v>
      </c>
      <c r="J452" s="70">
        <f>'RESUMEN TOTAL'!P520</f>
        <v>0</v>
      </c>
      <c r="K452" s="70">
        <f>'RESUMEN TOTAL'!Q520</f>
        <v>0</v>
      </c>
      <c r="L452" s="70">
        <f>'RESUMEN TOTAL'!R520</f>
        <v>0</v>
      </c>
      <c r="M452" s="70">
        <f>'RESUMEN TOTAL'!S520</f>
        <v>0</v>
      </c>
      <c r="N452" s="70">
        <f>'RESUMEN TOTAL'!T520</f>
        <v>0</v>
      </c>
      <c r="O452" s="70">
        <f>'RESUMEN TOTAL'!U520</f>
        <v>0</v>
      </c>
      <c r="P452" s="70">
        <f>'RESUMEN TOTAL'!V520</f>
        <v>0</v>
      </c>
      <c r="Q452" s="70">
        <f>'RESUMEN TOTAL'!W520</f>
        <v>0</v>
      </c>
      <c r="R452" s="70">
        <f>'RESUMEN TOTAL'!X520</f>
        <v>0</v>
      </c>
      <c r="S452" s="70">
        <f>'RESUMEN TOTAL'!Y520</f>
        <v>0</v>
      </c>
      <c r="T452" s="70">
        <f>'RESUMEN TOTAL'!Z520</f>
        <v>0</v>
      </c>
      <c r="U452" s="70">
        <f>'RESUMEN TOTAL'!AA520</f>
        <v>0</v>
      </c>
      <c r="V452" s="70">
        <f>'RESUMEN TOTAL'!AB520</f>
        <v>0</v>
      </c>
      <c r="W452" s="70">
        <f>'RESUMEN TOTAL'!AC520</f>
        <v>0</v>
      </c>
      <c r="X452" s="70">
        <f>'RESUMEN TOTAL'!AD520</f>
        <v>0</v>
      </c>
      <c r="Y452" s="70">
        <f>'RESUMEN TOTAL'!AE520</f>
        <v>0</v>
      </c>
      <c r="Z452" s="70">
        <f>'RESUMEN TOTAL'!AF520</f>
        <v>0</v>
      </c>
      <c r="AA452" s="70">
        <f>'RESUMEN TOTAL'!AG520</f>
        <v>0</v>
      </c>
      <c r="AB452" s="70">
        <f>'RESUMEN TOTAL'!AH520</f>
        <v>0</v>
      </c>
      <c r="AC452" s="70">
        <f>'RESUMEN TOTAL'!AI520</f>
        <v>0</v>
      </c>
      <c r="AD452" s="70">
        <f>'RESUMEN TOTAL'!AJ520</f>
        <v>0</v>
      </c>
      <c r="AE452" s="70">
        <f>'RESUMEN TOTAL'!AK520</f>
        <v>0</v>
      </c>
      <c r="AF452" s="70">
        <f>'RESUMEN TOTAL'!AL520</f>
        <v>0</v>
      </c>
      <c r="AG452" s="70">
        <f>'RESUMEN TOTAL'!AM520</f>
        <v>0</v>
      </c>
      <c r="AH452" s="70">
        <f>'RESUMEN TOTAL'!AN520</f>
        <v>0</v>
      </c>
      <c r="AI452" s="70">
        <f>'RESUMEN TOTAL'!AO520</f>
        <v>0</v>
      </c>
    </row>
    <row r="453" spans="1:35" x14ac:dyDescent="0.25">
      <c r="A453" t="str">
        <f>'RESUMEN TOTAL'!A521</f>
        <v>VILLA SUSANA</v>
      </c>
      <c r="B453" t="str">
        <f>'RESUMEN TOTAL'!B521</f>
        <v>VSU 03</v>
      </c>
      <c r="C453" t="str">
        <f>'RESUMEN TOTAL'!D521</f>
        <v>EE.UU Y SERRANO</v>
      </c>
      <c r="D453" s="30" t="str">
        <f>'RESUMEN TOTAL'!E521</f>
        <v>DOMO</v>
      </c>
      <c r="E453" s="30" t="str">
        <f>'RESUMEN TOTAL'!F521</f>
        <v>Radio</v>
      </c>
      <c r="F453" s="70">
        <f>'RESUMEN TOTAL'!L521</f>
        <v>0</v>
      </c>
      <c r="G453" s="70">
        <f>'RESUMEN TOTAL'!M521</f>
        <v>0</v>
      </c>
      <c r="H453" s="70">
        <f>'RESUMEN TOTAL'!N521</f>
        <v>0</v>
      </c>
      <c r="I453" s="70">
        <f>'RESUMEN TOTAL'!O521</f>
        <v>0</v>
      </c>
      <c r="J453" s="70">
        <f>'RESUMEN TOTAL'!P521</f>
        <v>0</v>
      </c>
      <c r="K453" s="70">
        <f>'RESUMEN TOTAL'!Q521</f>
        <v>0</v>
      </c>
      <c r="L453" s="70">
        <f>'RESUMEN TOTAL'!R521</f>
        <v>0</v>
      </c>
      <c r="M453" s="70">
        <f>'RESUMEN TOTAL'!S521</f>
        <v>0</v>
      </c>
      <c r="N453" s="70">
        <f>'RESUMEN TOTAL'!T521</f>
        <v>0</v>
      </c>
      <c r="O453" s="70">
        <f>'RESUMEN TOTAL'!U521</f>
        <v>0</v>
      </c>
      <c r="P453" s="70">
        <f>'RESUMEN TOTAL'!V521</f>
        <v>0</v>
      </c>
      <c r="Q453" s="70">
        <f>'RESUMEN TOTAL'!W521</f>
        <v>0</v>
      </c>
      <c r="R453" s="70">
        <f>'RESUMEN TOTAL'!X521</f>
        <v>0</v>
      </c>
      <c r="S453" s="70">
        <f>'RESUMEN TOTAL'!Y521</f>
        <v>0</v>
      </c>
      <c r="T453" s="70">
        <f>'RESUMEN TOTAL'!Z521</f>
        <v>0</v>
      </c>
      <c r="U453" s="70">
        <f>'RESUMEN TOTAL'!AA521</f>
        <v>0</v>
      </c>
      <c r="V453" s="70">
        <f>'RESUMEN TOTAL'!AB521</f>
        <v>0</v>
      </c>
      <c r="W453" s="70">
        <f>'RESUMEN TOTAL'!AC521</f>
        <v>0</v>
      </c>
      <c r="X453" s="70">
        <f>'RESUMEN TOTAL'!AD521</f>
        <v>0</v>
      </c>
      <c r="Y453" s="70">
        <f>'RESUMEN TOTAL'!AE521</f>
        <v>0</v>
      </c>
      <c r="Z453" s="70">
        <f>'RESUMEN TOTAL'!AF521</f>
        <v>0</v>
      </c>
      <c r="AA453" s="70">
        <f>'RESUMEN TOTAL'!AG521</f>
        <v>0</v>
      </c>
      <c r="AB453" s="70">
        <f>'RESUMEN TOTAL'!AH521</f>
        <v>0</v>
      </c>
      <c r="AC453" s="70">
        <f>'RESUMEN TOTAL'!AI521</f>
        <v>0</v>
      </c>
      <c r="AD453" s="70">
        <f>'RESUMEN TOTAL'!AJ521</f>
        <v>0</v>
      </c>
      <c r="AE453" s="70">
        <f>'RESUMEN TOTAL'!AK521</f>
        <v>0</v>
      </c>
      <c r="AF453" s="70">
        <f>'RESUMEN TOTAL'!AL521</f>
        <v>0</v>
      </c>
      <c r="AG453" s="70">
        <f>'RESUMEN TOTAL'!AM521</f>
        <v>0</v>
      </c>
      <c r="AH453" s="70">
        <f>'RESUMEN TOTAL'!AN521</f>
        <v>0</v>
      </c>
      <c r="AI453" s="70">
        <f>'RESUMEN TOTAL'!AO521</f>
        <v>0</v>
      </c>
    </row>
    <row r="454" spans="1:35" x14ac:dyDescent="0.25">
      <c r="A454" t="str">
        <f>'RESUMEN TOTAL'!A522</f>
        <v>VILLA SUSANA</v>
      </c>
      <c r="B454" t="str">
        <f>'RESUMEN TOTAL'!B522</f>
        <v>VSU 04</v>
      </c>
      <c r="C454" t="str">
        <f>'RESUMEN TOTAL'!D522</f>
        <v>Aniceto Diaz y Cordoba</v>
      </c>
      <c r="D454" s="30" t="str">
        <f>'RESUMEN TOTAL'!E522</f>
        <v>fija</v>
      </c>
      <c r="E454" s="30" t="str">
        <f>'RESUMEN TOTAL'!F522</f>
        <v>Fibra Optica</v>
      </c>
      <c r="F454" s="70">
        <f>'RESUMEN TOTAL'!L522</f>
        <v>0</v>
      </c>
      <c r="G454" s="70">
        <f>'RESUMEN TOTAL'!M522</f>
        <v>0</v>
      </c>
      <c r="H454" s="70">
        <f>'RESUMEN TOTAL'!N522</f>
        <v>0</v>
      </c>
      <c r="I454" s="70">
        <f>'RESUMEN TOTAL'!O522</f>
        <v>0</v>
      </c>
      <c r="J454" s="70">
        <f>'RESUMEN TOTAL'!P522</f>
        <v>0</v>
      </c>
      <c r="K454" s="70">
        <f>'RESUMEN TOTAL'!Q522</f>
        <v>0</v>
      </c>
      <c r="L454" s="70">
        <f>'RESUMEN TOTAL'!R522</f>
        <v>0</v>
      </c>
      <c r="M454" s="70">
        <f>'RESUMEN TOTAL'!S522</f>
        <v>0</v>
      </c>
      <c r="N454" s="70">
        <f>'RESUMEN TOTAL'!T522</f>
        <v>0</v>
      </c>
      <c r="O454" s="70">
        <f>'RESUMEN TOTAL'!U522</f>
        <v>0</v>
      </c>
      <c r="P454" s="70">
        <f>'RESUMEN TOTAL'!V522</f>
        <v>0</v>
      </c>
      <c r="Q454" s="70">
        <f>'RESUMEN TOTAL'!W522</f>
        <v>0</v>
      </c>
      <c r="R454" s="70">
        <f>'RESUMEN TOTAL'!X522</f>
        <v>0</v>
      </c>
      <c r="S454" s="70">
        <f>'RESUMEN TOTAL'!Y522</f>
        <v>0</v>
      </c>
      <c r="T454" s="70">
        <f>'RESUMEN TOTAL'!Z522</f>
        <v>0</v>
      </c>
      <c r="U454" s="70">
        <f>'RESUMEN TOTAL'!AA522</f>
        <v>0</v>
      </c>
      <c r="V454" s="70">
        <f>'RESUMEN TOTAL'!AB522</f>
        <v>0</v>
      </c>
      <c r="W454" s="70">
        <f>'RESUMEN TOTAL'!AC522</f>
        <v>0</v>
      </c>
      <c r="X454" s="70">
        <f>'RESUMEN TOTAL'!AD522</f>
        <v>0</v>
      </c>
      <c r="Y454" s="70">
        <f>'RESUMEN TOTAL'!AE522</f>
        <v>0</v>
      </c>
      <c r="Z454" s="70">
        <f>'RESUMEN TOTAL'!AF522</f>
        <v>0</v>
      </c>
      <c r="AA454" s="70">
        <f>'RESUMEN TOTAL'!AG522</f>
        <v>0</v>
      </c>
      <c r="AB454" s="70">
        <f>'RESUMEN TOTAL'!AH522</f>
        <v>0</v>
      </c>
      <c r="AC454" s="70">
        <f>'RESUMEN TOTAL'!AI522</f>
        <v>0</v>
      </c>
      <c r="AD454" s="70">
        <f>'RESUMEN TOTAL'!AJ522</f>
        <v>0</v>
      </c>
      <c r="AE454" s="70">
        <f>'RESUMEN TOTAL'!AK522</f>
        <v>0</v>
      </c>
      <c r="AF454" s="70">
        <f>'RESUMEN TOTAL'!AL522</f>
        <v>0</v>
      </c>
      <c r="AG454" s="70">
        <f>'RESUMEN TOTAL'!AM522</f>
        <v>0</v>
      </c>
      <c r="AH454" s="70">
        <f>'RESUMEN TOTAL'!AN522</f>
        <v>0</v>
      </c>
      <c r="AI454" s="70">
        <f>'RESUMEN TOTAL'!AO522</f>
        <v>0</v>
      </c>
    </row>
    <row r="455" spans="1:35" x14ac:dyDescent="0.25">
      <c r="A455" t="str">
        <f>'RESUMEN TOTAL'!A523</f>
        <v>VILLA SUSANA</v>
      </c>
      <c r="B455" t="str">
        <f>'RESUMEN TOTAL'!B523</f>
        <v>VSU 05</v>
      </c>
      <c r="C455" t="str">
        <f>'RESUMEN TOTAL'!D523</f>
        <v>Aniceto Diaz y Cordoba</v>
      </c>
      <c r="D455" s="30" t="str">
        <f>'RESUMEN TOTAL'!E523</f>
        <v>fija</v>
      </c>
      <c r="E455" s="30" t="str">
        <f>'RESUMEN TOTAL'!F523</f>
        <v>Fibra Optica</v>
      </c>
      <c r="F455" s="70">
        <f>'RESUMEN TOTAL'!L523</f>
        <v>0</v>
      </c>
      <c r="G455" s="70">
        <f>'RESUMEN TOTAL'!M523</f>
        <v>0</v>
      </c>
      <c r="H455" s="70">
        <f>'RESUMEN TOTAL'!N523</f>
        <v>0</v>
      </c>
      <c r="I455" s="70">
        <f>'RESUMEN TOTAL'!O523</f>
        <v>0</v>
      </c>
      <c r="J455" s="70">
        <f>'RESUMEN TOTAL'!P523</f>
        <v>0</v>
      </c>
      <c r="K455" s="70">
        <f>'RESUMEN TOTAL'!Q523</f>
        <v>0</v>
      </c>
      <c r="L455" s="70">
        <f>'RESUMEN TOTAL'!R523</f>
        <v>0</v>
      </c>
      <c r="M455" s="70">
        <f>'RESUMEN TOTAL'!S523</f>
        <v>0</v>
      </c>
      <c r="N455" s="70">
        <f>'RESUMEN TOTAL'!T523</f>
        <v>0</v>
      </c>
      <c r="O455" s="70">
        <f>'RESUMEN TOTAL'!U523</f>
        <v>0</v>
      </c>
      <c r="P455" s="70">
        <f>'RESUMEN TOTAL'!V523</f>
        <v>0</v>
      </c>
      <c r="Q455" s="70">
        <f>'RESUMEN TOTAL'!W523</f>
        <v>0</v>
      </c>
      <c r="R455" s="70">
        <f>'RESUMEN TOTAL'!X523</f>
        <v>0</v>
      </c>
      <c r="S455" s="70">
        <f>'RESUMEN TOTAL'!Y523</f>
        <v>0</v>
      </c>
      <c r="T455" s="70">
        <f>'RESUMEN TOTAL'!Z523</f>
        <v>0</v>
      </c>
      <c r="U455" s="70">
        <f>'RESUMEN TOTAL'!AA523</f>
        <v>0</v>
      </c>
      <c r="V455" s="70">
        <f>'RESUMEN TOTAL'!AB523</f>
        <v>0</v>
      </c>
      <c r="W455" s="70">
        <f>'RESUMEN TOTAL'!AC523</f>
        <v>0</v>
      </c>
      <c r="X455" s="70">
        <f>'RESUMEN TOTAL'!AD523</f>
        <v>0</v>
      </c>
      <c r="Y455" s="70">
        <f>'RESUMEN TOTAL'!AE523</f>
        <v>0</v>
      </c>
      <c r="Z455" s="70">
        <f>'RESUMEN TOTAL'!AF523</f>
        <v>0</v>
      </c>
      <c r="AA455" s="70">
        <f>'RESUMEN TOTAL'!AG523</f>
        <v>0</v>
      </c>
      <c r="AB455" s="70">
        <f>'RESUMEN TOTAL'!AH523</f>
        <v>0</v>
      </c>
      <c r="AC455" s="70">
        <f>'RESUMEN TOTAL'!AI523</f>
        <v>0</v>
      </c>
      <c r="AD455" s="70">
        <f>'RESUMEN TOTAL'!AJ523</f>
        <v>0</v>
      </c>
      <c r="AE455" s="70">
        <f>'RESUMEN TOTAL'!AK523</f>
        <v>0</v>
      </c>
      <c r="AF455" s="70">
        <f>'RESUMEN TOTAL'!AL523</f>
        <v>0</v>
      </c>
      <c r="AG455" s="70">
        <f>'RESUMEN TOTAL'!AM523</f>
        <v>0</v>
      </c>
      <c r="AH455" s="70">
        <f>'RESUMEN TOTAL'!AN523</f>
        <v>0</v>
      </c>
      <c r="AI455" s="70">
        <f>'RESUMEN TOTAL'!AO523</f>
        <v>0</v>
      </c>
    </row>
    <row r="456" spans="1:35" x14ac:dyDescent="0.25">
      <c r="A456" t="str">
        <f>'RESUMEN TOTAL'!A524</f>
        <v>VILLA SUSANA</v>
      </c>
      <c r="B456" t="str">
        <f>'RESUMEN TOTAL'!B524</f>
        <v>VSU 06</v>
      </c>
      <c r="C456" t="str">
        <f>'RESUMEN TOTAL'!D524</f>
        <v>EE.UU Y BROWN</v>
      </c>
      <c r="D456" s="30" t="str">
        <f>'RESUMEN TOTAL'!E524</f>
        <v>DOMO</v>
      </c>
      <c r="E456" s="30" t="str">
        <f>'RESUMEN TOTAL'!F524</f>
        <v>Fibra Optica</v>
      </c>
      <c r="F456" s="70">
        <f>'RESUMEN TOTAL'!L524</f>
        <v>0</v>
      </c>
      <c r="G456" s="70">
        <f>'RESUMEN TOTAL'!M524</f>
        <v>0</v>
      </c>
      <c r="H456" s="70">
        <f>'RESUMEN TOTAL'!N524</f>
        <v>0</v>
      </c>
      <c r="I456" s="70">
        <f>'RESUMEN TOTAL'!O524</f>
        <v>0</v>
      </c>
      <c r="J456" s="70">
        <f>'RESUMEN TOTAL'!P524</f>
        <v>0</v>
      </c>
      <c r="K456" s="70">
        <f>'RESUMEN TOTAL'!Q524</f>
        <v>0</v>
      </c>
      <c r="L456" s="70">
        <f>'RESUMEN TOTAL'!R524</f>
        <v>0</v>
      </c>
      <c r="M456" s="70">
        <f>'RESUMEN TOTAL'!S524</f>
        <v>0</v>
      </c>
      <c r="N456" s="70">
        <f>'RESUMEN TOTAL'!T524</f>
        <v>0</v>
      </c>
      <c r="O456" s="70">
        <f>'RESUMEN TOTAL'!U524</f>
        <v>0</v>
      </c>
      <c r="P456" s="70">
        <f>'RESUMEN TOTAL'!V524</f>
        <v>0</v>
      </c>
      <c r="Q456" s="70">
        <f>'RESUMEN TOTAL'!W524</f>
        <v>0</v>
      </c>
      <c r="R456" s="70">
        <f>'RESUMEN TOTAL'!X524</f>
        <v>0</v>
      </c>
      <c r="S456" s="70">
        <f>'RESUMEN TOTAL'!Y524</f>
        <v>0</v>
      </c>
      <c r="T456" s="70">
        <f>'RESUMEN TOTAL'!Z524</f>
        <v>0</v>
      </c>
      <c r="U456" s="70">
        <f>'RESUMEN TOTAL'!AA524</f>
        <v>0</v>
      </c>
      <c r="V456" s="70">
        <f>'RESUMEN TOTAL'!AB524</f>
        <v>0</v>
      </c>
      <c r="W456" s="70">
        <f>'RESUMEN TOTAL'!AC524</f>
        <v>0</v>
      </c>
      <c r="X456" s="70">
        <f>'RESUMEN TOTAL'!AD524</f>
        <v>0</v>
      </c>
      <c r="Y456" s="70">
        <f>'RESUMEN TOTAL'!AE524</f>
        <v>0</v>
      </c>
      <c r="Z456" s="70">
        <f>'RESUMEN TOTAL'!AF524</f>
        <v>0</v>
      </c>
      <c r="AA456" s="70">
        <f>'RESUMEN TOTAL'!AG524</f>
        <v>0</v>
      </c>
      <c r="AB456" s="70">
        <f>'RESUMEN TOTAL'!AH524</f>
        <v>0</v>
      </c>
      <c r="AC456" s="70">
        <f>'RESUMEN TOTAL'!AI524</f>
        <v>0</v>
      </c>
      <c r="AD456" s="70">
        <f>'RESUMEN TOTAL'!AJ524</f>
        <v>0</v>
      </c>
      <c r="AE456" s="70">
        <f>'RESUMEN TOTAL'!AK524</f>
        <v>0</v>
      </c>
      <c r="AF456" s="70">
        <f>'RESUMEN TOTAL'!AL524</f>
        <v>0</v>
      </c>
      <c r="AG456" s="70">
        <f>'RESUMEN TOTAL'!AM524</f>
        <v>0</v>
      </c>
      <c r="AH456" s="70">
        <f>'RESUMEN TOTAL'!AN524</f>
        <v>0</v>
      </c>
      <c r="AI456" s="70">
        <f>'RESUMEN TOTAL'!AO524</f>
        <v>0</v>
      </c>
    </row>
    <row r="457" spans="1:35" x14ac:dyDescent="0.25">
      <c r="A457" t="str">
        <f>'RESUMEN TOTAL'!A525</f>
        <v>ZEBALLOS</v>
      </c>
      <c r="B457" t="str">
        <f>'RESUMEN TOTAL'!B525</f>
        <v>ZEB02</v>
      </c>
      <c r="C457" t="str">
        <f>'RESUMEN TOTAL'!D525</f>
        <v>Quinquela Martin y Sgo. del Estero</v>
      </c>
      <c r="D457" s="30" t="str">
        <f>'RESUMEN TOTAL'!E525</f>
        <v>Domo</v>
      </c>
      <c r="E457" s="30" t="str">
        <f>'RESUMEN TOTAL'!F525</f>
        <v>GPON</v>
      </c>
      <c r="F457" s="70">
        <f>'RESUMEN TOTAL'!L525</f>
        <v>0</v>
      </c>
      <c r="G457" s="70">
        <f>'RESUMEN TOTAL'!M525</f>
        <v>0</v>
      </c>
      <c r="H457" s="70">
        <f>'RESUMEN TOTAL'!N525</f>
        <v>0</v>
      </c>
      <c r="I457" s="70">
        <f>'RESUMEN TOTAL'!O525</f>
        <v>0</v>
      </c>
      <c r="J457" s="70">
        <f>'RESUMEN TOTAL'!P525</f>
        <v>0</v>
      </c>
      <c r="K457" s="70">
        <f>'RESUMEN TOTAL'!Q525</f>
        <v>0</v>
      </c>
      <c r="L457" s="70">
        <f>'RESUMEN TOTAL'!R525</f>
        <v>0</v>
      </c>
      <c r="M457" s="70">
        <f>'RESUMEN TOTAL'!S525</f>
        <v>0</v>
      </c>
      <c r="N457" s="70">
        <f>'RESUMEN TOTAL'!T525</f>
        <v>0</v>
      </c>
      <c r="O457" s="70">
        <f>'RESUMEN TOTAL'!U525</f>
        <v>0</v>
      </c>
      <c r="P457" s="70">
        <f>'RESUMEN TOTAL'!V525</f>
        <v>0</v>
      </c>
      <c r="Q457" s="70">
        <f>'RESUMEN TOTAL'!W525</f>
        <v>0</v>
      </c>
      <c r="R457" s="70">
        <f>'RESUMEN TOTAL'!X525</f>
        <v>0</v>
      </c>
      <c r="S457" s="70">
        <f>'RESUMEN TOTAL'!Y525</f>
        <v>0</v>
      </c>
      <c r="T457" s="70">
        <f>'RESUMEN TOTAL'!Z525</f>
        <v>0</v>
      </c>
      <c r="U457" s="70">
        <f>'RESUMEN TOTAL'!AA525</f>
        <v>0</v>
      </c>
      <c r="V457" s="70">
        <f>'RESUMEN TOTAL'!AB525</f>
        <v>0</v>
      </c>
      <c r="W457" s="70">
        <f>'RESUMEN TOTAL'!AC525</f>
        <v>0</v>
      </c>
      <c r="X457" s="70">
        <f>'RESUMEN TOTAL'!AD525</f>
        <v>0</v>
      </c>
      <c r="Y457" s="70">
        <f>'RESUMEN TOTAL'!AE525</f>
        <v>0</v>
      </c>
      <c r="Z457" s="70">
        <f>'RESUMEN TOTAL'!AF525</f>
        <v>0</v>
      </c>
      <c r="AA457" s="70">
        <f>'RESUMEN TOTAL'!AG525</f>
        <v>0</v>
      </c>
      <c r="AB457" s="70">
        <f>'RESUMEN TOTAL'!AH525</f>
        <v>0</v>
      </c>
      <c r="AC457" s="70">
        <f>'RESUMEN TOTAL'!AI525</f>
        <v>0</v>
      </c>
      <c r="AD457" s="70">
        <f>'RESUMEN TOTAL'!AJ525</f>
        <v>0</v>
      </c>
      <c r="AE457" s="70">
        <f>'RESUMEN TOTAL'!AK525</f>
        <v>0</v>
      </c>
      <c r="AF457" s="70">
        <f>'RESUMEN TOTAL'!AL525</f>
        <v>0</v>
      </c>
      <c r="AG457" s="70">
        <f>'RESUMEN TOTAL'!AM525</f>
        <v>0</v>
      </c>
      <c r="AH457" s="70">
        <f>'RESUMEN TOTAL'!AN525</f>
        <v>0</v>
      </c>
      <c r="AI457" s="70">
        <f>'RESUMEN TOTAL'!AO525</f>
        <v>0</v>
      </c>
    </row>
    <row r="458" spans="1:35" x14ac:dyDescent="0.25">
      <c r="A458" t="str">
        <f>'RESUMEN TOTAL'!A526</f>
        <v>9 DE JULIO</v>
      </c>
      <c r="B458" t="str">
        <f>'RESUMEN TOTAL'!B526</f>
        <v>ZEB03</v>
      </c>
      <c r="C458" t="str">
        <f>'RESUMEN TOTAL'!D526</f>
        <v>Quinquela Martin y Pte. Peron</v>
      </c>
      <c r="D458" s="30" t="str">
        <f>'RESUMEN TOTAL'!E526</f>
        <v>Domo</v>
      </c>
      <c r="E458" s="30" t="str">
        <f>'RESUMEN TOTAL'!F526</f>
        <v>GPON</v>
      </c>
      <c r="F458" s="70">
        <f>'RESUMEN TOTAL'!L526</f>
        <v>0</v>
      </c>
      <c r="G458" s="70">
        <f>'RESUMEN TOTAL'!M526</f>
        <v>0</v>
      </c>
      <c r="H458" s="70">
        <f>'RESUMEN TOTAL'!N526</f>
        <v>0</v>
      </c>
      <c r="I458" s="70">
        <f>'RESUMEN TOTAL'!O526</f>
        <v>0</v>
      </c>
      <c r="J458" s="70">
        <f>'RESUMEN TOTAL'!P526</f>
        <v>0</v>
      </c>
      <c r="K458" s="70">
        <f>'RESUMEN TOTAL'!Q526</f>
        <v>0</v>
      </c>
      <c r="L458" s="70">
        <f>'RESUMEN TOTAL'!R526</f>
        <v>0</v>
      </c>
      <c r="M458" s="70">
        <f>'RESUMEN TOTAL'!S526</f>
        <v>0</v>
      </c>
      <c r="N458" s="70">
        <f>'RESUMEN TOTAL'!T526</f>
        <v>0</v>
      </c>
      <c r="O458" s="70">
        <f>'RESUMEN TOTAL'!U526</f>
        <v>0</v>
      </c>
      <c r="P458" s="70">
        <f>'RESUMEN TOTAL'!V526</f>
        <v>0</v>
      </c>
      <c r="Q458" s="70">
        <f>'RESUMEN TOTAL'!W526</f>
        <v>0</v>
      </c>
      <c r="R458" s="70">
        <f>'RESUMEN TOTAL'!X526</f>
        <v>0</v>
      </c>
      <c r="S458" s="70">
        <f>'RESUMEN TOTAL'!Y526</f>
        <v>0</v>
      </c>
      <c r="T458" s="70">
        <f>'RESUMEN TOTAL'!Z526</f>
        <v>0</v>
      </c>
      <c r="U458" s="70">
        <f>'RESUMEN TOTAL'!AA526</f>
        <v>0</v>
      </c>
      <c r="V458" s="70">
        <f>'RESUMEN TOTAL'!AB526</f>
        <v>0</v>
      </c>
      <c r="W458" s="70">
        <f>'RESUMEN TOTAL'!AC526</f>
        <v>0</v>
      </c>
      <c r="X458" s="70">
        <f>'RESUMEN TOTAL'!AD526</f>
        <v>0</v>
      </c>
      <c r="Y458" s="70">
        <f>'RESUMEN TOTAL'!AE526</f>
        <v>0</v>
      </c>
      <c r="Z458" s="70">
        <f>'RESUMEN TOTAL'!AF526</f>
        <v>0</v>
      </c>
      <c r="AA458" s="70">
        <f>'RESUMEN TOTAL'!AG526</f>
        <v>0</v>
      </c>
      <c r="AB458" s="70">
        <f>'RESUMEN TOTAL'!AH526</f>
        <v>0</v>
      </c>
      <c r="AC458" s="70">
        <f>'RESUMEN TOTAL'!AI526</f>
        <v>0</v>
      </c>
      <c r="AD458" s="70">
        <f>'RESUMEN TOTAL'!AJ526</f>
        <v>0</v>
      </c>
      <c r="AE458" s="70">
        <f>'RESUMEN TOTAL'!AK526</f>
        <v>0</v>
      </c>
      <c r="AF458" s="70">
        <f>'RESUMEN TOTAL'!AL526</f>
        <v>0</v>
      </c>
      <c r="AG458" s="70">
        <f>'RESUMEN TOTAL'!AM526</f>
        <v>0</v>
      </c>
      <c r="AH458" s="70">
        <f>'RESUMEN TOTAL'!AN526</f>
        <v>0</v>
      </c>
      <c r="AI458" s="70">
        <f>'RESUMEN TOTAL'!AO526</f>
        <v>0</v>
      </c>
    </row>
    <row r="459" spans="1:35" x14ac:dyDescent="0.25">
      <c r="A459" t="str">
        <f>'RESUMEN TOTAL'!A527</f>
        <v>ZEBALLOS</v>
      </c>
      <c r="B459" t="str">
        <f>'RESUMEN TOTAL'!B527</f>
        <v>ZEB04</v>
      </c>
      <c r="C459" t="str">
        <f>'RESUMEN TOTAL'!D527</f>
        <v>THEVENET Y DIAGONAL GRANADEROS</v>
      </c>
      <c r="D459" s="30" t="str">
        <f>'RESUMEN TOTAL'!E527</f>
        <v>DOMO</v>
      </c>
      <c r="E459" s="30" t="str">
        <f>'RESUMEN TOTAL'!F527</f>
        <v>GPON</v>
      </c>
      <c r="F459" s="70" t="str">
        <f>'RESUMEN TOTAL'!L527</f>
        <v>APAGADO</v>
      </c>
      <c r="G459" s="70">
        <f>'RESUMEN TOTAL'!M527</f>
        <v>0</v>
      </c>
      <c r="H459" s="70">
        <f>'RESUMEN TOTAL'!N527</f>
        <v>0</v>
      </c>
      <c r="I459" s="70">
        <f>'RESUMEN TOTAL'!O527</f>
        <v>0</v>
      </c>
      <c r="J459" s="70">
        <f>'RESUMEN TOTAL'!P527</f>
        <v>0</v>
      </c>
      <c r="K459" s="70">
        <f>'RESUMEN TOTAL'!Q527</f>
        <v>0</v>
      </c>
      <c r="L459" s="70">
        <f>'RESUMEN TOTAL'!R527</f>
        <v>0</v>
      </c>
      <c r="M459" s="70">
        <f>'RESUMEN TOTAL'!S527</f>
        <v>0</v>
      </c>
      <c r="N459" s="70">
        <f>'RESUMEN TOTAL'!T527</f>
        <v>0</v>
      </c>
      <c r="O459" s="70">
        <f>'RESUMEN TOTAL'!U527</f>
        <v>0</v>
      </c>
      <c r="P459" s="70">
        <f>'RESUMEN TOTAL'!V527</f>
        <v>0</v>
      </c>
      <c r="Q459" s="70">
        <f>'RESUMEN TOTAL'!W527</f>
        <v>0</v>
      </c>
      <c r="R459" s="70">
        <f>'RESUMEN TOTAL'!X527</f>
        <v>0</v>
      </c>
      <c r="S459" s="70">
        <f>'RESUMEN TOTAL'!Y527</f>
        <v>0</v>
      </c>
      <c r="T459" s="70">
        <f>'RESUMEN TOTAL'!Z527</f>
        <v>0</v>
      </c>
      <c r="U459" s="70">
        <f>'RESUMEN TOTAL'!AA527</f>
        <v>0</v>
      </c>
      <c r="V459" s="70">
        <f>'RESUMEN TOTAL'!AB527</f>
        <v>0</v>
      </c>
      <c r="W459" s="70">
        <f>'RESUMEN TOTAL'!AC527</f>
        <v>0</v>
      </c>
      <c r="X459" s="70">
        <f>'RESUMEN TOTAL'!AD527</f>
        <v>0</v>
      </c>
      <c r="Y459" s="70">
        <f>'RESUMEN TOTAL'!AE527</f>
        <v>0</v>
      </c>
      <c r="Z459" s="70">
        <f>'RESUMEN TOTAL'!AF527</f>
        <v>0</v>
      </c>
      <c r="AA459" s="70">
        <f>'RESUMEN TOTAL'!AG527</f>
        <v>0</v>
      </c>
      <c r="AB459" s="70">
        <f>'RESUMEN TOTAL'!AH527</f>
        <v>0</v>
      </c>
      <c r="AC459" s="70">
        <f>'RESUMEN TOTAL'!AI527</f>
        <v>0</v>
      </c>
      <c r="AD459" s="70">
        <f>'RESUMEN TOTAL'!AJ527</f>
        <v>0</v>
      </c>
      <c r="AE459" s="70">
        <f>'RESUMEN TOTAL'!AK527</f>
        <v>0</v>
      </c>
      <c r="AF459" s="70">
        <f>'RESUMEN TOTAL'!AL527</f>
        <v>0</v>
      </c>
      <c r="AG459" s="70">
        <f>'RESUMEN TOTAL'!AM527</f>
        <v>0</v>
      </c>
      <c r="AH459" s="70">
        <f>'RESUMEN TOTAL'!AN527</f>
        <v>0</v>
      </c>
      <c r="AI459" s="70">
        <f>'RESUMEN TOTAL'!AO527</f>
        <v>0</v>
      </c>
    </row>
    <row r="460" spans="1:35" x14ac:dyDescent="0.25">
      <c r="A460" t="str">
        <f>'RESUMEN TOTAL'!A528</f>
        <v>ZEBALLOS</v>
      </c>
      <c r="B460" t="str">
        <f>'RESUMEN TOTAL'!B528</f>
        <v>ZEB 05</v>
      </c>
      <c r="C460" t="str">
        <f>'RESUMEN TOTAL'!D528</f>
        <v>DIAG. GRANADEROS Y 214 BIS</v>
      </c>
      <c r="D460" s="30" t="str">
        <f>'RESUMEN TOTAL'!E528</f>
        <v>Domo</v>
      </c>
      <c r="E460" s="30" t="str">
        <f>'RESUMEN TOTAL'!F528</f>
        <v>GPON</v>
      </c>
      <c r="F460" s="70" t="str">
        <f>'RESUMEN TOTAL'!L528</f>
        <v>APAGADO</v>
      </c>
      <c r="G460" s="70">
        <f>'RESUMEN TOTAL'!M528</f>
        <v>0</v>
      </c>
      <c r="H460" s="70">
        <f>'RESUMEN TOTAL'!N528</f>
        <v>0</v>
      </c>
      <c r="I460" s="70">
        <f>'RESUMEN TOTAL'!O528</f>
        <v>0</v>
      </c>
      <c r="J460" s="70">
        <f>'RESUMEN TOTAL'!P528</f>
        <v>0</v>
      </c>
      <c r="K460" s="70">
        <f>'RESUMEN TOTAL'!Q528</f>
        <v>0</v>
      </c>
      <c r="L460" s="70">
        <f>'RESUMEN TOTAL'!R528</f>
        <v>0</v>
      </c>
      <c r="M460" s="70">
        <f>'RESUMEN TOTAL'!S528</f>
        <v>0</v>
      </c>
      <c r="N460" s="70">
        <f>'RESUMEN TOTAL'!T528</f>
        <v>0</v>
      </c>
      <c r="O460" s="70">
        <f>'RESUMEN TOTAL'!U528</f>
        <v>0</v>
      </c>
      <c r="P460" s="70">
        <f>'RESUMEN TOTAL'!V528</f>
        <v>0</v>
      </c>
      <c r="Q460" s="70">
        <f>'RESUMEN TOTAL'!W528</f>
        <v>0</v>
      </c>
      <c r="R460" s="70">
        <f>'RESUMEN TOTAL'!X528</f>
        <v>0</v>
      </c>
      <c r="S460" s="70">
        <f>'RESUMEN TOTAL'!Y528</f>
        <v>0</v>
      </c>
      <c r="T460" s="70">
        <f>'RESUMEN TOTAL'!Z528</f>
        <v>0</v>
      </c>
      <c r="U460" s="70">
        <f>'RESUMEN TOTAL'!AA528</f>
        <v>0</v>
      </c>
      <c r="V460" s="70">
        <f>'RESUMEN TOTAL'!AB528</f>
        <v>0</v>
      </c>
      <c r="W460" s="70">
        <f>'RESUMEN TOTAL'!AC528</f>
        <v>0</v>
      </c>
      <c r="X460" s="70">
        <f>'RESUMEN TOTAL'!AD528</f>
        <v>0</v>
      </c>
      <c r="Y460" s="70">
        <f>'RESUMEN TOTAL'!AE528</f>
        <v>0</v>
      </c>
      <c r="Z460" s="70">
        <f>'RESUMEN TOTAL'!AF528</f>
        <v>0</v>
      </c>
      <c r="AA460" s="70">
        <f>'RESUMEN TOTAL'!AG528</f>
        <v>0</v>
      </c>
      <c r="AB460" s="70">
        <f>'RESUMEN TOTAL'!AH528</f>
        <v>0</v>
      </c>
      <c r="AC460" s="70">
        <f>'RESUMEN TOTAL'!AI528</f>
        <v>0</v>
      </c>
      <c r="AD460" s="70">
        <f>'RESUMEN TOTAL'!AJ528</f>
        <v>0</v>
      </c>
      <c r="AE460" s="70">
        <f>'RESUMEN TOTAL'!AK528</f>
        <v>0</v>
      </c>
      <c r="AF460" s="70">
        <f>'RESUMEN TOTAL'!AL528</f>
        <v>0</v>
      </c>
      <c r="AG460" s="70">
        <f>'RESUMEN TOTAL'!AM528</f>
        <v>0</v>
      </c>
      <c r="AH460" s="70">
        <f>'RESUMEN TOTAL'!AN528</f>
        <v>0</v>
      </c>
      <c r="AI460" s="70">
        <f>'RESUMEN TOTAL'!AO528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TOTAL'!A614</f>
        <v>0</v>
      </c>
      <c r="B549">
        <f>'RESUMEN TOTAL'!B614</f>
        <v>0</v>
      </c>
      <c r="C549">
        <f>'RESUMEN TOTAL'!D614</f>
        <v>0</v>
      </c>
      <c r="D549" s="30">
        <f>'RESUMEN TOTAL'!E614</f>
        <v>0</v>
      </c>
      <c r="E549" s="30">
        <f>'RESUMEN TOTAL'!F614</f>
        <v>0</v>
      </c>
      <c r="F549" s="70">
        <f>'RESUMEN TOTAL'!L614</f>
        <v>0</v>
      </c>
      <c r="G549" s="70">
        <f>'RESUMEN TOTAL'!M614</f>
        <v>0</v>
      </c>
      <c r="H549" s="70">
        <f>'RESUMEN TOTAL'!N614</f>
        <v>0</v>
      </c>
      <c r="I549" s="70">
        <f>'RESUMEN TOTAL'!O614</f>
        <v>0</v>
      </c>
      <c r="J549" s="70">
        <f>'RESUMEN TOTAL'!P614</f>
        <v>0</v>
      </c>
      <c r="K549" s="70">
        <f>'RESUMEN TOTAL'!Q614</f>
        <v>0</v>
      </c>
      <c r="L549" s="70">
        <f>'RESUMEN TOTAL'!R614</f>
        <v>0</v>
      </c>
      <c r="M549" s="70">
        <f>'RESUMEN TOTAL'!S614</f>
        <v>0</v>
      </c>
      <c r="N549" s="70">
        <f>'RESUMEN TOTAL'!T614</f>
        <v>0</v>
      </c>
      <c r="O549" s="70">
        <f>'RESUMEN TOTAL'!U614</f>
        <v>0</v>
      </c>
      <c r="P549" s="70">
        <f>'RESUMEN TOTAL'!V614</f>
        <v>0</v>
      </c>
      <c r="Q549" s="70">
        <f>'RESUMEN TOTAL'!W614</f>
        <v>0</v>
      </c>
      <c r="R549" s="70">
        <f>'RESUMEN TOTAL'!X614</f>
        <v>0</v>
      </c>
      <c r="S549" s="70">
        <f>'RESUMEN TOTAL'!Y614</f>
        <v>0</v>
      </c>
      <c r="T549" s="70">
        <f>'RESUMEN TOTAL'!Z614</f>
        <v>0</v>
      </c>
      <c r="U549" s="70">
        <f>'RESUMEN TOTAL'!AA614</f>
        <v>0</v>
      </c>
      <c r="V549" s="70">
        <f>'RESUMEN TOTAL'!AB614</f>
        <v>0</v>
      </c>
      <c r="W549" s="70">
        <f>'RESUMEN TOTAL'!AC614</f>
        <v>0</v>
      </c>
      <c r="X549" s="70">
        <f>'RESUMEN TOTAL'!AD614</f>
        <v>0</v>
      </c>
      <c r="Y549" s="70">
        <f>'RESUMEN TOTAL'!AE614</f>
        <v>0</v>
      </c>
      <c r="Z549" s="70">
        <f>'RESUMEN TOTAL'!AF614</f>
        <v>0</v>
      </c>
      <c r="AA549" s="70">
        <f>'RESUMEN TOTAL'!AG614</f>
        <v>0</v>
      </c>
      <c r="AB549" s="70">
        <f>'RESUMEN TOTAL'!AH614</f>
        <v>0</v>
      </c>
      <c r="AC549" s="70">
        <f>'RESUMEN TOTAL'!AI614</f>
        <v>0</v>
      </c>
      <c r="AD549" s="70">
        <f>'RESUMEN TOTAL'!AJ614</f>
        <v>0</v>
      </c>
      <c r="AE549" s="70">
        <f>'RESUMEN TOTAL'!AK614</f>
        <v>0</v>
      </c>
      <c r="AF549" s="70">
        <f>'RESUMEN TOTAL'!AL614</f>
        <v>0</v>
      </c>
      <c r="AG549" s="70">
        <f>'RESUMEN TOTAL'!AM614</f>
        <v>0</v>
      </c>
      <c r="AH549" s="70">
        <f>'RESUMEN TOTAL'!AN614</f>
        <v>0</v>
      </c>
      <c r="AI549" s="70">
        <f>'RESUMEN TOTAL'!AO614</f>
        <v>0</v>
      </c>
    </row>
    <row r="550" spans="1:35" x14ac:dyDescent="0.25">
      <c r="A550">
        <f>'RESUMEN TOTAL'!A615</f>
        <v>0</v>
      </c>
      <c r="B550">
        <f>'RESUMEN TOTAL'!B615</f>
        <v>0</v>
      </c>
      <c r="C550">
        <f>'RESUMEN TOTAL'!D615</f>
        <v>0</v>
      </c>
      <c r="D550" s="30">
        <f>'RESUMEN TOTAL'!E615</f>
        <v>0</v>
      </c>
      <c r="E550" s="30">
        <f>'RESUMEN TOTAL'!F615</f>
        <v>0</v>
      </c>
      <c r="F550" s="70">
        <f>'RESUMEN TOTAL'!L615</f>
        <v>0</v>
      </c>
      <c r="G550" s="70">
        <f>'RESUMEN TOTAL'!M615</f>
        <v>0</v>
      </c>
      <c r="H550" s="70">
        <f>'RESUMEN TOTAL'!N615</f>
        <v>0</v>
      </c>
      <c r="I550" s="70">
        <f>'RESUMEN TOTAL'!O615</f>
        <v>0</v>
      </c>
      <c r="J550" s="70">
        <f>'RESUMEN TOTAL'!P615</f>
        <v>0</v>
      </c>
      <c r="K550" s="70">
        <f>'RESUMEN TOTAL'!Q615</f>
        <v>0</v>
      </c>
      <c r="L550" s="70">
        <f>'RESUMEN TOTAL'!R615</f>
        <v>0</v>
      </c>
      <c r="M550" s="70">
        <f>'RESUMEN TOTAL'!S615</f>
        <v>0</v>
      </c>
      <c r="N550" s="70">
        <f>'RESUMEN TOTAL'!T615</f>
        <v>0</v>
      </c>
      <c r="O550" s="70">
        <f>'RESUMEN TOTAL'!U615</f>
        <v>0</v>
      </c>
      <c r="P550" s="70">
        <f>'RESUMEN TOTAL'!V615</f>
        <v>0</v>
      </c>
      <c r="Q550" s="70">
        <f>'RESUMEN TOTAL'!W615</f>
        <v>0</v>
      </c>
      <c r="R550" s="70">
        <f>'RESUMEN TOTAL'!X615</f>
        <v>0</v>
      </c>
      <c r="S550" s="70">
        <f>'RESUMEN TOTAL'!Y615</f>
        <v>0</v>
      </c>
      <c r="T550" s="70">
        <f>'RESUMEN TOTAL'!Z615</f>
        <v>0</v>
      </c>
      <c r="U550" s="70">
        <f>'RESUMEN TOTAL'!AA615</f>
        <v>0</v>
      </c>
      <c r="V550" s="70">
        <f>'RESUMEN TOTAL'!AB615</f>
        <v>0</v>
      </c>
      <c r="W550" s="70">
        <f>'RESUMEN TOTAL'!AC615</f>
        <v>0</v>
      </c>
      <c r="X550" s="70">
        <f>'RESUMEN TOTAL'!AD615</f>
        <v>0</v>
      </c>
      <c r="Y550" s="70">
        <f>'RESUMEN TOTAL'!AE615</f>
        <v>0</v>
      </c>
      <c r="Z550" s="70">
        <f>'RESUMEN TOTAL'!AF615</f>
        <v>0</v>
      </c>
      <c r="AA550" s="70">
        <f>'RESUMEN TOTAL'!AG615</f>
        <v>0</v>
      </c>
      <c r="AB550" s="70">
        <f>'RESUMEN TOTAL'!AH615</f>
        <v>0</v>
      </c>
      <c r="AC550" s="70">
        <f>'RESUMEN TOTAL'!AI615</f>
        <v>0</v>
      </c>
      <c r="AD550" s="70">
        <f>'RESUMEN TOTAL'!AJ615</f>
        <v>0</v>
      </c>
      <c r="AE550" s="70">
        <f>'RESUMEN TOTAL'!AK615</f>
        <v>0</v>
      </c>
      <c r="AF550" s="70">
        <f>'RESUMEN TOTAL'!AL615</f>
        <v>0</v>
      </c>
      <c r="AG550" s="70">
        <f>'RESUMEN TOTAL'!AM615</f>
        <v>0</v>
      </c>
      <c r="AH550" s="70">
        <f>'RESUMEN TOTAL'!AN615</f>
        <v>0</v>
      </c>
      <c r="AI550" s="70">
        <f>'RESUMEN TOTAL'!AO615</f>
        <v>0</v>
      </c>
    </row>
    <row r="551" spans="1:35" x14ac:dyDescent="0.25">
      <c r="A551">
        <f>'RESUMEN TOTAL'!A616</f>
        <v>0</v>
      </c>
      <c r="B551">
        <f>'RESUMEN TOTAL'!B616</f>
        <v>0</v>
      </c>
      <c r="C551">
        <f>'RESUMEN TOTAL'!D616</f>
        <v>0</v>
      </c>
      <c r="D551" s="30">
        <f>'RESUMEN TOTAL'!E616</f>
        <v>0</v>
      </c>
      <c r="E551" s="30">
        <f>'RESUMEN TOTAL'!F616</f>
        <v>0</v>
      </c>
      <c r="F551" s="70">
        <f>'RESUMEN TOTAL'!L616</f>
        <v>0</v>
      </c>
      <c r="G551" s="70">
        <f>'RESUMEN TOTAL'!M616</f>
        <v>0</v>
      </c>
      <c r="H551" s="70">
        <f>'RESUMEN TOTAL'!N616</f>
        <v>0</v>
      </c>
      <c r="I551" s="70">
        <f>'RESUMEN TOTAL'!O616</f>
        <v>0</v>
      </c>
      <c r="J551" s="70">
        <f>'RESUMEN TOTAL'!P616</f>
        <v>0</v>
      </c>
      <c r="K551" s="70">
        <f>'RESUMEN TOTAL'!Q616</f>
        <v>0</v>
      </c>
      <c r="L551" s="70">
        <f>'RESUMEN TOTAL'!R616</f>
        <v>0</v>
      </c>
      <c r="M551" s="70">
        <f>'RESUMEN TOTAL'!S616</f>
        <v>0</v>
      </c>
      <c r="N551" s="70">
        <f>'RESUMEN TOTAL'!T616</f>
        <v>0</v>
      </c>
      <c r="O551" s="70">
        <f>'RESUMEN TOTAL'!U616</f>
        <v>0</v>
      </c>
      <c r="P551" s="70">
        <f>'RESUMEN TOTAL'!V616</f>
        <v>0</v>
      </c>
      <c r="Q551" s="70">
        <f>'RESUMEN TOTAL'!W616</f>
        <v>0</v>
      </c>
      <c r="R551" s="70">
        <f>'RESUMEN TOTAL'!X616</f>
        <v>0</v>
      </c>
      <c r="S551" s="70">
        <f>'RESUMEN TOTAL'!Y616</f>
        <v>0</v>
      </c>
      <c r="T551" s="70">
        <f>'RESUMEN TOTAL'!Z616</f>
        <v>0</v>
      </c>
      <c r="U551" s="70">
        <f>'RESUMEN TOTAL'!AA616</f>
        <v>0</v>
      </c>
      <c r="V551" s="70">
        <f>'RESUMEN TOTAL'!AB616</f>
        <v>0</v>
      </c>
      <c r="W551" s="70">
        <f>'RESUMEN TOTAL'!AC616</f>
        <v>0</v>
      </c>
      <c r="X551" s="70">
        <f>'RESUMEN TOTAL'!AD616</f>
        <v>0</v>
      </c>
      <c r="Y551" s="70">
        <f>'RESUMEN TOTAL'!AE616</f>
        <v>0</v>
      </c>
      <c r="Z551" s="70">
        <f>'RESUMEN TOTAL'!AF616</f>
        <v>0</v>
      </c>
      <c r="AA551" s="70">
        <f>'RESUMEN TOTAL'!AG616</f>
        <v>0</v>
      </c>
      <c r="AB551" s="70">
        <f>'RESUMEN TOTAL'!AH616</f>
        <v>0</v>
      </c>
      <c r="AC551" s="70">
        <f>'RESUMEN TOTAL'!AI616</f>
        <v>0</v>
      </c>
      <c r="AD551" s="70">
        <f>'RESUMEN TOTAL'!AJ616</f>
        <v>0</v>
      </c>
      <c r="AE551" s="70">
        <f>'RESUMEN TOTAL'!AK616</f>
        <v>0</v>
      </c>
      <c r="AF551" s="70">
        <f>'RESUMEN TOTAL'!AL616</f>
        <v>0</v>
      </c>
      <c r="AG551" s="70">
        <f>'RESUMEN TOTAL'!AM616</f>
        <v>0</v>
      </c>
      <c r="AH551" s="70">
        <f>'RESUMEN TOTAL'!AN616</f>
        <v>0</v>
      </c>
      <c r="AI551" s="70">
        <f>'RESUMEN TOTAL'!AO616</f>
        <v>0</v>
      </c>
    </row>
    <row r="552" spans="1:35" x14ac:dyDescent="0.25">
      <c r="A552">
        <f>'RESUMEN TOTAL'!A617</f>
        <v>0</v>
      </c>
      <c r="B552">
        <f>'RESUMEN TOTAL'!B617</f>
        <v>0</v>
      </c>
      <c r="C552">
        <f>'RESUMEN TOTAL'!D617</f>
        <v>0</v>
      </c>
      <c r="D552" s="30">
        <f>'RESUMEN TOTAL'!E617</f>
        <v>0</v>
      </c>
      <c r="E552" s="30">
        <f>'RESUMEN TOTAL'!F617</f>
        <v>0</v>
      </c>
      <c r="F552" s="70">
        <f>'RESUMEN TOTAL'!L617</f>
        <v>0</v>
      </c>
      <c r="G552" s="70">
        <f>'RESUMEN TOTAL'!M617</f>
        <v>0</v>
      </c>
      <c r="H552" s="70">
        <f>'RESUMEN TOTAL'!N617</f>
        <v>0</v>
      </c>
      <c r="I552" s="70">
        <f>'RESUMEN TOTAL'!O617</f>
        <v>0</v>
      </c>
      <c r="J552" s="70">
        <f>'RESUMEN TOTAL'!P617</f>
        <v>0</v>
      </c>
      <c r="K552" s="70">
        <f>'RESUMEN TOTAL'!Q617</f>
        <v>0</v>
      </c>
      <c r="L552" s="70">
        <f>'RESUMEN TOTAL'!R617</f>
        <v>0</v>
      </c>
      <c r="M552" s="70">
        <f>'RESUMEN TOTAL'!S617</f>
        <v>0</v>
      </c>
      <c r="N552" s="70">
        <f>'RESUMEN TOTAL'!T617</f>
        <v>0</v>
      </c>
      <c r="O552" s="70">
        <f>'RESUMEN TOTAL'!U617</f>
        <v>0</v>
      </c>
      <c r="P552" s="70">
        <f>'RESUMEN TOTAL'!V617</f>
        <v>0</v>
      </c>
      <c r="Q552" s="70">
        <f>'RESUMEN TOTAL'!W617</f>
        <v>0</v>
      </c>
      <c r="R552" s="70">
        <f>'RESUMEN TOTAL'!X617</f>
        <v>0</v>
      </c>
      <c r="S552" s="70">
        <f>'RESUMEN TOTAL'!Y617</f>
        <v>0</v>
      </c>
      <c r="T552" s="70">
        <f>'RESUMEN TOTAL'!Z617</f>
        <v>0</v>
      </c>
      <c r="U552" s="70">
        <f>'RESUMEN TOTAL'!AA617</f>
        <v>0</v>
      </c>
      <c r="V552" s="70">
        <f>'RESUMEN TOTAL'!AB617</f>
        <v>0</v>
      </c>
      <c r="W552" s="70">
        <f>'RESUMEN TOTAL'!AC617</f>
        <v>0</v>
      </c>
      <c r="X552" s="70">
        <f>'RESUMEN TOTAL'!AD617</f>
        <v>0</v>
      </c>
      <c r="Y552" s="70">
        <f>'RESUMEN TOTAL'!AE617</f>
        <v>0</v>
      </c>
      <c r="Z552" s="70">
        <f>'RESUMEN TOTAL'!AF617</f>
        <v>0</v>
      </c>
      <c r="AA552" s="70">
        <f>'RESUMEN TOTAL'!AG617</f>
        <v>0</v>
      </c>
      <c r="AB552" s="70">
        <f>'RESUMEN TOTAL'!AH617</f>
        <v>0</v>
      </c>
      <c r="AC552" s="70">
        <f>'RESUMEN TOTAL'!AI617</f>
        <v>0</v>
      </c>
      <c r="AD552" s="70">
        <f>'RESUMEN TOTAL'!AJ617</f>
        <v>0</v>
      </c>
      <c r="AE552" s="70">
        <f>'RESUMEN TOTAL'!AK617</f>
        <v>0</v>
      </c>
      <c r="AF552" s="70">
        <f>'RESUMEN TOTAL'!AL617</f>
        <v>0</v>
      </c>
      <c r="AG552" s="70">
        <f>'RESUMEN TOTAL'!AM617</f>
        <v>0</v>
      </c>
      <c r="AH552" s="70">
        <f>'RESUMEN TOTAL'!AN617</f>
        <v>0</v>
      </c>
      <c r="AI552" s="70">
        <f>'RESUMEN TOTAL'!AO617</f>
        <v>0</v>
      </c>
    </row>
    <row r="553" spans="1:35" x14ac:dyDescent="0.25">
      <c r="A553">
        <f>'RESUMEN TOTAL'!A618</f>
        <v>0</v>
      </c>
      <c r="B553">
        <f>'RESUMEN TOTAL'!B618</f>
        <v>0</v>
      </c>
      <c r="C553">
        <f>'RESUMEN TOTAL'!D618</f>
        <v>0</v>
      </c>
      <c r="D553" s="30">
        <f>'RESUMEN TOTAL'!E618</f>
        <v>0</v>
      </c>
      <c r="E553" s="30">
        <f>'RESUMEN TOTAL'!F618</f>
        <v>0</v>
      </c>
      <c r="F553" s="70">
        <f>'RESUMEN TOTAL'!L618</f>
        <v>0</v>
      </c>
      <c r="G553" s="70">
        <f>'RESUMEN TOTAL'!M618</f>
        <v>0</v>
      </c>
      <c r="H553" s="70">
        <f>'RESUMEN TOTAL'!N618</f>
        <v>0</v>
      </c>
      <c r="I553" s="70">
        <f>'RESUMEN TOTAL'!O618</f>
        <v>0</v>
      </c>
      <c r="J553" s="70">
        <f>'RESUMEN TOTAL'!P618</f>
        <v>0</v>
      </c>
      <c r="K553" s="70">
        <f>'RESUMEN TOTAL'!Q618</f>
        <v>0</v>
      </c>
      <c r="L553" s="70">
        <f>'RESUMEN TOTAL'!R618</f>
        <v>0</v>
      </c>
      <c r="M553" s="70">
        <f>'RESUMEN TOTAL'!S618</f>
        <v>0</v>
      </c>
      <c r="N553" s="70">
        <f>'RESUMEN TOTAL'!T618</f>
        <v>0</v>
      </c>
      <c r="O553" s="70">
        <f>'RESUMEN TOTAL'!U618</f>
        <v>0</v>
      </c>
      <c r="P553" s="70">
        <f>'RESUMEN TOTAL'!V618</f>
        <v>0</v>
      </c>
      <c r="Q553" s="70">
        <f>'RESUMEN TOTAL'!W618</f>
        <v>0</v>
      </c>
      <c r="R553" s="70">
        <f>'RESUMEN TOTAL'!X618</f>
        <v>0</v>
      </c>
      <c r="S553" s="70">
        <f>'RESUMEN TOTAL'!Y618</f>
        <v>0</v>
      </c>
      <c r="T553" s="70">
        <f>'RESUMEN TOTAL'!Z618</f>
        <v>0</v>
      </c>
      <c r="U553" s="70">
        <f>'RESUMEN TOTAL'!AA618</f>
        <v>0</v>
      </c>
      <c r="V553" s="70">
        <f>'RESUMEN TOTAL'!AB618</f>
        <v>0</v>
      </c>
      <c r="W553" s="70">
        <f>'RESUMEN TOTAL'!AC618</f>
        <v>0</v>
      </c>
      <c r="X553" s="70">
        <f>'RESUMEN TOTAL'!AD618</f>
        <v>0</v>
      </c>
      <c r="Y553" s="70">
        <f>'RESUMEN TOTAL'!AE618</f>
        <v>0</v>
      </c>
      <c r="Z553" s="70">
        <f>'RESUMEN TOTAL'!AF618</f>
        <v>0</v>
      </c>
      <c r="AA553" s="70">
        <f>'RESUMEN TOTAL'!AG618</f>
        <v>0</v>
      </c>
      <c r="AB553" s="70">
        <f>'RESUMEN TOTAL'!AH618</f>
        <v>0</v>
      </c>
      <c r="AC553" s="70">
        <f>'RESUMEN TOTAL'!AI618</f>
        <v>0</v>
      </c>
      <c r="AD553" s="70">
        <f>'RESUMEN TOTAL'!AJ618</f>
        <v>0</v>
      </c>
      <c r="AE553" s="70">
        <f>'RESUMEN TOTAL'!AK618</f>
        <v>0</v>
      </c>
      <c r="AF553" s="70">
        <f>'RESUMEN TOTAL'!AL618</f>
        <v>0</v>
      </c>
      <c r="AG553" s="70">
        <f>'RESUMEN TOTAL'!AM618</f>
        <v>0</v>
      </c>
      <c r="AH553" s="70">
        <f>'RESUMEN TOTAL'!AN618</f>
        <v>0</v>
      </c>
      <c r="AI553" s="70">
        <f>'RESUMEN TOTAL'!AO618</f>
        <v>0</v>
      </c>
    </row>
    <row r="554" spans="1:35" x14ac:dyDescent="0.25">
      <c r="A554">
        <f>'RESUMEN TOTAL'!A619</f>
        <v>0</v>
      </c>
      <c r="B554">
        <f>'RESUMEN TOTAL'!B619</f>
        <v>0</v>
      </c>
      <c r="C554">
        <f>'RESUMEN TOTAL'!D619</f>
        <v>0</v>
      </c>
      <c r="D554" s="30">
        <f>'RESUMEN TOTAL'!E619</f>
        <v>0</v>
      </c>
      <c r="E554" s="30">
        <f>'RESUMEN TOTAL'!F619</f>
        <v>0</v>
      </c>
      <c r="F554" s="70">
        <f>'RESUMEN TOTAL'!L619</f>
        <v>0</v>
      </c>
      <c r="G554" s="70">
        <f>'RESUMEN TOTAL'!M619</f>
        <v>0</v>
      </c>
      <c r="H554" s="70">
        <f>'RESUMEN TOTAL'!N619</f>
        <v>0</v>
      </c>
      <c r="I554" s="70">
        <f>'RESUMEN TOTAL'!O619</f>
        <v>0</v>
      </c>
      <c r="J554" s="70">
        <f>'RESUMEN TOTAL'!P619</f>
        <v>0</v>
      </c>
      <c r="K554" s="70">
        <f>'RESUMEN TOTAL'!Q619</f>
        <v>0</v>
      </c>
      <c r="L554" s="70">
        <f>'RESUMEN TOTAL'!R619</f>
        <v>0</v>
      </c>
      <c r="M554" s="70">
        <f>'RESUMEN TOTAL'!S619</f>
        <v>0</v>
      </c>
      <c r="N554" s="70">
        <f>'RESUMEN TOTAL'!T619</f>
        <v>0</v>
      </c>
      <c r="O554" s="70">
        <f>'RESUMEN TOTAL'!U619</f>
        <v>0</v>
      </c>
      <c r="P554" s="70">
        <f>'RESUMEN TOTAL'!V619</f>
        <v>0</v>
      </c>
      <c r="Q554" s="70">
        <f>'RESUMEN TOTAL'!W619</f>
        <v>0</v>
      </c>
      <c r="R554" s="70">
        <f>'RESUMEN TOTAL'!X619</f>
        <v>0</v>
      </c>
      <c r="S554" s="70">
        <f>'RESUMEN TOTAL'!Y619</f>
        <v>0</v>
      </c>
      <c r="T554" s="70">
        <f>'RESUMEN TOTAL'!Z619</f>
        <v>0</v>
      </c>
      <c r="U554" s="70">
        <f>'RESUMEN TOTAL'!AA619</f>
        <v>0</v>
      </c>
      <c r="V554" s="70">
        <f>'RESUMEN TOTAL'!AB619</f>
        <v>0</v>
      </c>
      <c r="W554" s="70">
        <f>'RESUMEN TOTAL'!AC619</f>
        <v>0</v>
      </c>
      <c r="X554" s="70">
        <f>'RESUMEN TOTAL'!AD619</f>
        <v>0</v>
      </c>
      <c r="Y554" s="70">
        <f>'RESUMEN TOTAL'!AE619</f>
        <v>0</v>
      </c>
      <c r="Z554" s="70">
        <f>'RESUMEN TOTAL'!AF619</f>
        <v>0</v>
      </c>
      <c r="AA554" s="70">
        <f>'RESUMEN TOTAL'!AG619</f>
        <v>0</v>
      </c>
      <c r="AB554" s="70">
        <f>'RESUMEN TOTAL'!AH619</f>
        <v>0</v>
      </c>
      <c r="AC554" s="70">
        <f>'RESUMEN TOTAL'!AI619</f>
        <v>0</v>
      </c>
      <c r="AD554" s="70">
        <f>'RESUMEN TOTAL'!AJ619</f>
        <v>0</v>
      </c>
      <c r="AE554" s="70">
        <f>'RESUMEN TOTAL'!AK619</f>
        <v>0</v>
      </c>
      <c r="AF554" s="70">
        <f>'RESUMEN TOTAL'!AL619</f>
        <v>0</v>
      </c>
      <c r="AG554" s="70">
        <f>'RESUMEN TOTAL'!AM619</f>
        <v>0</v>
      </c>
      <c r="AH554" s="70">
        <f>'RESUMEN TOTAL'!AN619</f>
        <v>0</v>
      </c>
      <c r="AI554" s="70">
        <f>'RESUMEN TOTAL'!AO619</f>
        <v>0</v>
      </c>
    </row>
    <row r="555" spans="1:35" x14ac:dyDescent="0.25">
      <c r="A555">
        <f>'RESUMEN TOTAL'!A620</f>
        <v>0</v>
      </c>
      <c r="B555">
        <f>'RESUMEN TOTAL'!B620</f>
        <v>0</v>
      </c>
      <c r="C555">
        <f>'RESUMEN TOTAL'!D620</f>
        <v>0</v>
      </c>
      <c r="D555" s="30">
        <f>'RESUMEN TOTAL'!E620</f>
        <v>0</v>
      </c>
      <c r="E555" s="30">
        <f>'RESUMEN TOTAL'!F620</f>
        <v>0</v>
      </c>
      <c r="F555" s="70">
        <f>'RESUMEN TOTAL'!L620</f>
        <v>0</v>
      </c>
      <c r="G555" s="70">
        <f>'RESUMEN TOTAL'!M620</f>
        <v>0</v>
      </c>
      <c r="H555" s="70">
        <f>'RESUMEN TOTAL'!N620</f>
        <v>0</v>
      </c>
      <c r="I555" s="70">
        <f>'RESUMEN TOTAL'!O620</f>
        <v>0</v>
      </c>
      <c r="J555" s="70">
        <f>'RESUMEN TOTAL'!P620</f>
        <v>0</v>
      </c>
      <c r="K555" s="70">
        <f>'RESUMEN TOTAL'!Q620</f>
        <v>0</v>
      </c>
      <c r="L555" s="70">
        <f>'RESUMEN TOTAL'!R620</f>
        <v>0</v>
      </c>
      <c r="M555" s="70">
        <f>'RESUMEN TOTAL'!S620</f>
        <v>0</v>
      </c>
      <c r="N555" s="70">
        <f>'RESUMEN TOTAL'!T620</f>
        <v>0</v>
      </c>
      <c r="O555" s="70">
        <f>'RESUMEN TOTAL'!U620</f>
        <v>0</v>
      </c>
      <c r="P555" s="70">
        <f>'RESUMEN TOTAL'!V620</f>
        <v>0</v>
      </c>
      <c r="Q555" s="70">
        <f>'RESUMEN TOTAL'!W620</f>
        <v>0</v>
      </c>
      <c r="R555" s="70">
        <f>'RESUMEN TOTAL'!X620</f>
        <v>0</v>
      </c>
      <c r="S555" s="70">
        <f>'RESUMEN TOTAL'!Y620</f>
        <v>0</v>
      </c>
      <c r="T555" s="70">
        <f>'RESUMEN TOTAL'!Z620</f>
        <v>0</v>
      </c>
      <c r="U555" s="70">
        <f>'RESUMEN TOTAL'!AA620</f>
        <v>0</v>
      </c>
      <c r="V555" s="70">
        <f>'RESUMEN TOTAL'!AB620</f>
        <v>0</v>
      </c>
      <c r="W555" s="70">
        <f>'RESUMEN TOTAL'!AC620</f>
        <v>0</v>
      </c>
      <c r="X555" s="70">
        <f>'RESUMEN TOTAL'!AD620</f>
        <v>0</v>
      </c>
      <c r="Y555" s="70">
        <f>'RESUMEN TOTAL'!AE620</f>
        <v>0</v>
      </c>
      <c r="Z555" s="70">
        <f>'RESUMEN TOTAL'!AF620</f>
        <v>0</v>
      </c>
      <c r="AA555" s="70">
        <f>'RESUMEN TOTAL'!AG620</f>
        <v>0</v>
      </c>
      <c r="AB555" s="70">
        <f>'RESUMEN TOTAL'!AH620</f>
        <v>0</v>
      </c>
      <c r="AC555" s="70">
        <f>'RESUMEN TOTAL'!AI620</f>
        <v>0</v>
      </c>
      <c r="AD555" s="70">
        <f>'RESUMEN TOTAL'!AJ620</f>
        <v>0</v>
      </c>
      <c r="AE555" s="70">
        <f>'RESUMEN TOTAL'!AK620</f>
        <v>0</v>
      </c>
      <c r="AF555" s="70">
        <f>'RESUMEN TOTAL'!AL620</f>
        <v>0</v>
      </c>
      <c r="AG555" s="70">
        <f>'RESUMEN TOTAL'!AM620</f>
        <v>0</v>
      </c>
      <c r="AH555" s="70">
        <f>'RESUMEN TOTAL'!AN620</f>
        <v>0</v>
      </c>
      <c r="AI555" s="70">
        <f>'RESUMEN TOTAL'!AO620</f>
        <v>0</v>
      </c>
    </row>
    <row r="556" spans="1:35" x14ac:dyDescent="0.25">
      <c r="A556">
        <f>'RESUMEN TOTAL'!A621</f>
        <v>0</v>
      </c>
      <c r="B556">
        <f>'RESUMEN TOTAL'!B621</f>
        <v>0</v>
      </c>
      <c r="C556">
        <f>'RESUMEN TOTAL'!D621</f>
        <v>0</v>
      </c>
      <c r="D556" s="30">
        <f>'RESUMEN TOTAL'!E621</f>
        <v>0</v>
      </c>
      <c r="E556" s="30">
        <f>'RESUMEN TOTAL'!F621</f>
        <v>0</v>
      </c>
      <c r="F556" s="70">
        <f>'RESUMEN TOTAL'!L621</f>
        <v>0</v>
      </c>
      <c r="G556" s="70">
        <f>'RESUMEN TOTAL'!M621</f>
        <v>0</v>
      </c>
      <c r="H556" s="70">
        <f>'RESUMEN TOTAL'!N621</f>
        <v>0</v>
      </c>
      <c r="I556" s="70">
        <f>'RESUMEN TOTAL'!O621</f>
        <v>0</v>
      </c>
      <c r="J556" s="70">
        <f>'RESUMEN TOTAL'!P621</f>
        <v>0</v>
      </c>
      <c r="K556" s="70">
        <f>'RESUMEN TOTAL'!Q621</f>
        <v>0</v>
      </c>
      <c r="L556" s="70">
        <f>'RESUMEN TOTAL'!R621</f>
        <v>0</v>
      </c>
      <c r="M556" s="70">
        <f>'RESUMEN TOTAL'!S621</f>
        <v>0</v>
      </c>
      <c r="N556" s="70">
        <f>'RESUMEN TOTAL'!T621</f>
        <v>0</v>
      </c>
      <c r="O556" s="70">
        <f>'RESUMEN TOTAL'!U621</f>
        <v>0</v>
      </c>
      <c r="P556" s="70">
        <f>'RESUMEN TOTAL'!V621</f>
        <v>0</v>
      </c>
      <c r="Q556" s="70">
        <f>'RESUMEN TOTAL'!W621</f>
        <v>0</v>
      </c>
      <c r="R556" s="70">
        <f>'RESUMEN TOTAL'!X621</f>
        <v>0</v>
      </c>
      <c r="S556" s="70">
        <f>'RESUMEN TOTAL'!Y621</f>
        <v>0</v>
      </c>
      <c r="T556" s="70">
        <f>'RESUMEN TOTAL'!Z621</f>
        <v>0</v>
      </c>
      <c r="U556" s="70">
        <f>'RESUMEN TOTAL'!AA621</f>
        <v>0</v>
      </c>
      <c r="V556" s="70">
        <f>'RESUMEN TOTAL'!AB621</f>
        <v>0</v>
      </c>
      <c r="W556" s="70">
        <f>'RESUMEN TOTAL'!AC621</f>
        <v>0</v>
      </c>
      <c r="X556" s="70">
        <f>'RESUMEN TOTAL'!AD621</f>
        <v>0</v>
      </c>
      <c r="Y556" s="70">
        <f>'RESUMEN TOTAL'!AE621</f>
        <v>0</v>
      </c>
      <c r="Z556" s="70">
        <f>'RESUMEN TOTAL'!AF621</f>
        <v>0</v>
      </c>
      <c r="AA556" s="70">
        <f>'RESUMEN TOTAL'!AG621</f>
        <v>0</v>
      </c>
      <c r="AB556" s="70">
        <f>'RESUMEN TOTAL'!AH621</f>
        <v>0</v>
      </c>
      <c r="AC556" s="70">
        <f>'RESUMEN TOTAL'!AI621</f>
        <v>0</v>
      </c>
      <c r="AD556" s="70">
        <f>'RESUMEN TOTAL'!AJ621</f>
        <v>0</v>
      </c>
      <c r="AE556" s="70">
        <f>'RESUMEN TOTAL'!AK621</f>
        <v>0</v>
      </c>
      <c r="AF556" s="70">
        <f>'RESUMEN TOTAL'!AL621</f>
        <v>0</v>
      </c>
      <c r="AG556" s="70">
        <f>'RESUMEN TOTAL'!AM621</f>
        <v>0</v>
      </c>
      <c r="AH556" s="70">
        <f>'RESUMEN TOTAL'!AN621</f>
        <v>0</v>
      </c>
      <c r="AI556" s="70">
        <f>'RESUMEN TOTAL'!AO621</f>
        <v>0</v>
      </c>
    </row>
    <row r="557" spans="1:35" x14ac:dyDescent="0.25">
      <c r="A557">
        <f>'RESUMEN TOTAL'!A622</f>
        <v>0</v>
      </c>
      <c r="B557">
        <f>'RESUMEN TOTAL'!B622</f>
        <v>0</v>
      </c>
      <c r="C557">
        <f>'RESUMEN TOTAL'!D622</f>
        <v>0</v>
      </c>
      <c r="D557" s="30">
        <f>'RESUMEN TOTAL'!E622</f>
        <v>0</v>
      </c>
      <c r="E557" s="30">
        <f>'RESUMEN TOTAL'!F622</f>
        <v>0</v>
      </c>
      <c r="F557" s="70">
        <f>'RESUMEN TOTAL'!L622</f>
        <v>0</v>
      </c>
      <c r="G557" s="70">
        <f>'RESUMEN TOTAL'!M622</f>
        <v>0</v>
      </c>
      <c r="H557" s="70">
        <f>'RESUMEN TOTAL'!N622</f>
        <v>0</v>
      </c>
      <c r="I557" s="70">
        <f>'RESUMEN TOTAL'!O622</f>
        <v>0</v>
      </c>
      <c r="J557" s="70">
        <f>'RESUMEN TOTAL'!P622</f>
        <v>0</v>
      </c>
      <c r="K557" s="70">
        <f>'RESUMEN TOTAL'!Q622</f>
        <v>0</v>
      </c>
      <c r="L557" s="70">
        <f>'RESUMEN TOTAL'!R622</f>
        <v>0</v>
      </c>
      <c r="M557" s="70">
        <f>'RESUMEN TOTAL'!S622</f>
        <v>0</v>
      </c>
      <c r="N557" s="70">
        <f>'RESUMEN TOTAL'!T622</f>
        <v>0</v>
      </c>
      <c r="O557" s="70">
        <f>'RESUMEN TOTAL'!U622</f>
        <v>0</v>
      </c>
      <c r="P557" s="70">
        <f>'RESUMEN TOTAL'!V622</f>
        <v>0</v>
      </c>
      <c r="Q557" s="70">
        <f>'RESUMEN TOTAL'!W622</f>
        <v>0</v>
      </c>
      <c r="R557" s="70">
        <f>'RESUMEN TOTAL'!X622</f>
        <v>0</v>
      </c>
      <c r="S557" s="70">
        <f>'RESUMEN TOTAL'!Y622</f>
        <v>0</v>
      </c>
      <c r="T557" s="70">
        <f>'RESUMEN TOTAL'!Z622</f>
        <v>0</v>
      </c>
      <c r="U557" s="70">
        <f>'RESUMEN TOTAL'!AA622</f>
        <v>0</v>
      </c>
      <c r="V557" s="70">
        <f>'RESUMEN TOTAL'!AB622</f>
        <v>0</v>
      </c>
      <c r="W557" s="70">
        <f>'RESUMEN TOTAL'!AC622</f>
        <v>0</v>
      </c>
      <c r="X557" s="70">
        <f>'RESUMEN TOTAL'!AD622</f>
        <v>0</v>
      </c>
      <c r="Y557" s="70">
        <f>'RESUMEN TOTAL'!AE622</f>
        <v>0</v>
      </c>
      <c r="Z557" s="70">
        <f>'RESUMEN TOTAL'!AF622</f>
        <v>0</v>
      </c>
      <c r="AA557" s="70">
        <f>'RESUMEN TOTAL'!AG622</f>
        <v>0</v>
      </c>
      <c r="AB557" s="70">
        <f>'RESUMEN TOTAL'!AH622</f>
        <v>0</v>
      </c>
      <c r="AC557" s="70">
        <f>'RESUMEN TOTAL'!AI622</f>
        <v>0</v>
      </c>
      <c r="AD557" s="70">
        <f>'RESUMEN TOTAL'!AJ622</f>
        <v>0</v>
      </c>
      <c r="AE557" s="70">
        <f>'RESUMEN TOTAL'!AK622</f>
        <v>0</v>
      </c>
      <c r="AF557" s="70">
        <f>'RESUMEN TOTAL'!AL622</f>
        <v>0</v>
      </c>
      <c r="AG557" s="70">
        <f>'RESUMEN TOTAL'!AM622</f>
        <v>0</v>
      </c>
      <c r="AH557" s="70">
        <f>'RESUMEN TOTAL'!AN622</f>
        <v>0</v>
      </c>
      <c r="AI557" s="70">
        <f>'RESUMEN TOTAL'!AO622</f>
        <v>0</v>
      </c>
    </row>
    <row r="558" spans="1:35" x14ac:dyDescent="0.25">
      <c r="A558">
        <f>'RESUMEN TOTAL'!A623</f>
        <v>0</v>
      </c>
      <c r="B558">
        <f>'RESUMEN TOTAL'!B623</f>
        <v>0</v>
      </c>
      <c r="C558">
        <f>'RESUMEN TOTAL'!D623</f>
        <v>0</v>
      </c>
      <c r="D558" s="30">
        <f>'RESUMEN TOTAL'!E623</f>
        <v>0</v>
      </c>
      <c r="E558" s="30">
        <f>'RESUMEN TOTAL'!F623</f>
        <v>0</v>
      </c>
      <c r="F558" s="70">
        <f>'RESUMEN TOTAL'!L623</f>
        <v>0</v>
      </c>
      <c r="G558" s="70">
        <f>'RESUMEN TOTAL'!M623</f>
        <v>0</v>
      </c>
      <c r="H558" s="70">
        <f>'RESUMEN TOTAL'!N623</f>
        <v>0</v>
      </c>
      <c r="I558" s="70">
        <f>'RESUMEN TOTAL'!O623</f>
        <v>0</v>
      </c>
      <c r="J558" s="70">
        <f>'RESUMEN TOTAL'!P623</f>
        <v>0</v>
      </c>
      <c r="K558" s="70">
        <f>'RESUMEN TOTAL'!Q623</f>
        <v>0</v>
      </c>
      <c r="L558" s="70">
        <f>'RESUMEN TOTAL'!R623</f>
        <v>0</v>
      </c>
      <c r="M558" s="70">
        <f>'RESUMEN TOTAL'!S623</f>
        <v>0</v>
      </c>
      <c r="N558" s="70">
        <f>'RESUMEN TOTAL'!T623</f>
        <v>0</v>
      </c>
      <c r="O558" s="70">
        <f>'RESUMEN TOTAL'!U623</f>
        <v>0</v>
      </c>
      <c r="P558" s="70">
        <f>'RESUMEN TOTAL'!V623</f>
        <v>0</v>
      </c>
      <c r="Q558" s="70">
        <f>'RESUMEN TOTAL'!W623</f>
        <v>0</v>
      </c>
      <c r="R558" s="70">
        <f>'RESUMEN TOTAL'!X623</f>
        <v>0</v>
      </c>
      <c r="S558" s="70">
        <f>'RESUMEN TOTAL'!Y623</f>
        <v>0</v>
      </c>
      <c r="T558" s="70">
        <f>'RESUMEN TOTAL'!Z623</f>
        <v>0</v>
      </c>
      <c r="U558" s="70">
        <f>'RESUMEN TOTAL'!AA623</f>
        <v>0</v>
      </c>
      <c r="V558" s="70">
        <f>'RESUMEN TOTAL'!AB623</f>
        <v>0</v>
      </c>
      <c r="W558" s="70">
        <f>'RESUMEN TOTAL'!AC623</f>
        <v>0</v>
      </c>
      <c r="X558" s="70">
        <f>'RESUMEN TOTAL'!AD623</f>
        <v>0</v>
      </c>
      <c r="Y558" s="70">
        <f>'RESUMEN TOTAL'!AE623</f>
        <v>0</v>
      </c>
      <c r="Z558" s="70">
        <f>'RESUMEN TOTAL'!AF623</f>
        <v>0</v>
      </c>
      <c r="AA558" s="70">
        <f>'RESUMEN TOTAL'!AG623</f>
        <v>0</v>
      </c>
      <c r="AB558" s="70">
        <f>'RESUMEN TOTAL'!AH623</f>
        <v>0</v>
      </c>
      <c r="AC558" s="70">
        <f>'RESUMEN TOTAL'!AI623</f>
        <v>0</v>
      </c>
      <c r="AD558" s="70">
        <f>'RESUMEN TOTAL'!AJ623</f>
        <v>0</v>
      </c>
      <c r="AE558" s="70">
        <f>'RESUMEN TOTAL'!AK623</f>
        <v>0</v>
      </c>
      <c r="AF558" s="70">
        <f>'RESUMEN TOTAL'!AL623</f>
        <v>0</v>
      </c>
      <c r="AG558" s="70">
        <f>'RESUMEN TOTAL'!AM623</f>
        <v>0</v>
      </c>
      <c r="AH558" s="70">
        <f>'RESUMEN TOTAL'!AN623</f>
        <v>0</v>
      </c>
      <c r="AI558" s="70">
        <f>'RESUMEN TOTAL'!AO623</f>
        <v>0</v>
      </c>
    </row>
    <row r="559" spans="1:35" x14ac:dyDescent="0.25">
      <c r="A559">
        <f>'RESUMEN TOTAL'!A624</f>
        <v>0</v>
      </c>
      <c r="B559">
        <f>'RESUMEN TOTAL'!B624</f>
        <v>0</v>
      </c>
      <c r="C559">
        <f>'RESUMEN TOTAL'!D624</f>
        <v>0</v>
      </c>
      <c r="D559" s="30">
        <f>'RESUMEN TOTAL'!E624</f>
        <v>0</v>
      </c>
      <c r="E559" s="30">
        <f>'RESUMEN TOTAL'!F624</f>
        <v>0</v>
      </c>
      <c r="F559" s="70">
        <f>'RESUMEN TOTAL'!L624</f>
        <v>0</v>
      </c>
      <c r="G559" s="70">
        <f>'RESUMEN TOTAL'!M624</f>
        <v>0</v>
      </c>
      <c r="H559" s="70">
        <f>'RESUMEN TOTAL'!N624</f>
        <v>0</v>
      </c>
      <c r="I559" s="70">
        <f>'RESUMEN TOTAL'!O624</f>
        <v>0</v>
      </c>
      <c r="J559" s="70">
        <f>'RESUMEN TOTAL'!P624</f>
        <v>0</v>
      </c>
      <c r="K559" s="70">
        <f>'RESUMEN TOTAL'!Q624</f>
        <v>0</v>
      </c>
      <c r="L559" s="70">
        <f>'RESUMEN TOTAL'!R624</f>
        <v>0</v>
      </c>
      <c r="M559" s="70">
        <f>'RESUMEN TOTAL'!S624</f>
        <v>0</v>
      </c>
      <c r="N559" s="70">
        <f>'RESUMEN TOTAL'!T624</f>
        <v>0</v>
      </c>
      <c r="O559" s="70">
        <f>'RESUMEN TOTAL'!U624</f>
        <v>0</v>
      </c>
      <c r="P559" s="70">
        <f>'RESUMEN TOTAL'!V624</f>
        <v>0</v>
      </c>
      <c r="Q559" s="70">
        <f>'RESUMEN TOTAL'!W624</f>
        <v>0</v>
      </c>
      <c r="R559" s="70">
        <f>'RESUMEN TOTAL'!X624</f>
        <v>0</v>
      </c>
      <c r="S559" s="70">
        <f>'RESUMEN TOTAL'!Y624</f>
        <v>0</v>
      </c>
      <c r="T559" s="70">
        <f>'RESUMEN TOTAL'!Z624</f>
        <v>0</v>
      </c>
      <c r="U559" s="70">
        <f>'RESUMEN TOTAL'!AA624</f>
        <v>0</v>
      </c>
      <c r="V559" s="70">
        <f>'RESUMEN TOTAL'!AB624</f>
        <v>0</v>
      </c>
      <c r="W559" s="70">
        <f>'RESUMEN TOTAL'!AC624</f>
        <v>0</v>
      </c>
      <c r="X559" s="70">
        <f>'RESUMEN TOTAL'!AD624</f>
        <v>0</v>
      </c>
      <c r="Y559" s="70">
        <f>'RESUMEN TOTAL'!AE624</f>
        <v>0</v>
      </c>
      <c r="Z559" s="70">
        <f>'RESUMEN TOTAL'!AF624</f>
        <v>0</v>
      </c>
      <c r="AA559" s="70">
        <f>'RESUMEN TOTAL'!AG624</f>
        <v>0</v>
      </c>
      <c r="AB559" s="70">
        <f>'RESUMEN TOTAL'!AH624</f>
        <v>0</v>
      </c>
      <c r="AC559" s="70">
        <f>'RESUMEN TOTAL'!AI624</f>
        <v>0</v>
      </c>
      <c r="AD559" s="70">
        <f>'RESUMEN TOTAL'!AJ624</f>
        <v>0</v>
      </c>
      <c r="AE559" s="70">
        <f>'RESUMEN TOTAL'!AK624</f>
        <v>0</v>
      </c>
      <c r="AF559" s="70">
        <f>'RESUMEN TOTAL'!AL624</f>
        <v>0</v>
      </c>
      <c r="AG559" s="70">
        <f>'RESUMEN TOTAL'!AM624</f>
        <v>0</v>
      </c>
      <c r="AH559" s="70">
        <f>'RESUMEN TOTAL'!AN624</f>
        <v>0</v>
      </c>
      <c r="AI559" s="70">
        <f>'RESUMEN TOTAL'!AO624</f>
        <v>0</v>
      </c>
    </row>
    <row r="560" spans="1:35" x14ac:dyDescent="0.25">
      <c r="A560">
        <f>'RESUMEN TOTAL'!A625</f>
        <v>0</v>
      </c>
      <c r="B560">
        <f>'RESUMEN TOTAL'!B625</f>
        <v>0</v>
      </c>
      <c r="C560">
        <f>'RESUMEN TOTAL'!D625</f>
        <v>0</v>
      </c>
      <c r="D560" s="30">
        <f>'RESUMEN TOTAL'!E625</f>
        <v>0</v>
      </c>
      <c r="E560" s="30">
        <f>'RESUMEN TOTAL'!F625</f>
        <v>0</v>
      </c>
      <c r="F560" s="70">
        <f>'RESUMEN TOTAL'!L625</f>
        <v>0</v>
      </c>
      <c r="G560" s="70">
        <f>'RESUMEN TOTAL'!M625</f>
        <v>0</v>
      </c>
      <c r="H560" s="70">
        <f>'RESUMEN TOTAL'!N625</f>
        <v>0</v>
      </c>
      <c r="I560" s="70">
        <f>'RESUMEN TOTAL'!O625</f>
        <v>0</v>
      </c>
      <c r="J560" s="70">
        <f>'RESUMEN TOTAL'!P625</f>
        <v>0</v>
      </c>
      <c r="K560" s="70">
        <f>'RESUMEN TOTAL'!Q625</f>
        <v>0</v>
      </c>
      <c r="L560" s="70">
        <f>'RESUMEN TOTAL'!R625</f>
        <v>0</v>
      </c>
      <c r="M560" s="70">
        <f>'RESUMEN TOTAL'!S625</f>
        <v>0</v>
      </c>
      <c r="N560" s="70">
        <f>'RESUMEN TOTAL'!T625</f>
        <v>0</v>
      </c>
      <c r="O560" s="70">
        <f>'RESUMEN TOTAL'!U625</f>
        <v>0</v>
      </c>
      <c r="P560" s="70">
        <f>'RESUMEN TOTAL'!V625</f>
        <v>0</v>
      </c>
      <c r="Q560" s="70">
        <f>'RESUMEN TOTAL'!W625</f>
        <v>0</v>
      </c>
      <c r="R560" s="70">
        <f>'RESUMEN TOTAL'!X625</f>
        <v>0</v>
      </c>
      <c r="S560" s="70">
        <f>'RESUMEN TOTAL'!Y625</f>
        <v>0</v>
      </c>
      <c r="T560" s="70">
        <f>'RESUMEN TOTAL'!Z625</f>
        <v>0</v>
      </c>
      <c r="U560" s="70">
        <f>'RESUMEN TOTAL'!AA625</f>
        <v>0</v>
      </c>
      <c r="V560" s="70">
        <f>'RESUMEN TOTAL'!AB625</f>
        <v>0</v>
      </c>
      <c r="W560" s="70">
        <f>'RESUMEN TOTAL'!AC625</f>
        <v>0</v>
      </c>
      <c r="X560" s="70">
        <f>'RESUMEN TOTAL'!AD625</f>
        <v>0</v>
      </c>
      <c r="Y560" s="70">
        <f>'RESUMEN TOTAL'!AE625</f>
        <v>0</v>
      </c>
      <c r="Z560" s="70">
        <f>'RESUMEN TOTAL'!AF625</f>
        <v>0</v>
      </c>
      <c r="AA560" s="70">
        <f>'RESUMEN TOTAL'!AG625</f>
        <v>0</v>
      </c>
      <c r="AB560" s="70">
        <f>'RESUMEN TOTAL'!AH625</f>
        <v>0</v>
      </c>
      <c r="AC560" s="70">
        <f>'RESUMEN TOTAL'!AI625</f>
        <v>0</v>
      </c>
      <c r="AD560" s="70">
        <f>'RESUMEN TOTAL'!AJ625</f>
        <v>0</v>
      </c>
      <c r="AE560" s="70">
        <f>'RESUMEN TOTAL'!AK625</f>
        <v>0</v>
      </c>
      <c r="AF560" s="70">
        <f>'RESUMEN TOTAL'!AL625</f>
        <v>0</v>
      </c>
      <c r="AG560" s="70">
        <f>'RESUMEN TOTAL'!AM625</f>
        <v>0</v>
      </c>
      <c r="AH560" s="70">
        <f>'RESUMEN TOTAL'!AN625</f>
        <v>0</v>
      </c>
      <c r="AI560" s="70">
        <f>'RESUMEN TOTAL'!AO625</f>
        <v>0</v>
      </c>
    </row>
    <row r="561" spans="1:35" x14ac:dyDescent="0.25">
      <c r="A561">
        <f>'RESUMEN TOTAL'!A626</f>
        <v>0</v>
      </c>
      <c r="B561">
        <f>'RESUMEN TOTAL'!B626</f>
        <v>0</v>
      </c>
      <c r="C561">
        <f>'RESUMEN TOTAL'!D626</f>
        <v>0</v>
      </c>
      <c r="D561" s="30">
        <f>'RESUMEN TOTAL'!E626</f>
        <v>0</v>
      </c>
      <c r="E561" s="30">
        <f>'RESUMEN TOTAL'!F626</f>
        <v>0</v>
      </c>
      <c r="F561" s="70">
        <f>'RESUMEN TOTAL'!L626</f>
        <v>0</v>
      </c>
      <c r="G561" s="70">
        <f>'RESUMEN TOTAL'!M626</f>
        <v>0</v>
      </c>
      <c r="H561" s="70">
        <f>'RESUMEN TOTAL'!N626</f>
        <v>0</v>
      </c>
      <c r="I561" s="70">
        <f>'RESUMEN TOTAL'!O626</f>
        <v>0</v>
      </c>
      <c r="J561" s="70">
        <f>'RESUMEN TOTAL'!P626</f>
        <v>0</v>
      </c>
      <c r="K561" s="70">
        <f>'RESUMEN TOTAL'!Q626</f>
        <v>0</v>
      </c>
      <c r="L561" s="70">
        <f>'RESUMEN TOTAL'!R626</f>
        <v>0</v>
      </c>
      <c r="M561" s="70">
        <f>'RESUMEN TOTAL'!S626</f>
        <v>0</v>
      </c>
      <c r="N561" s="70">
        <f>'RESUMEN TOTAL'!T626</f>
        <v>0</v>
      </c>
      <c r="O561" s="70">
        <f>'RESUMEN TOTAL'!U626</f>
        <v>0</v>
      </c>
      <c r="P561" s="70">
        <f>'RESUMEN TOTAL'!V626</f>
        <v>0</v>
      </c>
      <c r="Q561" s="70">
        <f>'RESUMEN TOTAL'!W626</f>
        <v>0</v>
      </c>
      <c r="R561" s="70">
        <f>'RESUMEN TOTAL'!X626</f>
        <v>0</v>
      </c>
      <c r="S561" s="70">
        <f>'RESUMEN TOTAL'!Y626</f>
        <v>0</v>
      </c>
      <c r="T561" s="70">
        <f>'RESUMEN TOTAL'!Z626</f>
        <v>0</v>
      </c>
      <c r="U561" s="70">
        <f>'RESUMEN TOTAL'!AA626</f>
        <v>0</v>
      </c>
      <c r="V561" s="70">
        <f>'RESUMEN TOTAL'!AB626</f>
        <v>0</v>
      </c>
      <c r="W561" s="70">
        <f>'RESUMEN TOTAL'!AC626</f>
        <v>0</v>
      </c>
      <c r="X561" s="70">
        <f>'RESUMEN TOTAL'!AD626</f>
        <v>0</v>
      </c>
      <c r="Y561" s="70">
        <f>'RESUMEN TOTAL'!AE626</f>
        <v>0</v>
      </c>
      <c r="Z561" s="70">
        <f>'RESUMEN TOTAL'!AF626</f>
        <v>0</v>
      </c>
      <c r="AA561" s="70">
        <f>'RESUMEN TOTAL'!AG626</f>
        <v>0</v>
      </c>
      <c r="AB561" s="70">
        <f>'RESUMEN TOTAL'!AH626</f>
        <v>0</v>
      </c>
      <c r="AC561" s="70">
        <f>'RESUMEN TOTAL'!AI626</f>
        <v>0</v>
      </c>
      <c r="AD561" s="70">
        <f>'RESUMEN TOTAL'!AJ626</f>
        <v>0</v>
      </c>
      <c r="AE561" s="70">
        <f>'RESUMEN TOTAL'!AK626</f>
        <v>0</v>
      </c>
      <c r="AF561" s="70">
        <f>'RESUMEN TOTAL'!AL626</f>
        <v>0</v>
      </c>
      <c r="AG561" s="70">
        <f>'RESUMEN TOTAL'!AM626</f>
        <v>0</v>
      </c>
      <c r="AH561" s="70">
        <f>'RESUMEN TOTAL'!AN626</f>
        <v>0</v>
      </c>
      <c r="AI561" s="70">
        <f>'RESUMEN TOTAL'!AO626</f>
        <v>0</v>
      </c>
    </row>
    <row r="562" spans="1:35" x14ac:dyDescent="0.25">
      <c r="A562">
        <f>'RESUMEN TOTAL'!A627</f>
        <v>0</v>
      </c>
      <c r="B562">
        <f>'RESUMEN TOTAL'!B627</f>
        <v>0</v>
      </c>
      <c r="C562">
        <f>'RESUMEN TOTAL'!D627</f>
        <v>0</v>
      </c>
      <c r="D562" s="30">
        <f>'RESUMEN TOTAL'!E627</f>
        <v>0</v>
      </c>
      <c r="E562" s="30">
        <f>'RESUMEN TOTAL'!F627</f>
        <v>0</v>
      </c>
      <c r="F562" s="70">
        <f>'RESUMEN TOTAL'!L627</f>
        <v>0</v>
      </c>
      <c r="G562" s="70">
        <f>'RESUMEN TOTAL'!M627</f>
        <v>0</v>
      </c>
      <c r="H562" s="70">
        <f>'RESUMEN TOTAL'!N627</f>
        <v>0</v>
      </c>
      <c r="I562" s="70">
        <f>'RESUMEN TOTAL'!O627</f>
        <v>0</v>
      </c>
      <c r="J562" s="70">
        <f>'RESUMEN TOTAL'!P627</f>
        <v>0</v>
      </c>
      <c r="K562" s="70">
        <f>'RESUMEN TOTAL'!Q627</f>
        <v>0</v>
      </c>
      <c r="L562" s="70">
        <f>'RESUMEN TOTAL'!R627</f>
        <v>0</v>
      </c>
      <c r="M562" s="70">
        <f>'RESUMEN TOTAL'!S627</f>
        <v>0</v>
      </c>
      <c r="N562" s="70">
        <f>'RESUMEN TOTAL'!T627</f>
        <v>0</v>
      </c>
      <c r="O562" s="70">
        <f>'RESUMEN TOTAL'!U627</f>
        <v>0</v>
      </c>
      <c r="P562" s="70">
        <f>'RESUMEN TOTAL'!V627</f>
        <v>0</v>
      </c>
      <c r="Q562" s="70">
        <f>'RESUMEN TOTAL'!W627</f>
        <v>0</v>
      </c>
      <c r="R562" s="70">
        <f>'RESUMEN TOTAL'!X627</f>
        <v>0</v>
      </c>
      <c r="S562" s="70">
        <f>'RESUMEN TOTAL'!Y627</f>
        <v>0</v>
      </c>
      <c r="T562" s="70">
        <f>'RESUMEN TOTAL'!Z627</f>
        <v>0</v>
      </c>
      <c r="U562" s="70">
        <f>'RESUMEN TOTAL'!AA627</f>
        <v>0</v>
      </c>
      <c r="V562" s="70">
        <f>'RESUMEN TOTAL'!AB627</f>
        <v>0</v>
      </c>
      <c r="W562" s="70">
        <f>'RESUMEN TOTAL'!AC627</f>
        <v>0</v>
      </c>
      <c r="X562" s="70">
        <f>'RESUMEN TOTAL'!AD627</f>
        <v>0</v>
      </c>
      <c r="Y562" s="70">
        <f>'RESUMEN TOTAL'!AE627</f>
        <v>0</v>
      </c>
      <c r="Z562" s="70">
        <f>'RESUMEN TOTAL'!AF627</f>
        <v>0</v>
      </c>
      <c r="AA562" s="70">
        <f>'RESUMEN TOTAL'!AG627</f>
        <v>0</v>
      </c>
      <c r="AB562" s="70">
        <f>'RESUMEN TOTAL'!AH627</f>
        <v>0</v>
      </c>
      <c r="AC562" s="70">
        <f>'RESUMEN TOTAL'!AI627</f>
        <v>0</v>
      </c>
      <c r="AD562" s="70">
        <f>'RESUMEN TOTAL'!AJ627</f>
        <v>0</v>
      </c>
      <c r="AE562" s="70">
        <f>'RESUMEN TOTAL'!AK627</f>
        <v>0</v>
      </c>
      <c r="AF562" s="70">
        <f>'RESUMEN TOTAL'!AL627</f>
        <v>0</v>
      </c>
      <c r="AG562" s="70">
        <f>'RESUMEN TOTAL'!AM627</f>
        <v>0</v>
      </c>
      <c r="AH562" s="70">
        <f>'RESUMEN TOTAL'!AN627</f>
        <v>0</v>
      </c>
      <c r="AI562" s="70">
        <f>'RESUMEN TOTAL'!AO627</f>
        <v>0</v>
      </c>
    </row>
    <row r="563" spans="1:35" x14ac:dyDescent="0.25">
      <c r="A563">
        <f>'RESUMEN TOTAL'!A628</f>
        <v>0</v>
      </c>
      <c r="B563">
        <f>'RESUMEN TOTAL'!B628</f>
        <v>0</v>
      </c>
      <c r="C563">
        <f>'RESUMEN TOTAL'!D628</f>
        <v>0</v>
      </c>
      <c r="D563" s="30">
        <f>'RESUMEN TOTAL'!E628</f>
        <v>0</v>
      </c>
      <c r="E563" s="30">
        <f>'RESUMEN TOTAL'!F628</f>
        <v>0</v>
      </c>
      <c r="F563" s="70">
        <f>'RESUMEN TOTAL'!L628</f>
        <v>0</v>
      </c>
      <c r="G563" s="70">
        <f>'RESUMEN TOTAL'!M628</f>
        <v>0</v>
      </c>
      <c r="H563" s="70">
        <f>'RESUMEN TOTAL'!N628</f>
        <v>0</v>
      </c>
      <c r="I563" s="70">
        <f>'RESUMEN TOTAL'!O628</f>
        <v>0</v>
      </c>
      <c r="J563" s="70">
        <f>'RESUMEN TOTAL'!P628</f>
        <v>0</v>
      </c>
      <c r="K563" s="70">
        <f>'RESUMEN TOTAL'!Q628</f>
        <v>0</v>
      </c>
      <c r="L563" s="70">
        <f>'RESUMEN TOTAL'!R628</f>
        <v>0</v>
      </c>
      <c r="M563" s="70">
        <f>'RESUMEN TOTAL'!S628</f>
        <v>0</v>
      </c>
      <c r="N563" s="70">
        <f>'RESUMEN TOTAL'!T628</f>
        <v>0</v>
      </c>
      <c r="O563" s="70">
        <f>'RESUMEN TOTAL'!U628</f>
        <v>0</v>
      </c>
      <c r="P563" s="70">
        <f>'RESUMEN TOTAL'!V628</f>
        <v>0</v>
      </c>
      <c r="Q563" s="70">
        <f>'RESUMEN TOTAL'!W628</f>
        <v>0</v>
      </c>
      <c r="R563" s="70">
        <f>'RESUMEN TOTAL'!X628</f>
        <v>0</v>
      </c>
      <c r="S563" s="70">
        <f>'RESUMEN TOTAL'!Y628</f>
        <v>0</v>
      </c>
      <c r="T563" s="70">
        <f>'RESUMEN TOTAL'!Z628</f>
        <v>0</v>
      </c>
      <c r="U563" s="70">
        <f>'RESUMEN TOTAL'!AA628</f>
        <v>0</v>
      </c>
      <c r="V563" s="70">
        <f>'RESUMEN TOTAL'!AB628</f>
        <v>0</v>
      </c>
      <c r="W563" s="70">
        <f>'RESUMEN TOTAL'!AC628</f>
        <v>0</v>
      </c>
      <c r="X563" s="70">
        <f>'RESUMEN TOTAL'!AD628</f>
        <v>0</v>
      </c>
      <c r="Y563" s="70">
        <f>'RESUMEN TOTAL'!AE628</f>
        <v>0</v>
      </c>
      <c r="Z563" s="70">
        <f>'RESUMEN TOTAL'!AF628</f>
        <v>0</v>
      </c>
      <c r="AA563" s="70">
        <f>'RESUMEN TOTAL'!AG628</f>
        <v>0</v>
      </c>
      <c r="AB563" s="70">
        <f>'RESUMEN TOTAL'!AH628</f>
        <v>0</v>
      </c>
      <c r="AC563" s="70">
        <f>'RESUMEN TOTAL'!AI628</f>
        <v>0</v>
      </c>
      <c r="AD563" s="70">
        <f>'RESUMEN TOTAL'!AJ628</f>
        <v>0</v>
      </c>
      <c r="AE563" s="70">
        <f>'RESUMEN TOTAL'!AK628</f>
        <v>0</v>
      </c>
      <c r="AF563" s="70">
        <f>'RESUMEN TOTAL'!AL628</f>
        <v>0</v>
      </c>
      <c r="AG563" s="70">
        <f>'RESUMEN TOTAL'!AM628</f>
        <v>0</v>
      </c>
      <c r="AH563" s="70">
        <f>'RESUMEN TOTAL'!AN628</f>
        <v>0</v>
      </c>
      <c r="AI563" s="70">
        <f>'RESUMEN TOTAL'!AO628</f>
        <v>0</v>
      </c>
    </row>
    <row r="564" spans="1:35" x14ac:dyDescent="0.25">
      <c r="A564">
        <f>'RESUMEN TOTAL'!A629</f>
        <v>0</v>
      </c>
      <c r="B564">
        <f>'RESUMEN TOTAL'!B629</f>
        <v>0</v>
      </c>
      <c r="C564">
        <f>'RESUMEN TOTAL'!D629</f>
        <v>0</v>
      </c>
      <c r="D564" s="30">
        <f>'RESUMEN TOTAL'!E629</f>
        <v>0</v>
      </c>
      <c r="E564" s="30">
        <f>'RESUMEN TOTAL'!F629</f>
        <v>0</v>
      </c>
      <c r="F564" s="70">
        <f>'RESUMEN TOTAL'!L629</f>
        <v>0</v>
      </c>
      <c r="G564" s="70">
        <f>'RESUMEN TOTAL'!M629</f>
        <v>0</v>
      </c>
      <c r="H564" s="70">
        <f>'RESUMEN TOTAL'!N629</f>
        <v>0</v>
      </c>
      <c r="I564" s="70">
        <f>'RESUMEN TOTAL'!O629</f>
        <v>0</v>
      </c>
      <c r="J564" s="70">
        <f>'RESUMEN TOTAL'!P629</f>
        <v>0</v>
      </c>
      <c r="K564" s="70">
        <f>'RESUMEN TOTAL'!Q629</f>
        <v>0</v>
      </c>
      <c r="L564" s="70">
        <f>'RESUMEN TOTAL'!R629</f>
        <v>0</v>
      </c>
      <c r="M564" s="70">
        <f>'RESUMEN TOTAL'!S629</f>
        <v>0</v>
      </c>
      <c r="N564" s="70">
        <f>'RESUMEN TOTAL'!T629</f>
        <v>0</v>
      </c>
      <c r="O564" s="70">
        <f>'RESUMEN TOTAL'!U629</f>
        <v>0</v>
      </c>
      <c r="P564" s="70">
        <f>'RESUMEN TOTAL'!V629</f>
        <v>0</v>
      </c>
      <c r="Q564" s="70">
        <f>'RESUMEN TOTAL'!W629</f>
        <v>0</v>
      </c>
      <c r="R564" s="70">
        <f>'RESUMEN TOTAL'!X629</f>
        <v>0</v>
      </c>
      <c r="S564" s="70">
        <f>'RESUMEN TOTAL'!Y629</f>
        <v>0</v>
      </c>
      <c r="T564" s="70">
        <f>'RESUMEN TOTAL'!Z629</f>
        <v>0</v>
      </c>
      <c r="U564" s="70">
        <f>'RESUMEN TOTAL'!AA629</f>
        <v>0</v>
      </c>
      <c r="V564" s="70">
        <f>'RESUMEN TOTAL'!AB629</f>
        <v>0</v>
      </c>
      <c r="W564" s="70">
        <f>'RESUMEN TOTAL'!AC629</f>
        <v>0</v>
      </c>
      <c r="X564" s="70">
        <f>'RESUMEN TOTAL'!AD629</f>
        <v>0</v>
      </c>
      <c r="Y564" s="70">
        <f>'RESUMEN TOTAL'!AE629</f>
        <v>0</v>
      </c>
      <c r="Z564" s="70">
        <f>'RESUMEN TOTAL'!AF629</f>
        <v>0</v>
      </c>
      <c r="AA564" s="70">
        <f>'RESUMEN TOTAL'!AG629</f>
        <v>0</v>
      </c>
      <c r="AB564" s="70">
        <f>'RESUMEN TOTAL'!AH629</f>
        <v>0</v>
      </c>
      <c r="AC564" s="70">
        <f>'RESUMEN TOTAL'!AI629</f>
        <v>0</v>
      </c>
      <c r="AD564" s="70">
        <f>'RESUMEN TOTAL'!AJ629</f>
        <v>0</v>
      </c>
      <c r="AE564" s="70">
        <f>'RESUMEN TOTAL'!AK629</f>
        <v>0</v>
      </c>
      <c r="AF564" s="70">
        <f>'RESUMEN TOTAL'!AL629</f>
        <v>0</v>
      </c>
      <c r="AG564" s="70">
        <f>'RESUMEN TOTAL'!AM629</f>
        <v>0</v>
      </c>
      <c r="AH564" s="70">
        <f>'RESUMEN TOTAL'!AN629</f>
        <v>0</v>
      </c>
      <c r="AI564" s="70">
        <f>'RESUMEN TOTAL'!AO629</f>
        <v>0</v>
      </c>
    </row>
    <row r="565" spans="1:35" x14ac:dyDescent="0.25">
      <c r="A565">
        <f>'RESUMEN TOTAL'!A630</f>
        <v>0</v>
      </c>
      <c r="B565">
        <f>'RESUMEN TOTAL'!B630</f>
        <v>0</v>
      </c>
      <c r="C565">
        <f>'RESUMEN TOTAL'!D630</f>
        <v>0</v>
      </c>
      <c r="D565" s="30">
        <f>'RESUMEN TOTAL'!E630</f>
        <v>0</v>
      </c>
      <c r="E565" s="30">
        <f>'RESUMEN TOTAL'!F630</f>
        <v>0</v>
      </c>
      <c r="F565" s="70">
        <f>'RESUMEN TOTAL'!L630</f>
        <v>0</v>
      </c>
      <c r="G565" s="70">
        <f>'RESUMEN TOTAL'!M630</f>
        <v>0</v>
      </c>
      <c r="H565" s="70">
        <f>'RESUMEN TOTAL'!N630</f>
        <v>0</v>
      </c>
      <c r="I565" s="70">
        <f>'RESUMEN TOTAL'!O630</f>
        <v>0</v>
      </c>
      <c r="J565" s="70">
        <f>'RESUMEN TOTAL'!P630</f>
        <v>0</v>
      </c>
      <c r="K565" s="70">
        <f>'RESUMEN TOTAL'!Q630</f>
        <v>0</v>
      </c>
      <c r="L565" s="70">
        <f>'RESUMEN TOTAL'!R630</f>
        <v>0</v>
      </c>
      <c r="M565" s="70">
        <f>'RESUMEN TOTAL'!S630</f>
        <v>0</v>
      </c>
      <c r="N565" s="70">
        <f>'RESUMEN TOTAL'!T630</f>
        <v>0</v>
      </c>
      <c r="O565" s="70">
        <f>'RESUMEN TOTAL'!U630</f>
        <v>0</v>
      </c>
      <c r="P565" s="70">
        <f>'RESUMEN TOTAL'!V630</f>
        <v>0</v>
      </c>
      <c r="Q565" s="70">
        <f>'RESUMEN TOTAL'!W630</f>
        <v>0</v>
      </c>
      <c r="R565" s="70">
        <f>'RESUMEN TOTAL'!X630</f>
        <v>0</v>
      </c>
      <c r="S565" s="70">
        <f>'RESUMEN TOTAL'!Y630</f>
        <v>0</v>
      </c>
      <c r="T565" s="70">
        <f>'RESUMEN TOTAL'!Z630</f>
        <v>0</v>
      </c>
      <c r="U565" s="70">
        <f>'RESUMEN TOTAL'!AA630</f>
        <v>0</v>
      </c>
      <c r="V565" s="70">
        <f>'RESUMEN TOTAL'!AB630</f>
        <v>0</v>
      </c>
      <c r="W565" s="70">
        <f>'RESUMEN TOTAL'!AC630</f>
        <v>0</v>
      </c>
      <c r="X565" s="70">
        <f>'RESUMEN TOTAL'!AD630</f>
        <v>0</v>
      </c>
      <c r="Y565" s="70">
        <f>'RESUMEN TOTAL'!AE630</f>
        <v>0</v>
      </c>
      <c r="Z565" s="70">
        <f>'RESUMEN TOTAL'!AF630</f>
        <v>0</v>
      </c>
      <c r="AA565" s="70">
        <f>'RESUMEN TOTAL'!AG630</f>
        <v>0</v>
      </c>
      <c r="AB565" s="70">
        <f>'RESUMEN TOTAL'!AH630</f>
        <v>0</v>
      </c>
      <c r="AC565" s="70">
        <f>'RESUMEN TOTAL'!AI630</f>
        <v>0</v>
      </c>
      <c r="AD565" s="70">
        <f>'RESUMEN TOTAL'!AJ630</f>
        <v>0</v>
      </c>
      <c r="AE565" s="70">
        <f>'RESUMEN TOTAL'!AK630</f>
        <v>0</v>
      </c>
      <c r="AF565" s="70">
        <f>'RESUMEN TOTAL'!AL630</f>
        <v>0</v>
      </c>
      <c r="AG565" s="70">
        <f>'RESUMEN TOTAL'!AM630</f>
        <v>0</v>
      </c>
      <c r="AH565" s="70">
        <f>'RESUMEN TOTAL'!AN630</f>
        <v>0</v>
      </c>
      <c r="AI565" s="70">
        <f>'RESUMEN TOTAL'!AO630</f>
        <v>0</v>
      </c>
    </row>
    <row r="566" spans="1:35" x14ac:dyDescent="0.25">
      <c r="A566">
        <f>'RESUMEN TOTAL'!A631</f>
        <v>0</v>
      </c>
      <c r="B566">
        <f>'RESUMEN TOTAL'!B631</f>
        <v>0</v>
      </c>
      <c r="C566">
        <f>'RESUMEN TOTAL'!D631</f>
        <v>0</v>
      </c>
      <c r="D566" s="30">
        <f>'RESUMEN TOTAL'!E631</f>
        <v>0</v>
      </c>
      <c r="E566" s="30">
        <f>'RESUMEN TOTAL'!F631</f>
        <v>0</v>
      </c>
      <c r="F566" s="70">
        <f>'RESUMEN TOTAL'!L631</f>
        <v>0</v>
      </c>
      <c r="G566" s="70">
        <f>'RESUMEN TOTAL'!M631</f>
        <v>0</v>
      </c>
      <c r="H566" s="70">
        <f>'RESUMEN TOTAL'!N631</f>
        <v>0</v>
      </c>
      <c r="I566" s="70">
        <f>'RESUMEN TOTAL'!O631</f>
        <v>0</v>
      </c>
      <c r="J566" s="70">
        <f>'RESUMEN TOTAL'!P631</f>
        <v>0</v>
      </c>
      <c r="K566" s="70">
        <f>'RESUMEN TOTAL'!Q631</f>
        <v>0</v>
      </c>
      <c r="L566" s="70">
        <f>'RESUMEN TOTAL'!R631</f>
        <v>0</v>
      </c>
      <c r="M566" s="70">
        <f>'RESUMEN TOTAL'!S631</f>
        <v>0</v>
      </c>
      <c r="N566" s="70">
        <f>'RESUMEN TOTAL'!T631</f>
        <v>0</v>
      </c>
      <c r="O566" s="70">
        <f>'RESUMEN TOTAL'!U631</f>
        <v>0</v>
      </c>
      <c r="P566" s="70">
        <f>'RESUMEN TOTAL'!V631</f>
        <v>0</v>
      </c>
      <c r="Q566" s="70">
        <f>'RESUMEN TOTAL'!W631</f>
        <v>0</v>
      </c>
      <c r="R566" s="70">
        <f>'RESUMEN TOTAL'!X631</f>
        <v>0</v>
      </c>
      <c r="S566" s="70">
        <f>'RESUMEN TOTAL'!Y631</f>
        <v>0</v>
      </c>
      <c r="T566" s="70">
        <f>'RESUMEN TOTAL'!Z631</f>
        <v>0</v>
      </c>
      <c r="U566" s="70">
        <f>'RESUMEN TOTAL'!AA631</f>
        <v>0</v>
      </c>
      <c r="V566" s="70">
        <f>'RESUMEN TOTAL'!AB631</f>
        <v>0</v>
      </c>
      <c r="W566" s="70">
        <f>'RESUMEN TOTAL'!AC631</f>
        <v>0</v>
      </c>
      <c r="X566" s="70">
        <f>'RESUMEN TOTAL'!AD631</f>
        <v>0</v>
      </c>
      <c r="Y566" s="70">
        <f>'RESUMEN TOTAL'!AE631</f>
        <v>0</v>
      </c>
      <c r="Z566" s="70">
        <f>'RESUMEN TOTAL'!AF631</f>
        <v>0</v>
      </c>
      <c r="AA566" s="70">
        <f>'RESUMEN TOTAL'!AG631</f>
        <v>0</v>
      </c>
      <c r="AB566" s="70">
        <f>'RESUMEN TOTAL'!AH631</f>
        <v>0</v>
      </c>
      <c r="AC566" s="70">
        <f>'RESUMEN TOTAL'!AI631</f>
        <v>0</v>
      </c>
      <c r="AD566" s="70">
        <f>'RESUMEN TOTAL'!AJ631</f>
        <v>0</v>
      </c>
      <c r="AE566" s="70">
        <f>'RESUMEN TOTAL'!AK631</f>
        <v>0</v>
      </c>
      <c r="AF566" s="70">
        <f>'RESUMEN TOTAL'!AL631</f>
        <v>0</v>
      </c>
      <c r="AG566" s="70">
        <f>'RESUMEN TOTAL'!AM631</f>
        <v>0</v>
      </c>
      <c r="AH566" s="70">
        <f>'RESUMEN TOTAL'!AN631</f>
        <v>0</v>
      </c>
      <c r="AI566" s="70">
        <f>'RESUMEN TOTAL'!AO631</f>
        <v>0</v>
      </c>
    </row>
    <row r="567" spans="1:35" x14ac:dyDescent="0.25">
      <c r="A567">
        <f>'RESUMEN TOTAL'!A632</f>
        <v>0</v>
      </c>
      <c r="B567">
        <f>'RESUMEN TOTAL'!B632</f>
        <v>0</v>
      </c>
      <c r="C567">
        <f>'RESUMEN TOTAL'!D632</f>
        <v>0</v>
      </c>
      <c r="D567" s="30">
        <f>'RESUMEN TOTAL'!E632</f>
        <v>0</v>
      </c>
      <c r="E567" s="30">
        <f>'RESUMEN TOTAL'!F632</f>
        <v>0</v>
      </c>
      <c r="F567" s="70">
        <f>'RESUMEN TOTAL'!L632</f>
        <v>0</v>
      </c>
      <c r="G567" s="70">
        <f>'RESUMEN TOTAL'!M632</f>
        <v>0</v>
      </c>
      <c r="H567" s="70">
        <f>'RESUMEN TOTAL'!N632</f>
        <v>0</v>
      </c>
      <c r="I567" s="70">
        <f>'RESUMEN TOTAL'!O632</f>
        <v>0</v>
      </c>
      <c r="J567" s="70">
        <f>'RESUMEN TOTAL'!P632</f>
        <v>0</v>
      </c>
      <c r="K567" s="70">
        <f>'RESUMEN TOTAL'!Q632</f>
        <v>0</v>
      </c>
      <c r="L567" s="70">
        <f>'RESUMEN TOTAL'!R632</f>
        <v>0</v>
      </c>
      <c r="M567" s="70">
        <f>'RESUMEN TOTAL'!S632</f>
        <v>0</v>
      </c>
      <c r="N567" s="70">
        <f>'RESUMEN TOTAL'!T632</f>
        <v>0</v>
      </c>
      <c r="O567" s="70">
        <f>'RESUMEN TOTAL'!U632</f>
        <v>0</v>
      </c>
      <c r="P567" s="70">
        <f>'RESUMEN TOTAL'!V632</f>
        <v>0</v>
      </c>
      <c r="Q567" s="70">
        <f>'RESUMEN TOTAL'!W632</f>
        <v>0</v>
      </c>
      <c r="R567" s="70">
        <f>'RESUMEN TOTAL'!X632</f>
        <v>0</v>
      </c>
      <c r="S567" s="70">
        <f>'RESUMEN TOTAL'!Y632</f>
        <v>0</v>
      </c>
      <c r="T567" s="70">
        <f>'RESUMEN TOTAL'!Z632</f>
        <v>0</v>
      </c>
      <c r="U567" s="70">
        <f>'RESUMEN TOTAL'!AA632</f>
        <v>0</v>
      </c>
      <c r="V567" s="70">
        <f>'RESUMEN TOTAL'!AB632</f>
        <v>0</v>
      </c>
      <c r="W567" s="70">
        <f>'RESUMEN TOTAL'!AC632</f>
        <v>0</v>
      </c>
      <c r="X567" s="70">
        <f>'RESUMEN TOTAL'!AD632</f>
        <v>0</v>
      </c>
      <c r="Y567" s="70">
        <f>'RESUMEN TOTAL'!AE632</f>
        <v>0</v>
      </c>
      <c r="Z567" s="70">
        <f>'RESUMEN TOTAL'!AF632</f>
        <v>0</v>
      </c>
      <c r="AA567" s="70">
        <f>'RESUMEN TOTAL'!AG632</f>
        <v>0</v>
      </c>
      <c r="AB567" s="70">
        <f>'RESUMEN TOTAL'!AH632</f>
        <v>0</v>
      </c>
      <c r="AC567" s="70">
        <f>'RESUMEN TOTAL'!AI632</f>
        <v>0</v>
      </c>
      <c r="AD567" s="70">
        <f>'RESUMEN TOTAL'!AJ632</f>
        <v>0</v>
      </c>
      <c r="AE567" s="70">
        <f>'RESUMEN TOTAL'!AK632</f>
        <v>0</v>
      </c>
      <c r="AF567" s="70">
        <f>'RESUMEN TOTAL'!AL632</f>
        <v>0</v>
      </c>
      <c r="AG567" s="70">
        <f>'RESUMEN TOTAL'!AM632</f>
        <v>0</v>
      </c>
      <c r="AH567" s="70">
        <f>'RESUMEN TOTAL'!AN632</f>
        <v>0</v>
      </c>
      <c r="AI567" s="70">
        <f>'RESUMEN TOTAL'!AO632</f>
        <v>0</v>
      </c>
    </row>
    <row r="568" spans="1:35" x14ac:dyDescent="0.25">
      <c r="A568">
        <f>'RESUMEN TOTAL'!A633</f>
        <v>0</v>
      </c>
      <c r="B568">
        <f>'RESUMEN TOTAL'!B633</f>
        <v>0</v>
      </c>
      <c r="C568">
        <f>'RESUMEN TOTAL'!D633</f>
        <v>0</v>
      </c>
      <c r="D568" s="30">
        <f>'RESUMEN TOTAL'!E633</f>
        <v>0</v>
      </c>
      <c r="E568" s="30">
        <f>'RESUMEN TOTAL'!F633</f>
        <v>0</v>
      </c>
      <c r="F568" s="70">
        <f>'RESUMEN TOTAL'!L633</f>
        <v>0</v>
      </c>
      <c r="G568" s="70">
        <f>'RESUMEN TOTAL'!M633</f>
        <v>0</v>
      </c>
      <c r="H568" s="70">
        <f>'RESUMEN TOTAL'!N633</f>
        <v>0</v>
      </c>
      <c r="I568" s="70">
        <f>'RESUMEN TOTAL'!O633</f>
        <v>0</v>
      </c>
      <c r="J568" s="70">
        <f>'RESUMEN TOTAL'!P633</f>
        <v>0</v>
      </c>
      <c r="K568" s="70">
        <f>'RESUMEN TOTAL'!Q633</f>
        <v>0</v>
      </c>
      <c r="L568" s="70">
        <f>'RESUMEN TOTAL'!R633</f>
        <v>0</v>
      </c>
      <c r="M568" s="70">
        <f>'RESUMEN TOTAL'!S633</f>
        <v>0</v>
      </c>
      <c r="N568" s="70">
        <f>'RESUMEN TOTAL'!T633</f>
        <v>0</v>
      </c>
      <c r="O568" s="70">
        <f>'RESUMEN TOTAL'!U633</f>
        <v>0</v>
      </c>
      <c r="P568" s="70">
        <f>'RESUMEN TOTAL'!V633</f>
        <v>0</v>
      </c>
      <c r="Q568" s="70">
        <f>'RESUMEN TOTAL'!W633</f>
        <v>0</v>
      </c>
      <c r="R568" s="70">
        <f>'RESUMEN TOTAL'!X633</f>
        <v>0</v>
      </c>
      <c r="S568" s="70">
        <f>'RESUMEN TOTAL'!Y633</f>
        <v>0</v>
      </c>
      <c r="T568" s="70">
        <f>'RESUMEN TOTAL'!Z633</f>
        <v>0</v>
      </c>
      <c r="U568" s="70">
        <f>'RESUMEN TOTAL'!AA633</f>
        <v>0</v>
      </c>
      <c r="V568" s="70">
        <f>'RESUMEN TOTAL'!AB633</f>
        <v>0</v>
      </c>
      <c r="W568" s="70">
        <f>'RESUMEN TOTAL'!AC633</f>
        <v>0</v>
      </c>
      <c r="X568" s="70">
        <f>'RESUMEN TOTAL'!AD633</f>
        <v>0</v>
      </c>
      <c r="Y568" s="70">
        <f>'RESUMEN TOTAL'!AE633</f>
        <v>0</v>
      </c>
      <c r="Z568" s="70">
        <f>'RESUMEN TOTAL'!AF633</f>
        <v>0</v>
      </c>
      <c r="AA568" s="70">
        <f>'RESUMEN TOTAL'!AG633</f>
        <v>0</v>
      </c>
      <c r="AB568" s="70">
        <f>'RESUMEN TOTAL'!AH633</f>
        <v>0</v>
      </c>
      <c r="AC568" s="70">
        <f>'RESUMEN TOTAL'!AI633</f>
        <v>0</v>
      </c>
      <c r="AD568" s="70">
        <f>'RESUMEN TOTAL'!AJ633</f>
        <v>0</v>
      </c>
      <c r="AE568" s="70">
        <f>'RESUMEN TOTAL'!AK633</f>
        <v>0</v>
      </c>
      <c r="AF568" s="70">
        <f>'RESUMEN TOTAL'!AL633</f>
        <v>0</v>
      </c>
      <c r="AG568" s="70">
        <f>'RESUMEN TOTAL'!AM633</f>
        <v>0</v>
      </c>
      <c r="AH568" s="70">
        <f>'RESUMEN TOTAL'!AN633</f>
        <v>0</v>
      </c>
      <c r="AI568" s="70">
        <f>'RESUMEN TOTAL'!AO633</f>
        <v>0</v>
      </c>
    </row>
    <row r="569" spans="1:35" x14ac:dyDescent="0.25">
      <c r="A569">
        <f>'RESUMEN TOTAL'!A634</f>
        <v>0</v>
      </c>
      <c r="B569">
        <f>'RESUMEN TOTAL'!B634</f>
        <v>0</v>
      </c>
      <c r="C569">
        <f>'RESUMEN TOTAL'!D634</f>
        <v>0</v>
      </c>
      <c r="D569" s="30">
        <f>'RESUMEN TOTAL'!E634</f>
        <v>0</v>
      </c>
      <c r="E569" s="30">
        <f>'RESUMEN TOTAL'!F634</f>
        <v>0</v>
      </c>
      <c r="F569" s="70">
        <f>'RESUMEN TOTAL'!L634</f>
        <v>0</v>
      </c>
      <c r="G569" s="70">
        <f>'RESUMEN TOTAL'!M634</f>
        <v>0</v>
      </c>
      <c r="H569" s="70">
        <f>'RESUMEN TOTAL'!N634</f>
        <v>0</v>
      </c>
      <c r="I569" s="70">
        <f>'RESUMEN TOTAL'!O634</f>
        <v>0</v>
      </c>
      <c r="J569" s="70">
        <f>'RESUMEN TOTAL'!P634</f>
        <v>0</v>
      </c>
      <c r="K569" s="70">
        <f>'RESUMEN TOTAL'!Q634</f>
        <v>0</v>
      </c>
      <c r="L569" s="70">
        <f>'RESUMEN TOTAL'!R634</f>
        <v>0</v>
      </c>
      <c r="M569" s="70">
        <f>'RESUMEN TOTAL'!S634</f>
        <v>0</v>
      </c>
      <c r="N569" s="70">
        <f>'RESUMEN TOTAL'!T634</f>
        <v>0</v>
      </c>
      <c r="O569" s="70">
        <f>'RESUMEN TOTAL'!U634</f>
        <v>0</v>
      </c>
      <c r="P569" s="70">
        <f>'RESUMEN TOTAL'!V634</f>
        <v>0</v>
      </c>
      <c r="Q569" s="70">
        <f>'RESUMEN TOTAL'!W634</f>
        <v>0</v>
      </c>
      <c r="R569" s="70">
        <f>'RESUMEN TOTAL'!X634</f>
        <v>0</v>
      </c>
      <c r="S569" s="70">
        <f>'RESUMEN TOTAL'!Y634</f>
        <v>0</v>
      </c>
      <c r="T569" s="70">
        <f>'RESUMEN TOTAL'!Z634</f>
        <v>0</v>
      </c>
      <c r="U569" s="70">
        <f>'RESUMEN TOTAL'!AA634</f>
        <v>0</v>
      </c>
      <c r="V569" s="70">
        <f>'RESUMEN TOTAL'!AB634</f>
        <v>0</v>
      </c>
      <c r="W569" s="70">
        <f>'RESUMEN TOTAL'!AC634</f>
        <v>0</v>
      </c>
      <c r="X569" s="70">
        <f>'RESUMEN TOTAL'!AD634</f>
        <v>0</v>
      </c>
      <c r="Y569" s="70">
        <f>'RESUMEN TOTAL'!AE634</f>
        <v>0</v>
      </c>
      <c r="Z569" s="70">
        <f>'RESUMEN TOTAL'!AF634</f>
        <v>0</v>
      </c>
      <c r="AA569" s="70">
        <f>'RESUMEN TOTAL'!AG634</f>
        <v>0</v>
      </c>
      <c r="AB569" s="70">
        <f>'RESUMEN TOTAL'!AH634</f>
        <v>0</v>
      </c>
      <c r="AC569" s="70">
        <f>'RESUMEN TOTAL'!AI634</f>
        <v>0</v>
      </c>
      <c r="AD569" s="70">
        <f>'RESUMEN TOTAL'!AJ634</f>
        <v>0</v>
      </c>
      <c r="AE569" s="70">
        <f>'RESUMEN TOTAL'!AK634</f>
        <v>0</v>
      </c>
      <c r="AF569" s="70">
        <f>'RESUMEN TOTAL'!AL634</f>
        <v>0</v>
      </c>
      <c r="AG569" s="70">
        <f>'RESUMEN TOTAL'!AM634</f>
        <v>0</v>
      </c>
      <c r="AH569" s="70">
        <f>'RESUMEN TOTAL'!AN634</f>
        <v>0</v>
      </c>
      <c r="AI569" s="70">
        <f>'RESUMEN TOTAL'!AO634</f>
        <v>0</v>
      </c>
    </row>
    <row r="570" spans="1:35" x14ac:dyDescent="0.25">
      <c r="A570">
        <f>'RESUMEN TOTAL'!A635</f>
        <v>0</v>
      </c>
      <c r="B570">
        <f>'RESUMEN TOTAL'!B635</f>
        <v>0</v>
      </c>
      <c r="C570">
        <f>'RESUMEN TOTAL'!D635</f>
        <v>0</v>
      </c>
      <c r="D570" s="30">
        <f>'RESUMEN TOTAL'!E635</f>
        <v>0</v>
      </c>
      <c r="E570" s="30">
        <f>'RESUMEN TOTAL'!F635</f>
        <v>0</v>
      </c>
      <c r="F570" s="70">
        <f>'RESUMEN TOTAL'!L635</f>
        <v>0</v>
      </c>
      <c r="G570" s="70">
        <f>'RESUMEN TOTAL'!M635</f>
        <v>0</v>
      </c>
      <c r="H570" s="70">
        <f>'RESUMEN TOTAL'!N635</f>
        <v>0</v>
      </c>
      <c r="I570" s="70">
        <f>'RESUMEN TOTAL'!O635</f>
        <v>0</v>
      </c>
      <c r="J570" s="70">
        <f>'RESUMEN TOTAL'!P635</f>
        <v>0</v>
      </c>
      <c r="K570" s="70">
        <f>'RESUMEN TOTAL'!Q635</f>
        <v>0</v>
      </c>
      <c r="L570" s="70">
        <f>'RESUMEN TOTAL'!R635</f>
        <v>0</v>
      </c>
      <c r="M570" s="70">
        <f>'RESUMEN TOTAL'!S635</f>
        <v>0</v>
      </c>
      <c r="N570" s="70">
        <f>'RESUMEN TOTAL'!T635</f>
        <v>0</v>
      </c>
      <c r="O570" s="70">
        <f>'RESUMEN TOTAL'!U635</f>
        <v>0</v>
      </c>
      <c r="P570" s="70">
        <f>'RESUMEN TOTAL'!V635</f>
        <v>0</v>
      </c>
      <c r="Q570" s="70">
        <f>'RESUMEN TOTAL'!W635</f>
        <v>0</v>
      </c>
      <c r="R570" s="70">
        <f>'RESUMEN TOTAL'!X635</f>
        <v>0</v>
      </c>
      <c r="S570" s="70">
        <f>'RESUMEN TOTAL'!Y635</f>
        <v>0</v>
      </c>
      <c r="T570" s="70">
        <f>'RESUMEN TOTAL'!Z635</f>
        <v>0</v>
      </c>
      <c r="U570" s="70">
        <f>'RESUMEN TOTAL'!AA635</f>
        <v>0</v>
      </c>
      <c r="V570" s="70">
        <f>'RESUMEN TOTAL'!AB635</f>
        <v>0</v>
      </c>
      <c r="W570" s="70">
        <f>'RESUMEN TOTAL'!AC635</f>
        <v>0</v>
      </c>
      <c r="X570" s="70">
        <f>'RESUMEN TOTAL'!AD635</f>
        <v>0</v>
      </c>
      <c r="Y570" s="70">
        <f>'RESUMEN TOTAL'!AE635</f>
        <v>0</v>
      </c>
      <c r="Z570" s="70">
        <f>'RESUMEN TOTAL'!AF635</f>
        <v>0</v>
      </c>
      <c r="AA570" s="70">
        <f>'RESUMEN TOTAL'!AG635</f>
        <v>0</v>
      </c>
      <c r="AB570" s="70">
        <f>'RESUMEN TOTAL'!AH635</f>
        <v>0</v>
      </c>
      <c r="AC570" s="70">
        <f>'RESUMEN TOTAL'!AI635</f>
        <v>0</v>
      </c>
      <c r="AD570" s="70">
        <f>'RESUMEN TOTAL'!AJ635</f>
        <v>0</v>
      </c>
      <c r="AE570" s="70">
        <f>'RESUMEN TOTAL'!AK635</f>
        <v>0</v>
      </c>
      <c r="AF570" s="70">
        <f>'RESUMEN TOTAL'!AL635</f>
        <v>0</v>
      </c>
      <c r="AG570" s="70">
        <f>'RESUMEN TOTAL'!AM635</f>
        <v>0</v>
      </c>
      <c r="AH570" s="70">
        <f>'RESUMEN TOTAL'!AN635</f>
        <v>0</v>
      </c>
      <c r="AI570" s="70">
        <f>'RESUMEN TOTAL'!AO635</f>
        <v>0</v>
      </c>
    </row>
    <row r="571" spans="1:35" x14ac:dyDescent="0.25">
      <c r="A571">
        <f>'RESUMEN TOTAL'!A636</f>
        <v>0</v>
      </c>
      <c r="B571">
        <f>'RESUMEN TOTAL'!B636</f>
        <v>0</v>
      </c>
      <c r="C571">
        <f>'RESUMEN TOTAL'!D636</f>
        <v>0</v>
      </c>
      <c r="D571" s="30">
        <f>'RESUMEN TOTAL'!E636</f>
        <v>0</v>
      </c>
      <c r="E571" s="30">
        <f>'RESUMEN TOTAL'!F636</f>
        <v>0</v>
      </c>
      <c r="F571" s="70">
        <f>'RESUMEN TOTAL'!L636</f>
        <v>0</v>
      </c>
      <c r="G571" s="70">
        <f>'RESUMEN TOTAL'!M636</f>
        <v>0</v>
      </c>
      <c r="H571" s="70">
        <f>'RESUMEN TOTAL'!N636</f>
        <v>0</v>
      </c>
      <c r="I571" s="70">
        <f>'RESUMEN TOTAL'!O636</f>
        <v>0</v>
      </c>
      <c r="J571" s="70">
        <f>'RESUMEN TOTAL'!P636</f>
        <v>0</v>
      </c>
      <c r="K571" s="70">
        <f>'RESUMEN TOTAL'!Q636</f>
        <v>0</v>
      </c>
      <c r="L571" s="70">
        <f>'RESUMEN TOTAL'!R636</f>
        <v>0</v>
      </c>
      <c r="M571" s="70">
        <f>'RESUMEN TOTAL'!S636</f>
        <v>0</v>
      </c>
      <c r="N571" s="70">
        <f>'RESUMEN TOTAL'!T636</f>
        <v>0</v>
      </c>
      <c r="O571" s="70">
        <f>'RESUMEN TOTAL'!U636</f>
        <v>0</v>
      </c>
      <c r="P571" s="70">
        <f>'RESUMEN TOTAL'!V636</f>
        <v>0</v>
      </c>
      <c r="Q571" s="70">
        <f>'RESUMEN TOTAL'!W636</f>
        <v>0</v>
      </c>
      <c r="R571" s="70">
        <f>'RESUMEN TOTAL'!X636</f>
        <v>0</v>
      </c>
      <c r="S571" s="70">
        <f>'RESUMEN TOTAL'!Y636</f>
        <v>0</v>
      </c>
      <c r="T571" s="70">
        <f>'RESUMEN TOTAL'!Z636</f>
        <v>0</v>
      </c>
      <c r="U571" s="70">
        <f>'RESUMEN TOTAL'!AA636</f>
        <v>0</v>
      </c>
      <c r="V571" s="70">
        <f>'RESUMEN TOTAL'!AB636</f>
        <v>0</v>
      </c>
      <c r="W571" s="70">
        <f>'RESUMEN TOTAL'!AC636</f>
        <v>0</v>
      </c>
      <c r="X571" s="70">
        <f>'RESUMEN TOTAL'!AD636</f>
        <v>0</v>
      </c>
      <c r="Y571" s="70">
        <f>'RESUMEN TOTAL'!AE636</f>
        <v>0</v>
      </c>
      <c r="Z571" s="70">
        <f>'RESUMEN TOTAL'!AF636</f>
        <v>0</v>
      </c>
      <c r="AA571" s="70">
        <f>'RESUMEN TOTAL'!AG636</f>
        <v>0</v>
      </c>
      <c r="AB571" s="70">
        <f>'RESUMEN TOTAL'!AH636</f>
        <v>0</v>
      </c>
      <c r="AC571" s="70">
        <f>'RESUMEN TOTAL'!AI636</f>
        <v>0</v>
      </c>
      <c r="AD571" s="70">
        <f>'RESUMEN TOTAL'!AJ636</f>
        <v>0</v>
      </c>
      <c r="AE571" s="70">
        <f>'RESUMEN TOTAL'!AK636</f>
        <v>0</v>
      </c>
      <c r="AF571" s="70">
        <f>'RESUMEN TOTAL'!AL636</f>
        <v>0</v>
      </c>
      <c r="AG571" s="70">
        <f>'RESUMEN TOTAL'!AM636</f>
        <v>0</v>
      </c>
      <c r="AH571" s="70">
        <f>'RESUMEN TOTAL'!AN636</f>
        <v>0</v>
      </c>
      <c r="AI571" s="70">
        <f>'RESUMEN TOTAL'!AO636</f>
        <v>0</v>
      </c>
    </row>
    <row r="572" spans="1:35" x14ac:dyDescent="0.25">
      <c r="A572">
        <f>'RESUMEN TOTAL'!A637</f>
        <v>0</v>
      </c>
      <c r="B572">
        <f>'RESUMEN TOTAL'!B637</f>
        <v>0</v>
      </c>
      <c r="C572">
        <f>'RESUMEN TOTAL'!D637</f>
        <v>0</v>
      </c>
      <c r="D572" s="30">
        <f>'RESUMEN TOTAL'!E637</f>
        <v>0</v>
      </c>
      <c r="E572" s="30">
        <f>'RESUMEN TOTAL'!F637</f>
        <v>0</v>
      </c>
      <c r="F572" s="70">
        <f>'RESUMEN TOTAL'!L637</f>
        <v>0</v>
      </c>
      <c r="G572" s="70">
        <f>'RESUMEN TOTAL'!M637</f>
        <v>0</v>
      </c>
      <c r="H572" s="70">
        <f>'RESUMEN TOTAL'!N637</f>
        <v>0</v>
      </c>
      <c r="I572" s="70">
        <f>'RESUMEN TOTAL'!O637</f>
        <v>0</v>
      </c>
      <c r="J572" s="70">
        <f>'RESUMEN TOTAL'!P637</f>
        <v>0</v>
      </c>
      <c r="K572" s="70">
        <f>'RESUMEN TOTAL'!Q637</f>
        <v>0</v>
      </c>
      <c r="L572" s="70">
        <f>'RESUMEN TOTAL'!R637</f>
        <v>0</v>
      </c>
      <c r="M572" s="70">
        <f>'RESUMEN TOTAL'!S637</f>
        <v>0</v>
      </c>
      <c r="N572" s="70">
        <f>'RESUMEN TOTAL'!T637</f>
        <v>0</v>
      </c>
      <c r="O572" s="70">
        <f>'RESUMEN TOTAL'!U637</f>
        <v>0</v>
      </c>
      <c r="P572" s="70">
        <f>'RESUMEN TOTAL'!V637</f>
        <v>0</v>
      </c>
      <c r="Q572" s="70">
        <f>'RESUMEN TOTAL'!W637</f>
        <v>0</v>
      </c>
      <c r="R572" s="70">
        <f>'RESUMEN TOTAL'!X637</f>
        <v>0</v>
      </c>
      <c r="S572" s="70">
        <f>'RESUMEN TOTAL'!Y637</f>
        <v>0</v>
      </c>
      <c r="T572" s="70">
        <f>'RESUMEN TOTAL'!Z637</f>
        <v>0</v>
      </c>
      <c r="U572" s="70">
        <f>'RESUMEN TOTAL'!AA637</f>
        <v>0</v>
      </c>
      <c r="V572" s="70">
        <f>'RESUMEN TOTAL'!AB637</f>
        <v>0</v>
      </c>
      <c r="W572" s="70">
        <f>'RESUMEN TOTAL'!AC637</f>
        <v>0</v>
      </c>
      <c r="X572" s="70">
        <f>'RESUMEN TOTAL'!AD637</f>
        <v>0</v>
      </c>
      <c r="Y572" s="70">
        <f>'RESUMEN TOTAL'!AE637</f>
        <v>0</v>
      </c>
      <c r="Z572" s="70">
        <f>'RESUMEN TOTAL'!AF637</f>
        <v>0</v>
      </c>
      <c r="AA572" s="70">
        <f>'RESUMEN TOTAL'!AG637</f>
        <v>0</v>
      </c>
      <c r="AB572" s="70">
        <f>'RESUMEN TOTAL'!AH637</f>
        <v>0</v>
      </c>
      <c r="AC572" s="70">
        <f>'RESUMEN TOTAL'!AI637</f>
        <v>0</v>
      </c>
      <c r="AD572" s="70">
        <f>'RESUMEN TOTAL'!AJ637</f>
        <v>0</v>
      </c>
      <c r="AE572" s="70">
        <f>'RESUMEN TOTAL'!AK637</f>
        <v>0</v>
      </c>
      <c r="AF572" s="70">
        <f>'RESUMEN TOTAL'!AL637</f>
        <v>0</v>
      </c>
      <c r="AG572" s="70">
        <f>'RESUMEN TOTAL'!AM637</f>
        <v>0</v>
      </c>
      <c r="AH572" s="70">
        <f>'RESUMEN TOTAL'!AN637</f>
        <v>0</v>
      </c>
      <c r="AI572" s="70">
        <f>'RESUMEN TOTAL'!AO637</f>
        <v>0</v>
      </c>
    </row>
    <row r="573" spans="1:35" x14ac:dyDescent="0.25">
      <c r="A573">
        <f>'RESUMEN TOTAL'!A638</f>
        <v>0</v>
      </c>
      <c r="B573">
        <f>'RESUMEN TOTAL'!B638</f>
        <v>0</v>
      </c>
      <c r="C573">
        <f>'RESUMEN TOTAL'!D638</f>
        <v>0</v>
      </c>
      <c r="D573" s="30">
        <f>'RESUMEN TOTAL'!E638</f>
        <v>0</v>
      </c>
      <c r="E573" s="30">
        <f>'RESUMEN TOTAL'!F638</f>
        <v>0</v>
      </c>
      <c r="F573" s="70">
        <f>'RESUMEN TOTAL'!L638</f>
        <v>0</v>
      </c>
      <c r="G573" s="70">
        <f>'RESUMEN TOTAL'!M638</f>
        <v>0</v>
      </c>
      <c r="H573" s="70">
        <f>'RESUMEN TOTAL'!N638</f>
        <v>0</v>
      </c>
      <c r="I573" s="70">
        <f>'RESUMEN TOTAL'!O638</f>
        <v>0</v>
      </c>
      <c r="J573" s="70">
        <f>'RESUMEN TOTAL'!P638</f>
        <v>0</v>
      </c>
      <c r="K573" s="70">
        <f>'RESUMEN TOTAL'!Q638</f>
        <v>0</v>
      </c>
      <c r="L573" s="70">
        <f>'RESUMEN TOTAL'!R638</f>
        <v>0</v>
      </c>
      <c r="M573" s="70">
        <f>'RESUMEN TOTAL'!S638</f>
        <v>0</v>
      </c>
      <c r="N573" s="70">
        <f>'RESUMEN TOTAL'!T638</f>
        <v>0</v>
      </c>
      <c r="O573" s="70">
        <f>'RESUMEN TOTAL'!U638</f>
        <v>0</v>
      </c>
      <c r="P573" s="70">
        <f>'RESUMEN TOTAL'!V638</f>
        <v>0</v>
      </c>
      <c r="Q573" s="70">
        <f>'RESUMEN TOTAL'!W638</f>
        <v>0</v>
      </c>
      <c r="R573" s="70">
        <f>'RESUMEN TOTAL'!X638</f>
        <v>0</v>
      </c>
      <c r="S573" s="70">
        <f>'RESUMEN TOTAL'!Y638</f>
        <v>0</v>
      </c>
      <c r="T573" s="70">
        <f>'RESUMEN TOTAL'!Z638</f>
        <v>0</v>
      </c>
      <c r="U573" s="70">
        <f>'RESUMEN TOTAL'!AA638</f>
        <v>0</v>
      </c>
      <c r="V573" s="70">
        <f>'RESUMEN TOTAL'!AB638</f>
        <v>0</v>
      </c>
      <c r="W573" s="70">
        <f>'RESUMEN TOTAL'!AC638</f>
        <v>0</v>
      </c>
      <c r="X573" s="70">
        <f>'RESUMEN TOTAL'!AD638</f>
        <v>0</v>
      </c>
      <c r="Y573" s="70">
        <f>'RESUMEN TOTAL'!AE638</f>
        <v>0</v>
      </c>
      <c r="Z573" s="70">
        <f>'RESUMEN TOTAL'!AF638</f>
        <v>0</v>
      </c>
      <c r="AA573" s="70">
        <f>'RESUMEN TOTAL'!AG638</f>
        <v>0</v>
      </c>
      <c r="AB573" s="70">
        <f>'RESUMEN TOTAL'!AH638</f>
        <v>0</v>
      </c>
      <c r="AC573" s="70">
        <f>'RESUMEN TOTAL'!AI638</f>
        <v>0</v>
      </c>
      <c r="AD573" s="70">
        <f>'RESUMEN TOTAL'!AJ638</f>
        <v>0</v>
      </c>
      <c r="AE573" s="70">
        <f>'RESUMEN TOTAL'!AK638</f>
        <v>0</v>
      </c>
      <c r="AF573" s="70">
        <f>'RESUMEN TOTAL'!AL638</f>
        <v>0</v>
      </c>
      <c r="AG573" s="70">
        <f>'RESUMEN TOTAL'!AM638</f>
        <v>0</v>
      </c>
      <c r="AH573" s="70">
        <f>'RESUMEN TOTAL'!AN638</f>
        <v>0</v>
      </c>
      <c r="AI573" s="70">
        <f>'RESUMEN TOTAL'!AO638</f>
        <v>0</v>
      </c>
    </row>
    <row r="574" spans="1:35" x14ac:dyDescent="0.25">
      <c r="A574">
        <f>'RESUMEN TOTAL'!A639</f>
        <v>0</v>
      </c>
      <c r="B574">
        <f>'RESUMEN TOTAL'!B639</f>
        <v>0</v>
      </c>
      <c r="C574">
        <f>'RESUMEN TOTAL'!D639</f>
        <v>0</v>
      </c>
      <c r="D574" s="30">
        <f>'RESUMEN TOTAL'!E639</f>
        <v>0</v>
      </c>
      <c r="E574" s="30">
        <f>'RESUMEN TOTAL'!F639</f>
        <v>0</v>
      </c>
      <c r="F574" s="70">
        <f>'RESUMEN TOTAL'!L639</f>
        <v>0</v>
      </c>
      <c r="G574" s="70">
        <f>'RESUMEN TOTAL'!M639</f>
        <v>0</v>
      </c>
      <c r="H574" s="70">
        <f>'RESUMEN TOTAL'!N639</f>
        <v>0</v>
      </c>
      <c r="I574" s="70">
        <f>'RESUMEN TOTAL'!O639</f>
        <v>0</v>
      </c>
      <c r="J574" s="70">
        <f>'RESUMEN TOTAL'!P639</f>
        <v>0</v>
      </c>
      <c r="K574" s="70">
        <f>'RESUMEN TOTAL'!Q639</f>
        <v>0</v>
      </c>
      <c r="L574" s="70">
        <f>'RESUMEN TOTAL'!R639</f>
        <v>0</v>
      </c>
      <c r="M574" s="70">
        <f>'RESUMEN TOTAL'!S639</f>
        <v>0</v>
      </c>
      <c r="N574" s="70">
        <f>'RESUMEN TOTAL'!T639</f>
        <v>0</v>
      </c>
      <c r="O574" s="70">
        <f>'RESUMEN TOTAL'!U639</f>
        <v>0</v>
      </c>
      <c r="P574" s="70">
        <f>'RESUMEN TOTAL'!V639</f>
        <v>0</v>
      </c>
      <c r="Q574" s="70">
        <f>'RESUMEN TOTAL'!W639</f>
        <v>0</v>
      </c>
      <c r="R574" s="70">
        <f>'RESUMEN TOTAL'!X639</f>
        <v>0</v>
      </c>
      <c r="S574" s="70">
        <f>'RESUMEN TOTAL'!Y639</f>
        <v>0</v>
      </c>
      <c r="T574" s="70">
        <f>'RESUMEN TOTAL'!Z639</f>
        <v>0</v>
      </c>
      <c r="U574" s="70">
        <f>'RESUMEN TOTAL'!AA639</f>
        <v>0</v>
      </c>
      <c r="V574" s="70">
        <f>'RESUMEN TOTAL'!AB639</f>
        <v>0</v>
      </c>
      <c r="W574" s="70">
        <f>'RESUMEN TOTAL'!AC639</f>
        <v>0</v>
      </c>
      <c r="X574" s="70">
        <f>'RESUMEN TOTAL'!AD639</f>
        <v>0</v>
      </c>
      <c r="Y574" s="70">
        <f>'RESUMEN TOTAL'!AE639</f>
        <v>0</v>
      </c>
      <c r="Z574" s="70">
        <f>'RESUMEN TOTAL'!AF639</f>
        <v>0</v>
      </c>
      <c r="AA574" s="70">
        <f>'RESUMEN TOTAL'!AG639</f>
        <v>0</v>
      </c>
      <c r="AB574" s="70">
        <f>'RESUMEN TOTAL'!AH639</f>
        <v>0</v>
      </c>
      <c r="AC574" s="70">
        <f>'RESUMEN TOTAL'!AI639</f>
        <v>0</v>
      </c>
      <c r="AD574" s="70">
        <f>'RESUMEN TOTAL'!AJ639</f>
        <v>0</v>
      </c>
      <c r="AE574" s="70">
        <f>'RESUMEN TOTAL'!AK639</f>
        <v>0</v>
      </c>
      <c r="AF574" s="70">
        <f>'RESUMEN TOTAL'!AL639</f>
        <v>0</v>
      </c>
      <c r="AG574" s="70">
        <f>'RESUMEN TOTAL'!AM639</f>
        <v>0</v>
      </c>
      <c r="AH574" s="70">
        <f>'RESUMEN TOTAL'!AN639</f>
        <v>0</v>
      </c>
      <c r="AI574" s="70">
        <f>'RESUMEN TOTAL'!AO639</f>
        <v>0</v>
      </c>
    </row>
    <row r="575" spans="1:35" x14ac:dyDescent="0.25">
      <c r="A575">
        <f>'RESUMEN TOTAL'!A640</f>
        <v>0</v>
      </c>
      <c r="B575">
        <f>'RESUMEN TOTAL'!B640</f>
        <v>0</v>
      </c>
      <c r="C575">
        <f>'RESUMEN TOTAL'!D640</f>
        <v>0</v>
      </c>
      <c r="D575" s="30">
        <f>'RESUMEN TOTAL'!E640</f>
        <v>0</v>
      </c>
      <c r="E575" s="30">
        <f>'RESUMEN TOTAL'!F640</f>
        <v>0</v>
      </c>
      <c r="F575" s="70">
        <f>'RESUMEN TOTAL'!L640</f>
        <v>0</v>
      </c>
      <c r="G575" s="70">
        <f>'RESUMEN TOTAL'!M640</f>
        <v>0</v>
      </c>
      <c r="H575" s="70">
        <f>'RESUMEN TOTAL'!N640</f>
        <v>0</v>
      </c>
      <c r="I575" s="70">
        <f>'RESUMEN TOTAL'!O640</f>
        <v>0</v>
      </c>
      <c r="J575" s="70">
        <f>'RESUMEN TOTAL'!P640</f>
        <v>0</v>
      </c>
      <c r="K575" s="70">
        <f>'RESUMEN TOTAL'!Q640</f>
        <v>0</v>
      </c>
      <c r="L575" s="70">
        <f>'RESUMEN TOTAL'!R640</f>
        <v>0</v>
      </c>
      <c r="M575" s="70">
        <f>'RESUMEN TOTAL'!S640</f>
        <v>0</v>
      </c>
      <c r="N575" s="70">
        <f>'RESUMEN TOTAL'!T640</f>
        <v>0</v>
      </c>
      <c r="O575" s="70">
        <f>'RESUMEN TOTAL'!U640</f>
        <v>0</v>
      </c>
      <c r="P575" s="70">
        <f>'RESUMEN TOTAL'!V640</f>
        <v>0</v>
      </c>
      <c r="Q575" s="70">
        <f>'RESUMEN TOTAL'!W640</f>
        <v>0</v>
      </c>
      <c r="R575" s="70">
        <f>'RESUMEN TOTAL'!X640</f>
        <v>0</v>
      </c>
      <c r="S575" s="70">
        <f>'RESUMEN TOTAL'!Y640</f>
        <v>0</v>
      </c>
      <c r="T575" s="70">
        <f>'RESUMEN TOTAL'!Z640</f>
        <v>0</v>
      </c>
      <c r="U575" s="70">
        <f>'RESUMEN TOTAL'!AA640</f>
        <v>0</v>
      </c>
      <c r="V575" s="70">
        <f>'RESUMEN TOTAL'!AB640</f>
        <v>0</v>
      </c>
      <c r="W575" s="70">
        <f>'RESUMEN TOTAL'!AC640</f>
        <v>0</v>
      </c>
      <c r="X575" s="70">
        <f>'RESUMEN TOTAL'!AD640</f>
        <v>0</v>
      </c>
      <c r="Y575" s="70">
        <f>'RESUMEN TOTAL'!AE640</f>
        <v>0</v>
      </c>
      <c r="Z575" s="70">
        <f>'RESUMEN TOTAL'!AF640</f>
        <v>0</v>
      </c>
      <c r="AA575" s="70">
        <f>'RESUMEN TOTAL'!AG640</f>
        <v>0</v>
      </c>
      <c r="AB575" s="70">
        <f>'RESUMEN TOTAL'!AH640</f>
        <v>0</v>
      </c>
      <c r="AC575" s="70">
        <f>'RESUMEN TOTAL'!AI640</f>
        <v>0</v>
      </c>
      <c r="AD575" s="70">
        <f>'RESUMEN TOTAL'!AJ640</f>
        <v>0</v>
      </c>
      <c r="AE575" s="70">
        <f>'RESUMEN TOTAL'!AK640</f>
        <v>0</v>
      </c>
      <c r="AF575" s="70">
        <f>'RESUMEN TOTAL'!AL640</f>
        <v>0</v>
      </c>
      <c r="AG575" s="70">
        <f>'RESUMEN TOTAL'!AM640</f>
        <v>0</v>
      </c>
      <c r="AH575" s="70">
        <f>'RESUMEN TOTAL'!AN640</f>
        <v>0</v>
      </c>
      <c r="AI575" s="70">
        <f>'RESUMEN TOTAL'!AO640</f>
        <v>0</v>
      </c>
    </row>
    <row r="576" spans="1:35" x14ac:dyDescent="0.25">
      <c r="A576">
        <f>'RESUMEN TOTAL'!A641</f>
        <v>0</v>
      </c>
      <c r="B576">
        <f>'RESUMEN TOTAL'!B641</f>
        <v>0</v>
      </c>
      <c r="C576">
        <f>'RESUMEN TOTAL'!D641</f>
        <v>0</v>
      </c>
      <c r="D576" s="30">
        <f>'RESUMEN TOTAL'!E641</f>
        <v>0</v>
      </c>
      <c r="E576" s="30">
        <f>'RESUMEN TOTAL'!F641</f>
        <v>0</v>
      </c>
      <c r="F576" s="70">
        <f>'RESUMEN TOTAL'!L641</f>
        <v>0</v>
      </c>
      <c r="G576" s="70">
        <f>'RESUMEN TOTAL'!M641</f>
        <v>0</v>
      </c>
      <c r="H576" s="70">
        <f>'RESUMEN TOTAL'!N641</f>
        <v>0</v>
      </c>
      <c r="I576" s="70">
        <f>'RESUMEN TOTAL'!O641</f>
        <v>0</v>
      </c>
      <c r="J576" s="70">
        <f>'RESUMEN TOTAL'!P641</f>
        <v>0</v>
      </c>
      <c r="K576" s="70">
        <f>'RESUMEN TOTAL'!Q641</f>
        <v>0</v>
      </c>
      <c r="L576" s="70">
        <f>'RESUMEN TOTAL'!R641</f>
        <v>0</v>
      </c>
      <c r="M576" s="70">
        <f>'RESUMEN TOTAL'!S641</f>
        <v>0</v>
      </c>
      <c r="N576" s="70">
        <f>'RESUMEN TOTAL'!T641</f>
        <v>0</v>
      </c>
      <c r="O576" s="70">
        <f>'RESUMEN TOTAL'!U641</f>
        <v>0</v>
      </c>
      <c r="P576" s="70">
        <f>'RESUMEN TOTAL'!V641</f>
        <v>0</v>
      </c>
      <c r="Q576" s="70">
        <f>'RESUMEN TOTAL'!W641</f>
        <v>0</v>
      </c>
      <c r="R576" s="70">
        <f>'RESUMEN TOTAL'!X641</f>
        <v>0</v>
      </c>
      <c r="S576" s="70">
        <f>'RESUMEN TOTAL'!Y641</f>
        <v>0</v>
      </c>
      <c r="T576" s="70">
        <f>'RESUMEN TOTAL'!Z641</f>
        <v>0</v>
      </c>
      <c r="U576" s="70">
        <f>'RESUMEN TOTAL'!AA641</f>
        <v>0</v>
      </c>
      <c r="V576" s="70">
        <f>'RESUMEN TOTAL'!AB641</f>
        <v>0</v>
      </c>
      <c r="W576" s="70">
        <f>'RESUMEN TOTAL'!AC641</f>
        <v>0</v>
      </c>
      <c r="X576" s="70">
        <f>'RESUMEN TOTAL'!AD641</f>
        <v>0</v>
      </c>
      <c r="Y576" s="70">
        <f>'RESUMEN TOTAL'!AE641</f>
        <v>0</v>
      </c>
      <c r="Z576" s="70">
        <f>'RESUMEN TOTAL'!AF641</f>
        <v>0</v>
      </c>
      <c r="AA576" s="70">
        <f>'RESUMEN TOTAL'!AG641</f>
        <v>0</v>
      </c>
      <c r="AB576" s="70">
        <f>'RESUMEN TOTAL'!AH641</f>
        <v>0</v>
      </c>
      <c r="AC576" s="70">
        <f>'RESUMEN TOTAL'!AI641</f>
        <v>0</v>
      </c>
      <c r="AD576" s="70">
        <f>'RESUMEN TOTAL'!AJ641</f>
        <v>0</v>
      </c>
      <c r="AE576" s="70">
        <f>'RESUMEN TOTAL'!AK641</f>
        <v>0</v>
      </c>
      <c r="AF576" s="70">
        <f>'RESUMEN TOTAL'!AL641</f>
        <v>0</v>
      </c>
      <c r="AG576" s="70">
        <f>'RESUMEN TOTAL'!AM641</f>
        <v>0</v>
      </c>
      <c r="AH576" s="70">
        <f>'RESUMEN TOTAL'!AN641</f>
        <v>0</v>
      </c>
      <c r="AI576" s="70">
        <f>'RESUMEN TOTAL'!AO641</f>
        <v>0</v>
      </c>
    </row>
    <row r="577" spans="1:35" x14ac:dyDescent="0.25">
      <c r="A577">
        <f>'RESUMEN TOTAL'!A642</f>
        <v>0</v>
      </c>
      <c r="B577">
        <f>'RESUMEN TOTAL'!B642</f>
        <v>0</v>
      </c>
      <c r="C577">
        <f>'RESUMEN TOTAL'!D642</f>
        <v>0</v>
      </c>
      <c r="D577" s="30">
        <f>'RESUMEN TOTAL'!E642</f>
        <v>0</v>
      </c>
      <c r="E577" s="30">
        <f>'RESUMEN TOTAL'!F642</f>
        <v>0</v>
      </c>
      <c r="F577" s="70">
        <f>'RESUMEN TOTAL'!L642</f>
        <v>0</v>
      </c>
      <c r="G577" s="70">
        <f>'RESUMEN TOTAL'!M642</f>
        <v>0</v>
      </c>
      <c r="H577" s="70">
        <f>'RESUMEN TOTAL'!N642</f>
        <v>0</v>
      </c>
      <c r="I577" s="70">
        <f>'RESUMEN TOTAL'!O642</f>
        <v>0</v>
      </c>
      <c r="J577" s="70">
        <f>'RESUMEN TOTAL'!P642</f>
        <v>0</v>
      </c>
      <c r="K577" s="70">
        <f>'RESUMEN TOTAL'!Q642</f>
        <v>0</v>
      </c>
      <c r="L577" s="70">
        <f>'RESUMEN TOTAL'!R642</f>
        <v>0</v>
      </c>
      <c r="M577" s="70">
        <f>'RESUMEN TOTAL'!S642</f>
        <v>0</v>
      </c>
      <c r="N577" s="70">
        <f>'RESUMEN TOTAL'!T642</f>
        <v>0</v>
      </c>
      <c r="O577" s="70">
        <f>'RESUMEN TOTAL'!U642</f>
        <v>0</v>
      </c>
      <c r="P577" s="70">
        <f>'RESUMEN TOTAL'!V642</f>
        <v>0</v>
      </c>
      <c r="Q577" s="70">
        <f>'RESUMEN TOTAL'!W642</f>
        <v>0</v>
      </c>
      <c r="R577" s="70">
        <f>'RESUMEN TOTAL'!X642</f>
        <v>0</v>
      </c>
      <c r="S577" s="70">
        <f>'RESUMEN TOTAL'!Y642</f>
        <v>0</v>
      </c>
      <c r="T577" s="70">
        <f>'RESUMEN TOTAL'!Z642</f>
        <v>0</v>
      </c>
      <c r="U577" s="70">
        <f>'RESUMEN TOTAL'!AA642</f>
        <v>0</v>
      </c>
      <c r="V577" s="70">
        <f>'RESUMEN TOTAL'!AB642</f>
        <v>0</v>
      </c>
      <c r="W577" s="70">
        <f>'RESUMEN TOTAL'!AC642</f>
        <v>0</v>
      </c>
      <c r="X577" s="70">
        <f>'RESUMEN TOTAL'!AD642</f>
        <v>0</v>
      </c>
      <c r="Y577" s="70">
        <f>'RESUMEN TOTAL'!AE642</f>
        <v>0</v>
      </c>
      <c r="Z577" s="70">
        <f>'RESUMEN TOTAL'!AF642</f>
        <v>0</v>
      </c>
      <c r="AA577" s="70">
        <f>'RESUMEN TOTAL'!AG642</f>
        <v>0</v>
      </c>
      <c r="AB577" s="70">
        <f>'RESUMEN TOTAL'!AH642</f>
        <v>0</v>
      </c>
      <c r="AC577" s="70">
        <f>'RESUMEN TOTAL'!AI642</f>
        <v>0</v>
      </c>
      <c r="AD577" s="70">
        <f>'RESUMEN TOTAL'!AJ642</f>
        <v>0</v>
      </c>
      <c r="AE577" s="70">
        <f>'RESUMEN TOTAL'!AK642</f>
        <v>0</v>
      </c>
      <c r="AF577" s="70">
        <f>'RESUMEN TOTAL'!AL642</f>
        <v>0</v>
      </c>
      <c r="AG577" s="70">
        <f>'RESUMEN TOTAL'!AM642</f>
        <v>0</v>
      </c>
      <c r="AH577" s="70">
        <f>'RESUMEN TOTAL'!AN642</f>
        <v>0</v>
      </c>
      <c r="AI577" s="70">
        <f>'RESUMEN TOTAL'!AO642</f>
        <v>0</v>
      </c>
    </row>
    <row r="578" spans="1:35" x14ac:dyDescent="0.25">
      <c r="A578">
        <f>'RESUMEN TOTAL'!A643</f>
        <v>0</v>
      </c>
      <c r="B578">
        <f>'RESUMEN TOTAL'!B643</f>
        <v>0</v>
      </c>
      <c r="C578">
        <f>'RESUMEN TOTAL'!D643</f>
        <v>0</v>
      </c>
      <c r="D578" s="30">
        <f>'RESUMEN TOTAL'!E643</f>
        <v>0</v>
      </c>
      <c r="E578" s="30">
        <f>'RESUMEN TOTAL'!F643</f>
        <v>0</v>
      </c>
      <c r="F578" s="70">
        <f>'RESUMEN TOTAL'!L643</f>
        <v>0</v>
      </c>
      <c r="G578" s="70">
        <f>'RESUMEN TOTAL'!M643</f>
        <v>0</v>
      </c>
      <c r="H578" s="70">
        <f>'RESUMEN TOTAL'!N643</f>
        <v>0</v>
      </c>
      <c r="I578" s="70">
        <f>'RESUMEN TOTAL'!O643</f>
        <v>0</v>
      </c>
      <c r="J578" s="70">
        <f>'RESUMEN TOTAL'!P643</f>
        <v>0</v>
      </c>
      <c r="K578" s="70">
        <f>'RESUMEN TOTAL'!Q643</f>
        <v>0</v>
      </c>
      <c r="L578" s="70">
        <f>'RESUMEN TOTAL'!R643</f>
        <v>0</v>
      </c>
      <c r="M578" s="70">
        <f>'RESUMEN TOTAL'!S643</f>
        <v>0</v>
      </c>
      <c r="N578" s="70">
        <f>'RESUMEN TOTAL'!T643</f>
        <v>0</v>
      </c>
      <c r="O578" s="70">
        <f>'RESUMEN TOTAL'!U643</f>
        <v>0</v>
      </c>
      <c r="P578" s="70">
        <f>'RESUMEN TOTAL'!V643</f>
        <v>0</v>
      </c>
      <c r="Q578" s="70">
        <f>'RESUMEN TOTAL'!W643</f>
        <v>0</v>
      </c>
      <c r="R578" s="70">
        <f>'RESUMEN TOTAL'!X643</f>
        <v>0</v>
      </c>
      <c r="S578" s="70">
        <f>'RESUMEN TOTAL'!Y643</f>
        <v>0</v>
      </c>
      <c r="T578" s="70">
        <f>'RESUMEN TOTAL'!Z643</f>
        <v>0</v>
      </c>
      <c r="U578" s="70">
        <f>'RESUMEN TOTAL'!AA643</f>
        <v>0</v>
      </c>
      <c r="V578" s="70">
        <f>'RESUMEN TOTAL'!AB643</f>
        <v>0</v>
      </c>
      <c r="W578" s="70">
        <f>'RESUMEN TOTAL'!AC643</f>
        <v>0</v>
      </c>
      <c r="X578" s="70">
        <f>'RESUMEN TOTAL'!AD643</f>
        <v>0</v>
      </c>
      <c r="Y578" s="70">
        <f>'RESUMEN TOTAL'!AE643</f>
        <v>0</v>
      </c>
      <c r="Z578" s="70">
        <f>'RESUMEN TOTAL'!AF643</f>
        <v>0</v>
      </c>
      <c r="AA578" s="70">
        <f>'RESUMEN TOTAL'!AG643</f>
        <v>0</v>
      </c>
      <c r="AB578" s="70">
        <f>'RESUMEN TOTAL'!AH643</f>
        <v>0</v>
      </c>
      <c r="AC578" s="70">
        <f>'RESUMEN TOTAL'!AI643</f>
        <v>0</v>
      </c>
      <c r="AD578" s="70">
        <f>'RESUMEN TOTAL'!AJ643</f>
        <v>0</v>
      </c>
      <c r="AE578" s="70">
        <f>'RESUMEN TOTAL'!AK643</f>
        <v>0</v>
      </c>
      <c r="AF578" s="70">
        <f>'RESUMEN TOTAL'!AL643</f>
        <v>0</v>
      </c>
      <c r="AG578" s="70">
        <f>'RESUMEN TOTAL'!AM643</f>
        <v>0</v>
      </c>
      <c r="AH578" s="70">
        <f>'RESUMEN TOTAL'!AN643</f>
        <v>0</v>
      </c>
      <c r="AI578" s="70">
        <f>'RESUMEN TOTAL'!AO643</f>
        <v>0</v>
      </c>
    </row>
    <row r="579" spans="1:35" x14ac:dyDescent="0.25">
      <c r="A579">
        <f>'RESUMEN TOTAL'!A644</f>
        <v>0</v>
      </c>
      <c r="B579">
        <f>'RESUMEN TOTAL'!B644</f>
        <v>0</v>
      </c>
      <c r="C579">
        <f>'RESUMEN TOTAL'!D644</f>
        <v>0</v>
      </c>
      <c r="D579" s="30">
        <f>'RESUMEN TOTAL'!E644</f>
        <v>0</v>
      </c>
      <c r="E579" s="30">
        <f>'RESUMEN TOTAL'!F644</f>
        <v>0</v>
      </c>
      <c r="F579" s="70">
        <f>'RESUMEN TOTAL'!L644</f>
        <v>0</v>
      </c>
      <c r="G579" s="70">
        <f>'RESUMEN TOTAL'!M644</f>
        <v>0</v>
      </c>
      <c r="H579" s="70">
        <f>'RESUMEN TOTAL'!N644</f>
        <v>0</v>
      </c>
      <c r="I579" s="70">
        <f>'RESUMEN TOTAL'!O644</f>
        <v>0</v>
      </c>
      <c r="J579" s="70">
        <f>'RESUMEN TOTAL'!P644</f>
        <v>0</v>
      </c>
      <c r="K579" s="70">
        <f>'RESUMEN TOTAL'!Q644</f>
        <v>0</v>
      </c>
      <c r="L579" s="70">
        <f>'RESUMEN TOTAL'!R644</f>
        <v>0</v>
      </c>
      <c r="M579" s="70">
        <f>'RESUMEN TOTAL'!S644</f>
        <v>0</v>
      </c>
      <c r="N579" s="70">
        <f>'RESUMEN TOTAL'!T644</f>
        <v>0</v>
      </c>
      <c r="O579" s="70">
        <f>'RESUMEN TOTAL'!U644</f>
        <v>0</v>
      </c>
      <c r="P579" s="70">
        <f>'RESUMEN TOTAL'!V644</f>
        <v>0</v>
      </c>
      <c r="Q579" s="70">
        <f>'RESUMEN TOTAL'!W644</f>
        <v>0</v>
      </c>
      <c r="R579" s="70">
        <f>'RESUMEN TOTAL'!X644</f>
        <v>0</v>
      </c>
      <c r="S579" s="70">
        <f>'RESUMEN TOTAL'!Y644</f>
        <v>0</v>
      </c>
      <c r="T579" s="70">
        <f>'RESUMEN TOTAL'!Z644</f>
        <v>0</v>
      </c>
      <c r="U579" s="70">
        <f>'RESUMEN TOTAL'!AA644</f>
        <v>0</v>
      </c>
      <c r="V579" s="70">
        <f>'RESUMEN TOTAL'!AB644</f>
        <v>0</v>
      </c>
      <c r="W579" s="70">
        <f>'RESUMEN TOTAL'!AC644</f>
        <v>0</v>
      </c>
      <c r="X579" s="70">
        <f>'RESUMEN TOTAL'!AD644</f>
        <v>0</v>
      </c>
      <c r="Y579" s="70">
        <f>'RESUMEN TOTAL'!AE644</f>
        <v>0</v>
      </c>
      <c r="Z579" s="70">
        <f>'RESUMEN TOTAL'!AF644</f>
        <v>0</v>
      </c>
      <c r="AA579" s="70">
        <f>'RESUMEN TOTAL'!AG644</f>
        <v>0</v>
      </c>
      <c r="AB579" s="70">
        <f>'RESUMEN TOTAL'!AH644</f>
        <v>0</v>
      </c>
      <c r="AC579" s="70">
        <f>'RESUMEN TOTAL'!AI644</f>
        <v>0</v>
      </c>
      <c r="AD579" s="70">
        <f>'RESUMEN TOTAL'!AJ644</f>
        <v>0</v>
      </c>
      <c r="AE579" s="70">
        <f>'RESUMEN TOTAL'!AK644</f>
        <v>0</v>
      </c>
      <c r="AF579" s="70">
        <f>'RESUMEN TOTAL'!AL644</f>
        <v>0</v>
      </c>
      <c r="AG579" s="70">
        <f>'RESUMEN TOTAL'!AM644</f>
        <v>0</v>
      </c>
      <c r="AH579" s="70">
        <f>'RESUMEN TOTAL'!AN644</f>
        <v>0</v>
      </c>
      <c r="AI579" s="70">
        <f>'RESUMEN TOTAL'!AO644</f>
        <v>0</v>
      </c>
    </row>
    <row r="580" spans="1:35" x14ac:dyDescent="0.25">
      <c r="A580">
        <f>'RESUMEN TOTAL'!A645</f>
        <v>0</v>
      </c>
      <c r="B580">
        <f>'RESUMEN TOTAL'!B645</f>
        <v>0</v>
      </c>
      <c r="C580">
        <f>'RESUMEN TOTAL'!D645</f>
        <v>0</v>
      </c>
      <c r="D580" s="30">
        <f>'RESUMEN TOTAL'!E645</f>
        <v>0</v>
      </c>
      <c r="E580" s="30">
        <f>'RESUMEN TOTAL'!F645</f>
        <v>0</v>
      </c>
      <c r="F580" s="70">
        <f>'RESUMEN TOTAL'!L645</f>
        <v>0</v>
      </c>
      <c r="G580" s="70">
        <f>'RESUMEN TOTAL'!M645</f>
        <v>0</v>
      </c>
      <c r="H580" s="70">
        <f>'RESUMEN TOTAL'!N645</f>
        <v>0</v>
      </c>
      <c r="I580" s="70">
        <f>'RESUMEN TOTAL'!O645</f>
        <v>0</v>
      </c>
      <c r="J580" s="70">
        <f>'RESUMEN TOTAL'!P645</f>
        <v>0</v>
      </c>
      <c r="K580" s="70">
        <f>'RESUMEN TOTAL'!Q645</f>
        <v>0</v>
      </c>
      <c r="L580" s="70">
        <f>'RESUMEN TOTAL'!R645</f>
        <v>0</v>
      </c>
      <c r="M580" s="70">
        <f>'RESUMEN TOTAL'!S645</f>
        <v>0</v>
      </c>
      <c r="N580" s="70">
        <f>'RESUMEN TOTAL'!T645</f>
        <v>0</v>
      </c>
      <c r="O580" s="70">
        <f>'RESUMEN TOTAL'!U645</f>
        <v>0</v>
      </c>
      <c r="P580" s="70">
        <f>'RESUMEN TOTAL'!V645</f>
        <v>0</v>
      </c>
      <c r="Q580" s="70">
        <f>'RESUMEN TOTAL'!W645</f>
        <v>0</v>
      </c>
      <c r="R580" s="70">
        <f>'RESUMEN TOTAL'!X645</f>
        <v>0</v>
      </c>
      <c r="S580" s="70">
        <f>'RESUMEN TOTAL'!Y645</f>
        <v>0</v>
      </c>
      <c r="T580" s="70">
        <f>'RESUMEN TOTAL'!Z645</f>
        <v>0</v>
      </c>
      <c r="U580" s="70">
        <f>'RESUMEN TOTAL'!AA645</f>
        <v>0</v>
      </c>
      <c r="V580" s="70">
        <f>'RESUMEN TOTAL'!AB645</f>
        <v>0</v>
      </c>
      <c r="W580" s="70">
        <f>'RESUMEN TOTAL'!AC645</f>
        <v>0</v>
      </c>
      <c r="X580" s="70">
        <f>'RESUMEN TOTAL'!AD645</f>
        <v>0</v>
      </c>
      <c r="Y580" s="70">
        <f>'RESUMEN TOTAL'!AE645</f>
        <v>0</v>
      </c>
      <c r="Z580" s="70">
        <f>'RESUMEN TOTAL'!AF645</f>
        <v>0</v>
      </c>
      <c r="AA580" s="70">
        <f>'RESUMEN TOTAL'!AG645</f>
        <v>0</v>
      </c>
      <c r="AB580" s="70">
        <f>'RESUMEN TOTAL'!AH645</f>
        <v>0</v>
      </c>
      <c r="AC580" s="70">
        <f>'RESUMEN TOTAL'!AI645</f>
        <v>0</v>
      </c>
      <c r="AD580" s="70">
        <f>'RESUMEN TOTAL'!AJ645</f>
        <v>0</v>
      </c>
      <c r="AE580" s="70">
        <f>'RESUMEN TOTAL'!AK645</f>
        <v>0</v>
      </c>
      <c r="AF580" s="70">
        <f>'RESUMEN TOTAL'!AL645</f>
        <v>0</v>
      </c>
      <c r="AG580" s="70">
        <f>'RESUMEN TOTAL'!AM645</f>
        <v>0</v>
      </c>
      <c r="AH580" s="70">
        <f>'RESUMEN TOTAL'!AN645</f>
        <v>0</v>
      </c>
      <c r="AI580" s="70">
        <f>'RESUMEN TOTAL'!AO645</f>
        <v>0</v>
      </c>
    </row>
    <row r="581" spans="1:35" x14ac:dyDescent="0.25">
      <c r="A581">
        <f>'RESUMEN TOTAL'!A646</f>
        <v>0</v>
      </c>
      <c r="B581">
        <f>'RESUMEN TOTAL'!B646</f>
        <v>0</v>
      </c>
      <c r="C581">
        <f>'RESUMEN TOTAL'!D646</f>
        <v>0</v>
      </c>
      <c r="D581" s="30">
        <f>'RESUMEN TOTAL'!E646</f>
        <v>0</v>
      </c>
      <c r="E581" s="30">
        <f>'RESUMEN TOTAL'!F646</f>
        <v>0</v>
      </c>
      <c r="F581" s="70">
        <f>'RESUMEN TOTAL'!L646</f>
        <v>0</v>
      </c>
      <c r="G581" s="70">
        <f>'RESUMEN TOTAL'!M646</f>
        <v>0</v>
      </c>
      <c r="H581" s="70">
        <f>'RESUMEN TOTAL'!N646</f>
        <v>0</v>
      </c>
      <c r="I581" s="70">
        <f>'RESUMEN TOTAL'!O646</f>
        <v>0</v>
      </c>
      <c r="J581" s="70">
        <f>'RESUMEN TOTAL'!P646</f>
        <v>0</v>
      </c>
      <c r="K581" s="70">
        <f>'RESUMEN TOTAL'!Q646</f>
        <v>0</v>
      </c>
      <c r="L581" s="70">
        <f>'RESUMEN TOTAL'!R646</f>
        <v>0</v>
      </c>
      <c r="M581" s="70">
        <f>'RESUMEN TOTAL'!S646</f>
        <v>0</v>
      </c>
      <c r="N581" s="70">
        <f>'RESUMEN TOTAL'!T646</f>
        <v>0</v>
      </c>
      <c r="O581" s="70">
        <f>'RESUMEN TOTAL'!U646</f>
        <v>0</v>
      </c>
      <c r="P581" s="70">
        <f>'RESUMEN TOTAL'!V646</f>
        <v>0</v>
      </c>
      <c r="Q581" s="70">
        <f>'RESUMEN TOTAL'!W646</f>
        <v>0</v>
      </c>
      <c r="R581" s="70">
        <f>'RESUMEN TOTAL'!X646</f>
        <v>0</v>
      </c>
      <c r="S581" s="70">
        <f>'RESUMEN TOTAL'!Y646</f>
        <v>0</v>
      </c>
      <c r="T581" s="70">
        <f>'RESUMEN TOTAL'!Z646</f>
        <v>0</v>
      </c>
      <c r="U581" s="70">
        <f>'RESUMEN TOTAL'!AA646</f>
        <v>0</v>
      </c>
      <c r="V581" s="70">
        <f>'RESUMEN TOTAL'!AB646</f>
        <v>0</v>
      </c>
      <c r="W581" s="70">
        <f>'RESUMEN TOTAL'!AC646</f>
        <v>0</v>
      </c>
      <c r="X581" s="70">
        <f>'RESUMEN TOTAL'!AD646</f>
        <v>0</v>
      </c>
      <c r="Y581" s="70">
        <f>'RESUMEN TOTAL'!AE646</f>
        <v>0</v>
      </c>
      <c r="Z581" s="70">
        <f>'RESUMEN TOTAL'!AF646</f>
        <v>0</v>
      </c>
      <c r="AA581" s="70">
        <f>'RESUMEN TOTAL'!AG646</f>
        <v>0</v>
      </c>
      <c r="AB581" s="70">
        <f>'RESUMEN TOTAL'!AH646</f>
        <v>0</v>
      </c>
      <c r="AC581" s="70">
        <f>'RESUMEN TOTAL'!AI646</f>
        <v>0</v>
      </c>
      <c r="AD581" s="70">
        <f>'RESUMEN TOTAL'!AJ646</f>
        <v>0</v>
      </c>
      <c r="AE581" s="70">
        <f>'RESUMEN TOTAL'!AK646</f>
        <v>0</v>
      </c>
      <c r="AF581" s="70">
        <f>'RESUMEN TOTAL'!AL646</f>
        <v>0</v>
      </c>
      <c r="AG581" s="70">
        <f>'RESUMEN TOTAL'!AM646</f>
        <v>0</v>
      </c>
      <c r="AH581" s="70">
        <f>'RESUMEN TOTAL'!AN646</f>
        <v>0</v>
      </c>
      <c r="AI581" s="70">
        <f>'RESUMEN TOTAL'!AO646</f>
        <v>0</v>
      </c>
    </row>
    <row r="582" spans="1:35" x14ac:dyDescent="0.25">
      <c r="A582">
        <f>'RESUMEN TOTAL'!A647</f>
        <v>0</v>
      </c>
      <c r="B582">
        <f>'RESUMEN TOTAL'!B647</f>
        <v>0</v>
      </c>
      <c r="C582">
        <f>'RESUMEN TOTAL'!D647</f>
        <v>0</v>
      </c>
      <c r="D582" s="30">
        <f>'RESUMEN TOTAL'!E647</f>
        <v>0</v>
      </c>
      <c r="E582" s="30">
        <f>'RESUMEN TOTAL'!F647</f>
        <v>0</v>
      </c>
      <c r="F582" s="70">
        <f>'RESUMEN TOTAL'!L647</f>
        <v>0</v>
      </c>
      <c r="G582" s="70">
        <f>'RESUMEN TOTAL'!M647</f>
        <v>0</v>
      </c>
      <c r="H582" s="70">
        <f>'RESUMEN TOTAL'!N647</f>
        <v>0</v>
      </c>
      <c r="I582" s="70">
        <f>'RESUMEN TOTAL'!O647</f>
        <v>0</v>
      </c>
      <c r="J582" s="70">
        <f>'RESUMEN TOTAL'!P647</f>
        <v>0</v>
      </c>
      <c r="K582" s="70">
        <f>'RESUMEN TOTAL'!Q647</f>
        <v>0</v>
      </c>
      <c r="L582" s="70">
        <f>'RESUMEN TOTAL'!R647</f>
        <v>0</v>
      </c>
      <c r="M582" s="70">
        <f>'RESUMEN TOTAL'!S647</f>
        <v>0</v>
      </c>
      <c r="N582" s="70">
        <f>'RESUMEN TOTAL'!T647</f>
        <v>0</v>
      </c>
      <c r="O582" s="70">
        <f>'RESUMEN TOTAL'!U647</f>
        <v>0</v>
      </c>
      <c r="P582" s="70">
        <f>'RESUMEN TOTAL'!V647</f>
        <v>0</v>
      </c>
      <c r="Q582" s="70">
        <f>'RESUMEN TOTAL'!W647</f>
        <v>0</v>
      </c>
      <c r="R582" s="70">
        <f>'RESUMEN TOTAL'!X647</f>
        <v>0</v>
      </c>
      <c r="S582" s="70">
        <f>'RESUMEN TOTAL'!Y647</f>
        <v>0</v>
      </c>
      <c r="T582" s="70">
        <f>'RESUMEN TOTAL'!Z647</f>
        <v>0</v>
      </c>
      <c r="U582" s="70">
        <f>'RESUMEN TOTAL'!AA647</f>
        <v>0</v>
      </c>
      <c r="V582" s="70">
        <f>'RESUMEN TOTAL'!AB647</f>
        <v>0</v>
      </c>
      <c r="W582" s="70">
        <f>'RESUMEN TOTAL'!AC647</f>
        <v>0</v>
      </c>
      <c r="X582" s="70">
        <f>'RESUMEN TOTAL'!AD647</f>
        <v>0</v>
      </c>
      <c r="Y582" s="70">
        <f>'RESUMEN TOTAL'!AE647</f>
        <v>0</v>
      </c>
      <c r="Z582" s="70">
        <f>'RESUMEN TOTAL'!AF647</f>
        <v>0</v>
      </c>
      <c r="AA582" s="70">
        <f>'RESUMEN TOTAL'!AG647</f>
        <v>0</v>
      </c>
      <c r="AB582" s="70">
        <f>'RESUMEN TOTAL'!AH647</f>
        <v>0</v>
      </c>
      <c r="AC582" s="70">
        <f>'RESUMEN TOTAL'!AI647</f>
        <v>0</v>
      </c>
      <c r="AD582" s="70">
        <f>'RESUMEN TOTAL'!AJ647</f>
        <v>0</v>
      </c>
      <c r="AE582" s="70">
        <f>'RESUMEN TOTAL'!AK647</f>
        <v>0</v>
      </c>
      <c r="AF582" s="70">
        <f>'RESUMEN TOTAL'!AL647</f>
        <v>0</v>
      </c>
      <c r="AG582" s="70">
        <f>'RESUMEN TOTAL'!AM647</f>
        <v>0</v>
      </c>
      <c r="AH582" s="70">
        <f>'RESUMEN TOTAL'!AN647</f>
        <v>0</v>
      </c>
      <c r="AI582" s="70">
        <f>'RESUMEN TOTAL'!AO647</f>
        <v>0</v>
      </c>
    </row>
    <row r="583" spans="1:35" x14ac:dyDescent="0.25">
      <c r="A583">
        <f>'RESUMEN TOTAL'!A648</f>
        <v>0</v>
      </c>
      <c r="B583">
        <f>'RESUMEN TOTAL'!B648</f>
        <v>0</v>
      </c>
      <c r="C583">
        <f>'RESUMEN TOTAL'!D648</f>
        <v>0</v>
      </c>
      <c r="D583" s="30">
        <f>'RESUMEN TOTAL'!E648</f>
        <v>0</v>
      </c>
      <c r="E583" s="30">
        <f>'RESUMEN TOTAL'!F648</f>
        <v>0</v>
      </c>
      <c r="F583" s="70">
        <f>'RESUMEN TOTAL'!L648</f>
        <v>0</v>
      </c>
      <c r="G583" s="70">
        <f>'RESUMEN TOTAL'!M648</f>
        <v>0</v>
      </c>
      <c r="H583" s="70">
        <f>'RESUMEN TOTAL'!N648</f>
        <v>0</v>
      </c>
      <c r="I583" s="70">
        <f>'RESUMEN TOTAL'!O648</f>
        <v>0</v>
      </c>
      <c r="J583" s="70">
        <f>'RESUMEN TOTAL'!P648</f>
        <v>0</v>
      </c>
      <c r="K583" s="70">
        <f>'RESUMEN TOTAL'!Q648</f>
        <v>0</v>
      </c>
      <c r="L583" s="70">
        <f>'RESUMEN TOTAL'!R648</f>
        <v>0</v>
      </c>
      <c r="M583" s="70">
        <f>'RESUMEN TOTAL'!S648</f>
        <v>0</v>
      </c>
      <c r="N583" s="70">
        <f>'RESUMEN TOTAL'!T648</f>
        <v>0</v>
      </c>
      <c r="O583" s="70">
        <f>'RESUMEN TOTAL'!U648</f>
        <v>0</v>
      </c>
      <c r="P583" s="70">
        <f>'RESUMEN TOTAL'!V648</f>
        <v>0</v>
      </c>
      <c r="Q583" s="70">
        <f>'RESUMEN TOTAL'!W648</f>
        <v>0</v>
      </c>
      <c r="R583" s="70">
        <f>'RESUMEN TOTAL'!X648</f>
        <v>0</v>
      </c>
      <c r="S583" s="70">
        <f>'RESUMEN TOTAL'!Y648</f>
        <v>0</v>
      </c>
      <c r="T583" s="70">
        <f>'RESUMEN TOTAL'!Z648</f>
        <v>0</v>
      </c>
      <c r="U583" s="70">
        <f>'RESUMEN TOTAL'!AA648</f>
        <v>0</v>
      </c>
      <c r="V583" s="70">
        <f>'RESUMEN TOTAL'!AB648</f>
        <v>0</v>
      </c>
      <c r="W583" s="70">
        <f>'RESUMEN TOTAL'!AC648</f>
        <v>0</v>
      </c>
      <c r="X583" s="70">
        <f>'RESUMEN TOTAL'!AD648</f>
        <v>0</v>
      </c>
      <c r="Y583" s="70">
        <f>'RESUMEN TOTAL'!AE648</f>
        <v>0</v>
      </c>
      <c r="Z583" s="70">
        <f>'RESUMEN TOTAL'!AF648</f>
        <v>0</v>
      </c>
      <c r="AA583" s="70">
        <f>'RESUMEN TOTAL'!AG648</f>
        <v>0</v>
      </c>
      <c r="AB583" s="70">
        <f>'RESUMEN TOTAL'!AH648</f>
        <v>0</v>
      </c>
      <c r="AC583" s="70">
        <f>'RESUMEN TOTAL'!AI648</f>
        <v>0</v>
      </c>
      <c r="AD583" s="70">
        <f>'RESUMEN TOTAL'!AJ648</f>
        <v>0</v>
      </c>
      <c r="AE583" s="70">
        <f>'RESUMEN TOTAL'!AK648</f>
        <v>0</v>
      </c>
      <c r="AF583" s="70">
        <f>'RESUMEN TOTAL'!AL648</f>
        <v>0</v>
      </c>
      <c r="AG583" s="70">
        <f>'RESUMEN TOTAL'!AM648</f>
        <v>0</v>
      </c>
      <c r="AH583" s="70">
        <f>'RESUMEN TOTAL'!AN648</f>
        <v>0</v>
      </c>
      <c r="AI583" s="70">
        <f>'RESUMEN TOTAL'!AO648</f>
        <v>0</v>
      </c>
    </row>
    <row r="584" spans="1:35" x14ac:dyDescent="0.25">
      <c r="A584">
        <f>'RESUMEN TOTAL'!A649</f>
        <v>0</v>
      </c>
      <c r="B584">
        <f>'RESUMEN TOTAL'!B649</f>
        <v>0</v>
      </c>
      <c r="C584">
        <f>'RESUMEN TOTAL'!D649</f>
        <v>0</v>
      </c>
      <c r="D584" s="30">
        <f>'RESUMEN TOTAL'!E649</f>
        <v>0</v>
      </c>
      <c r="E584" s="30">
        <f>'RESUMEN TOTAL'!F649</f>
        <v>0</v>
      </c>
      <c r="F584" s="70">
        <f>'RESUMEN TOTAL'!L649</f>
        <v>0</v>
      </c>
      <c r="G584" s="70">
        <f>'RESUMEN TOTAL'!M649</f>
        <v>0</v>
      </c>
      <c r="H584" s="70">
        <f>'RESUMEN TOTAL'!N649</f>
        <v>0</v>
      </c>
      <c r="I584" s="70">
        <f>'RESUMEN TOTAL'!O649</f>
        <v>0</v>
      </c>
      <c r="J584" s="70">
        <f>'RESUMEN TOTAL'!P649</f>
        <v>0</v>
      </c>
      <c r="K584" s="70">
        <f>'RESUMEN TOTAL'!Q649</f>
        <v>0</v>
      </c>
      <c r="L584" s="70">
        <f>'RESUMEN TOTAL'!R649</f>
        <v>0</v>
      </c>
      <c r="M584" s="70">
        <f>'RESUMEN TOTAL'!S649</f>
        <v>0</v>
      </c>
      <c r="N584" s="70">
        <f>'RESUMEN TOTAL'!T649</f>
        <v>0</v>
      </c>
      <c r="O584" s="70">
        <f>'RESUMEN TOTAL'!U649</f>
        <v>0</v>
      </c>
      <c r="P584" s="70">
        <f>'RESUMEN TOTAL'!V649</f>
        <v>0</v>
      </c>
      <c r="Q584" s="70">
        <f>'RESUMEN TOTAL'!W649</f>
        <v>0</v>
      </c>
      <c r="R584" s="70">
        <f>'RESUMEN TOTAL'!X649</f>
        <v>0</v>
      </c>
      <c r="S584" s="70">
        <f>'RESUMEN TOTAL'!Y649</f>
        <v>0</v>
      </c>
      <c r="T584" s="70">
        <f>'RESUMEN TOTAL'!Z649</f>
        <v>0</v>
      </c>
      <c r="U584" s="70">
        <f>'RESUMEN TOTAL'!AA649</f>
        <v>0</v>
      </c>
      <c r="V584" s="70">
        <f>'RESUMEN TOTAL'!AB649</f>
        <v>0</v>
      </c>
      <c r="W584" s="70">
        <f>'RESUMEN TOTAL'!AC649</f>
        <v>0</v>
      </c>
      <c r="X584" s="70">
        <f>'RESUMEN TOTAL'!AD649</f>
        <v>0</v>
      </c>
      <c r="Y584" s="70">
        <f>'RESUMEN TOTAL'!AE649</f>
        <v>0</v>
      </c>
      <c r="Z584" s="70">
        <f>'RESUMEN TOTAL'!AF649</f>
        <v>0</v>
      </c>
      <c r="AA584" s="70">
        <f>'RESUMEN TOTAL'!AG649</f>
        <v>0</v>
      </c>
      <c r="AB584" s="70">
        <f>'RESUMEN TOTAL'!AH649</f>
        <v>0</v>
      </c>
      <c r="AC584" s="70">
        <f>'RESUMEN TOTAL'!AI649</f>
        <v>0</v>
      </c>
      <c r="AD584" s="70">
        <f>'RESUMEN TOTAL'!AJ649</f>
        <v>0</v>
      </c>
      <c r="AE584" s="70">
        <f>'RESUMEN TOTAL'!AK649</f>
        <v>0</v>
      </c>
      <c r="AF584" s="70">
        <f>'RESUMEN TOTAL'!AL649</f>
        <v>0</v>
      </c>
      <c r="AG584" s="70">
        <f>'RESUMEN TOTAL'!AM649</f>
        <v>0</v>
      </c>
      <c r="AH584" s="70">
        <f>'RESUMEN TOTAL'!AN649</f>
        <v>0</v>
      </c>
      <c r="AI584" s="70">
        <f>'RESUMEN TOTAL'!AO649</f>
        <v>0</v>
      </c>
    </row>
    <row r="585" spans="1:35" x14ac:dyDescent="0.25">
      <c r="A585">
        <f>'RESUMEN TOTAL'!A650</f>
        <v>0</v>
      </c>
      <c r="B585">
        <f>'RESUMEN TOTAL'!B650</f>
        <v>0</v>
      </c>
      <c r="C585">
        <f>'RESUMEN TOTAL'!D650</f>
        <v>0</v>
      </c>
      <c r="D585" s="30">
        <f>'RESUMEN TOTAL'!E650</f>
        <v>0</v>
      </c>
      <c r="E585" s="30">
        <f>'RESUMEN TOTAL'!F650</f>
        <v>0</v>
      </c>
      <c r="F585" s="70">
        <f>'RESUMEN TOTAL'!L650</f>
        <v>0</v>
      </c>
      <c r="G585" s="70">
        <f>'RESUMEN TOTAL'!M650</f>
        <v>0</v>
      </c>
      <c r="H585" s="70">
        <f>'RESUMEN TOTAL'!N650</f>
        <v>0</v>
      </c>
      <c r="I585" s="70">
        <f>'RESUMEN TOTAL'!O650</f>
        <v>0</v>
      </c>
      <c r="J585" s="70">
        <f>'RESUMEN TOTAL'!P650</f>
        <v>0</v>
      </c>
      <c r="K585" s="70">
        <f>'RESUMEN TOTAL'!Q650</f>
        <v>0</v>
      </c>
      <c r="L585" s="70">
        <f>'RESUMEN TOTAL'!R650</f>
        <v>0</v>
      </c>
      <c r="M585" s="70">
        <f>'RESUMEN TOTAL'!S650</f>
        <v>0</v>
      </c>
      <c r="N585" s="70">
        <f>'RESUMEN TOTAL'!T650</f>
        <v>0</v>
      </c>
      <c r="O585" s="70">
        <f>'RESUMEN TOTAL'!U650</f>
        <v>0</v>
      </c>
      <c r="P585" s="70">
        <f>'RESUMEN TOTAL'!V650</f>
        <v>0</v>
      </c>
      <c r="Q585" s="70">
        <f>'RESUMEN TOTAL'!W650</f>
        <v>0</v>
      </c>
      <c r="R585" s="70">
        <f>'RESUMEN TOTAL'!X650</f>
        <v>0</v>
      </c>
      <c r="S585" s="70">
        <f>'RESUMEN TOTAL'!Y650</f>
        <v>0</v>
      </c>
      <c r="T585" s="70">
        <f>'RESUMEN TOTAL'!Z650</f>
        <v>0</v>
      </c>
      <c r="U585" s="70">
        <f>'RESUMEN TOTAL'!AA650</f>
        <v>0</v>
      </c>
      <c r="V585" s="70">
        <f>'RESUMEN TOTAL'!AB650</f>
        <v>0</v>
      </c>
      <c r="W585" s="70">
        <f>'RESUMEN TOTAL'!AC650</f>
        <v>0</v>
      </c>
      <c r="X585" s="70">
        <f>'RESUMEN TOTAL'!AD650</f>
        <v>0</v>
      </c>
      <c r="Y585" s="70">
        <f>'RESUMEN TOTAL'!AE650</f>
        <v>0</v>
      </c>
      <c r="Z585" s="70">
        <f>'RESUMEN TOTAL'!AF650</f>
        <v>0</v>
      </c>
      <c r="AA585" s="70">
        <f>'RESUMEN TOTAL'!AG650</f>
        <v>0</v>
      </c>
      <c r="AB585" s="70">
        <f>'RESUMEN TOTAL'!AH650</f>
        <v>0</v>
      </c>
      <c r="AC585" s="70">
        <f>'RESUMEN TOTAL'!AI650</f>
        <v>0</v>
      </c>
      <c r="AD585" s="70">
        <f>'RESUMEN TOTAL'!AJ650</f>
        <v>0</v>
      </c>
      <c r="AE585" s="70">
        <f>'RESUMEN TOTAL'!AK650</f>
        <v>0</v>
      </c>
      <c r="AF585" s="70">
        <f>'RESUMEN TOTAL'!AL650</f>
        <v>0</v>
      </c>
      <c r="AG585" s="70">
        <f>'RESUMEN TOTAL'!AM650</f>
        <v>0</v>
      </c>
      <c r="AH585" s="70">
        <f>'RESUMEN TOTAL'!AN650</f>
        <v>0</v>
      </c>
      <c r="AI585" s="70">
        <f>'RESUMEN TOTAL'!AO650</f>
        <v>0</v>
      </c>
    </row>
    <row r="586" spans="1:35" x14ac:dyDescent="0.25">
      <c r="A586">
        <f>'RESUMEN TOTAL'!A651</f>
        <v>0</v>
      </c>
      <c r="B586">
        <f>'RESUMEN TOTAL'!B651</f>
        <v>0</v>
      </c>
      <c r="C586">
        <f>'RESUMEN TOTAL'!D651</f>
        <v>0</v>
      </c>
      <c r="D586" s="30">
        <f>'RESUMEN TOTAL'!E651</f>
        <v>0</v>
      </c>
      <c r="E586" s="30">
        <f>'RESUMEN TOTAL'!F651</f>
        <v>0</v>
      </c>
      <c r="F586" s="70">
        <f>'RESUMEN TOTAL'!L651</f>
        <v>0</v>
      </c>
      <c r="G586" s="70">
        <f>'RESUMEN TOTAL'!M651</f>
        <v>0</v>
      </c>
      <c r="H586" s="70">
        <f>'RESUMEN TOTAL'!N651</f>
        <v>0</v>
      </c>
      <c r="I586" s="70">
        <f>'RESUMEN TOTAL'!O651</f>
        <v>0</v>
      </c>
      <c r="J586" s="70">
        <f>'RESUMEN TOTAL'!P651</f>
        <v>0</v>
      </c>
      <c r="K586" s="70">
        <f>'RESUMEN TOTAL'!Q651</f>
        <v>0</v>
      </c>
      <c r="L586" s="70">
        <f>'RESUMEN TOTAL'!R651</f>
        <v>0</v>
      </c>
      <c r="M586" s="70">
        <f>'RESUMEN TOTAL'!S651</f>
        <v>0</v>
      </c>
      <c r="N586" s="70">
        <f>'RESUMEN TOTAL'!T651</f>
        <v>0</v>
      </c>
      <c r="O586" s="70">
        <f>'RESUMEN TOTAL'!U651</f>
        <v>0</v>
      </c>
      <c r="P586" s="70">
        <f>'RESUMEN TOTAL'!V651</f>
        <v>0</v>
      </c>
      <c r="Q586" s="70">
        <f>'RESUMEN TOTAL'!W651</f>
        <v>0</v>
      </c>
      <c r="R586" s="70">
        <f>'RESUMEN TOTAL'!X651</f>
        <v>0</v>
      </c>
      <c r="S586" s="70">
        <f>'RESUMEN TOTAL'!Y651</f>
        <v>0</v>
      </c>
      <c r="T586" s="70">
        <f>'RESUMEN TOTAL'!Z651</f>
        <v>0</v>
      </c>
      <c r="U586" s="70">
        <f>'RESUMEN TOTAL'!AA651</f>
        <v>0</v>
      </c>
      <c r="V586" s="70">
        <f>'RESUMEN TOTAL'!AB651</f>
        <v>0</v>
      </c>
      <c r="W586" s="70">
        <f>'RESUMEN TOTAL'!AC651</f>
        <v>0</v>
      </c>
      <c r="X586" s="70">
        <f>'RESUMEN TOTAL'!AD651</f>
        <v>0</v>
      </c>
      <c r="Y586" s="70">
        <f>'RESUMEN TOTAL'!AE651</f>
        <v>0</v>
      </c>
      <c r="Z586" s="70">
        <f>'RESUMEN TOTAL'!AF651</f>
        <v>0</v>
      </c>
      <c r="AA586" s="70">
        <f>'RESUMEN TOTAL'!AG651</f>
        <v>0</v>
      </c>
      <c r="AB586" s="70">
        <f>'RESUMEN TOTAL'!AH651</f>
        <v>0</v>
      </c>
      <c r="AC586" s="70">
        <f>'RESUMEN TOTAL'!AI651</f>
        <v>0</v>
      </c>
      <c r="AD586" s="70">
        <f>'RESUMEN TOTAL'!AJ651</f>
        <v>0</v>
      </c>
      <c r="AE586" s="70">
        <f>'RESUMEN TOTAL'!AK651</f>
        <v>0</v>
      </c>
      <c r="AF586" s="70">
        <f>'RESUMEN TOTAL'!AL651</f>
        <v>0</v>
      </c>
      <c r="AG586" s="70">
        <f>'RESUMEN TOTAL'!AM651</f>
        <v>0</v>
      </c>
      <c r="AH586" s="70">
        <f>'RESUMEN TOTAL'!AN651</f>
        <v>0</v>
      </c>
      <c r="AI586" s="70">
        <f>'RESUMEN TOTAL'!AO651</f>
        <v>0</v>
      </c>
    </row>
    <row r="587" spans="1:35" x14ac:dyDescent="0.25">
      <c r="A587">
        <f>'RESUMEN TOTAL'!A652</f>
        <v>0</v>
      </c>
      <c r="B587">
        <f>'RESUMEN TOTAL'!B652</f>
        <v>0</v>
      </c>
      <c r="C587">
        <f>'RESUMEN TOTAL'!D652</f>
        <v>0</v>
      </c>
      <c r="D587" s="30">
        <f>'RESUMEN TOTAL'!E652</f>
        <v>0</v>
      </c>
      <c r="E587" s="30">
        <f>'RESUMEN TOTAL'!F652</f>
        <v>0</v>
      </c>
      <c r="F587" s="70">
        <f>'RESUMEN TOTAL'!L652</f>
        <v>0</v>
      </c>
      <c r="G587" s="70">
        <f>'RESUMEN TOTAL'!M652</f>
        <v>0</v>
      </c>
      <c r="H587" s="70">
        <f>'RESUMEN TOTAL'!N652</f>
        <v>0</v>
      </c>
      <c r="I587" s="70">
        <f>'RESUMEN TOTAL'!O652</f>
        <v>0</v>
      </c>
      <c r="J587" s="70">
        <f>'RESUMEN TOTAL'!P652</f>
        <v>0</v>
      </c>
      <c r="K587" s="70">
        <f>'RESUMEN TOTAL'!Q652</f>
        <v>0</v>
      </c>
      <c r="L587" s="70">
        <f>'RESUMEN TOTAL'!R652</f>
        <v>0</v>
      </c>
      <c r="M587" s="70">
        <f>'RESUMEN TOTAL'!S652</f>
        <v>0</v>
      </c>
      <c r="N587" s="70">
        <f>'RESUMEN TOTAL'!T652</f>
        <v>0</v>
      </c>
      <c r="O587" s="70">
        <f>'RESUMEN TOTAL'!U652</f>
        <v>0</v>
      </c>
      <c r="P587" s="70">
        <f>'RESUMEN TOTAL'!V652</f>
        <v>0</v>
      </c>
      <c r="Q587" s="70">
        <f>'RESUMEN TOTAL'!W652</f>
        <v>0</v>
      </c>
      <c r="R587" s="70">
        <f>'RESUMEN TOTAL'!X652</f>
        <v>0</v>
      </c>
      <c r="S587" s="70">
        <f>'RESUMEN TOTAL'!Y652</f>
        <v>0</v>
      </c>
      <c r="T587" s="70">
        <f>'RESUMEN TOTAL'!Z652</f>
        <v>0</v>
      </c>
      <c r="U587" s="70">
        <f>'RESUMEN TOTAL'!AA652</f>
        <v>0</v>
      </c>
      <c r="V587" s="70">
        <f>'RESUMEN TOTAL'!AB652</f>
        <v>0</v>
      </c>
      <c r="W587" s="70">
        <f>'RESUMEN TOTAL'!AC652</f>
        <v>0</v>
      </c>
      <c r="X587" s="70">
        <f>'RESUMEN TOTAL'!AD652</f>
        <v>0</v>
      </c>
      <c r="Y587" s="70">
        <f>'RESUMEN TOTAL'!AE652</f>
        <v>0</v>
      </c>
      <c r="Z587" s="70">
        <f>'RESUMEN TOTAL'!AF652</f>
        <v>0</v>
      </c>
      <c r="AA587" s="70">
        <f>'RESUMEN TOTAL'!AG652</f>
        <v>0</v>
      </c>
      <c r="AB587" s="70">
        <f>'RESUMEN TOTAL'!AH652</f>
        <v>0</v>
      </c>
      <c r="AC587" s="70">
        <f>'RESUMEN TOTAL'!AI652</f>
        <v>0</v>
      </c>
      <c r="AD587" s="70">
        <f>'RESUMEN TOTAL'!AJ652</f>
        <v>0</v>
      </c>
      <c r="AE587" s="70">
        <f>'RESUMEN TOTAL'!AK652</f>
        <v>0</v>
      </c>
      <c r="AF587" s="70">
        <f>'RESUMEN TOTAL'!AL652</f>
        <v>0</v>
      </c>
      <c r="AG587" s="70">
        <f>'RESUMEN TOTAL'!AM652</f>
        <v>0</v>
      </c>
      <c r="AH587" s="70">
        <f>'RESUMEN TOTAL'!AN652</f>
        <v>0</v>
      </c>
      <c r="AI587" s="70">
        <f>'RESUMEN TOTAL'!AO652</f>
        <v>0</v>
      </c>
    </row>
    <row r="588" spans="1:35" x14ac:dyDescent="0.25">
      <c r="A588">
        <f>'RESUMEN TOTAL'!A653</f>
        <v>0</v>
      </c>
      <c r="B588">
        <f>'RESUMEN TOTAL'!B653</f>
        <v>0</v>
      </c>
      <c r="C588">
        <f>'RESUMEN TOTAL'!D653</f>
        <v>0</v>
      </c>
      <c r="D588" s="30">
        <f>'RESUMEN TOTAL'!E653</f>
        <v>0</v>
      </c>
      <c r="E588" s="30">
        <f>'RESUMEN TOTAL'!F653</f>
        <v>0</v>
      </c>
      <c r="F588" s="70">
        <f>'RESUMEN TOTAL'!L653</f>
        <v>0</v>
      </c>
      <c r="G588" s="70">
        <f>'RESUMEN TOTAL'!M653</f>
        <v>0</v>
      </c>
      <c r="H588" s="70">
        <f>'RESUMEN TOTAL'!N653</f>
        <v>0</v>
      </c>
      <c r="I588" s="70">
        <f>'RESUMEN TOTAL'!O653</f>
        <v>0</v>
      </c>
      <c r="J588" s="70">
        <f>'RESUMEN TOTAL'!P653</f>
        <v>0</v>
      </c>
      <c r="K588" s="70">
        <f>'RESUMEN TOTAL'!Q653</f>
        <v>0</v>
      </c>
      <c r="L588" s="70">
        <f>'RESUMEN TOTAL'!R653</f>
        <v>0</v>
      </c>
      <c r="M588" s="70">
        <f>'RESUMEN TOTAL'!S653</f>
        <v>0</v>
      </c>
      <c r="N588" s="70">
        <f>'RESUMEN TOTAL'!T653</f>
        <v>0</v>
      </c>
      <c r="O588" s="70">
        <f>'RESUMEN TOTAL'!U653</f>
        <v>0</v>
      </c>
      <c r="P588" s="70">
        <f>'RESUMEN TOTAL'!V653</f>
        <v>0</v>
      </c>
      <c r="Q588" s="70">
        <f>'RESUMEN TOTAL'!W653</f>
        <v>0</v>
      </c>
      <c r="R588" s="70">
        <f>'RESUMEN TOTAL'!X653</f>
        <v>0</v>
      </c>
      <c r="S588" s="70">
        <f>'RESUMEN TOTAL'!Y653</f>
        <v>0</v>
      </c>
      <c r="T588" s="70">
        <f>'RESUMEN TOTAL'!Z653</f>
        <v>0</v>
      </c>
      <c r="U588" s="70">
        <f>'RESUMEN TOTAL'!AA653</f>
        <v>0</v>
      </c>
      <c r="V588" s="70">
        <f>'RESUMEN TOTAL'!AB653</f>
        <v>0</v>
      </c>
      <c r="W588" s="70">
        <f>'RESUMEN TOTAL'!AC653</f>
        <v>0</v>
      </c>
      <c r="X588" s="70">
        <f>'RESUMEN TOTAL'!AD653</f>
        <v>0</v>
      </c>
      <c r="Y588" s="70">
        <f>'RESUMEN TOTAL'!AE653</f>
        <v>0</v>
      </c>
      <c r="Z588" s="70">
        <f>'RESUMEN TOTAL'!AF653</f>
        <v>0</v>
      </c>
      <c r="AA588" s="70">
        <f>'RESUMEN TOTAL'!AG653</f>
        <v>0</v>
      </c>
      <c r="AB588" s="70">
        <f>'RESUMEN TOTAL'!AH653</f>
        <v>0</v>
      </c>
      <c r="AC588" s="70">
        <f>'RESUMEN TOTAL'!AI653</f>
        <v>0</v>
      </c>
      <c r="AD588" s="70">
        <f>'RESUMEN TOTAL'!AJ653</f>
        <v>0</v>
      </c>
      <c r="AE588" s="70">
        <f>'RESUMEN TOTAL'!AK653</f>
        <v>0</v>
      </c>
      <c r="AF588" s="70">
        <f>'RESUMEN TOTAL'!AL653</f>
        <v>0</v>
      </c>
      <c r="AG588" s="70">
        <f>'RESUMEN TOTAL'!AM653</f>
        <v>0</v>
      </c>
      <c r="AH588" s="70">
        <f>'RESUMEN TOTAL'!AN653</f>
        <v>0</v>
      </c>
      <c r="AI588" s="70">
        <f>'RESUMEN TOTAL'!AO653</f>
        <v>0</v>
      </c>
    </row>
    <row r="589" spans="1:35" x14ac:dyDescent="0.25">
      <c r="A589">
        <f>'RESUMEN TOTAL'!A654</f>
        <v>0</v>
      </c>
      <c r="B589">
        <f>'RESUMEN TOTAL'!B654</f>
        <v>0</v>
      </c>
      <c r="C589">
        <f>'RESUMEN TOTAL'!D654</f>
        <v>0</v>
      </c>
      <c r="D589" s="30">
        <f>'RESUMEN TOTAL'!E654</f>
        <v>0</v>
      </c>
      <c r="E589" s="30">
        <f>'RESUMEN TOTAL'!F654</f>
        <v>0</v>
      </c>
      <c r="F589" s="70">
        <f>'RESUMEN TOTAL'!L654</f>
        <v>0</v>
      </c>
      <c r="G589" s="70">
        <f>'RESUMEN TOTAL'!M654</f>
        <v>0</v>
      </c>
      <c r="H589" s="70">
        <f>'RESUMEN TOTAL'!N654</f>
        <v>0</v>
      </c>
      <c r="I589" s="70">
        <f>'RESUMEN TOTAL'!O654</f>
        <v>0</v>
      </c>
      <c r="J589" s="70">
        <f>'RESUMEN TOTAL'!P654</f>
        <v>0</v>
      </c>
      <c r="K589" s="70">
        <f>'RESUMEN TOTAL'!Q654</f>
        <v>0</v>
      </c>
      <c r="L589" s="70">
        <f>'RESUMEN TOTAL'!R654</f>
        <v>0</v>
      </c>
      <c r="M589" s="70">
        <f>'RESUMEN TOTAL'!S654</f>
        <v>0</v>
      </c>
      <c r="N589" s="70">
        <f>'RESUMEN TOTAL'!T654</f>
        <v>0</v>
      </c>
      <c r="O589" s="70">
        <f>'RESUMEN TOTAL'!U654</f>
        <v>0</v>
      </c>
      <c r="P589" s="70">
        <f>'RESUMEN TOTAL'!V654</f>
        <v>0</v>
      </c>
      <c r="Q589" s="70">
        <f>'RESUMEN TOTAL'!W654</f>
        <v>0</v>
      </c>
      <c r="R589" s="70">
        <f>'RESUMEN TOTAL'!X654</f>
        <v>0</v>
      </c>
      <c r="S589" s="70">
        <f>'RESUMEN TOTAL'!Y654</f>
        <v>0</v>
      </c>
      <c r="T589" s="70">
        <f>'RESUMEN TOTAL'!Z654</f>
        <v>0</v>
      </c>
      <c r="U589" s="70">
        <f>'RESUMEN TOTAL'!AA654</f>
        <v>0</v>
      </c>
      <c r="V589" s="70">
        <f>'RESUMEN TOTAL'!AB654</f>
        <v>0</v>
      </c>
      <c r="W589" s="70">
        <f>'RESUMEN TOTAL'!AC654</f>
        <v>0</v>
      </c>
      <c r="X589" s="70">
        <f>'RESUMEN TOTAL'!AD654</f>
        <v>0</v>
      </c>
      <c r="Y589" s="70">
        <f>'RESUMEN TOTAL'!AE654</f>
        <v>0</v>
      </c>
      <c r="Z589" s="70">
        <f>'RESUMEN TOTAL'!AF654</f>
        <v>0</v>
      </c>
      <c r="AA589" s="70">
        <f>'RESUMEN TOTAL'!AG654</f>
        <v>0</v>
      </c>
      <c r="AB589" s="70">
        <f>'RESUMEN TOTAL'!AH654</f>
        <v>0</v>
      </c>
      <c r="AC589" s="70">
        <f>'RESUMEN TOTAL'!AI654</f>
        <v>0</v>
      </c>
      <c r="AD589" s="70">
        <f>'RESUMEN TOTAL'!AJ654</f>
        <v>0</v>
      </c>
      <c r="AE589" s="70">
        <f>'RESUMEN TOTAL'!AK654</f>
        <v>0</v>
      </c>
      <c r="AF589" s="70">
        <f>'RESUMEN TOTAL'!AL654</f>
        <v>0</v>
      </c>
      <c r="AG589" s="70">
        <f>'RESUMEN TOTAL'!AM654</f>
        <v>0</v>
      </c>
      <c r="AH589" s="70">
        <f>'RESUMEN TOTAL'!AN654</f>
        <v>0</v>
      </c>
      <c r="AI589" s="70">
        <f>'RESUMEN TOTAL'!AO654</f>
        <v>0</v>
      </c>
    </row>
    <row r="590" spans="1:35" x14ac:dyDescent="0.25">
      <c r="A590">
        <f>'RESUMEN TOTAL'!A655</f>
        <v>0</v>
      </c>
      <c r="B590">
        <f>'RESUMEN TOTAL'!B655</f>
        <v>0</v>
      </c>
      <c r="C590">
        <f>'RESUMEN TOTAL'!D655</f>
        <v>0</v>
      </c>
      <c r="D590" s="30">
        <f>'RESUMEN TOTAL'!E655</f>
        <v>0</v>
      </c>
      <c r="E590" s="30">
        <f>'RESUMEN TOTAL'!F655</f>
        <v>0</v>
      </c>
      <c r="F590" s="70">
        <f>'RESUMEN TOTAL'!L655</f>
        <v>0</v>
      </c>
      <c r="G590" s="70">
        <f>'RESUMEN TOTAL'!M655</f>
        <v>0</v>
      </c>
      <c r="H590" s="70">
        <f>'RESUMEN TOTAL'!N655</f>
        <v>0</v>
      </c>
      <c r="I590" s="70">
        <f>'RESUMEN TOTAL'!O655</f>
        <v>0</v>
      </c>
      <c r="J590" s="70">
        <f>'RESUMEN TOTAL'!P655</f>
        <v>0</v>
      </c>
      <c r="K590" s="70">
        <f>'RESUMEN TOTAL'!Q655</f>
        <v>0</v>
      </c>
      <c r="L590" s="70">
        <f>'RESUMEN TOTAL'!R655</f>
        <v>0</v>
      </c>
      <c r="M590" s="70">
        <f>'RESUMEN TOTAL'!S655</f>
        <v>0</v>
      </c>
      <c r="N590" s="70">
        <f>'RESUMEN TOTAL'!T655</f>
        <v>0</v>
      </c>
      <c r="O590" s="70">
        <f>'RESUMEN TOTAL'!U655</f>
        <v>0</v>
      </c>
      <c r="P590" s="70">
        <f>'RESUMEN TOTAL'!V655</f>
        <v>0</v>
      </c>
      <c r="Q590" s="70">
        <f>'RESUMEN TOTAL'!W655</f>
        <v>0</v>
      </c>
      <c r="R590" s="70">
        <f>'RESUMEN TOTAL'!X655</f>
        <v>0</v>
      </c>
      <c r="S590" s="70">
        <f>'RESUMEN TOTAL'!Y655</f>
        <v>0</v>
      </c>
      <c r="T590" s="70">
        <f>'RESUMEN TOTAL'!Z655</f>
        <v>0</v>
      </c>
      <c r="U590" s="70">
        <f>'RESUMEN TOTAL'!AA655</f>
        <v>0</v>
      </c>
      <c r="V590" s="70">
        <f>'RESUMEN TOTAL'!AB655</f>
        <v>0</v>
      </c>
      <c r="W590" s="70">
        <f>'RESUMEN TOTAL'!AC655</f>
        <v>0</v>
      </c>
      <c r="X590" s="70">
        <f>'RESUMEN TOTAL'!AD655</f>
        <v>0</v>
      </c>
      <c r="Y590" s="70">
        <f>'RESUMEN TOTAL'!AE655</f>
        <v>0</v>
      </c>
      <c r="Z590" s="70">
        <f>'RESUMEN TOTAL'!AF655</f>
        <v>0</v>
      </c>
      <c r="AA590" s="70">
        <f>'RESUMEN TOTAL'!AG655</f>
        <v>0</v>
      </c>
      <c r="AB590" s="70">
        <f>'RESUMEN TOTAL'!AH655</f>
        <v>0</v>
      </c>
      <c r="AC590" s="70">
        <f>'RESUMEN TOTAL'!AI655</f>
        <v>0</v>
      </c>
      <c r="AD590" s="70">
        <f>'RESUMEN TOTAL'!AJ655</f>
        <v>0</v>
      </c>
      <c r="AE590" s="70">
        <f>'RESUMEN TOTAL'!AK655</f>
        <v>0</v>
      </c>
      <c r="AF590" s="70">
        <f>'RESUMEN TOTAL'!AL655</f>
        <v>0</v>
      </c>
      <c r="AG590" s="70">
        <f>'RESUMEN TOTAL'!AM655</f>
        <v>0</v>
      </c>
      <c r="AH590" s="70">
        <f>'RESUMEN TOTAL'!AN655</f>
        <v>0</v>
      </c>
      <c r="AI590" s="70">
        <f>'RESUMEN TOTAL'!AO655</f>
        <v>0</v>
      </c>
    </row>
    <row r="591" spans="1:35" x14ac:dyDescent="0.25">
      <c r="A591">
        <f>'RESUMEN TOTAL'!A656</f>
        <v>0</v>
      </c>
      <c r="B591">
        <f>'RESUMEN TOTAL'!B656</f>
        <v>0</v>
      </c>
      <c r="C591">
        <f>'RESUMEN TOTAL'!D656</f>
        <v>0</v>
      </c>
      <c r="D591" s="30">
        <f>'RESUMEN TOTAL'!E656</f>
        <v>0</v>
      </c>
      <c r="E591" s="30">
        <f>'RESUMEN TOTAL'!F656</f>
        <v>0</v>
      </c>
      <c r="F591" s="70">
        <f>'RESUMEN TOTAL'!L656</f>
        <v>0</v>
      </c>
      <c r="G591" s="70">
        <f>'RESUMEN TOTAL'!M656</f>
        <v>0</v>
      </c>
      <c r="H591" s="70">
        <f>'RESUMEN TOTAL'!N656</f>
        <v>0</v>
      </c>
      <c r="I591" s="70">
        <f>'RESUMEN TOTAL'!O656</f>
        <v>0</v>
      </c>
      <c r="J591" s="70">
        <f>'RESUMEN TOTAL'!P656</f>
        <v>0</v>
      </c>
      <c r="K591" s="70">
        <f>'RESUMEN TOTAL'!Q656</f>
        <v>0</v>
      </c>
      <c r="L591" s="70">
        <f>'RESUMEN TOTAL'!R656</f>
        <v>0</v>
      </c>
      <c r="M591" s="70">
        <f>'RESUMEN TOTAL'!S656</f>
        <v>0</v>
      </c>
      <c r="N591" s="70">
        <f>'RESUMEN TOTAL'!T656</f>
        <v>0</v>
      </c>
      <c r="O591" s="70">
        <f>'RESUMEN TOTAL'!U656</f>
        <v>0</v>
      </c>
      <c r="P591" s="70">
        <f>'RESUMEN TOTAL'!V656</f>
        <v>0</v>
      </c>
      <c r="Q591" s="70">
        <f>'RESUMEN TOTAL'!W656</f>
        <v>0</v>
      </c>
      <c r="R591" s="70">
        <f>'RESUMEN TOTAL'!X656</f>
        <v>0</v>
      </c>
      <c r="S591" s="70">
        <f>'RESUMEN TOTAL'!Y656</f>
        <v>0</v>
      </c>
      <c r="T591" s="70">
        <f>'RESUMEN TOTAL'!Z656</f>
        <v>0</v>
      </c>
      <c r="U591" s="70">
        <f>'RESUMEN TOTAL'!AA656</f>
        <v>0</v>
      </c>
      <c r="V591" s="70">
        <f>'RESUMEN TOTAL'!AB656</f>
        <v>0</v>
      </c>
      <c r="W591" s="70">
        <f>'RESUMEN TOTAL'!AC656</f>
        <v>0</v>
      </c>
      <c r="X591" s="70">
        <f>'RESUMEN TOTAL'!AD656</f>
        <v>0</v>
      </c>
      <c r="Y591" s="70">
        <f>'RESUMEN TOTAL'!AE656</f>
        <v>0</v>
      </c>
      <c r="Z591" s="70">
        <f>'RESUMEN TOTAL'!AF656</f>
        <v>0</v>
      </c>
      <c r="AA591" s="70">
        <f>'RESUMEN TOTAL'!AG656</f>
        <v>0</v>
      </c>
      <c r="AB591" s="70">
        <f>'RESUMEN TOTAL'!AH656</f>
        <v>0</v>
      </c>
      <c r="AC591" s="70">
        <f>'RESUMEN TOTAL'!AI656</f>
        <v>0</v>
      </c>
      <c r="AD591" s="70">
        <f>'RESUMEN TOTAL'!AJ656</f>
        <v>0</v>
      </c>
      <c r="AE591" s="70">
        <f>'RESUMEN TOTAL'!AK656</f>
        <v>0</v>
      </c>
      <c r="AF591" s="70">
        <f>'RESUMEN TOTAL'!AL656</f>
        <v>0</v>
      </c>
      <c r="AG591" s="70">
        <f>'RESUMEN TOTAL'!AM656</f>
        <v>0</v>
      </c>
      <c r="AH591" s="70">
        <f>'RESUMEN TOTAL'!AN656</f>
        <v>0</v>
      </c>
      <c r="AI591" s="70">
        <f>'RESUMEN TOTAL'!AO656</f>
        <v>0</v>
      </c>
    </row>
    <row r="592" spans="1:35" x14ac:dyDescent="0.25">
      <c r="A592">
        <f>'RESUMEN TOTAL'!A657</f>
        <v>0</v>
      </c>
      <c r="B592">
        <f>'RESUMEN TOTAL'!B657</f>
        <v>0</v>
      </c>
      <c r="C592">
        <f>'RESUMEN TOTAL'!D657</f>
        <v>0</v>
      </c>
      <c r="D592" s="30">
        <f>'RESUMEN TOTAL'!E657</f>
        <v>0</v>
      </c>
      <c r="E592" s="30">
        <f>'RESUMEN TOTAL'!F657</f>
        <v>0</v>
      </c>
      <c r="F592" s="70">
        <f>'RESUMEN TOTAL'!L657</f>
        <v>0</v>
      </c>
      <c r="G592" s="70">
        <f>'RESUMEN TOTAL'!M657</f>
        <v>0</v>
      </c>
      <c r="H592" s="70">
        <f>'RESUMEN TOTAL'!N657</f>
        <v>0</v>
      </c>
      <c r="I592" s="70">
        <f>'RESUMEN TOTAL'!O657</f>
        <v>0</v>
      </c>
      <c r="J592" s="70">
        <f>'RESUMEN TOTAL'!P657</f>
        <v>0</v>
      </c>
      <c r="K592" s="70">
        <f>'RESUMEN TOTAL'!Q657</f>
        <v>0</v>
      </c>
      <c r="L592" s="70">
        <f>'RESUMEN TOTAL'!R657</f>
        <v>0</v>
      </c>
      <c r="M592" s="70">
        <f>'RESUMEN TOTAL'!S657</f>
        <v>0</v>
      </c>
      <c r="N592" s="70">
        <f>'RESUMEN TOTAL'!T657</f>
        <v>0</v>
      </c>
      <c r="O592" s="70">
        <f>'RESUMEN TOTAL'!U657</f>
        <v>0</v>
      </c>
      <c r="P592" s="70">
        <f>'RESUMEN TOTAL'!V657</f>
        <v>0</v>
      </c>
      <c r="Q592" s="70">
        <f>'RESUMEN TOTAL'!W657</f>
        <v>0</v>
      </c>
      <c r="R592" s="70">
        <f>'RESUMEN TOTAL'!X657</f>
        <v>0</v>
      </c>
      <c r="S592" s="70">
        <f>'RESUMEN TOTAL'!Y657</f>
        <v>0</v>
      </c>
      <c r="T592" s="70">
        <f>'RESUMEN TOTAL'!Z657</f>
        <v>0</v>
      </c>
      <c r="U592" s="70">
        <f>'RESUMEN TOTAL'!AA657</f>
        <v>0</v>
      </c>
      <c r="V592" s="70">
        <f>'RESUMEN TOTAL'!AB657</f>
        <v>0</v>
      </c>
      <c r="W592" s="70">
        <f>'RESUMEN TOTAL'!AC657</f>
        <v>0</v>
      </c>
      <c r="X592" s="70">
        <f>'RESUMEN TOTAL'!AD657</f>
        <v>0</v>
      </c>
      <c r="Y592" s="70">
        <f>'RESUMEN TOTAL'!AE657</f>
        <v>0</v>
      </c>
      <c r="Z592" s="70">
        <f>'RESUMEN TOTAL'!AF657</f>
        <v>0</v>
      </c>
      <c r="AA592" s="70">
        <f>'RESUMEN TOTAL'!AG657</f>
        <v>0</v>
      </c>
      <c r="AB592" s="70">
        <f>'RESUMEN TOTAL'!AH657</f>
        <v>0</v>
      </c>
      <c r="AC592" s="70">
        <f>'RESUMEN TOTAL'!AI657</f>
        <v>0</v>
      </c>
      <c r="AD592" s="70">
        <f>'RESUMEN TOTAL'!AJ657</f>
        <v>0</v>
      </c>
      <c r="AE592" s="70">
        <f>'RESUMEN TOTAL'!AK657</f>
        <v>0</v>
      </c>
      <c r="AF592" s="70">
        <f>'RESUMEN TOTAL'!AL657</f>
        <v>0</v>
      </c>
      <c r="AG592" s="70">
        <f>'RESUMEN TOTAL'!AM657</f>
        <v>0</v>
      </c>
      <c r="AH592" s="70">
        <f>'RESUMEN TOTAL'!AN657</f>
        <v>0</v>
      </c>
      <c r="AI592" s="70">
        <f>'RESUMEN TOTAL'!AO657</f>
        <v>0</v>
      </c>
    </row>
    <row r="593" spans="1:35" x14ac:dyDescent="0.25">
      <c r="A593">
        <f>'RESUMEN TOTAL'!A658</f>
        <v>0</v>
      </c>
      <c r="B593">
        <f>'RESUMEN TOTAL'!B658</f>
        <v>0</v>
      </c>
      <c r="C593">
        <f>'RESUMEN TOTAL'!D658</f>
        <v>0</v>
      </c>
      <c r="D593" s="30">
        <f>'RESUMEN TOTAL'!E658</f>
        <v>0</v>
      </c>
      <c r="E593" s="30">
        <f>'RESUMEN TOTAL'!F658</f>
        <v>0</v>
      </c>
      <c r="F593" s="70">
        <f>'RESUMEN TOTAL'!L658</f>
        <v>0</v>
      </c>
      <c r="G593" s="70">
        <f>'RESUMEN TOTAL'!M658</f>
        <v>0</v>
      </c>
      <c r="H593" s="70">
        <f>'RESUMEN TOTAL'!N658</f>
        <v>0</v>
      </c>
      <c r="I593" s="70">
        <f>'RESUMEN TOTAL'!O658</f>
        <v>0</v>
      </c>
      <c r="J593" s="70">
        <f>'RESUMEN TOTAL'!P658</f>
        <v>0</v>
      </c>
      <c r="K593" s="70">
        <f>'RESUMEN TOTAL'!Q658</f>
        <v>0</v>
      </c>
      <c r="L593" s="70">
        <f>'RESUMEN TOTAL'!R658</f>
        <v>0</v>
      </c>
      <c r="M593" s="70">
        <f>'RESUMEN TOTAL'!S658</f>
        <v>0</v>
      </c>
      <c r="N593" s="70">
        <f>'RESUMEN TOTAL'!T658</f>
        <v>0</v>
      </c>
      <c r="O593" s="70">
        <f>'RESUMEN TOTAL'!U658</f>
        <v>0</v>
      </c>
      <c r="P593" s="70">
        <f>'RESUMEN TOTAL'!V658</f>
        <v>0</v>
      </c>
      <c r="Q593" s="70">
        <f>'RESUMEN TOTAL'!W658</f>
        <v>0</v>
      </c>
      <c r="R593" s="70">
        <f>'RESUMEN TOTAL'!X658</f>
        <v>0</v>
      </c>
      <c r="S593" s="70">
        <f>'RESUMEN TOTAL'!Y658</f>
        <v>0</v>
      </c>
      <c r="T593" s="70">
        <f>'RESUMEN TOTAL'!Z658</f>
        <v>0</v>
      </c>
      <c r="U593" s="70">
        <f>'RESUMEN TOTAL'!AA658</f>
        <v>0</v>
      </c>
      <c r="V593" s="70">
        <f>'RESUMEN TOTAL'!AB658</f>
        <v>0</v>
      </c>
      <c r="W593" s="70">
        <f>'RESUMEN TOTAL'!AC658</f>
        <v>0</v>
      </c>
      <c r="X593" s="70">
        <f>'RESUMEN TOTAL'!AD658</f>
        <v>0</v>
      </c>
      <c r="Y593" s="70">
        <f>'RESUMEN TOTAL'!AE658</f>
        <v>0</v>
      </c>
      <c r="Z593" s="70">
        <f>'RESUMEN TOTAL'!AF658</f>
        <v>0</v>
      </c>
      <c r="AA593" s="70">
        <f>'RESUMEN TOTAL'!AG658</f>
        <v>0</v>
      </c>
      <c r="AB593" s="70">
        <f>'RESUMEN TOTAL'!AH658</f>
        <v>0</v>
      </c>
      <c r="AC593" s="70">
        <f>'RESUMEN TOTAL'!AI658</f>
        <v>0</v>
      </c>
      <c r="AD593" s="70">
        <f>'RESUMEN TOTAL'!AJ658</f>
        <v>0</v>
      </c>
      <c r="AE593" s="70">
        <f>'RESUMEN TOTAL'!AK658</f>
        <v>0</v>
      </c>
      <c r="AF593" s="70">
        <f>'RESUMEN TOTAL'!AL658</f>
        <v>0</v>
      </c>
      <c r="AG593" s="70">
        <f>'RESUMEN TOTAL'!AM658</f>
        <v>0</v>
      </c>
      <c r="AH593" s="70">
        <f>'RESUMEN TOTAL'!AN658</f>
        <v>0</v>
      </c>
      <c r="AI593" s="70">
        <f>'RESUMEN TOTAL'!AO658</f>
        <v>0</v>
      </c>
    </row>
    <row r="594" spans="1:35" x14ac:dyDescent="0.25">
      <c r="A594">
        <f>'RESUMEN TOTAL'!A659</f>
        <v>0</v>
      </c>
      <c r="B594">
        <f>'RESUMEN TOTAL'!B659</f>
        <v>0</v>
      </c>
      <c r="C594">
        <f>'RESUMEN TOTAL'!D659</f>
        <v>0</v>
      </c>
      <c r="D594" s="30">
        <f>'RESUMEN TOTAL'!E659</f>
        <v>0</v>
      </c>
      <c r="E594" s="30">
        <f>'RESUMEN TOTAL'!F659</f>
        <v>0</v>
      </c>
      <c r="F594" s="70">
        <f>'RESUMEN TOTAL'!L659</f>
        <v>0</v>
      </c>
      <c r="G594" s="70">
        <f>'RESUMEN TOTAL'!M659</f>
        <v>0</v>
      </c>
      <c r="H594" s="70">
        <f>'RESUMEN TOTAL'!N659</f>
        <v>0</v>
      </c>
      <c r="I594" s="70">
        <f>'RESUMEN TOTAL'!O659</f>
        <v>0</v>
      </c>
      <c r="J594" s="70">
        <f>'RESUMEN TOTAL'!P659</f>
        <v>0</v>
      </c>
      <c r="K594" s="70">
        <f>'RESUMEN TOTAL'!Q659</f>
        <v>0</v>
      </c>
      <c r="L594" s="70">
        <f>'RESUMEN TOTAL'!R659</f>
        <v>0</v>
      </c>
      <c r="M594" s="70">
        <f>'RESUMEN TOTAL'!S659</f>
        <v>0</v>
      </c>
      <c r="N594" s="70">
        <f>'RESUMEN TOTAL'!T659</f>
        <v>0</v>
      </c>
      <c r="O594" s="70">
        <f>'RESUMEN TOTAL'!U659</f>
        <v>0</v>
      </c>
      <c r="P594" s="70">
        <f>'RESUMEN TOTAL'!V659</f>
        <v>0</v>
      </c>
      <c r="Q594" s="70">
        <f>'RESUMEN TOTAL'!W659</f>
        <v>0</v>
      </c>
      <c r="R594" s="70">
        <f>'RESUMEN TOTAL'!X659</f>
        <v>0</v>
      </c>
      <c r="S594" s="70">
        <f>'RESUMEN TOTAL'!Y659</f>
        <v>0</v>
      </c>
      <c r="T594" s="70">
        <f>'RESUMEN TOTAL'!Z659</f>
        <v>0</v>
      </c>
      <c r="U594" s="70">
        <f>'RESUMEN TOTAL'!AA659</f>
        <v>0</v>
      </c>
      <c r="V594" s="70">
        <f>'RESUMEN TOTAL'!AB659</f>
        <v>0</v>
      </c>
      <c r="W594" s="70">
        <f>'RESUMEN TOTAL'!AC659</f>
        <v>0</v>
      </c>
      <c r="X594" s="70">
        <f>'RESUMEN TOTAL'!AD659</f>
        <v>0</v>
      </c>
      <c r="Y594" s="70">
        <f>'RESUMEN TOTAL'!AE659</f>
        <v>0</v>
      </c>
      <c r="Z594" s="70">
        <f>'RESUMEN TOTAL'!AF659</f>
        <v>0</v>
      </c>
      <c r="AA594" s="70">
        <f>'RESUMEN TOTAL'!AG659</f>
        <v>0</v>
      </c>
      <c r="AB594" s="70">
        <f>'RESUMEN TOTAL'!AH659</f>
        <v>0</v>
      </c>
      <c r="AC594" s="70">
        <f>'RESUMEN TOTAL'!AI659</f>
        <v>0</v>
      </c>
      <c r="AD594" s="70">
        <f>'RESUMEN TOTAL'!AJ659</f>
        <v>0</v>
      </c>
      <c r="AE594" s="70">
        <f>'RESUMEN TOTAL'!AK659</f>
        <v>0</v>
      </c>
      <c r="AF594" s="70">
        <f>'RESUMEN TOTAL'!AL659</f>
        <v>0</v>
      </c>
      <c r="AG594" s="70">
        <f>'RESUMEN TOTAL'!AM659</f>
        <v>0</v>
      </c>
      <c r="AH594" s="70">
        <f>'RESUMEN TOTAL'!AN659</f>
        <v>0</v>
      </c>
      <c r="AI594" s="70">
        <f>'RESUMEN TOTAL'!AO659</f>
        <v>0</v>
      </c>
    </row>
    <row r="595" spans="1:35" x14ac:dyDescent="0.25">
      <c r="A595">
        <f>'RESUMEN TOTAL'!A660</f>
        <v>0</v>
      </c>
      <c r="B595">
        <f>'RESUMEN TOTAL'!B660</f>
        <v>0</v>
      </c>
      <c r="C595">
        <f>'RESUMEN TOTAL'!D660</f>
        <v>0</v>
      </c>
      <c r="D595" s="30">
        <f>'RESUMEN TOTAL'!E660</f>
        <v>0</v>
      </c>
      <c r="E595" s="30">
        <f>'RESUMEN TOTAL'!F660</f>
        <v>0</v>
      </c>
      <c r="F595" s="70">
        <f>'RESUMEN TOTAL'!L660</f>
        <v>0</v>
      </c>
      <c r="G595" s="70">
        <f>'RESUMEN TOTAL'!M660</f>
        <v>0</v>
      </c>
      <c r="H595" s="70">
        <f>'RESUMEN TOTAL'!N660</f>
        <v>0</v>
      </c>
      <c r="I595" s="70">
        <f>'RESUMEN TOTAL'!O660</f>
        <v>0</v>
      </c>
      <c r="J595" s="70">
        <f>'RESUMEN TOTAL'!P660</f>
        <v>0</v>
      </c>
      <c r="K595" s="70">
        <f>'RESUMEN TOTAL'!Q660</f>
        <v>0</v>
      </c>
      <c r="L595" s="70">
        <f>'RESUMEN TOTAL'!R660</f>
        <v>0</v>
      </c>
      <c r="M595" s="70">
        <f>'RESUMEN TOTAL'!S660</f>
        <v>0</v>
      </c>
      <c r="N595" s="70">
        <f>'RESUMEN TOTAL'!T660</f>
        <v>0</v>
      </c>
      <c r="O595" s="70">
        <f>'RESUMEN TOTAL'!U660</f>
        <v>0</v>
      </c>
      <c r="P595" s="70">
        <f>'RESUMEN TOTAL'!V660</f>
        <v>0</v>
      </c>
      <c r="Q595" s="70">
        <f>'RESUMEN TOTAL'!W660</f>
        <v>0</v>
      </c>
      <c r="R595" s="70">
        <f>'RESUMEN TOTAL'!X660</f>
        <v>0</v>
      </c>
      <c r="S595" s="70">
        <f>'RESUMEN TOTAL'!Y660</f>
        <v>0</v>
      </c>
      <c r="T595" s="70">
        <f>'RESUMEN TOTAL'!Z660</f>
        <v>0</v>
      </c>
      <c r="U595" s="70">
        <f>'RESUMEN TOTAL'!AA660</f>
        <v>0</v>
      </c>
      <c r="V595" s="70">
        <f>'RESUMEN TOTAL'!AB660</f>
        <v>0</v>
      </c>
      <c r="W595" s="70">
        <f>'RESUMEN TOTAL'!AC660</f>
        <v>0</v>
      </c>
      <c r="X595" s="70">
        <f>'RESUMEN TOTAL'!AD660</f>
        <v>0</v>
      </c>
      <c r="Y595" s="70">
        <f>'RESUMEN TOTAL'!AE660</f>
        <v>0</v>
      </c>
      <c r="Z595" s="70">
        <f>'RESUMEN TOTAL'!AF660</f>
        <v>0</v>
      </c>
      <c r="AA595" s="70">
        <f>'RESUMEN TOTAL'!AG660</f>
        <v>0</v>
      </c>
      <c r="AB595" s="70">
        <f>'RESUMEN TOTAL'!AH660</f>
        <v>0</v>
      </c>
      <c r="AC595" s="70">
        <f>'RESUMEN TOTAL'!AI660</f>
        <v>0</v>
      </c>
      <c r="AD595" s="70">
        <f>'RESUMEN TOTAL'!AJ660</f>
        <v>0</v>
      </c>
      <c r="AE595" s="70">
        <f>'RESUMEN TOTAL'!AK660</f>
        <v>0</v>
      </c>
      <c r="AF595" s="70">
        <f>'RESUMEN TOTAL'!AL660</f>
        <v>0</v>
      </c>
      <c r="AG595" s="70">
        <f>'RESUMEN TOTAL'!AM660</f>
        <v>0</v>
      </c>
      <c r="AH595" s="70">
        <f>'RESUMEN TOTAL'!AN660</f>
        <v>0</v>
      </c>
      <c r="AI595" s="70">
        <f>'RESUMEN TOTAL'!AO660</f>
        <v>0</v>
      </c>
    </row>
    <row r="596" spans="1:35" x14ac:dyDescent="0.25">
      <c r="A596">
        <f>'RESUMEN TOTAL'!A661</f>
        <v>0</v>
      </c>
      <c r="B596">
        <f>'RESUMEN TOTAL'!B661</f>
        <v>0</v>
      </c>
      <c r="C596">
        <f>'RESUMEN TOTAL'!D661</f>
        <v>0</v>
      </c>
      <c r="D596" s="30">
        <f>'RESUMEN TOTAL'!E661</f>
        <v>0</v>
      </c>
      <c r="E596" s="30">
        <f>'RESUMEN TOTAL'!F661</f>
        <v>0</v>
      </c>
      <c r="F596" s="70">
        <f>'RESUMEN TOTAL'!L661</f>
        <v>0</v>
      </c>
      <c r="G596" s="70">
        <f>'RESUMEN TOTAL'!M661</f>
        <v>0</v>
      </c>
      <c r="H596" s="70">
        <f>'RESUMEN TOTAL'!N661</f>
        <v>0</v>
      </c>
      <c r="I596" s="70">
        <f>'RESUMEN TOTAL'!O661</f>
        <v>0</v>
      </c>
      <c r="J596" s="70">
        <f>'RESUMEN TOTAL'!P661</f>
        <v>0</v>
      </c>
      <c r="K596" s="70">
        <f>'RESUMEN TOTAL'!Q661</f>
        <v>0</v>
      </c>
      <c r="L596" s="70">
        <f>'RESUMEN TOTAL'!R661</f>
        <v>0</v>
      </c>
      <c r="M596" s="70">
        <f>'RESUMEN TOTAL'!S661</f>
        <v>0</v>
      </c>
      <c r="N596" s="70">
        <f>'RESUMEN TOTAL'!T661</f>
        <v>0</v>
      </c>
      <c r="O596" s="70">
        <f>'RESUMEN TOTAL'!U661</f>
        <v>0</v>
      </c>
      <c r="P596" s="70">
        <f>'RESUMEN TOTAL'!V661</f>
        <v>0</v>
      </c>
      <c r="Q596" s="70">
        <f>'RESUMEN TOTAL'!W661</f>
        <v>0</v>
      </c>
      <c r="R596" s="70">
        <f>'RESUMEN TOTAL'!X661</f>
        <v>0</v>
      </c>
      <c r="S596" s="70">
        <f>'RESUMEN TOTAL'!Y661</f>
        <v>0</v>
      </c>
      <c r="T596" s="70">
        <f>'RESUMEN TOTAL'!Z661</f>
        <v>0</v>
      </c>
      <c r="U596" s="70">
        <f>'RESUMEN TOTAL'!AA661</f>
        <v>0</v>
      </c>
      <c r="V596" s="70">
        <f>'RESUMEN TOTAL'!AB661</f>
        <v>0</v>
      </c>
      <c r="W596" s="70">
        <f>'RESUMEN TOTAL'!AC661</f>
        <v>0</v>
      </c>
      <c r="X596" s="70">
        <f>'RESUMEN TOTAL'!AD661</f>
        <v>0</v>
      </c>
      <c r="Y596" s="70">
        <f>'RESUMEN TOTAL'!AE661</f>
        <v>0</v>
      </c>
      <c r="Z596" s="70">
        <f>'RESUMEN TOTAL'!AF661</f>
        <v>0</v>
      </c>
      <c r="AA596" s="70">
        <f>'RESUMEN TOTAL'!AG661</f>
        <v>0</v>
      </c>
      <c r="AB596" s="70">
        <f>'RESUMEN TOTAL'!AH661</f>
        <v>0</v>
      </c>
      <c r="AC596" s="70">
        <f>'RESUMEN TOTAL'!AI661</f>
        <v>0</v>
      </c>
      <c r="AD596" s="70">
        <f>'RESUMEN TOTAL'!AJ661</f>
        <v>0</v>
      </c>
      <c r="AE596" s="70">
        <f>'RESUMEN TOTAL'!AK661</f>
        <v>0</v>
      </c>
      <c r="AF596" s="70">
        <f>'RESUMEN TOTAL'!AL661</f>
        <v>0</v>
      </c>
      <c r="AG596" s="70">
        <f>'RESUMEN TOTAL'!AM661</f>
        <v>0</v>
      </c>
      <c r="AH596" s="70">
        <f>'RESUMEN TOTAL'!AN661</f>
        <v>0</v>
      </c>
      <c r="AI596" s="70">
        <f>'RESUMEN TOTAL'!AO661</f>
        <v>0</v>
      </c>
    </row>
    <row r="597" spans="1:35" x14ac:dyDescent="0.25">
      <c r="A597">
        <f>'RESUMEN TOTAL'!A662</f>
        <v>0</v>
      </c>
      <c r="B597">
        <f>'RESUMEN TOTAL'!B662</f>
        <v>0</v>
      </c>
      <c r="C597">
        <f>'RESUMEN TOTAL'!D662</f>
        <v>0</v>
      </c>
      <c r="D597" s="30">
        <f>'RESUMEN TOTAL'!E662</f>
        <v>0</v>
      </c>
      <c r="E597" s="30">
        <f>'RESUMEN TOTAL'!F662</f>
        <v>0</v>
      </c>
      <c r="F597" s="70">
        <f>'RESUMEN TOTAL'!L662</f>
        <v>0</v>
      </c>
      <c r="G597" s="70">
        <f>'RESUMEN TOTAL'!M662</f>
        <v>0</v>
      </c>
      <c r="H597" s="70">
        <f>'RESUMEN TOTAL'!N662</f>
        <v>0</v>
      </c>
      <c r="I597" s="70">
        <f>'RESUMEN TOTAL'!O662</f>
        <v>0</v>
      </c>
      <c r="J597" s="70">
        <f>'RESUMEN TOTAL'!P662</f>
        <v>0</v>
      </c>
      <c r="K597" s="70">
        <f>'RESUMEN TOTAL'!Q662</f>
        <v>0</v>
      </c>
      <c r="L597" s="70">
        <f>'RESUMEN TOTAL'!R662</f>
        <v>0</v>
      </c>
      <c r="M597" s="70">
        <f>'RESUMEN TOTAL'!S662</f>
        <v>0</v>
      </c>
      <c r="N597" s="70">
        <f>'RESUMEN TOTAL'!T662</f>
        <v>0</v>
      </c>
      <c r="O597" s="70">
        <f>'RESUMEN TOTAL'!U662</f>
        <v>0</v>
      </c>
      <c r="P597" s="70">
        <f>'RESUMEN TOTAL'!V662</f>
        <v>0</v>
      </c>
      <c r="Q597" s="70">
        <f>'RESUMEN TOTAL'!W662</f>
        <v>0</v>
      </c>
      <c r="R597" s="70">
        <f>'RESUMEN TOTAL'!X662</f>
        <v>0</v>
      </c>
      <c r="S597" s="70">
        <f>'RESUMEN TOTAL'!Y662</f>
        <v>0</v>
      </c>
      <c r="T597" s="70">
        <f>'RESUMEN TOTAL'!Z662</f>
        <v>0</v>
      </c>
      <c r="U597" s="70">
        <f>'RESUMEN TOTAL'!AA662</f>
        <v>0</v>
      </c>
      <c r="V597" s="70">
        <f>'RESUMEN TOTAL'!AB662</f>
        <v>0</v>
      </c>
      <c r="W597" s="70">
        <f>'RESUMEN TOTAL'!AC662</f>
        <v>0</v>
      </c>
      <c r="X597" s="70">
        <f>'RESUMEN TOTAL'!AD662</f>
        <v>0</v>
      </c>
      <c r="Y597" s="70">
        <f>'RESUMEN TOTAL'!AE662</f>
        <v>0</v>
      </c>
      <c r="Z597" s="70">
        <f>'RESUMEN TOTAL'!AF662</f>
        <v>0</v>
      </c>
      <c r="AA597" s="70">
        <f>'RESUMEN TOTAL'!AG662</f>
        <v>0</v>
      </c>
      <c r="AB597" s="70">
        <f>'RESUMEN TOTAL'!AH662</f>
        <v>0</v>
      </c>
      <c r="AC597" s="70">
        <f>'RESUMEN TOTAL'!AI662</f>
        <v>0</v>
      </c>
      <c r="AD597" s="70">
        <f>'RESUMEN TOTAL'!AJ662</f>
        <v>0</v>
      </c>
      <c r="AE597" s="70">
        <f>'RESUMEN TOTAL'!AK662</f>
        <v>0</v>
      </c>
      <c r="AF597" s="70">
        <f>'RESUMEN TOTAL'!AL662</f>
        <v>0</v>
      </c>
      <c r="AG597" s="70">
        <f>'RESUMEN TOTAL'!AM662</f>
        <v>0</v>
      </c>
      <c r="AH597" s="70">
        <f>'RESUMEN TOTAL'!AN662</f>
        <v>0</v>
      </c>
      <c r="AI597" s="70">
        <f>'RESUMEN TOTAL'!AO662</f>
        <v>0</v>
      </c>
    </row>
    <row r="598" spans="1:35" x14ac:dyDescent="0.25">
      <c r="A598">
        <f>'RESUMEN TOTAL'!A663</f>
        <v>0</v>
      </c>
      <c r="B598">
        <f>'RESUMEN TOTAL'!B663</f>
        <v>0</v>
      </c>
      <c r="C598">
        <f>'RESUMEN TOTAL'!D663</f>
        <v>0</v>
      </c>
      <c r="D598" s="30">
        <f>'RESUMEN TOTAL'!E663</f>
        <v>0</v>
      </c>
      <c r="E598" s="30">
        <f>'RESUMEN TOTAL'!F663</f>
        <v>0</v>
      </c>
      <c r="F598" s="70">
        <f>'RESUMEN TOTAL'!L663</f>
        <v>0</v>
      </c>
      <c r="G598" s="70">
        <f>'RESUMEN TOTAL'!M663</f>
        <v>0</v>
      </c>
      <c r="H598" s="70">
        <f>'RESUMEN TOTAL'!N663</f>
        <v>0</v>
      </c>
      <c r="I598" s="70">
        <f>'RESUMEN TOTAL'!O663</f>
        <v>0</v>
      </c>
      <c r="J598" s="70">
        <f>'RESUMEN TOTAL'!P663</f>
        <v>0</v>
      </c>
      <c r="K598" s="70">
        <f>'RESUMEN TOTAL'!Q663</f>
        <v>0</v>
      </c>
      <c r="L598" s="70">
        <f>'RESUMEN TOTAL'!R663</f>
        <v>0</v>
      </c>
      <c r="M598" s="70">
        <f>'RESUMEN TOTAL'!S663</f>
        <v>0</v>
      </c>
      <c r="N598" s="70">
        <f>'RESUMEN TOTAL'!T663</f>
        <v>0</v>
      </c>
      <c r="O598" s="70">
        <f>'RESUMEN TOTAL'!U663</f>
        <v>0</v>
      </c>
      <c r="P598" s="70">
        <f>'RESUMEN TOTAL'!V663</f>
        <v>0</v>
      </c>
      <c r="Q598" s="70">
        <f>'RESUMEN TOTAL'!W663</f>
        <v>0</v>
      </c>
      <c r="R598" s="70">
        <f>'RESUMEN TOTAL'!X663</f>
        <v>0</v>
      </c>
      <c r="S598" s="70">
        <f>'RESUMEN TOTAL'!Y663</f>
        <v>0</v>
      </c>
      <c r="T598" s="70">
        <f>'RESUMEN TOTAL'!Z663</f>
        <v>0</v>
      </c>
      <c r="U598" s="70">
        <f>'RESUMEN TOTAL'!AA663</f>
        <v>0</v>
      </c>
      <c r="V598" s="70">
        <f>'RESUMEN TOTAL'!AB663</f>
        <v>0</v>
      </c>
      <c r="W598" s="70">
        <f>'RESUMEN TOTAL'!AC663</f>
        <v>0</v>
      </c>
      <c r="X598" s="70">
        <f>'RESUMEN TOTAL'!AD663</f>
        <v>0</v>
      </c>
      <c r="Y598" s="70">
        <f>'RESUMEN TOTAL'!AE663</f>
        <v>0</v>
      </c>
      <c r="Z598" s="70">
        <f>'RESUMEN TOTAL'!AF663</f>
        <v>0</v>
      </c>
      <c r="AA598" s="70">
        <f>'RESUMEN TOTAL'!AG663</f>
        <v>0</v>
      </c>
      <c r="AB598" s="70">
        <f>'RESUMEN TOTAL'!AH663</f>
        <v>0</v>
      </c>
      <c r="AC598" s="70">
        <f>'RESUMEN TOTAL'!AI663</f>
        <v>0</v>
      </c>
      <c r="AD598" s="70">
        <f>'RESUMEN TOTAL'!AJ663</f>
        <v>0</v>
      </c>
      <c r="AE598" s="70">
        <f>'RESUMEN TOTAL'!AK663</f>
        <v>0</v>
      </c>
      <c r="AF598" s="70">
        <f>'RESUMEN TOTAL'!AL663</f>
        <v>0</v>
      </c>
      <c r="AG598" s="70">
        <f>'RESUMEN TOTAL'!AM663</f>
        <v>0</v>
      </c>
      <c r="AH598" s="70">
        <f>'RESUMEN TOTAL'!AN663</f>
        <v>0</v>
      </c>
      <c r="AI598" s="70">
        <f>'RESUMEN TOTAL'!AO663</f>
        <v>0</v>
      </c>
    </row>
    <row r="599" spans="1:35" x14ac:dyDescent="0.25">
      <c r="A599">
        <f>'RESUMEN TOTAL'!A664</f>
        <v>0</v>
      </c>
      <c r="B599">
        <f>'RESUMEN TOTAL'!B664</f>
        <v>0</v>
      </c>
      <c r="C599">
        <f>'RESUMEN TOTAL'!D664</f>
        <v>0</v>
      </c>
      <c r="D599" s="30">
        <f>'RESUMEN TOTAL'!E664</f>
        <v>0</v>
      </c>
      <c r="E599" s="30">
        <f>'RESUMEN TOTAL'!F664</f>
        <v>0</v>
      </c>
      <c r="F599" s="70">
        <f>'RESUMEN TOTAL'!L664</f>
        <v>0</v>
      </c>
      <c r="G599" s="70">
        <f>'RESUMEN TOTAL'!M664</f>
        <v>0</v>
      </c>
      <c r="H599" s="70">
        <f>'RESUMEN TOTAL'!N664</f>
        <v>0</v>
      </c>
      <c r="I599" s="70">
        <f>'RESUMEN TOTAL'!O664</f>
        <v>0</v>
      </c>
      <c r="J599" s="70">
        <f>'RESUMEN TOTAL'!P664</f>
        <v>0</v>
      </c>
      <c r="K599" s="70">
        <f>'RESUMEN TOTAL'!Q664</f>
        <v>0</v>
      </c>
      <c r="L599" s="70">
        <f>'RESUMEN TOTAL'!R664</f>
        <v>0</v>
      </c>
      <c r="M599" s="70">
        <f>'RESUMEN TOTAL'!S664</f>
        <v>0</v>
      </c>
      <c r="N599" s="70">
        <f>'RESUMEN TOTAL'!T664</f>
        <v>0</v>
      </c>
      <c r="O599" s="70">
        <f>'RESUMEN TOTAL'!U664</f>
        <v>0</v>
      </c>
      <c r="P599" s="70">
        <f>'RESUMEN TOTAL'!V664</f>
        <v>0</v>
      </c>
      <c r="Q599" s="70">
        <f>'RESUMEN TOTAL'!W664</f>
        <v>0</v>
      </c>
      <c r="R599" s="70">
        <f>'RESUMEN TOTAL'!X664</f>
        <v>0</v>
      </c>
      <c r="S599" s="70">
        <f>'RESUMEN TOTAL'!Y664</f>
        <v>0</v>
      </c>
      <c r="T599" s="70">
        <f>'RESUMEN TOTAL'!Z664</f>
        <v>0</v>
      </c>
      <c r="U599" s="70">
        <f>'RESUMEN TOTAL'!AA664</f>
        <v>0</v>
      </c>
      <c r="V599" s="70">
        <f>'RESUMEN TOTAL'!AB664</f>
        <v>0</v>
      </c>
      <c r="W599" s="70">
        <f>'RESUMEN TOTAL'!AC664</f>
        <v>0</v>
      </c>
      <c r="X599" s="70">
        <f>'RESUMEN TOTAL'!AD664</f>
        <v>0</v>
      </c>
      <c r="Y599" s="70">
        <f>'RESUMEN TOTAL'!AE664</f>
        <v>0</v>
      </c>
      <c r="Z599" s="70">
        <f>'RESUMEN TOTAL'!AF664</f>
        <v>0</v>
      </c>
      <c r="AA599" s="70">
        <f>'RESUMEN TOTAL'!AG664</f>
        <v>0</v>
      </c>
      <c r="AB599" s="70">
        <f>'RESUMEN TOTAL'!AH664</f>
        <v>0</v>
      </c>
      <c r="AC599" s="70">
        <f>'RESUMEN TOTAL'!AI664</f>
        <v>0</v>
      </c>
      <c r="AD599" s="70">
        <f>'RESUMEN TOTAL'!AJ664</f>
        <v>0</v>
      </c>
      <c r="AE599" s="70">
        <f>'RESUMEN TOTAL'!AK664</f>
        <v>0</v>
      </c>
      <c r="AF599" s="70">
        <f>'RESUMEN TOTAL'!AL664</f>
        <v>0</v>
      </c>
      <c r="AG599" s="70">
        <f>'RESUMEN TOTAL'!AM664</f>
        <v>0</v>
      </c>
      <c r="AH599" s="70">
        <f>'RESUMEN TOTAL'!AN664</f>
        <v>0</v>
      </c>
      <c r="AI599" s="70">
        <f>'RESUMEN TOTAL'!AO664</f>
        <v>0</v>
      </c>
    </row>
    <row r="600" spans="1:35" x14ac:dyDescent="0.25">
      <c r="A600">
        <f>'RESUMEN TOTAL'!A665</f>
        <v>0</v>
      </c>
      <c r="B600">
        <f>'RESUMEN TOTAL'!B665</f>
        <v>0</v>
      </c>
      <c r="C600">
        <f>'RESUMEN TOTAL'!D665</f>
        <v>0</v>
      </c>
      <c r="D600" s="30">
        <f>'RESUMEN TOTAL'!E665</f>
        <v>0</v>
      </c>
      <c r="E600" s="30">
        <f>'RESUMEN TOTAL'!F665</f>
        <v>0</v>
      </c>
      <c r="F600" s="70">
        <f>'RESUMEN TOTAL'!L665</f>
        <v>0</v>
      </c>
      <c r="G600" s="70">
        <f>'RESUMEN TOTAL'!M665</f>
        <v>0</v>
      </c>
      <c r="H600" s="70">
        <f>'RESUMEN TOTAL'!N665</f>
        <v>0</v>
      </c>
      <c r="I600" s="70">
        <f>'RESUMEN TOTAL'!O665</f>
        <v>0</v>
      </c>
      <c r="J600" s="70">
        <f>'RESUMEN TOTAL'!P665</f>
        <v>0</v>
      </c>
      <c r="K600" s="70">
        <f>'RESUMEN TOTAL'!Q665</f>
        <v>0</v>
      </c>
      <c r="L600" s="70">
        <f>'RESUMEN TOTAL'!R665</f>
        <v>0</v>
      </c>
      <c r="M600" s="70">
        <f>'RESUMEN TOTAL'!S665</f>
        <v>0</v>
      </c>
      <c r="N600" s="70">
        <f>'RESUMEN TOTAL'!T665</f>
        <v>0</v>
      </c>
      <c r="O600" s="70">
        <f>'RESUMEN TOTAL'!U665</f>
        <v>0</v>
      </c>
      <c r="P600" s="70">
        <f>'RESUMEN TOTAL'!V665</f>
        <v>0</v>
      </c>
      <c r="Q600" s="70">
        <f>'RESUMEN TOTAL'!W665</f>
        <v>0</v>
      </c>
      <c r="R600" s="70">
        <f>'RESUMEN TOTAL'!X665</f>
        <v>0</v>
      </c>
      <c r="S600" s="70">
        <f>'RESUMEN TOTAL'!Y665</f>
        <v>0</v>
      </c>
      <c r="T600" s="70">
        <f>'RESUMEN TOTAL'!Z665</f>
        <v>0</v>
      </c>
      <c r="U600" s="70">
        <f>'RESUMEN TOTAL'!AA665</f>
        <v>0</v>
      </c>
      <c r="V600" s="70">
        <f>'RESUMEN TOTAL'!AB665</f>
        <v>0</v>
      </c>
      <c r="W600" s="70">
        <f>'RESUMEN TOTAL'!AC665</f>
        <v>0</v>
      </c>
      <c r="X600" s="70">
        <f>'RESUMEN TOTAL'!AD665</f>
        <v>0</v>
      </c>
      <c r="Y600" s="70">
        <f>'RESUMEN TOTAL'!AE665</f>
        <v>0</v>
      </c>
      <c r="Z600" s="70">
        <f>'RESUMEN TOTAL'!AF665</f>
        <v>0</v>
      </c>
      <c r="AA600" s="70">
        <f>'RESUMEN TOTAL'!AG665</f>
        <v>0</v>
      </c>
      <c r="AB600" s="70">
        <f>'RESUMEN TOTAL'!AH665</f>
        <v>0</v>
      </c>
      <c r="AC600" s="70">
        <f>'RESUMEN TOTAL'!AI665</f>
        <v>0</v>
      </c>
      <c r="AD600" s="70">
        <f>'RESUMEN TOTAL'!AJ665</f>
        <v>0</v>
      </c>
      <c r="AE600" s="70">
        <f>'RESUMEN TOTAL'!AK665</f>
        <v>0</v>
      </c>
      <c r="AF600" s="70">
        <f>'RESUMEN TOTAL'!AL665</f>
        <v>0</v>
      </c>
      <c r="AG600" s="70">
        <f>'RESUMEN TOTAL'!AM665</f>
        <v>0</v>
      </c>
      <c r="AH600" s="70">
        <f>'RESUMEN TOTAL'!AN665</f>
        <v>0</v>
      </c>
      <c r="AI600" s="70">
        <f>'RESUMEN TOTAL'!AO665</f>
        <v>0</v>
      </c>
    </row>
    <row r="601" spans="1:35" x14ac:dyDescent="0.25">
      <c r="A601">
        <f>'RESUMEN TOTAL'!A666</f>
        <v>0</v>
      </c>
      <c r="B601">
        <f>'RESUMEN TOTAL'!B666</f>
        <v>0</v>
      </c>
      <c r="C601">
        <f>'RESUMEN TOTAL'!D666</f>
        <v>0</v>
      </c>
      <c r="D601" s="30">
        <f>'RESUMEN TOTAL'!E666</f>
        <v>0</v>
      </c>
      <c r="E601" s="30">
        <f>'RESUMEN TOTAL'!F666</f>
        <v>0</v>
      </c>
      <c r="F601" s="70">
        <f>'RESUMEN TOTAL'!L666</f>
        <v>0</v>
      </c>
      <c r="G601" s="70">
        <f>'RESUMEN TOTAL'!M666</f>
        <v>0</v>
      </c>
      <c r="H601" s="70">
        <f>'RESUMEN TOTAL'!N666</f>
        <v>0</v>
      </c>
      <c r="I601" s="70">
        <f>'RESUMEN TOTAL'!O666</f>
        <v>0</v>
      </c>
      <c r="J601" s="70">
        <f>'RESUMEN TOTAL'!P666</f>
        <v>0</v>
      </c>
      <c r="K601" s="70">
        <f>'RESUMEN TOTAL'!Q666</f>
        <v>0</v>
      </c>
      <c r="L601" s="70">
        <f>'RESUMEN TOTAL'!R666</f>
        <v>0</v>
      </c>
      <c r="M601" s="70">
        <f>'RESUMEN TOTAL'!S666</f>
        <v>0</v>
      </c>
      <c r="N601" s="70">
        <f>'RESUMEN TOTAL'!T666</f>
        <v>0</v>
      </c>
      <c r="O601" s="70">
        <f>'RESUMEN TOTAL'!U666</f>
        <v>0</v>
      </c>
      <c r="P601" s="70">
        <f>'RESUMEN TOTAL'!V666</f>
        <v>0</v>
      </c>
      <c r="Q601" s="70">
        <f>'RESUMEN TOTAL'!W666</f>
        <v>0</v>
      </c>
      <c r="R601" s="70">
        <f>'RESUMEN TOTAL'!X666</f>
        <v>0</v>
      </c>
      <c r="S601" s="70">
        <f>'RESUMEN TOTAL'!Y666</f>
        <v>0</v>
      </c>
      <c r="T601" s="70">
        <f>'RESUMEN TOTAL'!Z666</f>
        <v>0</v>
      </c>
      <c r="U601" s="70">
        <f>'RESUMEN TOTAL'!AA666</f>
        <v>0</v>
      </c>
      <c r="V601" s="70">
        <f>'RESUMEN TOTAL'!AB666</f>
        <v>0</v>
      </c>
      <c r="W601" s="70">
        <f>'RESUMEN TOTAL'!AC666</f>
        <v>0</v>
      </c>
      <c r="X601" s="70">
        <f>'RESUMEN TOTAL'!AD666</f>
        <v>0</v>
      </c>
      <c r="Y601" s="70">
        <f>'RESUMEN TOTAL'!AE666</f>
        <v>0</v>
      </c>
      <c r="Z601" s="70">
        <f>'RESUMEN TOTAL'!AF666</f>
        <v>0</v>
      </c>
      <c r="AA601" s="70">
        <f>'RESUMEN TOTAL'!AG666</f>
        <v>0</v>
      </c>
      <c r="AB601" s="70">
        <f>'RESUMEN TOTAL'!AH666</f>
        <v>0</v>
      </c>
      <c r="AC601" s="70">
        <f>'RESUMEN TOTAL'!AI666</f>
        <v>0</v>
      </c>
      <c r="AD601" s="70">
        <f>'RESUMEN TOTAL'!AJ666</f>
        <v>0</v>
      </c>
      <c r="AE601" s="70">
        <f>'RESUMEN TOTAL'!AK666</f>
        <v>0</v>
      </c>
      <c r="AF601" s="70">
        <f>'RESUMEN TOTAL'!AL666</f>
        <v>0</v>
      </c>
      <c r="AG601" s="70">
        <f>'RESUMEN TOTAL'!AM666</f>
        <v>0</v>
      </c>
      <c r="AH601" s="70">
        <f>'RESUMEN TOTAL'!AN666</f>
        <v>0</v>
      </c>
      <c r="AI601" s="70">
        <f>'RESUMEN TOTAL'!AO666</f>
        <v>0</v>
      </c>
    </row>
    <row r="602" spans="1:35" x14ac:dyDescent="0.25">
      <c r="A602">
        <f>'RESUMEN TOTAL'!A667</f>
        <v>0</v>
      </c>
      <c r="B602">
        <f>'RESUMEN TOTAL'!B667</f>
        <v>0</v>
      </c>
      <c r="C602">
        <f>'RESUMEN TOTAL'!D667</f>
        <v>0</v>
      </c>
      <c r="D602" s="30">
        <f>'RESUMEN TOTAL'!E667</f>
        <v>0</v>
      </c>
      <c r="E602" s="30">
        <f>'RESUMEN TOTAL'!F667</f>
        <v>0</v>
      </c>
      <c r="F602" s="70">
        <f>'RESUMEN TOTAL'!L667</f>
        <v>0</v>
      </c>
      <c r="G602" s="70">
        <f>'RESUMEN TOTAL'!M667</f>
        <v>0</v>
      </c>
      <c r="H602" s="70">
        <f>'RESUMEN TOTAL'!N667</f>
        <v>0</v>
      </c>
      <c r="I602" s="70">
        <f>'RESUMEN TOTAL'!O667</f>
        <v>0</v>
      </c>
      <c r="J602" s="70">
        <f>'RESUMEN TOTAL'!P667</f>
        <v>0</v>
      </c>
      <c r="K602" s="70">
        <f>'RESUMEN TOTAL'!Q667</f>
        <v>0</v>
      </c>
      <c r="L602" s="70">
        <f>'RESUMEN TOTAL'!R667</f>
        <v>0</v>
      </c>
      <c r="M602" s="70">
        <f>'RESUMEN TOTAL'!S667</f>
        <v>0</v>
      </c>
      <c r="N602" s="70">
        <f>'RESUMEN TOTAL'!T667</f>
        <v>0</v>
      </c>
      <c r="O602" s="70">
        <f>'RESUMEN TOTAL'!U667</f>
        <v>0</v>
      </c>
      <c r="P602" s="70">
        <f>'RESUMEN TOTAL'!V667</f>
        <v>0</v>
      </c>
      <c r="Q602" s="70">
        <f>'RESUMEN TOTAL'!W667</f>
        <v>0</v>
      </c>
      <c r="R602" s="70">
        <f>'RESUMEN TOTAL'!X667</f>
        <v>0</v>
      </c>
      <c r="S602" s="70">
        <f>'RESUMEN TOTAL'!Y667</f>
        <v>0</v>
      </c>
      <c r="T602" s="70">
        <f>'RESUMEN TOTAL'!Z667</f>
        <v>0</v>
      </c>
      <c r="U602" s="70">
        <f>'RESUMEN TOTAL'!AA667</f>
        <v>0</v>
      </c>
      <c r="V602" s="70">
        <f>'RESUMEN TOTAL'!AB667</f>
        <v>0</v>
      </c>
      <c r="W602" s="70">
        <f>'RESUMEN TOTAL'!AC667</f>
        <v>0</v>
      </c>
      <c r="X602" s="70">
        <f>'RESUMEN TOTAL'!AD667</f>
        <v>0</v>
      </c>
      <c r="Y602" s="70">
        <f>'RESUMEN TOTAL'!AE667</f>
        <v>0</v>
      </c>
      <c r="Z602" s="70">
        <f>'RESUMEN TOTAL'!AF667</f>
        <v>0</v>
      </c>
      <c r="AA602" s="70">
        <f>'RESUMEN TOTAL'!AG667</f>
        <v>0</v>
      </c>
      <c r="AB602" s="70">
        <f>'RESUMEN TOTAL'!AH667</f>
        <v>0</v>
      </c>
      <c r="AC602" s="70">
        <f>'RESUMEN TOTAL'!AI667</f>
        <v>0</v>
      </c>
      <c r="AD602" s="70">
        <f>'RESUMEN TOTAL'!AJ667</f>
        <v>0</v>
      </c>
      <c r="AE602" s="70">
        <f>'RESUMEN TOTAL'!AK667</f>
        <v>0</v>
      </c>
      <c r="AF602" s="70">
        <f>'RESUMEN TOTAL'!AL667</f>
        <v>0</v>
      </c>
      <c r="AG602" s="70">
        <f>'RESUMEN TOTAL'!AM667</f>
        <v>0</v>
      </c>
      <c r="AH602" s="70">
        <f>'RESUMEN TOTAL'!AN667</f>
        <v>0</v>
      </c>
      <c r="AI602" s="70">
        <f>'RESUMEN TOTAL'!AO667</f>
        <v>0</v>
      </c>
    </row>
    <row r="603" spans="1:35" x14ac:dyDescent="0.25">
      <c r="A603">
        <f>'RESUMEN TOTAL'!A668</f>
        <v>0</v>
      </c>
      <c r="B603">
        <f>'RESUMEN TOTAL'!B668</f>
        <v>0</v>
      </c>
      <c r="C603">
        <f>'RESUMEN TOTAL'!D668</f>
        <v>0</v>
      </c>
      <c r="D603" s="30">
        <f>'RESUMEN TOTAL'!E668</f>
        <v>0</v>
      </c>
      <c r="E603" s="30">
        <f>'RESUMEN TOTAL'!F668</f>
        <v>0</v>
      </c>
      <c r="F603" s="70">
        <f>'RESUMEN TOTAL'!L668</f>
        <v>0</v>
      </c>
      <c r="G603" s="70">
        <f>'RESUMEN TOTAL'!M668</f>
        <v>0</v>
      </c>
      <c r="H603" s="70">
        <f>'RESUMEN TOTAL'!N668</f>
        <v>0</v>
      </c>
      <c r="I603" s="70">
        <f>'RESUMEN TOTAL'!O668</f>
        <v>0</v>
      </c>
      <c r="J603" s="70">
        <f>'RESUMEN TOTAL'!P668</f>
        <v>0</v>
      </c>
      <c r="K603" s="70">
        <f>'RESUMEN TOTAL'!Q668</f>
        <v>0</v>
      </c>
      <c r="L603" s="70">
        <f>'RESUMEN TOTAL'!R668</f>
        <v>0</v>
      </c>
      <c r="M603" s="70">
        <f>'RESUMEN TOTAL'!S668</f>
        <v>0</v>
      </c>
      <c r="N603" s="70">
        <f>'RESUMEN TOTAL'!T668</f>
        <v>0</v>
      </c>
      <c r="O603" s="70">
        <f>'RESUMEN TOTAL'!U668</f>
        <v>0</v>
      </c>
      <c r="P603" s="70">
        <f>'RESUMEN TOTAL'!V668</f>
        <v>0</v>
      </c>
      <c r="Q603" s="70">
        <f>'RESUMEN TOTAL'!W668</f>
        <v>0</v>
      </c>
      <c r="R603" s="70">
        <f>'RESUMEN TOTAL'!X668</f>
        <v>0</v>
      </c>
      <c r="S603" s="70">
        <f>'RESUMEN TOTAL'!Y668</f>
        <v>0</v>
      </c>
      <c r="T603" s="70">
        <f>'RESUMEN TOTAL'!Z668</f>
        <v>0</v>
      </c>
      <c r="U603" s="70">
        <f>'RESUMEN TOTAL'!AA668</f>
        <v>0</v>
      </c>
      <c r="V603" s="70">
        <f>'RESUMEN TOTAL'!AB668</f>
        <v>0</v>
      </c>
      <c r="W603" s="70">
        <f>'RESUMEN TOTAL'!AC668</f>
        <v>0</v>
      </c>
      <c r="X603" s="70">
        <f>'RESUMEN TOTAL'!AD668</f>
        <v>0</v>
      </c>
      <c r="Y603" s="70">
        <f>'RESUMEN TOTAL'!AE668</f>
        <v>0</v>
      </c>
      <c r="Z603" s="70">
        <f>'RESUMEN TOTAL'!AF668</f>
        <v>0</v>
      </c>
      <c r="AA603" s="70">
        <f>'RESUMEN TOTAL'!AG668</f>
        <v>0</v>
      </c>
      <c r="AB603" s="70">
        <f>'RESUMEN TOTAL'!AH668</f>
        <v>0</v>
      </c>
      <c r="AC603" s="70">
        <f>'RESUMEN TOTAL'!AI668</f>
        <v>0</v>
      </c>
      <c r="AD603" s="70">
        <f>'RESUMEN TOTAL'!AJ668</f>
        <v>0</v>
      </c>
      <c r="AE603" s="70">
        <f>'RESUMEN TOTAL'!AK668</f>
        <v>0</v>
      </c>
      <c r="AF603" s="70">
        <f>'RESUMEN TOTAL'!AL668</f>
        <v>0</v>
      </c>
      <c r="AG603" s="70">
        <f>'RESUMEN TOTAL'!AM668</f>
        <v>0</v>
      </c>
      <c r="AH603" s="70">
        <f>'RESUMEN TOTAL'!AN668</f>
        <v>0</v>
      </c>
      <c r="AI603" s="70">
        <f>'RESUMEN TOTAL'!AO668</f>
        <v>0</v>
      </c>
    </row>
    <row r="604" spans="1:35" x14ac:dyDescent="0.25">
      <c r="A604">
        <f>'RESUMEN TOTAL'!A669</f>
        <v>0</v>
      </c>
      <c r="B604">
        <f>'RESUMEN TOTAL'!B669</f>
        <v>0</v>
      </c>
      <c r="C604">
        <f>'RESUMEN TOTAL'!D669</f>
        <v>0</v>
      </c>
      <c r="D604" s="30">
        <f>'RESUMEN TOTAL'!E669</f>
        <v>0</v>
      </c>
      <c r="E604" s="30">
        <f>'RESUMEN TOTAL'!F669</f>
        <v>0</v>
      </c>
      <c r="F604" s="70">
        <f>'RESUMEN TOTAL'!L669</f>
        <v>0</v>
      </c>
      <c r="G604" s="70">
        <f>'RESUMEN TOTAL'!M669</f>
        <v>0</v>
      </c>
      <c r="H604" s="70">
        <f>'RESUMEN TOTAL'!N669</f>
        <v>0</v>
      </c>
      <c r="I604" s="70">
        <f>'RESUMEN TOTAL'!O669</f>
        <v>0</v>
      </c>
      <c r="J604" s="70">
        <f>'RESUMEN TOTAL'!P669</f>
        <v>0</v>
      </c>
      <c r="K604" s="70">
        <f>'RESUMEN TOTAL'!Q669</f>
        <v>0</v>
      </c>
      <c r="L604" s="70">
        <f>'RESUMEN TOTAL'!R669</f>
        <v>0</v>
      </c>
      <c r="M604" s="70">
        <f>'RESUMEN TOTAL'!S669</f>
        <v>0</v>
      </c>
      <c r="N604" s="70">
        <f>'RESUMEN TOTAL'!T669</f>
        <v>0</v>
      </c>
      <c r="O604" s="70">
        <f>'RESUMEN TOTAL'!U669</f>
        <v>0</v>
      </c>
      <c r="P604" s="70">
        <f>'RESUMEN TOTAL'!V669</f>
        <v>0</v>
      </c>
      <c r="Q604" s="70">
        <f>'RESUMEN TOTAL'!W669</f>
        <v>0</v>
      </c>
      <c r="R604" s="70">
        <f>'RESUMEN TOTAL'!X669</f>
        <v>0</v>
      </c>
      <c r="S604" s="70">
        <f>'RESUMEN TOTAL'!Y669</f>
        <v>0</v>
      </c>
      <c r="T604" s="70">
        <f>'RESUMEN TOTAL'!Z669</f>
        <v>0</v>
      </c>
      <c r="U604" s="70">
        <f>'RESUMEN TOTAL'!AA669</f>
        <v>0</v>
      </c>
      <c r="V604" s="70">
        <f>'RESUMEN TOTAL'!AB669</f>
        <v>0</v>
      </c>
      <c r="W604" s="70">
        <f>'RESUMEN TOTAL'!AC669</f>
        <v>0</v>
      </c>
      <c r="X604" s="70">
        <f>'RESUMEN TOTAL'!AD669</f>
        <v>0</v>
      </c>
      <c r="Y604" s="70">
        <f>'RESUMEN TOTAL'!AE669</f>
        <v>0</v>
      </c>
      <c r="Z604" s="70">
        <f>'RESUMEN TOTAL'!AF669</f>
        <v>0</v>
      </c>
      <c r="AA604" s="70">
        <f>'RESUMEN TOTAL'!AG669</f>
        <v>0</v>
      </c>
      <c r="AB604" s="70">
        <f>'RESUMEN TOTAL'!AH669</f>
        <v>0</v>
      </c>
      <c r="AC604" s="70">
        <f>'RESUMEN TOTAL'!AI669</f>
        <v>0</v>
      </c>
      <c r="AD604" s="70">
        <f>'RESUMEN TOTAL'!AJ669</f>
        <v>0</v>
      </c>
      <c r="AE604" s="70">
        <f>'RESUMEN TOTAL'!AK669</f>
        <v>0</v>
      </c>
      <c r="AF604" s="70">
        <f>'RESUMEN TOTAL'!AL669</f>
        <v>0</v>
      </c>
      <c r="AG604" s="70">
        <f>'RESUMEN TOTAL'!AM669</f>
        <v>0</v>
      </c>
      <c r="AH604" s="70">
        <f>'RESUMEN TOTAL'!AN669</f>
        <v>0</v>
      </c>
      <c r="AI604" s="70">
        <f>'RESUMEN TOTAL'!AO669</f>
        <v>0</v>
      </c>
    </row>
    <row r="605" spans="1:35" x14ac:dyDescent="0.25">
      <c r="A605">
        <f>'RESUMEN TOTAL'!A670</f>
        <v>0</v>
      </c>
      <c r="B605">
        <f>'RESUMEN TOTAL'!B670</f>
        <v>0</v>
      </c>
      <c r="C605">
        <f>'RESUMEN TOTAL'!D670</f>
        <v>0</v>
      </c>
      <c r="D605" s="30">
        <f>'RESUMEN TOTAL'!E670</f>
        <v>0</v>
      </c>
      <c r="E605" s="30">
        <f>'RESUMEN TOTAL'!F670</f>
        <v>0</v>
      </c>
      <c r="F605" s="70">
        <f>'RESUMEN TOTAL'!L670</f>
        <v>0</v>
      </c>
      <c r="G605" s="70">
        <f>'RESUMEN TOTAL'!M670</f>
        <v>0</v>
      </c>
      <c r="H605" s="70">
        <f>'RESUMEN TOTAL'!N670</f>
        <v>0</v>
      </c>
      <c r="I605" s="70">
        <f>'RESUMEN TOTAL'!O670</f>
        <v>0</v>
      </c>
      <c r="J605" s="70">
        <f>'RESUMEN TOTAL'!P670</f>
        <v>0</v>
      </c>
      <c r="K605" s="70">
        <f>'RESUMEN TOTAL'!Q670</f>
        <v>0</v>
      </c>
      <c r="L605" s="70">
        <f>'RESUMEN TOTAL'!R670</f>
        <v>0</v>
      </c>
      <c r="M605" s="70">
        <f>'RESUMEN TOTAL'!S670</f>
        <v>0</v>
      </c>
      <c r="N605" s="70">
        <f>'RESUMEN TOTAL'!T670</f>
        <v>0</v>
      </c>
      <c r="O605" s="70">
        <f>'RESUMEN TOTAL'!U670</f>
        <v>0</v>
      </c>
      <c r="P605" s="70">
        <f>'RESUMEN TOTAL'!V670</f>
        <v>0</v>
      </c>
      <c r="Q605" s="70">
        <f>'RESUMEN TOTAL'!W670</f>
        <v>0</v>
      </c>
      <c r="R605" s="70">
        <f>'RESUMEN TOTAL'!X670</f>
        <v>0</v>
      </c>
      <c r="S605" s="70">
        <f>'RESUMEN TOTAL'!Y670</f>
        <v>0</v>
      </c>
      <c r="T605" s="70">
        <f>'RESUMEN TOTAL'!Z670</f>
        <v>0</v>
      </c>
      <c r="U605" s="70">
        <f>'RESUMEN TOTAL'!AA670</f>
        <v>0</v>
      </c>
      <c r="V605" s="70">
        <f>'RESUMEN TOTAL'!AB670</f>
        <v>0</v>
      </c>
      <c r="W605" s="70">
        <f>'RESUMEN TOTAL'!AC670</f>
        <v>0</v>
      </c>
      <c r="X605" s="70">
        <f>'RESUMEN TOTAL'!AD670</f>
        <v>0</v>
      </c>
      <c r="Y605" s="70">
        <f>'RESUMEN TOTAL'!AE670</f>
        <v>0</v>
      </c>
      <c r="Z605" s="70">
        <f>'RESUMEN TOTAL'!AF670</f>
        <v>0</v>
      </c>
      <c r="AA605" s="70">
        <f>'RESUMEN TOTAL'!AG670</f>
        <v>0</v>
      </c>
      <c r="AB605" s="70">
        <f>'RESUMEN TOTAL'!AH670</f>
        <v>0</v>
      </c>
      <c r="AC605" s="70">
        <f>'RESUMEN TOTAL'!AI670</f>
        <v>0</v>
      </c>
      <c r="AD605" s="70">
        <f>'RESUMEN TOTAL'!AJ670</f>
        <v>0</v>
      </c>
      <c r="AE605" s="70">
        <f>'RESUMEN TOTAL'!AK670</f>
        <v>0</v>
      </c>
      <c r="AF605" s="70">
        <f>'RESUMEN TOTAL'!AL670</f>
        <v>0</v>
      </c>
      <c r="AG605" s="70">
        <f>'RESUMEN TOTAL'!AM670</f>
        <v>0</v>
      </c>
      <c r="AH605" s="70">
        <f>'RESUMEN TOTAL'!AN670</f>
        <v>0</v>
      </c>
      <c r="AI605" s="70">
        <f>'RESUMEN TOTAL'!AO670</f>
        <v>0</v>
      </c>
    </row>
    <row r="606" spans="1:35" x14ac:dyDescent="0.25">
      <c r="A606">
        <f>'RESUMEN TOTAL'!A671</f>
        <v>0</v>
      </c>
      <c r="B606">
        <f>'RESUMEN TOTAL'!B671</f>
        <v>0</v>
      </c>
      <c r="C606">
        <f>'RESUMEN TOTAL'!D671</f>
        <v>0</v>
      </c>
      <c r="D606" s="30">
        <f>'RESUMEN TOTAL'!E671</f>
        <v>0</v>
      </c>
      <c r="E606" s="30">
        <f>'RESUMEN TOTAL'!F671</f>
        <v>0</v>
      </c>
      <c r="F606" s="70">
        <f>'RESUMEN TOTAL'!L671</f>
        <v>0</v>
      </c>
      <c r="G606" s="70">
        <f>'RESUMEN TOTAL'!M671</f>
        <v>0</v>
      </c>
      <c r="H606" s="70">
        <f>'RESUMEN TOTAL'!N671</f>
        <v>0</v>
      </c>
      <c r="I606" s="70">
        <f>'RESUMEN TOTAL'!O671</f>
        <v>0</v>
      </c>
      <c r="J606" s="70">
        <f>'RESUMEN TOTAL'!P671</f>
        <v>0</v>
      </c>
      <c r="K606" s="70">
        <f>'RESUMEN TOTAL'!Q671</f>
        <v>0</v>
      </c>
      <c r="L606" s="70">
        <f>'RESUMEN TOTAL'!R671</f>
        <v>0</v>
      </c>
      <c r="M606" s="70">
        <f>'RESUMEN TOTAL'!S671</f>
        <v>0</v>
      </c>
      <c r="N606" s="70">
        <f>'RESUMEN TOTAL'!T671</f>
        <v>0</v>
      </c>
      <c r="O606" s="70">
        <f>'RESUMEN TOTAL'!U671</f>
        <v>0</v>
      </c>
      <c r="P606" s="70">
        <f>'RESUMEN TOTAL'!V671</f>
        <v>0</v>
      </c>
      <c r="Q606" s="70">
        <f>'RESUMEN TOTAL'!W671</f>
        <v>0</v>
      </c>
      <c r="R606" s="70">
        <f>'RESUMEN TOTAL'!X671</f>
        <v>0</v>
      </c>
      <c r="S606" s="70">
        <f>'RESUMEN TOTAL'!Y671</f>
        <v>0</v>
      </c>
      <c r="T606" s="70">
        <f>'RESUMEN TOTAL'!Z671</f>
        <v>0</v>
      </c>
      <c r="U606" s="70">
        <f>'RESUMEN TOTAL'!AA671</f>
        <v>0</v>
      </c>
      <c r="V606" s="70">
        <f>'RESUMEN TOTAL'!AB671</f>
        <v>0</v>
      </c>
      <c r="W606" s="70">
        <f>'RESUMEN TOTAL'!AC671</f>
        <v>0</v>
      </c>
      <c r="X606" s="70">
        <f>'RESUMEN TOTAL'!AD671</f>
        <v>0</v>
      </c>
      <c r="Y606" s="70">
        <f>'RESUMEN TOTAL'!AE671</f>
        <v>0</v>
      </c>
      <c r="Z606" s="70">
        <f>'RESUMEN TOTAL'!AF671</f>
        <v>0</v>
      </c>
      <c r="AA606" s="70">
        <f>'RESUMEN TOTAL'!AG671</f>
        <v>0</v>
      </c>
      <c r="AB606" s="70">
        <f>'RESUMEN TOTAL'!AH671</f>
        <v>0</v>
      </c>
      <c r="AC606" s="70">
        <f>'RESUMEN TOTAL'!AI671</f>
        <v>0</v>
      </c>
      <c r="AD606" s="70">
        <f>'RESUMEN TOTAL'!AJ671</f>
        <v>0</v>
      </c>
      <c r="AE606" s="70">
        <f>'RESUMEN TOTAL'!AK671</f>
        <v>0</v>
      </c>
      <c r="AF606" s="70">
        <f>'RESUMEN TOTAL'!AL671</f>
        <v>0</v>
      </c>
      <c r="AG606" s="70">
        <f>'RESUMEN TOTAL'!AM671</f>
        <v>0</v>
      </c>
      <c r="AH606" s="70">
        <f>'RESUMEN TOTAL'!AN671</f>
        <v>0</v>
      </c>
      <c r="AI606" s="70">
        <f>'RESUMEN TOTAL'!AO671</f>
        <v>0</v>
      </c>
    </row>
    <row r="607" spans="1:35" x14ac:dyDescent="0.25">
      <c r="A607">
        <f>'RESUMEN TOTAL'!A672</f>
        <v>0</v>
      </c>
      <c r="B607">
        <f>'RESUMEN TOTAL'!B672</f>
        <v>0</v>
      </c>
      <c r="C607">
        <f>'RESUMEN TOTAL'!D672</f>
        <v>0</v>
      </c>
      <c r="D607" s="30">
        <f>'RESUMEN TOTAL'!E672</f>
        <v>0</v>
      </c>
      <c r="E607" s="30">
        <f>'RESUMEN TOTAL'!F672</f>
        <v>0</v>
      </c>
      <c r="F607" s="70">
        <f>'RESUMEN TOTAL'!L672</f>
        <v>0</v>
      </c>
      <c r="G607" s="70">
        <f>'RESUMEN TOTAL'!M672</f>
        <v>0</v>
      </c>
      <c r="H607" s="70">
        <f>'RESUMEN TOTAL'!N672</f>
        <v>0</v>
      </c>
      <c r="I607" s="70">
        <f>'RESUMEN TOTAL'!O672</f>
        <v>0</v>
      </c>
      <c r="J607" s="70">
        <f>'RESUMEN TOTAL'!P672</f>
        <v>0</v>
      </c>
      <c r="K607" s="70">
        <f>'RESUMEN TOTAL'!Q672</f>
        <v>0</v>
      </c>
      <c r="L607" s="70">
        <f>'RESUMEN TOTAL'!R672</f>
        <v>0</v>
      </c>
      <c r="M607" s="70">
        <f>'RESUMEN TOTAL'!S672</f>
        <v>0</v>
      </c>
      <c r="N607" s="70">
        <f>'RESUMEN TOTAL'!T672</f>
        <v>0</v>
      </c>
      <c r="O607" s="70">
        <f>'RESUMEN TOTAL'!U672</f>
        <v>0</v>
      </c>
      <c r="P607" s="70">
        <f>'RESUMEN TOTAL'!V672</f>
        <v>0</v>
      </c>
      <c r="Q607" s="70">
        <f>'RESUMEN TOTAL'!W672</f>
        <v>0</v>
      </c>
      <c r="R607" s="70">
        <f>'RESUMEN TOTAL'!X672</f>
        <v>0</v>
      </c>
      <c r="S607" s="70">
        <f>'RESUMEN TOTAL'!Y672</f>
        <v>0</v>
      </c>
      <c r="T607" s="70">
        <f>'RESUMEN TOTAL'!Z672</f>
        <v>0</v>
      </c>
      <c r="U607" s="70">
        <f>'RESUMEN TOTAL'!AA672</f>
        <v>0</v>
      </c>
      <c r="V607" s="70">
        <f>'RESUMEN TOTAL'!AB672</f>
        <v>0</v>
      </c>
      <c r="W607" s="70">
        <f>'RESUMEN TOTAL'!AC672</f>
        <v>0</v>
      </c>
      <c r="X607" s="70">
        <f>'RESUMEN TOTAL'!AD672</f>
        <v>0</v>
      </c>
      <c r="Y607" s="70">
        <f>'RESUMEN TOTAL'!AE672</f>
        <v>0</v>
      </c>
      <c r="Z607" s="70">
        <f>'RESUMEN TOTAL'!AF672</f>
        <v>0</v>
      </c>
      <c r="AA607" s="70">
        <f>'RESUMEN TOTAL'!AG672</f>
        <v>0</v>
      </c>
      <c r="AB607" s="70">
        <f>'RESUMEN TOTAL'!AH672</f>
        <v>0</v>
      </c>
      <c r="AC607" s="70">
        <f>'RESUMEN TOTAL'!AI672</f>
        <v>0</v>
      </c>
      <c r="AD607" s="70">
        <f>'RESUMEN TOTAL'!AJ672</f>
        <v>0</v>
      </c>
      <c r="AE607" s="70">
        <f>'RESUMEN TOTAL'!AK672</f>
        <v>0</v>
      </c>
      <c r="AF607" s="70">
        <f>'RESUMEN TOTAL'!AL672</f>
        <v>0</v>
      </c>
      <c r="AG607" s="70">
        <f>'RESUMEN TOTAL'!AM672</f>
        <v>0</v>
      </c>
      <c r="AH607" s="70">
        <f>'RESUMEN TOTAL'!AN672</f>
        <v>0</v>
      </c>
      <c r="AI607" s="70">
        <f>'RESUMEN TOTAL'!AO672</f>
        <v>0</v>
      </c>
    </row>
    <row r="608" spans="1:35" x14ac:dyDescent="0.25">
      <c r="A608">
        <f>'RESUMEN TOTAL'!A673</f>
        <v>0</v>
      </c>
      <c r="B608">
        <f>'RESUMEN TOTAL'!B673</f>
        <v>0</v>
      </c>
      <c r="C608">
        <f>'RESUMEN TOTAL'!D673</f>
        <v>0</v>
      </c>
      <c r="D608" s="30">
        <f>'RESUMEN TOTAL'!E673</f>
        <v>0</v>
      </c>
      <c r="E608" s="30">
        <f>'RESUMEN TOTAL'!F673</f>
        <v>0</v>
      </c>
      <c r="F608" s="70">
        <f>'RESUMEN TOTAL'!L673</f>
        <v>0</v>
      </c>
      <c r="G608" s="70">
        <f>'RESUMEN TOTAL'!M673</f>
        <v>0</v>
      </c>
      <c r="H608" s="70">
        <f>'RESUMEN TOTAL'!N673</f>
        <v>0</v>
      </c>
      <c r="I608" s="70">
        <f>'RESUMEN TOTAL'!O673</f>
        <v>0</v>
      </c>
      <c r="J608" s="70">
        <f>'RESUMEN TOTAL'!P673</f>
        <v>0</v>
      </c>
      <c r="K608" s="70">
        <f>'RESUMEN TOTAL'!Q673</f>
        <v>0</v>
      </c>
      <c r="L608" s="70">
        <f>'RESUMEN TOTAL'!R673</f>
        <v>0</v>
      </c>
      <c r="M608" s="70">
        <f>'RESUMEN TOTAL'!S673</f>
        <v>0</v>
      </c>
      <c r="N608" s="70">
        <f>'RESUMEN TOTAL'!T673</f>
        <v>0</v>
      </c>
      <c r="O608" s="70">
        <f>'RESUMEN TOTAL'!U673</f>
        <v>0</v>
      </c>
      <c r="P608" s="70">
        <f>'RESUMEN TOTAL'!V673</f>
        <v>0</v>
      </c>
      <c r="Q608" s="70">
        <f>'RESUMEN TOTAL'!W673</f>
        <v>0</v>
      </c>
      <c r="R608" s="70">
        <f>'RESUMEN TOTAL'!X673</f>
        <v>0</v>
      </c>
      <c r="S608" s="70">
        <f>'RESUMEN TOTAL'!Y673</f>
        <v>0</v>
      </c>
      <c r="T608" s="70">
        <f>'RESUMEN TOTAL'!Z673</f>
        <v>0</v>
      </c>
      <c r="U608" s="70">
        <f>'RESUMEN TOTAL'!AA673</f>
        <v>0</v>
      </c>
      <c r="V608" s="70">
        <f>'RESUMEN TOTAL'!AB673</f>
        <v>0</v>
      </c>
      <c r="W608" s="70">
        <f>'RESUMEN TOTAL'!AC673</f>
        <v>0</v>
      </c>
      <c r="X608" s="70">
        <f>'RESUMEN TOTAL'!AD673</f>
        <v>0</v>
      </c>
      <c r="Y608" s="70">
        <f>'RESUMEN TOTAL'!AE673</f>
        <v>0</v>
      </c>
      <c r="Z608" s="70">
        <f>'RESUMEN TOTAL'!AF673</f>
        <v>0</v>
      </c>
      <c r="AA608" s="70">
        <f>'RESUMEN TOTAL'!AG673</f>
        <v>0</v>
      </c>
      <c r="AB608" s="70">
        <f>'RESUMEN TOTAL'!AH673</f>
        <v>0</v>
      </c>
      <c r="AC608" s="70">
        <f>'RESUMEN TOTAL'!AI673</f>
        <v>0</v>
      </c>
      <c r="AD608" s="70">
        <f>'RESUMEN TOTAL'!AJ673</f>
        <v>0</v>
      </c>
      <c r="AE608" s="70">
        <f>'RESUMEN TOTAL'!AK673</f>
        <v>0</v>
      </c>
      <c r="AF608" s="70">
        <f>'RESUMEN TOTAL'!AL673</f>
        <v>0</v>
      </c>
      <c r="AG608" s="70">
        <f>'RESUMEN TOTAL'!AM673</f>
        <v>0</v>
      </c>
      <c r="AH608" s="70">
        <f>'RESUMEN TOTAL'!AN673</f>
        <v>0</v>
      </c>
      <c r="AI608" s="70">
        <f>'RESUMEN TOTAL'!AO673</f>
        <v>0</v>
      </c>
    </row>
    <row r="609" spans="1:35" x14ac:dyDescent="0.25">
      <c r="A609">
        <f>'RESUMEN TOTAL'!A674</f>
        <v>0</v>
      </c>
      <c r="B609">
        <f>'RESUMEN TOTAL'!B674</f>
        <v>0</v>
      </c>
      <c r="C609">
        <f>'RESUMEN TOTAL'!D674</f>
        <v>0</v>
      </c>
      <c r="D609" s="30">
        <f>'RESUMEN TOTAL'!E674</f>
        <v>0</v>
      </c>
      <c r="E609" s="30">
        <f>'RESUMEN TOTAL'!F674</f>
        <v>0</v>
      </c>
      <c r="F609" s="70">
        <f>'RESUMEN TOTAL'!L674</f>
        <v>0</v>
      </c>
      <c r="G609" s="70">
        <f>'RESUMEN TOTAL'!M674</f>
        <v>0</v>
      </c>
      <c r="H609" s="70">
        <f>'RESUMEN TOTAL'!N674</f>
        <v>0</v>
      </c>
      <c r="I609" s="70">
        <f>'RESUMEN TOTAL'!O674</f>
        <v>0</v>
      </c>
      <c r="J609" s="70">
        <f>'RESUMEN TOTAL'!P674</f>
        <v>0</v>
      </c>
      <c r="K609" s="70">
        <f>'RESUMEN TOTAL'!Q674</f>
        <v>0</v>
      </c>
      <c r="L609" s="70">
        <f>'RESUMEN TOTAL'!R674</f>
        <v>0</v>
      </c>
      <c r="M609" s="70">
        <f>'RESUMEN TOTAL'!S674</f>
        <v>0</v>
      </c>
      <c r="N609" s="70">
        <f>'RESUMEN TOTAL'!T674</f>
        <v>0</v>
      </c>
      <c r="O609" s="70">
        <f>'RESUMEN TOTAL'!U674</f>
        <v>0</v>
      </c>
      <c r="P609" s="70">
        <f>'RESUMEN TOTAL'!V674</f>
        <v>0</v>
      </c>
      <c r="Q609" s="70">
        <f>'RESUMEN TOTAL'!W674</f>
        <v>0</v>
      </c>
      <c r="R609" s="70">
        <f>'RESUMEN TOTAL'!X674</f>
        <v>0</v>
      </c>
      <c r="S609" s="70">
        <f>'RESUMEN TOTAL'!Y674</f>
        <v>0</v>
      </c>
      <c r="T609" s="70">
        <f>'RESUMEN TOTAL'!Z674</f>
        <v>0</v>
      </c>
      <c r="U609" s="70">
        <f>'RESUMEN TOTAL'!AA674</f>
        <v>0</v>
      </c>
      <c r="V609" s="70">
        <f>'RESUMEN TOTAL'!AB674</f>
        <v>0</v>
      </c>
      <c r="W609" s="70">
        <f>'RESUMEN TOTAL'!AC674</f>
        <v>0</v>
      </c>
      <c r="X609" s="70">
        <f>'RESUMEN TOTAL'!AD674</f>
        <v>0</v>
      </c>
      <c r="Y609" s="70">
        <f>'RESUMEN TOTAL'!AE674</f>
        <v>0</v>
      </c>
      <c r="Z609" s="70">
        <f>'RESUMEN TOTAL'!AF674</f>
        <v>0</v>
      </c>
      <c r="AA609" s="70">
        <f>'RESUMEN TOTAL'!AG674</f>
        <v>0</v>
      </c>
      <c r="AB609" s="70">
        <f>'RESUMEN TOTAL'!AH674</f>
        <v>0</v>
      </c>
      <c r="AC609" s="70">
        <f>'RESUMEN TOTAL'!AI674</f>
        <v>0</v>
      </c>
      <c r="AD609" s="70">
        <f>'RESUMEN TOTAL'!AJ674</f>
        <v>0</v>
      </c>
      <c r="AE609" s="70">
        <f>'RESUMEN TOTAL'!AK674</f>
        <v>0</v>
      </c>
      <c r="AF609" s="70">
        <f>'RESUMEN TOTAL'!AL674</f>
        <v>0</v>
      </c>
      <c r="AG609" s="70">
        <f>'RESUMEN TOTAL'!AM674</f>
        <v>0</v>
      </c>
      <c r="AH609" s="70">
        <f>'RESUMEN TOTAL'!AN674</f>
        <v>0</v>
      </c>
      <c r="AI609" s="70">
        <f>'RESUMEN TOTAL'!AO674</f>
        <v>0</v>
      </c>
    </row>
    <row r="610" spans="1:35" x14ac:dyDescent="0.25">
      <c r="A610">
        <f>'RESUMEN TOTAL'!A675</f>
        <v>0</v>
      </c>
      <c r="B610">
        <f>'RESUMEN TOTAL'!B675</f>
        <v>0</v>
      </c>
      <c r="C610">
        <f>'RESUMEN TOTAL'!D675</f>
        <v>0</v>
      </c>
      <c r="D610" s="30">
        <f>'RESUMEN TOTAL'!E675</f>
        <v>0</v>
      </c>
      <c r="E610" s="30">
        <f>'RESUMEN TOTAL'!F675</f>
        <v>0</v>
      </c>
      <c r="F610" s="70">
        <f>'RESUMEN TOTAL'!L675</f>
        <v>0</v>
      </c>
      <c r="G610" s="70">
        <f>'RESUMEN TOTAL'!M675</f>
        <v>0</v>
      </c>
      <c r="H610" s="70">
        <f>'RESUMEN TOTAL'!N675</f>
        <v>0</v>
      </c>
      <c r="I610" s="70">
        <f>'RESUMEN TOTAL'!O675</f>
        <v>0</v>
      </c>
      <c r="J610" s="70">
        <f>'RESUMEN TOTAL'!P675</f>
        <v>0</v>
      </c>
      <c r="K610" s="70">
        <f>'RESUMEN TOTAL'!Q675</f>
        <v>0</v>
      </c>
      <c r="L610" s="70">
        <f>'RESUMEN TOTAL'!R675</f>
        <v>0</v>
      </c>
      <c r="M610" s="70">
        <f>'RESUMEN TOTAL'!S675</f>
        <v>0</v>
      </c>
      <c r="N610" s="70">
        <f>'RESUMEN TOTAL'!T675</f>
        <v>0</v>
      </c>
      <c r="O610" s="70">
        <f>'RESUMEN TOTAL'!U675</f>
        <v>0</v>
      </c>
      <c r="P610" s="70">
        <f>'RESUMEN TOTAL'!V675</f>
        <v>0</v>
      </c>
      <c r="Q610" s="70">
        <f>'RESUMEN TOTAL'!W675</f>
        <v>0</v>
      </c>
      <c r="R610" s="70">
        <f>'RESUMEN TOTAL'!X675</f>
        <v>0</v>
      </c>
      <c r="S610" s="70">
        <f>'RESUMEN TOTAL'!Y675</f>
        <v>0</v>
      </c>
      <c r="T610" s="70">
        <f>'RESUMEN TOTAL'!Z675</f>
        <v>0</v>
      </c>
      <c r="U610" s="70">
        <f>'RESUMEN TOTAL'!AA675</f>
        <v>0</v>
      </c>
      <c r="V610" s="70">
        <f>'RESUMEN TOTAL'!AB675</f>
        <v>0</v>
      </c>
      <c r="W610" s="70">
        <f>'RESUMEN TOTAL'!AC675</f>
        <v>0</v>
      </c>
      <c r="X610" s="70">
        <f>'RESUMEN TOTAL'!AD675</f>
        <v>0</v>
      </c>
      <c r="Y610" s="70">
        <f>'RESUMEN TOTAL'!AE675</f>
        <v>0</v>
      </c>
      <c r="Z610" s="70">
        <f>'RESUMEN TOTAL'!AF675</f>
        <v>0</v>
      </c>
      <c r="AA610" s="70">
        <f>'RESUMEN TOTAL'!AG675</f>
        <v>0</v>
      </c>
      <c r="AB610" s="70">
        <f>'RESUMEN TOTAL'!AH675</f>
        <v>0</v>
      </c>
      <c r="AC610" s="70">
        <f>'RESUMEN TOTAL'!AI675</f>
        <v>0</v>
      </c>
      <c r="AD610" s="70">
        <f>'RESUMEN TOTAL'!AJ675</f>
        <v>0</v>
      </c>
      <c r="AE610" s="70">
        <f>'RESUMEN TOTAL'!AK675</f>
        <v>0</v>
      </c>
      <c r="AF610" s="70">
        <f>'RESUMEN TOTAL'!AL675</f>
        <v>0</v>
      </c>
      <c r="AG610" s="70">
        <f>'RESUMEN TOTAL'!AM675</f>
        <v>0</v>
      </c>
      <c r="AH610" s="70">
        <f>'RESUMEN TOTAL'!AN675</f>
        <v>0</v>
      </c>
      <c r="AI610" s="70">
        <f>'RESUMEN TOTAL'!AO675</f>
        <v>0</v>
      </c>
    </row>
    <row r="611" spans="1:35" x14ac:dyDescent="0.25">
      <c r="A611">
        <f>'RESUMEN TOTAL'!A676</f>
        <v>0</v>
      </c>
      <c r="B611">
        <f>'RESUMEN TOTAL'!B676</f>
        <v>0</v>
      </c>
      <c r="C611">
        <f>'RESUMEN TOTAL'!D676</f>
        <v>0</v>
      </c>
      <c r="D611" s="30">
        <f>'RESUMEN TOTAL'!E676</f>
        <v>0</v>
      </c>
      <c r="E611" s="30">
        <f>'RESUMEN TOTAL'!F676</f>
        <v>0</v>
      </c>
      <c r="F611" s="70">
        <f>'RESUMEN TOTAL'!L676</f>
        <v>0</v>
      </c>
      <c r="G611" s="70">
        <f>'RESUMEN TOTAL'!M676</f>
        <v>0</v>
      </c>
      <c r="H611" s="70">
        <f>'RESUMEN TOTAL'!N676</f>
        <v>0</v>
      </c>
      <c r="I611" s="70">
        <f>'RESUMEN TOTAL'!O676</f>
        <v>0</v>
      </c>
      <c r="J611" s="70">
        <f>'RESUMEN TOTAL'!P676</f>
        <v>0</v>
      </c>
      <c r="K611" s="70">
        <f>'RESUMEN TOTAL'!Q676</f>
        <v>0</v>
      </c>
      <c r="L611" s="70">
        <f>'RESUMEN TOTAL'!R676</f>
        <v>0</v>
      </c>
      <c r="M611" s="70">
        <f>'RESUMEN TOTAL'!S676</f>
        <v>0</v>
      </c>
      <c r="N611" s="70">
        <f>'RESUMEN TOTAL'!T676</f>
        <v>0</v>
      </c>
      <c r="O611" s="70">
        <f>'RESUMEN TOTAL'!U676</f>
        <v>0</v>
      </c>
      <c r="P611" s="70">
        <f>'RESUMEN TOTAL'!V676</f>
        <v>0</v>
      </c>
      <c r="Q611" s="70">
        <f>'RESUMEN TOTAL'!W676</f>
        <v>0</v>
      </c>
      <c r="R611" s="70">
        <f>'RESUMEN TOTAL'!X676</f>
        <v>0</v>
      </c>
      <c r="S611" s="70">
        <f>'RESUMEN TOTAL'!Y676</f>
        <v>0</v>
      </c>
      <c r="T611" s="70">
        <f>'RESUMEN TOTAL'!Z676</f>
        <v>0</v>
      </c>
      <c r="U611" s="70">
        <f>'RESUMEN TOTAL'!AA676</f>
        <v>0</v>
      </c>
      <c r="V611" s="70">
        <f>'RESUMEN TOTAL'!AB676</f>
        <v>0</v>
      </c>
      <c r="W611" s="70">
        <f>'RESUMEN TOTAL'!AC676</f>
        <v>0</v>
      </c>
      <c r="X611" s="70">
        <f>'RESUMEN TOTAL'!AD676</f>
        <v>0</v>
      </c>
      <c r="Y611" s="70">
        <f>'RESUMEN TOTAL'!AE676</f>
        <v>0</v>
      </c>
      <c r="Z611" s="70">
        <f>'RESUMEN TOTAL'!AF676</f>
        <v>0</v>
      </c>
      <c r="AA611" s="70">
        <f>'RESUMEN TOTAL'!AG676</f>
        <v>0</v>
      </c>
      <c r="AB611" s="70">
        <f>'RESUMEN TOTAL'!AH676</f>
        <v>0</v>
      </c>
      <c r="AC611" s="70">
        <f>'RESUMEN TOTAL'!AI676</f>
        <v>0</v>
      </c>
      <c r="AD611" s="70">
        <f>'RESUMEN TOTAL'!AJ676</f>
        <v>0</v>
      </c>
      <c r="AE611" s="70">
        <f>'RESUMEN TOTAL'!AK676</f>
        <v>0</v>
      </c>
      <c r="AF611" s="70">
        <f>'RESUMEN TOTAL'!AL676</f>
        <v>0</v>
      </c>
      <c r="AG611" s="70">
        <f>'RESUMEN TOTAL'!AM676</f>
        <v>0</v>
      </c>
      <c r="AH611" s="70">
        <f>'RESUMEN TOTAL'!AN676</f>
        <v>0</v>
      </c>
      <c r="AI611" s="70">
        <f>'RESUMEN TOTAL'!AO676</f>
        <v>0</v>
      </c>
    </row>
    <row r="612" spans="1:35" x14ac:dyDescent="0.25">
      <c r="A612">
        <f>'RESUMEN TOTAL'!A677</f>
        <v>0</v>
      </c>
      <c r="B612">
        <f>'RESUMEN TOTAL'!B677</f>
        <v>0</v>
      </c>
      <c r="C612">
        <f>'RESUMEN TOTAL'!D677</f>
        <v>0</v>
      </c>
      <c r="D612" s="30">
        <f>'RESUMEN TOTAL'!E677</f>
        <v>0</v>
      </c>
      <c r="E612" s="30">
        <f>'RESUMEN TOTAL'!F677</f>
        <v>0</v>
      </c>
      <c r="F612" s="70">
        <f>'RESUMEN TOTAL'!L677</f>
        <v>0</v>
      </c>
      <c r="G612" s="70">
        <f>'RESUMEN TOTAL'!M677</f>
        <v>0</v>
      </c>
      <c r="H612" s="70">
        <f>'RESUMEN TOTAL'!N677</f>
        <v>0</v>
      </c>
      <c r="I612" s="70">
        <f>'RESUMEN TOTAL'!O677</f>
        <v>0</v>
      </c>
      <c r="J612" s="70">
        <f>'RESUMEN TOTAL'!P677</f>
        <v>0</v>
      </c>
      <c r="K612" s="70">
        <f>'RESUMEN TOTAL'!Q677</f>
        <v>0</v>
      </c>
      <c r="L612" s="70">
        <f>'RESUMEN TOTAL'!R677</f>
        <v>0</v>
      </c>
      <c r="M612" s="70">
        <f>'RESUMEN TOTAL'!S677</f>
        <v>0</v>
      </c>
      <c r="N612" s="70">
        <f>'RESUMEN TOTAL'!T677</f>
        <v>0</v>
      </c>
      <c r="O612" s="70">
        <f>'RESUMEN TOTAL'!U677</f>
        <v>0</v>
      </c>
      <c r="P612" s="70">
        <f>'RESUMEN TOTAL'!V677</f>
        <v>0</v>
      </c>
      <c r="Q612" s="70">
        <f>'RESUMEN TOTAL'!W677</f>
        <v>0</v>
      </c>
      <c r="R612" s="70">
        <f>'RESUMEN TOTAL'!X677</f>
        <v>0</v>
      </c>
      <c r="S612" s="70">
        <f>'RESUMEN TOTAL'!Y677</f>
        <v>0</v>
      </c>
      <c r="T612" s="70">
        <f>'RESUMEN TOTAL'!Z677</f>
        <v>0</v>
      </c>
      <c r="U612" s="70">
        <f>'RESUMEN TOTAL'!AA677</f>
        <v>0</v>
      </c>
      <c r="V612" s="70">
        <f>'RESUMEN TOTAL'!AB677</f>
        <v>0</v>
      </c>
      <c r="W612" s="70">
        <f>'RESUMEN TOTAL'!AC677</f>
        <v>0</v>
      </c>
      <c r="X612" s="70">
        <f>'RESUMEN TOTAL'!AD677</f>
        <v>0</v>
      </c>
      <c r="Y612" s="70">
        <f>'RESUMEN TOTAL'!AE677</f>
        <v>0</v>
      </c>
      <c r="Z612" s="70">
        <f>'RESUMEN TOTAL'!AF677</f>
        <v>0</v>
      </c>
      <c r="AA612" s="70">
        <f>'RESUMEN TOTAL'!AG677</f>
        <v>0</v>
      </c>
      <c r="AB612" s="70">
        <f>'RESUMEN TOTAL'!AH677</f>
        <v>0</v>
      </c>
      <c r="AC612" s="70">
        <f>'RESUMEN TOTAL'!AI677</f>
        <v>0</v>
      </c>
      <c r="AD612" s="70">
        <f>'RESUMEN TOTAL'!AJ677</f>
        <v>0</v>
      </c>
      <c r="AE612" s="70">
        <f>'RESUMEN TOTAL'!AK677</f>
        <v>0</v>
      </c>
      <c r="AF612" s="70">
        <f>'RESUMEN TOTAL'!AL677</f>
        <v>0</v>
      </c>
      <c r="AG612" s="70">
        <f>'RESUMEN TOTAL'!AM677</f>
        <v>0</v>
      </c>
      <c r="AH612" s="70">
        <f>'RESUMEN TOTAL'!AN677</f>
        <v>0</v>
      </c>
      <c r="AI612" s="70">
        <f>'RESUMEN TOTAL'!AO677</f>
        <v>0</v>
      </c>
    </row>
    <row r="613" spans="1:35" x14ac:dyDescent="0.25">
      <c r="A613">
        <f>'RESUMEN TOTAL'!A678</f>
        <v>0</v>
      </c>
      <c r="B613">
        <f>'RESUMEN TOTAL'!B678</f>
        <v>0</v>
      </c>
      <c r="C613">
        <f>'RESUMEN TOTAL'!D678</f>
        <v>0</v>
      </c>
      <c r="D613" s="30">
        <f>'RESUMEN TOTAL'!E678</f>
        <v>0</v>
      </c>
      <c r="E613" s="30">
        <f>'RESUMEN TOTAL'!F678</f>
        <v>0</v>
      </c>
      <c r="F613" s="70">
        <f>'RESUMEN TOTAL'!L678</f>
        <v>0</v>
      </c>
      <c r="G613" s="70">
        <f>'RESUMEN TOTAL'!M678</f>
        <v>0</v>
      </c>
      <c r="H613" s="70">
        <f>'RESUMEN TOTAL'!N678</f>
        <v>0</v>
      </c>
      <c r="I613" s="70">
        <f>'RESUMEN TOTAL'!O678</f>
        <v>0</v>
      </c>
      <c r="J613" s="70">
        <f>'RESUMEN TOTAL'!P678</f>
        <v>0</v>
      </c>
      <c r="K613" s="70">
        <f>'RESUMEN TOTAL'!Q678</f>
        <v>0</v>
      </c>
      <c r="L613" s="70">
        <f>'RESUMEN TOTAL'!R678</f>
        <v>0</v>
      </c>
      <c r="M613" s="70">
        <f>'RESUMEN TOTAL'!S678</f>
        <v>0</v>
      </c>
      <c r="N613" s="70">
        <f>'RESUMEN TOTAL'!T678</f>
        <v>0</v>
      </c>
      <c r="O613" s="70">
        <f>'RESUMEN TOTAL'!U678</f>
        <v>0</v>
      </c>
      <c r="P613" s="70">
        <f>'RESUMEN TOTAL'!V678</f>
        <v>0</v>
      </c>
      <c r="Q613" s="70">
        <f>'RESUMEN TOTAL'!W678</f>
        <v>0</v>
      </c>
      <c r="R613" s="70">
        <f>'RESUMEN TOTAL'!X678</f>
        <v>0</v>
      </c>
      <c r="S613" s="70">
        <f>'RESUMEN TOTAL'!Y678</f>
        <v>0</v>
      </c>
      <c r="T613" s="70">
        <f>'RESUMEN TOTAL'!Z678</f>
        <v>0</v>
      </c>
      <c r="U613" s="70">
        <f>'RESUMEN TOTAL'!AA678</f>
        <v>0</v>
      </c>
      <c r="V613" s="70">
        <f>'RESUMEN TOTAL'!AB678</f>
        <v>0</v>
      </c>
      <c r="W613" s="70">
        <f>'RESUMEN TOTAL'!AC678</f>
        <v>0</v>
      </c>
      <c r="X613" s="70">
        <f>'RESUMEN TOTAL'!AD678</f>
        <v>0</v>
      </c>
      <c r="Y613" s="70">
        <f>'RESUMEN TOTAL'!AE678</f>
        <v>0</v>
      </c>
      <c r="Z613" s="70">
        <f>'RESUMEN TOTAL'!AF678</f>
        <v>0</v>
      </c>
      <c r="AA613" s="70">
        <f>'RESUMEN TOTAL'!AG678</f>
        <v>0</v>
      </c>
      <c r="AB613" s="70">
        <f>'RESUMEN TOTAL'!AH678</f>
        <v>0</v>
      </c>
      <c r="AC613" s="70">
        <f>'RESUMEN TOTAL'!AI678</f>
        <v>0</v>
      </c>
      <c r="AD613" s="70">
        <f>'RESUMEN TOTAL'!AJ678</f>
        <v>0</v>
      </c>
      <c r="AE613" s="70">
        <f>'RESUMEN TOTAL'!AK678</f>
        <v>0</v>
      </c>
      <c r="AF613" s="70">
        <f>'RESUMEN TOTAL'!AL678</f>
        <v>0</v>
      </c>
      <c r="AG613" s="70">
        <f>'RESUMEN TOTAL'!AM678</f>
        <v>0</v>
      </c>
      <c r="AH613" s="70">
        <f>'RESUMEN TOTAL'!AN678</f>
        <v>0</v>
      </c>
      <c r="AI613" s="70">
        <f>'RESUMEN TOTAL'!AO678</f>
        <v>0</v>
      </c>
    </row>
    <row r="614" spans="1:35" x14ac:dyDescent="0.25">
      <c r="A614">
        <f>'RESUMEN TOTAL'!A679</f>
        <v>0</v>
      </c>
      <c r="B614">
        <f>'RESUMEN TOTAL'!B679</f>
        <v>0</v>
      </c>
      <c r="C614">
        <f>'RESUMEN TOTAL'!D679</f>
        <v>0</v>
      </c>
      <c r="D614" s="30">
        <f>'RESUMEN TOTAL'!E679</f>
        <v>0</v>
      </c>
      <c r="E614" s="30">
        <f>'RESUMEN TOTAL'!F679</f>
        <v>0</v>
      </c>
      <c r="F614" s="70">
        <f>'RESUMEN TOTAL'!L679</f>
        <v>0</v>
      </c>
      <c r="G614" s="70">
        <f>'RESUMEN TOTAL'!M679</f>
        <v>0</v>
      </c>
      <c r="H614" s="70">
        <f>'RESUMEN TOTAL'!N679</f>
        <v>0</v>
      </c>
      <c r="I614" s="70">
        <f>'RESUMEN TOTAL'!O679</f>
        <v>0</v>
      </c>
      <c r="J614" s="70">
        <f>'RESUMEN TOTAL'!P679</f>
        <v>0</v>
      </c>
      <c r="K614" s="70">
        <f>'RESUMEN TOTAL'!Q679</f>
        <v>0</v>
      </c>
      <c r="L614" s="70">
        <f>'RESUMEN TOTAL'!R679</f>
        <v>0</v>
      </c>
      <c r="M614" s="70">
        <f>'RESUMEN TOTAL'!S679</f>
        <v>0</v>
      </c>
      <c r="N614" s="70">
        <f>'RESUMEN TOTAL'!T679</f>
        <v>0</v>
      </c>
      <c r="O614" s="70">
        <f>'RESUMEN TOTAL'!U679</f>
        <v>0</v>
      </c>
      <c r="P614" s="70">
        <f>'RESUMEN TOTAL'!V679</f>
        <v>0</v>
      </c>
      <c r="Q614" s="70">
        <f>'RESUMEN TOTAL'!W679</f>
        <v>0</v>
      </c>
      <c r="R614" s="70">
        <f>'RESUMEN TOTAL'!X679</f>
        <v>0</v>
      </c>
      <c r="S614" s="70">
        <f>'RESUMEN TOTAL'!Y679</f>
        <v>0</v>
      </c>
      <c r="T614" s="70">
        <f>'RESUMEN TOTAL'!Z679</f>
        <v>0</v>
      </c>
      <c r="U614" s="70">
        <f>'RESUMEN TOTAL'!AA679</f>
        <v>0</v>
      </c>
      <c r="V614" s="70">
        <f>'RESUMEN TOTAL'!AB679</f>
        <v>0</v>
      </c>
      <c r="W614" s="70">
        <f>'RESUMEN TOTAL'!AC679</f>
        <v>0</v>
      </c>
      <c r="X614" s="70">
        <f>'RESUMEN TOTAL'!AD679</f>
        <v>0</v>
      </c>
      <c r="Y614" s="70">
        <f>'RESUMEN TOTAL'!AE679</f>
        <v>0</v>
      </c>
      <c r="Z614" s="70">
        <f>'RESUMEN TOTAL'!AF679</f>
        <v>0</v>
      </c>
      <c r="AA614" s="70">
        <f>'RESUMEN TOTAL'!AG679</f>
        <v>0</v>
      </c>
      <c r="AB614" s="70">
        <f>'RESUMEN TOTAL'!AH679</f>
        <v>0</v>
      </c>
      <c r="AC614" s="70">
        <f>'RESUMEN TOTAL'!AI679</f>
        <v>0</v>
      </c>
      <c r="AD614" s="70">
        <f>'RESUMEN TOTAL'!AJ679</f>
        <v>0</v>
      </c>
      <c r="AE614" s="70">
        <f>'RESUMEN TOTAL'!AK679</f>
        <v>0</v>
      </c>
      <c r="AF614" s="70">
        <f>'RESUMEN TOTAL'!AL679</f>
        <v>0</v>
      </c>
      <c r="AG614" s="70">
        <f>'RESUMEN TOTAL'!AM679</f>
        <v>0</v>
      </c>
      <c r="AH614" s="70">
        <f>'RESUMEN TOTAL'!AN679</f>
        <v>0</v>
      </c>
      <c r="AI614" s="70">
        <f>'RESUMEN TOTAL'!AO679</f>
        <v>0</v>
      </c>
    </row>
    <row r="615" spans="1:35" x14ac:dyDescent="0.25">
      <c r="A615">
        <f>'RESUMEN TOTAL'!A680</f>
        <v>0</v>
      </c>
      <c r="B615">
        <f>'RESUMEN TOTAL'!B680</f>
        <v>0</v>
      </c>
      <c r="C615">
        <f>'RESUMEN TOTAL'!D680</f>
        <v>0</v>
      </c>
      <c r="D615" s="30">
        <f>'RESUMEN TOTAL'!E680</f>
        <v>0</v>
      </c>
      <c r="E615" s="30">
        <f>'RESUMEN TOTAL'!F680</f>
        <v>0</v>
      </c>
      <c r="F615" s="70">
        <f>'RESUMEN TOTAL'!L680</f>
        <v>0</v>
      </c>
      <c r="G615" s="70">
        <f>'RESUMEN TOTAL'!M680</f>
        <v>0</v>
      </c>
      <c r="H615" s="70">
        <f>'RESUMEN TOTAL'!N680</f>
        <v>0</v>
      </c>
      <c r="I615" s="70">
        <f>'RESUMEN TOTAL'!O680</f>
        <v>0</v>
      </c>
      <c r="J615" s="70">
        <f>'RESUMEN TOTAL'!P680</f>
        <v>0</v>
      </c>
      <c r="K615" s="70">
        <f>'RESUMEN TOTAL'!Q680</f>
        <v>0</v>
      </c>
      <c r="L615" s="70">
        <f>'RESUMEN TOTAL'!R680</f>
        <v>0</v>
      </c>
      <c r="M615" s="70">
        <f>'RESUMEN TOTAL'!S680</f>
        <v>0</v>
      </c>
      <c r="N615" s="70">
        <f>'RESUMEN TOTAL'!T680</f>
        <v>0</v>
      </c>
      <c r="O615" s="70">
        <f>'RESUMEN TOTAL'!U680</f>
        <v>0</v>
      </c>
      <c r="P615" s="70">
        <f>'RESUMEN TOTAL'!V680</f>
        <v>0</v>
      </c>
      <c r="Q615" s="70">
        <f>'RESUMEN TOTAL'!W680</f>
        <v>0</v>
      </c>
      <c r="R615" s="70">
        <f>'RESUMEN TOTAL'!X680</f>
        <v>0</v>
      </c>
      <c r="S615" s="70">
        <f>'RESUMEN TOTAL'!Y680</f>
        <v>0</v>
      </c>
      <c r="T615" s="70">
        <f>'RESUMEN TOTAL'!Z680</f>
        <v>0</v>
      </c>
      <c r="U615" s="70">
        <f>'RESUMEN TOTAL'!AA680</f>
        <v>0</v>
      </c>
      <c r="V615" s="70">
        <f>'RESUMEN TOTAL'!AB680</f>
        <v>0</v>
      </c>
      <c r="W615" s="70">
        <f>'RESUMEN TOTAL'!AC680</f>
        <v>0</v>
      </c>
      <c r="X615" s="70">
        <f>'RESUMEN TOTAL'!AD680</f>
        <v>0</v>
      </c>
      <c r="Y615" s="70">
        <f>'RESUMEN TOTAL'!AE680</f>
        <v>0</v>
      </c>
      <c r="Z615" s="70">
        <f>'RESUMEN TOTAL'!AF680</f>
        <v>0</v>
      </c>
      <c r="AA615" s="70">
        <f>'RESUMEN TOTAL'!AG680</f>
        <v>0</v>
      </c>
      <c r="AB615" s="70">
        <f>'RESUMEN TOTAL'!AH680</f>
        <v>0</v>
      </c>
      <c r="AC615" s="70">
        <f>'RESUMEN TOTAL'!AI680</f>
        <v>0</v>
      </c>
      <c r="AD615" s="70">
        <f>'RESUMEN TOTAL'!AJ680</f>
        <v>0</v>
      </c>
      <c r="AE615" s="70">
        <f>'RESUMEN TOTAL'!AK680</f>
        <v>0</v>
      </c>
      <c r="AF615" s="70">
        <f>'RESUMEN TOTAL'!AL680</f>
        <v>0</v>
      </c>
      <c r="AG615" s="70">
        <f>'RESUMEN TOTAL'!AM680</f>
        <v>0</v>
      </c>
      <c r="AH615" s="70">
        <f>'RESUMEN TOTAL'!AN680</f>
        <v>0</v>
      </c>
      <c r="AI615" s="70">
        <f>'RESUMEN TOTAL'!AO680</f>
        <v>0</v>
      </c>
    </row>
    <row r="616" spans="1:35" x14ac:dyDescent="0.25">
      <c r="A616">
        <f>'RESUMEN TOTAL'!A681</f>
        <v>0</v>
      </c>
      <c r="B616">
        <f>'RESUMEN TOTAL'!B681</f>
        <v>0</v>
      </c>
      <c r="C616">
        <f>'RESUMEN TOTAL'!D681</f>
        <v>0</v>
      </c>
      <c r="D616" s="30">
        <f>'RESUMEN TOTAL'!E681</f>
        <v>0</v>
      </c>
      <c r="E616" s="30">
        <f>'RESUMEN TOTAL'!F681</f>
        <v>0</v>
      </c>
      <c r="F616" s="70">
        <f>'RESUMEN TOTAL'!L681</f>
        <v>0</v>
      </c>
      <c r="G616" s="70">
        <f>'RESUMEN TOTAL'!M681</f>
        <v>0</v>
      </c>
      <c r="H616" s="70">
        <f>'RESUMEN TOTAL'!N681</f>
        <v>0</v>
      </c>
      <c r="I616" s="70">
        <f>'RESUMEN TOTAL'!O681</f>
        <v>0</v>
      </c>
      <c r="J616" s="70">
        <f>'RESUMEN TOTAL'!P681</f>
        <v>0</v>
      </c>
      <c r="K616" s="70">
        <f>'RESUMEN TOTAL'!Q681</f>
        <v>0</v>
      </c>
      <c r="L616" s="70">
        <f>'RESUMEN TOTAL'!R681</f>
        <v>0</v>
      </c>
      <c r="M616" s="70">
        <f>'RESUMEN TOTAL'!S681</f>
        <v>0</v>
      </c>
      <c r="N616" s="70">
        <f>'RESUMEN TOTAL'!T681</f>
        <v>0</v>
      </c>
      <c r="O616" s="70">
        <f>'RESUMEN TOTAL'!U681</f>
        <v>0</v>
      </c>
      <c r="P616" s="70">
        <f>'RESUMEN TOTAL'!V681</f>
        <v>0</v>
      </c>
      <c r="Q616" s="70">
        <f>'RESUMEN TOTAL'!W681</f>
        <v>0</v>
      </c>
      <c r="R616" s="70">
        <f>'RESUMEN TOTAL'!X681</f>
        <v>0</v>
      </c>
      <c r="S616" s="70">
        <f>'RESUMEN TOTAL'!Y681</f>
        <v>0</v>
      </c>
      <c r="T616" s="70">
        <f>'RESUMEN TOTAL'!Z681</f>
        <v>0</v>
      </c>
      <c r="U616" s="70">
        <f>'RESUMEN TOTAL'!AA681</f>
        <v>0</v>
      </c>
      <c r="V616" s="70">
        <f>'RESUMEN TOTAL'!AB681</f>
        <v>0</v>
      </c>
      <c r="W616" s="70">
        <f>'RESUMEN TOTAL'!AC681</f>
        <v>0</v>
      </c>
      <c r="X616" s="70">
        <f>'RESUMEN TOTAL'!AD681</f>
        <v>0</v>
      </c>
      <c r="Y616" s="70">
        <f>'RESUMEN TOTAL'!AE681</f>
        <v>0</v>
      </c>
      <c r="Z616" s="70">
        <f>'RESUMEN TOTAL'!AF681</f>
        <v>0</v>
      </c>
      <c r="AA616" s="70">
        <f>'RESUMEN TOTAL'!AG681</f>
        <v>0</v>
      </c>
      <c r="AB616" s="70">
        <f>'RESUMEN TOTAL'!AH681</f>
        <v>0</v>
      </c>
      <c r="AC616" s="70">
        <f>'RESUMEN TOTAL'!AI681</f>
        <v>0</v>
      </c>
      <c r="AD616" s="70">
        <f>'RESUMEN TOTAL'!AJ681</f>
        <v>0</v>
      </c>
      <c r="AE616" s="70">
        <f>'RESUMEN TOTAL'!AK681</f>
        <v>0</v>
      </c>
      <c r="AF616" s="70">
        <f>'RESUMEN TOTAL'!AL681</f>
        <v>0</v>
      </c>
      <c r="AG616" s="70">
        <f>'RESUMEN TOTAL'!AM681</f>
        <v>0</v>
      </c>
      <c r="AH616" s="70">
        <f>'RESUMEN TOTAL'!AN681</f>
        <v>0</v>
      </c>
      <c r="AI616" s="70">
        <f>'RESUMEN TOTAL'!AO681</f>
        <v>0</v>
      </c>
    </row>
    <row r="617" spans="1:35" x14ac:dyDescent="0.25">
      <c r="A617">
        <f>'RESUMEN TOTAL'!A682</f>
        <v>0</v>
      </c>
      <c r="B617">
        <f>'RESUMEN TOTAL'!B682</f>
        <v>0</v>
      </c>
      <c r="C617">
        <f>'RESUMEN TOTAL'!D682</f>
        <v>0</v>
      </c>
      <c r="D617" s="30">
        <f>'RESUMEN TOTAL'!E682</f>
        <v>0</v>
      </c>
      <c r="E617" s="30">
        <f>'RESUMEN TOTAL'!F682</f>
        <v>0</v>
      </c>
      <c r="F617" s="70">
        <f>'RESUMEN TOTAL'!L682</f>
        <v>0</v>
      </c>
      <c r="G617" s="70">
        <f>'RESUMEN TOTAL'!M682</f>
        <v>0</v>
      </c>
      <c r="H617" s="70">
        <f>'RESUMEN TOTAL'!N682</f>
        <v>0</v>
      </c>
      <c r="I617" s="70">
        <f>'RESUMEN TOTAL'!O682</f>
        <v>0</v>
      </c>
      <c r="J617" s="70">
        <f>'RESUMEN TOTAL'!P682</f>
        <v>0</v>
      </c>
      <c r="K617" s="70">
        <f>'RESUMEN TOTAL'!Q682</f>
        <v>0</v>
      </c>
      <c r="L617" s="70">
        <f>'RESUMEN TOTAL'!R682</f>
        <v>0</v>
      </c>
      <c r="M617" s="70">
        <f>'RESUMEN TOTAL'!S682</f>
        <v>0</v>
      </c>
      <c r="N617" s="70">
        <f>'RESUMEN TOTAL'!T682</f>
        <v>0</v>
      </c>
      <c r="O617" s="70">
        <f>'RESUMEN TOTAL'!U682</f>
        <v>0</v>
      </c>
      <c r="P617" s="70">
        <f>'RESUMEN TOTAL'!V682</f>
        <v>0</v>
      </c>
      <c r="Q617" s="70">
        <f>'RESUMEN TOTAL'!W682</f>
        <v>0</v>
      </c>
      <c r="R617" s="70">
        <f>'RESUMEN TOTAL'!X682</f>
        <v>0</v>
      </c>
      <c r="S617" s="70">
        <f>'RESUMEN TOTAL'!Y682</f>
        <v>0</v>
      </c>
      <c r="T617" s="70">
        <f>'RESUMEN TOTAL'!Z682</f>
        <v>0</v>
      </c>
      <c r="U617" s="70">
        <f>'RESUMEN TOTAL'!AA682</f>
        <v>0</v>
      </c>
      <c r="V617" s="70">
        <f>'RESUMEN TOTAL'!AB682</f>
        <v>0</v>
      </c>
      <c r="W617" s="70">
        <f>'RESUMEN TOTAL'!AC682</f>
        <v>0</v>
      </c>
      <c r="X617" s="70">
        <f>'RESUMEN TOTAL'!AD682</f>
        <v>0</v>
      </c>
      <c r="Y617" s="70">
        <f>'RESUMEN TOTAL'!AE682</f>
        <v>0</v>
      </c>
      <c r="Z617" s="70">
        <f>'RESUMEN TOTAL'!AF682</f>
        <v>0</v>
      </c>
      <c r="AA617" s="70">
        <f>'RESUMEN TOTAL'!AG682</f>
        <v>0</v>
      </c>
      <c r="AB617" s="70">
        <f>'RESUMEN TOTAL'!AH682</f>
        <v>0</v>
      </c>
      <c r="AC617" s="70">
        <f>'RESUMEN TOTAL'!AI682</f>
        <v>0</v>
      </c>
      <c r="AD617" s="70">
        <f>'RESUMEN TOTAL'!AJ682</f>
        <v>0</v>
      </c>
      <c r="AE617" s="70">
        <f>'RESUMEN TOTAL'!AK682</f>
        <v>0</v>
      </c>
      <c r="AF617" s="70">
        <f>'RESUMEN TOTAL'!AL682</f>
        <v>0</v>
      </c>
      <c r="AG617" s="70">
        <f>'RESUMEN TOTAL'!AM682</f>
        <v>0</v>
      </c>
      <c r="AH617" s="70">
        <f>'RESUMEN TOTAL'!AN682</f>
        <v>0</v>
      </c>
      <c r="AI617" s="70">
        <f>'RESUMEN TOTAL'!AO682</f>
        <v>0</v>
      </c>
    </row>
    <row r="618" spans="1:35" x14ac:dyDescent="0.25">
      <c r="A618">
        <f>'RESUMEN TOTAL'!A683</f>
        <v>0</v>
      </c>
      <c r="B618">
        <f>'RESUMEN TOTAL'!B683</f>
        <v>0</v>
      </c>
      <c r="C618">
        <f>'RESUMEN TOTAL'!D683</f>
        <v>0</v>
      </c>
      <c r="D618" s="30">
        <f>'RESUMEN TOTAL'!E683</f>
        <v>0</v>
      </c>
      <c r="E618" s="30">
        <f>'RESUMEN TOTAL'!F683</f>
        <v>0</v>
      </c>
      <c r="F618" s="70">
        <f>'RESUMEN TOTAL'!L683</f>
        <v>0</v>
      </c>
      <c r="G618" s="70">
        <f>'RESUMEN TOTAL'!M683</f>
        <v>0</v>
      </c>
      <c r="H618" s="70">
        <f>'RESUMEN TOTAL'!N683</f>
        <v>0</v>
      </c>
      <c r="I618" s="70">
        <f>'RESUMEN TOTAL'!O683</f>
        <v>0</v>
      </c>
      <c r="J618" s="70">
        <f>'RESUMEN TOTAL'!P683</f>
        <v>0</v>
      </c>
      <c r="K618" s="70">
        <f>'RESUMEN TOTAL'!Q683</f>
        <v>0</v>
      </c>
      <c r="L618" s="70">
        <f>'RESUMEN TOTAL'!R683</f>
        <v>0</v>
      </c>
      <c r="M618" s="70">
        <f>'RESUMEN TOTAL'!S683</f>
        <v>0</v>
      </c>
      <c r="N618" s="70">
        <f>'RESUMEN TOTAL'!T683</f>
        <v>0</v>
      </c>
      <c r="O618" s="70">
        <f>'RESUMEN TOTAL'!U683</f>
        <v>0</v>
      </c>
      <c r="P618" s="70">
        <f>'RESUMEN TOTAL'!V683</f>
        <v>0</v>
      </c>
      <c r="Q618" s="70">
        <f>'RESUMEN TOTAL'!W683</f>
        <v>0</v>
      </c>
      <c r="R618" s="70">
        <f>'RESUMEN TOTAL'!X683</f>
        <v>0</v>
      </c>
      <c r="S618" s="70">
        <f>'RESUMEN TOTAL'!Y683</f>
        <v>0</v>
      </c>
      <c r="T618" s="70">
        <f>'RESUMEN TOTAL'!Z683</f>
        <v>0</v>
      </c>
      <c r="U618" s="70">
        <f>'RESUMEN TOTAL'!AA683</f>
        <v>0</v>
      </c>
      <c r="V618" s="70">
        <f>'RESUMEN TOTAL'!AB683</f>
        <v>0</v>
      </c>
      <c r="W618" s="70">
        <f>'RESUMEN TOTAL'!AC683</f>
        <v>0</v>
      </c>
      <c r="X618" s="70">
        <f>'RESUMEN TOTAL'!AD683</f>
        <v>0</v>
      </c>
      <c r="Y618" s="70">
        <f>'RESUMEN TOTAL'!AE683</f>
        <v>0</v>
      </c>
      <c r="Z618" s="70">
        <f>'RESUMEN TOTAL'!AF683</f>
        <v>0</v>
      </c>
      <c r="AA618" s="70">
        <f>'RESUMEN TOTAL'!AG683</f>
        <v>0</v>
      </c>
      <c r="AB618" s="70">
        <f>'RESUMEN TOTAL'!AH683</f>
        <v>0</v>
      </c>
      <c r="AC618" s="70">
        <f>'RESUMEN TOTAL'!AI683</f>
        <v>0</v>
      </c>
      <c r="AD618" s="70">
        <f>'RESUMEN TOTAL'!AJ683</f>
        <v>0</v>
      </c>
      <c r="AE618" s="70">
        <f>'RESUMEN TOTAL'!AK683</f>
        <v>0</v>
      </c>
      <c r="AF618" s="70">
        <f>'RESUMEN TOTAL'!AL683</f>
        <v>0</v>
      </c>
      <c r="AG618" s="70">
        <f>'RESUMEN TOTAL'!AM683</f>
        <v>0</v>
      </c>
      <c r="AH618" s="70">
        <f>'RESUMEN TOTAL'!AN683</f>
        <v>0</v>
      </c>
      <c r="AI618" s="70">
        <f>'RESUMEN TOTAL'!AO683</f>
        <v>0</v>
      </c>
    </row>
    <row r="619" spans="1:35" x14ac:dyDescent="0.25">
      <c r="A619">
        <f>'RESUMEN TOTAL'!A684</f>
        <v>0</v>
      </c>
      <c r="B619">
        <f>'RESUMEN TOTAL'!B684</f>
        <v>0</v>
      </c>
      <c r="C619">
        <f>'RESUMEN TOTAL'!D684</f>
        <v>0</v>
      </c>
      <c r="D619" s="30">
        <f>'RESUMEN TOTAL'!E684</f>
        <v>0</v>
      </c>
      <c r="E619" s="30">
        <f>'RESUMEN TOTAL'!F684</f>
        <v>0</v>
      </c>
      <c r="F619" s="70">
        <f>'RESUMEN TOTAL'!L684</f>
        <v>0</v>
      </c>
      <c r="G619" s="70">
        <f>'RESUMEN TOTAL'!M684</f>
        <v>0</v>
      </c>
      <c r="H619" s="70">
        <f>'RESUMEN TOTAL'!N684</f>
        <v>0</v>
      </c>
      <c r="I619" s="70">
        <f>'RESUMEN TOTAL'!O684</f>
        <v>0</v>
      </c>
      <c r="J619" s="70">
        <f>'RESUMEN TOTAL'!P684</f>
        <v>0</v>
      </c>
      <c r="K619" s="70">
        <f>'RESUMEN TOTAL'!Q684</f>
        <v>0</v>
      </c>
      <c r="L619" s="70">
        <f>'RESUMEN TOTAL'!R684</f>
        <v>0</v>
      </c>
      <c r="M619" s="70">
        <f>'RESUMEN TOTAL'!S684</f>
        <v>0</v>
      </c>
      <c r="N619" s="70">
        <f>'RESUMEN TOTAL'!T684</f>
        <v>0</v>
      </c>
      <c r="O619" s="70">
        <f>'RESUMEN TOTAL'!U684</f>
        <v>0</v>
      </c>
      <c r="P619" s="70">
        <f>'RESUMEN TOTAL'!V684</f>
        <v>0</v>
      </c>
      <c r="Q619" s="70">
        <f>'RESUMEN TOTAL'!W684</f>
        <v>0</v>
      </c>
      <c r="R619" s="70">
        <f>'RESUMEN TOTAL'!X684</f>
        <v>0</v>
      </c>
      <c r="S619" s="70">
        <f>'RESUMEN TOTAL'!Y684</f>
        <v>0</v>
      </c>
      <c r="T619" s="70">
        <f>'RESUMEN TOTAL'!Z684</f>
        <v>0</v>
      </c>
      <c r="U619" s="70">
        <f>'RESUMEN TOTAL'!AA684</f>
        <v>0</v>
      </c>
      <c r="V619" s="70">
        <f>'RESUMEN TOTAL'!AB684</f>
        <v>0</v>
      </c>
      <c r="W619" s="70">
        <f>'RESUMEN TOTAL'!AC684</f>
        <v>0</v>
      </c>
      <c r="X619" s="70">
        <f>'RESUMEN TOTAL'!AD684</f>
        <v>0</v>
      </c>
      <c r="Y619" s="70">
        <f>'RESUMEN TOTAL'!AE684</f>
        <v>0</v>
      </c>
      <c r="Z619" s="70">
        <f>'RESUMEN TOTAL'!AF684</f>
        <v>0</v>
      </c>
      <c r="AA619" s="70">
        <f>'RESUMEN TOTAL'!AG684</f>
        <v>0</v>
      </c>
      <c r="AB619" s="70">
        <f>'RESUMEN TOTAL'!AH684</f>
        <v>0</v>
      </c>
      <c r="AC619" s="70">
        <f>'RESUMEN TOTAL'!AI684</f>
        <v>0</v>
      </c>
      <c r="AD619" s="70">
        <f>'RESUMEN TOTAL'!AJ684</f>
        <v>0</v>
      </c>
      <c r="AE619" s="70">
        <f>'RESUMEN TOTAL'!AK684</f>
        <v>0</v>
      </c>
      <c r="AF619" s="70">
        <f>'RESUMEN TOTAL'!AL684</f>
        <v>0</v>
      </c>
      <c r="AG619" s="70">
        <f>'RESUMEN TOTAL'!AM684</f>
        <v>0</v>
      </c>
      <c r="AH619" s="70">
        <f>'RESUMEN TOTAL'!AN684</f>
        <v>0</v>
      </c>
      <c r="AI619" s="70">
        <f>'RESUMEN TOTAL'!AO684</f>
        <v>0</v>
      </c>
    </row>
    <row r="620" spans="1:35" x14ac:dyDescent="0.25">
      <c r="A620">
        <f>'RESUMEN TOTAL'!A685</f>
        <v>0</v>
      </c>
      <c r="B620">
        <f>'RESUMEN TOTAL'!B685</f>
        <v>0</v>
      </c>
      <c r="C620">
        <f>'RESUMEN TOTAL'!D685</f>
        <v>0</v>
      </c>
      <c r="D620" s="30">
        <f>'RESUMEN TOTAL'!E685</f>
        <v>0</v>
      </c>
      <c r="E620" s="30">
        <f>'RESUMEN TOTAL'!F685</f>
        <v>0</v>
      </c>
      <c r="F620" s="70">
        <f>'RESUMEN TOTAL'!L685</f>
        <v>0</v>
      </c>
      <c r="G620" s="70">
        <f>'RESUMEN TOTAL'!M685</f>
        <v>0</v>
      </c>
      <c r="H620" s="70">
        <f>'RESUMEN TOTAL'!N685</f>
        <v>0</v>
      </c>
      <c r="I620" s="70">
        <f>'RESUMEN TOTAL'!O685</f>
        <v>0</v>
      </c>
      <c r="J620" s="70">
        <f>'RESUMEN TOTAL'!P685</f>
        <v>0</v>
      </c>
      <c r="K620" s="70">
        <f>'RESUMEN TOTAL'!Q685</f>
        <v>0</v>
      </c>
      <c r="L620" s="70">
        <f>'RESUMEN TOTAL'!R685</f>
        <v>0</v>
      </c>
      <c r="M620" s="70">
        <f>'RESUMEN TOTAL'!S685</f>
        <v>0</v>
      </c>
      <c r="N620" s="70">
        <f>'RESUMEN TOTAL'!T685</f>
        <v>0</v>
      </c>
      <c r="O620" s="70">
        <f>'RESUMEN TOTAL'!U685</f>
        <v>0</v>
      </c>
      <c r="P620" s="70">
        <f>'RESUMEN TOTAL'!V685</f>
        <v>0</v>
      </c>
      <c r="Q620" s="70">
        <f>'RESUMEN TOTAL'!W685</f>
        <v>0</v>
      </c>
      <c r="R620" s="70">
        <f>'RESUMEN TOTAL'!X685</f>
        <v>0</v>
      </c>
      <c r="S620" s="70">
        <f>'RESUMEN TOTAL'!Y685</f>
        <v>0</v>
      </c>
      <c r="T620" s="70">
        <f>'RESUMEN TOTAL'!Z685</f>
        <v>0</v>
      </c>
      <c r="U620" s="70">
        <f>'RESUMEN TOTAL'!AA685</f>
        <v>0</v>
      </c>
      <c r="V620" s="70">
        <f>'RESUMEN TOTAL'!AB685</f>
        <v>0</v>
      </c>
      <c r="W620" s="70">
        <f>'RESUMEN TOTAL'!AC685</f>
        <v>0</v>
      </c>
      <c r="X620" s="70">
        <f>'RESUMEN TOTAL'!AD685</f>
        <v>0</v>
      </c>
      <c r="Y620" s="70">
        <f>'RESUMEN TOTAL'!AE685</f>
        <v>0</v>
      </c>
      <c r="Z620" s="70">
        <f>'RESUMEN TOTAL'!AF685</f>
        <v>0</v>
      </c>
      <c r="AA620" s="70">
        <f>'RESUMEN TOTAL'!AG685</f>
        <v>0</v>
      </c>
      <c r="AB620" s="70">
        <f>'RESUMEN TOTAL'!AH685</f>
        <v>0</v>
      </c>
      <c r="AC620" s="70">
        <f>'RESUMEN TOTAL'!AI685</f>
        <v>0</v>
      </c>
      <c r="AD620" s="70">
        <f>'RESUMEN TOTAL'!AJ685</f>
        <v>0</v>
      </c>
      <c r="AE620" s="70">
        <f>'RESUMEN TOTAL'!AK685</f>
        <v>0</v>
      </c>
      <c r="AF620" s="70">
        <f>'RESUMEN TOTAL'!AL685</f>
        <v>0</v>
      </c>
      <c r="AG620" s="70">
        <f>'RESUMEN TOTAL'!AM685</f>
        <v>0</v>
      </c>
      <c r="AH620" s="70">
        <f>'RESUMEN TOTAL'!AN685</f>
        <v>0</v>
      </c>
      <c r="AI620" s="70">
        <f>'RESUMEN TOTAL'!AO685</f>
        <v>0</v>
      </c>
    </row>
    <row r="621" spans="1:35" x14ac:dyDescent="0.25">
      <c r="A621">
        <f>'RESUMEN TOTAL'!A686</f>
        <v>0</v>
      </c>
      <c r="B621">
        <f>'RESUMEN TOTAL'!B686</f>
        <v>0</v>
      </c>
      <c r="C621">
        <f>'RESUMEN TOTAL'!D686</f>
        <v>0</v>
      </c>
      <c r="D621" s="30">
        <f>'RESUMEN TOTAL'!E686</f>
        <v>0</v>
      </c>
      <c r="E621" s="30">
        <f>'RESUMEN TOTAL'!F686</f>
        <v>0</v>
      </c>
      <c r="F621" s="70">
        <f>'RESUMEN TOTAL'!L686</f>
        <v>0</v>
      </c>
      <c r="G621" s="70">
        <f>'RESUMEN TOTAL'!M686</f>
        <v>0</v>
      </c>
      <c r="H621" s="70">
        <f>'RESUMEN TOTAL'!N686</f>
        <v>0</v>
      </c>
      <c r="I621" s="70">
        <f>'RESUMEN TOTAL'!O686</f>
        <v>0</v>
      </c>
      <c r="J621" s="70">
        <f>'RESUMEN TOTAL'!P686</f>
        <v>0</v>
      </c>
      <c r="K621" s="70">
        <f>'RESUMEN TOTAL'!Q686</f>
        <v>0</v>
      </c>
      <c r="L621" s="70">
        <f>'RESUMEN TOTAL'!R686</f>
        <v>0</v>
      </c>
      <c r="M621" s="70">
        <f>'RESUMEN TOTAL'!S686</f>
        <v>0</v>
      </c>
      <c r="N621" s="70">
        <f>'RESUMEN TOTAL'!T686</f>
        <v>0</v>
      </c>
      <c r="O621" s="70">
        <f>'RESUMEN TOTAL'!U686</f>
        <v>0</v>
      </c>
      <c r="P621" s="70">
        <f>'RESUMEN TOTAL'!V686</f>
        <v>0</v>
      </c>
      <c r="Q621" s="70">
        <f>'RESUMEN TOTAL'!W686</f>
        <v>0</v>
      </c>
      <c r="R621" s="70">
        <f>'RESUMEN TOTAL'!X686</f>
        <v>0</v>
      </c>
      <c r="S621" s="70">
        <f>'RESUMEN TOTAL'!Y686</f>
        <v>0</v>
      </c>
      <c r="T621" s="70">
        <f>'RESUMEN TOTAL'!Z686</f>
        <v>0</v>
      </c>
      <c r="U621" s="70">
        <f>'RESUMEN TOTAL'!AA686</f>
        <v>0</v>
      </c>
      <c r="V621" s="70">
        <f>'RESUMEN TOTAL'!AB686</f>
        <v>0</v>
      </c>
      <c r="W621" s="70">
        <f>'RESUMEN TOTAL'!AC686</f>
        <v>0</v>
      </c>
      <c r="X621" s="70">
        <f>'RESUMEN TOTAL'!AD686</f>
        <v>0</v>
      </c>
      <c r="Y621" s="70">
        <f>'RESUMEN TOTAL'!AE686</f>
        <v>0</v>
      </c>
      <c r="Z621" s="70">
        <f>'RESUMEN TOTAL'!AF686</f>
        <v>0</v>
      </c>
      <c r="AA621" s="70">
        <f>'RESUMEN TOTAL'!AG686</f>
        <v>0</v>
      </c>
      <c r="AB621" s="70">
        <f>'RESUMEN TOTAL'!AH686</f>
        <v>0</v>
      </c>
      <c r="AC621" s="70">
        <f>'RESUMEN TOTAL'!AI686</f>
        <v>0</v>
      </c>
      <c r="AD621" s="70">
        <f>'RESUMEN TOTAL'!AJ686</f>
        <v>0</v>
      </c>
      <c r="AE621" s="70">
        <f>'RESUMEN TOTAL'!AK686</f>
        <v>0</v>
      </c>
      <c r="AF621" s="70">
        <f>'RESUMEN TOTAL'!AL686</f>
        <v>0</v>
      </c>
      <c r="AG621" s="70">
        <f>'RESUMEN TOTAL'!AM686</f>
        <v>0</v>
      </c>
      <c r="AH621" s="70">
        <f>'RESUMEN TOTAL'!AN686</f>
        <v>0</v>
      </c>
      <c r="AI621" s="70">
        <f>'RESUMEN TOTAL'!AO686</f>
        <v>0</v>
      </c>
    </row>
    <row r="622" spans="1:35" x14ac:dyDescent="0.25">
      <c r="A622">
        <f>'RESUMEN TOTAL'!A687</f>
        <v>0</v>
      </c>
      <c r="B622">
        <f>'RESUMEN TOTAL'!B687</f>
        <v>0</v>
      </c>
      <c r="C622">
        <f>'RESUMEN TOTAL'!D687</f>
        <v>0</v>
      </c>
      <c r="D622" s="30">
        <f>'RESUMEN TOTAL'!E687</f>
        <v>0</v>
      </c>
      <c r="E622" s="30">
        <f>'RESUMEN TOTAL'!F687</f>
        <v>0</v>
      </c>
      <c r="F622" s="70">
        <f>'RESUMEN TOTAL'!L687</f>
        <v>0</v>
      </c>
      <c r="G622" s="70">
        <f>'RESUMEN TOTAL'!M687</f>
        <v>0</v>
      </c>
      <c r="H622" s="70">
        <f>'RESUMEN TOTAL'!N687</f>
        <v>0</v>
      </c>
      <c r="I622" s="70">
        <f>'RESUMEN TOTAL'!O687</f>
        <v>0</v>
      </c>
      <c r="J622" s="70">
        <f>'RESUMEN TOTAL'!P687</f>
        <v>0</v>
      </c>
      <c r="K622" s="70">
        <f>'RESUMEN TOTAL'!Q687</f>
        <v>0</v>
      </c>
      <c r="L622" s="70">
        <f>'RESUMEN TOTAL'!R687</f>
        <v>0</v>
      </c>
      <c r="M622" s="70">
        <f>'RESUMEN TOTAL'!S687</f>
        <v>0</v>
      </c>
      <c r="N622" s="70">
        <f>'RESUMEN TOTAL'!T687</f>
        <v>0</v>
      </c>
      <c r="O622" s="70">
        <f>'RESUMEN TOTAL'!U687</f>
        <v>0</v>
      </c>
      <c r="P622" s="70">
        <f>'RESUMEN TOTAL'!V687</f>
        <v>0</v>
      </c>
      <c r="Q622" s="70">
        <f>'RESUMEN TOTAL'!W687</f>
        <v>0</v>
      </c>
      <c r="R622" s="70">
        <f>'RESUMEN TOTAL'!X687</f>
        <v>0</v>
      </c>
      <c r="S622" s="70">
        <f>'RESUMEN TOTAL'!Y687</f>
        <v>0</v>
      </c>
      <c r="T622" s="70">
        <f>'RESUMEN TOTAL'!Z687</f>
        <v>0</v>
      </c>
      <c r="U622" s="70">
        <f>'RESUMEN TOTAL'!AA687</f>
        <v>0</v>
      </c>
      <c r="V622" s="70">
        <f>'RESUMEN TOTAL'!AB687</f>
        <v>0</v>
      </c>
      <c r="W622" s="70">
        <f>'RESUMEN TOTAL'!AC687</f>
        <v>0</v>
      </c>
      <c r="X622" s="70">
        <f>'RESUMEN TOTAL'!AD687</f>
        <v>0</v>
      </c>
      <c r="Y622" s="70">
        <f>'RESUMEN TOTAL'!AE687</f>
        <v>0</v>
      </c>
      <c r="Z622" s="70">
        <f>'RESUMEN TOTAL'!AF687</f>
        <v>0</v>
      </c>
      <c r="AA622" s="70">
        <f>'RESUMEN TOTAL'!AG687</f>
        <v>0</v>
      </c>
      <c r="AB622" s="70">
        <f>'RESUMEN TOTAL'!AH687</f>
        <v>0</v>
      </c>
      <c r="AC622" s="70">
        <f>'RESUMEN TOTAL'!AI687</f>
        <v>0</v>
      </c>
      <c r="AD622" s="70">
        <f>'RESUMEN TOTAL'!AJ687</f>
        <v>0</v>
      </c>
      <c r="AE622" s="70">
        <f>'RESUMEN TOTAL'!AK687</f>
        <v>0</v>
      </c>
      <c r="AF622" s="70">
        <f>'RESUMEN TOTAL'!AL687</f>
        <v>0</v>
      </c>
      <c r="AG622" s="70">
        <f>'RESUMEN TOTAL'!AM687</f>
        <v>0</v>
      </c>
      <c r="AH622" s="70">
        <f>'RESUMEN TOTAL'!AN687</f>
        <v>0</v>
      </c>
      <c r="AI622" s="70">
        <f>'RESUMEN TOTAL'!AO687</f>
        <v>0</v>
      </c>
    </row>
    <row r="623" spans="1:35" x14ac:dyDescent="0.25">
      <c r="A623">
        <f>'RESUMEN TOTAL'!A688</f>
        <v>0</v>
      </c>
      <c r="B623">
        <f>'RESUMEN TOTAL'!B688</f>
        <v>0</v>
      </c>
      <c r="C623">
        <f>'RESUMEN TOTAL'!D688</f>
        <v>0</v>
      </c>
      <c r="D623" s="30">
        <f>'RESUMEN TOTAL'!E688</f>
        <v>0</v>
      </c>
      <c r="E623" s="30">
        <f>'RESUMEN TOTAL'!F688</f>
        <v>0</v>
      </c>
      <c r="F623" s="70">
        <f>'RESUMEN TOTAL'!L688</f>
        <v>0</v>
      </c>
      <c r="G623" s="70">
        <f>'RESUMEN TOTAL'!M688</f>
        <v>0</v>
      </c>
      <c r="H623" s="70">
        <f>'RESUMEN TOTAL'!N688</f>
        <v>0</v>
      </c>
      <c r="I623" s="70">
        <f>'RESUMEN TOTAL'!O688</f>
        <v>0</v>
      </c>
      <c r="J623" s="70">
        <f>'RESUMEN TOTAL'!P688</f>
        <v>0</v>
      </c>
      <c r="K623" s="70">
        <f>'RESUMEN TOTAL'!Q688</f>
        <v>0</v>
      </c>
      <c r="L623" s="70">
        <f>'RESUMEN TOTAL'!R688</f>
        <v>0</v>
      </c>
      <c r="M623" s="70">
        <f>'RESUMEN TOTAL'!S688</f>
        <v>0</v>
      </c>
      <c r="N623" s="70">
        <f>'RESUMEN TOTAL'!T688</f>
        <v>0</v>
      </c>
      <c r="O623" s="70">
        <f>'RESUMEN TOTAL'!U688</f>
        <v>0</v>
      </c>
      <c r="P623" s="70">
        <f>'RESUMEN TOTAL'!V688</f>
        <v>0</v>
      </c>
      <c r="Q623" s="70">
        <f>'RESUMEN TOTAL'!W688</f>
        <v>0</v>
      </c>
      <c r="R623" s="70">
        <f>'RESUMEN TOTAL'!X688</f>
        <v>0</v>
      </c>
      <c r="S623" s="70">
        <f>'RESUMEN TOTAL'!Y688</f>
        <v>0</v>
      </c>
      <c r="T623" s="70">
        <f>'RESUMEN TOTAL'!Z688</f>
        <v>0</v>
      </c>
      <c r="U623" s="70">
        <f>'RESUMEN TOTAL'!AA688</f>
        <v>0</v>
      </c>
      <c r="V623" s="70">
        <f>'RESUMEN TOTAL'!AB688</f>
        <v>0</v>
      </c>
      <c r="W623" s="70">
        <f>'RESUMEN TOTAL'!AC688</f>
        <v>0</v>
      </c>
      <c r="X623" s="70">
        <f>'RESUMEN TOTAL'!AD688</f>
        <v>0</v>
      </c>
      <c r="Y623" s="70">
        <f>'RESUMEN TOTAL'!AE688</f>
        <v>0</v>
      </c>
      <c r="Z623" s="70">
        <f>'RESUMEN TOTAL'!AF688</f>
        <v>0</v>
      </c>
      <c r="AA623" s="70">
        <f>'RESUMEN TOTAL'!AG688</f>
        <v>0</v>
      </c>
      <c r="AB623" s="70">
        <f>'RESUMEN TOTAL'!AH688</f>
        <v>0</v>
      </c>
      <c r="AC623" s="70">
        <f>'RESUMEN TOTAL'!AI688</f>
        <v>0</v>
      </c>
      <c r="AD623" s="70">
        <f>'RESUMEN TOTAL'!AJ688</f>
        <v>0</v>
      </c>
      <c r="AE623" s="70">
        <f>'RESUMEN TOTAL'!AK688</f>
        <v>0</v>
      </c>
      <c r="AF623" s="70">
        <f>'RESUMEN TOTAL'!AL688</f>
        <v>0</v>
      </c>
      <c r="AG623" s="70">
        <f>'RESUMEN TOTAL'!AM688</f>
        <v>0</v>
      </c>
      <c r="AH623" s="70">
        <f>'RESUMEN TOTAL'!AN688</f>
        <v>0</v>
      </c>
      <c r="AI623" s="70">
        <f>'RESUMEN TOTAL'!AO688</f>
        <v>0</v>
      </c>
    </row>
    <row r="624" spans="1:35" x14ac:dyDescent="0.25">
      <c r="A624">
        <f>'RESUMEN TOTAL'!A689</f>
        <v>0</v>
      </c>
      <c r="B624">
        <f>'RESUMEN TOTAL'!B689</f>
        <v>0</v>
      </c>
      <c r="C624">
        <f>'RESUMEN TOTAL'!D689</f>
        <v>0</v>
      </c>
      <c r="D624" s="30">
        <f>'RESUMEN TOTAL'!E689</f>
        <v>0</v>
      </c>
      <c r="E624" s="30">
        <f>'RESUMEN TOTAL'!F689</f>
        <v>0</v>
      </c>
      <c r="F624" s="70">
        <f>'RESUMEN TOTAL'!L689</f>
        <v>0</v>
      </c>
      <c r="G624" s="70">
        <f>'RESUMEN TOTAL'!M689</f>
        <v>0</v>
      </c>
      <c r="H624" s="70">
        <f>'RESUMEN TOTAL'!N689</f>
        <v>0</v>
      </c>
      <c r="I624" s="70">
        <f>'RESUMEN TOTAL'!O689</f>
        <v>0</v>
      </c>
      <c r="J624" s="70">
        <f>'RESUMEN TOTAL'!P689</f>
        <v>0</v>
      </c>
      <c r="K624" s="70">
        <f>'RESUMEN TOTAL'!Q689</f>
        <v>0</v>
      </c>
      <c r="L624" s="70">
        <f>'RESUMEN TOTAL'!R689</f>
        <v>0</v>
      </c>
      <c r="M624" s="70">
        <f>'RESUMEN TOTAL'!S689</f>
        <v>0</v>
      </c>
      <c r="N624" s="70">
        <f>'RESUMEN TOTAL'!T689</f>
        <v>0</v>
      </c>
      <c r="O624" s="70">
        <f>'RESUMEN TOTAL'!U689</f>
        <v>0</v>
      </c>
      <c r="P624" s="70">
        <f>'RESUMEN TOTAL'!V689</f>
        <v>0</v>
      </c>
      <c r="Q624" s="70">
        <f>'RESUMEN TOTAL'!W689</f>
        <v>0</v>
      </c>
      <c r="R624" s="70">
        <f>'RESUMEN TOTAL'!X689</f>
        <v>0</v>
      </c>
      <c r="S624" s="70">
        <f>'RESUMEN TOTAL'!Y689</f>
        <v>0</v>
      </c>
      <c r="T624" s="70">
        <f>'RESUMEN TOTAL'!Z689</f>
        <v>0</v>
      </c>
      <c r="U624" s="70">
        <f>'RESUMEN TOTAL'!AA689</f>
        <v>0</v>
      </c>
      <c r="V624" s="70">
        <f>'RESUMEN TOTAL'!AB689</f>
        <v>0</v>
      </c>
      <c r="W624" s="70">
        <f>'RESUMEN TOTAL'!AC689</f>
        <v>0</v>
      </c>
      <c r="X624" s="70">
        <f>'RESUMEN TOTAL'!AD689</f>
        <v>0</v>
      </c>
      <c r="Y624" s="70">
        <f>'RESUMEN TOTAL'!AE689</f>
        <v>0</v>
      </c>
      <c r="Z624" s="70">
        <f>'RESUMEN TOTAL'!AF689</f>
        <v>0</v>
      </c>
      <c r="AA624" s="70">
        <f>'RESUMEN TOTAL'!AG689</f>
        <v>0</v>
      </c>
      <c r="AB624" s="70">
        <f>'RESUMEN TOTAL'!AH689</f>
        <v>0</v>
      </c>
      <c r="AC624" s="70">
        <f>'RESUMEN TOTAL'!AI689</f>
        <v>0</v>
      </c>
      <c r="AD624" s="70">
        <f>'RESUMEN TOTAL'!AJ689</f>
        <v>0</v>
      </c>
      <c r="AE624" s="70">
        <f>'RESUMEN TOTAL'!AK689</f>
        <v>0</v>
      </c>
      <c r="AF624" s="70">
        <f>'RESUMEN TOTAL'!AL689</f>
        <v>0</v>
      </c>
      <c r="AG624" s="70">
        <f>'RESUMEN TOTAL'!AM689</f>
        <v>0</v>
      </c>
      <c r="AH624" s="70">
        <f>'RESUMEN TOTAL'!AN689</f>
        <v>0</v>
      </c>
      <c r="AI624" s="70">
        <f>'RESUMEN TOTAL'!AO689</f>
        <v>0</v>
      </c>
    </row>
    <row r="625" spans="1:35" x14ac:dyDescent="0.25">
      <c r="A625">
        <f>'RESUMEN TOTAL'!A690</f>
        <v>0</v>
      </c>
      <c r="B625">
        <f>'RESUMEN TOTAL'!B690</f>
        <v>0</v>
      </c>
      <c r="C625">
        <f>'RESUMEN TOTAL'!D690</f>
        <v>0</v>
      </c>
      <c r="D625" s="30">
        <f>'RESUMEN TOTAL'!E690</f>
        <v>0</v>
      </c>
      <c r="E625" s="30">
        <f>'RESUMEN TOTAL'!F690</f>
        <v>0</v>
      </c>
      <c r="F625" s="70">
        <f>'RESUMEN TOTAL'!L690</f>
        <v>0</v>
      </c>
      <c r="G625" s="70">
        <f>'RESUMEN TOTAL'!M690</f>
        <v>0</v>
      </c>
      <c r="H625" s="70">
        <f>'RESUMEN TOTAL'!N690</f>
        <v>0</v>
      </c>
      <c r="I625" s="70">
        <f>'RESUMEN TOTAL'!O690</f>
        <v>0</v>
      </c>
      <c r="J625" s="70">
        <f>'RESUMEN TOTAL'!P690</f>
        <v>0</v>
      </c>
      <c r="K625" s="70">
        <f>'RESUMEN TOTAL'!Q690</f>
        <v>0</v>
      </c>
      <c r="L625" s="70">
        <f>'RESUMEN TOTAL'!R690</f>
        <v>0</v>
      </c>
      <c r="M625" s="70">
        <f>'RESUMEN TOTAL'!S690</f>
        <v>0</v>
      </c>
      <c r="N625" s="70">
        <f>'RESUMEN TOTAL'!T690</f>
        <v>0</v>
      </c>
      <c r="O625" s="70">
        <f>'RESUMEN TOTAL'!U690</f>
        <v>0</v>
      </c>
      <c r="P625" s="70">
        <f>'RESUMEN TOTAL'!V690</f>
        <v>0</v>
      </c>
      <c r="Q625" s="70">
        <f>'RESUMEN TOTAL'!W690</f>
        <v>0</v>
      </c>
      <c r="R625" s="70">
        <f>'RESUMEN TOTAL'!X690</f>
        <v>0</v>
      </c>
      <c r="S625" s="70">
        <f>'RESUMEN TOTAL'!Y690</f>
        <v>0</v>
      </c>
      <c r="T625" s="70">
        <f>'RESUMEN TOTAL'!Z690</f>
        <v>0</v>
      </c>
      <c r="U625" s="70">
        <f>'RESUMEN TOTAL'!AA690</f>
        <v>0</v>
      </c>
      <c r="V625" s="70">
        <f>'RESUMEN TOTAL'!AB690</f>
        <v>0</v>
      </c>
      <c r="W625" s="70">
        <f>'RESUMEN TOTAL'!AC690</f>
        <v>0</v>
      </c>
      <c r="X625" s="70">
        <f>'RESUMEN TOTAL'!AD690</f>
        <v>0</v>
      </c>
      <c r="Y625" s="70">
        <f>'RESUMEN TOTAL'!AE690</f>
        <v>0</v>
      </c>
      <c r="Z625" s="70">
        <f>'RESUMEN TOTAL'!AF690</f>
        <v>0</v>
      </c>
      <c r="AA625" s="70">
        <f>'RESUMEN TOTAL'!AG690</f>
        <v>0</v>
      </c>
      <c r="AB625" s="70">
        <f>'RESUMEN TOTAL'!AH690</f>
        <v>0</v>
      </c>
      <c r="AC625" s="70">
        <f>'RESUMEN TOTAL'!AI690</f>
        <v>0</v>
      </c>
      <c r="AD625" s="70">
        <f>'RESUMEN TOTAL'!AJ690</f>
        <v>0</v>
      </c>
      <c r="AE625" s="70">
        <f>'RESUMEN TOTAL'!AK690</f>
        <v>0</v>
      </c>
      <c r="AF625" s="70">
        <f>'RESUMEN TOTAL'!AL690</f>
        <v>0</v>
      </c>
      <c r="AG625" s="70">
        <f>'RESUMEN TOTAL'!AM690</f>
        <v>0</v>
      </c>
      <c r="AH625" s="70">
        <f>'RESUMEN TOTAL'!AN690</f>
        <v>0</v>
      </c>
      <c r="AI625" s="70">
        <f>'RESUMEN TOTAL'!AO690</f>
        <v>0</v>
      </c>
    </row>
    <row r="626" spans="1:35" x14ac:dyDescent="0.25">
      <c r="A626">
        <f>'RESUMEN TOTAL'!A691</f>
        <v>0</v>
      </c>
      <c r="B626">
        <f>'RESUMEN TOTAL'!B691</f>
        <v>0</v>
      </c>
      <c r="C626">
        <f>'RESUMEN TOTAL'!D691</f>
        <v>0</v>
      </c>
      <c r="D626" s="30">
        <f>'RESUMEN TOTAL'!E691</f>
        <v>0</v>
      </c>
      <c r="E626" s="30">
        <f>'RESUMEN TOTAL'!F691</f>
        <v>0</v>
      </c>
      <c r="F626" s="70">
        <f>'RESUMEN TOTAL'!L691</f>
        <v>0</v>
      </c>
      <c r="G626" s="70">
        <f>'RESUMEN TOTAL'!M691</f>
        <v>0</v>
      </c>
      <c r="H626" s="70">
        <f>'RESUMEN TOTAL'!N691</f>
        <v>0</v>
      </c>
      <c r="I626" s="70">
        <f>'RESUMEN TOTAL'!O691</f>
        <v>0</v>
      </c>
      <c r="J626" s="70">
        <f>'RESUMEN TOTAL'!P691</f>
        <v>0</v>
      </c>
      <c r="K626" s="70">
        <f>'RESUMEN TOTAL'!Q691</f>
        <v>0</v>
      </c>
      <c r="L626" s="70">
        <f>'RESUMEN TOTAL'!R691</f>
        <v>0</v>
      </c>
      <c r="M626" s="70">
        <f>'RESUMEN TOTAL'!S691</f>
        <v>0</v>
      </c>
      <c r="N626" s="70">
        <f>'RESUMEN TOTAL'!T691</f>
        <v>0</v>
      </c>
      <c r="O626" s="70">
        <f>'RESUMEN TOTAL'!U691</f>
        <v>0</v>
      </c>
      <c r="P626" s="70">
        <f>'RESUMEN TOTAL'!V691</f>
        <v>0</v>
      </c>
      <c r="Q626" s="70">
        <f>'RESUMEN TOTAL'!W691</f>
        <v>0</v>
      </c>
      <c r="R626" s="70">
        <f>'RESUMEN TOTAL'!X691</f>
        <v>0</v>
      </c>
      <c r="S626" s="70">
        <f>'RESUMEN TOTAL'!Y691</f>
        <v>0</v>
      </c>
      <c r="T626" s="70">
        <f>'RESUMEN TOTAL'!Z691</f>
        <v>0</v>
      </c>
      <c r="U626" s="70">
        <f>'RESUMEN TOTAL'!AA691</f>
        <v>0</v>
      </c>
      <c r="V626" s="70">
        <f>'RESUMEN TOTAL'!AB691</f>
        <v>0</v>
      </c>
      <c r="W626" s="70">
        <f>'RESUMEN TOTAL'!AC691</f>
        <v>0</v>
      </c>
      <c r="X626" s="70">
        <f>'RESUMEN TOTAL'!AD691</f>
        <v>0</v>
      </c>
      <c r="Y626" s="70">
        <f>'RESUMEN TOTAL'!AE691</f>
        <v>0</v>
      </c>
      <c r="Z626" s="70">
        <f>'RESUMEN TOTAL'!AF691</f>
        <v>0</v>
      </c>
      <c r="AA626" s="70">
        <f>'RESUMEN TOTAL'!AG691</f>
        <v>0</v>
      </c>
      <c r="AB626" s="70">
        <f>'RESUMEN TOTAL'!AH691</f>
        <v>0</v>
      </c>
      <c r="AC626" s="70">
        <f>'RESUMEN TOTAL'!AI691</f>
        <v>0</v>
      </c>
      <c r="AD626" s="70">
        <f>'RESUMEN TOTAL'!AJ691</f>
        <v>0</v>
      </c>
      <c r="AE626" s="70">
        <f>'RESUMEN TOTAL'!AK691</f>
        <v>0</v>
      </c>
      <c r="AF626" s="70">
        <f>'RESUMEN TOTAL'!AL691</f>
        <v>0</v>
      </c>
      <c r="AG626" s="70">
        <f>'RESUMEN TOTAL'!AM691</f>
        <v>0</v>
      </c>
      <c r="AH626" s="70">
        <f>'RESUMEN TOTAL'!AN691</f>
        <v>0</v>
      </c>
      <c r="AI626" s="70">
        <f>'RESUMEN TOTAL'!AO691</f>
        <v>0</v>
      </c>
    </row>
    <row r="627" spans="1:35" x14ac:dyDescent="0.25">
      <c r="A627">
        <f>'RESUMEN TOTAL'!A692</f>
        <v>0</v>
      </c>
      <c r="B627">
        <f>'RESUMEN TOTAL'!B692</f>
        <v>0</v>
      </c>
      <c r="C627">
        <f>'RESUMEN TOTAL'!D692</f>
        <v>0</v>
      </c>
      <c r="D627" s="30">
        <f>'RESUMEN TOTAL'!E692</f>
        <v>0</v>
      </c>
      <c r="E627" s="30">
        <f>'RESUMEN TOTAL'!F692</f>
        <v>0</v>
      </c>
      <c r="F627" s="70">
        <f>'RESUMEN TOTAL'!L692</f>
        <v>0</v>
      </c>
      <c r="G627" s="70">
        <f>'RESUMEN TOTAL'!M692</f>
        <v>0</v>
      </c>
      <c r="H627" s="70">
        <f>'RESUMEN TOTAL'!N692</f>
        <v>0</v>
      </c>
      <c r="I627" s="70">
        <f>'RESUMEN TOTAL'!O692</f>
        <v>0</v>
      </c>
      <c r="J627" s="70">
        <f>'RESUMEN TOTAL'!P692</f>
        <v>0</v>
      </c>
      <c r="K627" s="70">
        <f>'RESUMEN TOTAL'!Q692</f>
        <v>0</v>
      </c>
      <c r="L627" s="70">
        <f>'RESUMEN TOTAL'!R692</f>
        <v>0</v>
      </c>
      <c r="M627" s="70">
        <f>'RESUMEN TOTAL'!S692</f>
        <v>0</v>
      </c>
      <c r="N627" s="70">
        <f>'RESUMEN TOTAL'!T692</f>
        <v>0</v>
      </c>
      <c r="O627" s="70">
        <f>'RESUMEN TOTAL'!U692</f>
        <v>0</v>
      </c>
      <c r="P627" s="70">
        <f>'RESUMEN TOTAL'!V692</f>
        <v>0</v>
      </c>
      <c r="Q627" s="70">
        <f>'RESUMEN TOTAL'!W692</f>
        <v>0</v>
      </c>
      <c r="R627" s="70">
        <f>'RESUMEN TOTAL'!X692</f>
        <v>0</v>
      </c>
      <c r="S627" s="70">
        <f>'RESUMEN TOTAL'!Y692</f>
        <v>0</v>
      </c>
      <c r="T627" s="70">
        <f>'RESUMEN TOTAL'!Z692</f>
        <v>0</v>
      </c>
      <c r="U627" s="70">
        <f>'RESUMEN TOTAL'!AA692</f>
        <v>0</v>
      </c>
      <c r="V627" s="70">
        <f>'RESUMEN TOTAL'!AB692</f>
        <v>0</v>
      </c>
      <c r="W627" s="70">
        <f>'RESUMEN TOTAL'!AC692</f>
        <v>0</v>
      </c>
      <c r="X627" s="70">
        <f>'RESUMEN TOTAL'!AD692</f>
        <v>0</v>
      </c>
      <c r="Y627" s="70">
        <f>'RESUMEN TOTAL'!AE692</f>
        <v>0</v>
      </c>
      <c r="Z627" s="70">
        <f>'RESUMEN TOTAL'!AF692</f>
        <v>0</v>
      </c>
      <c r="AA627" s="70">
        <f>'RESUMEN TOTAL'!AG692</f>
        <v>0</v>
      </c>
      <c r="AB627" s="70">
        <f>'RESUMEN TOTAL'!AH692</f>
        <v>0</v>
      </c>
      <c r="AC627" s="70">
        <f>'RESUMEN TOTAL'!AI692</f>
        <v>0</v>
      </c>
      <c r="AD627" s="70">
        <f>'RESUMEN TOTAL'!AJ692</f>
        <v>0</v>
      </c>
      <c r="AE627" s="70">
        <f>'RESUMEN TOTAL'!AK692</f>
        <v>0</v>
      </c>
      <c r="AF627" s="70">
        <f>'RESUMEN TOTAL'!AL692</f>
        <v>0</v>
      </c>
      <c r="AG627" s="70">
        <f>'RESUMEN TOTAL'!AM692</f>
        <v>0</v>
      </c>
      <c r="AH627" s="70">
        <f>'RESUMEN TOTAL'!AN692</f>
        <v>0</v>
      </c>
      <c r="AI627" s="70">
        <f>'RESUMEN TOTAL'!AO692</f>
        <v>0</v>
      </c>
    </row>
    <row r="628" spans="1:35" x14ac:dyDescent="0.25">
      <c r="A628">
        <f>'RESUMEN TOTAL'!A693</f>
        <v>0</v>
      </c>
      <c r="B628">
        <f>'RESUMEN TOTAL'!B693</f>
        <v>0</v>
      </c>
      <c r="C628">
        <f>'RESUMEN TOTAL'!D693</f>
        <v>0</v>
      </c>
      <c r="D628" s="30">
        <f>'RESUMEN TOTAL'!E693</f>
        <v>0</v>
      </c>
      <c r="E628" s="30">
        <f>'RESUMEN TOTAL'!F693</f>
        <v>0</v>
      </c>
      <c r="F628" s="70">
        <f>'RESUMEN TOTAL'!L693</f>
        <v>0</v>
      </c>
      <c r="G628" s="70">
        <f>'RESUMEN TOTAL'!M693</f>
        <v>0</v>
      </c>
      <c r="H628" s="70">
        <f>'RESUMEN TOTAL'!N693</f>
        <v>0</v>
      </c>
      <c r="I628" s="70">
        <f>'RESUMEN TOTAL'!O693</f>
        <v>0</v>
      </c>
      <c r="J628" s="70">
        <f>'RESUMEN TOTAL'!P693</f>
        <v>0</v>
      </c>
      <c r="K628" s="70">
        <f>'RESUMEN TOTAL'!Q693</f>
        <v>0</v>
      </c>
      <c r="L628" s="70">
        <f>'RESUMEN TOTAL'!R693</f>
        <v>0</v>
      </c>
      <c r="M628" s="70">
        <f>'RESUMEN TOTAL'!S693</f>
        <v>0</v>
      </c>
      <c r="N628" s="70">
        <f>'RESUMEN TOTAL'!T693</f>
        <v>0</v>
      </c>
      <c r="O628" s="70">
        <f>'RESUMEN TOTAL'!U693</f>
        <v>0</v>
      </c>
      <c r="P628" s="70">
        <f>'RESUMEN TOTAL'!V693</f>
        <v>0</v>
      </c>
      <c r="Q628" s="70">
        <f>'RESUMEN TOTAL'!W693</f>
        <v>0</v>
      </c>
      <c r="R628" s="70">
        <f>'RESUMEN TOTAL'!X693</f>
        <v>0</v>
      </c>
      <c r="S628" s="70">
        <f>'RESUMEN TOTAL'!Y693</f>
        <v>0</v>
      </c>
      <c r="T628" s="70">
        <f>'RESUMEN TOTAL'!Z693</f>
        <v>0</v>
      </c>
      <c r="U628" s="70">
        <f>'RESUMEN TOTAL'!AA693</f>
        <v>0</v>
      </c>
      <c r="V628" s="70">
        <f>'RESUMEN TOTAL'!AB693</f>
        <v>0</v>
      </c>
      <c r="W628" s="70">
        <f>'RESUMEN TOTAL'!AC693</f>
        <v>0</v>
      </c>
      <c r="X628" s="70">
        <f>'RESUMEN TOTAL'!AD693</f>
        <v>0</v>
      </c>
      <c r="Y628" s="70">
        <f>'RESUMEN TOTAL'!AE693</f>
        <v>0</v>
      </c>
      <c r="Z628" s="70">
        <f>'RESUMEN TOTAL'!AF693</f>
        <v>0</v>
      </c>
      <c r="AA628" s="70">
        <f>'RESUMEN TOTAL'!AG693</f>
        <v>0</v>
      </c>
      <c r="AB628" s="70">
        <f>'RESUMEN TOTAL'!AH693</f>
        <v>0</v>
      </c>
      <c r="AC628" s="70">
        <f>'RESUMEN TOTAL'!AI693</f>
        <v>0</v>
      </c>
      <c r="AD628" s="70">
        <f>'RESUMEN TOTAL'!AJ693</f>
        <v>0</v>
      </c>
      <c r="AE628" s="70">
        <f>'RESUMEN TOTAL'!AK693</f>
        <v>0</v>
      </c>
      <c r="AF628" s="70">
        <f>'RESUMEN TOTAL'!AL693</f>
        <v>0</v>
      </c>
      <c r="AG628" s="70">
        <f>'RESUMEN TOTAL'!AM693</f>
        <v>0</v>
      </c>
      <c r="AH628" s="70">
        <f>'RESUMEN TOTAL'!AN693</f>
        <v>0</v>
      </c>
      <c r="AI628" s="70">
        <f>'RESUMEN TOTAL'!AO693</f>
        <v>0</v>
      </c>
    </row>
    <row r="629" spans="1:35" x14ac:dyDescent="0.25">
      <c r="A629">
        <f>'RESUMEN TOTAL'!A694</f>
        <v>0</v>
      </c>
      <c r="B629">
        <f>'RESUMEN TOTAL'!B694</f>
        <v>0</v>
      </c>
      <c r="C629">
        <f>'RESUMEN TOTAL'!D694</f>
        <v>0</v>
      </c>
      <c r="D629" s="30">
        <f>'RESUMEN TOTAL'!E694</f>
        <v>0</v>
      </c>
      <c r="E629" s="30">
        <f>'RESUMEN TOTAL'!F694</f>
        <v>0</v>
      </c>
      <c r="F629" s="70">
        <f>'RESUMEN TOTAL'!L694</f>
        <v>0</v>
      </c>
      <c r="G629" s="70">
        <f>'RESUMEN TOTAL'!M694</f>
        <v>0</v>
      </c>
      <c r="H629" s="70">
        <f>'RESUMEN TOTAL'!N694</f>
        <v>0</v>
      </c>
      <c r="I629" s="70">
        <f>'RESUMEN TOTAL'!O694</f>
        <v>0</v>
      </c>
      <c r="J629" s="70">
        <f>'RESUMEN TOTAL'!P694</f>
        <v>0</v>
      </c>
      <c r="K629" s="70">
        <f>'RESUMEN TOTAL'!Q694</f>
        <v>0</v>
      </c>
      <c r="L629" s="70">
        <f>'RESUMEN TOTAL'!R694</f>
        <v>0</v>
      </c>
      <c r="M629" s="70">
        <f>'RESUMEN TOTAL'!S694</f>
        <v>0</v>
      </c>
      <c r="N629" s="70">
        <f>'RESUMEN TOTAL'!T694</f>
        <v>0</v>
      </c>
      <c r="O629" s="70">
        <f>'RESUMEN TOTAL'!U694</f>
        <v>0</v>
      </c>
      <c r="P629" s="70">
        <f>'RESUMEN TOTAL'!V694</f>
        <v>0</v>
      </c>
      <c r="Q629" s="70">
        <f>'RESUMEN TOTAL'!W694</f>
        <v>0</v>
      </c>
      <c r="R629" s="70">
        <f>'RESUMEN TOTAL'!X694</f>
        <v>0</v>
      </c>
      <c r="S629" s="70">
        <f>'RESUMEN TOTAL'!Y694</f>
        <v>0</v>
      </c>
      <c r="T629" s="70">
        <f>'RESUMEN TOTAL'!Z694</f>
        <v>0</v>
      </c>
      <c r="U629" s="70">
        <f>'RESUMEN TOTAL'!AA694</f>
        <v>0</v>
      </c>
      <c r="V629" s="70">
        <f>'RESUMEN TOTAL'!AB694</f>
        <v>0</v>
      </c>
      <c r="W629" s="70">
        <f>'RESUMEN TOTAL'!AC694</f>
        <v>0</v>
      </c>
      <c r="X629" s="70">
        <f>'RESUMEN TOTAL'!AD694</f>
        <v>0</v>
      </c>
      <c r="Y629" s="70">
        <f>'RESUMEN TOTAL'!AE694</f>
        <v>0</v>
      </c>
      <c r="Z629" s="70">
        <f>'RESUMEN TOTAL'!AF694</f>
        <v>0</v>
      </c>
      <c r="AA629" s="70">
        <f>'RESUMEN TOTAL'!AG694</f>
        <v>0</v>
      </c>
      <c r="AB629" s="70">
        <f>'RESUMEN TOTAL'!AH694</f>
        <v>0</v>
      </c>
      <c r="AC629" s="70">
        <f>'RESUMEN TOTAL'!AI694</f>
        <v>0</v>
      </c>
      <c r="AD629" s="70">
        <f>'RESUMEN TOTAL'!AJ694</f>
        <v>0</v>
      </c>
      <c r="AE629" s="70">
        <f>'RESUMEN TOTAL'!AK694</f>
        <v>0</v>
      </c>
      <c r="AF629" s="70">
        <f>'RESUMEN TOTAL'!AL694</f>
        <v>0</v>
      </c>
      <c r="AG629" s="70">
        <f>'RESUMEN TOTAL'!AM694</f>
        <v>0</v>
      </c>
      <c r="AH629" s="70">
        <f>'RESUMEN TOTAL'!AN694</f>
        <v>0</v>
      </c>
      <c r="AI629" s="70">
        <f>'RESUMEN TOTAL'!AO694</f>
        <v>0</v>
      </c>
    </row>
    <row r="630" spans="1:35" x14ac:dyDescent="0.25">
      <c r="A630">
        <f>'RESUMEN TOTAL'!A695</f>
        <v>0</v>
      </c>
      <c r="B630">
        <f>'RESUMEN TOTAL'!B695</f>
        <v>0</v>
      </c>
      <c r="C630">
        <f>'RESUMEN TOTAL'!D695</f>
        <v>0</v>
      </c>
      <c r="D630" s="30">
        <f>'RESUMEN TOTAL'!E695</f>
        <v>0</v>
      </c>
      <c r="E630" s="30">
        <f>'RESUMEN TOTAL'!F695</f>
        <v>0</v>
      </c>
      <c r="F630" s="70">
        <f>'RESUMEN TOTAL'!L695</f>
        <v>0</v>
      </c>
      <c r="G630" s="70">
        <f>'RESUMEN TOTAL'!M695</f>
        <v>0</v>
      </c>
      <c r="H630" s="70">
        <f>'RESUMEN TOTAL'!N695</f>
        <v>0</v>
      </c>
      <c r="I630" s="70">
        <f>'RESUMEN TOTAL'!O695</f>
        <v>0</v>
      </c>
      <c r="J630" s="70">
        <f>'RESUMEN TOTAL'!P695</f>
        <v>0</v>
      </c>
      <c r="K630" s="70">
        <f>'RESUMEN TOTAL'!Q695</f>
        <v>0</v>
      </c>
      <c r="L630" s="70">
        <f>'RESUMEN TOTAL'!R695</f>
        <v>0</v>
      </c>
      <c r="M630" s="70">
        <f>'RESUMEN TOTAL'!S695</f>
        <v>0</v>
      </c>
      <c r="N630" s="70">
        <f>'RESUMEN TOTAL'!T695</f>
        <v>0</v>
      </c>
      <c r="O630" s="70">
        <f>'RESUMEN TOTAL'!U695</f>
        <v>0</v>
      </c>
      <c r="P630" s="70">
        <f>'RESUMEN TOTAL'!V695</f>
        <v>0</v>
      </c>
      <c r="Q630" s="70">
        <f>'RESUMEN TOTAL'!W695</f>
        <v>0</v>
      </c>
      <c r="R630" s="70">
        <f>'RESUMEN TOTAL'!X695</f>
        <v>0</v>
      </c>
      <c r="S630" s="70">
        <f>'RESUMEN TOTAL'!Y695</f>
        <v>0</v>
      </c>
      <c r="T630" s="70">
        <f>'RESUMEN TOTAL'!Z695</f>
        <v>0</v>
      </c>
      <c r="U630" s="70">
        <f>'RESUMEN TOTAL'!AA695</f>
        <v>0</v>
      </c>
      <c r="V630" s="70">
        <f>'RESUMEN TOTAL'!AB695</f>
        <v>0</v>
      </c>
      <c r="W630" s="70">
        <f>'RESUMEN TOTAL'!AC695</f>
        <v>0</v>
      </c>
      <c r="X630" s="70">
        <f>'RESUMEN TOTAL'!AD695</f>
        <v>0</v>
      </c>
      <c r="Y630" s="70">
        <f>'RESUMEN TOTAL'!AE695</f>
        <v>0</v>
      </c>
      <c r="Z630" s="70">
        <f>'RESUMEN TOTAL'!AF695</f>
        <v>0</v>
      </c>
      <c r="AA630" s="70">
        <f>'RESUMEN TOTAL'!AG695</f>
        <v>0</v>
      </c>
      <c r="AB630" s="70">
        <f>'RESUMEN TOTAL'!AH695</f>
        <v>0</v>
      </c>
      <c r="AC630" s="70">
        <f>'RESUMEN TOTAL'!AI695</f>
        <v>0</v>
      </c>
      <c r="AD630" s="70">
        <f>'RESUMEN TOTAL'!AJ695</f>
        <v>0</v>
      </c>
      <c r="AE630" s="70">
        <f>'RESUMEN TOTAL'!AK695</f>
        <v>0</v>
      </c>
      <c r="AF630" s="70">
        <f>'RESUMEN TOTAL'!AL695</f>
        <v>0</v>
      </c>
      <c r="AG630" s="70">
        <f>'RESUMEN TOTAL'!AM695</f>
        <v>0</v>
      </c>
      <c r="AH630" s="70">
        <f>'RESUMEN TOTAL'!AN695</f>
        <v>0</v>
      </c>
      <c r="AI630" s="70">
        <f>'RESUMEN TOTAL'!AO695</f>
        <v>0</v>
      </c>
    </row>
    <row r="631" spans="1:35" x14ac:dyDescent="0.25">
      <c r="A631">
        <f>'RESUMEN TOTAL'!A696</f>
        <v>0</v>
      </c>
      <c r="B631">
        <f>'RESUMEN TOTAL'!B696</f>
        <v>0</v>
      </c>
      <c r="C631">
        <f>'RESUMEN TOTAL'!D696</f>
        <v>0</v>
      </c>
      <c r="D631" s="30">
        <f>'RESUMEN TOTAL'!E696</f>
        <v>0</v>
      </c>
      <c r="E631" s="30">
        <f>'RESUMEN TOTAL'!F696</f>
        <v>0</v>
      </c>
      <c r="F631" s="70">
        <f>'RESUMEN TOTAL'!L696</f>
        <v>0</v>
      </c>
      <c r="G631" s="70">
        <f>'RESUMEN TOTAL'!M696</f>
        <v>0</v>
      </c>
      <c r="H631" s="70">
        <f>'RESUMEN TOTAL'!N696</f>
        <v>0</v>
      </c>
      <c r="I631" s="70">
        <f>'RESUMEN TOTAL'!O696</f>
        <v>0</v>
      </c>
      <c r="J631" s="70">
        <f>'RESUMEN TOTAL'!P696</f>
        <v>0</v>
      </c>
      <c r="K631" s="70">
        <f>'RESUMEN TOTAL'!Q696</f>
        <v>0</v>
      </c>
      <c r="L631" s="70">
        <f>'RESUMEN TOTAL'!R696</f>
        <v>0</v>
      </c>
      <c r="M631" s="70">
        <f>'RESUMEN TOTAL'!S696</f>
        <v>0</v>
      </c>
      <c r="N631" s="70">
        <f>'RESUMEN TOTAL'!T696</f>
        <v>0</v>
      </c>
      <c r="O631" s="70">
        <f>'RESUMEN TOTAL'!U696</f>
        <v>0</v>
      </c>
      <c r="P631" s="70">
        <f>'RESUMEN TOTAL'!V696</f>
        <v>0</v>
      </c>
      <c r="Q631" s="70">
        <f>'RESUMEN TOTAL'!W696</f>
        <v>0</v>
      </c>
      <c r="R631" s="70">
        <f>'RESUMEN TOTAL'!X696</f>
        <v>0</v>
      </c>
      <c r="S631" s="70">
        <f>'RESUMEN TOTAL'!Y696</f>
        <v>0</v>
      </c>
      <c r="T631" s="70">
        <f>'RESUMEN TOTAL'!Z696</f>
        <v>0</v>
      </c>
      <c r="U631" s="70">
        <f>'RESUMEN TOTAL'!AA696</f>
        <v>0</v>
      </c>
      <c r="V631" s="70">
        <f>'RESUMEN TOTAL'!AB696</f>
        <v>0</v>
      </c>
      <c r="W631" s="70">
        <f>'RESUMEN TOTAL'!AC696</f>
        <v>0</v>
      </c>
      <c r="X631" s="70">
        <f>'RESUMEN TOTAL'!AD696</f>
        <v>0</v>
      </c>
      <c r="Y631" s="70">
        <f>'RESUMEN TOTAL'!AE696</f>
        <v>0</v>
      </c>
      <c r="Z631" s="70">
        <f>'RESUMEN TOTAL'!AF696</f>
        <v>0</v>
      </c>
      <c r="AA631" s="70">
        <f>'RESUMEN TOTAL'!AG696</f>
        <v>0</v>
      </c>
      <c r="AB631" s="70">
        <f>'RESUMEN TOTAL'!AH696</f>
        <v>0</v>
      </c>
      <c r="AC631" s="70">
        <f>'RESUMEN TOTAL'!AI696</f>
        <v>0</v>
      </c>
      <c r="AD631" s="70">
        <f>'RESUMEN TOTAL'!AJ696</f>
        <v>0</v>
      </c>
      <c r="AE631" s="70">
        <f>'RESUMEN TOTAL'!AK696</f>
        <v>0</v>
      </c>
      <c r="AF631" s="70">
        <f>'RESUMEN TOTAL'!AL696</f>
        <v>0</v>
      </c>
      <c r="AG631" s="70">
        <f>'RESUMEN TOTAL'!AM696</f>
        <v>0</v>
      </c>
      <c r="AH631" s="70">
        <f>'RESUMEN TOTAL'!AN696</f>
        <v>0</v>
      </c>
      <c r="AI631" s="70">
        <f>'RESUMEN TOTAL'!AO696</f>
        <v>0</v>
      </c>
    </row>
    <row r="632" spans="1:35" x14ac:dyDescent="0.25">
      <c r="A632">
        <f>'RESUMEN TOTAL'!A697</f>
        <v>0</v>
      </c>
      <c r="B632">
        <f>'RESUMEN TOTAL'!B697</f>
        <v>0</v>
      </c>
      <c r="C632">
        <f>'RESUMEN TOTAL'!D697</f>
        <v>0</v>
      </c>
      <c r="D632" s="30">
        <f>'RESUMEN TOTAL'!E697</f>
        <v>0</v>
      </c>
      <c r="E632" s="30">
        <f>'RESUMEN TOTAL'!F697</f>
        <v>0</v>
      </c>
      <c r="F632" s="70">
        <f>'RESUMEN TOTAL'!L697</f>
        <v>0</v>
      </c>
      <c r="G632" s="70">
        <f>'RESUMEN TOTAL'!M697</f>
        <v>0</v>
      </c>
      <c r="H632" s="70">
        <f>'RESUMEN TOTAL'!N697</f>
        <v>0</v>
      </c>
      <c r="I632" s="70">
        <f>'RESUMEN TOTAL'!O697</f>
        <v>0</v>
      </c>
      <c r="J632" s="70">
        <f>'RESUMEN TOTAL'!P697</f>
        <v>0</v>
      </c>
      <c r="K632" s="70">
        <f>'RESUMEN TOTAL'!Q697</f>
        <v>0</v>
      </c>
      <c r="L632" s="70">
        <f>'RESUMEN TOTAL'!R697</f>
        <v>0</v>
      </c>
      <c r="M632" s="70">
        <f>'RESUMEN TOTAL'!S697</f>
        <v>0</v>
      </c>
      <c r="N632" s="70">
        <f>'RESUMEN TOTAL'!T697</f>
        <v>0</v>
      </c>
      <c r="O632" s="70">
        <f>'RESUMEN TOTAL'!U697</f>
        <v>0</v>
      </c>
      <c r="P632" s="70">
        <f>'RESUMEN TOTAL'!V697</f>
        <v>0</v>
      </c>
      <c r="Q632" s="70">
        <f>'RESUMEN TOTAL'!W697</f>
        <v>0</v>
      </c>
      <c r="R632" s="70">
        <f>'RESUMEN TOTAL'!X697</f>
        <v>0</v>
      </c>
      <c r="S632" s="70">
        <f>'RESUMEN TOTAL'!Y697</f>
        <v>0</v>
      </c>
      <c r="T632" s="70">
        <f>'RESUMEN TOTAL'!Z697</f>
        <v>0</v>
      </c>
      <c r="U632" s="70">
        <f>'RESUMEN TOTAL'!AA697</f>
        <v>0</v>
      </c>
      <c r="V632" s="70">
        <f>'RESUMEN TOTAL'!AB697</f>
        <v>0</v>
      </c>
      <c r="W632" s="70">
        <f>'RESUMEN TOTAL'!AC697</f>
        <v>0</v>
      </c>
      <c r="X632" s="70">
        <f>'RESUMEN TOTAL'!AD697</f>
        <v>0</v>
      </c>
      <c r="Y632" s="70">
        <f>'RESUMEN TOTAL'!AE697</f>
        <v>0</v>
      </c>
      <c r="Z632" s="70">
        <f>'RESUMEN TOTAL'!AF697</f>
        <v>0</v>
      </c>
      <c r="AA632" s="70">
        <f>'RESUMEN TOTAL'!AG697</f>
        <v>0</v>
      </c>
      <c r="AB632" s="70">
        <f>'RESUMEN TOTAL'!AH697</f>
        <v>0</v>
      </c>
      <c r="AC632" s="70">
        <f>'RESUMEN TOTAL'!AI697</f>
        <v>0</v>
      </c>
      <c r="AD632" s="70">
        <f>'RESUMEN TOTAL'!AJ697</f>
        <v>0</v>
      </c>
      <c r="AE632" s="70">
        <f>'RESUMEN TOTAL'!AK697</f>
        <v>0</v>
      </c>
      <c r="AF632" s="70">
        <f>'RESUMEN TOTAL'!AL697</f>
        <v>0</v>
      </c>
      <c r="AG632" s="70">
        <f>'RESUMEN TOTAL'!AM697</f>
        <v>0</v>
      </c>
      <c r="AH632" s="70">
        <f>'RESUMEN TOTAL'!AN697</f>
        <v>0</v>
      </c>
      <c r="AI632" s="70">
        <f>'RESUMEN TOTAL'!AO697</f>
        <v>0</v>
      </c>
    </row>
    <row r="633" spans="1:35" x14ac:dyDescent="0.25">
      <c r="A633">
        <f>'RESUMEN TOTAL'!A698</f>
        <v>0</v>
      </c>
      <c r="B633">
        <f>'RESUMEN TOTAL'!B698</f>
        <v>0</v>
      </c>
      <c r="C633">
        <f>'RESUMEN TOTAL'!D698</f>
        <v>0</v>
      </c>
      <c r="D633" s="30">
        <f>'RESUMEN TOTAL'!E698</f>
        <v>0</v>
      </c>
      <c r="E633" s="30">
        <f>'RESUMEN TOTAL'!F698</f>
        <v>0</v>
      </c>
      <c r="F633" s="70">
        <f>'RESUMEN TOTAL'!L698</f>
        <v>0</v>
      </c>
      <c r="G633" s="70">
        <f>'RESUMEN TOTAL'!M698</f>
        <v>0</v>
      </c>
      <c r="H633" s="70">
        <f>'RESUMEN TOTAL'!N698</f>
        <v>0</v>
      </c>
      <c r="I633" s="70">
        <f>'RESUMEN TOTAL'!O698</f>
        <v>0</v>
      </c>
      <c r="J633" s="70">
        <f>'RESUMEN TOTAL'!P698</f>
        <v>0</v>
      </c>
      <c r="K633" s="70">
        <f>'RESUMEN TOTAL'!Q698</f>
        <v>0</v>
      </c>
      <c r="L633" s="70">
        <f>'RESUMEN TOTAL'!R698</f>
        <v>0</v>
      </c>
      <c r="M633" s="70">
        <f>'RESUMEN TOTAL'!S698</f>
        <v>0</v>
      </c>
      <c r="N633" s="70">
        <f>'RESUMEN TOTAL'!T698</f>
        <v>0</v>
      </c>
      <c r="O633" s="70">
        <f>'RESUMEN TOTAL'!U698</f>
        <v>0</v>
      </c>
      <c r="P633" s="70">
        <f>'RESUMEN TOTAL'!V698</f>
        <v>0</v>
      </c>
      <c r="Q633" s="70">
        <f>'RESUMEN TOTAL'!W698</f>
        <v>0</v>
      </c>
      <c r="R633" s="70">
        <f>'RESUMEN TOTAL'!X698</f>
        <v>0</v>
      </c>
      <c r="S633" s="70">
        <f>'RESUMEN TOTAL'!Y698</f>
        <v>0</v>
      </c>
      <c r="T633" s="70">
        <f>'RESUMEN TOTAL'!Z698</f>
        <v>0</v>
      </c>
      <c r="U633" s="70">
        <f>'RESUMEN TOTAL'!AA698</f>
        <v>0</v>
      </c>
      <c r="V633" s="70">
        <f>'RESUMEN TOTAL'!AB698</f>
        <v>0</v>
      </c>
      <c r="W633" s="70">
        <f>'RESUMEN TOTAL'!AC698</f>
        <v>0</v>
      </c>
      <c r="X633" s="70">
        <f>'RESUMEN TOTAL'!AD698</f>
        <v>0</v>
      </c>
      <c r="Y633" s="70">
        <f>'RESUMEN TOTAL'!AE698</f>
        <v>0</v>
      </c>
      <c r="Z633" s="70">
        <f>'RESUMEN TOTAL'!AF698</f>
        <v>0</v>
      </c>
      <c r="AA633" s="70">
        <f>'RESUMEN TOTAL'!AG698</f>
        <v>0</v>
      </c>
      <c r="AB633" s="70">
        <f>'RESUMEN TOTAL'!AH698</f>
        <v>0</v>
      </c>
      <c r="AC633" s="70">
        <f>'RESUMEN TOTAL'!AI698</f>
        <v>0</v>
      </c>
      <c r="AD633" s="70">
        <f>'RESUMEN TOTAL'!AJ698</f>
        <v>0</v>
      </c>
      <c r="AE633" s="70">
        <f>'RESUMEN TOTAL'!AK698</f>
        <v>0</v>
      </c>
      <c r="AF633" s="70">
        <f>'RESUMEN TOTAL'!AL698</f>
        <v>0</v>
      </c>
      <c r="AG633" s="70">
        <f>'RESUMEN TOTAL'!AM698</f>
        <v>0</v>
      </c>
      <c r="AH633" s="70">
        <f>'RESUMEN TOTAL'!AN698</f>
        <v>0</v>
      </c>
      <c r="AI633" s="70">
        <f>'RESUMEN TOTAL'!AO698</f>
        <v>0</v>
      </c>
    </row>
    <row r="634" spans="1:35" x14ac:dyDescent="0.25">
      <c r="A634">
        <f>'RESUMEN TOTAL'!A699</f>
        <v>0</v>
      </c>
      <c r="B634">
        <f>'RESUMEN TOTAL'!B699</f>
        <v>0</v>
      </c>
      <c r="C634">
        <f>'RESUMEN TOTAL'!D699</f>
        <v>0</v>
      </c>
      <c r="D634" s="30">
        <f>'RESUMEN TOTAL'!E699</f>
        <v>0</v>
      </c>
      <c r="E634" s="30">
        <f>'RESUMEN TOTAL'!F699</f>
        <v>0</v>
      </c>
      <c r="F634" s="70">
        <f>'RESUMEN TOTAL'!L699</f>
        <v>0</v>
      </c>
      <c r="G634" s="70">
        <f>'RESUMEN TOTAL'!M699</f>
        <v>0</v>
      </c>
      <c r="H634" s="70">
        <f>'RESUMEN TOTAL'!N699</f>
        <v>0</v>
      </c>
      <c r="I634" s="70">
        <f>'RESUMEN TOTAL'!O699</f>
        <v>0</v>
      </c>
      <c r="J634" s="70">
        <f>'RESUMEN TOTAL'!P699</f>
        <v>0</v>
      </c>
      <c r="K634" s="70">
        <f>'RESUMEN TOTAL'!Q699</f>
        <v>0</v>
      </c>
      <c r="L634" s="70">
        <f>'RESUMEN TOTAL'!R699</f>
        <v>0</v>
      </c>
      <c r="M634" s="70">
        <f>'RESUMEN TOTAL'!S699</f>
        <v>0</v>
      </c>
      <c r="N634" s="70">
        <f>'RESUMEN TOTAL'!T699</f>
        <v>0</v>
      </c>
      <c r="O634" s="70">
        <f>'RESUMEN TOTAL'!U699</f>
        <v>0</v>
      </c>
      <c r="P634" s="70">
        <f>'RESUMEN TOTAL'!V699</f>
        <v>0</v>
      </c>
      <c r="Q634" s="70">
        <f>'RESUMEN TOTAL'!W699</f>
        <v>0</v>
      </c>
      <c r="R634" s="70">
        <f>'RESUMEN TOTAL'!X699</f>
        <v>0</v>
      </c>
      <c r="S634" s="70">
        <f>'RESUMEN TOTAL'!Y699</f>
        <v>0</v>
      </c>
      <c r="T634" s="70">
        <f>'RESUMEN TOTAL'!Z699</f>
        <v>0</v>
      </c>
      <c r="U634" s="70">
        <f>'RESUMEN TOTAL'!AA699</f>
        <v>0</v>
      </c>
      <c r="V634" s="70">
        <f>'RESUMEN TOTAL'!AB699</f>
        <v>0</v>
      </c>
      <c r="W634" s="70">
        <f>'RESUMEN TOTAL'!AC699</f>
        <v>0</v>
      </c>
      <c r="X634" s="70">
        <f>'RESUMEN TOTAL'!AD699</f>
        <v>0</v>
      </c>
      <c r="Y634" s="70">
        <f>'RESUMEN TOTAL'!AE699</f>
        <v>0</v>
      </c>
      <c r="Z634" s="70">
        <f>'RESUMEN TOTAL'!AF699</f>
        <v>0</v>
      </c>
      <c r="AA634" s="70">
        <f>'RESUMEN TOTAL'!AG699</f>
        <v>0</v>
      </c>
      <c r="AB634" s="70">
        <f>'RESUMEN TOTAL'!AH699</f>
        <v>0</v>
      </c>
      <c r="AC634" s="70">
        <f>'RESUMEN TOTAL'!AI699</f>
        <v>0</v>
      </c>
      <c r="AD634" s="70">
        <f>'RESUMEN TOTAL'!AJ699</f>
        <v>0</v>
      </c>
      <c r="AE634" s="70">
        <f>'RESUMEN TOTAL'!AK699</f>
        <v>0</v>
      </c>
      <c r="AF634" s="70">
        <f>'RESUMEN TOTAL'!AL699</f>
        <v>0</v>
      </c>
      <c r="AG634" s="70">
        <f>'RESUMEN TOTAL'!AM699</f>
        <v>0</v>
      </c>
      <c r="AH634" s="70">
        <f>'RESUMEN TOTAL'!AN699</f>
        <v>0</v>
      </c>
      <c r="AI634" s="70">
        <f>'RESUMEN TOTAL'!AO699</f>
        <v>0</v>
      </c>
    </row>
    <row r="635" spans="1:35" x14ac:dyDescent="0.25">
      <c r="A635">
        <f>'RESUMEN TOTAL'!A700</f>
        <v>0</v>
      </c>
      <c r="B635">
        <f>'RESUMEN TOTAL'!B700</f>
        <v>0</v>
      </c>
      <c r="C635">
        <f>'RESUMEN TOTAL'!D700</f>
        <v>0</v>
      </c>
      <c r="D635" s="30">
        <f>'RESUMEN TOTAL'!E700</f>
        <v>0</v>
      </c>
      <c r="E635" s="30">
        <f>'RESUMEN TOTAL'!F700</f>
        <v>0</v>
      </c>
      <c r="F635" s="70">
        <f>'RESUMEN TOTAL'!L700</f>
        <v>0</v>
      </c>
      <c r="G635" s="70">
        <f>'RESUMEN TOTAL'!M700</f>
        <v>0</v>
      </c>
      <c r="H635" s="70">
        <f>'RESUMEN TOTAL'!N700</f>
        <v>0</v>
      </c>
      <c r="I635" s="70">
        <f>'RESUMEN TOTAL'!O700</f>
        <v>0</v>
      </c>
      <c r="J635" s="70">
        <f>'RESUMEN TOTAL'!P700</f>
        <v>0</v>
      </c>
      <c r="K635" s="70">
        <f>'RESUMEN TOTAL'!Q700</f>
        <v>0</v>
      </c>
      <c r="L635" s="70">
        <f>'RESUMEN TOTAL'!R700</f>
        <v>0</v>
      </c>
      <c r="M635" s="70">
        <f>'RESUMEN TOTAL'!S700</f>
        <v>0</v>
      </c>
      <c r="N635" s="70">
        <f>'RESUMEN TOTAL'!T700</f>
        <v>0</v>
      </c>
      <c r="O635" s="70">
        <f>'RESUMEN TOTAL'!U700</f>
        <v>0</v>
      </c>
      <c r="P635" s="70">
        <f>'RESUMEN TOTAL'!V700</f>
        <v>0</v>
      </c>
      <c r="Q635" s="70">
        <f>'RESUMEN TOTAL'!W700</f>
        <v>0</v>
      </c>
      <c r="R635" s="70">
        <f>'RESUMEN TOTAL'!X700</f>
        <v>0</v>
      </c>
      <c r="S635" s="70">
        <f>'RESUMEN TOTAL'!Y700</f>
        <v>0</v>
      </c>
      <c r="T635" s="70">
        <f>'RESUMEN TOTAL'!Z700</f>
        <v>0</v>
      </c>
      <c r="U635" s="70">
        <f>'RESUMEN TOTAL'!AA700</f>
        <v>0</v>
      </c>
      <c r="V635" s="70">
        <f>'RESUMEN TOTAL'!AB700</f>
        <v>0</v>
      </c>
      <c r="W635" s="70">
        <f>'RESUMEN TOTAL'!AC700</f>
        <v>0</v>
      </c>
      <c r="X635" s="70">
        <f>'RESUMEN TOTAL'!AD700</f>
        <v>0</v>
      </c>
      <c r="Y635" s="70">
        <f>'RESUMEN TOTAL'!AE700</f>
        <v>0</v>
      </c>
      <c r="Z635" s="70">
        <f>'RESUMEN TOTAL'!AF700</f>
        <v>0</v>
      </c>
      <c r="AA635" s="70">
        <f>'RESUMEN TOTAL'!AG700</f>
        <v>0</v>
      </c>
      <c r="AB635" s="70">
        <f>'RESUMEN TOTAL'!AH700</f>
        <v>0</v>
      </c>
      <c r="AC635" s="70">
        <f>'RESUMEN TOTAL'!AI700</f>
        <v>0</v>
      </c>
      <c r="AD635" s="70">
        <f>'RESUMEN TOTAL'!AJ700</f>
        <v>0</v>
      </c>
      <c r="AE635" s="70">
        <f>'RESUMEN TOTAL'!AK700</f>
        <v>0</v>
      </c>
      <c r="AF635" s="70">
        <f>'RESUMEN TOTAL'!AL700</f>
        <v>0</v>
      </c>
      <c r="AG635" s="70">
        <f>'RESUMEN TOTAL'!AM700</f>
        <v>0</v>
      </c>
      <c r="AH635" s="70">
        <f>'RESUMEN TOTAL'!AN700</f>
        <v>0</v>
      </c>
      <c r="AI635" s="70">
        <f>'RESUMEN TOTAL'!AO700</f>
        <v>0</v>
      </c>
    </row>
    <row r="636" spans="1:35" x14ac:dyDescent="0.25">
      <c r="A636">
        <f>'RESUMEN TOTAL'!A701</f>
        <v>0</v>
      </c>
      <c r="B636">
        <f>'RESUMEN TOTAL'!B701</f>
        <v>0</v>
      </c>
      <c r="C636">
        <f>'RESUMEN TOTAL'!D701</f>
        <v>0</v>
      </c>
      <c r="D636" s="30">
        <f>'RESUMEN TOTAL'!E701</f>
        <v>0</v>
      </c>
      <c r="E636" s="30">
        <f>'RESUMEN TOTAL'!F701</f>
        <v>0</v>
      </c>
      <c r="F636" s="70">
        <f>'RESUMEN TOTAL'!L701</f>
        <v>0</v>
      </c>
      <c r="G636" s="70">
        <f>'RESUMEN TOTAL'!M701</f>
        <v>0</v>
      </c>
      <c r="H636" s="70">
        <f>'RESUMEN TOTAL'!N701</f>
        <v>0</v>
      </c>
      <c r="I636" s="70">
        <f>'RESUMEN TOTAL'!O701</f>
        <v>0</v>
      </c>
      <c r="J636" s="70">
        <f>'RESUMEN TOTAL'!P701</f>
        <v>0</v>
      </c>
      <c r="K636" s="70">
        <f>'RESUMEN TOTAL'!Q701</f>
        <v>0</v>
      </c>
      <c r="L636" s="70">
        <f>'RESUMEN TOTAL'!R701</f>
        <v>0</v>
      </c>
      <c r="M636" s="70">
        <f>'RESUMEN TOTAL'!S701</f>
        <v>0</v>
      </c>
      <c r="N636" s="70">
        <f>'RESUMEN TOTAL'!T701</f>
        <v>0</v>
      </c>
      <c r="O636" s="70">
        <f>'RESUMEN TOTAL'!U701</f>
        <v>0</v>
      </c>
      <c r="P636" s="70">
        <f>'RESUMEN TOTAL'!V701</f>
        <v>0</v>
      </c>
      <c r="Q636" s="70">
        <f>'RESUMEN TOTAL'!W701</f>
        <v>0</v>
      </c>
      <c r="R636" s="70">
        <f>'RESUMEN TOTAL'!X701</f>
        <v>0</v>
      </c>
      <c r="S636" s="70">
        <f>'RESUMEN TOTAL'!Y701</f>
        <v>0</v>
      </c>
      <c r="T636" s="70">
        <f>'RESUMEN TOTAL'!Z701</f>
        <v>0</v>
      </c>
      <c r="U636" s="70">
        <f>'RESUMEN TOTAL'!AA701</f>
        <v>0</v>
      </c>
      <c r="V636" s="70">
        <f>'RESUMEN TOTAL'!AB701</f>
        <v>0</v>
      </c>
      <c r="W636" s="70">
        <f>'RESUMEN TOTAL'!AC701</f>
        <v>0</v>
      </c>
      <c r="X636" s="70">
        <f>'RESUMEN TOTAL'!AD701</f>
        <v>0</v>
      </c>
      <c r="Y636" s="70">
        <f>'RESUMEN TOTAL'!AE701</f>
        <v>0</v>
      </c>
      <c r="Z636" s="70">
        <f>'RESUMEN TOTAL'!AF701</f>
        <v>0</v>
      </c>
      <c r="AA636" s="70">
        <f>'RESUMEN TOTAL'!AG701</f>
        <v>0</v>
      </c>
      <c r="AB636" s="70">
        <f>'RESUMEN TOTAL'!AH701</f>
        <v>0</v>
      </c>
      <c r="AC636" s="70">
        <f>'RESUMEN TOTAL'!AI701</f>
        <v>0</v>
      </c>
      <c r="AD636" s="70">
        <f>'RESUMEN TOTAL'!AJ701</f>
        <v>0</v>
      </c>
      <c r="AE636" s="70">
        <f>'RESUMEN TOTAL'!AK701</f>
        <v>0</v>
      </c>
      <c r="AF636" s="70">
        <f>'RESUMEN TOTAL'!AL701</f>
        <v>0</v>
      </c>
      <c r="AG636" s="70">
        <f>'RESUMEN TOTAL'!AM701</f>
        <v>0</v>
      </c>
      <c r="AH636" s="70">
        <f>'RESUMEN TOTAL'!AN701</f>
        <v>0</v>
      </c>
      <c r="AI636" s="70">
        <f>'RESUMEN TOTAL'!AO701</f>
        <v>0</v>
      </c>
    </row>
    <row r="637" spans="1:35" x14ac:dyDescent="0.25">
      <c r="A637">
        <f>'RESUMEN TOTAL'!A702</f>
        <v>0</v>
      </c>
      <c r="B637">
        <f>'RESUMEN TOTAL'!B702</f>
        <v>0</v>
      </c>
      <c r="C637">
        <f>'RESUMEN TOTAL'!D702</f>
        <v>0</v>
      </c>
      <c r="D637" s="30">
        <f>'RESUMEN TOTAL'!E702</f>
        <v>0</v>
      </c>
      <c r="E637" s="30">
        <f>'RESUMEN TOTAL'!F702</f>
        <v>0</v>
      </c>
      <c r="F637" s="70">
        <f>'RESUMEN TOTAL'!L702</f>
        <v>0</v>
      </c>
      <c r="G637" s="70">
        <f>'RESUMEN TOTAL'!M702</f>
        <v>0</v>
      </c>
      <c r="H637" s="70">
        <f>'RESUMEN TOTAL'!N702</f>
        <v>0</v>
      </c>
      <c r="I637" s="70">
        <f>'RESUMEN TOTAL'!O702</f>
        <v>0</v>
      </c>
      <c r="J637" s="70">
        <f>'RESUMEN TOTAL'!P702</f>
        <v>0</v>
      </c>
      <c r="K637" s="70">
        <f>'RESUMEN TOTAL'!Q702</f>
        <v>0</v>
      </c>
      <c r="L637" s="70">
        <f>'RESUMEN TOTAL'!R702</f>
        <v>0</v>
      </c>
      <c r="M637" s="70">
        <f>'RESUMEN TOTAL'!S702</f>
        <v>0</v>
      </c>
      <c r="N637" s="70">
        <f>'RESUMEN TOTAL'!T702</f>
        <v>0</v>
      </c>
      <c r="O637" s="70">
        <f>'RESUMEN TOTAL'!U702</f>
        <v>0</v>
      </c>
      <c r="P637" s="70">
        <f>'RESUMEN TOTAL'!V702</f>
        <v>0</v>
      </c>
      <c r="Q637" s="70">
        <f>'RESUMEN TOTAL'!W702</f>
        <v>0</v>
      </c>
      <c r="R637" s="70">
        <f>'RESUMEN TOTAL'!X702</f>
        <v>0</v>
      </c>
      <c r="S637" s="70">
        <f>'RESUMEN TOTAL'!Y702</f>
        <v>0</v>
      </c>
      <c r="T637" s="70">
        <f>'RESUMEN TOTAL'!Z702</f>
        <v>0</v>
      </c>
      <c r="U637" s="70">
        <f>'RESUMEN TOTAL'!AA702</f>
        <v>0</v>
      </c>
      <c r="V637" s="70">
        <f>'RESUMEN TOTAL'!AB702</f>
        <v>0</v>
      </c>
      <c r="W637" s="70">
        <f>'RESUMEN TOTAL'!AC702</f>
        <v>0</v>
      </c>
      <c r="X637" s="70">
        <f>'RESUMEN TOTAL'!AD702</f>
        <v>0</v>
      </c>
      <c r="Y637" s="70">
        <f>'RESUMEN TOTAL'!AE702</f>
        <v>0</v>
      </c>
      <c r="Z637" s="70">
        <f>'RESUMEN TOTAL'!AF702</f>
        <v>0</v>
      </c>
      <c r="AA637" s="70">
        <f>'RESUMEN TOTAL'!AG702</f>
        <v>0</v>
      </c>
      <c r="AB637" s="70">
        <f>'RESUMEN TOTAL'!AH702</f>
        <v>0</v>
      </c>
      <c r="AC637" s="70">
        <f>'RESUMEN TOTAL'!AI702</f>
        <v>0</v>
      </c>
      <c r="AD637" s="70">
        <f>'RESUMEN TOTAL'!AJ702</f>
        <v>0</v>
      </c>
      <c r="AE637" s="70">
        <f>'RESUMEN TOTAL'!AK702</f>
        <v>0</v>
      </c>
      <c r="AF637" s="70">
        <f>'RESUMEN TOTAL'!AL702</f>
        <v>0</v>
      </c>
      <c r="AG637" s="70">
        <f>'RESUMEN TOTAL'!AM702</f>
        <v>0</v>
      </c>
      <c r="AH637" s="70">
        <f>'RESUMEN TOTAL'!AN702</f>
        <v>0</v>
      </c>
      <c r="AI637" s="70">
        <f>'RESUMEN TOTAL'!AO702</f>
        <v>0</v>
      </c>
    </row>
    <row r="638" spans="1:35" x14ac:dyDescent="0.25">
      <c r="A638">
        <f>'RESUMEN TOTAL'!A703</f>
        <v>0</v>
      </c>
      <c r="B638">
        <f>'RESUMEN TOTAL'!B703</f>
        <v>0</v>
      </c>
      <c r="C638">
        <f>'RESUMEN TOTAL'!D703</f>
        <v>0</v>
      </c>
      <c r="D638" s="30">
        <f>'RESUMEN TOTAL'!E703</f>
        <v>0</v>
      </c>
      <c r="E638" s="30">
        <f>'RESUMEN TOTAL'!F703</f>
        <v>0</v>
      </c>
      <c r="F638" s="70">
        <f>'RESUMEN TOTAL'!L703</f>
        <v>0</v>
      </c>
      <c r="G638" s="70">
        <f>'RESUMEN TOTAL'!M703</f>
        <v>0</v>
      </c>
      <c r="H638" s="70">
        <f>'RESUMEN TOTAL'!N703</f>
        <v>0</v>
      </c>
      <c r="I638" s="70">
        <f>'RESUMEN TOTAL'!O703</f>
        <v>0</v>
      </c>
      <c r="J638" s="70">
        <f>'RESUMEN TOTAL'!P703</f>
        <v>0</v>
      </c>
      <c r="K638" s="70">
        <f>'RESUMEN TOTAL'!Q703</f>
        <v>0</v>
      </c>
      <c r="L638" s="70">
        <f>'RESUMEN TOTAL'!R703</f>
        <v>0</v>
      </c>
      <c r="M638" s="70">
        <f>'RESUMEN TOTAL'!S703</f>
        <v>0</v>
      </c>
      <c r="N638" s="70">
        <f>'RESUMEN TOTAL'!T703</f>
        <v>0</v>
      </c>
      <c r="O638" s="70">
        <f>'RESUMEN TOTAL'!U703</f>
        <v>0</v>
      </c>
      <c r="P638" s="70">
        <f>'RESUMEN TOTAL'!V703</f>
        <v>0</v>
      </c>
      <c r="Q638" s="70">
        <f>'RESUMEN TOTAL'!W703</f>
        <v>0</v>
      </c>
      <c r="R638" s="70">
        <f>'RESUMEN TOTAL'!X703</f>
        <v>0</v>
      </c>
      <c r="S638" s="70">
        <f>'RESUMEN TOTAL'!Y703</f>
        <v>0</v>
      </c>
      <c r="T638" s="70">
        <f>'RESUMEN TOTAL'!Z703</f>
        <v>0</v>
      </c>
      <c r="U638" s="70">
        <f>'RESUMEN TOTAL'!AA703</f>
        <v>0</v>
      </c>
      <c r="V638" s="70">
        <f>'RESUMEN TOTAL'!AB703</f>
        <v>0</v>
      </c>
      <c r="W638" s="70">
        <f>'RESUMEN TOTAL'!AC703</f>
        <v>0</v>
      </c>
      <c r="X638" s="70">
        <f>'RESUMEN TOTAL'!AD703</f>
        <v>0</v>
      </c>
      <c r="Y638" s="70">
        <f>'RESUMEN TOTAL'!AE703</f>
        <v>0</v>
      </c>
      <c r="Z638" s="70">
        <f>'RESUMEN TOTAL'!AF703</f>
        <v>0</v>
      </c>
      <c r="AA638" s="70">
        <f>'RESUMEN TOTAL'!AG703</f>
        <v>0</v>
      </c>
      <c r="AB638" s="70">
        <f>'RESUMEN TOTAL'!AH703</f>
        <v>0</v>
      </c>
      <c r="AC638" s="70">
        <f>'RESUMEN TOTAL'!AI703</f>
        <v>0</v>
      </c>
      <c r="AD638" s="70">
        <f>'RESUMEN TOTAL'!AJ703</f>
        <v>0</v>
      </c>
      <c r="AE638" s="70">
        <f>'RESUMEN TOTAL'!AK703</f>
        <v>0</v>
      </c>
      <c r="AF638" s="70">
        <f>'RESUMEN TOTAL'!AL703</f>
        <v>0</v>
      </c>
      <c r="AG638" s="70">
        <f>'RESUMEN TOTAL'!AM703</f>
        <v>0</v>
      </c>
      <c r="AH638" s="70">
        <f>'RESUMEN TOTAL'!AN703</f>
        <v>0</v>
      </c>
      <c r="AI638" s="70">
        <f>'RESUMEN TOTAL'!AO703</f>
        <v>0</v>
      </c>
    </row>
    <row r="639" spans="1:35" x14ac:dyDescent="0.25">
      <c r="A639">
        <f>'RESUMEN TOTAL'!A704</f>
        <v>0</v>
      </c>
      <c r="B639">
        <f>'RESUMEN TOTAL'!B704</f>
        <v>0</v>
      </c>
      <c r="C639">
        <f>'RESUMEN TOTAL'!D704</f>
        <v>0</v>
      </c>
      <c r="D639" s="30">
        <f>'RESUMEN TOTAL'!E704</f>
        <v>0</v>
      </c>
      <c r="E639" s="30">
        <f>'RESUMEN TOTAL'!F704</f>
        <v>0</v>
      </c>
      <c r="F639" s="70">
        <f>'RESUMEN TOTAL'!L704</f>
        <v>0</v>
      </c>
      <c r="G639" s="70">
        <f>'RESUMEN TOTAL'!M704</f>
        <v>0</v>
      </c>
      <c r="H639" s="70">
        <f>'RESUMEN TOTAL'!N704</f>
        <v>0</v>
      </c>
      <c r="I639" s="70">
        <f>'RESUMEN TOTAL'!O704</f>
        <v>0</v>
      </c>
      <c r="J639" s="70">
        <f>'RESUMEN TOTAL'!P704</f>
        <v>0</v>
      </c>
      <c r="K639" s="70">
        <f>'RESUMEN TOTAL'!Q704</f>
        <v>0</v>
      </c>
      <c r="L639" s="70">
        <f>'RESUMEN TOTAL'!R704</f>
        <v>0</v>
      </c>
      <c r="M639" s="70">
        <f>'RESUMEN TOTAL'!S704</f>
        <v>0</v>
      </c>
      <c r="N639" s="70">
        <f>'RESUMEN TOTAL'!T704</f>
        <v>0</v>
      </c>
      <c r="O639" s="70">
        <f>'RESUMEN TOTAL'!U704</f>
        <v>0</v>
      </c>
      <c r="P639" s="70">
        <f>'RESUMEN TOTAL'!V704</f>
        <v>0</v>
      </c>
      <c r="Q639" s="70">
        <f>'RESUMEN TOTAL'!W704</f>
        <v>0</v>
      </c>
      <c r="R639" s="70">
        <f>'RESUMEN TOTAL'!X704</f>
        <v>0</v>
      </c>
      <c r="S639" s="70">
        <f>'RESUMEN TOTAL'!Y704</f>
        <v>0</v>
      </c>
      <c r="T639" s="70">
        <f>'RESUMEN TOTAL'!Z704</f>
        <v>0</v>
      </c>
      <c r="U639" s="70">
        <f>'RESUMEN TOTAL'!AA704</f>
        <v>0</v>
      </c>
      <c r="V639" s="70">
        <f>'RESUMEN TOTAL'!AB704</f>
        <v>0</v>
      </c>
      <c r="W639" s="70">
        <f>'RESUMEN TOTAL'!AC704</f>
        <v>0</v>
      </c>
      <c r="X639" s="70">
        <f>'RESUMEN TOTAL'!AD704</f>
        <v>0</v>
      </c>
      <c r="Y639" s="70">
        <f>'RESUMEN TOTAL'!AE704</f>
        <v>0</v>
      </c>
      <c r="Z639" s="70">
        <f>'RESUMEN TOTAL'!AF704</f>
        <v>0</v>
      </c>
      <c r="AA639" s="70">
        <f>'RESUMEN TOTAL'!AG704</f>
        <v>0</v>
      </c>
      <c r="AB639" s="70">
        <f>'RESUMEN TOTAL'!AH704</f>
        <v>0</v>
      </c>
      <c r="AC639" s="70">
        <f>'RESUMEN TOTAL'!AI704</f>
        <v>0</v>
      </c>
      <c r="AD639" s="70">
        <f>'RESUMEN TOTAL'!AJ704</f>
        <v>0</v>
      </c>
      <c r="AE639" s="70">
        <f>'RESUMEN TOTAL'!AK704</f>
        <v>0</v>
      </c>
      <c r="AF639" s="70">
        <f>'RESUMEN TOTAL'!AL704</f>
        <v>0</v>
      </c>
      <c r="AG639" s="70">
        <f>'RESUMEN TOTAL'!AM704</f>
        <v>0</v>
      </c>
      <c r="AH639" s="70">
        <f>'RESUMEN TOTAL'!AN704</f>
        <v>0</v>
      </c>
      <c r="AI639" s="70">
        <f>'RESUMEN TOTAL'!AO704</f>
        <v>0</v>
      </c>
    </row>
    <row r="640" spans="1:35" x14ac:dyDescent="0.25">
      <c r="A640">
        <f>'RESUMEN TOTAL'!A705</f>
        <v>0</v>
      </c>
      <c r="B640">
        <f>'RESUMEN TOTAL'!B705</f>
        <v>0</v>
      </c>
      <c r="C640">
        <f>'RESUMEN TOTAL'!D705</f>
        <v>0</v>
      </c>
      <c r="D640" s="30">
        <f>'RESUMEN TOTAL'!E705</f>
        <v>0</v>
      </c>
      <c r="E640" s="30">
        <f>'RESUMEN TOTAL'!F705</f>
        <v>0</v>
      </c>
      <c r="F640" s="70">
        <f>'RESUMEN TOTAL'!L705</f>
        <v>0</v>
      </c>
      <c r="G640" s="70">
        <f>'RESUMEN TOTAL'!M705</f>
        <v>0</v>
      </c>
      <c r="H640" s="70">
        <f>'RESUMEN TOTAL'!N705</f>
        <v>0</v>
      </c>
      <c r="I640" s="70">
        <f>'RESUMEN TOTAL'!O705</f>
        <v>0</v>
      </c>
      <c r="J640" s="70">
        <f>'RESUMEN TOTAL'!P705</f>
        <v>0</v>
      </c>
      <c r="K640" s="70">
        <f>'RESUMEN TOTAL'!Q705</f>
        <v>0</v>
      </c>
      <c r="L640" s="70">
        <f>'RESUMEN TOTAL'!R705</f>
        <v>0</v>
      </c>
      <c r="M640" s="70">
        <f>'RESUMEN TOTAL'!S705</f>
        <v>0</v>
      </c>
      <c r="N640" s="70">
        <f>'RESUMEN TOTAL'!T705</f>
        <v>0</v>
      </c>
      <c r="O640" s="70">
        <f>'RESUMEN TOTAL'!U705</f>
        <v>0</v>
      </c>
      <c r="P640" s="70">
        <f>'RESUMEN TOTAL'!V705</f>
        <v>0</v>
      </c>
      <c r="Q640" s="70">
        <f>'RESUMEN TOTAL'!W705</f>
        <v>0</v>
      </c>
      <c r="R640" s="70">
        <f>'RESUMEN TOTAL'!X705</f>
        <v>0</v>
      </c>
      <c r="S640" s="70">
        <f>'RESUMEN TOTAL'!Y705</f>
        <v>0</v>
      </c>
      <c r="T640" s="70">
        <f>'RESUMEN TOTAL'!Z705</f>
        <v>0</v>
      </c>
      <c r="U640" s="70">
        <f>'RESUMEN TOTAL'!AA705</f>
        <v>0</v>
      </c>
      <c r="V640" s="70">
        <f>'RESUMEN TOTAL'!AB705</f>
        <v>0</v>
      </c>
      <c r="W640" s="70">
        <f>'RESUMEN TOTAL'!AC705</f>
        <v>0</v>
      </c>
      <c r="X640" s="70">
        <f>'RESUMEN TOTAL'!AD705</f>
        <v>0</v>
      </c>
      <c r="Y640" s="70">
        <f>'RESUMEN TOTAL'!AE705</f>
        <v>0</v>
      </c>
      <c r="Z640" s="70">
        <f>'RESUMEN TOTAL'!AF705</f>
        <v>0</v>
      </c>
      <c r="AA640" s="70">
        <f>'RESUMEN TOTAL'!AG705</f>
        <v>0</v>
      </c>
      <c r="AB640" s="70">
        <f>'RESUMEN TOTAL'!AH705</f>
        <v>0</v>
      </c>
      <c r="AC640" s="70">
        <f>'RESUMEN TOTAL'!AI705</f>
        <v>0</v>
      </c>
      <c r="AD640" s="70">
        <f>'RESUMEN TOTAL'!AJ705</f>
        <v>0</v>
      </c>
      <c r="AE640" s="70">
        <f>'RESUMEN TOTAL'!AK705</f>
        <v>0</v>
      </c>
      <c r="AF640" s="70">
        <f>'RESUMEN TOTAL'!AL705</f>
        <v>0</v>
      </c>
      <c r="AG640" s="70">
        <f>'RESUMEN TOTAL'!AM705</f>
        <v>0</v>
      </c>
      <c r="AH640" s="70">
        <f>'RESUMEN TOTAL'!AN705</f>
        <v>0</v>
      </c>
      <c r="AI640" s="70">
        <f>'RESUMEN TOTAL'!AO705</f>
        <v>0</v>
      </c>
    </row>
    <row r="641" spans="1:35" x14ac:dyDescent="0.25">
      <c r="A641">
        <f>'RESUMEN TOTAL'!A706</f>
        <v>0</v>
      </c>
      <c r="B641">
        <f>'RESUMEN TOTAL'!B706</f>
        <v>0</v>
      </c>
      <c r="C641">
        <f>'RESUMEN TOTAL'!D706</f>
        <v>0</v>
      </c>
      <c r="D641" s="30">
        <f>'RESUMEN TOTAL'!E706</f>
        <v>0</v>
      </c>
      <c r="E641" s="30">
        <f>'RESUMEN TOTAL'!F706</f>
        <v>0</v>
      </c>
      <c r="F641" s="70">
        <f>'RESUMEN TOTAL'!L706</f>
        <v>0</v>
      </c>
      <c r="G641" s="70">
        <f>'RESUMEN TOTAL'!M706</f>
        <v>0</v>
      </c>
      <c r="H641" s="70">
        <f>'RESUMEN TOTAL'!N706</f>
        <v>0</v>
      </c>
      <c r="I641" s="70">
        <f>'RESUMEN TOTAL'!O706</f>
        <v>0</v>
      </c>
      <c r="J641" s="70">
        <f>'RESUMEN TOTAL'!P706</f>
        <v>0</v>
      </c>
      <c r="K641" s="70">
        <f>'RESUMEN TOTAL'!Q706</f>
        <v>0</v>
      </c>
      <c r="L641" s="70">
        <f>'RESUMEN TOTAL'!R706</f>
        <v>0</v>
      </c>
      <c r="M641" s="70">
        <f>'RESUMEN TOTAL'!S706</f>
        <v>0</v>
      </c>
      <c r="N641" s="70">
        <f>'RESUMEN TOTAL'!T706</f>
        <v>0</v>
      </c>
      <c r="O641" s="70">
        <f>'RESUMEN TOTAL'!U706</f>
        <v>0</v>
      </c>
      <c r="P641" s="70">
        <f>'RESUMEN TOTAL'!V706</f>
        <v>0</v>
      </c>
      <c r="Q641" s="70">
        <f>'RESUMEN TOTAL'!W706</f>
        <v>0</v>
      </c>
      <c r="R641" s="70">
        <f>'RESUMEN TOTAL'!X706</f>
        <v>0</v>
      </c>
      <c r="S641" s="70">
        <f>'RESUMEN TOTAL'!Y706</f>
        <v>0</v>
      </c>
      <c r="T641" s="70">
        <f>'RESUMEN TOTAL'!Z706</f>
        <v>0</v>
      </c>
      <c r="U641" s="70">
        <f>'RESUMEN TOTAL'!AA706</f>
        <v>0</v>
      </c>
      <c r="V641" s="70">
        <f>'RESUMEN TOTAL'!AB706</f>
        <v>0</v>
      </c>
      <c r="W641" s="70">
        <f>'RESUMEN TOTAL'!AC706</f>
        <v>0</v>
      </c>
      <c r="X641" s="70">
        <f>'RESUMEN TOTAL'!AD706</f>
        <v>0</v>
      </c>
      <c r="Y641" s="70">
        <f>'RESUMEN TOTAL'!AE706</f>
        <v>0</v>
      </c>
      <c r="Z641" s="70">
        <f>'RESUMEN TOTAL'!AF706</f>
        <v>0</v>
      </c>
      <c r="AA641" s="70">
        <f>'RESUMEN TOTAL'!AG706</f>
        <v>0</v>
      </c>
      <c r="AB641" s="70">
        <f>'RESUMEN TOTAL'!AH706</f>
        <v>0</v>
      </c>
      <c r="AC641" s="70">
        <f>'RESUMEN TOTAL'!AI706</f>
        <v>0</v>
      </c>
      <c r="AD641" s="70">
        <f>'RESUMEN TOTAL'!AJ706</f>
        <v>0</v>
      </c>
      <c r="AE641" s="70">
        <f>'RESUMEN TOTAL'!AK706</f>
        <v>0</v>
      </c>
      <c r="AF641" s="70">
        <f>'RESUMEN TOTAL'!AL706</f>
        <v>0</v>
      </c>
      <c r="AG641" s="70">
        <f>'RESUMEN TOTAL'!AM706</f>
        <v>0</v>
      </c>
      <c r="AH641" s="70">
        <f>'RESUMEN TOTAL'!AN706</f>
        <v>0</v>
      </c>
      <c r="AI641" s="70">
        <f>'RESUMEN TOTAL'!AO706</f>
        <v>0</v>
      </c>
    </row>
    <row r="642" spans="1:35" x14ac:dyDescent="0.25">
      <c r="A642" t="s">
        <v>1308</v>
      </c>
      <c r="B642" t="s">
        <v>1345</v>
      </c>
      <c r="C642" t="s">
        <v>1344</v>
      </c>
      <c r="D642" s="30" t="s">
        <v>1313</v>
      </c>
      <c r="E642" s="30" t="s">
        <v>1307</v>
      </c>
      <c r="F642" s="70">
        <f>'RESUMEN TOTAL'!L707</f>
        <v>0</v>
      </c>
      <c r="G642" s="70">
        <f>'RESUMEN TOTAL'!M707</f>
        <v>0</v>
      </c>
      <c r="H642" s="70">
        <f>'RESUMEN TOTAL'!N707</f>
        <v>0</v>
      </c>
      <c r="I642" s="70">
        <f>'RESUMEN TOTAL'!O707</f>
        <v>0</v>
      </c>
      <c r="J642" s="70">
        <f>'RESUMEN TOTAL'!P707</f>
        <v>0</v>
      </c>
      <c r="K642" s="70">
        <f>'RESUMEN TOTAL'!Q707</f>
        <v>0</v>
      </c>
      <c r="L642" s="70">
        <f>'RESUMEN TOTAL'!R707</f>
        <v>0</v>
      </c>
      <c r="M642" s="70">
        <f>'RESUMEN TOTAL'!S707</f>
        <v>0</v>
      </c>
      <c r="N642" s="70">
        <f>'RESUMEN TOTAL'!T707</f>
        <v>0</v>
      </c>
      <c r="O642" s="70">
        <f>'RESUMEN TOTAL'!U707</f>
        <v>0</v>
      </c>
      <c r="P642" s="70">
        <f>'RESUMEN TOTAL'!V707</f>
        <v>0</v>
      </c>
      <c r="Q642" s="70">
        <f>'RESUMEN TOTAL'!W707</f>
        <v>0</v>
      </c>
      <c r="R642" s="70">
        <f>'RESUMEN TOTAL'!X707</f>
        <v>0</v>
      </c>
      <c r="S642" s="70">
        <f>'RESUMEN TOTAL'!Y707</f>
        <v>0</v>
      </c>
      <c r="T642" s="70">
        <f>'RESUMEN TOTAL'!Z707</f>
        <v>0</v>
      </c>
      <c r="U642" s="70">
        <f>'RESUMEN TOTAL'!AA707</f>
        <v>0</v>
      </c>
      <c r="V642" s="70">
        <f>'RESUMEN TOTAL'!AB707</f>
        <v>0</v>
      </c>
      <c r="W642" s="70">
        <f>'RESUMEN TOTAL'!AC707</f>
        <v>0</v>
      </c>
      <c r="X642" s="70">
        <f>'RESUMEN TOTAL'!AD707</f>
        <v>0</v>
      </c>
      <c r="Y642" s="70">
        <f>'RESUMEN TOTAL'!AE707</f>
        <v>0</v>
      </c>
      <c r="Z642" s="70">
        <f>'RESUMEN TOTAL'!AF707</f>
        <v>0</v>
      </c>
      <c r="AA642" s="70">
        <f>'RESUMEN TOTAL'!AG707</f>
        <v>0</v>
      </c>
      <c r="AB642" s="70">
        <f>'RESUMEN TOTAL'!AH707</f>
        <v>0</v>
      </c>
      <c r="AC642" s="70">
        <f>'RESUMEN TOTAL'!AI707</f>
        <v>0</v>
      </c>
      <c r="AD642" s="70">
        <f>'RESUMEN TOTAL'!AJ707</f>
        <v>0</v>
      </c>
      <c r="AE642" s="70">
        <f>'RESUMEN TOTAL'!AK707</f>
        <v>0</v>
      </c>
      <c r="AF642" s="70">
        <f>'RESUMEN TOTAL'!AL707</f>
        <v>0</v>
      </c>
      <c r="AG642" s="70">
        <f>'RESUMEN TOTAL'!AM707</f>
        <v>0</v>
      </c>
      <c r="AH642" s="70">
        <f>'RESUMEN TOTAL'!AN707</f>
        <v>0</v>
      </c>
      <c r="AI642" s="70">
        <f>'RESUMEN TOTAL'!AO707</f>
        <v>0</v>
      </c>
    </row>
    <row r="643" spans="1:35" x14ac:dyDescent="0.25">
      <c r="A643" t="s">
        <v>1308</v>
      </c>
      <c r="B643" t="s">
        <v>1346</v>
      </c>
      <c r="C643" t="s">
        <v>1344</v>
      </c>
      <c r="D643" t="s">
        <v>1306</v>
      </c>
      <c r="E643" s="30" t="s">
        <v>1307</v>
      </c>
      <c r="F643" s="70">
        <f>'RESUMEN TOTAL'!L708</f>
        <v>0</v>
      </c>
      <c r="G643" s="70">
        <f>'RESUMEN TOTAL'!M708</f>
        <v>0</v>
      </c>
      <c r="H643" s="70">
        <f>'RESUMEN TOTAL'!N708</f>
        <v>0</v>
      </c>
      <c r="I643" s="70">
        <f>'RESUMEN TOTAL'!O708</f>
        <v>0</v>
      </c>
      <c r="J643" s="70">
        <f>'RESUMEN TOTAL'!P708</f>
        <v>0</v>
      </c>
      <c r="K643" s="70">
        <f>'RESUMEN TOTAL'!Q708</f>
        <v>0</v>
      </c>
      <c r="L643" s="70">
        <f>'RESUMEN TOTAL'!R708</f>
        <v>0</v>
      </c>
      <c r="M643" s="70">
        <f>'RESUMEN TOTAL'!S708</f>
        <v>0</v>
      </c>
      <c r="N643" s="70">
        <f>'RESUMEN TOTAL'!T708</f>
        <v>0</v>
      </c>
      <c r="O643" s="70">
        <f>'RESUMEN TOTAL'!U708</f>
        <v>0</v>
      </c>
      <c r="P643" s="70">
        <f>'RESUMEN TOTAL'!V708</f>
        <v>0</v>
      </c>
      <c r="Q643" s="70">
        <f>'RESUMEN TOTAL'!W708</f>
        <v>0</v>
      </c>
      <c r="R643" s="70">
        <f>'RESUMEN TOTAL'!X708</f>
        <v>0</v>
      </c>
      <c r="S643" s="70">
        <f>'RESUMEN TOTAL'!Y708</f>
        <v>0</v>
      </c>
      <c r="T643" s="70">
        <f>'RESUMEN TOTAL'!Z708</f>
        <v>0</v>
      </c>
      <c r="U643" s="70">
        <f>'RESUMEN TOTAL'!AA708</f>
        <v>0</v>
      </c>
      <c r="V643" s="70">
        <f>'RESUMEN TOTAL'!AB708</f>
        <v>0</v>
      </c>
      <c r="W643" s="70">
        <f>'RESUMEN TOTAL'!AC708</f>
        <v>0</v>
      </c>
      <c r="X643" s="70">
        <f>'RESUMEN TOTAL'!AD708</f>
        <v>0</v>
      </c>
      <c r="Y643" s="70">
        <f>'RESUMEN TOTAL'!AE708</f>
        <v>0</v>
      </c>
      <c r="Z643" s="70">
        <f>'RESUMEN TOTAL'!AF708</f>
        <v>0</v>
      </c>
      <c r="AA643" s="70">
        <f>'RESUMEN TOTAL'!AG708</f>
        <v>0</v>
      </c>
      <c r="AB643" s="70">
        <f>'RESUMEN TOTAL'!AH708</f>
        <v>0</v>
      </c>
      <c r="AC643" s="70">
        <f>'RESUMEN TOTAL'!AI708</f>
        <v>0</v>
      </c>
      <c r="AD643" s="70">
        <f>'RESUMEN TOTAL'!AJ708</f>
        <v>0</v>
      </c>
      <c r="AE643" s="70">
        <f>'RESUMEN TOTAL'!AK708</f>
        <v>0</v>
      </c>
      <c r="AF643" s="70">
        <f>'RESUMEN TOTAL'!AL708</f>
        <v>0</v>
      </c>
      <c r="AG643" s="70">
        <f>'RESUMEN TOTAL'!AM708</f>
        <v>0</v>
      </c>
      <c r="AH643" s="70">
        <f>'RESUMEN TOTAL'!AN708</f>
        <v>0</v>
      </c>
      <c r="AI643" s="70">
        <f>'RESUMEN TOTAL'!AO708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2" priority="97" operator="containsText" text="fija">
      <formula>NOT(ISERROR(SEARCH("fija",D4)))</formula>
    </cfRule>
    <cfRule type="containsText" dxfId="51" priority="98" operator="containsText" text="domo">
      <formula>NOT(ISERROR(SEARCH("domo",D4)))</formula>
    </cfRule>
    <cfRule type="cellIs" dxfId="50" priority="924" operator="equal">
      <formula>$D$7</formula>
    </cfRule>
  </conditionalFormatting>
  <conditionalFormatting sqref="D439">
    <cfRule type="containsText" dxfId="49" priority="67" operator="containsText" text="fija">
      <formula>NOT(ISERROR(SEARCH("fija",D439)))</formula>
    </cfRule>
    <cfRule type="containsText" dxfId="48" priority="68" operator="containsText" text="domo">
      <formula>NOT(ISERROR(SEARCH("domo",D439)))</formula>
    </cfRule>
    <cfRule type="containsText" dxfId="47" priority="69" operator="containsText" text="Radio">
      <formula>NOT(ISERROR(SEARCH("Radio",D439)))</formula>
    </cfRule>
  </conditionalFormatting>
  <conditionalFormatting sqref="D439:D440">
    <cfRule type="containsText" dxfId="46" priority="64" operator="containsText" text="fija">
      <formula>NOT(ISERROR(SEARCH("fija",D439)))</formula>
    </cfRule>
    <cfRule type="containsText" dxfId="45" priority="65" operator="containsText" text="domo">
      <formula>NOT(ISERROR(SEARCH("domo",D439)))</formula>
    </cfRule>
  </conditionalFormatting>
  <conditionalFormatting sqref="D440">
    <cfRule type="containsText" dxfId="44" priority="62" operator="containsText" text="fija">
      <formula>NOT(ISERROR(SEARCH("fija",D440)))</formula>
    </cfRule>
    <cfRule type="containsText" dxfId="43" priority="63" operator="containsText" text="domo">
      <formula>NOT(ISERROR(SEARCH("domo",D440)))</formula>
    </cfRule>
    <cfRule type="containsText" dxfId="42" priority="66" operator="containsText" text="Radio">
      <formula>NOT(ISERROR(SEARCH("Radio",D440)))</formula>
    </cfRule>
  </conditionalFormatting>
  <conditionalFormatting sqref="D443">
    <cfRule type="containsText" dxfId="41" priority="59" operator="containsText" text="fija">
      <formula>NOT(ISERROR(SEARCH("fija",D443)))</formula>
    </cfRule>
    <cfRule type="containsText" dxfId="40" priority="60" operator="containsText" text="domo">
      <formula>NOT(ISERROR(SEARCH("domo",D443)))</formula>
    </cfRule>
    <cfRule type="containsText" dxfId="39" priority="61" operator="containsText" text="Radio">
      <formula>NOT(ISERROR(SEARCH("Radio",D443)))</formula>
    </cfRule>
  </conditionalFormatting>
  <conditionalFormatting sqref="D443:D444">
    <cfRule type="containsText" dxfId="38" priority="56" operator="containsText" text="fija">
      <formula>NOT(ISERROR(SEARCH("fija",D443)))</formula>
    </cfRule>
    <cfRule type="containsText" dxfId="37" priority="57" operator="containsText" text="domo">
      <formula>NOT(ISERROR(SEARCH("domo",D443)))</formula>
    </cfRule>
  </conditionalFormatting>
  <conditionalFormatting sqref="D444:D445">
    <cfRule type="containsText" dxfId="36" priority="53" operator="containsText" text="fija">
      <formula>NOT(ISERROR(SEARCH("fija",D444)))</formula>
    </cfRule>
    <cfRule type="containsText" dxfId="35" priority="54" operator="containsText" text="domo">
      <formula>NOT(ISERROR(SEARCH("domo",D444)))</formula>
    </cfRule>
  </conditionalFormatting>
  <conditionalFormatting sqref="D445">
    <cfRule type="containsText" dxfId="34" priority="55" operator="containsText" text="Radio">
      <formula>NOT(ISERROR(SEARCH("Radio",D445)))</formula>
    </cfRule>
  </conditionalFormatting>
  <conditionalFormatting sqref="D445:D446">
    <cfRule type="containsText" dxfId="33" priority="50" operator="containsText" text="fija">
      <formula>NOT(ISERROR(SEARCH("fija",D445)))</formula>
    </cfRule>
    <cfRule type="containsText" dxfId="32" priority="51" operator="containsText" text="domo">
      <formula>NOT(ISERROR(SEARCH("domo",D445)))</formula>
    </cfRule>
  </conditionalFormatting>
  <conditionalFormatting sqref="D446">
    <cfRule type="containsText" dxfId="31" priority="48" operator="containsText" text="fija">
      <formula>NOT(ISERROR(SEARCH("fija",D446)))</formula>
    </cfRule>
    <cfRule type="containsText" dxfId="30" priority="49" operator="containsText" text="domo">
      <formula>NOT(ISERROR(SEARCH("domo",D446)))</formula>
    </cfRule>
    <cfRule type="containsText" dxfId="29" priority="52" operator="containsText" text="Radio">
      <formula>NOT(ISERROR(SEARCH("Radio",D446)))</formula>
    </cfRule>
  </conditionalFormatting>
  <conditionalFormatting sqref="D448">
    <cfRule type="containsText" dxfId="28" priority="171" operator="containsText" text="fija">
      <formula>NOT(ISERROR(SEARCH("fija",D448)))</formula>
    </cfRule>
    <cfRule type="containsText" dxfId="27" priority="172" operator="containsText" text="domo">
      <formula>NOT(ISERROR(SEARCH("domo",D448)))</formula>
    </cfRule>
  </conditionalFormatting>
  <conditionalFormatting sqref="D451:D453">
    <cfRule type="containsText" dxfId="26" priority="70" operator="containsText" text="fija">
      <formula>NOT(ISERROR(SEARCH("fija",D451)))</formula>
    </cfRule>
    <cfRule type="containsText" dxfId="25" priority="71" operator="containsText" text="domo">
      <formula>NOT(ISERROR(SEARCH("domo",D451)))</formula>
    </cfRule>
  </conditionalFormatting>
  <conditionalFormatting sqref="D642">
    <cfRule type="containsText" dxfId="24" priority="1" operator="containsText" text="Radio">
      <formula>NOT(ISERROR(SEARCH("Radio",D642)))</formula>
    </cfRule>
  </conditionalFormatting>
  <conditionalFormatting sqref="D4:E641">
    <cfRule type="containsText" dxfId="23" priority="58" operator="containsText" text="Radio">
      <formula>NOT(ISERROR(SEARCH("Radio",D4)))</formula>
    </cfRule>
  </conditionalFormatting>
  <conditionalFormatting sqref="D448:E448 D458:E641">
    <cfRule type="containsText" dxfId="22" priority="193" operator="containsText" text="Radio">
      <formula>NOT(ISERROR(SEARCH("Radio",D448)))</formula>
    </cfRule>
  </conditionalFormatting>
  <conditionalFormatting sqref="E4:E665">
    <cfRule type="cellIs" dxfId="21" priority="169" operator="equal">
      <formula>"PTP A FO"</formula>
    </cfRule>
    <cfRule type="cellIs" dxfId="20" priority="927" operator="equal">
      <formula>$E$10</formula>
    </cfRule>
    <cfRule type="cellIs" dxfId="19" priority="928" operator="equal">
      <formula>"PTP A FO"</formula>
    </cfRule>
  </conditionalFormatting>
  <conditionalFormatting sqref="E438">
    <cfRule type="containsText" dxfId="18" priority="10" operator="containsText" text="Radio">
      <formula>NOT(ISERROR(SEARCH("Radio",E438)))</formula>
    </cfRule>
    <cfRule type="cellIs" dxfId="17" priority="11" operator="equal">
      <formula>"PTP A FO"</formula>
    </cfRule>
  </conditionalFormatting>
  <conditionalFormatting sqref="E642:E665">
    <cfRule type="containsText" dxfId="16" priority="3" operator="containsText" text="Radio">
      <formula>NOT(ISERROR(SEARCH("Radio",E642)))</formula>
    </cfRule>
  </conditionalFormatting>
  <conditionalFormatting sqref="F5:AI643">
    <cfRule type="cellIs" dxfId="15" priority="8" operator="equal">
      <formula>"apagado"</formula>
    </cfRule>
    <cfRule type="cellIs" dxfId="14" priority="12" operator="equal">
      <formula>"APAGADO"</formula>
    </cfRule>
    <cfRule type="notContainsText" dxfId="13" priority="13" operator="notContains" text="Caida">
      <formula>ISERROR(SEARCH("Caida",F5))</formula>
    </cfRule>
    <cfRule type="containsText" dxfId="12" priority="14" operator="containsText" text="Caida">
      <formula>NOT(ISERROR(SEARCH("Caida",F5)))</formula>
    </cfRule>
    <cfRule type="cellIs" dxfId="11" priority="15" operator="lessThan">
      <formula>0.8</formula>
    </cfRule>
    <cfRule type="cellIs" dxfId="10" priority="16" operator="greaterThan">
      <formula>0.8</formula>
    </cfRule>
  </conditionalFormatting>
  <conditionalFormatting sqref="H4">
    <cfRule type="cellIs" dxfId="9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1075</v>
      </c>
      <c r="C1" s="36">
        <v>45890</v>
      </c>
    </row>
    <row r="2" spans="1:35" ht="16.5" thickTop="1" thickBot="1" x14ac:dyDescent="0.3">
      <c r="A2" s="49" t="s">
        <v>1067</v>
      </c>
      <c r="B2" s="41">
        <f>COUNTIFS('RESUMEN TOTAL'!C8:C531,"=BONOMO")</f>
        <v>282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1067</v>
      </c>
      <c r="E3" s="45" t="s">
        <v>1076</v>
      </c>
      <c r="F3" s="46">
        <f>COUNTIFS('RESUMEN TOTAL'!L8:L639,"=APAGADO",'RESUMEN TOTAL'!C8:C639,"=BONOMO")</f>
        <v>38</v>
      </c>
      <c r="G3" s="46">
        <f>COUNTIFS('RESUMEN TOTAL'!M8:M639,"=APAGADO",'RESUMEN TOTAL'!C8:C639,"=BONOMO")</f>
        <v>0</v>
      </c>
      <c r="H3" s="46">
        <f>COUNTIFS('RESUMEN TOTAL'!N8:N639,"=APAGADO",'RESUMEN TOTAL'!C8:C639,"=BONOMO")</f>
        <v>0</v>
      </c>
      <c r="I3" s="46">
        <f>COUNTIFS('RESUMEN TOTAL'!O8:O639,"=APAGADO",'RESUMEN TOTAL'!C8:C639,"=BONOMO")</f>
        <v>0</v>
      </c>
      <c r="J3" s="46">
        <f>COUNTIFS('RESUMEN TOTAL'!P8:P639,"=APAGADO",'RESUMEN TOTAL'!C8:C639,"=BONOMO")</f>
        <v>0</v>
      </c>
      <c r="K3" s="46">
        <f>COUNTIFS('RESUMEN TOTAL'!Q8:Q639,"=APAGADO",'RESUMEN TOTAL'!C8:C639,"=BONOMO")</f>
        <v>0</v>
      </c>
      <c r="L3" s="46">
        <f>COUNTIFS('RESUMEN TOTAL'!R8:R639,"=APAGADO",'RESUMEN TOTAL'!C8:C639,"=BONOMO")</f>
        <v>0</v>
      </c>
      <c r="M3" s="46">
        <f>COUNTIFS('RESUMEN TOTAL'!S8:S639,"=APAGADO",'RESUMEN TOTAL'!C8:C639,"=BONOMO")</f>
        <v>0</v>
      </c>
      <c r="N3" s="46">
        <f>COUNTIFS('RESUMEN TOTAL'!T8:T639,"=APAGADO",'RESUMEN TOTAL'!C8:C639,"=BONOMO")</f>
        <v>0</v>
      </c>
      <c r="O3" s="46">
        <f>COUNTIFS('RESUMEN TOTAL'!U8:U639,"=APAGADO",'RESUMEN TOTAL'!C8:C639,"=BONOMO")</f>
        <v>0</v>
      </c>
      <c r="P3" s="46">
        <f>COUNTIFS('RESUMEN TOTAL'!V8:V639,"=APAGADO",'RESUMEN TOTAL'!C8:C639,"=BONOMO")</f>
        <v>0</v>
      </c>
      <c r="Q3" s="46">
        <f>COUNTIFS('RESUMEN TOTAL'!W8:W639,"=APAGADO",'RESUMEN TOTAL'!C8:C639,"=BONOMO")</f>
        <v>0</v>
      </c>
      <c r="R3" s="46">
        <f>COUNTIFS('RESUMEN TOTAL'!X8:X639,"=APAGADO",'RESUMEN TOTAL'!C8:C639,"=BONOMO")</f>
        <v>0</v>
      </c>
      <c r="S3" s="46">
        <f>COUNTIFS('RESUMEN TOTAL'!Y8:Y639,"=APAGADO",'RESUMEN TOTAL'!C8:C639,"=BONOMO")</f>
        <v>0</v>
      </c>
      <c r="T3" s="46">
        <f>COUNTIFS('RESUMEN TOTAL'!Z8:Z639,"=APAGADO",'RESUMEN TOTAL'!C8:C639,"=BONOMO")</f>
        <v>0</v>
      </c>
      <c r="U3" s="46">
        <f>COUNTIFS('RESUMEN TOTAL'!AA8:AA639,"=APAGADO",'RESUMEN TOTAL'!C8:C639,"=BONOMO")</f>
        <v>0</v>
      </c>
      <c r="V3" s="46">
        <f>COUNTIFS('RESUMEN TOTAL'!AB8:AB639,"=APAGADO",'RESUMEN TOTAL'!C8:C639,"=BONOMO")</f>
        <v>0</v>
      </c>
      <c r="W3" s="46">
        <f>COUNTIFS('RESUMEN TOTAL'!AC8:AC639,"=APAGADO",'RESUMEN TOTAL'!C8:C639,"=BONOMO")</f>
        <v>0</v>
      </c>
      <c r="X3" s="46">
        <f>COUNTIFS('RESUMEN TOTAL'!AD8:AD639,"=APAGADO",'RESUMEN TOTAL'!C8:C639,"=BONOMO")</f>
        <v>0</v>
      </c>
      <c r="Y3" s="46">
        <f>COUNTIFS('RESUMEN TOTAL'!AE8:AE639,"=APAGADO",'RESUMEN TOTAL'!C8:C639,"=BONOMO")</f>
        <v>0</v>
      </c>
      <c r="Z3" s="46">
        <f>COUNTIFS('RESUMEN TOTAL'!AF8:AF639,"=APAGADO",'RESUMEN TOTAL'!C8:C639,"=BONOMO")</f>
        <v>0</v>
      </c>
      <c r="AA3" s="46">
        <f>COUNTIFS('RESUMEN TOTAL'!AG8:AG639,"=APAGADO",'RESUMEN TOTAL'!C8:C639,"=BONOMO")</f>
        <v>0</v>
      </c>
      <c r="AB3" s="46">
        <f>COUNTIFS('RESUMEN TOTAL'!AH8:AH639,"=APAGADO",'RESUMEN TOTAL'!C8:C639,"=BONOMO")</f>
        <v>0</v>
      </c>
      <c r="AC3" s="46">
        <f>COUNTIFS('RESUMEN TOTAL'!AI8:AI639,"=APAGADO",'RESUMEN TOTAL'!C8:C639,"=BONOMO")</f>
        <v>0</v>
      </c>
      <c r="AD3" s="46">
        <f>COUNTIFS('RESUMEN TOTAL'!AJ8:AJ639,"=APAGADO",'RESUMEN TOTAL'!C8:C639,"=BONOMO")</f>
        <v>0</v>
      </c>
      <c r="AE3" s="46">
        <v>0</v>
      </c>
      <c r="AF3" s="46">
        <f>COUNTIFS('RESUMEN TOTAL'!AL8:AL639,"=APAGADO",'RESUMEN TOTAL'!C8:C639,"=BONOMO")</f>
        <v>0</v>
      </c>
      <c r="AG3" s="46">
        <f>COUNTIFS('RESUMEN TOTAL'!AM8:AM639,"=APAGADO",'RESUMEN TOTAL'!C8:C639,"=BONOMO")</f>
        <v>0</v>
      </c>
      <c r="AH3" s="46">
        <f>COUNTIFS('RESUMEN TOTAL'!AN8:AN639,"=APAGADO",'RESUMEN TOTAL'!C8:C639,"=BONOMO")</f>
        <v>0</v>
      </c>
      <c r="AI3" s="46">
        <v>0</v>
      </c>
    </row>
    <row r="4" spans="1:35" ht="16.5" thickTop="1" thickBot="1" x14ac:dyDescent="0.3">
      <c r="A4" s="48" t="s">
        <v>1068</v>
      </c>
      <c r="B4" s="41">
        <f>COUNTIFS('RESUMEN TOTAL'!C8:C531,"=COSEIDI")</f>
        <v>241</v>
      </c>
      <c r="C4" s="46">
        <v>52</v>
      </c>
      <c r="D4" s="39"/>
      <c r="E4" s="37" t="s">
        <v>1078</v>
      </c>
      <c r="F4" s="50">
        <f t="shared" ref="F4:AH4" si="0">F3/BONOMOcam</f>
        <v>0.13475177304964539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1068</v>
      </c>
      <c r="E5" s="47" t="s">
        <v>1077</v>
      </c>
      <c r="F5" s="46">
        <f>COUNTIFS('RESUMEN TOTAL'!L10:L641,"=APAGADO",'RESUMEN TOTAL'!C10:C641,"=COSEIDI")</f>
        <v>31</v>
      </c>
      <c r="G5" s="46">
        <f>COUNTIFS('RESUMEN TOTAL'!M10:M641,"=APAGADO",'RESUMEN TOTAL'!C10:C641,"=COSEIDI")</f>
        <v>0</v>
      </c>
      <c r="H5" s="46">
        <f>COUNTIFS('RESUMEN TOTAL'!N10:N641,"=APAGADO",'RESUMEN TOTAL'!C10:C641,"=COSEIDI")</f>
        <v>0</v>
      </c>
      <c r="I5" s="46">
        <f>COUNTIFS('RESUMEN TOTAL'!O10:O641,"=APAGADO",'RESUMEN TOTAL'!C10:C641,"=COSEIDI")</f>
        <v>0</v>
      </c>
      <c r="J5" s="46">
        <f>COUNTIFS('RESUMEN TOTAL'!P10:P641,"=APAGADO",'RESUMEN TOTAL'!C10:C641,"=COSEIDI")</f>
        <v>0</v>
      </c>
      <c r="K5" s="46">
        <f>COUNTIFS('RESUMEN TOTAL'!Q10:Q641,"=APAGADO",'RESUMEN TOTAL'!C10:C641,"=COSEIDI")</f>
        <v>0</v>
      </c>
      <c r="L5" s="46">
        <f>COUNTIFS('RESUMEN TOTAL'!R10:R641,"=APAGADO",'RESUMEN TOTAL'!C10:C641,"=COSEIDI")</f>
        <v>0</v>
      </c>
      <c r="M5" s="46">
        <f>COUNTIFS('RESUMEN TOTAL'!S10:S641,"=APAGADO",'RESUMEN TOTAL'!C10:C641,"=COSEIDI")</f>
        <v>0</v>
      </c>
      <c r="N5" s="46">
        <f>COUNTIFS('RESUMEN TOTAL'!T10:T641,"=APAGADO",'RESUMEN TOTAL'!C10:C641,"=COSEIDI")</f>
        <v>0</v>
      </c>
      <c r="O5" s="46">
        <f>COUNTIFS('RESUMEN TOTAL'!U10:U641,"=APAGADO",'RESUMEN TOTAL'!C10:C641,"=COSEIDI")</f>
        <v>0</v>
      </c>
      <c r="P5" s="46">
        <f>COUNTIFS('RESUMEN TOTAL'!V10:V641,"=APAGADO",'RESUMEN TOTAL'!C10:C641,"=COSEIDI")</f>
        <v>0</v>
      </c>
      <c r="Q5" s="46">
        <f>COUNTIFS('RESUMEN TOTAL'!W10:W641,"=APAGADO",'RESUMEN TOTAL'!C10:C641,"=COSEIDI")</f>
        <v>0</v>
      </c>
      <c r="R5" s="46">
        <f>COUNTIFS('RESUMEN TOTAL'!X10:X641,"=APAGADO",'RESUMEN TOTAL'!C10:C641,"=COSEIDI")</f>
        <v>0</v>
      </c>
      <c r="S5" s="46">
        <f>COUNTIFS('RESUMEN TOTAL'!Y10:Y641,"=APAGADO",'RESUMEN TOTAL'!C10:C641,"=COSEIDI")</f>
        <v>0</v>
      </c>
      <c r="T5" s="46">
        <f>COUNTIFS('RESUMEN TOTAL'!Z10:Z641,"=APAGADO",'RESUMEN TOTAL'!C10:C641,"=COSEIDI")</f>
        <v>0</v>
      </c>
      <c r="U5" s="46">
        <f>COUNTIFS('RESUMEN TOTAL'!AA10:AA641,"=APAGADO",'RESUMEN TOTAL'!C10:C641,"=COSEIDI")</f>
        <v>0</v>
      </c>
      <c r="V5" s="46">
        <f>COUNTIFS('RESUMEN TOTAL'!AB10:AB641,"=APAGADO",'RESUMEN TOTAL'!C10:C641,"=COSEIDI")</f>
        <v>0</v>
      </c>
      <c r="W5" s="46">
        <f>COUNTIFS('RESUMEN TOTAL'!AC10:AC641,"=APAGADO",'RESUMEN TOTAL'!C10:C641,"=COSEIDI")</f>
        <v>0</v>
      </c>
      <c r="X5" s="46">
        <f>COUNTIFS('RESUMEN TOTAL'!AD10:AD641,"=APAGADO",'RESUMEN TOTAL'!C10:C641,"=COSEIDI")</f>
        <v>0</v>
      </c>
      <c r="Y5" s="46">
        <f>COUNTIFS('RESUMEN TOTAL'!AE10:AE641,"=APAGADO",'RESUMEN TOTAL'!C10:C641,"=COSEIDI")</f>
        <v>0</v>
      </c>
      <c r="Z5" s="46">
        <f>COUNTIFS('RESUMEN TOTAL'!AF10:AF641,"=APAGADO",'RESUMEN TOTAL'!C10:C641,"=COSEIDI")</f>
        <v>0</v>
      </c>
      <c r="AA5" s="46">
        <f>COUNTIFS('RESUMEN TOTAL'!AG10:AG641,"=APAGADO",'RESUMEN TOTAL'!C10:C641,"=COSEIDI")</f>
        <v>0</v>
      </c>
      <c r="AB5" s="46">
        <f>COUNTIFS('RESUMEN TOTAL'!AH10:AH641,"=APAGADO",'RESUMEN TOTAL'!C10:C641,"=COSEIDI")</f>
        <v>0</v>
      </c>
      <c r="AC5" s="46">
        <f>COUNTIFS('RESUMEN TOTAL'!AI10:AI641,"=APAGADO",'RESUMEN TOTAL'!C10:C641,"=COSEIDI")</f>
        <v>0</v>
      </c>
      <c r="AD5" s="46">
        <f>COUNTIFS('RESUMEN TOTAL'!AJ10:AJ641,"=APAGADO",'RESUMEN TOTAL'!C10:C641,"=COSEIDI")</f>
        <v>0</v>
      </c>
      <c r="AE5" s="46">
        <f>COUNTIFS('RESUMEN TOTAL'!AK10:AK641,"=APAGADO",'RESUMEN TOTAL'!C10:C641,"=COSEIDI")</f>
        <v>0</v>
      </c>
      <c r="AF5" s="46">
        <f>COUNTIFS('RESUMEN TOTAL'!AL10:AL641,"=APAGADO",'RESUMEN TOTAL'!C10:C641,"=COSEIDI")</f>
        <v>0</v>
      </c>
      <c r="AG5" s="46">
        <f>COUNTIFS('RESUMEN TOTAL'!AM10:AM641,"=APAGADO",'RESUMEN TOTAL'!C10:C641,"=COSEIDI")</f>
        <v>0</v>
      </c>
      <c r="AH5" s="46">
        <f>COUNTIFS('RESUMEN TOTAL'!AN10:AN641,"=APAGADO",'RESUMEN TOTAL'!C10:C641,"=COSEIDI")</f>
        <v>0</v>
      </c>
      <c r="AI5" s="46">
        <f>COUNTIFS('RESUMEN TOTAL'!AO10:AO641,"=APAGADO",'RESUMEN TOTAL'!C10:C641,"=COSEIDI")</f>
        <v>0</v>
      </c>
    </row>
    <row r="6" spans="1:35" ht="16.5" thickTop="1" thickBot="1" x14ac:dyDescent="0.3">
      <c r="D6" s="39"/>
      <c r="E6" s="37" t="s">
        <v>1079</v>
      </c>
      <c r="F6" s="50">
        <v>0.12</v>
      </c>
      <c r="G6" s="50">
        <f t="shared" ref="G6:AH6" si="1">G5/COSEIDIcam</f>
        <v>0</v>
      </c>
      <c r="H6" s="50">
        <f t="shared" si="1"/>
        <v>0</v>
      </c>
      <c r="I6" s="50">
        <f t="shared" si="1"/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" priority="5" operator="greaterThan">
      <formula>0.1</formula>
    </cfRule>
    <cfRule type="cellIs" dxfId="7" priority="6" operator="greaterThan">
      <formula>10</formula>
    </cfRule>
  </conditionalFormatting>
  <conditionalFormatting sqref="C5">
    <cfRule type="cellIs" dxfId="6" priority="3" operator="greaterThan">
      <formula>0.1</formula>
    </cfRule>
    <cfRule type="cellIs" dxfId="5" priority="4" operator="greaterThan">
      <formula>0.11</formula>
    </cfRule>
  </conditionalFormatting>
  <conditionalFormatting sqref="F4:AI4">
    <cfRule type="cellIs" dxfId="4" priority="9" operator="greaterThan">
      <formula>0.1</formula>
    </cfRule>
    <cfRule type="cellIs" dxfId="3" priority="10" operator="greaterThan">
      <formula>10</formula>
    </cfRule>
  </conditionalFormatting>
  <conditionalFormatting sqref="F6:AI6">
    <cfRule type="cellIs" dxfId="2" priority="7" operator="greaterThan">
      <formula>0.1</formula>
    </cfRule>
    <cfRule type="cellIs" dxfId="1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2025-09-01T20:12:24Z</dcterms:modified>
</cp:coreProperties>
</file>