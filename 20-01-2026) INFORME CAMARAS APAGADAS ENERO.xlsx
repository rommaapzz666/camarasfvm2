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"/>
    </mc:Choice>
  </mc:AlternateContent>
  <xr:revisionPtr revIDLastSave="0" documentId="13_ncr:1_{C2DDA94E-50AA-4BCA-8193-F98B73F56885}" xr6:coauthVersionLast="47" xr6:coauthVersionMax="47" xr10:uidLastSave="{00000000-0000-0000-0000-000000000000}"/>
  <bookViews>
    <workbookView xWindow="-108" yWindow="-108" windowWidth="23256" windowHeight="13896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2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0" i="2" l="1"/>
  <c r="I460" i="2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D10" i="24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D20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21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71" i="24" l="1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AI2" i="26" l="1"/>
  <c r="L162" i="2"/>
  <c r="L258" i="2"/>
  <c r="L374" i="2"/>
  <c r="L540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AH6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33" i="24"/>
  <c r="C322" i="24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<sst xmlns="http://schemas.openxmlformats.org/spreadsheetml/2006/main" count="6925" uniqueCount="2289">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</sst>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56</c:v>
                </c:pt>
                <c:pt idx="7">
                  <c:v>51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41</c:v>
                </c:pt>
                <c:pt idx="12">
                  <c:v>31</c:v>
                </c:pt>
                <c:pt idx="13">
                  <c:v>34</c:v>
                </c:pt>
                <c:pt idx="14">
                  <c:v>41</c:v>
                </c:pt>
                <c:pt idx="15">
                  <c:v>40</c:v>
                </c:pt>
                <c:pt idx="16">
                  <c:v>97</c:v>
                </c:pt>
                <c:pt idx="17">
                  <c:v>0</c:v>
                </c:pt>
                <c:pt idx="18">
                  <c:v>53</c:v>
                </c:pt>
                <c:pt idx="19">
                  <c:v>39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38</c:v>
                </c:pt>
                <c:pt idx="2">
                  <c:v>0</c:v>
                </c:pt>
                <c:pt idx="3">
                  <c:v>0</c:v>
                </c:pt>
                <c:pt idx="4">
                  <c:v>63</c:v>
                </c:pt>
                <c:pt idx="5">
                  <c:v>63</c:v>
                </c:pt>
                <c:pt idx="6">
                  <c:v>47</c:v>
                </c:pt>
                <c:pt idx="7">
                  <c:v>38</c:v>
                </c:pt>
                <c:pt idx="8">
                  <c:v>29</c:v>
                </c:pt>
                <c:pt idx="9">
                  <c:v>0</c:v>
                </c:pt>
                <c:pt idx="10">
                  <c:v>0</c:v>
                </c:pt>
                <c:pt idx="11">
                  <c:v>57</c:v>
                </c:pt>
                <c:pt idx="12">
                  <c:v>64</c:v>
                </c:pt>
                <c:pt idx="13">
                  <c:v>50</c:v>
                </c:pt>
                <c:pt idx="14">
                  <c:v>51</c:v>
                </c:pt>
                <c:pt idx="15">
                  <c:v>0</c:v>
                </c:pt>
                <c:pt idx="16">
                  <c:v>71</c:v>
                </c:pt>
                <c:pt idx="17">
                  <c:v>54</c:v>
                </c:pt>
                <c:pt idx="18">
                  <c:v>58</c:v>
                </c:pt>
                <c:pt idx="19">
                  <c:v>55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0.16501650165016502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0.19141914191419143</c:v>
                      </c:pt>
                      <c:pt idx="6">
                        <c:v>0.18481848184818481</c:v>
                      </c:pt>
                      <c:pt idx="7">
                        <c:v>0.17</c:v>
                      </c:pt>
                      <c:pt idx="8">
                        <c:v>0.1254125412541254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0.13531353135313531</c:v>
                      </c:pt>
                      <c:pt idx="12">
                        <c:v>0.10231023102310231</c:v>
                      </c:pt>
                      <c:pt idx="13">
                        <c:v>0.11221122112211221</c:v>
                      </c:pt>
                      <c:pt idx="14">
                        <c:v>0.13531353135313531</c:v>
                      </c:pt>
                      <c:pt idx="15">
                        <c:v>0.132013201320132</c:v>
                      </c:pt>
                      <c:pt idx="16">
                        <c:v>0.32013201320132012</c:v>
                      </c:pt>
                      <c:pt idx="17">
                        <c:v>0</c:v>
                      </c:pt>
                      <c:pt idx="18">
                        <c:v>0.17491749174917492</c:v>
                      </c:pt>
                      <c:pt idx="19">
                        <c:v>0.12871287128712872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0.14074074074074075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0.23</c:v>
                      </c:pt>
                      <c:pt idx="5">
                        <c:v>0.23333333333333334</c:v>
                      </c:pt>
                      <c:pt idx="6">
                        <c:v>0.17407407407407408</c:v>
                      </c:pt>
                      <c:pt idx="7">
                        <c:v>0.14000000000000001</c:v>
                      </c:pt>
                      <c:pt idx="8">
                        <c:v>0.10740740740740741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0.21111111111111111</c:v>
                      </c:pt>
                      <c:pt idx="12">
                        <c:v>0.23703703703703705</c:v>
                      </c:pt>
                      <c:pt idx="13">
                        <c:v>0.18518518518518517</c:v>
                      </c:pt>
                      <c:pt idx="14">
                        <c:v>0.19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</c:v>
                      </c:pt>
                      <c:pt idx="18">
                        <c:v>0.21481481481481482</c:v>
                      </c:pt>
                      <c:pt idx="19">
                        <c:v>0.20370370370370369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0.16501650165016502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0.19141914191419143</c:v>
                </c:pt>
                <c:pt idx="6">
                  <c:v>0.18481848184818481</c:v>
                </c:pt>
                <c:pt idx="7">
                  <c:v>0.17</c:v>
                </c:pt>
                <c:pt idx="8">
                  <c:v>0.1254125412541254</c:v>
                </c:pt>
                <c:pt idx="9">
                  <c:v>0</c:v>
                </c:pt>
                <c:pt idx="10">
                  <c:v>0</c:v>
                </c:pt>
                <c:pt idx="11">
                  <c:v>0.13531353135313531</c:v>
                </c:pt>
                <c:pt idx="12">
                  <c:v>0.10231023102310231</c:v>
                </c:pt>
                <c:pt idx="13">
                  <c:v>0.11221122112211221</c:v>
                </c:pt>
                <c:pt idx="14">
                  <c:v>0.13531353135313531</c:v>
                </c:pt>
                <c:pt idx="15">
                  <c:v>0.132013201320132</c:v>
                </c:pt>
                <c:pt idx="16">
                  <c:v>0.32013201320132012</c:v>
                </c:pt>
                <c:pt idx="17">
                  <c:v>0</c:v>
                </c:pt>
                <c:pt idx="18">
                  <c:v>0.17491749174917492</c:v>
                </c:pt>
                <c:pt idx="19">
                  <c:v>0.12871287128712872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0.14074074074074075</c:v>
                </c:pt>
                <c:pt idx="2">
                  <c:v>0</c:v>
                </c:pt>
                <c:pt idx="3">
                  <c:v>0</c:v>
                </c:pt>
                <c:pt idx="4">
                  <c:v>0.23</c:v>
                </c:pt>
                <c:pt idx="5">
                  <c:v>0.23333333333333334</c:v>
                </c:pt>
                <c:pt idx="6">
                  <c:v>0.17407407407407408</c:v>
                </c:pt>
                <c:pt idx="7">
                  <c:v>0.14000000000000001</c:v>
                </c:pt>
                <c:pt idx="8">
                  <c:v>0.10740740740740741</c:v>
                </c:pt>
                <c:pt idx="9">
                  <c:v>0</c:v>
                </c:pt>
                <c:pt idx="10">
                  <c:v>0</c:v>
                </c:pt>
                <c:pt idx="11">
                  <c:v>0.21111111111111111</c:v>
                </c:pt>
                <c:pt idx="12">
                  <c:v>0.23703703703703705</c:v>
                </c:pt>
                <c:pt idx="13">
                  <c:v>0.18518518518518517</c:v>
                </c:pt>
                <c:pt idx="14">
                  <c:v>0.19</c:v>
                </c:pt>
                <c:pt idx="15">
                  <c:v>0</c:v>
                </c:pt>
                <c:pt idx="16">
                  <c:v>0</c:v>
                </c:pt>
                <c:pt idx="17">
                  <c:v>0.2</c:v>
                </c:pt>
                <c:pt idx="18">
                  <c:v>0.21481481481481482</c:v>
                </c:pt>
                <c:pt idx="19">
                  <c:v>0.20370370370370369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50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34</c:v>
                      </c:pt>
                      <c:pt idx="5">
                        <c:v>58</c:v>
                      </c:pt>
                      <c:pt idx="6">
                        <c:v>56</c:v>
                      </c:pt>
                      <c:pt idx="7">
                        <c:v>51</c:v>
                      </c:pt>
                      <c:pt idx="8">
                        <c:v>38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41</c:v>
                      </c:pt>
                      <c:pt idx="12">
                        <c:v>31</c:v>
                      </c:pt>
                      <c:pt idx="13">
                        <c:v>34</c:v>
                      </c:pt>
                      <c:pt idx="14">
                        <c:v>41</c:v>
                      </c:pt>
                      <c:pt idx="15">
                        <c:v>40</c:v>
                      </c:pt>
                      <c:pt idx="16">
                        <c:v>97</c:v>
                      </c:pt>
                      <c:pt idx="17">
                        <c:v>0</c:v>
                      </c:pt>
                      <c:pt idx="18">
                        <c:v>53</c:v>
                      </c:pt>
                      <c:pt idx="19">
                        <c:v>39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  <c:pt idx="12">
                        <c:v>46035</c:v>
                      </c:pt>
                      <c:pt idx="13">
                        <c:v>46036</c:v>
                      </c:pt>
                      <c:pt idx="14">
                        <c:v>46037</c:v>
                      </c:pt>
                      <c:pt idx="15">
                        <c:v>46038</c:v>
                      </c:pt>
                      <c:pt idx="16">
                        <c:v>46039</c:v>
                      </c:pt>
                      <c:pt idx="17">
                        <c:v>46040</c:v>
                      </c:pt>
                      <c:pt idx="18">
                        <c:v>46041</c:v>
                      </c:pt>
                      <c:pt idx="19">
                        <c:v>46042</c:v>
                      </c:pt>
                      <c:pt idx="20">
                        <c:v>46043</c:v>
                      </c:pt>
                      <c:pt idx="21">
                        <c:v>46044</c:v>
                      </c:pt>
                      <c:pt idx="22">
                        <c:v>46045</c:v>
                      </c:pt>
                      <c:pt idx="23">
                        <c:v>46046</c:v>
                      </c:pt>
                      <c:pt idx="24">
                        <c:v>46047</c:v>
                      </c:pt>
                      <c:pt idx="25">
                        <c:v>46048</c:v>
                      </c:pt>
                      <c:pt idx="26">
                        <c:v>46049</c:v>
                      </c:pt>
                      <c:pt idx="27">
                        <c:v>46050</c:v>
                      </c:pt>
                      <c:pt idx="28">
                        <c:v>46051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63</c:v>
                      </c:pt>
                      <c:pt idx="5">
                        <c:v>63</c:v>
                      </c:pt>
                      <c:pt idx="6">
                        <c:v>47</c:v>
                      </c:pt>
                      <c:pt idx="7">
                        <c:v>38</c:v>
                      </c:pt>
                      <c:pt idx="8">
                        <c:v>29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57</c:v>
                      </c:pt>
                      <c:pt idx="12">
                        <c:v>64</c:v>
                      </c:pt>
                      <c:pt idx="13">
                        <c:v>50</c:v>
                      </c:pt>
                      <c:pt idx="14">
                        <c:v>51</c:v>
                      </c:pt>
                      <c:pt idx="15">
                        <c:v>0</c:v>
                      </c:pt>
                      <c:pt idx="16">
                        <c:v>71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55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60" zoomScaleNormal="60" workbookViewId="0">
      <pane xSplit="12" ySplit="7" topLeftCell="AF314" activePane="bottomRight" state="frozen"/>
      <selection pane="topRight" activeCell="M1" sqref="M1"/>
      <selection pane="bottomLeft" activeCell="A5" sqref="A5"/>
      <selection pane="bottomRight" activeCell="C431" sqref="C431"/>
    </sheetView>
  </sheetViews>
  <sheetFormatPr baseColWidth="10" defaultColWidth="11.5546875" defaultRowHeight="14.4" x14ac:dyDescent="0.3"/>
  <cols>
    <col min="1" max="1" width="26.6640625" customWidth="1"/>
    <col min="2" max="2" width="37.55468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1.5546875" style="65" customWidth="1"/>
    <col min="8" max="8" width="14.6640625" style="65" customWidth="1"/>
    <col min="9" max="9" width="16.44140625" customWidth="1"/>
    <col min="10" max="10" width="23.6640625" customWidth="1"/>
    <col min="11" max="11" width="11.33203125" customWidth="1"/>
    <col min="12" max="12" width="17" style="4" customWidth="1"/>
    <col min="13" max="13" width="17.33203125" style="14" customWidth="1"/>
    <col min="14" max="17" width="14.44140625" style="14" customWidth="1"/>
    <col min="18" max="18" width="13.44140625" style="14" customWidth="1"/>
    <col min="19" max="21" width="14.44140625" style="14" customWidth="1"/>
    <col min="22" max="38" width="14.109375" style="14" customWidth="1"/>
    <col min="39" max="41" width="14.109375" style="14" bestFit="1" customWidth="1"/>
    <col min="42" max="43" width="18.109375" bestFit="1" customWidth="1"/>
  </cols>
  <sheetData>
    <row r="1" spans="1:43" s="4" customFormat="1" ht="27.75" customHeight="1" thickTop="1" x14ac:dyDescent="0.3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0.15835777126099707</v>
      </c>
      <c r="N1" s="3">
        <f t="shared" si="0"/>
        <v>0.16326530612244897</v>
      </c>
      <c r="O1" s="3">
        <f t="shared" si="0"/>
        <v>0.13293051359516617</v>
      </c>
      <c r="P1" s="3">
        <f t="shared" si="0"/>
        <v>0.12898330804248861</v>
      </c>
      <c r="Q1" s="3">
        <f t="shared" si="0"/>
        <v>0.14456035767511177</v>
      </c>
      <c r="R1" s="3">
        <f t="shared" si="0"/>
        <v>0.17410071942446043</v>
      </c>
      <c r="S1" s="3">
        <f t="shared" si="0"/>
        <v>0.15214180206794684</v>
      </c>
      <c r="T1" s="3">
        <f t="shared" si="0"/>
        <v>0.13423831070889894</v>
      </c>
      <c r="U1" s="3">
        <f t="shared" si="0"/>
        <v>0.10452418096723869</v>
      </c>
      <c r="V1" s="3">
        <f t="shared" si="0"/>
        <v>0.11419753086419752</v>
      </c>
      <c r="W1" s="3">
        <f t="shared" si="0"/>
        <v>0</v>
      </c>
      <c r="X1" s="3">
        <f t="shared" si="0"/>
        <v>0.14583333333333334</v>
      </c>
      <c r="Y1" s="3">
        <f t="shared" si="0"/>
        <v>0.14200298953662183</v>
      </c>
      <c r="Z1" s="3"/>
      <c r="AA1" s="3">
        <f t="shared" ref="AA1:AP1" si="1">(AA3)/(AA2+AA3)</f>
        <v>0.13813813813813813</v>
      </c>
      <c r="AB1" s="3">
        <f t="shared" si="1"/>
        <v>0.14836795252225518</v>
      </c>
      <c r="AC1" s="3">
        <f t="shared" si="1"/>
        <v>0.22641509433962265</v>
      </c>
      <c r="AD1" s="3">
        <f t="shared" si="1"/>
        <v>0.1595900439238653</v>
      </c>
      <c r="AE1" s="3">
        <f t="shared" si="1"/>
        <v>0.16204379562043797</v>
      </c>
      <c r="AF1" s="3">
        <f t="shared" si="1"/>
        <v>0.1407185628742515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" thickBot="1" x14ac:dyDescent="0.35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108</v>
      </c>
      <c r="N3" s="126">
        <f t="shared" si="4"/>
        <v>112</v>
      </c>
      <c r="O3" s="126">
        <f t="shared" si="4"/>
        <v>88</v>
      </c>
      <c r="P3" s="126">
        <f t="shared" si="4"/>
        <v>85</v>
      </c>
      <c r="Q3" s="126">
        <f t="shared" si="4"/>
        <v>97</v>
      </c>
      <c r="R3" s="126">
        <f t="shared" si="4"/>
        <v>121</v>
      </c>
      <c r="S3" s="126">
        <f t="shared" si="4"/>
        <v>103</v>
      </c>
      <c r="T3" s="126">
        <f t="shared" si="4"/>
        <v>89</v>
      </c>
      <c r="U3" s="126">
        <f t="shared" si="4"/>
        <v>67</v>
      </c>
      <c r="V3" s="126">
        <f t="shared" si="4"/>
        <v>74</v>
      </c>
      <c r="W3" s="126">
        <f t="shared" si="4"/>
        <v>0</v>
      </c>
      <c r="X3" s="126">
        <f t="shared" si="4"/>
        <v>98</v>
      </c>
      <c r="Y3" s="126">
        <f t="shared" si="4"/>
        <v>95</v>
      </c>
      <c r="Z3" s="126">
        <f t="shared" si="4"/>
        <v>84</v>
      </c>
      <c r="AA3" s="126">
        <f t="shared" si="4"/>
        <v>92</v>
      </c>
      <c r="AB3" s="126">
        <f t="shared" si="4"/>
        <v>100</v>
      </c>
      <c r="AC3" s="126">
        <f t="shared" si="4"/>
        <v>168</v>
      </c>
      <c r="AD3" s="126">
        <f t="shared" si="4"/>
        <v>109</v>
      </c>
      <c r="AE3" s="126">
        <f t="shared" si="4"/>
        <v>111</v>
      </c>
      <c r="AF3" s="126">
        <f t="shared" si="4"/>
        <v>94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" thickTop="1" x14ac:dyDescent="0.3">
      <c r="A4" s="116"/>
      <c r="B4" s="58"/>
      <c r="C4" s="58"/>
      <c r="D4" s="21" t="s">
        <v>1464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55</v>
      </c>
      <c r="N4" s="10">
        <f>COUNTIFS(N8:N689, "=APAGADO",F8:F689,"=Fibra Optica")</f>
        <v>57</v>
      </c>
      <c r="O4" s="10">
        <f>COUNTIFS(O8:O689, "=APAGADO",F8:F689,"=Fibra Optica")</f>
        <v>36</v>
      </c>
      <c r="P4" s="10">
        <f>COUNTIFS(P8:P689, "=APAGADO",F8:F689,"=Fibra Optica")</f>
        <v>36</v>
      </c>
      <c r="Q4" s="10">
        <f>COUNTIFS(Q8:Q689, "=APAGADO",F8:F689,"=Fibra Optica")</f>
        <v>41</v>
      </c>
      <c r="R4" s="10">
        <f>COUNTIFS(R8:R689, "=APAGADO",F8:F689,"=Fibra Optica")</f>
        <v>57</v>
      </c>
      <c r="S4" s="10">
        <f>COUNTIFS(S8:S689, "=APAGADO",F8:F689,"=Fibra Optica")</f>
        <v>49</v>
      </c>
      <c r="T4" s="10">
        <f>COUNTIFS(T8:T689, "=APAGADO",F8:F689,"=Fibra Optica")</f>
        <v>47</v>
      </c>
      <c r="U4" s="10">
        <f>COUNTIFS(U8:U689, "=APAGADO",F8:F689,"=Fibra Optica")</f>
        <v>34</v>
      </c>
      <c r="V4" s="10">
        <f>COUNTIFS(V8:V689, "=APAGADO",F8:F689,"=Fibra Optica")</f>
        <v>38</v>
      </c>
      <c r="W4" s="10">
        <f>COUNTIFS(W8:W689, "=APAGADO",F8:F689,"=Fibra Optica")</f>
        <v>0</v>
      </c>
      <c r="X4" s="10">
        <f>COUNTIFS(X8:X689, "=APAGADO",F8:F689,"=Fibra Optica")</f>
        <v>43</v>
      </c>
      <c r="Y4" s="10">
        <f>COUNTIFS(Y8:Y689, "=APAGADO",F8:F689,"=Fibra Optica")</f>
        <v>41</v>
      </c>
      <c r="Z4" s="10">
        <f>COUNTIFS(Z8:Z689, "=APAGADO",F8:F689,"=Fibra Optica")</f>
        <v>38</v>
      </c>
      <c r="AA4" s="10">
        <f>COUNTIFS(AA8:AA689, "=APAGADO",F8:F689,"=Fibra Optica")</f>
        <v>42</v>
      </c>
      <c r="AB4" s="10">
        <f>COUNTIFS(AB8:AB689, "=APAGADO",F8:F689,"=Fibra Optica")</f>
        <v>40</v>
      </c>
      <c r="AC4" s="10">
        <f>COUNTIFS(AC8:AC689, "=APAGADO",F8:F689,"=Fibra Optica")</f>
        <v>105</v>
      </c>
      <c r="AD4" s="10">
        <f>COUNTIFS(AD8:AD689, "=APAGADO",F8:F689,"=Fibra Optica")</f>
        <v>59</v>
      </c>
      <c r="AE4" s="10">
        <f>COUNTIFS(AE8:AE689, "=APAGADO",F8:F689,"=Fibra Optica")</f>
        <v>59</v>
      </c>
      <c r="AF4" s="10">
        <f>COUNTIFS(AF8:AF689, "=APAGADO",F8:F689,"=Fibra Optica")</f>
        <v>48</v>
      </c>
      <c r="AG4" s="10">
        <f>COUNTIFS(AG8:AG689, "=APAGADO",F8:F689,"=Fibra Optica")</f>
        <v>0</v>
      </c>
      <c r="AH4" s="10">
        <f>COUNTIFS(AH8:AH689, "=APAGADO",F8:F689,"=Fibra Optica")</f>
        <v>0</v>
      </c>
      <c r="AI4" s="10">
        <f>COUNTIFS(AI8:AI689, "=APAGADO",F8:F689,"=Fibra Optica")</f>
        <v>0</v>
      </c>
      <c r="AJ4" s="10">
        <f>COUNTIFS(AJ8:AJ689, "=APAGADO",F8:F689,"=Fibra Optica")</f>
        <v>0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3">
      <c r="A5" s="116"/>
      <c r="B5" s="58"/>
      <c r="C5" s="58"/>
      <c r="D5" s="127" t="s">
        <v>1465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5</v>
      </c>
      <c r="N5" s="130">
        <f>COUNTIFS(N8:N689, "=APAGADO",F8:F689,"=RADIO")</f>
        <v>5</v>
      </c>
      <c r="O5" s="130">
        <f>COUNTIFS(O8:O689, "=APAGADO",F8:F689,"=RADIO")</f>
        <v>5</v>
      </c>
      <c r="P5" s="130">
        <f>COUNTIFS(P8:P689, "=APAGADO",F8:F689,"=RADIO")</f>
        <v>4</v>
      </c>
      <c r="Q5" s="130">
        <f>COUNTIFS(Q8:Q689, "=APAGADO",F8:F689,"=RADIO")</f>
        <v>6</v>
      </c>
      <c r="R5" s="130">
        <f>COUNTIFS(R8:R689, "=APAGADO",F8:F689,"=RADIO")</f>
        <v>14</v>
      </c>
      <c r="S5" s="130">
        <f>COUNTIFS(S8:S689, "=APAGADO",F8:F689,"=RADIO")</f>
        <v>13</v>
      </c>
      <c r="T5" s="130">
        <f>COUNTIFS(T8:T689, "=APAGADO",F8:F689,"=RADIO")</f>
        <v>5</v>
      </c>
      <c r="U5" s="130">
        <f>COUNTIFS(U8:U689, "=APAGADO",F8:F689,"=RADIO")</f>
        <v>5</v>
      </c>
      <c r="V5" s="130">
        <f>COUNTIFS(V8:V689, "=APAGADO",F8:F689,"=RADIO")</f>
        <v>3</v>
      </c>
      <c r="W5" s="130">
        <f>COUNTIFS(W8:W689, "=APAGADO",F8:F689,"=RADIO")</f>
        <v>0</v>
      </c>
      <c r="X5" s="130">
        <f>COUNTIFS(X8:X689, "=APAGADO",F8:F689,"=RADIO")</f>
        <v>4</v>
      </c>
      <c r="Y5" s="130">
        <f>COUNTIFS(Y8:Y689, "=APAGADO",F8:F689,"=RADIO")</f>
        <v>3</v>
      </c>
      <c r="Z5" s="130">
        <f>COUNTIFS(Z8:Z689, "=APAGADO",F8:F689,"=RADIO")</f>
        <v>3</v>
      </c>
      <c r="AA5" s="130">
        <f>COUNTIFS(AA8:AA689, "=APAGADO",F8:F689,"=RADIO")</f>
        <v>4</v>
      </c>
      <c r="AB5" s="130">
        <f>COUNTIFS(AB8:AB689, "=APAGADO",F8:F689,"=RADIO")</f>
        <v>3</v>
      </c>
      <c r="AC5" s="130">
        <f>COUNTIFS(AC8:AC689, "=APAGADO",F8:F689,"=RADIO")</f>
        <v>3</v>
      </c>
      <c r="AD5" s="130">
        <f>COUNTIFS(AD8:AD689, "=APAGADO",F8:F689,"=RADIO")</f>
        <v>3</v>
      </c>
      <c r="AE5" s="130">
        <f>COUNTIFS(AE8:AE689, "=APAGADO",F8:F689,"=RADIO")</f>
        <v>4</v>
      </c>
      <c r="AF5" s="130">
        <f>COUNTIFS(AF8:AF689, "=APAGADO",F8:F689,"=RADIO")</f>
        <v>3</v>
      </c>
      <c r="AG5" s="130">
        <f>COUNTIFS(AG8:AG689, "=APAGADO",F8:F689,"=RADIO")</f>
        <v>0</v>
      </c>
      <c r="AH5" s="130">
        <f>COUNTIFS(AH8:AH689, "=APAGADO",F8:F689,"=RADIO")</f>
        <v>0</v>
      </c>
      <c r="AI5" s="130">
        <f>COUNTIFS(AI8:AI689, "=APAGADO",F8:F689,"=RADIO")</f>
        <v>0</v>
      </c>
      <c r="AJ5" s="130">
        <f>COUNTIFS(AJ8:AJ689, "=APAGADO",F8:F689,"=RADIO")</f>
        <v>0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" thickBot="1" x14ac:dyDescent="0.35">
      <c r="A6" s="116"/>
      <c r="B6" s="58"/>
      <c r="C6" s="58"/>
      <c r="D6" s="21" t="s">
        <v>1466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12</v>
      </c>
      <c r="N6" s="10">
        <f>COUNTIFS(N8:N689, "=APAGADO",F8:F689,"=PTO A FO")</f>
        <v>12</v>
      </c>
      <c r="O6" s="10">
        <f>COUNTIFS(O8:O689, "=APAGADO",F8:F689,"=PTO A FO")</f>
        <v>10</v>
      </c>
      <c r="P6" s="10">
        <f>COUNTIFS(P8:P689, "=APAGADO",F8:F689,"=PTO A FO")</f>
        <v>10</v>
      </c>
      <c r="Q6" s="10">
        <f>COUNTIFS(Q8:Q689, "=APAGADO",F8:F689,"=PTO A FO")</f>
        <v>12</v>
      </c>
      <c r="R6" s="10">
        <f>COUNTIFS(R8:R689, "=APAGADO",F8:F689,"=PTO A FO")</f>
        <v>14</v>
      </c>
      <c r="S6" s="10">
        <f>COUNTIFS(S8:S689, "=APAGADO",F8:F689,"=PTO A FO")</f>
        <v>11</v>
      </c>
      <c r="T6" s="10">
        <f>COUNTIFS(T8:T689, "=APAGADO",F8:F689,"=PTO A FO")</f>
        <v>10</v>
      </c>
      <c r="U6" s="10">
        <f>COUNTIFS(U8:U689, "=APAGADO",F8:F689,"=PTO A FO")</f>
        <v>5</v>
      </c>
      <c r="V6" s="10">
        <f>COUNTIFS(V8:V689, "=APAGADO",F8:F689,"=PTO A FO")</f>
        <v>6</v>
      </c>
      <c r="W6" s="10">
        <f>COUNTIFS(W8:W689, "=APAGADO",F8:F689,"=PTO A FO")</f>
        <v>0</v>
      </c>
      <c r="X6" s="10">
        <f>COUNTIFS(X8:X689, "=APAGADO",F8:F689,"=PTO A FO")</f>
        <v>10</v>
      </c>
      <c r="Y6" s="10">
        <f>COUNTIFS(Y8:Y689, "=APAGADO",F8:F689,"=PTO A FO")</f>
        <v>12</v>
      </c>
      <c r="Z6" s="10">
        <f>COUNTIFS(Z8:Z689, "=APAGADO",F8:F689,"=PTO A FO")</f>
        <v>12</v>
      </c>
      <c r="AA6" s="10">
        <f>COUNTIFS(AA8:AA689, "=APAGADO",F8:F689,"=PTO A FO")</f>
        <v>12</v>
      </c>
      <c r="AB6" s="10">
        <f>COUNTIFS(AB8:AB689, "=APAGADO",F8:F689,"=PTO A FO")</f>
        <v>14</v>
      </c>
      <c r="AC6" s="10">
        <f>COUNTIFS(AC8:AC689, "=APAGADO",F8:F689,"=PTO A FO")</f>
        <v>22</v>
      </c>
      <c r="AD6" s="10">
        <f>COUNTIFS(AD8:AD689, "=APAGADO",F8:F689,"=PTO A FO")</f>
        <v>15</v>
      </c>
      <c r="AE6" s="10">
        <f>COUNTIFS(AE8:AE689, "=APAGADO",F8:F689,"=PTO A FO")</f>
        <v>15</v>
      </c>
      <c r="AF6" s="10">
        <f>COUNTIFS(AF8:AF689, "=APAGADO",F8:F689,"=PTO A FO")</f>
        <v>15</v>
      </c>
      <c r="AG6" s="10">
        <f>COUNTIFS(AG8:AG689, "=APAGADO",F8:F689,"=PTO A FO")</f>
        <v>0</v>
      </c>
      <c r="AH6" s="10">
        <f>COUNTIFS(AH8:AH689, "=APAGADO",F8:F689,"=PTO A FO")</f>
        <v>0</v>
      </c>
      <c r="AI6" s="10">
        <f>COUNTIFS(AI8:AI689, "=APAGADO",F8:F689,"=PTO A FO")</f>
        <v>0</v>
      </c>
      <c r="AJ6" s="10">
        <f>COUNTIFS(AJ8:AJ689, "=APAGADO",F8:F689,"=PTO A FO")</f>
        <v>0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0.6" thickTop="1" thickBot="1" x14ac:dyDescent="0.4">
      <c r="A7" s="35" t="s">
        <v>7</v>
      </c>
      <c r="B7" s="117" t="s">
        <v>8</v>
      </c>
      <c r="C7" s="35" t="s">
        <v>1060</v>
      </c>
      <c r="D7" s="35" t="s">
        <v>9</v>
      </c>
      <c r="E7" s="117" t="s">
        <v>10</v>
      </c>
      <c r="F7" s="117" t="s">
        <v>11</v>
      </c>
      <c r="G7" s="117" t="s">
        <v>1247</v>
      </c>
      <c r="H7" s="117"/>
      <c r="I7" s="19" t="s">
        <v>2</v>
      </c>
      <c r="J7" s="19" t="s">
        <v>1664</v>
      </c>
      <c r="K7" s="19" t="s">
        <v>3</v>
      </c>
      <c r="L7" s="118" t="s">
        <v>4</v>
      </c>
      <c r="M7" s="119">
        <v>46023</v>
      </c>
      <c r="N7" s="119">
        <v>46024</v>
      </c>
      <c r="O7" s="119">
        <v>46025</v>
      </c>
      <c r="P7" s="119">
        <v>46026</v>
      </c>
      <c r="Q7" s="119">
        <v>46027</v>
      </c>
      <c r="R7" s="119">
        <v>46028</v>
      </c>
      <c r="S7" s="119">
        <v>46029</v>
      </c>
      <c r="T7" s="119">
        <v>46030</v>
      </c>
      <c r="U7" s="119">
        <v>46031</v>
      </c>
      <c r="V7" s="119">
        <v>46032</v>
      </c>
      <c r="W7" s="119">
        <v>46033</v>
      </c>
      <c r="X7" s="119">
        <v>46034</v>
      </c>
      <c r="Y7" s="119">
        <v>46035</v>
      </c>
      <c r="Z7" s="119">
        <v>46036</v>
      </c>
      <c r="AA7" s="119">
        <v>46037</v>
      </c>
      <c r="AB7" s="119">
        <v>46038</v>
      </c>
      <c r="AC7" s="119">
        <v>46039</v>
      </c>
      <c r="AD7" s="119">
        <v>46040</v>
      </c>
      <c r="AE7" s="119">
        <v>46041</v>
      </c>
      <c r="AF7" s="119">
        <v>46042</v>
      </c>
      <c r="AG7" s="119">
        <v>46043</v>
      </c>
      <c r="AH7" s="119">
        <v>46044</v>
      </c>
      <c r="AI7" s="119">
        <v>46045</v>
      </c>
      <c r="AJ7" s="119">
        <v>46046</v>
      </c>
      <c r="AK7" s="119">
        <v>46047</v>
      </c>
      <c r="AL7" s="119">
        <v>46048</v>
      </c>
      <c r="AM7" s="119">
        <v>46049</v>
      </c>
      <c r="AN7" s="119">
        <v>46050</v>
      </c>
      <c r="AO7" s="119">
        <v>46051</v>
      </c>
      <c r="AP7" s="119">
        <v>46052</v>
      </c>
      <c r="AQ7" s="119">
        <v>46053</v>
      </c>
    </row>
    <row r="8" spans="1:43" ht="15" thickBot="1" x14ac:dyDescent="0.35">
      <c r="A8" t="s">
        <v>26</v>
      </c>
      <c r="B8" t="s">
        <v>29</v>
      </c>
      <c r="C8" t="s">
        <v>1061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9</v>
      </c>
      <c r="J8" s="147" t="s">
        <v>1665</v>
      </c>
      <c r="K8" s="31">
        <f t="shared" ref="K8:K85" si="6">COUNTIF(M8:AN8,"APAGADO")</f>
        <v>19</v>
      </c>
      <c r="L8" s="32">
        <f t="shared" ref="L8:L85" si="7">(I8)/(K8+I8)</f>
        <v>0.32142857142857145</v>
      </c>
      <c r="M8" s="70" t="s">
        <v>2286</v>
      </c>
      <c r="N8" s="70" t="s">
        <v>2286</v>
      </c>
      <c r="O8" s="70" t="s">
        <v>2286</v>
      </c>
      <c r="P8" s="70" t="s">
        <v>2286</v>
      </c>
      <c r="Q8" s="70" t="s">
        <v>2286</v>
      </c>
      <c r="R8" s="70" t="s">
        <v>2286</v>
      </c>
      <c r="S8" s="70" t="s">
        <v>2286</v>
      </c>
      <c r="T8" s="70" t="s">
        <v>2286</v>
      </c>
      <c r="U8" s="70" t="s">
        <v>2286</v>
      </c>
      <c r="V8" s="70" t="s">
        <v>2286</v>
      </c>
      <c r="W8" s="70"/>
      <c r="X8" s="70" t="s">
        <v>2286</v>
      </c>
      <c r="Y8" s="70" t="s">
        <v>2286</v>
      </c>
      <c r="Z8" s="70" t="s">
        <v>2286</v>
      </c>
      <c r="AA8" s="70" t="s">
        <v>2286</v>
      </c>
      <c r="AB8" s="70" t="s">
        <v>2286</v>
      </c>
      <c r="AC8" s="70" t="s">
        <v>2286</v>
      </c>
      <c r="AD8" s="70" t="s">
        <v>2286</v>
      </c>
      <c r="AE8" s="70" t="s">
        <v>2286</v>
      </c>
      <c r="AF8" s="70" t="s">
        <v>2286</v>
      </c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" thickBot="1" x14ac:dyDescent="0.35">
      <c r="A9" t="s">
        <v>26</v>
      </c>
      <c r="B9" t="s">
        <v>31</v>
      </c>
      <c r="C9" t="s">
        <v>1061</v>
      </c>
      <c r="D9" t="s">
        <v>32</v>
      </c>
      <c r="E9" s="30" t="s">
        <v>19</v>
      </c>
      <c r="F9" s="30" t="s">
        <v>1055</v>
      </c>
      <c r="G9" s="30" t="s">
        <v>1250</v>
      </c>
      <c r="H9" s="30" t="s">
        <v>611</v>
      </c>
      <c r="I9" s="31">
        <f t="shared" si="5"/>
        <v>9</v>
      </c>
      <c r="J9" s="147" t="s">
        <v>1666</v>
      </c>
      <c r="K9" s="31">
        <f t="shared" si="6"/>
        <v>19</v>
      </c>
      <c r="L9" s="32">
        <f t="shared" si="7"/>
        <v>0.32142857142857145</v>
      </c>
      <c r="M9" s="70" t="s">
        <v>2286</v>
      </c>
      <c r="N9" s="70" t="s">
        <v>2286</v>
      </c>
      <c r="O9" s="70" t="s">
        <v>2286</v>
      </c>
      <c r="P9" s="70" t="s">
        <v>2286</v>
      </c>
      <c r="Q9" s="70" t="s">
        <v>2286</v>
      </c>
      <c r="R9" s="70" t="s">
        <v>2286</v>
      </c>
      <c r="S9" s="70" t="s">
        <v>2286</v>
      </c>
      <c r="T9" s="70" t="s">
        <v>2286</v>
      </c>
      <c r="U9" s="70" t="s">
        <v>2286</v>
      </c>
      <c r="V9" s="70" t="s">
        <v>2286</v>
      </c>
      <c r="W9" s="70"/>
      <c r="X9" s="70" t="s">
        <v>2286</v>
      </c>
      <c r="Y9" s="70" t="s">
        <v>2286</v>
      </c>
      <c r="Z9" s="70" t="s">
        <v>2286</v>
      </c>
      <c r="AA9" s="70" t="s">
        <v>2286</v>
      </c>
      <c r="AB9" s="70" t="s">
        <v>2286</v>
      </c>
      <c r="AC9" s="70" t="s">
        <v>2286</v>
      </c>
      <c r="AD9" s="70" t="s">
        <v>2286</v>
      </c>
      <c r="AE9" s="70" t="s">
        <v>2286</v>
      </c>
      <c r="AF9" s="70" t="s">
        <v>2286</v>
      </c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" thickBot="1" x14ac:dyDescent="0.35">
      <c r="A10" s="73" t="s">
        <v>26</v>
      </c>
      <c r="B10" s="73" t="s">
        <v>913</v>
      </c>
      <c r="C10" s="73" t="s">
        <v>1061</v>
      </c>
      <c r="D10" s="73" t="s">
        <v>33</v>
      </c>
      <c r="E10" s="85" t="s">
        <v>19</v>
      </c>
      <c r="F10" s="85" t="s">
        <v>1300</v>
      </c>
      <c r="G10" s="85"/>
      <c r="H10" s="85" t="s">
        <v>612</v>
      </c>
      <c r="I10" s="142">
        <f t="shared" si="5"/>
        <v>28</v>
      </c>
      <c r="J10" s="147" t="s">
        <v>1667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" thickBot="1" x14ac:dyDescent="0.35">
      <c r="A11" s="73" t="s">
        <v>26</v>
      </c>
      <c r="B11" s="73" t="s">
        <v>914</v>
      </c>
      <c r="C11" s="73" t="s">
        <v>1061</v>
      </c>
      <c r="D11" s="73" t="s">
        <v>34</v>
      </c>
      <c r="E11" s="85" t="s">
        <v>19</v>
      </c>
      <c r="F11" s="85" t="s">
        <v>1300</v>
      </c>
      <c r="G11" s="85"/>
      <c r="H11" s="85" t="s">
        <v>613</v>
      </c>
      <c r="I11" s="142">
        <f t="shared" si="5"/>
        <v>28</v>
      </c>
      <c r="J11" s="147" t="s">
        <v>1668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" thickBot="1" x14ac:dyDescent="0.35">
      <c r="A12" s="73" t="s">
        <v>26</v>
      </c>
      <c r="B12" s="73" t="s">
        <v>35</v>
      </c>
      <c r="C12" s="73" t="s">
        <v>1061</v>
      </c>
      <c r="D12" s="73" t="s">
        <v>36</v>
      </c>
      <c r="E12" s="85" t="s">
        <v>19</v>
      </c>
      <c r="F12" s="85" t="s">
        <v>1300</v>
      </c>
      <c r="G12" s="85" t="s">
        <v>1249</v>
      </c>
      <c r="H12" s="85" t="s">
        <v>614</v>
      </c>
      <c r="I12" s="142">
        <f t="shared" si="5"/>
        <v>28</v>
      </c>
      <c r="J12" s="149" t="s">
        <v>1669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" thickBot="1" x14ac:dyDescent="0.35">
      <c r="A13" s="73" t="s">
        <v>26</v>
      </c>
      <c r="B13" s="73" t="s">
        <v>915</v>
      </c>
      <c r="C13" s="73" t="s">
        <v>1061</v>
      </c>
      <c r="D13" s="73" t="s">
        <v>27</v>
      </c>
      <c r="E13" s="85" t="s">
        <v>19</v>
      </c>
      <c r="F13" s="85" t="s">
        <v>1300</v>
      </c>
      <c r="G13" s="85" t="s">
        <v>1249</v>
      </c>
      <c r="H13" s="85" t="s">
        <v>615</v>
      </c>
      <c r="I13" s="142">
        <f t="shared" si="5"/>
        <v>28</v>
      </c>
      <c r="J13" s="147" t="s">
        <v>1670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" thickBot="1" x14ac:dyDescent="0.35">
      <c r="A14" t="s">
        <v>26</v>
      </c>
      <c r="B14" t="s">
        <v>37</v>
      </c>
      <c r="C14" t="s">
        <v>1061</v>
      </c>
      <c r="D14" t="s">
        <v>38</v>
      </c>
      <c r="E14" s="30" t="s">
        <v>15</v>
      </c>
      <c r="F14" s="30" t="s">
        <v>1055</v>
      </c>
      <c r="G14" s="30" t="s">
        <v>1250</v>
      </c>
      <c r="H14" s="30" t="s">
        <v>617</v>
      </c>
      <c r="I14" s="31">
        <f t="shared" si="5"/>
        <v>9</v>
      </c>
      <c r="J14" s="147" t="s">
        <v>1671</v>
      </c>
      <c r="K14" s="31">
        <f t="shared" si="6"/>
        <v>19</v>
      </c>
      <c r="L14" s="32">
        <f t="shared" si="7"/>
        <v>0.32142857142857145</v>
      </c>
      <c r="M14" s="70" t="s">
        <v>2286</v>
      </c>
      <c r="N14" s="70" t="s">
        <v>2286</v>
      </c>
      <c r="O14" s="70" t="s">
        <v>2286</v>
      </c>
      <c r="P14" s="70" t="s">
        <v>2286</v>
      </c>
      <c r="Q14" s="70" t="s">
        <v>2286</v>
      </c>
      <c r="R14" s="70" t="s">
        <v>2286</v>
      </c>
      <c r="S14" s="70" t="s">
        <v>2286</v>
      </c>
      <c r="T14" s="70" t="s">
        <v>2286</v>
      </c>
      <c r="U14" s="70" t="s">
        <v>2286</v>
      </c>
      <c r="V14" s="70" t="s">
        <v>2286</v>
      </c>
      <c r="W14" s="70"/>
      <c r="X14" s="70" t="s">
        <v>2286</v>
      </c>
      <c r="Y14" s="70" t="s">
        <v>2286</v>
      </c>
      <c r="Z14" s="70" t="s">
        <v>2286</v>
      </c>
      <c r="AA14" s="70" t="s">
        <v>2286</v>
      </c>
      <c r="AB14" s="70" t="s">
        <v>2286</v>
      </c>
      <c r="AC14" s="70" t="s">
        <v>2286</v>
      </c>
      <c r="AD14" s="70" t="s">
        <v>2286</v>
      </c>
      <c r="AE14" s="70" t="s">
        <v>2286</v>
      </c>
      <c r="AF14" s="70" t="s">
        <v>2286</v>
      </c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" thickBot="1" x14ac:dyDescent="0.35">
      <c r="A15" t="s">
        <v>26</v>
      </c>
      <c r="B15" t="s">
        <v>916</v>
      </c>
      <c r="C15" t="s">
        <v>1061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1672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" thickBot="1" x14ac:dyDescent="0.35">
      <c r="A16" t="s">
        <v>26</v>
      </c>
      <c r="B16" t="s">
        <v>917</v>
      </c>
      <c r="C16" t="s">
        <v>1061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1673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" thickBot="1" x14ac:dyDescent="0.35">
      <c r="A17" s="73" t="s">
        <v>26</v>
      </c>
      <c r="B17" s="73" t="s">
        <v>918</v>
      </c>
      <c r="C17" s="73" t="s">
        <v>1061</v>
      </c>
      <c r="D17" s="73" t="s">
        <v>919</v>
      </c>
      <c r="E17" s="85" t="s">
        <v>19</v>
      </c>
      <c r="F17" s="85" t="s">
        <v>1300</v>
      </c>
      <c r="G17" s="85"/>
      <c r="H17" s="85" t="s">
        <v>1212</v>
      </c>
      <c r="I17" s="142">
        <f t="shared" si="5"/>
        <v>26</v>
      </c>
      <c r="J17" s="150" t="s">
        <v>1674</v>
      </c>
      <c r="K17" s="142">
        <f t="shared" si="6"/>
        <v>2</v>
      </c>
      <c r="L17" s="143">
        <f t="shared" si="7"/>
        <v>0.9285714285714286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 t="s">
        <v>2286</v>
      </c>
      <c r="AB17" s="70" t="s">
        <v>2286</v>
      </c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" thickBot="1" x14ac:dyDescent="0.35">
      <c r="A18" t="s">
        <v>26</v>
      </c>
      <c r="B18" t="s">
        <v>1527</v>
      </c>
      <c r="C18" t="s">
        <v>1061</v>
      </c>
      <c r="D18" s="68" t="s">
        <v>1528</v>
      </c>
      <c r="E18" s="30" t="s">
        <v>73</v>
      </c>
      <c r="F18" s="85" t="s">
        <v>1300</v>
      </c>
      <c r="G18" s="30"/>
      <c r="H18" s="30" t="s">
        <v>1529</v>
      </c>
      <c r="I18" s="31">
        <f t="shared" si="5"/>
        <v>28</v>
      </c>
      <c r="J18" s="87" t="s">
        <v>2157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" thickBot="1" x14ac:dyDescent="0.35">
      <c r="A19" t="s">
        <v>41</v>
      </c>
      <c r="B19" t="s">
        <v>920</v>
      </c>
      <c r="C19" t="s">
        <v>1061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10</v>
      </c>
      <c r="J19" s="147" t="s">
        <v>1675</v>
      </c>
      <c r="K19" s="31">
        <f t="shared" si="6"/>
        <v>18</v>
      </c>
      <c r="L19" s="32">
        <f t="shared" si="7"/>
        <v>0.35714285714285715</v>
      </c>
      <c r="M19" s="70" t="s">
        <v>2286</v>
      </c>
      <c r="N19" s="70" t="s">
        <v>2286</v>
      </c>
      <c r="O19" s="70" t="s">
        <v>2286</v>
      </c>
      <c r="P19" s="70" t="s">
        <v>2286</v>
      </c>
      <c r="Q19" s="70" t="s">
        <v>2286</v>
      </c>
      <c r="R19" s="70" t="s">
        <v>2286</v>
      </c>
      <c r="S19" s="70" t="s">
        <v>2286</v>
      </c>
      <c r="T19" s="70"/>
      <c r="U19" s="70" t="s">
        <v>2286</v>
      </c>
      <c r="V19" s="70" t="s">
        <v>2286</v>
      </c>
      <c r="W19" s="70"/>
      <c r="X19" s="70" t="s">
        <v>2286</v>
      </c>
      <c r="Y19" s="70" t="s">
        <v>2286</v>
      </c>
      <c r="Z19" s="71" t="s">
        <v>2286</v>
      </c>
      <c r="AA19" s="70" t="s">
        <v>2286</v>
      </c>
      <c r="AB19" s="70" t="s">
        <v>2286</v>
      </c>
      <c r="AC19" s="70" t="s">
        <v>2286</v>
      </c>
      <c r="AD19" s="70" t="s">
        <v>2286</v>
      </c>
      <c r="AE19" s="70" t="s">
        <v>2286</v>
      </c>
      <c r="AF19" s="70" t="s">
        <v>2286</v>
      </c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" thickBot="1" x14ac:dyDescent="0.35">
      <c r="A20" s="73" t="s">
        <v>41</v>
      </c>
      <c r="B20" s="73" t="s">
        <v>1541</v>
      </c>
      <c r="C20" s="73" t="s">
        <v>1061</v>
      </c>
      <c r="D20" s="73" t="s">
        <v>1542</v>
      </c>
      <c r="E20" s="85" t="s">
        <v>73</v>
      </c>
      <c r="F20" s="85" t="s">
        <v>1300</v>
      </c>
      <c r="G20" s="85"/>
      <c r="H20" s="85" t="s">
        <v>1543</v>
      </c>
      <c r="I20" s="31">
        <f t="shared" si="5"/>
        <v>10</v>
      </c>
      <c r="J20" s="147" t="s">
        <v>1676</v>
      </c>
      <c r="K20" s="31">
        <f t="shared" si="6"/>
        <v>18</v>
      </c>
      <c r="L20" s="32">
        <f t="shared" si="7"/>
        <v>0.35714285714285715</v>
      </c>
      <c r="M20" s="70" t="s">
        <v>2286</v>
      </c>
      <c r="N20" s="70" t="s">
        <v>2286</v>
      </c>
      <c r="O20" s="70" t="s">
        <v>2286</v>
      </c>
      <c r="P20" s="70" t="s">
        <v>2286</v>
      </c>
      <c r="Q20" s="70" t="s">
        <v>2286</v>
      </c>
      <c r="R20" s="70" t="s">
        <v>2286</v>
      </c>
      <c r="S20" s="70" t="s">
        <v>2286</v>
      </c>
      <c r="T20" s="70"/>
      <c r="U20" s="70" t="s">
        <v>2286</v>
      </c>
      <c r="V20" s="70" t="s">
        <v>2286</v>
      </c>
      <c r="W20" s="70"/>
      <c r="X20" s="70" t="s">
        <v>2286</v>
      </c>
      <c r="Y20" s="70" t="s">
        <v>2286</v>
      </c>
      <c r="Z20" s="71" t="s">
        <v>2286</v>
      </c>
      <c r="AA20" s="70" t="s">
        <v>2286</v>
      </c>
      <c r="AB20" s="70" t="s">
        <v>2286</v>
      </c>
      <c r="AC20" s="70" t="s">
        <v>2286</v>
      </c>
      <c r="AD20" s="70" t="s">
        <v>2286</v>
      </c>
      <c r="AE20" s="70" t="s">
        <v>2286</v>
      </c>
      <c r="AF20" s="70" t="s">
        <v>2286</v>
      </c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" thickBot="1" x14ac:dyDescent="0.35">
      <c r="A21" s="73" t="s">
        <v>41</v>
      </c>
      <c r="B21" s="73" t="s">
        <v>1570</v>
      </c>
      <c r="C21" s="73" t="s">
        <v>1061</v>
      </c>
      <c r="D21" s="73" t="s">
        <v>1571</v>
      </c>
      <c r="E21" s="85" t="s">
        <v>73</v>
      </c>
      <c r="F21" s="85" t="s">
        <v>1300</v>
      </c>
      <c r="G21" s="85"/>
      <c r="H21" s="85" t="s">
        <v>1572</v>
      </c>
      <c r="I21" s="31">
        <f t="shared" si="5"/>
        <v>28</v>
      </c>
      <c r="J21" s="147" t="s">
        <v>1677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" thickBot="1" x14ac:dyDescent="0.35">
      <c r="A22" t="s">
        <v>43</v>
      </c>
      <c r="B22" t="s">
        <v>921</v>
      </c>
      <c r="C22" t="s">
        <v>1061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1678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" thickBot="1" x14ac:dyDescent="0.35">
      <c r="A23" t="s">
        <v>43</v>
      </c>
      <c r="B23" t="s">
        <v>1267</v>
      </c>
      <c r="C23" t="s">
        <v>1061</v>
      </c>
      <c r="D23" t="s">
        <v>1268</v>
      </c>
      <c r="E23" s="30" t="s">
        <v>15</v>
      </c>
      <c r="F23" s="30" t="s">
        <v>28</v>
      </c>
      <c r="G23" s="30"/>
      <c r="H23" s="30" t="s">
        <v>1356</v>
      </c>
      <c r="I23" s="31">
        <f t="shared" si="5"/>
        <v>27</v>
      </c>
      <c r="J23" s="147" t="s">
        <v>1679</v>
      </c>
      <c r="K23" s="31">
        <f t="shared" si="6"/>
        <v>1</v>
      </c>
      <c r="L23" s="32">
        <f t="shared" si="7"/>
        <v>0.9642857142857143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 t="s">
        <v>2286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" thickBot="1" x14ac:dyDescent="0.35">
      <c r="A24" t="s">
        <v>1193</v>
      </c>
      <c r="B24" s="30" t="s">
        <v>1177</v>
      </c>
      <c r="C24" s="30" t="s">
        <v>1062</v>
      </c>
      <c r="D24" t="s">
        <v>1161</v>
      </c>
      <c r="E24" s="30" t="s">
        <v>73</v>
      </c>
      <c r="F24" s="30" t="s">
        <v>1055</v>
      </c>
      <c r="G24" s="30"/>
      <c r="H24" s="30" t="s">
        <v>1164</v>
      </c>
      <c r="I24" s="31">
        <f t="shared" si="5"/>
        <v>27</v>
      </c>
      <c r="J24" s="147" t="s">
        <v>1680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2286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" thickBot="1" x14ac:dyDescent="0.35">
      <c r="A25" t="s">
        <v>1193</v>
      </c>
      <c r="B25" s="30" t="s">
        <v>1178</v>
      </c>
      <c r="C25" s="30" t="s">
        <v>1062</v>
      </c>
      <c r="D25" t="s">
        <v>1161</v>
      </c>
      <c r="E25" s="30" t="s">
        <v>73</v>
      </c>
      <c r="F25" s="30" t="s">
        <v>1055</v>
      </c>
      <c r="G25" s="30"/>
      <c r="H25" s="30" t="s">
        <v>1165</v>
      </c>
      <c r="I25" s="31">
        <f t="shared" si="5"/>
        <v>27</v>
      </c>
      <c r="J25" s="147" t="s">
        <v>1681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 t="s">
        <v>2286</v>
      </c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" thickBot="1" x14ac:dyDescent="0.35">
      <c r="A26" t="s">
        <v>1193</v>
      </c>
      <c r="B26" s="30" t="s">
        <v>1176</v>
      </c>
      <c r="C26" s="30" t="s">
        <v>1062</v>
      </c>
      <c r="D26" t="s">
        <v>1160</v>
      </c>
      <c r="E26" s="30" t="s">
        <v>73</v>
      </c>
      <c r="F26" s="30" t="s">
        <v>1055</v>
      </c>
      <c r="G26" s="30"/>
      <c r="H26" s="30" t="s">
        <v>1163</v>
      </c>
      <c r="I26" s="31">
        <f t="shared" si="5"/>
        <v>27</v>
      </c>
      <c r="J26" s="147" t="s">
        <v>1682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 t="s">
        <v>2286</v>
      </c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" thickBot="1" x14ac:dyDescent="0.35">
      <c r="A27" t="s">
        <v>1193</v>
      </c>
      <c r="B27" s="30" t="s">
        <v>1175</v>
      </c>
      <c r="C27" s="30" t="s">
        <v>1062</v>
      </c>
      <c r="D27" t="s">
        <v>1160</v>
      </c>
      <c r="E27" s="30" t="s">
        <v>73</v>
      </c>
      <c r="F27" s="30" t="s">
        <v>1055</v>
      </c>
      <c r="G27" s="30"/>
      <c r="H27" s="30" t="s">
        <v>1170</v>
      </c>
      <c r="I27" s="31">
        <f t="shared" si="5"/>
        <v>27</v>
      </c>
      <c r="J27" s="147" t="s">
        <v>1683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 t="s">
        <v>2286</v>
      </c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" thickBot="1" x14ac:dyDescent="0.35">
      <c r="A28" t="s">
        <v>1193</v>
      </c>
      <c r="B28" s="30" t="s">
        <v>1179</v>
      </c>
      <c r="C28" s="30" t="s">
        <v>1062</v>
      </c>
      <c r="D28" t="s">
        <v>1162</v>
      </c>
      <c r="E28" s="30" t="s">
        <v>73</v>
      </c>
      <c r="F28" s="30" t="s">
        <v>1055</v>
      </c>
      <c r="G28" s="30"/>
      <c r="H28" s="30" t="s">
        <v>1166</v>
      </c>
      <c r="I28" s="31">
        <f t="shared" si="5"/>
        <v>28</v>
      </c>
      <c r="J28" s="147" t="s">
        <v>1684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" thickBot="1" x14ac:dyDescent="0.35">
      <c r="A29" t="s">
        <v>1193</v>
      </c>
      <c r="B29" s="30" t="s">
        <v>1180</v>
      </c>
      <c r="C29" s="30" t="s">
        <v>1062</v>
      </c>
      <c r="D29" t="s">
        <v>1162</v>
      </c>
      <c r="E29" s="30" t="s">
        <v>73</v>
      </c>
      <c r="F29" s="30" t="s">
        <v>1055</v>
      </c>
      <c r="G29" s="30"/>
      <c r="H29" s="30" t="s">
        <v>1167</v>
      </c>
      <c r="I29" s="31">
        <f t="shared" si="5"/>
        <v>28</v>
      </c>
      <c r="J29" s="147" t="s">
        <v>1685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" thickBot="1" x14ac:dyDescent="0.35">
      <c r="A30" s="73" t="s">
        <v>1193</v>
      </c>
      <c r="B30" s="85" t="s">
        <v>1346</v>
      </c>
      <c r="C30" s="73" t="s">
        <v>1061</v>
      </c>
      <c r="D30" s="73" t="s">
        <v>1347</v>
      </c>
      <c r="E30" s="85" t="s">
        <v>19</v>
      </c>
      <c r="F30" s="85" t="s">
        <v>1300</v>
      </c>
      <c r="G30" s="85"/>
      <c r="H30" s="85" t="s">
        <v>1354</v>
      </c>
      <c r="I30" s="142">
        <f t="shared" si="5"/>
        <v>26</v>
      </c>
      <c r="J30" s="147" t="s">
        <v>1686</v>
      </c>
      <c r="K30" s="142">
        <f t="shared" si="6"/>
        <v>2</v>
      </c>
      <c r="L30" s="143">
        <f t="shared" si="7"/>
        <v>0.9285714285714286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 t="s">
        <v>2286</v>
      </c>
      <c r="AC30" s="70" t="s">
        <v>2286</v>
      </c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" thickBot="1" x14ac:dyDescent="0.35">
      <c r="A31" s="73" t="s">
        <v>1193</v>
      </c>
      <c r="B31" s="85" t="s">
        <v>1595</v>
      </c>
      <c r="C31" s="85" t="s">
        <v>1062</v>
      </c>
      <c r="D31" s="73" t="s">
        <v>1598</v>
      </c>
      <c r="E31" s="85" t="s">
        <v>19</v>
      </c>
      <c r="F31" s="85" t="s">
        <v>1300</v>
      </c>
      <c r="G31" s="85"/>
      <c r="H31" s="85" t="s">
        <v>1599</v>
      </c>
      <c r="I31" s="142">
        <f t="shared" si="5"/>
        <v>24</v>
      </c>
      <c r="J31" s="87" t="s">
        <v>2158</v>
      </c>
      <c r="K31" s="142">
        <f t="shared" si="6"/>
        <v>4</v>
      </c>
      <c r="L31" s="143">
        <f t="shared" si="7"/>
        <v>0.8571428571428571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 t="s">
        <v>2286</v>
      </c>
      <c r="AC31" s="70" t="s">
        <v>2286</v>
      </c>
      <c r="AD31" s="70" t="s">
        <v>2286</v>
      </c>
      <c r="AE31" s="70" t="s">
        <v>2286</v>
      </c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" thickBot="1" x14ac:dyDescent="0.35">
      <c r="A32" s="73" t="s">
        <v>1193</v>
      </c>
      <c r="B32" s="85" t="s">
        <v>1596</v>
      </c>
      <c r="C32" s="85" t="s">
        <v>1062</v>
      </c>
      <c r="D32" s="73" t="s">
        <v>1602</v>
      </c>
      <c r="E32" s="85" t="s">
        <v>73</v>
      </c>
      <c r="F32" s="85" t="s">
        <v>1300</v>
      </c>
      <c r="G32" s="85"/>
      <c r="H32" s="85" t="s">
        <v>1600</v>
      </c>
      <c r="I32" s="142">
        <f t="shared" si="5"/>
        <v>24</v>
      </c>
      <c r="J32" s="87" t="s">
        <v>2159</v>
      </c>
      <c r="K32" s="142">
        <f t="shared" si="6"/>
        <v>4</v>
      </c>
      <c r="L32" s="143">
        <f t="shared" si="7"/>
        <v>0.8571428571428571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 t="s">
        <v>2286</v>
      </c>
      <c r="AC32" s="70" t="s">
        <v>2286</v>
      </c>
      <c r="AD32" s="70" t="s">
        <v>2286</v>
      </c>
      <c r="AE32" s="70" t="s">
        <v>2286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" thickBot="1" x14ac:dyDescent="0.35">
      <c r="A33" s="73" t="s">
        <v>1193</v>
      </c>
      <c r="B33" s="85" t="s">
        <v>1597</v>
      </c>
      <c r="C33" s="85" t="s">
        <v>1062</v>
      </c>
      <c r="D33" s="73" t="s">
        <v>1602</v>
      </c>
      <c r="E33" s="85" t="s">
        <v>73</v>
      </c>
      <c r="F33" s="85" t="s">
        <v>1300</v>
      </c>
      <c r="G33" s="85"/>
      <c r="H33" s="85" t="s">
        <v>1601</v>
      </c>
      <c r="I33" s="142">
        <f t="shared" si="5"/>
        <v>24</v>
      </c>
      <c r="J33" s="87" t="s">
        <v>2160</v>
      </c>
      <c r="K33" s="142">
        <f t="shared" si="6"/>
        <v>4</v>
      </c>
      <c r="L33" s="143">
        <f t="shared" si="7"/>
        <v>0.8571428571428571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 t="s">
        <v>2286</v>
      </c>
      <c r="AC33" s="70" t="s">
        <v>2286</v>
      </c>
      <c r="AD33" s="70" t="s">
        <v>2286</v>
      </c>
      <c r="AE33" s="70" t="s">
        <v>2286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" thickBot="1" x14ac:dyDescent="0.35">
      <c r="A34" s="132" t="s">
        <v>2156</v>
      </c>
      <c r="B34" s="133" t="s">
        <v>1348</v>
      </c>
      <c r="C34" s="132" t="s">
        <v>1062</v>
      </c>
      <c r="D34" s="132" t="s">
        <v>1349</v>
      </c>
      <c r="E34" s="133" t="s">
        <v>19</v>
      </c>
      <c r="F34" s="133" t="s">
        <v>28</v>
      </c>
      <c r="G34" s="133"/>
      <c r="H34" s="133" t="s">
        <v>1445</v>
      </c>
      <c r="I34" s="134">
        <f t="shared" si="5"/>
        <v>9</v>
      </c>
      <c r="J34" s="147" t="s">
        <v>1687</v>
      </c>
      <c r="K34" s="134">
        <f t="shared" si="6"/>
        <v>19</v>
      </c>
      <c r="L34" s="135">
        <f t="shared" si="7"/>
        <v>0.32142857142857145</v>
      </c>
      <c r="M34" s="136" t="s">
        <v>2286</v>
      </c>
      <c r="N34" s="136" t="s">
        <v>2286</v>
      </c>
      <c r="O34" s="136" t="s">
        <v>2286</v>
      </c>
      <c r="P34" s="136" t="s">
        <v>2286</v>
      </c>
      <c r="Q34" s="136" t="s">
        <v>2286</v>
      </c>
      <c r="R34" s="136" t="s">
        <v>2286</v>
      </c>
      <c r="S34" s="136" t="s">
        <v>2286</v>
      </c>
      <c r="T34" s="136" t="s">
        <v>2286</v>
      </c>
      <c r="U34" s="136" t="s">
        <v>2286</v>
      </c>
      <c r="V34" s="136" t="s">
        <v>2286</v>
      </c>
      <c r="W34" s="136"/>
      <c r="X34" s="136" t="s">
        <v>2286</v>
      </c>
      <c r="Y34" s="136" t="s">
        <v>2286</v>
      </c>
      <c r="Z34" s="136" t="s">
        <v>2286</v>
      </c>
      <c r="AA34" s="136" t="s">
        <v>2286</v>
      </c>
      <c r="AB34" s="136" t="s">
        <v>2286</v>
      </c>
      <c r="AC34" s="136" t="s">
        <v>2286</v>
      </c>
      <c r="AD34" s="136" t="s">
        <v>2286</v>
      </c>
      <c r="AE34" s="70" t="s">
        <v>2286</v>
      </c>
      <c r="AF34" s="136" t="s">
        <v>2286</v>
      </c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" thickBot="1" x14ac:dyDescent="0.35">
      <c r="A35" s="73" t="s">
        <v>2156</v>
      </c>
      <c r="B35" s="85" t="s">
        <v>1399</v>
      </c>
      <c r="C35" s="73" t="s">
        <v>1062</v>
      </c>
      <c r="D35" s="73" t="s">
        <v>1400</v>
      </c>
      <c r="E35" s="85" t="s">
        <v>19</v>
      </c>
      <c r="F35" s="85" t="s">
        <v>1300</v>
      </c>
      <c r="G35" s="85"/>
      <c r="H35" s="85" t="s">
        <v>1401</v>
      </c>
      <c r="I35" s="142">
        <f t="shared" si="5"/>
        <v>25</v>
      </c>
      <c r="J35" s="87" t="s">
        <v>2161</v>
      </c>
      <c r="K35" s="142">
        <f t="shared" si="6"/>
        <v>3</v>
      </c>
      <c r="L35" s="143">
        <f t="shared" si="7"/>
        <v>0.8928571428571429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 t="s">
        <v>2286</v>
      </c>
      <c r="Y35" s="70"/>
      <c r="Z35" s="70"/>
      <c r="AA35" s="70"/>
      <c r="AB35" s="70" t="s">
        <v>2286</v>
      </c>
      <c r="AC35" s="70"/>
      <c r="AD35" s="70" t="s">
        <v>2286</v>
      </c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" thickBot="1" x14ac:dyDescent="0.35">
      <c r="A36" s="73" t="s">
        <v>2156</v>
      </c>
      <c r="B36" s="85" t="s">
        <v>2152</v>
      </c>
      <c r="C36" s="73" t="s">
        <v>1062</v>
      </c>
      <c r="D36" s="73" t="s">
        <v>2153</v>
      </c>
      <c r="E36" s="85" t="s">
        <v>19</v>
      </c>
      <c r="F36" s="85" t="s">
        <v>1300</v>
      </c>
      <c r="G36" s="85"/>
      <c r="H36" s="85" t="s">
        <v>2154</v>
      </c>
      <c r="I36" s="142">
        <f t="shared" si="5"/>
        <v>11</v>
      </c>
      <c r="J36" s="87" t="s">
        <v>2155</v>
      </c>
      <c r="K36" s="142">
        <f t="shared" si="6"/>
        <v>17</v>
      </c>
      <c r="L36" s="143">
        <f t="shared" si="7"/>
        <v>0.39285714285714285</v>
      </c>
      <c r="M36" s="70" t="s">
        <v>2286</v>
      </c>
      <c r="N36" s="70" t="s">
        <v>2286</v>
      </c>
      <c r="O36" s="70" t="s">
        <v>2286</v>
      </c>
      <c r="P36" s="70" t="s">
        <v>2286</v>
      </c>
      <c r="Q36" s="70" t="s">
        <v>2286</v>
      </c>
      <c r="R36" s="70" t="s">
        <v>2286</v>
      </c>
      <c r="S36" s="70" t="s">
        <v>2286</v>
      </c>
      <c r="T36" s="70" t="s">
        <v>2286</v>
      </c>
      <c r="U36" s="70" t="s">
        <v>2286</v>
      </c>
      <c r="V36" s="70" t="s">
        <v>2286</v>
      </c>
      <c r="W36" s="70"/>
      <c r="X36" s="70" t="s">
        <v>2286</v>
      </c>
      <c r="Y36" s="70" t="s">
        <v>2286</v>
      </c>
      <c r="Z36" s="70" t="s">
        <v>2286</v>
      </c>
      <c r="AA36" s="70" t="s">
        <v>2286</v>
      </c>
      <c r="AB36" s="70"/>
      <c r="AC36" s="70" t="s">
        <v>2286</v>
      </c>
      <c r="AD36" s="70"/>
      <c r="AE36" s="70" t="s">
        <v>2286</v>
      </c>
      <c r="AF36" s="70" t="s">
        <v>2286</v>
      </c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" thickBot="1" x14ac:dyDescent="0.35">
      <c r="A37" s="73" t="s">
        <v>1193</v>
      </c>
      <c r="B37" s="85" t="s">
        <v>1509</v>
      </c>
      <c r="C37" s="73" t="s">
        <v>1062</v>
      </c>
      <c r="D37" s="73" t="s">
        <v>1510</v>
      </c>
      <c r="E37" s="85" t="s">
        <v>19</v>
      </c>
      <c r="F37" s="85" t="s">
        <v>1300</v>
      </c>
      <c r="G37" s="85"/>
      <c r="H37" s="85" t="s">
        <v>1511</v>
      </c>
      <c r="I37" s="142">
        <f t="shared" si="5"/>
        <v>28</v>
      </c>
      <c r="J37" s="87" t="s">
        <v>2162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" thickBot="1" x14ac:dyDescent="0.35">
      <c r="A38" t="s">
        <v>1457</v>
      </c>
      <c r="B38" s="30" t="s">
        <v>1456</v>
      </c>
      <c r="C38" t="s">
        <v>1062</v>
      </c>
      <c r="D38" t="s">
        <v>1455</v>
      </c>
      <c r="E38" s="30" t="s">
        <v>73</v>
      </c>
      <c r="F38" s="30" t="s">
        <v>28</v>
      </c>
      <c r="G38" s="30"/>
      <c r="H38" s="85" t="s">
        <v>1459</v>
      </c>
      <c r="I38" s="31">
        <f t="shared" si="5"/>
        <v>28</v>
      </c>
      <c r="J38" s="147" t="s">
        <v>1688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" thickBot="1" x14ac:dyDescent="0.35">
      <c r="A39" t="s">
        <v>1457</v>
      </c>
      <c r="B39" s="30" t="s">
        <v>1458</v>
      </c>
      <c r="C39" t="s">
        <v>1062</v>
      </c>
      <c r="D39" t="s">
        <v>1455</v>
      </c>
      <c r="E39" s="30" t="s">
        <v>73</v>
      </c>
      <c r="F39" s="30" t="s">
        <v>28</v>
      </c>
      <c r="G39" s="30"/>
      <c r="H39" s="85" t="s">
        <v>1460</v>
      </c>
      <c r="I39" s="31">
        <f t="shared" si="5"/>
        <v>28</v>
      </c>
      <c r="J39" s="147" t="s">
        <v>1689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" thickBot="1" x14ac:dyDescent="0.35">
      <c r="A40" t="s">
        <v>1457</v>
      </c>
      <c r="B40" s="30" t="s">
        <v>1637</v>
      </c>
      <c r="C40" t="s">
        <v>1062</v>
      </c>
      <c r="D40" t="s">
        <v>1639</v>
      </c>
      <c r="E40" s="30" t="s">
        <v>73</v>
      </c>
      <c r="F40" s="30" t="s">
        <v>28</v>
      </c>
      <c r="G40" s="30"/>
      <c r="H40" s="85" t="s">
        <v>1640</v>
      </c>
      <c r="I40" s="31">
        <f t="shared" si="5"/>
        <v>26</v>
      </c>
      <c r="J40" s="87" t="s">
        <v>2163</v>
      </c>
      <c r="K40" s="31">
        <f t="shared" si="6"/>
        <v>2</v>
      </c>
      <c r="L40" s="32">
        <f t="shared" si="7"/>
        <v>0.9285714285714286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 t="s">
        <v>2286</v>
      </c>
      <c r="Y40" s="70" t="s">
        <v>2286</v>
      </c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" thickBot="1" x14ac:dyDescent="0.35">
      <c r="A41" t="s">
        <v>1457</v>
      </c>
      <c r="B41" s="30" t="s">
        <v>1638</v>
      </c>
      <c r="C41" t="s">
        <v>1062</v>
      </c>
      <c r="D41" t="s">
        <v>1639</v>
      </c>
      <c r="E41" s="30" t="s">
        <v>73</v>
      </c>
      <c r="F41" s="30" t="s">
        <v>28</v>
      </c>
      <c r="G41" s="30"/>
      <c r="H41" s="85" t="s">
        <v>1641</v>
      </c>
      <c r="I41" s="31">
        <f t="shared" si="5"/>
        <v>26</v>
      </c>
      <c r="J41" s="87" t="s">
        <v>2188</v>
      </c>
      <c r="K41" s="31">
        <f t="shared" si="6"/>
        <v>2</v>
      </c>
      <c r="L41" s="32">
        <f t="shared" si="7"/>
        <v>0.9285714285714286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 t="s">
        <v>2286</v>
      </c>
      <c r="Y41" s="70" t="s">
        <v>2286</v>
      </c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" thickBot="1" x14ac:dyDescent="0.35">
      <c r="A42" t="s">
        <v>1457</v>
      </c>
      <c r="B42" s="30" t="s">
        <v>1645</v>
      </c>
      <c r="C42" t="s">
        <v>1062</v>
      </c>
      <c r="D42" t="s">
        <v>1639</v>
      </c>
      <c r="E42" s="30" t="s">
        <v>19</v>
      </c>
      <c r="F42" s="30" t="s">
        <v>28</v>
      </c>
      <c r="G42" s="30"/>
      <c r="H42" s="85" t="s">
        <v>1643</v>
      </c>
      <c r="I42" s="31">
        <f t="shared" si="5"/>
        <v>26</v>
      </c>
      <c r="J42" s="87" t="s">
        <v>2189</v>
      </c>
      <c r="K42" s="31">
        <f t="shared" si="6"/>
        <v>2</v>
      </c>
      <c r="L42" s="32">
        <f t="shared" si="7"/>
        <v>0.9285714285714286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 t="s">
        <v>2286</v>
      </c>
      <c r="Y42" s="70" t="s">
        <v>2286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" thickBot="1" x14ac:dyDescent="0.35">
      <c r="A43" t="s">
        <v>1457</v>
      </c>
      <c r="B43" s="30" t="s">
        <v>1646</v>
      </c>
      <c r="C43" t="s">
        <v>1062</v>
      </c>
      <c r="D43" t="s">
        <v>1647</v>
      </c>
      <c r="E43" s="30" t="s">
        <v>19</v>
      </c>
      <c r="F43" s="30" t="s">
        <v>28</v>
      </c>
      <c r="G43" s="30"/>
      <c r="H43" s="85" t="s">
        <v>1648</v>
      </c>
      <c r="I43" s="31">
        <f t="shared" si="5"/>
        <v>28</v>
      </c>
      <c r="J43" s="87" t="s">
        <v>2190</v>
      </c>
      <c r="K43" s="31">
        <f t="shared" si="6"/>
        <v>0</v>
      </c>
      <c r="L43" s="32">
        <f t="shared" si="7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" thickBot="1" x14ac:dyDescent="0.35">
      <c r="A44" t="s">
        <v>1457</v>
      </c>
      <c r="B44" s="30" t="s">
        <v>2243</v>
      </c>
      <c r="C44" t="s">
        <v>1062</v>
      </c>
      <c r="D44" t="s">
        <v>2248</v>
      </c>
      <c r="E44" s="30" t="s">
        <v>73</v>
      </c>
      <c r="F44" s="30" t="s">
        <v>28</v>
      </c>
      <c r="G44" s="30"/>
      <c r="H44" s="85" t="s">
        <v>2244</v>
      </c>
      <c r="I44" s="31">
        <f t="shared" si="5"/>
        <v>28</v>
      </c>
      <c r="J44" s="153" t="s">
        <v>2245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" thickBot="1" x14ac:dyDescent="0.35">
      <c r="A45" t="s">
        <v>1457</v>
      </c>
      <c r="B45" s="30" t="s">
        <v>2246</v>
      </c>
      <c r="C45" t="s">
        <v>1062</v>
      </c>
      <c r="D45" t="s">
        <v>2247</v>
      </c>
      <c r="E45" s="30" t="s">
        <v>73</v>
      </c>
      <c r="F45" s="30" t="s">
        <v>28</v>
      </c>
      <c r="G45" s="30"/>
      <c r="H45" s="85" t="s">
        <v>2249</v>
      </c>
      <c r="I45" s="31">
        <f t="shared" si="5"/>
        <v>28</v>
      </c>
      <c r="J45" s="153" t="s">
        <v>2250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" thickBot="1" x14ac:dyDescent="0.35">
      <c r="A46" t="s">
        <v>52</v>
      </c>
      <c r="B46" t="s">
        <v>71</v>
      </c>
      <c r="C46" t="s">
        <v>1061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27</v>
      </c>
      <c r="J46" s="147" t="s">
        <v>1690</v>
      </c>
      <c r="K46" s="31">
        <f t="shared" si="6"/>
        <v>1</v>
      </c>
      <c r="L46" s="32">
        <f t="shared" si="7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 t="s">
        <v>2286</v>
      </c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" thickBot="1" x14ac:dyDescent="0.35">
      <c r="A47" t="s">
        <v>52</v>
      </c>
      <c r="B47" t="s">
        <v>74</v>
      </c>
      <c r="C47" t="s">
        <v>1061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27</v>
      </c>
      <c r="J47" s="147" t="s">
        <v>1691</v>
      </c>
      <c r="K47" s="31">
        <f t="shared" si="6"/>
        <v>1</v>
      </c>
      <c r="L47" s="32">
        <f t="shared" si="7"/>
        <v>0.9642857142857143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 t="s">
        <v>2286</v>
      </c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" thickBot="1" x14ac:dyDescent="0.35">
      <c r="A48" t="s">
        <v>52</v>
      </c>
      <c r="B48" t="s">
        <v>76</v>
      </c>
      <c r="C48" t="s">
        <v>1061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1692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" thickBot="1" x14ac:dyDescent="0.35">
      <c r="A49" t="s">
        <v>52</v>
      </c>
      <c r="B49" t="s">
        <v>78</v>
      </c>
      <c r="C49" t="s">
        <v>1061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1693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" thickBot="1" x14ac:dyDescent="0.35">
      <c r="A50" t="s">
        <v>52</v>
      </c>
      <c r="B50" t="s">
        <v>922</v>
      </c>
      <c r="C50" t="s">
        <v>1061</v>
      </c>
      <c r="D50" t="s">
        <v>1080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27</v>
      </c>
      <c r="J50" s="147" t="s">
        <v>1694</v>
      </c>
      <c r="K50" s="31">
        <f t="shared" si="6"/>
        <v>1</v>
      </c>
      <c r="L50" s="32">
        <f t="shared" si="7"/>
        <v>0.9642857142857143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 t="s">
        <v>2286</v>
      </c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" thickBot="1" x14ac:dyDescent="0.35">
      <c r="A51" t="s">
        <v>52</v>
      </c>
      <c r="B51" t="s">
        <v>80</v>
      </c>
      <c r="C51" t="s">
        <v>1061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" thickBot="1" x14ac:dyDescent="0.35">
      <c r="A52" t="s">
        <v>52</v>
      </c>
      <c r="B52" t="s">
        <v>82</v>
      </c>
      <c r="C52" t="s">
        <v>1061</v>
      </c>
      <c r="D52" t="s">
        <v>1076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26</v>
      </c>
      <c r="J52" s="147" t="s">
        <v>1695</v>
      </c>
      <c r="K52" s="31">
        <f t="shared" si="6"/>
        <v>2</v>
      </c>
      <c r="L52" s="32">
        <f t="shared" si="7"/>
        <v>0.9285714285714286</v>
      </c>
      <c r="M52" s="70"/>
      <c r="N52" s="70"/>
      <c r="O52" s="70"/>
      <c r="P52" s="70"/>
      <c r="Q52" s="70"/>
      <c r="R52" s="70"/>
      <c r="S52" s="70"/>
      <c r="T52" s="70"/>
      <c r="U52" s="70" t="s">
        <v>2286</v>
      </c>
      <c r="V52" s="70"/>
      <c r="W52" s="70"/>
      <c r="X52" s="70"/>
      <c r="Y52" s="70"/>
      <c r="Z52" s="70"/>
      <c r="AA52" s="70"/>
      <c r="AB52" s="70"/>
      <c r="AC52" s="70" t="s">
        <v>2286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" thickBot="1" x14ac:dyDescent="0.35">
      <c r="A53" t="s">
        <v>52</v>
      </c>
      <c r="B53" t="s">
        <v>83</v>
      </c>
      <c r="C53" t="s">
        <v>1061</v>
      </c>
      <c r="D53" t="s">
        <v>1075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27</v>
      </c>
      <c r="J53" s="147" t="s">
        <v>1696</v>
      </c>
      <c r="K53" s="31">
        <f t="shared" si="6"/>
        <v>1</v>
      </c>
      <c r="L53" s="32">
        <f t="shared" si="7"/>
        <v>0.9642857142857143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 t="s">
        <v>2286</v>
      </c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" thickBot="1" x14ac:dyDescent="0.35">
      <c r="A54" t="s">
        <v>52</v>
      </c>
      <c r="B54" t="s">
        <v>84</v>
      </c>
      <c r="C54" t="s">
        <v>1061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1697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" thickBot="1" x14ac:dyDescent="0.35">
      <c r="A55" t="s">
        <v>52</v>
      </c>
      <c r="B55" t="s">
        <v>86</v>
      </c>
      <c r="C55" t="s">
        <v>1061</v>
      </c>
      <c r="D55" t="s">
        <v>1074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1698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" thickBot="1" x14ac:dyDescent="0.35">
      <c r="A56" t="s">
        <v>52</v>
      </c>
      <c r="B56" t="s">
        <v>87</v>
      </c>
      <c r="C56" t="s">
        <v>1061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1699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" thickBot="1" x14ac:dyDescent="0.35">
      <c r="A57" t="s">
        <v>52</v>
      </c>
      <c r="B57" t="s">
        <v>923</v>
      </c>
      <c r="C57" t="s">
        <v>1061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1700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" thickBot="1" x14ac:dyDescent="0.35">
      <c r="A58" s="73" t="s">
        <v>52</v>
      </c>
      <c r="B58" s="73" t="s">
        <v>924</v>
      </c>
      <c r="C58" s="73" t="s">
        <v>1061</v>
      </c>
      <c r="D58" s="73" t="s">
        <v>90</v>
      </c>
      <c r="E58" s="85" t="s">
        <v>15</v>
      </c>
      <c r="F58" s="85" t="s">
        <v>1300</v>
      </c>
      <c r="G58" s="85"/>
      <c r="H58" s="85" t="s">
        <v>633</v>
      </c>
      <c r="I58" s="142">
        <f t="shared" si="5"/>
        <v>28</v>
      </c>
      <c r="J58" s="147" t="s">
        <v>1701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" thickBot="1" x14ac:dyDescent="0.35">
      <c r="A59" t="s">
        <v>52</v>
      </c>
      <c r="B59" t="s">
        <v>91</v>
      </c>
      <c r="C59" t="s">
        <v>1061</v>
      </c>
      <c r="D59" t="s">
        <v>1078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1702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" thickBot="1" x14ac:dyDescent="0.35">
      <c r="A60" s="73" t="s">
        <v>52</v>
      </c>
      <c r="B60" s="73" t="s">
        <v>92</v>
      </c>
      <c r="C60" s="73" t="s">
        <v>1061</v>
      </c>
      <c r="D60" s="73" t="s">
        <v>93</v>
      </c>
      <c r="E60" s="85" t="s">
        <v>19</v>
      </c>
      <c r="F60" s="85" t="s">
        <v>1300</v>
      </c>
      <c r="G60" s="85"/>
      <c r="H60" s="85" t="s">
        <v>635</v>
      </c>
      <c r="I60" s="142">
        <f t="shared" si="5"/>
        <v>28</v>
      </c>
      <c r="J60" s="147" t="s">
        <v>1703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" thickBot="1" x14ac:dyDescent="0.35">
      <c r="A61" t="s">
        <v>52</v>
      </c>
      <c r="B61" t="s">
        <v>94</v>
      </c>
      <c r="C61" t="s">
        <v>1061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1704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" thickBot="1" x14ac:dyDescent="0.35">
      <c r="A62" t="s">
        <v>52</v>
      </c>
      <c r="B62" t="s">
        <v>96</v>
      </c>
      <c r="C62" t="s">
        <v>1061</v>
      </c>
      <c r="D62" t="s">
        <v>97</v>
      </c>
      <c r="E62" s="30" t="s">
        <v>19</v>
      </c>
      <c r="F62" s="30" t="s">
        <v>1055</v>
      </c>
      <c r="G62" s="30" t="s">
        <v>1251</v>
      </c>
      <c r="H62" s="30" t="s">
        <v>637</v>
      </c>
      <c r="I62" s="31">
        <f t="shared" si="5"/>
        <v>23</v>
      </c>
      <c r="J62" s="147" t="s">
        <v>1705</v>
      </c>
      <c r="K62" s="31">
        <f t="shared" si="6"/>
        <v>5</v>
      </c>
      <c r="L62" s="32">
        <f t="shared" si="7"/>
        <v>0.8214285714285714</v>
      </c>
      <c r="M62" s="70"/>
      <c r="N62" s="70"/>
      <c r="O62" s="70"/>
      <c r="P62" s="70"/>
      <c r="Q62" s="70"/>
      <c r="R62" s="70"/>
      <c r="S62" s="70"/>
      <c r="T62" s="70"/>
      <c r="U62" s="70"/>
      <c r="V62" s="70" t="s">
        <v>2286</v>
      </c>
      <c r="W62" s="70"/>
      <c r="X62" s="70" t="s">
        <v>2286</v>
      </c>
      <c r="Y62" s="70" t="s">
        <v>2286</v>
      </c>
      <c r="Z62" s="70" t="s">
        <v>2286</v>
      </c>
      <c r="AA62" s="70" t="s">
        <v>2286</v>
      </c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" thickBot="1" x14ac:dyDescent="0.35">
      <c r="A63" t="s">
        <v>52</v>
      </c>
      <c r="B63" t="s">
        <v>98</v>
      </c>
      <c r="C63" t="s">
        <v>1061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1706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" thickBot="1" x14ac:dyDescent="0.35">
      <c r="A64" t="s">
        <v>52</v>
      </c>
      <c r="B64" t="s">
        <v>100</v>
      </c>
      <c r="C64" t="s">
        <v>1061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1707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" thickBot="1" x14ac:dyDescent="0.35">
      <c r="A65" s="73" t="s">
        <v>101</v>
      </c>
      <c r="B65" s="73" t="s">
        <v>102</v>
      </c>
      <c r="C65" s="73" t="s">
        <v>1061</v>
      </c>
      <c r="D65" s="73" t="s">
        <v>103</v>
      </c>
      <c r="E65" s="85" t="s">
        <v>19</v>
      </c>
      <c r="F65" s="85" t="s">
        <v>1300</v>
      </c>
      <c r="G65" s="85"/>
      <c r="H65" s="85" t="s">
        <v>640</v>
      </c>
      <c r="I65" s="142">
        <f t="shared" si="5"/>
        <v>28</v>
      </c>
      <c r="J65" s="147" t="s">
        <v>1708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" thickBot="1" x14ac:dyDescent="0.35">
      <c r="A66" s="91" t="s">
        <v>52</v>
      </c>
      <c r="B66" s="91" t="s">
        <v>104</v>
      </c>
      <c r="C66" s="91" t="s">
        <v>1061</v>
      </c>
      <c r="D66" s="91" t="s">
        <v>105</v>
      </c>
      <c r="E66" s="92" t="s">
        <v>73</v>
      </c>
      <c r="F66" s="85" t="s">
        <v>1300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" thickBot="1" x14ac:dyDescent="0.35">
      <c r="A67" s="73" t="s">
        <v>52</v>
      </c>
      <c r="B67" s="73" t="s">
        <v>106</v>
      </c>
      <c r="C67" s="73" t="s">
        <v>1061</v>
      </c>
      <c r="D67" s="73" t="s">
        <v>107</v>
      </c>
      <c r="E67" s="85" t="s">
        <v>19</v>
      </c>
      <c r="F67" s="85" t="s">
        <v>1300</v>
      </c>
      <c r="G67" s="85"/>
      <c r="H67" s="85" t="s">
        <v>1376</v>
      </c>
      <c r="I67" s="142">
        <f t="shared" si="5"/>
        <v>28</v>
      </c>
      <c r="J67" s="147" t="s">
        <v>1709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" thickBot="1" x14ac:dyDescent="0.35">
      <c r="A68" t="s">
        <v>52</v>
      </c>
      <c r="B68" t="s">
        <v>108</v>
      </c>
      <c r="C68" t="s">
        <v>1061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1710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" thickBot="1" x14ac:dyDescent="0.35">
      <c r="A69" t="s">
        <v>52</v>
      </c>
      <c r="B69" t="s">
        <v>110</v>
      </c>
      <c r="C69" t="s">
        <v>1061</v>
      </c>
      <c r="D69" t="s">
        <v>1079</v>
      </c>
      <c r="E69" s="30" t="s">
        <v>19</v>
      </c>
      <c r="F69" s="30" t="s">
        <v>28</v>
      </c>
      <c r="G69" s="30"/>
      <c r="H69" s="30" t="s">
        <v>1441</v>
      </c>
      <c r="I69" s="31">
        <f t="shared" si="5"/>
        <v>25</v>
      </c>
      <c r="J69" s="147" t="s">
        <v>1711</v>
      </c>
      <c r="K69" s="31">
        <f t="shared" si="6"/>
        <v>3</v>
      </c>
      <c r="L69" s="32">
        <f t="shared" si="7"/>
        <v>0.8928571428571429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 t="s">
        <v>2286</v>
      </c>
      <c r="AD69" s="70" t="s">
        <v>2286</v>
      </c>
      <c r="AE69" s="70" t="s">
        <v>2286</v>
      </c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" thickBot="1" x14ac:dyDescent="0.35">
      <c r="A70" t="s">
        <v>52</v>
      </c>
      <c r="B70" t="s">
        <v>111</v>
      </c>
      <c r="C70" t="s">
        <v>1061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27</v>
      </c>
      <c r="J70" s="147" t="s">
        <v>1712</v>
      </c>
      <c r="K70" s="31">
        <f t="shared" si="6"/>
        <v>1</v>
      </c>
      <c r="L70" s="32">
        <f t="shared" si="7"/>
        <v>0.9642857142857143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 t="s">
        <v>2286</v>
      </c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" thickBot="1" x14ac:dyDescent="0.35">
      <c r="A71" t="s">
        <v>52</v>
      </c>
      <c r="B71" t="s">
        <v>113</v>
      </c>
      <c r="C71" t="s">
        <v>1061</v>
      </c>
      <c r="D71" t="s">
        <v>1081</v>
      </c>
      <c r="E71" s="30" t="s">
        <v>19</v>
      </c>
      <c r="F71" s="30" t="s">
        <v>28</v>
      </c>
      <c r="G71" s="30"/>
      <c r="H71" s="30" t="s">
        <v>1148</v>
      </c>
      <c r="I71" s="31">
        <f t="shared" si="5"/>
        <v>28</v>
      </c>
      <c r="J71" s="147" t="s">
        <v>1713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" thickBot="1" x14ac:dyDescent="0.35">
      <c r="A72" t="s">
        <v>52</v>
      </c>
      <c r="B72" t="s">
        <v>114</v>
      </c>
      <c r="C72" t="s">
        <v>1061</v>
      </c>
      <c r="D72" t="s">
        <v>1082</v>
      </c>
      <c r="E72" s="30" t="s">
        <v>19</v>
      </c>
      <c r="F72" s="30" t="s">
        <v>28</v>
      </c>
      <c r="G72" s="30"/>
      <c r="H72" s="30" t="s">
        <v>1479</v>
      </c>
      <c r="I72" s="31">
        <f t="shared" si="5"/>
        <v>28</v>
      </c>
      <c r="J72" s="147" t="s">
        <v>1714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" thickBot="1" x14ac:dyDescent="0.35">
      <c r="A73" t="s">
        <v>52</v>
      </c>
      <c r="B73" t="s">
        <v>115</v>
      </c>
      <c r="C73" t="s">
        <v>1061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1715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" thickBot="1" x14ac:dyDescent="0.35">
      <c r="A74" t="s">
        <v>52</v>
      </c>
      <c r="B74" t="s">
        <v>117</v>
      </c>
      <c r="C74" t="s">
        <v>1061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1716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 t="s">
        <v>2286</v>
      </c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" thickBot="1" x14ac:dyDescent="0.35">
      <c r="A75" t="s">
        <v>52</v>
      </c>
      <c r="B75" t="s">
        <v>119</v>
      </c>
      <c r="C75" t="s">
        <v>1061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1717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" thickBot="1" x14ac:dyDescent="0.35">
      <c r="A76" t="s">
        <v>52</v>
      </c>
      <c r="B76" t="s">
        <v>121</v>
      </c>
      <c r="C76" t="s">
        <v>1061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1718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" thickBot="1" x14ac:dyDescent="0.35">
      <c r="A77" t="s">
        <v>52</v>
      </c>
      <c r="B77" t="s">
        <v>123</v>
      </c>
      <c r="C77" t="s">
        <v>1061</v>
      </c>
      <c r="D77" t="s">
        <v>1083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1719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" thickBot="1" x14ac:dyDescent="0.35">
      <c r="A78" t="s">
        <v>52</v>
      </c>
      <c r="B78" t="s">
        <v>124</v>
      </c>
      <c r="C78" t="s">
        <v>1061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1720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" thickBot="1" x14ac:dyDescent="0.35">
      <c r="A79" t="s">
        <v>52</v>
      </c>
      <c r="B79" t="s">
        <v>126</v>
      </c>
      <c r="C79" t="s">
        <v>1061</v>
      </c>
      <c r="D79" t="s">
        <v>1064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27</v>
      </c>
      <c r="J79" s="147" t="s">
        <v>1721</v>
      </c>
      <c r="K79" s="31">
        <f t="shared" si="6"/>
        <v>1</v>
      </c>
      <c r="L79" s="32">
        <f t="shared" si="7"/>
        <v>0.9642857142857143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 t="s">
        <v>2286</v>
      </c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" thickBot="1" x14ac:dyDescent="0.35">
      <c r="A80" t="s">
        <v>52</v>
      </c>
      <c r="B80" t="s">
        <v>127</v>
      </c>
      <c r="C80" t="s">
        <v>1061</v>
      </c>
      <c r="D80" t="s">
        <v>1065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27</v>
      </c>
      <c r="J80" s="147" t="s">
        <v>1722</v>
      </c>
      <c r="K80" s="31">
        <f t="shared" si="6"/>
        <v>1</v>
      </c>
      <c r="L80" s="32">
        <f t="shared" si="7"/>
        <v>0.9642857142857143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 t="s">
        <v>2286</v>
      </c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" thickBot="1" x14ac:dyDescent="0.35">
      <c r="A81" t="s">
        <v>52</v>
      </c>
      <c r="B81" t="s">
        <v>128</v>
      </c>
      <c r="C81" t="s">
        <v>1061</v>
      </c>
      <c r="D81" t="s">
        <v>1066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27</v>
      </c>
      <c r="J81" s="147" t="s">
        <v>1723</v>
      </c>
      <c r="K81" s="31">
        <f t="shared" si="6"/>
        <v>1</v>
      </c>
      <c r="L81" s="32">
        <f t="shared" si="7"/>
        <v>0.9642857142857143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 t="s">
        <v>2286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" thickBot="1" x14ac:dyDescent="0.35">
      <c r="A82" t="s">
        <v>52</v>
      </c>
      <c r="B82" t="s">
        <v>925</v>
      </c>
      <c r="C82" t="s">
        <v>1061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27</v>
      </c>
      <c r="J82" s="147" t="s">
        <v>1724</v>
      </c>
      <c r="K82" s="31">
        <f t="shared" si="6"/>
        <v>1</v>
      </c>
      <c r="L82" s="32">
        <f t="shared" si="7"/>
        <v>0.9642857142857143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 t="s">
        <v>2286</v>
      </c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" thickBot="1" x14ac:dyDescent="0.35">
      <c r="A83" t="s">
        <v>52</v>
      </c>
      <c r="B83" t="s">
        <v>130</v>
      </c>
      <c r="C83" t="s">
        <v>1061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27</v>
      </c>
      <c r="J83" s="147" t="s">
        <v>1725</v>
      </c>
      <c r="K83" s="31">
        <f t="shared" si="6"/>
        <v>1</v>
      </c>
      <c r="L83" s="32">
        <f t="shared" si="7"/>
        <v>0.9642857142857143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 t="s">
        <v>2286</v>
      </c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" thickBot="1" x14ac:dyDescent="0.35">
      <c r="A84" t="s">
        <v>52</v>
      </c>
      <c r="B84" t="s">
        <v>132</v>
      </c>
      <c r="C84" t="s">
        <v>1061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1726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" thickBot="1" x14ac:dyDescent="0.35">
      <c r="A85" t="s">
        <v>52</v>
      </c>
      <c r="B85" t="s">
        <v>134</v>
      </c>
      <c r="C85" t="s">
        <v>1061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1727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" thickBot="1" x14ac:dyDescent="0.35">
      <c r="A86" t="s">
        <v>52</v>
      </c>
      <c r="B86" t="s">
        <v>136</v>
      </c>
      <c r="C86" t="s">
        <v>1061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1728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" thickBot="1" x14ac:dyDescent="0.35">
      <c r="A87" s="73" t="s">
        <v>52</v>
      </c>
      <c r="B87" s="73" t="s">
        <v>138</v>
      </c>
      <c r="C87" s="73" t="s">
        <v>1061</v>
      </c>
      <c r="D87" s="73" t="s">
        <v>1520</v>
      </c>
      <c r="E87" s="85" t="s">
        <v>19</v>
      </c>
      <c r="F87" s="85" t="s">
        <v>1300</v>
      </c>
      <c r="G87" s="85"/>
      <c r="H87" s="85" t="s">
        <v>658</v>
      </c>
      <c r="I87" s="142">
        <f t="shared" si="8"/>
        <v>28</v>
      </c>
      <c r="J87" s="147" t="s">
        <v>1729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" thickBot="1" x14ac:dyDescent="0.35">
      <c r="A88" t="s">
        <v>52</v>
      </c>
      <c r="B88" t="s">
        <v>139</v>
      </c>
      <c r="C88" t="s">
        <v>1061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28</v>
      </c>
      <c r="J88" s="147" t="s">
        <v>1730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" thickBot="1" x14ac:dyDescent="0.35">
      <c r="A89" t="s">
        <v>52</v>
      </c>
      <c r="B89" t="s">
        <v>141</v>
      </c>
      <c r="C89" t="s">
        <v>1061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10</v>
      </c>
      <c r="J89" s="147" t="s">
        <v>1731</v>
      </c>
      <c r="K89" s="31">
        <f t="shared" si="9"/>
        <v>18</v>
      </c>
      <c r="L89" s="32">
        <f t="shared" si="10"/>
        <v>0.35714285714285715</v>
      </c>
      <c r="M89" s="70" t="s">
        <v>2286</v>
      </c>
      <c r="N89" s="70" t="s">
        <v>2286</v>
      </c>
      <c r="O89" s="70" t="s">
        <v>2286</v>
      </c>
      <c r="P89" s="70" t="s">
        <v>2286</v>
      </c>
      <c r="Q89" s="70" t="s">
        <v>2286</v>
      </c>
      <c r="R89" s="70" t="s">
        <v>2286</v>
      </c>
      <c r="S89" s="70" t="s">
        <v>2286</v>
      </c>
      <c r="T89" s="70"/>
      <c r="U89" s="70" t="s">
        <v>2286</v>
      </c>
      <c r="V89" s="70" t="s">
        <v>2286</v>
      </c>
      <c r="W89" s="70"/>
      <c r="X89" s="70" t="s">
        <v>2286</v>
      </c>
      <c r="Y89" s="70" t="s">
        <v>2286</v>
      </c>
      <c r="Z89" s="70" t="s">
        <v>2286</v>
      </c>
      <c r="AA89" s="70" t="s">
        <v>2286</v>
      </c>
      <c r="AB89" s="70" t="s">
        <v>2286</v>
      </c>
      <c r="AC89" s="70" t="s">
        <v>2286</v>
      </c>
      <c r="AD89" s="70" t="s">
        <v>2286</v>
      </c>
      <c r="AE89" s="70" t="s">
        <v>2286</v>
      </c>
      <c r="AF89" s="70" t="s">
        <v>2286</v>
      </c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" thickBot="1" x14ac:dyDescent="0.35">
      <c r="A90" t="s">
        <v>52</v>
      </c>
      <c r="B90" t="s">
        <v>1480</v>
      </c>
      <c r="C90" t="s">
        <v>1061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27</v>
      </c>
      <c r="J90" s="147" t="s">
        <v>1732</v>
      </c>
      <c r="K90" s="31">
        <f t="shared" si="9"/>
        <v>1</v>
      </c>
      <c r="L90" s="32">
        <f t="shared" si="10"/>
        <v>0.9642857142857143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 t="s">
        <v>2286</v>
      </c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" thickBot="1" x14ac:dyDescent="0.35">
      <c r="A91" t="s">
        <v>52</v>
      </c>
      <c r="B91" t="s">
        <v>1481</v>
      </c>
      <c r="C91" t="s">
        <v>1061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27</v>
      </c>
      <c r="J91" s="147" t="s">
        <v>1733</v>
      </c>
      <c r="K91" s="31">
        <f t="shared" si="9"/>
        <v>1</v>
      </c>
      <c r="L91" s="32">
        <f t="shared" si="10"/>
        <v>0.9642857142857143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 t="s">
        <v>2286</v>
      </c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" thickBot="1" x14ac:dyDescent="0.35">
      <c r="A92" t="s">
        <v>52</v>
      </c>
      <c r="B92" t="s">
        <v>143</v>
      </c>
      <c r="C92" t="s">
        <v>1061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27</v>
      </c>
      <c r="J92" s="147" t="s">
        <v>1734</v>
      </c>
      <c r="K92" s="31">
        <f t="shared" si="9"/>
        <v>1</v>
      </c>
      <c r="L92" s="32">
        <f t="shared" si="10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2286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" thickBot="1" x14ac:dyDescent="0.35">
      <c r="A93" s="73" t="s">
        <v>52</v>
      </c>
      <c r="B93" s="73" t="s">
        <v>145</v>
      </c>
      <c r="C93" s="73" t="s">
        <v>1061</v>
      </c>
      <c r="D93" s="73" t="s">
        <v>146</v>
      </c>
      <c r="E93" s="85" t="s">
        <v>19</v>
      </c>
      <c r="F93" s="85" t="s">
        <v>1300</v>
      </c>
      <c r="G93" s="85"/>
      <c r="H93" s="85" t="s">
        <v>1424</v>
      </c>
      <c r="I93" s="142">
        <f t="shared" si="8"/>
        <v>28</v>
      </c>
      <c r="J93" s="147" t="s">
        <v>1735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" thickBot="1" x14ac:dyDescent="0.35">
      <c r="A94" t="s">
        <v>52</v>
      </c>
      <c r="B94" t="s">
        <v>147</v>
      </c>
      <c r="C94" t="s">
        <v>1061</v>
      </c>
      <c r="D94" t="s">
        <v>148</v>
      </c>
      <c r="E94" s="30" t="s">
        <v>19</v>
      </c>
      <c r="F94" s="30" t="s">
        <v>28</v>
      </c>
      <c r="G94" s="30"/>
      <c r="H94" s="30" t="s">
        <v>1461</v>
      </c>
      <c r="I94" s="31">
        <f t="shared" si="8"/>
        <v>27</v>
      </c>
      <c r="J94" s="150" t="s">
        <v>1736</v>
      </c>
      <c r="K94" s="31">
        <f t="shared" si="9"/>
        <v>1</v>
      </c>
      <c r="L94" s="32">
        <f t="shared" si="10"/>
        <v>0.9642857142857143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 t="s">
        <v>2286</v>
      </c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" thickBot="1" x14ac:dyDescent="0.35">
      <c r="A95" s="73" t="s">
        <v>52</v>
      </c>
      <c r="B95" s="73" t="s">
        <v>926</v>
      </c>
      <c r="C95" s="73" t="s">
        <v>1061</v>
      </c>
      <c r="D95" s="73" t="s">
        <v>149</v>
      </c>
      <c r="E95" s="85" t="s">
        <v>19</v>
      </c>
      <c r="F95" s="85" t="s">
        <v>1300</v>
      </c>
      <c r="G95" s="85"/>
      <c r="H95" s="85" t="s">
        <v>1361</v>
      </c>
      <c r="I95" s="142">
        <f t="shared" si="8"/>
        <v>25</v>
      </c>
      <c r="J95" s="147" t="s">
        <v>1737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 t="s">
        <v>2286</v>
      </c>
      <c r="U95" s="70"/>
      <c r="V95" s="70"/>
      <c r="W95" s="70"/>
      <c r="X95" s="70" t="s">
        <v>2286</v>
      </c>
      <c r="Y95" s="70"/>
      <c r="Z95" s="70"/>
      <c r="AA95" s="70" t="s">
        <v>2286</v>
      </c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" thickBot="1" x14ac:dyDescent="0.35">
      <c r="A96" s="73" t="s">
        <v>52</v>
      </c>
      <c r="B96" s="73" t="s">
        <v>927</v>
      </c>
      <c r="C96" s="73" t="s">
        <v>1061</v>
      </c>
      <c r="D96" s="73" t="s">
        <v>45</v>
      </c>
      <c r="E96" s="85" t="s">
        <v>46</v>
      </c>
      <c r="F96" s="85" t="s">
        <v>1300</v>
      </c>
      <c r="G96" s="85"/>
      <c r="H96" s="85" t="s">
        <v>664</v>
      </c>
      <c r="I96" s="142">
        <f t="shared" si="8"/>
        <v>28</v>
      </c>
      <c r="J96" s="147" t="s">
        <v>1738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" thickBot="1" x14ac:dyDescent="0.35">
      <c r="A97" s="73" t="s">
        <v>52</v>
      </c>
      <c r="B97" s="73" t="s">
        <v>150</v>
      </c>
      <c r="C97" s="73" t="s">
        <v>1061</v>
      </c>
      <c r="D97" s="73" t="s">
        <v>151</v>
      </c>
      <c r="E97" s="85" t="s">
        <v>15</v>
      </c>
      <c r="F97" s="85" t="s">
        <v>1300</v>
      </c>
      <c r="G97" s="85"/>
      <c r="H97" s="85" t="s">
        <v>1432</v>
      </c>
      <c r="I97" s="142">
        <f t="shared" si="8"/>
        <v>28</v>
      </c>
      <c r="J97" s="147" t="s">
        <v>1739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" thickBot="1" x14ac:dyDescent="0.35">
      <c r="A98" s="73" t="s">
        <v>52</v>
      </c>
      <c r="B98" s="73" t="s">
        <v>928</v>
      </c>
      <c r="C98" s="73" t="s">
        <v>1061</v>
      </c>
      <c r="D98" s="73" t="s">
        <v>47</v>
      </c>
      <c r="E98" s="85" t="s">
        <v>19</v>
      </c>
      <c r="F98" s="85" t="s">
        <v>1300</v>
      </c>
      <c r="G98" s="85"/>
      <c r="H98" s="85" t="s">
        <v>1368</v>
      </c>
      <c r="I98" s="142">
        <f t="shared" si="8"/>
        <v>21</v>
      </c>
      <c r="J98" s="147" t="s">
        <v>1740</v>
      </c>
      <c r="K98" s="142">
        <f t="shared" si="9"/>
        <v>7</v>
      </c>
      <c r="L98" s="143">
        <f t="shared" si="10"/>
        <v>0.75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 t="s">
        <v>2286</v>
      </c>
      <c r="AA98" s="70" t="s">
        <v>2286</v>
      </c>
      <c r="AB98" s="70" t="s">
        <v>2286</v>
      </c>
      <c r="AC98" s="70" t="s">
        <v>2286</v>
      </c>
      <c r="AD98" s="70" t="s">
        <v>2286</v>
      </c>
      <c r="AE98" s="70" t="s">
        <v>2286</v>
      </c>
      <c r="AF98" s="70" t="s">
        <v>2286</v>
      </c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" thickBot="1" x14ac:dyDescent="0.35">
      <c r="A99" s="73" t="s">
        <v>52</v>
      </c>
      <c r="B99" s="73" t="s">
        <v>48</v>
      </c>
      <c r="C99" s="73" t="s">
        <v>1061</v>
      </c>
      <c r="D99" s="73" t="s">
        <v>49</v>
      </c>
      <c r="E99" s="85" t="s">
        <v>19</v>
      </c>
      <c r="F99" s="85" t="s">
        <v>1300</v>
      </c>
      <c r="G99" s="85"/>
      <c r="H99" s="85" t="s">
        <v>1355</v>
      </c>
      <c r="I99" s="142">
        <f t="shared" si="8"/>
        <v>10</v>
      </c>
      <c r="J99" s="147" t="s">
        <v>1741</v>
      </c>
      <c r="K99" s="142">
        <f t="shared" si="9"/>
        <v>18</v>
      </c>
      <c r="L99" s="143">
        <f t="shared" si="10"/>
        <v>0.35714285714285715</v>
      </c>
      <c r="M99" s="70" t="s">
        <v>2286</v>
      </c>
      <c r="N99" s="70" t="s">
        <v>2286</v>
      </c>
      <c r="O99" s="70" t="s">
        <v>2286</v>
      </c>
      <c r="P99" s="70" t="s">
        <v>2286</v>
      </c>
      <c r="Q99" s="70" t="s">
        <v>2286</v>
      </c>
      <c r="R99" s="70" t="s">
        <v>2286</v>
      </c>
      <c r="S99" s="70" t="s">
        <v>2286</v>
      </c>
      <c r="T99" s="70" t="s">
        <v>2286</v>
      </c>
      <c r="U99" s="70"/>
      <c r="V99" s="70" t="s">
        <v>2286</v>
      </c>
      <c r="W99" s="70"/>
      <c r="X99" s="70" t="s">
        <v>2286</v>
      </c>
      <c r="Y99" s="70" t="s">
        <v>2286</v>
      </c>
      <c r="Z99" s="70" t="s">
        <v>2286</v>
      </c>
      <c r="AA99" s="70" t="s">
        <v>2286</v>
      </c>
      <c r="AB99" s="70" t="s">
        <v>2286</v>
      </c>
      <c r="AC99" s="70" t="s">
        <v>2286</v>
      </c>
      <c r="AD99" s="70" t="s">
        <v>2286</v>
      </c>
      <c r="AE99" s="70" t="s">
        <v>2286</v>
      </c>
      <c r="AF99" s="70" t="s">
        <v>2286</v>
      </c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" thickBot="1" x14ac:dyDescent="0.35">
      <c r="A100" s="73" t="s">
        <v>52</v>
      </c>
      <c r="B100" s="73" t="s">
        <v>50</v>
      </c>
      <c r="C100" s="73" t="s">
        <v>1061</v>
      </c>
      <c r="D100" s="73" t="s">
        <v>51</v>
      </c>
      <c r="E100" s="85" t="s">
        <v>19</v>
      </c>
      <c r="F100" s="85" t="s">
        <v>1300</v>
      </c>
      <c r="G100" s="85"/>
      <c r="H100" s="85" t="s">
        <v>1409</v>
      </c>
      <c r="I100" s="142">
        <f t="shared" si="8"/>
        <v>28</v>
      </c>
      <c r="J100" s="147" t="s">
        <v>1742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" thickBot="1" x14ac:dyDescent="0.35">
      <c r="A101" s="73" t="s">
        <v>52</v>
      </c>
      <c r="B101" s="73" t="s">
        <v>53</v>
      </c>
      <c r="C101" s="73" t="s">
        <v>1061</v>
      </c>
      <c r="D101" s="73" t="s">
        <v>54</v>
      </c>
      <c r="E101" s="85" t="s">
        <v>15</v>
      </c>
      <c r="F101" s="85" t="s">
        <v>1300</v>
      </c>
      <c r="G101" s="85"/>
      <c r="H101" s="85" t="s">
        <v>1425</v>
      </c>
      <c r="I101" s="142">
        <f t="shared" si="8"/>
        <v>28</v>
      </c>
      <c r="J101" s="147" t="s">
        <v>1743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" thickBot="1" x14ac:dyDescent="0.35">
      <c r="A102" s="73" t="s">
        <v>52</v>
      </c>
      <c r="B102" s="73" t="s">
        <v>55</v>
      </c>
      <c r="C102" s="73" t="s">
        <v>1061</v>
      </c>
      <c r="D102" s="73" t="s">
        <v>56</v>
      </c>
      <c r="E102" s="85" t="s">
        <v>15</v>
      </c>
      <c r="F102" s="85" t="s">
        <v>1300</v>
      </c>
      <c r="G102" s="85"/>
      <c r="H102" s="85" t="s">
        <v>1364</v>
      </c>
      <c r="I102" s="142">
        <f t="shared" si="8"/>
        <v>28</v>
      </c>
      <c r="J102" s="147" t="s">
        <v>1744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" thickBot="1" x14ac:dyDescent="0.35">
      <c r="A103" t="s">
        <v>52</v>
      </c>
      <c r="B103" t="s">
        <v>57</v>
      </c>
      <c r="C103" t="s">
        <v>1061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27</v>
      </c>
      <c r="J103" s="147" t="s">
        <v>1745</v>
      </c>
      <c r="K103" s="31">
        <f t="shared" si="9"/>
        <v>1</v>
      </c>
      <c r="L103" s="32">
        <f t="shared" si="10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 t="s">
        <v>2286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" thickBot="1" x14ac:dyDescent="0.35">
      <c r="A104" s="73" t="s">
        <v>52</v>
      </c>
      <c r="B104" s="73" t="s">
        <v>933</v>
      </c>
      <c r="C104" s="73" t="s">
        <v>1061</v>
      </c>
      <c r="D104" s="73" t="s">
        <v>59</v>
      </c>
      <c r="E104" s="85" t="s">
        <v>15</v>
      </c>
      <c r="F104" s="85" t="s">
        <v>1300</v>
      </c>
      <c r="G104" s="85"/>
      <c r="H104" s="85" t="s">
        <v>1375</v>
      </c>
      <c r="I104" s="142">
        <f t="shared" si="8"/>
        <v>28</v>
      </c>
      <c r="J104" s="147" t="s">
        <v>1746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" thickBot="1" x14ac:dyDescent="0.35">
      <c r="A105" t="s">
        <v>52</v>
      </c>
      <c r="B105" t="s">
        <v>60</v>
      </c>
      <c r="C105" t="s">
        <v>1061</v>
      </c>
      <c r="D105" t="s">
        <v>61</v>
      </c>
      <c r="E105" s="30" t="s">
        <v>15</v>
      </c>
      <c r="F105" s="30" t="s">
        <v>1055</v>
      </c>
      <c r="G105" s="30" t="s">
        <v>45</v>
      </c>
      <c r="H105" s="30" t="s">
        <v>666</v>
      </c>
      <c r="I105" s="31">
        <f t="shared" si="8"/>
        <v>28</v>
      </c>
      <c r="J105" s="147" t="s">
        <v>1747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" thickBot="1" x14ac:dyDescent="0.35">
      <c r="A106" s="73" t="s">
        <v>52</v>
      </c>
      <c r="B106" s="73" t="s">
        <v>62</v>
      </c>
      <c r="C106" s="73" t="s">
        <v>1061</v>
      </c>
      <c r="D106" s="73" t="s">
        <v>63</v>
      </c>
      <c r="E106" s="85" t="s">
        <v>15</v>
      </c>
      <c r="F106" s="85" t="s">
        <v>1300</v>
      </c>
      <c r="G106" s="85"/>
      <c r="H106" s="85" t="s">
        <v>1365</v>
      </c>
      <c r="I106" s="142">
        <f t="shared" si="8"/>
        <v>28</v>
      </c>
      <c r="J106" s="147" t="s">
        <v>1748</v>
      </c>
      <c r="K106" s="142">
        <f t="shared" si="9"/>
        <v>0</v>
      </c>
      <c r="L106" s="143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" thickBot="1" x14ac:dyDescent="0.35">
      <c r="A107" t="s">
        <v>52</v>
      </c>
      <c r="B107" t="s">
        <v>934</v>
      </c>
      <c r="C107" t="s">
        <v>1061</v>
      </c>
      <c r="D107" t="s">
        <v>1084</v>
      </c>
      <c r="E107" s="30" t="s">
        <v>15</v>
      </c>
      <c r="F107" s="30" t="s">
        <v>1055</v>
      </c>
      <c r="G107" s="30" t="s">
        <v>1252</v>
      </c>
      <c r="H107" s="30" t="s">
        <v>667</v>
      </c>
      <c r="I107" s="31">
        <f t="shared" si="8"/>
        <v>28</v>
      </c>
      <c r="J107" s="147" t="s">
        <v>1749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" thickBot="1" x14ac:dyDescent="0.35">
      <c r="A108" t="s">
        <v>52</v>
      </c>
      <c r="B108" t="s">
        <v>935</v>
      </c>
      <c r="C108" t="s">
        <v>1061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27</v>
      </c>
      <c r="J108" s="147" t="s">
        <v>1750</v>
      </c>
      <c r="K108" s="31">
        <f t="shared" si="9"/>
        <v>1</v>
      </c>
      <c r="L108" s="32">
        <f t="shared" si="10"/>
        <v>0.9642857142857143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 t="s">
        <v>2286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" thickBot="1" x14ac:dyDescent="0.35">
      <c r="A109" t="s">
        <v>52</v>
      </c>
      <c r="B109" t="s">
        <v>152</v>
      </c>
      <c r="C109" t="s">
        <v>1061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27</v>
      </c>
      <c r="J109" s="147" t="s">
        <v>1751</v>
      </c>
      <c r="K109" s="31">
        <f t="shared" si="9"/>
        <v>1</v>
      </c>
      <c r="L109" s="32">
        <f t="shared" si="10"/>
        <v>0.9642857142857143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 t="s">
        <v>2286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" thickBot="1" x14ac:dyDescent="0.35">
      <c r="A110" s="73" t="s">
        <v>52</v>
      </c>
      <c r="B110" s="73" t="s">
        <v>929</v>
      </c>
      <c r="C110" s="73" t="s">
        <v>1061</v>
      </c>
      <c r="D110" s="73" t="s">
        <v>154</v>
      </c>
      <c r="E110" s="85" t="s">
        <v>46</v>
      </c>
      <c r="F110" s="85" t="s">
        <v>1300</v>
      </c>
      <c r="G110" s="85"/>
      <c r="H110" s="85" t="s">
        <v>1058</v>
      </c>
      <c r="I110" s="142">
        <f t="shared" si="8"/>
        <v>28</v>
      </c>
      <c r="J110" s="147" t="s">
        <v>1752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" thickBot="1" x14ac:dyDescent="0.35">
      <c r="A111" s="73" t="s">
        <v>52</v>
      </c>
      <c r="B111" s="73" t="s">
        <v>155</v>
      </c>
      <c r="C111" s="73" t="s">
        <v>1061</v>
      </c>
      <c r="D111" s="73" t="s">
        <v>154</v>
      </c>
      <c r="E111" s="85" t="s">
        <v>46</v>
      </c>
      <c r="F111" s="85" t="s">
        <v>1300</v>
      </c>
      <c r="G111" s="85"/>
      <c r="H111" s="85" t="s">
        <v>670</v>
      </c>
      <c r="I111" s="142">
        <f t="shared" si="8"/>
        <v>28</v>
      </c>
      <c r="J111" s="147" t="s">
        <v>1752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" thickBot="1" x14ac:dyDescent="0.35">
      <c r="A112" s="73" t="s">
        <v>52</v>
      </c>
      <c r="B112" s="73" t="s">
        <v>156</v>
      </c>
      <c r="C112" s="73" t="s">
        <v>1061</v>
      </c>
      <c r="D112" s="73" t="s">
        <v>157</v>
      </c>
      <c r="E112" s="85" t="s">
        <v>73</v>
      </c>
      <c r="F112" s="85" t="s">
        <v>1300</v>
      </c>
      <c r="G112" s="85"/>
      <c r="H112" s="85" t="s">
        <v>674</v>
      </c>
      <c r="I112" s="142">
        <f t="shared" si="8"/>
        <v>14</v>
      </c>
      <c r="J112" s="147" t="s">
        <v>1754</v>
      </c>
      <c r="K112" s="142">
        <f t="shared" si="9"/>
        <v>14</v>
      </c>
      <c r="L112" s="143">
        <f t="shared" si="10"/>
        <v>0.5</v>
      </c>
      <c r="M112" s="70" t="s">
        <v>2286</v>
      </c>
      <c r="N112" s="70" t="s">
        <v>2286</v>
      </c>
      <c r="O112" s="70" t="s">
        <v>2286</v>
      </c>
      <c r="P112" s="70" t="s">
        <v>2286</v>
      </c>
      <c r="Q112" s="70" t="s">
        <v>2286</v>
      </c>
      <c r="R112" s="70" t="s">
        <v>2286</v>
      </c>
      <c r="S112" s="70" t="s">
        <v>2286</v>
      </c>
      <c r="T112" s="70" t="s">
        <v>2286</v>
      </c>
      <c r="U112" s="70"/>
      <c r="V112" s="70"/>
      <c r="W112" s="70"/>
      <c r="X112" s="70"/>
      <c r="Y112" s="70"/>
      <c r="Z112" s="70" t="s">
        <v>2286</v>
      </c>
      <c r="AA112" s="70" t="s">
        <v>2286</v>
      </c>
      <c r="AB112" s="70" t="s">
        <v>2286</v>
      </c>
      <c r="AC112" s="70" t="s">
        <v>2286</v>
      </c>
      <c r="AD112" s="70" t="s">
        <v>2286</v>
      </c>
      <c r="AE112" s="70" t="s">
        <v>2286</v>
      </c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" thickBot="1" x14ac:dyDescent="0.35">
      <c r="A113" s="73" t="s">
        <v>52</v>
      </c>
      <c r="B113" s="73" t="s">
        <v>158</v>
      </c>
      <c r="C113" s="73" t="s">
        <v>1061</v>
      </c>
      <c r="D113" s="73" t="s">
        <v>157</v>
      </c>
      <c r="E113" s="85" t="s">
        <v>73</v>
      </c>
      <c r="F113" s="85" t="s">
        <v>1300</v>
      </c>
      <c r="G113" s="85"/>
      <c r="H113" s="85" t="s">
        <v>675</v>
      </c>
      <c r="I113" s="142">
        <f t="shared" si="8"/>
        <v>14</v>
      </c>
      <c r="J113" s="147" t="s">
        <v>1753</v>
      </c>
      <c r="K113" s="142">
        <f t="shared" si="9"/>
        <v>14</v>
      </c>
      <c r="L113" s="143">
        <f t="shared" si="10"/>
        <v>0.5</v>
      </c>
      <c r="M113" s="70" t="s">
        <v>2286</v>
      </c>
      <c r="N113" s="70" t="s">
        <v>2286</v>
      </c>
      <c r="O113" s="70" t="s">
        <v>2286</v>
      </c>
      <c r="P113" s="70" t="s">
        <v>2286</v>
      </c>
      <c r="Q113" s="70" t="s">
        <v>2286</v>
      </c>
      <c r="R113" s="70" t="s">
        <v>2286</v>
      </c>
      <c r="S113" s="70" t="s">
        <v>2286</v>
      </c>
      <c r="T113" s="70" t="s">
        <v>2286</v>
      </c>
      <c r="U113" s="70"/>
      <c r="V113" s="70"/>
      <c r="W113" s="70"/>
      <c r="X113" s="70"/>
      <c r="Y113" s="70"/>
      <c r="Z113" s="70" t="s">
        <v>2286</v>
      </c>
      <c r="AA113" s="70" t="s">
        <v>2286</v>
      </c>
      <c r="AB113" s="70" t="s">
        <v>2286</v>
      </c>
      <c r="AC113" s="70" t="s">
        <v>2286</v>
      </c>
      <c r="AD113" s="70" t="s">
        <v>2286</v>
      </c>
      <c r="AE113" s="70" t="s">
        <v>2286</v>
      </c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" thickBot="1" x14ac:dyDescent="0.35">
      <c r="A114" t="s">
        <v>52</v>
      </c>
      <c r="B114" t="s">
        <v>159</v>
      </c>
      <c r="C114" t="s">
        <v>1061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27</v>
      </c>
      <c r="J114" s="147" t="s">
        <v>1755</v>
      </c>
      <c r="K114" s="31">
        <f t="shared" si="9"/>
        <v>1</v>
      </c>
      <c r="L114" s="32">
        <f t="shared" si="10"/>
        <v>0.9642857142857143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 t="s">
        <v>2286</v>
      </c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" thickBot="1" x14ac:dyDescent="0.35">
      <c r="A115" t="s">
        <v>52</v>
      </c>
      <c r="B115" t="s">
        <v>65</v>
      </c>
      <c r="C115" t="s">
        <v>1061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27</v>
      </c>
      <c r="J115" s="147" t="s">
        <v>1756</v>
      </c>
      <c r="K115" s="31">
        <f t="shared" si="9"/>
        <v>1</v>
      </c>
      <c r="L115" s="32">
        <f t="shared" si="10"/>
        <v>0.9642857142857143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 t="s">
        <v>2286</v>
      </c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" thickBot="1" x14ac:dyDescent="0.35">
      <c r="A116" s="73" t="s">
        <v>52</v>
      </c>
      <c r="B116" s="73" t="s">
        <v>67</v>
      </c>
      <c r="C116" s="73" t="s">
        <v>1061</v>
      </c>
      <c r="D116" s="73" t="s">
        <v>68</v>
      </c>
      <c r="E116" s="85" t="s">
        <v>19</v>
      </c>
      <c r="F116" s="85" t="s">
        <v>1300</v>
      </c>
      <c r="G116" s="85"/>
      <c r="H116" s="85" t="s">
        <v>678</v>
      </c>
      <c r="I116" s="142">
        <f t="shared" si="8"/>
        <v>28</v>
      </c>
      <c r="J116" s="147" t="s">
        <v>1757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5" customHeight="1" thickBot="1" x14ac:dyDescent="0.35">
      <c r="A117" t="s">
        <v>52</v>
      </c>
      <c r="B117" t="s">
        <v>69</v>
      </c>
      <c r="C117" t="s">
        <v>1061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1758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" thickBot="1" x14ac:dyDescent="0.35">
      <c r="A118" t="s">
        <v>52</v>
      </c>
      <c r="B118" t="s">
        <v>161</v>
      </c>
      <c r="C118" t="s">
        <v>1061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26</v>
      </c>
      <c r="J118" s="147" t="s">
        <v>1759</v>
      </c>
      <c r="K118" s="31">
        <f t="shared" si="9"/>
        <v>2</v>
      </c>
      <c r="L118" s="32">
        <f t="shared" si="10"/>
        <v>0.9285714285714286</v>
      </c>
      <c r="M118" s="70" t="s">
        <v>2286</v>
      </c>
      <c r="N118" s="70" t="s">
        <v>2286</v>
      </c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" thickBot="1" x14ac:dyDescent="0.35">
      <c r="A119" t="s">
        <v>52</v>
      </c>
      <c r="B119" t="s">
        <v>163</v>
      </c>
      <c r="C119" t="s">
        <v>1061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1760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" thickBot="1" x14ac:dyDescent="0.35">
      <c r="A120" s="73" t="s">
        <v>52</v>
      </c>
      <c r="B120" s="73" t="s">
        <v>930</v>
      </c>
      <c r="C120" s="73" t="s">
        <v>1061</v>
      </c>
      <c r="D120" s="73" t="s">
        <v>931</v>
      </c>
      <c r="E120" s="85" t="s">
        <v>19</v>
      </c>
      <c r="F120" s="85" t="s">
        <v>1300</v>
      </c>
      <c r="G120" s="85"/>
      <c r="H120" s="85" t="s">
        <v>1213</v>
      </c>
      <c r="I120" s="142">
        <f t="shared" si="8"/>
        <v>9</v>
      </c>
      <c r="J120" s="147" t="s">
        <v>1761</v>
      </c>
      <c r="K120" s="142">
        <f t="shared" si="9"/>
        <v>19</v>
      </c>
      <c r="L120" s="143">
        <f t="shared" si="10"/>
        <v>0.32142857142857145</v>
      </c>
      <c r="M120" s="70" t="s">
        <v>2286</v>
      </c>
      <c r="N120" s="70" t="s">
        <v>2286</v>
      </c>
      <c r="O120" s="70" t="s">
        <v>2286</v>
      </c>
      <c r="P120" s="70" t="s">
        <v>2286</v>
      </c>
      <c r="Q120" s="70" t="s">
        <v>2286</v>
      </c>
      <c r="R120" s="70" t="s">
        <v>2286</v>
      </c>
      <c r="S120" s="70" t="s">
        <v>2286</v>
      </c>
      <c r="T120" s="70" t="s">
        <v>2286</v>
      </c>
      <c r="U120" s="70" t="s">
        <v>2286</v>
      </c>
      <c r="V120" s="70" t="s">
        <v>2286</v>
      </c>
      <c r="W120" s="70"/>
      <c r="X120" s="70" t="s">
        <v>2286</v>
      </c>
      <c r="Y120" s="70" t="s">
        <v>2286</v>
      </c>
      <c r="Z120" s="70" t="s">
        <v>2286</v>
      </c>
      <c r="AA120" s="70" t="s">
        <v>2286</v>
      </c>
      <c r="AB120" s="70" t="s">
        <v>2286</v>
      </c>
      <c r="AC120" s="70" t="s">
        <v>2286</v>
      </c>
      <c r="AD120" s="70" t="s">
        <v>2286</v>
      </c>
      <c r="AE120" s="70" t="s">
        <v>2286</v>
      </c>
      <c r="AF120" s="70" t="s">
        <v>2286</v>
      </c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" thickBot="1" x14ac:dyDescent="0.35">
      <c r="A121" t="s">
        <v>52</v>
      </c>
      <c r="B121" t="s">
        <v>932</v>
      </c>
      <c r="C121" t="s">
        <v>1061</v>
      </c>
      <c r="D121" t="s">
        <v>1077</v>
      </c>
      <c r="E121" s="30" t="s">
        <v>73</v>
      </c>
      <c r="F121" s="30" t="s">
        <v>28</v>
      </c>
      <c r="G121" s="30"/>
      <c r="H121" s="30" t="s">
        <v>1495</v>
      </c>
      <c r="I121" s="31">
        <f t="shared" si="8"/>
        <v>28</v>
      </c>
      <c r="J121" s="147" t="s">
        <v>1762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" thickBot="1" x14ac:dyDescent="0.35">
      <c r="A122" t="s">
        <v>52</v>
      </c>
      <c r="B122" t="s">
        <v>1108</v>
      </c>
      <c r="C122" t="s">
        <v>1061</v>
      </c>
      <c r="D122" t="s">
        <v>1107</v>
      </c>
      <c r="E122" s="30" t="s">
        <v>73</v>
      </c>
      <c r="F122" s="30" t="s">
        <v>28</v>
      </c>
      <c r="G122" s="30"/>
      <c r="H122" s="30" t="s">
        <v>1109</v>
      </c>
      <c r="I122" s="31">
        <f t="shared" si="8"/>
        <v>28</v>
      </c>
      <c r="J122" s="147" t="s">
        <v>1763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" thickBot="1" x14ac:dyDescent="0.35">
      <c r="A123" t="s">
        <v>52</v>
      </c>
      <c r="B123" s="30" t="s">
        <v>1117</v>
      </c>
      <c r="C123" s="30" t="s">
        <v>1061</v>
      </c>
      <c r="D123" t="s">
        <v>122</v>
      </c>
      <c r="E123" s="30" t="s">
        <v>73</v>
      </c>
      <c r="F123" s="30" t="s">
        <v>28</v>
      </c>
      <c r="G123" s="30"/>
      <c r="H123" s="30" t="s">
        <v>1118</v>
      </c>
      <c r="I123" s="31">
        <f t="shared" si="8"/>
        <v>28</v>
      </c>
      <c r="J123" s="147" t="s">
        <v>1764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" thickBot="1" x14ac:dyDescent="0.35">
      <c r="A124" t="s">
        <v>52</v>
      </c>
      <c r="B124" s="30" t="s">
        <v>1110</v>
      </c>
      <c r="C124" s="30" t="s">
        <v>1061</v>
      </c>
      <c r="D124" t="s">
        <v>1112</v>
      </c>
      <c r="E124" s="30" t="s">
        <v>73</v>
      </c>
      <c r="F124" s="30" t="s">
        <v>28</v>
      </c>
      <c r="G124" s="30"/>
      <c r="H124" s="30" t="s">
        <v>1119</v>
      </c>
      <c r="I124" s="31">
        <f t="shared" si="8"/>
        <v>27</v>
      </c>
      <c r="J124" s="147" t="s">
        <v>1765</v>
      </c>
      <c r="K124" s="31">
        <f t="shared" si="9"/>
        <v>1</v>
      </c>
      <c r="L124" s="32">
        <f t="shared" si="10"/>
        <v>0.9642857142857143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2286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" thickBot="1" x14ac:dyDescent="0.35">
      <c r="A125" t="s">
        <v>52</v>
      </c>
      <c r="B125" s="30" t="s">
        <v>1111</v>
      </c>
      <c r="C125" s="30" t="s">
        <v>1061</v>
      </c>
      <c r="D125" t="s">
        <v>1112</v>
      </c>
      <c r="E125" s="30" t="s">
        <v>73</v>
      </c>
      <c r="F125" s="30" t="s">
        <v>28</v>
      </c>
      <c r="G125" s="30"/>
      <c r="H125" s="30" t="s">
        <v>1120</v>
      </c>
      <c r="I125" s="31">
        <f t="shared" si="8"/>
        <v>27</v>
      </c>
      <c r="J125" s="147" t="s">
        <v>1766</v>
      </c>
      <c r="K125" s="31">
        <f t="shared" si="9"/>
        <v>1</v>
      </c>
      <c r="L125" s="32">
        <f t="shared" si="10"/>
        <v>0.9642857142857143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 t="s">
        <v>2286</v>
      </c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" thickBot="1" x14ac:dyDescent="0.35">
      <c r="A126" t="s">
        <v>52</v>
      </c>
      <c r="B126" s="30" t="s">
        <v>1181</v>
      </c>
      <c r="C126" s="30" t="s">
        <v>1061</v>
      </c>
      <c r="D126" t="s">
        <v>93</v>
      </c>
      <c r="E126" s="30" t="s">
        <v>73</v>
      </c>
      <c r="F126" s="30" t="s">
        <v>28</v>
      </c>
      <c r="G126" s="30"/>
      <c r="H126" s="30" t="s">
        <v>1182</v>
      </c>
      <c r="I126" s="31">
        <f t="shared" si="8"/>
        <v>28</v>
      </c>
      <c r="J126" s="147" t="s">
        <v>1767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" thickBot="1" x14ac:dyDescent="0.35">
      <c r="A127" s="73" t="s">
        <v>52</v>
      </c>
      <c r="B127" s="85" t="s">
        <v>1197</v>
      </c>
      <c r="C127" s="85" t="s">
        <v>1061</v>
      </c>
      <c r="D127" s="73" t="s">
        <v>1198</v>
      </c>
      <c r="E127" s="85" t="s">
        <v>19</v>
      </c>
      <c r="F127" s="85" t="s">
        <v>1300</v>
      </c>
      <c r="G127" s="85"/>
      <c r="H127" s="85" t="s">
        <v>1199</v>
      </c>
      <c r="I127" s="142">
        <f t="shared" si="8"/>
        <v>23</v>
      </c>
      <c r="J127" s="148" t="s">
        <v>1768</v>
      </c>
      <c r="K127" s="142">
        <f t="shared" si="9"/>
        <v>5</v>
      </c>
      <c r="L127" s="143">
        <f t="shared" si="10"/>
        <v>0.8214285714285714</v>
      </c>
      <c r="M127" s="70"/>
      <c r="N127" s="70" t="s">
        <v>2286</v>
      </c>
      <c r="O127" s="70"/>
      <c r="P127" s="70"/>
      <c r="Q127" s="70" t="s">
        <v>2286</v>
      </c>
      <c r="R127" s="70" t="s">
        <v>2286</v>
      </c>
      <c r="S127" s="70" t="s">
        <v>2286</v>
      </c>
      <c r="T127" s="70"/>
      <c r="U127" s="70"/>
      <c r="V127" s="70"/>
      <c r="W127" s="70"/>
      <c r="X127" s="70"/>
      <c r="Y127" s="70" t="s">
        <v>2286</v>
      </c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" thickBot="1" x14ac:dyDescent="0.35">
      <c r="A128" s="73" t="s">
        <v>52</v>
      </c>
      <c r="B128" s="85" t="s">
        <v>1194</v>
      </c>
      <c r="C128" s="85" t="s">
        <v>1061</v>
      </c>
      <c r="D128" s="73" t="s">
        <v>1195</v>
      </c>
      <c r="E128" s="85" t="s">
        <v>19</v>
      </c>
      <c r="F128" s="85" t="s">
        <v>1300</v>
      </c>
      <c r="G128" s="85"/>
      <c r="H128" s="85" t="s">
        <v>1196</v>
      </c>
      <c r="I128" s="142">
        <f t="shared" si="8"/>
        <v>28</v>
      </c>
      <c r="J128" s="147" t="s">
        <v>1769</v>
      </c>
      <c r="K128" s="142">
        <f t="shared" si="9"/>
        <v>0</v>
      </c>
      <c r="L128" s="143">
        <f t="shared" si="10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" thickBot="1" x14ac:dyDescent="0.35">
      <c r="A129" s="73" t="s">
        <v>52</v>
      </c>
      <c r="B129" s="73" t="s">
        <v>1222</v>
      </c>
      <c r="C129" s="85" t="s">
        <v>1061</v>
      </c>
      <c r="D129" s="73" t="s">
        <v>1223</v>
      </c>
      <c r="E129" s="73" t="s">
        <v>73</v>
      </c>
      <c r="F129" s="73" t="s">
        <v>1300</v>
      </c>
      <c r="H129" s="85" t="s">
        <v>1310</v>
      </c>
      <c r="I129" s="142">
        <f t="shared" si="8"/>
        <v>28</v>
      </c>
      <c r="J129" s="147" t="s">
        <v>1770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" thickBot="1" x14ac:dyDescent="0.35">
      <c r="A130" s="69" t="s">
        <v>52</v>
      </c>
      <c r="B130" t="s">
        <v>1224</v>
      </c>
      <c r="C130" s="30" t="s">
        <v>1061</v>
      </c>
      <c r="D130" t="s">
        <v>1225</v>
      </c>
      <c r="E130" t="s">
        <v>73</v>
      </c>
      <c r="F130" t="s">
        <v>28</v>
      </c>
      <c r="G130"/>
      <c r="H130" s="30" t="s">
        <v>1321</v>
      </c>
      <c r="I130" s="31">
        <f t="shared" si="8"/>
        <v>18</v>
      </c>
      <c r="J130" s="147" t="s">
        <v>1771</v>
      </c>
      <c r="K130" s="31">
        <f t="shared" si="9"/>
        <v>10</v>
      </c>
      <c r="L130" s="32">
        <f t="shared" si="10"/>
        <v>0.6428571428571429</v>
      </c>
      <c r="M130" s="70" t="s">
        <v>2286</v>
      </c>
      <c r="N130" s="70" t="s">
        <v>2286</v>
      </c>
      <c r="O130" s="70"/>
      <c r="P130" s="70"/>
      <c r="Q130" s="70" t="s">
        <v>2286</v>
      </c>
      <c r="R130" s="70" t="s">
        <v>2286</v>
      </c>
      <c r="S130" s="70"/>
      <c r="T130" s="70"/>
      <c r="U130" s="70" t="s">
        <v>2286</v>
      </c>
      <c r="V130" s="70" t="s">
        <v>2286</v>
      </c>
      <c r="W130" s="70"/>
      <c r="X130" s="70"/>
      <c r="Y130" s="70"/>
      <c r="Z130" s="70" t="s">
        <v>2286</v>
      </c>
      <c r="AA130" s="70"/>
      <c r="AB130" s="70" t="s">
        <v>2286</v>
      </c>
      <c r="AC130" s="70" t="s">
        <v>2286</v>
      </c>
      <c r="AD130" s="70" t="s">
        <v>2286</v>
      </c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" thickBot="1" x14ac:dyDescent="0.35">
      <c r="A131" t="s">
        <v>52</v>
      </c>
      <c r="B131" s="30" t="s">
        <v>1298</v>
      </c>
      <c r="C131" s="30" t="s">
        <v>1061</v>
      </c>
      <c r="D131" t="s">
        <v>88</v>
      </c>
      <c r="E131" s="30" t="s">
        <v>73</v>
      </c>
      <c r="F131" s="30" t="s">
        <v>28</v>
      </c>
      <c r="G131" s="30"/>
      <c r="H131" s="30" t="s">
        <v>1297</v>
      </c>
      <c r="I131" s="31">
        <f t="shared" si="8"/>
        <v>22</v>
      </c>
      <c r="J131" s="147" t="s">
        <v>1772</v>
      </c>
      <c r="K131" s="31">
        <f t="shared" si="9"/>
        <v>6</v>
      </c>
      <c r="L131" s="32">
        <f t="shared" si="10"/>
        <v>0.7857142857142857</v>
      </c>
      <c r="M131" s="70" t="s">
        <v>2286</v>
      </c>
      <c r="N131" s="70"/>
      <c r="O131" s="70"/>
      <c r="P131" s="70"/>
      <c r="Q131" s="70"/>
      <c r="R131" s="70"/>
      <c r="S131" s="70" t="s">
        <v>2286</v>
      </c>
      <c r="T131" s="70" t="s">
        <v>2286</v>
      </c>
      <c r="U131" s="70" t="s">
        <v>2286</v>
      </c>
      <c r="V131" s="70" t="s">
        <v>2286</v>
      </c>
      <c r="W131" s="70"/>
      <c r="X131" s="70" t="s">
        <v>2286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" thickBot="1" x14ac:dyDescent="0.35">
      <c r="A132" s="73" t="s">
        <v>52</v>
      </c>
      <c r="B132" s="85" t="s">
        <v>1323</v>
      </c>
      <c r="C132" s="85" t="s">
        <v>1061</v>
      </c>
      <c r="D132" s="73" t="s">
        <v>1324</v>
      </c>
      <c r="E132" s="85" t="s">
        <v>19</v>
      </c>
      <c r="F132" s="85" t="s">
        <v>1300</v>
      </c>
      <c r="G132" s="85"/>
      <c r="H132" s="85" t="s">
        <v>1325</v>
      </c>
      <c r="I132" s="142">
        <f t="shared" si="8"/>
        <v>28</v>
      </c>
      <c r="J132" s="147" t="s">
        <v>1773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" thickBot="1" x14ac:dyDescent="0.35">
      <c r="A133" s="73" t="s">
        <v>52</v>
      </c>
      <c r="B133" s="85" t="s">
        <v>1416</v>
      </c>
      <c r="C133" s="85" t="s">
        <v>1061</v>
      </c>
      <c r="D133" s="73" t="s">
        <v>1530</v>
      </c>
      <c r="E133" s="85" t="s">
        <v>19</v>
      </c>
      <c r="F133" s="85" t="s">
        <v>1300</v>
      </c>
      <c r="G133" s="85"/>
      <c r="H133" s="85" t="s">
        <v>1417</v>
      </c>
      <c r="I133" s="142">
        <f t="shared" si="8"/>
        <v>28</v>
      </c>
      <c r="J133" s="147" t="s">
        <v>1774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5">
      <c r="A134" s="73" t="s">
        <v>52</v>
      </c>
      <c r="B134" s="85" t="s">
        <v>1507</v>
      </c>
      <c r="C134" s="85" t="s">
        <v>1061</v>
      </c>
      <c r="D134" s="73" t="s">
        <v>1508</v>
      </c>
      <c r="E134" s="85" t="s">
        <v>19</v>
      </c>
      <c r="F134" s="85" t="s">
        <v>1300</v>
      </c>
      <c r="G134" s="85"/>
      <c r="H134" s="85" t="s">
        <v>1512</v>
      </c>
      <c r="I134" s="142">
        <f t="shared" si="8"/>
        <v>28</v>
      </c>
      <c r="J134" s="147" t="s">
        <v>1775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" thickBot="1" x14ac:dyDescent="0.35">
      <c r="A135" t="s">
        <v>52</v>
      </c>
      <c r="B135" s="30" t="s">
        <v>1486</v>
      </c>
      <c r="C135" s="30" t="s">
        <v>1061</v>
      </c>
      <c r="D135" t="s">
        <v>1485</v>
      </c>
      <c r="E135" s="85" t="s">
        <v>73</v>
      </c>
      <c r="F135" s="85" t="s">
        <v>28</v>
      </c>
      <c r="G135" s="85"/>
      <c r="H135" s="85" t="s">
        <v>1487</v>
      </c>
      <c r="I135" s="142">
        <f t="shared" si="8"/>
        <v>27</v>
      </c>
      <c r="J135" s="147" t="s">
        <v>1776</v>
      </c>
      <c r="K135" s="142">
        <f t="shared" si="9"/>
        <v>1</v>
      </c>
      <c r="L135" s="143">
        <f t="shared" si="10"/>
        <v>0.9642857142857143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 t="s">
        <v>2286</v>
      </c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" thickBot="1" x14ac:dyDescent="0.35">
      <c r="A136" t="s">
        <v>52</v>
      </c>
      <c r="B136" s="30" t="s">
        <v>1489</v>
      </c>
      <c r="C136" s="30" t="s">
        <v>1061</v>
      </c>
      <c r="D136" t="s">
        <v>1488</v>
      </c>
      <c r="E136" s="85" t="s">
        <v>19</v>
      </c>
      <c r="F136" s="85" t="s">
        <v>28</v>
      </c>
      <c r="G136" s="85"/>
      <c r="H136" s="85" t="s">
        <v>1490</v>
      </c>
      <c r="I136" s="142">
        <f t="shared" si="8"/>
        <v>27</v>
      </c>
      <c r="J136" s="147" t="s">
        <v>1777</v>
      </c>
      <c r="K136" s="142">
        <f t="shared" si="9"/>
        <v>1</v>
      </c>
      <c r="L136" s="143">
        <f t="shared" si="10"/>
        <v>0.9642857142857143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 t="s">
        <v>2286</v>
      </c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" thickBot="1" x14ac:dyDescent="0.35">
      <c r="A137" s="73" t="s">
        <v>52</v>
      </c>
      <c r="B137" s="85" t="s">
        <v>1521</v>
      </c>
      <c r="C137" s="85" t="s">
        <v>1061</v>
      </c>
      <c r="D137" s="73" t="s">
        <v>1522</v>
      </c>
      <c r="E137" s="85" t="s">
        <v>19</v>
      </c>
      <c r="F137" s="85" t="s">
        <v>1300</v>
      </c>
      <c r="G137" s="85"/>
      <c r="H137" s="85" t="s">
        <v>1523</v>
      </c>
      <c r="I137" s="142">
        <f t="shared" si="8"/>
        <v>28</v>
      </c>
      <c r="J137" s="147" t="s">
        <v>1778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" thickBot="1" x14ac:dyDescent="0.35">
      <c r="A138" t="s">
        <v>52</v>
      </c>
      <c r="B138" s="30" t="s">
        <v>1524</v>
      </c>
      <c r="C138" s="30" t="s">
        <v>1061</v>
      </c>
      <c r="D138" t="s">
        <v>1525</v>
      </c>
      <c r="E138" s="85" t="s">
        <v>19</v>
      </c>
      <c r="F138" s="85" t="s">
        <v>28</v>
      </c>
      <c r="G138" s="85"/>
      <c r="H138" s="85" t="s">
        <v>1526</v>
      </c>
      <c r="I138" s="142">
        <f t="shared" si="8"/>
        <v>27</v>
      </c>
      <c r="J138" s="147" t="s">
        <v>1779</v>
      </c>
      <c r="K138" s="142">
        <f t="shared" si="9"/>
        <v>1</v>
      </c>
      <c r="L138" s="143">
        <f t="shared" si="10"/>
        <v>0.9642857142857143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 t="s">
        <v>2286</v>
      </c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" thickBot="1" x14ac:dyDescent="0.35">
      <c r="A139" t="s">
        <v>52</v>
      </c>
      <c r="B139" s="30" t="s">
        <v>1650</v>
      </c>
      <c r="C139" s="30" t="s">
        <v>1061</v>
      </c>
      <c r="D139" t="s">
        <v>1651</v>
      </c>
      <c r="E139" s="85" t="s">
        <v>19</v>
      </c>
      <c r="F139" s="85" t="s">
        <v>28</v>
      </c>
      <c r="G139" s="85"/>
      <c r="H139" s="85" t="s">
        <v>2123</v>
      </c>
      <c r="I139" s="142">
        <f t="shared" si="8"/>
        <v>28</v>
      </c>
      <c r="J139" s="87" t="s">
        <v>2191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" thickBot="1" x14ac:dyDescent="0.35">
      <c r="A140" s="73" t="s">
        <v>52</v>
      </c>
      <c r="B140" s="85" t="s">
        <v>1564</v>
      </c>
      <c r="C140" s="85" t="s">
        <v>1061</v>
      </c>
      <c r="D140" s="73" t="s">
        <v>1566</v>
      </c>
      <c r="E140" s="85" t="s">
        <v>19</v>
      </c>
      <c r="F140" s="85" t="s">
        <v>1300</v>
      </c>
      <c r="G140" s="85"/>
      <c r="H140" s="85" t="s">
        <v>1568</v>
      </c>
      <c r="I140" s="142">
        <f t="shared" si="8"/>
        <v>27</v>
      </c>
      <c r="J140" s="147" t="s">
        <v>1780</v>
      </c>
      <c r="K140" s="142">
        <f t="shared" si="9"/>
        <v>1</v>
      </c>
      <c r="L140" s="143">
        <f t="shared" si="10"/>
        <v>0.9642857142857143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 t="s">
        <v>2286</v>
      </c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" thickBot="1" x14ac:dyDescent="0.35">
      <c r="A141" s="73" t="s">
        <v>52</v>
      </c>
      <c r="B141" s="85" t="s">
        <v>1565</v>
      </c>
      <c r="C141" s="85" t="s">
        <v>1061</v>
      </c>
      <c r="D141" s="73" t="s">
        <v>1567</v>
      </c>
      <c r="E141" s="85" t="s">
        <v>19</v>
      </c>
      <c r="F141" s="85" t="s">
        <v>1300</v>
      </c>
      <c r="G141" s="85"/>
      <c r="H141" s="85" t="s">
        <v>1569</v>
      </c>
      <c r="I141" s="142">
        <f t="shared" si="8"/>
        <v>28</v>
      </c>
      <c r="J141" s="147" t="s">
        <v>1781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" thickBot="1" x14ac:dyDescent="0.35">
      <c r="A142" s="73" t="s">
        <v>52</v>
      </c>
      <c r="B142" s="85" t="s">
        <v>2130</v>
      </c>
      <c r="C142" s="85" t="s">
        <v>1061</v>
      </c>
      <c r="D142" s="73" t="s">
        <v>2131</v>
      </c>
      <c r="E142" s="85" t="s">
        <v>19</v>
      </c>
      <c r="F142" s="85" t="s">
        <v>1300</v>
      </c>
      <c r="G142" s="85"/>
      <c r="H142" s="85" t="s">
        <v>2192</v>
      </c>
      <c r="I142" s="142">
        <f t="shared" si="8"/>
        <v>28</v>
      </c>
      <c r="J142" s="147" t="s">
        <v>2193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" thickBot="1" x14ac:dyDescent="0.35">
      <c r="A143" s="73" t="s">
        <v>52</v>
      </c>
      <c r="B143" s="85" t="s">
        <v>2220</v>
      </c>
      <c r="C143" s="85" t="s">
        <v>1061</v>
      </c>
      <c r="D143" s="73" t="s">
        <v>2221</v>
      </c>
      <c r="E143" s="85" t="s">
        <v>19</v>
      </c>
      <c r="F143" s="85" t="s">
        <v>1300</v>
      </c>
      <c r="G143" s="85"/>
      <c r="H143" s="85" t="s">
        <v>2222</v>
      </c>
      <c r="I143" s="142">
        <f t="shared" si="8"/>
        <v>27</v>
      </c>
      <c r="J143" s="147" t="s">
        <v>2223</v>
      </c>
      <c r="K143" s="142">
        <f t="shared" si="9"/>
        <v>1</v>
      </c>
      <c r="L143" s="143">
        <f t="shared" si="10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 t="s">
        <v>2286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" thickBot="1" x14ac:dyDescent="0.35">
      <c r="A144" s="73" t="s">
        <v>52</v>
      </c>
      <c r="B144" s="85" t="s">
        <v>2258</v>
      </c>
      <c r="C144" s="85" t="s">
        <v>1061</v>
      </c>
      <c r="D144" s="73" t="s">
        <v>2259</v>
      </c>
      <c r="E144" s="85" t="s">
        <v>19</v>
      </c>
      <c r="F144" s="30" t="s">
        <v>28</v>
      </c>
      <c r="G144" s="85"/>
      <c r="H144" s="85" t="s">
        <v>2260</v>
      </c>
      <c r="I144" s="142">
        <f t="shared" si="8"/>
        <v>28</v>
      </c>
      <c r="J144" s="147" t="s">
        <v>2261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" thickBot="1" x14ac:dyDescent="0.35">
      <c r="A145" t="s">
        <v>165</v>
      </c>
      <c r="B145" t="s">
        <v>166</v>
      </c>
      <c r="C145" t="s">
        <v>1061</v>
      </c>
      <c r="D145" t="s">
        <v>167</v>
      </c>
      <c r="E145" s="30" t="s">
        <v>19</v>
      </c>
      <c r="F145" s="30" t="s">
        <v>1055</v>
      </c>
      <c r="G145" s="30"/>
      <c r="H145" s="30" t="s">
        <v>1407</v>
      </c>
      <c r="I145" s="31">
        <f t="shared" si="8"/>
        <v>22</v>
      </c>
      <c r="J145" s="147" t="s">
        <v>1782</v>
      </c>
      <c r="K145" s="31">
        <f t="shared" si="9"/>
        <v>6</v>
      </c>
      <c r="L145" s="32">
        <f t="shared" si="10"/>
        <v>0.7857142857142857</v>
      </c>
      <c r="M145" s="70" t="s">
        <v>2286</v>
      </c>
      <c r="N145" s="70" t="s">
        <v>2286</v>
      </c>
      <c r="O145" s="70" t="s">
        <v>2286</v>
      </c>
      <c r="P145" s="70" t="s">
        <v>2286</v>
      </c>
      <c r="Q145" s="70" t="s">
        <v>2286</v>
      </c>
      <c r="R145" s="70" t="s">
        <v>2286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" thickBot="1" x14ac:dyDescent="0.35">
      <c r="A146" t="s">
        <v>168</v>
      </c>
      <c r="B146" t="s">
        <v>169</v>
      </c>
      <c r="C146" t="s">
        <v>1061</v>
      </c>
      <c r="D146" t="s">
        <v>170</v>
      </c>
      <c r="E146" s="30" t="s">
        <v>19</v>
      </c>
      <c r="F146" s="30" t="s">
        <v>1055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" thickBot="1" x14ac:dyDescent="0.35">
      <c r="A147" t="s">
        <v>168</v>
      </c>
      <c r="B147" t="s">
        <v>171</v>
      </c>
      <c r="C147" t="s">
        <v>1061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27</v>
      </c>
      <c r="J147" s="147" t="s">
        <v>1783</v>
      </c>
      <c r="K147" s="31">
        <f t="shared" si="9"/>
        <v>1</v>
      </c>
      <c r="L147" s="32">
        <f t="shared" si="10"/>
        <v>0.9642857142857143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 t="s">
        <v>2286</v>
      </c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" thickBot="1" x14ac:dyDescent="0.35">
      <c r="A148" t="s">
        <v>168</v>
      </c>
      <c r="B148" t="s">
        <v>173</v>
      </c>
      <c r="C148" t="s">
        <v>1061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1784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" thickBot="1" x14ac:dyDescent="0.35">
      <c r="A149" t="s">
        <v>175</v>
      </c>
      <c r="B149" t="s">
        <v>176</v>
      </c>
      <c r="C149" t="s">
        <v>1062</v>
      </c>
      <c r="D149" t="s">
        <v>177</v>
      </c>
      <c r="E149" s="30" t="s">
        <v>19</v>
      </c>
      <c r="F149" s="30" t="s">
        <v>28</v>
      </c>
      <c r="G149" s="30"/>
      <c r="H149" s="30" t="s">
        <v>2209</v>
      </c>
      <c r="I149" s="31">
        <f t="shared" si="8"/>
        <v>28</v>
      </c>
      <c r="J149" s="147" t="s">
        <v>1785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" thickBot="1" x14ac:dyDescent="0.35">
      <c r="A150" t="s">
        <v>178</v>
      </c>
      <c r="B150" t="s">
        <v>179</v>
      </c>
      <c r="C150" t="s">
        <v>1062</v>
      </c>
      <c r="D150" t="s">
        <v>180</v>
      </c>
      <c r="E150" s="30" t="s">
        <v>19</v>
      </c>
      <c r="F150" s="30" t="s">
        <v>1055</v>
      </c>
      <c r="G150" s="30"/>
      <c r="H150" s="30" t="s">
        <v>1308</v>
      </c>
      <c r="I150" s="31">
        <f t="shared" si="8"/>
        <v>25</v>
      </c>
      <c r="J150" s="147" t="s">
        <v>1786</v>
      </c>
      <c r="K150" s="31">
        <f t="shared" si="9"/>
        <v>3</v>
      </c>
      <c r="L150" s="32">
        <f t="shared" si="10"/>
        <v>0.8928571428571429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 t="s">
        <v>2286</v>
      </c>
      <c r="AC150" s="70"/>
      <c r="AD150" s="70"/>
      <c r="AE150" s="70" t="s">
        <v>2286</v>
      </c>
      <c r="AF150" s="70" t="s">
        <v>2286</v>
      </c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" thickBot="1" x14ac:dyDescent="0.35">
      <c r="A151" t="s">
        <v>178</v>
      </c>
      <c r="B151" t="s">
        <v>936</v>
      </c>
      <c r="C151" t="s">
        <v>1062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25</v>
      </c>
      <c r="J151" s="87"/>
      <c r="K151" s="31">
        <f t="shared" si="9"/>
        <v>3</v>
      </c>
      <c r="L151" s="32">
        <f t="shared" si="10"/>
        <v>0.8928571428571429</v>
      </c>
      <c r="M151" s="70"/>
      <c r="N151" s="70"/>
      <c r="O151" s="70"/>
      <c r="P151" s="70"/>
      <c r="Q151" s="70" t="s">
        <v>2286</v>
      </c>
      <c r="R151" s="70" t="s">
        <v>2286</v>
      </c>
      <c r="S151" s="70"/>
      <c r="T151" s="70"/>
      <c r="U151" s="70"/>
      <c r="V151" s="70"/>
      <c r="W151" s="70"/>
      <c r="X151" s="70"/>
      <c r="Y151" s="70"/>
      <c r="Z151" s="70"/>
      <c r="AA151" s="70" t="s">
        <v>2286</v>
      </c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" thickBot="1" x14ac:dyDescent="0.35">
      <c r="A152" s="69" t="s">
        <v>178</v>
      </c>
      <c r="B152" t="s">
        <v>1226</v>
      </c>
      <c r="C152" t="s">
        <v>1062</v>
      </c>
      <c r="D152" t="s">
        <v>1227</v>
      </c>
      <c r="E152" t="s">
        <v>19</v>
      </c>
      <c r="F152" t="s">
        <v>28</v>
      </c>
      <c r="G152"/>
      <c r="H152" s="30" t="s">
        <v>1237</v>
      </c>
      <c r="I152" s="31">
        <f t="shared" si="8"/>
        <v>28</v>
      </c>
      <c r="J152" s="147" t="s">
        <v>1787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" thickBot="1" x14ac:dyDescent="0.35">
      <c r="A153" s="73" t="s">
        <v>184</v>
      </c>
      <c r="B153" s="73" t="s">
        <v>182</v>
      </c>
      <c r="C153" s="91" t="s">
        <v>1061</v>
      </c>
      <c r="D153" s="73" t="s">
        <v>183</v>
      </c>
      <c r="E153" s="92" t="s">
        <v>19</v>
      </c>
      <c r="F153" s="85" t="s">
        <v>1300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" thickBot="1" x14ac:dyDescent="0.35">
      <c r="A154" t="s">
        <v>184</v>
      </c>
      <c r="B154" t="s">
        <v>937</v>
      </c>
      <c r="C154" t="s">
        <v>1061</v>
      </c>
      <c r="D154" t="s">
        <v>185</v>
      </c>
      <c r="E154" s="30" t="s">
        <v>73</v>
      </c>
      <c r="F154" s="30" t="s">
        <v>1055</v>
      </c>
      <c r="G154" s="30" t="s">
        <v>1248</v>
      </c>
      <c r="H154" s="30" t="s">
        <v>687</v>
      </c>
      <c r="I154" s="31">
        <f t="shared" si="8"/>
        <v>28</v>
      </c>
      <c r="J154" s="147" t="s">
        <v>1788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" thickBot="1" x14ac:dyDescent="0.35">
      <c r="A155" t="s">
        <v>184</v>
      </c>
      <c r="B155" t="s">
        <v>938</v>
      </c>
      <c r="C155" t="s">
        <v>1061</v>
      </c>
      <c r="D155" t="s">
        <v>185</v>
      </c>
      <c r="E155" s="30" t="s">
        <v>73</v>
      </c>
      <c r="F155" s="30" t="s">
        <v>1055</v>
      </c>
      <c r="G155" s="30" t="s">
        <v>1248</v>
      </c>
      <c r="H155" s="30" t="s">
        <v>688</v>
      </c>
      <c r="I155" s="31">
        <f t="shared" si="8"/>
        <v>28</v>
      </c>
      <c r="J155" s="147" t="s">
        <v>1789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" thickBot="1" x14ac:dyDescent="0.35">
      <c r="A156" s="73" t="s">
        <v>184</v>
      </c>
      <c r="B156" s="73" t="s">
        <v>939</v>
      </c>
      <c r="C156" s="91" t="s">
        <v>1061</v>
      </c>
      <c r="D156" s="73" t="s">
        <v>940</v>
      </c>
      <c r="E156" s="92" t="s">
        <v>73</v>
      </c>
      <c r="F156" s="85" t="s">
        <v>1300</v>
      </c>
      <c r="G156" s="85" t="s">
        <v>1248</v>
      </c>
      <c r="H156" s="85" t="s">
        <v>1214</v>
      </c>
      <c r="I156" s="31">
        <f t="shared" si="8"/>
        <v>11</v>
      </c>
      <c r="J156" s="87"/>
      <c r="K156" s="31">
        <f t="shared" si="9"/>
        <v>17</v>
      </c>
      <c r="L156" s="32">
        <f t="shared" si="10"/>
        <v>0.39285714285714285</v>
      </c>
      <c r="M156" s="70" t="s">
        <v>2286</v>
      </c>
      <c r="N156" s="70" t="s">
        <v>2286</v>
      </c>
      <c r="O156" s="70" t="s">
        <v>2286</v>
      </c>
      <c r="P156" s="70"/>
      <c r="Q156" s="70" t="s">
        <v>2286</v>
      </c>
      <c r="R156" s="70" t="s">
        <v>2286</v>
      </c>
      <c r="S156" s="70" t="s">
        <v>2286</v>
      </c>
      <c r="T156" s="70" t="s">
        <v>2286</v>
      </c>
      <c r="U156" s="70" t="s">
        <v>2286</v>
      </c>
      <c r="V156" s="70" t="s">
        <v>2286</v>
      </c>
      <c r="W156" s="70"/>
      <c r="X156" s="70" t="s">
        <v>2286</v>
      </c>
      <c r="Y156" s="70" t="s">
        <v>2286</v>
      </c>
      <c r="Z156" s="70" t="s">
        <v>2286</v>
      </c>
      <c r="AA156" s="70" t="s">
        <v>2286</v>
      </c>
      <c r="AB156" s="70" t="s">
        <v>2286</v>
      </c>
      <c r="AC156" s="70" t="s">
        <v>2286</v>
      </c>
      <c r="AD156" s="70" t="s">
        <v>2286</v>
      </c>
      <c r="AE156" s="93" t="s">
        <v>2286</v>
      </c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2" customHeight="1" thickBot="1" x14ac:dyDescent="0.35">
      <c r="A157" s="73" t="s">
        <v>184</v>
      </c>
      <c r="B157" s="73" t="s">
        <v>941</v>
      </c>
      <c r="C157" s="91" t="s">
        <v>1061</v>
      </c>
      <c r="D157" s="73" t="s">
        <v>940</v>
      </c>
      <c r="E157" s="92" t="s">
        <v>73</v>
      </c>
      <c r="F157" s="85" t="s">
        <v>1300</v>
      </c>
      <c r="G157" s="85" t="s">
        <v>1248</v>
      </c>
      <c r="H157" s="85" t="s">
        <v>1215</v>
      </c>
      <c r="I157" s="31">
        <f t="shared" si="8"/>
        <v>11</v>
      </c>
      <c r="J157" s="87"/>
      <c r="K157" s="31">
        <f t="shared" si="9"/>
        <v>17</v>
      </c>
      <c r="L157" s="32">
        <f t="shared" si="10"/>
        <v>0.39285714285714285</v>
      </c>
      <c r="M157" s="70" t="s">
        <v>2286</v>
      </c>
      <c r="N157" s="70" t="s">
        <v>2286</v>
      </c>
      <c r="O157" s="70" t="s">
        <v>2286</v>
      </c>
      <c r="P157" s="70"/>
      <c r="Q157" s="70" t="s">
        <v>2286</v>
      </c>
      <c r="R157" s="70" t="s">
        <v>2286</v>
      </c>
      <c r="S157" s="70" t="s">
        <v>2286</v>
      </c>
      <c r="T157" s="70" t="s">
        <v>2286</v>
      </c>
      <c r="U157" s="70" t="s">
        <v>2286</v>
      </c>
      <c r="V157" s="70" t="s">
        <v>2286</v>
      </c>
      <c r="W157" s="70"/>
      <c r="X157" s="70" t="s">
        <v>2286</v>
      </c>
      <c r="Y157" s="70" t="s">
        <v>2286</v>
      </c>
      <c r="Z157" s="70" t="s">
        <v>2286</v>
      </c>
      <c r="AA157" s="70" t="s">
        <v>2286</v>
      </c>
      <c r="AB157" s="70" t="s">
        <v>2286</v>
      </c>
      <c r="AC157" s="70" t="s">
        <v>2286</v>
      </c>
      <c r="AD157" s="70" t="s">
        <v>2286</v>
      </c>
      <c r="AE157" s="93" t="s">
        <v>2286</v>
      </c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" thickBot="1" x14ac:dyDescent="0.35">
      <c r="A158" t="s">
        <v>184</v>
      </c>
      <c r="B158" t="s">
        <v>1133</v>
      </c>
      <c r="C158" t="s">
        <v>1061</v>
      </c>
      <c r="D158" t="s">
        <v>1128</v>
      </c>
      <c r="E158" s="30" t="s">
        <v>73</v>
      </c>
      <c r="F158" s="30" t="s">
        <v>1055</v>
      </c>
      <c r="G158" s="30" t="s">
        <v>1248</v>
      </c>
      <c r="H158" s="30" t="s">
        <v>1141</v>
      </c>
      <c r="I158" s="31">
        <f t="shared" si="8"/>
        <v>28</v>
      </c>
      <c r="J158" s="147" t="s">
        <v>1790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" thickBot="1" x14ac:dyDescent="0.35">
      <c r="A159" t="s">
        <v>184</v>
      </c>
      <c r="B159" t="s">
        <v>1134</v>
      </c>
      <c r="C159" t="s">
        <v>1061</v>
      </c>
      <c r="D159" t="s">
        <v>1128</v>
      </c>
      <c r="E159" s="30" t="s">
        <v>73</v>
      </c>
      <c r="F159" s="30" t="s">
        <v>1055</v>
      </c>
      <c r="G159" s="30" t="s">
        <v>1248</v>
      </c>
      <c r="H159" s="30" t="s">
        <v>1142</v>
      </c>
      <c r="I159" s="31">
        <f t="shared" si="8"/>
        <v>28</v>
      </c>
      <c r="J159" s="147" t="s">
        <v>1791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" thickBot="1" x14ac:dyDescent="0.35">
      <c r="A160" s="73" t="s">
        <v>184</v>
      </c>
      <c r="B160" s="73" t="s">
        <v>1555</v>
      </c>
      <c r="C160" s="73" t="s">
        <v>1061</v>
      </c>
      <c r="D160" s="73" t="s">
        <v>1556</v>
      </c>
      <c r="E160" s="85" t="s">
        <v>46</v>
      </c>
      <c r="F160" s="85" t="s">
        <v>1300</v>
      </c>
      <c r="G160" s="85"/>
      <c r="H160" s="85" t="s">
        <v>1557</v>
      </c>
      <c r="I160" s="31">
        <f t="shared" si="8"/>
        <v>28</v>
      </c>
      <c r="J160" s="147" t="s">
        <v>1792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" thickBot="1" x14ac:dyDescent="0.35">
      <c r="A161" s="73" t="s">
        <v>184</v>
      </c>
      <c r="B161" s="73" t="s">
        <v>2124</v>
      </c>
      <c r="C161" s="73" t="s">
        <v>1061</v>
      </c>
      <c r="D161" s="73" t="s">
        <v>2125</v>
      </c>
      <c r="E161" s="85" t="s">
        <v>46</v>
      </c>
      <c r="F161" s="85" t="s">
        <v>1300</v>
      </c>
      <c r="G161" s="85"/>
      <c r="H161" s="85" t="s">
        <v>2128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" thickBot="1" x14ac:dyDescent="0.35">
      <c r="A162" s="73" t="s">
        <v>1328</v>
      </c>
      <c r="B162" s="73" t="s">
        <v>1316</v>
      </c>
      <c r="C162" s="73" t="s">
        <v>1062</v>
      </c>
      <c r="D162" s="73" t="s">
        <v>1317</v>
      </c>
      <c r="E162" s="85" t="s">
        <v>19</v>
      </c>
      <c r="F162" s="85" t="s">
        <v>1300</v>
      </c>
      <c r="G162" s="85"/>
      <c r="H162" s="85" t="s">
        <v>2210</v>
      </c>
      <c r="I162" s="142">
        <f t="shared" si="8"/>
        <v>27</v>
      </c>
      <c r="J162" s="147" t="s">
        <v>1793</v>
      </c>
      <c r="K162" s="142">
        <f t="shared" si="9"/>
        <v>1</v>
      </c>
      <c r="L162" s="143">
        <f t="shared" si="10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 t="s">
        <v>2286</v>
      </c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" thickBot="1" x14ac:dyDescent="0.35">
      <c r="A163" s="73" t="s">
        <v>1328</v>
      </c>
      <c r="B163" s="73" t="s">
        <v>1332</v>
      </c>
      <c r="C163" s="73" t="s">
        <v>1062</v>
      </c>
      <c r="D163" s="73" t="s">
        <v>1333</v>
      </c>
      <c r="E163" s="85" t="s">
        <v>15</v>
      </c>
      <c r="F163" s="85" t="s">
        <v>1300</v>
      </c>
      <c r="G163" s="85"/>
      <c r="H163" s="85" t="s">
        <v>1496</v>
      </c>
      <c r="I163" s="142">
        <f t="shared" ref="I163:I239" si="11">COUNTIF(M163:AN163,"")</f>
        <v>27</v>
      </c>
      <c r="J163" s="147" t="s">
        <v>1794</v>
      </c>
      <c r="K163" s="142">
        <f t="shared" ref="K163:K239" si="12">COUNTIF(M163:AN163,"APAGADO")</f>
        <v>1</v>
      </c>
      <c r="L163" s="143">
        <f t="shared" ref="L163:L239" si="13">(I163)/(K163+I163)</f>
        <v>0.9642857142857143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 t="s">
        <v>2286</v>
      </c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" thickBot="1" x14ac:dyDescent="0.35">
      <c r="A164" t="s">
        <v>186</v>
      </c>
      <c r="B164" t="s">
        <v>942</v>
      </c>
      <c r="C164" t="s">
        <v>1062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22</v>
      </c>
      <c r="J164" s="147" t="s">
        <v>1795</v>
      </c>
      <c r="K164" s="31">
        <f t="shared" si="12"/>
        <v>6</v>
      </c>
      <c r="L164" s="32">
        <f t="shared" si="13"/>
        <v>0.7857142857142857</v>
      </c>
      <c r="M164" s="70" t="s">
        <v>2286</v>
      </c>
      <c r="N164" s="70" t="s">
        <v>2286</v>
      </c>
      <c r="O164" s="70" t="s">
        <v>2286</v>
      </c>
      <c r="P164" s="70" t="s">
        <v>2286</v>
      </c>
      <c r="Q164" s="70" t="s">
        <v>2286</v>
      </c>
      <c r="R164" s="70" t="s">
        <v>2286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" thickBot="1" x14ac:dyDescent="0.35">
      <c r="A165" t="s">
        <v>186</v>
      </c>
      <c r="B165" t="s">
        <v>943</v>
      </c>
      <c r="C165" t="s">
        <v>1062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24</v>
      </c>
      <c r="J165" s="147" t="s">
        <v>1796</v>
      </c>
      <c r="K165" s="31">
        <f t="shared" si="12"/>
        <v>4</v>
      </c>
      <c r="L165" s="32">
        <f t="shared" si="13"/>
        <v>0.8571428571428571</v>
      </c>
      <c r="M165" s="70"/>
      <c r="N165" s="70"/>
      <c r="O165" s="70" t="s">
        <v>2286</v>
      </c>
      <c r="P165" s="70" t="s">
        <v>2286</v>
      </c>
      <c r="Q165" s="70" t="s">
        <v>2286</v>
      </c>
      <c r="R165" s="70" t="s">
        <v>2286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" thickBot="1" x14ac:dyDescent="0.35">
      <c r="A166" t="s">
        <v>186</v>
      </c>
      <c r="B166" t="s">
        <v>944</v>
      </c>
      <c r="C166" t="s">
        <v>1062</v>
      </c>
      <c r="D166" t="s">
        <v>189</v>
      </c>
      <c r="E166" s="30" t="s">
        <v>19</v>
      </c>
      <c r="F166" s="30" t="s">
        <v>28</v>
      </c>
      <c r="G166" s="30"/>
      <c r="H166" s="30" t="s">
        <v>1309</v>
      </c>
      <c r="I166" s="31">
        <f t="shared" si="11"/>
        <v>27</v>
      </c>
      <c r="J166" s="147" t="s">
        <v>1797</v>
      </c>
      <c r="K166" s="31">
        <f t="shared" si="12"/>
        <v>1</v>
      </c>
      <c r="L166" s="32">
        <f t="shared" si="13"/>
        <v>0.9642857142857143</v>
      </c>
      <c r="M166" s="70"/>
      <c r="N166" s="70"/>
      <c r="O166" s="70"/>
      <c r="P166" s="70"/>
      <c r="Q166" s="70"/>
      <c r="R166" s="70" t="s">
        <v>2286</v>
      </c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" thickBot="1" x14ac:dyDescent="0.35">
      <c r="A167" t="s">
        <v>186</v>
      </c>
      <c r="B167" t="s">
        <v>945</v>
      </c>
      <c r="C167" t="s">
        <v>1062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24</v>
      </c>
      <c r="J167" s="147" t="s">
        <v>1798</v>
      </c>
      <c r="K167" s="31">
        <f t="shared" si="12"/>
        <v>4</v>
      </c>
      <c r="L167" s="32">
        <f t="shared" si="13"/>
        <v>0.8571428571428571</v>
      </c>
      <c r="M167" s="70" t="s">
        <v>2286</v>
      </c>
      <c r="N167" s="70" t="s">
        <v>2286</v>
      </c>
      <c r="O167" s="70"/>
      <c r="P167" s="70"/>
      <c r="Q167" s="70" t="s">
        <v>2286</v>
      </c>
      <c r="R167" s="70" t="s">
        <v>2286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" thickBot="1" x14ac:dyDescent="0.35">
      <c r="A168" t="s">
        <v>186</v>
      </c>
      <c r="B168" t="s">
        <v>1547</v>
      </c>
      <c r="C168" t="s">
        <v>1062</v>
      </c>
      <c r="D168" t="s">
        <v>977</v>
      </c>
      <c r="E168" s="30" t="s">
        <v>46</v>
      </c>
      <c r="F168" s="30" t="s">
        <v>28</v>
      </c>
      <c r="G168" s="30"/>
      <c r="H168" s="30" t="s">
        <v>1550</v>
      </c>
      <c r="I168" s="31">
        <f t="shared" si="11"/>
        <v>11</v>
      </c>
      <c r="J168" s="147" t="s">
        <v>1799</v>
      </c>
      <c r="K168" s="31">
        <f t="shared" si="12"/>
        <v>17</v>
      </c>
      <c r="L168" s="32">
        <f t="shared" si="13"/>
        <v>0.39285714285714285</v>
      </c>
      <c r="M168" s="70" t="s">
        <v>2286</v>
      </c>
      <c r="N168" s="70" t="s">
        <v>2286</v>
      </c>
      <c r="O168" s="70"/>
      <c r="P168" s="70"/>
      <c r="Q168" s="70" t="s">
        <v>2286</v>
      </c>
      <c r="R168" s="70" t="s">
        <v>2286</v>
      </c>
      <c r="S168" s="70" t="s">
        <v>2286</v>
      </c>
      <c r="T168" s="70" t="s">
        <v>2286</v>
      </c>
      <c r="U168" s="70" t="s">
        <v>2286</v>
      </c>
      <c r="V168" s="70" t="s">
        <v>2286</v>
      </c>
      <c r="W168" s="70"/>
      <c r="X168" s="70" t="s">
        <v>2286</v>
      </c>
      <c r="Y168" s="70" t="s">
        <v>2286</v>
      </c>
      <c r="Z168" s="70" t="s">
        <v>2286</v>
      </c>
      <c r="AA168" s="70" t="s">
        <v>2286</v>
      </c>
      <c r="AB168" s="70" t="s">
        <v>2286</v>
      </c>
      <c r="AC168" s="70" t="s">
        <v>2286</v>
      </c>
      <c r="AD168" s="70" t="s">
        <v>2286</v>
      </c>
      <c r="AE168" s="70" t="s">
        <v>2286</v>
      </c>
      <c r="AF168" s="70" t="s">
        <v>2286</v>
      </c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" thickBot="1" x14ac:dyDescent="0.35">
      <c r="A169" t="s">
        <v>186</v>
      </c>
      <c r="B169" t="s">
        <v>1548</v>
      </c>
      <c r="C169" t="s">
        <v>1062</v>
      </c>
      <c r="D169" t="s">
        <v>1549</v>
      </c>
      <c r="E169" s="30" t="s">
        <v>15</v>
      </c>
      <c r="F169" s="30" t="s">
        <v>28</v>
      </c>
      <c r="G169" s="30"/>
      <c r="H169" s="30" t="s">
        <v>1551</v>
      </c>
      <c r="I169" s="31">
        <f t="shared" si="11"/>
        <v>9</v>
      </c>
      <c r="J169" s="147" t="s">
        <v>1800</v>
      </c>
      <c r="K169" s="31">
        <f t="shared" si="12"/>
        <v>19</v>
      </c>
      <c r="L169" s="32">
        <f t="shared" si="13"/>
        <v>0.32142857142857145</v>
      </c>
      <c r="M169" s="70" t="s">
        <v>2286</v>
      </c>
      <c r="N169" s="70" t="s">
        <v>2286</v>
      </c>
      <c r="O169" s="70" t="s">
        <v>2286</v>
      </c>
      <c r="P169" s="70" t="s">
        <v>2286</v>
      </c>
      <c r="Q169" s="70" t="s">
        <v>2286</v>
      </c>
      <c r="R169" s="70" t="s">
        <v>2286</v>
      </c>
      <c r="S169" s="70" t="s">
        <v>2286</v>
      </c>
      <c r="T169" s="70" t="s">
        <v>2286</v>
      </c>
      <c r="U169" s="70" t="s">
        <v>2286</v>
      </c>
      <c r="V169" s="70" t="s">
        <v>2286</v>
      </c>
      <c r="W169" s="70"/>
      <c r="X169" s="70" t="s">
        <v>2286</v>
      </c>
      <c r="Y169" s="70" t="s">
        <v>2286</v>
      </c>
      <c r="Z169" s="70" t="s">
        <v>2286</v>
      </c>
      <c r="AA169" s="70" t="s">
        <v>2286</v>
      </c>
      <c r="AB169" s="70" t="s">
        <v>2286</v>
      </c>
      <c r="AC169" s="70" t="s">
        <v>2286</v>
      </c>
      <c r="AD169" s="70" t="s">
        <v>2286</v>
      </c>
      <c r="AE169" s="70" t="s">
        <v>2286</v>
      </c>
      <c r="AF169" s="70" t="s">
        <v>2286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" thickBot="1" x14ac:dyDescent="0.35">
      <c r="A170" t="s">
        <v>191</v>
      </c>
      <c r="B170" t="s">
        <v>194</v>
      </c>
      <c r="C170" t="s">
        <v>1062</v>
      </c>
      <c r="D170" t="s">
        <v>195</v>
      </c>
      <c r="E170" s="30" t="s">
        <v>19</v>
      </c>
      <c r="F170" s="30" t="s">
        <v>1055</v>
      </c>
      <c r="G170" s="30"/>
      <c r="H170" s="30" t="s">
        <v>1443</v>
      </c>
      <c r="I170" s="31">
        <f t="shared" si="11"/>
        <v>27</v>
      </c>
      <c r="J170" s="147" t="s">
        <v>1801</v>
      </c>
      <c r="K170" s="31">
        <f t="shared" si="12"/>
        <v>1</v>
      </c>
      <c r="L170" s="32">
        <f t="shared" si="13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 t="s">
        <v>2286</v>
      </c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" thickBot="1" x14ac:dyDescent="0.35">
      <c r="A171" t="s">
        <v>196</v>
      </c>
      <c r="B171" t="s">
        <v>197</v>
      </c>
      <c r="C171" t="s">
        <v>1062</v>
      </c>
      <c r="D171" t="s">
        <v>198</v>
      </c>
      <c r="E171" s="30" t="s">
        <v>19</v>
      </c>
      <c r="F171" s="30" t="s">
        <v>1055</v>
      </c>
      <c r="G171" s="30" t="s">
        <v>458</v>
      </c>
      <c r="H171" s="30" t="s">
        <v>692</v>
      </c>
      <c r="I171" s="31">
        <f t="shared" si="11"/>
        <v>28</v>
      </c>
      <c r="J171" s="147" t="s">
        <v>1802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" thickBot="1" x14ac:dyDescent="0.35">
      <c r="A172" t="s">
        <v>196</v>
      </c>
      <c r="B172" t="s">
        <v>200</v>
      </c>
      <c r="C172" t="s">
        <v>1062</v>
      </c>
      <c r="D172" t="s">
        <v>201</v>
      </c>
      <c r="E172" s="30" t="s">
        <v>15</v>
      </c>
      <c r="F172" s="30" t="s">
        <v>1055</v>
      </c>
      <c r="G172" s="30" t="s">
        <v>458</v>
      </c>
      <c r="H172" s="30" t="s">
        <v>693</v>
      </c>
      <c r="I172" s="31">
        <f t="shared" si="11"/>
        <v>28</v>
      </c>
      <c r="J172" s="147" t="s">
        <v>1803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" thickBot="1" x14ac:dyDescent="0.35">
      <c r="A173" t="s">
        <v>191</v>
      </c>
      <c r="B173" t="s">
        <v>202</v>
      </c>
      <c r="C173" t="s">
        <v>1062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27</v>
      </c>
      <c r="J173" s="147" t="s">
        <v>1804</v>
      </c>
      <c r="K173" s="31">
        <f t="shared" si="12"/>
        <v>1</v>
      </c>
      <c r="L173" s="32">
        <f t="shared" si="13"/>
        <v>0.9642857142857143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 t="s">
        <v>2286</v>
      </c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" thickBot="1" x14ac:dyDescent="0.35">
      <c r="A174" t="s">
        <v>191</v>
      </c>
      <c r="B174" t="s">
        <v>204</v>
      </c>
      <c r="C174" t="s">
        <v>1062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27</v>
      </c>
      <c r="J174" s="147" t="s">
        <v>1805</v>
      </c>
      <c r="K174" s="31">
        <f t="shared" si="12"/>
        <v>1</v>
      </c>
      <c r="L174" s="32">
        <f t="shared" si="13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 t="s">
        <v>2286</v>
      </c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" thickBot="1" x14ac:dyDescent="0.35">
      <c r="A175" s="73" t="s">
        <v>191</v>
      </c>
      <c r="B175" s="73" t="s">
        <v>206</v>
      </c>
      <c r="C175" s="73" t="s">
        <v>1062</v>
      </c>
      <c r="D175" s="73" t="s">
        <v>207</v>
      </c>
      <c r="E175" s="85" t="s">
        <v>19</v>
      </c>
      <c r="F175" s="85" t="s">
        <v>1300</v>
      </c>
      <c r="G175" s="85"/>
      <c r="H175" s="85" t="s">
        <v>1429</v>
      </c>
      <c r="I175" s="142">
        <f t="shared" si="11"/>
        <v>23</v>
      </c>
      <c r="J175" s="147" t="s">
        <v>1806</v>
      </c>
      <c r="K175" s="142">
        <f t="shared" si="12"/>
        <v>5</v>
      </c>
      <c r="L175" s="143">
        <f t="shared" si="13"/>
        <v>0.8214285714285714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 t="s">
        <v>2286</v>
      </c>
      <c r="AC175" s="70" t="s">
        <v>2286</v>
      </c>
      <c r="AD175" s="70" t="s">
        <v>2286</v>
      </c>
      <c r="AE175" s="70" t="s">
        <v>2286</v>
      </c>
      <c r="AF175" s="70" t="s">
        <v>2286</v>
      </c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" thickBot="1" x14ac:dyDescent="0.35">
      <c r="A176" t="s">
        <v>191</v>
      </c>
      <c r="B176" t="s">
        <v>947</v>
      </c>
      <c r="C176" t="s">
        <v>1062</v>
      </c>
      <c r="D176" t="s">
        <v>192</v>
      </c>
      <c r="E176" s="30" t="s">
        <v>15</v>
      </c>
      <c r="F176" s="30" t="s">
        <v>1055</v>
      </c>
      <c r="G176" s="30" t="s">
        <v>458</v>
      </c>
      <c r="H176" s="30" t="s">
        <v>696</v>
      </c>
      <c r="I176" s="31">
        <f t="shared" si="11"/>
        <v>28</v>
      </c>
      <c r="J176" s="147" t="s">
        <v>1807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" thickBot="1" x14ac:dyDescent="0.35">
      <c r="A177" t="s">
        <v>191</v>
      </c>
      <c r="B177" t="s">
        <v>193</v>
      </c>
      <c r="C177" t="s">
        <v>1062</v>
      </c>
      <c r="D177" t="s">
        <v>946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" thickBot="1" x14ac:dyDescent="0.35">
      <c r="A178" t="s">
        <v>191</v>
      </c>
      <c r="B178" t="s">
        <v>208</v>
      </c>
      <c r="C178" t="s">
        <v>1062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27</v>
      </c>
      <c r="J178" s="147" t="s">
        <v>1808</v>
      </c>
      <c r="K178" s="31">
        <f t="shared" si="12"/>
        <v>1</v>
      </c>
      <c r="L178" s="32">
        <f t="shared" si="13"/>
        <v>0.9642857142857143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 t="s">
        <v>2286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" thickBot="1" x14ac:dyDescent="0.35">
      <c r="A179" t="s">
        <v>191</v>
      </c>
      <c r="B179" t="s">
        <v>210</v>
      </c>
      <c r="C179" t="s">
        <v>1062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27</v>
      </c>
      <c r="J179" s="147" t="s">
        <v>1809</v>
      </c>
      <c r="K179" s="31">
        <f t="shared" si="12"/>
        <v>1</v>
      </c>
      <c r="L179" s="32">
        <f t="shared" si="13"/>
        <v>0.9642857142857143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 t="s">
        <v>2286</v>
      </c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" thickBot="1" x14ac:dyDescent="0.35">
      <c r="A180" t="s">
        <v>191</v>
      </c>
      <c r="B180" t="s">
        <v>211</v>
      </c>
      <c r="C180" t="s">
        <v>1062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22</v>
      </c>
      <c r="J180" s="147" t="s">
        <v>1810</v>
      </c>
      <c r="K180" s="31">
        <f t="shared" si="12"/>
        <v>6</v>
      </c>
      <c r="L180" s="32">
        <f t="shared" si="13"/>
        <v>0.7857142857142857</v>
      </c>
      <c r="M180" s="70" t="s">
        <v>2286</v>
      </c>
      <c r="N180" s="70" t="s">
        <v>2286</v>
      </c>
      <c r="O180" s="70" t="s">
        <v>2286</v>
      </c>
      <c r="P180" s="70" t="s">
        <v>2286</v>
      </c>
      <c r="Q180" s="70" t="s">
        <v>2286</v>
      </c>
      <c r="R180" s="70" t="s">
        <v>2286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" thickBot="1" x14ac:dyDescent="0.35">
      <c r="A181" t="s">
        <v>191</v>
      </c>
      <c r="B181" t="s">
        <v>213</v>
      </c>
      <c r="C181" t="s">
        <v>1062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22</v>
      </c>
      <c r="J181" s="147" t="s">
        <v>1811</v>
      </c>
      <c r="K181" s="31">
        <f t="shared" si="12"/>
        <v>6</v>
      </c>
      <c r="L181" s="32">
        <f t="shared" si="13"/>
        <v>0.7857142857142857</v>
      </c>
      <c r="M181" s="70" t="s">
        <v>2286</v>
      </c>
      <c r="N181" s="70" t="s">
        <v>2286</v>
      </c>
      <c r="O181" s="70" t="s">
        <v>2286</v>
      </c>
      <c r="P181" s="70" t="s">
        <v>2286</v>
      </c>
      <c r="Q181" s="70" t="s">
        <v>2286</v>
      </c>
      <c r="R181" s="70" t="s">
        <v>2286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" thickBot="1" x14ac:dyDescent="0.35">
      <c r="A182" t="s">
        <v>191</v>
      </c>
      <c r="B182" s="30" t="s">
        <v>1169</v>
      </c>
      <c r="C182" s="30" t="s">
        <v>1062</v>
      </c>
      <c r="D182" t="s">
        <v>1152</v>
      </c>
      <c r="E182" s="30" t="s">
        <v>1113</v>
      </c>
      <c r="F182" s="30" t="s">
        <v>28</v>
      </c>
      <c r="G182" s="30"/>
      <c r="H182" s="30" t="s">
        <v>1153</v>
      </c>
      <c r="I182" s="31">
        <f t="shared" si="11"/>
        <v>22</v>
      </c>
      <c r="J182" s="147" t="s">
        <v>1812</v>
      </c>
      <c r="K182" s="31">
        <f t="shared" si="12"/>
        <v>6</v>
      </c>
      <c r="L182" s="32">
        <f t="shared" si="13"/>
        <v>0.7857142857142857</v>
      </c>
      <c r="M182" s="70" t="s">
        <v>2286</v>
      </c>
      <c r="N182" s="70" t="s">
        <v>2286</v>
      </c>
      <c r="O182" s="70" t="s">
        <v>2286</v>
      </c>
      <c r="P182" s="70" t="s">
        <v>2286</v>
      </c>
      <c r="Q182" s="70" t="s">
        <v>2286</v>
      </c>
      <c r="R182" s="70" t="s">
        <v>2286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" thickBot="1" x14ac:dyDescent="0.35">
      <c r="A183" t="s">
        <v>191</v>
      </c>
      <c r="B183" s="30" t="s">
        <v>1168</v>
      </c>
      <c r="C183" s="30" t="s">
        <v>1062</v>
      </c>
      <c r="D183" t="s">
        <v>1152</v>
      </c>
      <c r="E183" s="30" t="s">
        <v>1113</v>
      </c>
      <c r="F183" s="30" t="s">
        <v>28</v>
      </c>
      <c r="G183" s="30"/>
      <c r="H183" s="30" t="s">
        <v>1154</v>
      </c>
      <c r="I183" s="31">
        <f t="shared" si="11"/>
        <v>22</v>
      </c>
      <c r="J183" s="147" t="s">
        <v>1813</v>
      </c>
      <c r="K183" s="31">
        <f t="shared" si="12"/>
        <v>6</v>
      </c>
      <c r="L183" s="32">
        <f t="shared" si="13"/>
        <v>0.7857142857142857</v>
      </c>
      <c r="M183" s="70" t="s">
        <v>2286</v>
      </c>
      <c r="N183" s="70" t="s">
        <v>2286</v>
      </c>
      <c r="O183" s="70" t="s">
        <v>2286</v>
      </c>
      <c r="P183" s="70" t="s">
        <v>2286</v>
      </c>
      <c r="Q183" s="70" t="s">
        <v>2286</v>
      </c>
      <c r="R183" s="70" t="s">
        <v>2286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" thickBot="1" x14ac:dyDescent="0.35">
      <c r="A184" t="s">
        <v>191</v>
      </c>
      <c r="B184" s="30" t="s">
        <v>1171</v>
      </c>
      <c r="C184" s="30" t="s">
        <v>1062</v>
      </c>
      <c r="D184" t="s">
        <v>1149</v>
      </c>
      <c r="E184" s="30" t="s">
        <v>73</v>
      </c>
      <c r="F184" s="30" t="s">
        <v>28</v>
      </c>
      <c r="G184" s="30"/>
      <c r="H184" s="30" t="s">
        <v>1150</v>
      </c>
      <c r="I184" s="31">
        <f t="shared" si="11"/>
        <v>28</v>
      </c>
      <c r="J184" s="147" t="s">
        <v>1814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" thickBot="1" x14ac:dyDescent="0.35">
      <c r="A185" t="s">
        <v>191</v>
      </c>
      <c r="B185" s="30" t="s">
        <v>1172</v>
      </c>
      <c r="C185" s="30" t="s">
        <v>1062</v>
      </c>
      <c r="D185" t="s">
        <v>1149</v>
      </c>
      <c r="E185" s="30" t="s">
        <v>73</v>
      </c>
      <c r="F185" s="30" t="s">
        <v>28</v>
      </c>
      <c r="G185" s="30"/>
      <c r="H185" s="30" t="s">
        <v>1151</v>
      </c>
      <c r="I185" s="31">
        <f t="shared" si="11"/>
        <v>28</v>
      </c>
      <c r="J185" s="147" t="s">
        <v>1815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" thickBot="1" x14ac:dyDescent="0.35">
      <c r="A186" t="s">
        <v>191</v>
      </c>
      <c r="B186" s="30" t="s">
        <v>1513</v>
      </c>
      <c r="C186" s="30" t="s">
        <v>1062</v>
      </c>
      <c r="D186" t="s">
        <v>1514</v>
      </c>
      <c r="E186" s="30" t="s">
        <v>19</v>
      </c>
      <c r="F186" s="30" t="s">
        <v>28</v>
      </c>
      <c r="G186" s="30"/>
      <c r="H186" s="30" t="s">
        <v>1515</v>
      </c>
      <c r="I186" s="31">
        <f t="shared" si="11"/>
        <v>27</v>
      </c>
      <c r="J186" s="87"/>
      <c r="K186" s="31">
        <f t="shared" si="12"/>
        <v>1</v>
      </c>
      <c r="L186" s="32">
        <f t="shared" si="13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 t="s">
        <v>2286</v>
      </c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" thickBot="1" x14ac:dyDescent="0.35">
      <c r="A187" s="73" t="s">
        <v>191</v>
      </c>
      <c r="B187" s="85" t="s">
        <v>1552</v>
      </c>
      <c r="C187" s="85" t="s">
        <v>1062</v>
      </c>
      <c r="D187" s="73" t="s">
        <v>1553</v>
      </c>
      <c r="E187" s="85" t="s">
        <v>19</v>
      </c>
      <c r="F187" s="85" t="s">
        <v>1300</v>
      </c>
      <c r="G187" s="85"/>
      <c r="H187" s="85" t="s">
        <v>1554</v>
      </c>
      <c r="I187" s="31">
        <f t="shared" si="11"/>
        <v>9</v>
      </c>
      <c r="J187" s="147" t="s">
        <v>1816</v>
      </c>
      <c r="K187" s="31">
        <f t="shared" si="12"/>
        <v>19</v>
      </c>
      <c r="L187" s="32">
        <f t="shared" si="13"/>
        <v>0.32142857142857145</v>
      </c>
      <c r="M187" s="70" t="s">
        <v>2286</v>
      </c>
      <c r="N187" s="70" t="s">
        <v>2286</v>
      </c>
      <c r="O187" s="70" t="s">
        <v>2286</v>
      </c>
      <c r="P187" s="70" t="s">
        <v>2286</v>
      </c>
      <c r="Q187" s="70" t="s">
        <v>2286</v>
      </c>
      <c r="R187" s="70" t="s">
        <v>2286</v>
      </c>
      <c r="S187" s="70" t="s">
        <v>2286</v>
      </c>
      <c r="T187" s="70" t="s">
        <v>2286</v>
      </c>
      <c r="U187" s="70" t="s">
        <v>2286</v>
      </c>
      <c r="V187" s="70" t="s">
        <v>2286</v>
      </c>
      <c r="W187" s="70"/>
      <c r="X187" s="70" t="s">
        <v>2286</v>
      </c>
      <c r="Y187" s="70" t="s">
        <v>2286</v>
      </c>
      <c r="Z187" s="70" t="s">
        <v>2286</v>
      </c>
      <c r="AA187" s="70" t="s">
        <v>2286</v>
      </c>
      <c r="AB187" s="70" t="s">
        <v>2286</v>
      </c>
      <c r="AC187" s="70" t="s">
        <v>2286</v>
      </c>
      <c r="AD187" s="70" t="s">
        <v>2286</v>
      </c>
      <c r="AE187" s="70" t="s">
        <v>2286</v>
      </c>
      <c r="AF187" s="70" t="s">
        <v>2286</v>
      </c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" thickBot="1" x14ac:dyDescent="0.35">
      <c r="A188" s="73" t="s">
        <v>191</v>
      </c>
      <c r="B188" s="85" t="s">
        <v>2168</v>
      </c>
      <c r="C188" s="85" t="s">
        <v>1062</v>
      </c>
      <c r="D188" s="73" t="s">
        <v>2169</v>
      </c>
      <c r="E188" s="85" t="s">
        <v>19</v>
      </c>
      <c r="F188" s="85" t="s">
        <v>1300</v>
      </c>
      <c r="G188" s="85"/>
      <c r="H188" s="85" t="s">
        <v>2170</v>
      </c>
      <c r="I188" s="31">
        <f t="shared" si="11"/>
        <v>28</v>
      </c>
      <c r="J188" s="147" t="s">
        <v>2171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" thickBot="1" x14ac:dyDescent="0.35">
      <c r="A189" s="73" t="s">
        <v>191</v>
      </c>
      <c r="B189" s="85" t="s">
        <v>2234</v>
      </c>
      <c r="C189" s="85" t="s">
        <v>1062</v>
      </c>
      <c r="D189" s="73" t="s">
        <v>2235</v>
      </c>
      <c r="E189" s="85" t="s">
        <v>19</v>
      </c>
      <c r="F189" s="85" t="s">
        <v>1300</v>
      </c>
      <c r="G189" s="85"/>
      <c r="H189" s="85" t="s">
        <v>2236</v>
      </c>
      <c r="I189" s="31">
        <f t="shared" si="11"/>
        <v>27</v>
      </c>
      <c r="J189" s="147" t="s">
        <v>2171</v>
      </c>
      <c r="K189" s="31">
        <f t="shared" si="12"/>
        <v>1</v>
      </c>
      <c r="L189" s="32">
        <f t="shared" si="13"/>
        <v>0.9642857142857143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2286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" thickBot="1" x14ac:dyDescent="0.35">
      <c r="B190" s="85" t="s">
        <v>2287</v>
      </c>
      <c r="C190" s="85" t="s">
        <v>1062</v>
      </c>
      <c r="D190" s="73" t="s">
        <v>1534</v>
      </c>
      <c r="E190" s="85" t="s">
        <v>1113</v>
      </c>
      <c r="F190" s="85" t="s">
        <v>1535</v>
      </c>
      <c r="G190" s="85"/>
      <c r="H190" s="85" t="s">
        <v>1536</v>
      </c>
      <c r="I190" s="31">
        <f t="shared" si="11"/>
        <v>22</v>
      </c>
      <c r="J190" s="147" t="s">
        <v>1817</v>
      </c>
      <c r="K190" s="31">
        <f t="shared" si="12"/>
        <v>6</v>
      </c>
      <c r="L190" s="32">
        <f t="shared" si="13"/>
        <v>0.7857142857142857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 t="s">
        <v>2286</v>
      </c>
      <c r="AB190" s="70" t="s">
        <v>2286</v>
      </c>
      <c r="AC190" s="70" t="s">
        <v>2286</v>
      </c>
      <c r="AD190" s="70" t="s">
        <v>2286</v>
      </c>
      <c r="AE190" s="70" t="s">
        <v>2286</v>
      </c>
      <c r="AF190" s="70" t="s">
        <v>2286</v>
      </c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" thickBot="1" x14ac:dyDescent="0.35">
      <c r="A191" t="s">
        <v>214</v>
      </c>
      <c r="B191" t="s">
        <v>948</v>
      </c>
      <c r="C191" t="s">
        <v>1062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1818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" thickBot="1" x14ac:dyDescent="0.35">
      <c r="A192" t="s">
        <v>214</v>
      </c>
      <c r="B192" t="s">
        <v>949</v>
      </c>
      <c r="C192" t="s">
        <v>1062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1819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" thickBot="1" x14ac:dyDescent="0.35">
      <c r="A193" s="137" t="s">
        <v>217</v>
      </c>
      <c r="B193" s="137" t="s">
        <v>950</v>
      </c>
      <c r="C193" s="137" t="s">
        <v>1062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9</v>
      </c>
      <c r="J193" s="87"/>
      <c r="K193" s="138">
        <f t="shared" si="12"/>
        <v>19</v>
      </c>
      <c r="L193" s="139">
        <f t="shared" si="13"/>
        <v>0.32142857142857145</v>
      </c>
      <c r="M193" s="140" t="s">
        <v>2286</v>
      </c>
      <c r="N193" s="140" t="s">
        <v>2286</v>
      </c>
      <c r="O193" s="140" t="s">
        <v>2286</v>
      </c>
      <c r="P193" s="140" t="s">
        <v>2286</v>
      </c>
      <c r="Q193" s="140" t="s">
        <v>2286</v>
      </c>
      <c r="R193" s="140" t="s">
        <v>2286</v>
      </c>
      <c r="S193" s="140" t="s">
        <v>2286</v>
      </c>
      <c r="T193" s="140" t="s">
        <v>2286</v>
      </c>
      <c r="U193" s="140" t="s">
        <v>2286</v>
      </c>
      <c r="V193" s="140" t="s">
        <v>2286</v>
      </c>
      <c r="W193" s="140"/>
      <c r="X193" s="140" t="s">
        <v>2286</v>
      </c>
      <c r="Y193" s="140" t="s">
        <v>2286</v>
      </c>
      <c r="Z193" s="140" t="s">
        <v>2286</v>
      </c>
      <c r="AA193" s="140" t="s">
        <v>2286</v>
      </c>
      <c r="AB193" s="140" t="s">
        <v>2286</v>
      </c>
      <c r="AC193" s="140" t="s">
        <v>2286</v>
      </c>
      <c r="AD193" s="140" t="s">
        <v>2286</v>
      </c>
      <c r="AE193" s="140" t="s">
        <v>2286</v>
      </c>
      <c r="AF193" s="140" t="s">
        <v>2286</v>
      </c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" thickBot="1" x14ac:dyDescent="0.35">
      <c r="A194" s="73" t="s">
        <v>229</v>
      </c>
      <c r="B194" s="73" t="s">
        <v>230</v>
      </c>
      <c r="C194" s="73" t="s">
        <v>1061</v>
      </c>
      <c r="D194" s="73" t="s">
        <v>231</v>
      </c>
      <c r="E194" s="85" t="s">
        <v>15</v>
      </c>
      <c r="F194" s="85" t="s">
        <v>1300</v>
      </c>
      <c r="G194" s="85"/>
      <c r="H194" s="85" t="s">
        <v>1391</v>
      </c>
      <c r="I194" s="142">
        <f t="shared" si="11"/>
        <v>9</v>
      </c>
      <c r="J194" s="147" t="s">
        <v>1820</v>
      </c>
      <c r="K194" s="142">
        <f t="shared" si="12"/>
        <v>19</v>
      </c>
      <c r="L194" s="143">
        <f t="shared" si="13"/>
        <v>0.32142857142857145</v>
      </c>
      <c r="M194" s="70" t="s">
        <v>2286</v>
      </c>
      <c r="N194" s="70" t="s">
        <v>2286</v>
      </c>
      <c r="O194" s="70" t="s">
        <v>2286</v>
      </c>
      <c r="P194" s="70" t="s">
        <v>2286</v>
      </c>
      <c r="Q194" s="70" t="s">
        <v>2286</v>
      </c>
      <c r="R194" s="70" t="s">
        <v>2286</v>
      </c>
      <c r="S194" s="70" t="s">
        <v>2286</v>
      </c>
      <c r="T194" s="70" t="s">
        <v>2286</v>
      </c>
      <c r="U194" s="70" t="s">
        <v>2286</v>
      </c>
      <c r="V194" s="70" t="s">
        <v>2286</v>
      </c>
      <c r="W194" s="70"/>
      <c r="X194" s="70" t="s">
        <v>2286</v>
      </c>
      <c r="Y194" s="70" t="s">
        <v>2286</v>
      </c>
      <c r="Z194" s="70" t="s">
        <v>2286</v>
      </c>
      <c r="AA194" s="70" t="s">
        <v>2286</v>
      </c>
      <c r="AB194" s="70" t="s">
        <v>2286</v>
      </c>
      <c r="AC194" s="70" t="s">
        <v>2286</v>
      </c>
      <c r="AD194" s="70" t="s">
        <v>2286</v>
      </c>
      <c r="AE194" s="70" t="s">
        <v>2286</v>
      </c>
      <c r="AF194" s="70" t="s">
        <v>2286</v>
      </c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" thickBot="1" x14ac:dyDescent="0.35">
      <c r="A195" s="73" t="s">
        <v>168</v>
      </c>
      <c r="B195" s="73" t="s">
        <v>232</v>
      </c>
      <c r="C195" s="73" t="s">
        <v>1061</v>
      </c>
      <c r="D195" s="73" t="s">
        <v>233</v>
      </c>
      <c r="E195" s="85" t="s">
        <v>19</v>
      </c>
      <c r="F195" s="85" t="s">
        <v>1300</v>
      </c>
      <c r="G195" s="85"/>
      <c r="H195" s="85" t="s">
        <v>1426</v>
      </c>
      <c r="I195" s="142">
        <f t="shared" si="11"/>
        <v>17</v>
      </c>
      <c r="J195" s="147" t="s">
        <v>1821</v>
      </c>
      <c r="K195" s="142">
        <f t="shared" si="12"/>
        <v>11</v>
      </c>
      <c r="L195" s="143">
        <f t="shared" si="13"/>
        <v>0.6071428571428571</v>
      </c>
      <c r="M195" s="70" t="s">
        <v>2286</v>
      </c>
      <c r="N195" s="70" t="s">
        <v>2286</v>
      </c>
      <c r="O195" s="70" t="s">
        <v>2286</v>
      </c>
      <c r="P195" s="70" t="s">
        <v>2286</v>
      </c>
      <c r="Q195" s="70" t="s">
        <v>2286</v>
      </c>
      <c r="R195" s="70" t="s">
        <v>2286</v>
      </c>
      <c r="S195" s="70"/>
      <c r="T195" s="70"/>
      <c r="U195" s="70"/>
      <c r="V195" s="70"/>
      <c r="W195" s="70"/>
      <c r="X195" s="70"/>
      <c r="Y195" s="70" t="s">
        <v>2286</v>
      </c>
      <c r="Z195" s="70" t="s">
        <v>2286</v>
      </c>
      <c r="AA195" s="70" t="s">
        <v>2286</v>
      </c>
      <c r="AB195" s="70" t="s">
        <v>2286</v>
      </c>
      <c r="AC195" s="70" t="s">
        <v>2286</v>
      </c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" thickBot="1" x14ac:dyDescent="0.35">
      <c r="A196" t="s">
        <v>219</v>
      </c>
      <c r="B196" t="s">
        <v>234</v>
      </c>
      <c r="C196" t="s">
        <v>1061</v>
      </c>
      <c r="D196" t="s">
        <v>235</v>
      </c>
      <c r="E196" s="30" t="s">
        <v>19</v>
      </c>
      <c r="F196" s="30" t="s">
        <v>1055</v>
      </c>
      <c r="G196" s="30"/>
      <c r="H196" s="30" t="s">
        <v>1408</v>
      </c>
      <c r="I196" s="31">
        <f t="shared" si="11"/>
        <v>28</v>
      </c>
      <c r="J196" s="147" t="s">
        <v>1822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" thickBot="1" x14ac:dyDescent="0.35">
      <c r="A197" t="s">
        <v>219</v>
      </c>
      <c r="B197" t="s">
        <v>236</v>
      </c>
      <c r="C197" t="s">
        <v>1061</v>
      </c>
      <c r="D197" t="s">
        <v>237</v>
      </c>
      <c r="E197" s="30" t="s">
        <v>19</v>
      </c>
      <c r="F197" s="30" t="s">
        <v>1055</v>
      </c>
      <c r="G197" s="30"/>
      <c r="H197" s="30" t="s">
        <v>1434</v>
      </c>
      <c r="I197" s="31">
        <f t="shared" si="11"/>
        <v>27</v>
      </c>
      <c r="J197" s="147" t="s">
        <v>1823</v>
      </c>
      <c r="K197" s="31">
        <f t="shared" si="12"/>
        <v>1</v>
      </c>
      <c r="L197" s="32">
        <f t="shared" si="13"/>
        <v>0.9642857142857143</v>
      </c>
      <c r="M197" s="70"/>
      <c r="N197" s="70"/>
      <c r="O197" s="70"/>
      <c r="P197" s="70"/>
      <c r="Q197" s="70"/>
      <c r="R197" s="70" t="s">
        <v>2286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" thickBot="1" x14ac:dyDescent="0.35">
      <c r="A198" t="s">
        <v>219</v>
      </c>
      <c r="B198" t="s">
        <v>238</v>
      </c>
      <c r="C198" t="s">
        <v>1061</v>
      </c>
      <c r="D198" t="s">
        <v>239</v>
      </c>
      <c r="E198" s="30" t="s">
        <v>19</v>
      </c>
      <c r="F198" s="30" t="s">
        <v>1055</v>
      </c>
      <c r="G198" s="30"/>
      <c r="H198" s="30" t="s">
        <v>1435</v>
      </c>
      <c r="I198" s="31">
        <f t="shared" si="11"/>
        <v>28</v>
      </c>
      <c r="J198" s="147" t="s">
        <v>1824</v>
      </c>
      <c r="K198" s="31">
        <f t="shared" si="12"/>
        <v>0</v>
      </c>
      <c r="L198" s="32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" thickBot="1" x14ac:dyDescent="0.35">
      <c r="A199" s="91" t="s">
        <v>219</v>
      </c>
      <c r="B199" s="91" t="s">
        <v>240</v>
      </c>
      <c r="C199" s="91" t="s">
        <v>1061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23</v>
      </c>
      <c r="J199" s="87"/>
      <c r="K199" s="31">
        <f t="shared" si="12"/>
        <v>5</v>
      </c>
      <c r="L199" s="32">
        <f t="shared" si="13"/>
        <v>0.8214285714285714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2286</v>
      </c>
      <c r="AC199" s="70" t="s">
        <v>2286</v>
      </c>
      <c r="AD199" s="70" t="s">
        <v>2286</v>
      </c>
      <c r="AE199" s="93" t="s">
        <v>2286</v>
      </c>
      <c r="AF199" s="93" t="s">
        <v>2286</v>
      </c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" thickBot="1" x14ac:dyDescent="0.35">
      <c r="A200" s="73" t="s">
        <v>219</v>
      </c>
      <c r="B200" s="73" t="s">
        <v>220</v>
      </c>
      <c r="C200" s="73" t="s">
        <v>1061</v>
      </c>
      <c r="D200" s="73" t="s">
        <v>221</v>
      </c>
      <c r="E200" s="85" t="s">
        <v>15</v>
      </c>
      <c r="F200" s="85" t="s">
        <v>1300</v>
      </c>
      <c r="G200" s="85"/>
      <c r="H200" s="85" t="s">
        <v>1591</v>
      </c>
      <c r="I200" s="142">
        <f t="shared" si="11"/>
        <v>15</v>
      </c>
      <c r="J200" s="147" t="s">
        <v>1825</v>
      </c>
      <c r="K200" s="142">
        <f t="shared" si="12"/>
        <v>13</v>
      </c>
      <c r="L200" s="143">
        <f t="shared" si="13"/>
        <v>0.5357142857142857</v>
      </c>
      <c r="M200" s="70" t="s">
        <v>2286</v>
      </c>
      <c r="N200" s="70" t="s">
        <v>2286</v>
      </c>
      <c r="O200" s="70" t="s">
        <v>2286</v>
      </c>
      <c r="P200" s="70" t="s">
        <v>2286</v>
      </c>
      <c r="Q200" s="70" t="s">
        <v>2286</v>
      </c>
      <c r="R200" s="70"/>
      <c r="S200" s="70" t="s">
        <v>2286</v>
      </c>
      <c r="T200" s="70" t="s">
        <v>2286</v>
      </c>
      <c r="U200" s="70" t="s">
        <v>2286</v>
      </c>
      <c r="V200" s="70" t="s">
        <v>2286</v>
      </c>
      <c r="W200" s="70"/>
      <c r="X200" s="70" t="s">
        <v>2286</v>
      </c>
      <c r="Y200" s="70"/>
      <c r="Z200" s="70"/>
      <c r="AA200" s="70"/>
      <c r="AB200" s="70" t="s">
        <v>2286</v>
      </c>
      <c r="AC200" s="70" t="s">
        <v>2286</v>
      </c>
      <c r="AD200" s="70" t="s">
        <v>2286</v>
      </c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" thickBot="1" x14ac:dyDescent="0.35">
      <c r="A201" t="s">
        <v>219</v>
      </c>
      <c r="B201" t="s">
        <v>955</v>
      </c>
      <c r="C201" t="s">
        <v>1061</v>
      </c>
      <c r="D201" t="s">
        <v>222</v>
      </c>
      <c r="E201" s="30" t="s">
        <v>15</v>
      </c>
      <c r="F201" s="30" t="s">
        <v>1300</v>
      </c>
      <c r="G201" s="30"/>
      <c r="H201" s="30" t="s">
        <v>1406</v>
      </c>
      <c r="I201" s="31">
        <f t="shared" si="11"/>
        <v>22</v>
      </c>
      <c r="J201" s="147" t="s">
        <v>1826</v>
      </c>
      <c r="K201" s="31">
        <f t="shared" si="12"/>
        <v>6</v>
      </c>
      <c r="L201" s="32">
        <f t="shared" si="13"/>
        <v>0.7857142857142857</v>
      </c>
      <c r="M201" s="70" t="s">
        <v>2286</v>
      </c>
      <c r="N201" s="70" t="s">
        <v>2286</v>
      </c>
      <c r="O201" s="70" t="s">
        <v>2286</v>
      </c>
      <c r="P201" s="70" t="s">
        <v>2286</v>
      </c>
      <c r="Q201" s="70" t="s">
        <v>2286</v>
      </c>
      <c r="R201" s="70" t="s">
        <v>2286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" thickBot="1" x14ac:dyDescent="0.35">
      <c r="A202" t="s">
        <v>219</v>
      </c>
      <c r="B202" t="s">
        <v>956</v>
      </c>
      <c r="C202" t="s">
        <v>1061</v>
      </c>
      <c r="D202" t="s">
        <v>223</v>
      </c>
      <c r="E202" s="30" t="s">
        <v>15</v>
      </c>
      <c r="F202" s="30" t="s">
        <v>1055</v>
      </c>
      <c r="G202" s="30"/>
      <c r="H202" s="30" t="s">
        <v>1211</v>
      </c>
      <c r="I202" s="31">
        <f t="shared" si="11"/>
        <v>28</v>
      </c>
      <c r="J202" s="147" t="s">
        <v>1827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" thickBot="1" x14ac:dyDescent="0.35">
      <c r="A203" s="73" t="s">
        <v>219</v>
      </c>
      <c r="B203" s="73" t="s">
        <v>224</v>
      </c>
      <c r="C203" s="73" t="s">
        <v>1061</v>
      </c>
      <c r="D203" s="73" t="s">
        <v>225</v>
      </c>
      <c r="E203" s="85" t="s">
        <v>15</v>
      </c>
      <c r="F203" s="85" t="s">
        <v>1300</v>
      </c>
      <c r="G203" s="85"/>
      <c r="H203" s="85" t="s">
        <v>1405</v>
      </c>
      <c r="I203" s="142">
        <f t="shared" si="11"/>
        <v>28</v>
      </c>
      <c r="J203" s="147" t="s">
        <v>1828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" thickBot="1" x14ac:dyDescent="0.35">
      <c r="A204" t="s">
        <v>219</v>
      </c>
      <c r="B204" t="s">
        <v>242</v>
      </c>
      <c r="C204" t="s">
        <v>1061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1829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" thickBot="1" x14ac:dyDescent="0.35">
      <c r="A205" t="s">
        <v>219</v>
      </c>
      <c r="B205" t="s">
        <v>226</v>
      </c>
      <c r="C205" t="s">
        <v>1061</v>
      </c>
      <c r="D205" t="s">
        <v>227</v>
      </c>
      <c r="E205" s="30" t="s">
        <v>73</v>
      </c>
      <c r="F205" s="30" t="s">
        <v>1055</v>
      </c>
      <c r="G205" s="30" t="s">
        <v>1248</v>
      </c>
      <c r="H205" s="30" t="s">
        <v>706</v>
      </c>
      <c r="I205" s="31">
        <f t="shared" si="11"/>
        <v>28</v>
      </c>
      <c r="J205" s="147" t="s">
        <v>1830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" thickBot="1" x14ac:dyDescent="0.35">
      <c r="A206" t="s">
        <v>219</v>
      </c>
      <c r="B206" t="s">
        <v>228</v>
      </c>
      <c r="C206" t="s">
        <v>1061</v>
      </c>
      <c r="D206" t="s">
        <v>227</v>
      </c>
      <c r="E206" s="30" t="s">
        <v>73</v>
      </c>
      <c r="F206" s="30" t="s">
        <v>1055</v>
      </c>
      <c r="G206" s="30" t="s">
        <v>1248</v>
      </c>
      <c r="H206" s="30" t="s">
        <v>707</v>
      </c>
      <c r="I206" s="31">
        <f t="shared" si="11"/>
        <v>28</v>
      </c>
      <c r="J206" s="147" t="s">
        <v>1831</v>
      </c>
      <c r="K206" s="31">
        <f t="shared" si="12"/>
        <v>0</v>
      </c>
      <c r="L206" s="32">
        <f t="shared" si="13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" thickBot="1" x14ac:dyDescent="0.35">
      <c r="A207" t="s">
        <v>219</v>
      </c>
      <c r="B207" t="s">
        <v>951</v>
      </c>
      <c r="C207" t="s">
        <v>1061</v>
      </c>
      <c r="D207" t="s">
        <v>244</v>
      </c>
      <c r="E207" s="30" t="s">
        <v>73</v>
      </c>
      <c r="F207" s="30" t="s">
        <v>1055</v>
      </c>
      <c r="G207" s="30" t="s">
        <v>1248</v>
      </c>
      <c r="H207" s="30" t="s">
        <v>708</v>
      </c>
      <c r="I207" s="31">
        <f t="shared" si="11"/>
        <v>28</v>
      </c>
      <c r="J207" s="147" t="s">
        <v>1832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" thickBot="1" x14ac:dyDescent="0.35">
      <c r="A208" t="s">
        <v>219</v>
      </c>
      <c r="B208" t="s">
        <v>952</v>
      </c>
      <c r="C208" t="s">
        <v>1061</v>
      </c>
      <c r="D208" t="s">
        <v>244</v>
      </c>
      <c r="E208" s="30" t="s">
        <v>73</v>
      </c>
      <c r="F208" s="30" t="s">
        <v>1055</v>
      </c>
      <c r="G208" s="30" t="s">
        <v>1248</v>
      </c>
      <c r="H208" s="30" t="s">
        <v>709</v>
      </c>
      <c r="I208" s="31">
        <f t="shared" si="11"/>
        <v>28</v>
      </c>
      <c r="J208" s="147" t="s">
        <v>1833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" thickBot="1" x14ac:dyDescent="0.35">
      <c r="A209" t="s">
        <v>219</v>
      </c>
      <c r="B209" t="s">
        <v>953</v>
      </c>
      <c r="C209" t="s">
        <v>1061</v>
      </c>
      <c r="D209" t="s">
        <v>245</v>
      </c>
      <c r="E209" s="30" t="s">
        <v>73</v>
      </c>
      <c r="F209" s="30" t="s">
        <v>1055</v>
      </c>
      <c r="G209" s="30" t="s">
        <v>1248</v>
      </c>
      <c r="H209" s="30" t="s">
        <v>710</v>
      </c>
      <c r="I209" s="31">
        <f t="shared" si="11"/>
        <v>28</v>
      </c>
      <c r="J209" s="147" t="s">
        <v>1834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" thickBot="1" x14ac:dyDescent="0.35">
      <c r="A210" t="s">
        <v>219</v>
      </c>
      <c r="B210" t="s">
        <v>954</v>
      </c>
      <c r="C210" t="s">
        <v>1061</v>
      </c>
      <c r="D210" t="s">
        <v>245</v>
      </c>
      <c r="E210" s="30" t="s">
        <v>73</v>
      </c>
      <c r="F210" s="30" t="s">
        <v>1055</v>
      </c>
      <c r="G210" s="30" t="s">
        <v>1248</v>
      </c>
      <c r="H210" s="30" t="s">
        <v>711</v>
      </c>
      <c r="I210" s="31">
        <f t="shared" si="11"/>
        <v>28</v>
      </c>
      <c r="J210" s="147" t="s">
        <v>1691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" thickBot="1" x14ac:dyDescent="0.35">
      <c r="A211" s="73" t="s">
        <v>219</v>
      </c>
      <c r="B211" s="73" t="s">
        <v>1229</v>
      </c>
      <c r="C211" s="73" t="s">
        <v>1061</v>
      </c>
      <c r="D211" s="73" t="s">
        <v>1228</v>
      </c>
      <c r="E211" s="73" t="s">
        <v>19</v>
      </c>
      <c r="F211" s="73" t="s">
        <v>1300</v>
      </c>
      <c r="H211" s="85" t="s">
        <v>1238</v>
      </c>
      <c r="I211" s="142">
        <f t="shared" si="11"/>
        <v>17</v>
      </c>
      <c r="J211" s="147" t="s">
        <v>1835</v>
      </c>
      <c r="K211" s="142">
        <f t="shared" si="12"/>
        <v>11</v>
      </c>
      <c r="L211" s="143">
        <f t="shared" si="13"/>
        <v>0.6071428571428571</v>
      </c>
      <c r="M211" s="70" t="s">
        <v>2286</v>
      </c>
      <c r="N211" s="70" t="s">
        <v>2286</v>
      </c>
      <c r="O211" s="70" t="s">
        <v>2286</v>
      </c>
      <c r="P211" s="70" t="s">
        <v>2286</v>
      </c>
      <c r="Q211" s="70" t="s">
        <v>2286</v>
      </c>
      <c r="R211" s="70" t="s">
        <v>2286</v>
      </c>
      <c r="S211" s="70" t="s">
        <v>2286</v>
      </c>
      <c r="T211" s="70" t="s">
        <v>2286</v>
      </c>
      <c r="U211" s="70" t="s">
        <v>2286</v>
      </c>
      <c r="V211" s="70" t="s">
        <v>2286</v>
      </c>
      <c r="W211" s="70"/>
      <c r="X211" s="70" t="s">
        <v>2286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" thickBot="1" x14ac:dyDescent="0.35">
      <c r="A212" s="73" t="s">
        <v>219</v>
      </c>
      <c r="B212" s="73" t="s">
        <v>1588</v>
      </c>
      <c r="C212" s="73" t="s">
        <v>1061</v>
      </c>
      <c r="D212" s="73" t="s">
        <v>1589</v>
      </c>
      <c r="E212" s="85" t="s">
        <v>73</v>
      </c>
      <c r="F212" s="85" t="s">
        <v>1300</v>
      </c>
      <c r="H212" s="85" t="s">
        <v>1590</v>
      </c>
      <c r="I212" s="142">
        <f t="shared" si="11"/>
        <v>28</v>
      </c>
      <c r="J212" s="147" t="s">
        <v>1836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" thickBot="1" x14ac:dyDescent="0.35">
      <c r="A213" s="73" t="s">
        <v>219</v>
      </c>
      <c r="B213" s="73" t="s">
        <v>2205</v>
      </c>
      <c r="C213" s="73" t="s">
        <v>1061</v>
      </c>
      <c r="D213" s="73" t="s">
        <v>2206</v>
      </c>
      <c r="E213" s="85" t="s">
        <v>73</v>
      </c>
      <c r="F213" s="85" t="s">
        <v>1300</v>
      </c>
      <c r="H213" s="85" t="s">
        <v>2207</v>
      </c>
      <c r="I213" s="142">
        <f t="shared" si="11"/>
        <v>28</v>
      </c>
      <c r="J213" s="147" t="s">
        <v>2208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" thickBot="1" x14ac:dyDescent="0.35">
      <c r="A214" t="s">
        <v>101</v>
      </c>
      <c r="B214" t="s">
        <v>246</v>
      </c>
      <c r="C214" t="s">
        <v>1061</v>
      </c>
      <c r="D214" t="s">
        <v>247</v>
      </c>
      <c r="E214" s="30" t="s">
        <v>15</v>
      </c>
      <c r="F214" s="30" t="s">
        <v>1055</v>
      </c>
      <c r="G214" s="30" t="s">
        <v>45</v>
      </c>
      <c r="H214" s="30" t="s">
        <v>712</v>
      </c>
      <c r="I214" s="31">
        <f t="shared" si="11"/>
        <v>28</v>
      </c>
      <c r="J214" s="147" t="s">
        <v>1837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" thickBot="1" x14ac:dyDescent="0.35">
      <c r="A215" s="73" t="s">
        <v>101</v>
      </c>
      <c r="B215" s="73" t="s">
        <v>248</v>
      </c>
      <c r="C215" s="73" t="s">
        <v>1061</v>
      </c>
      <c r="D215" s="73" t="s">
        <v>249</v>
      </c>
      <c r="E215" s="85" t="s">
        <v>15</v>
      </c>
      <c r="F215" s="85" t="s">
        <v>1300</v>
      </c>
      <c r="G215" s="85" t="s">
        <v>45</v>
      </c>
      <c r="H215" s="85" t="s">
        <v>2288</v>
      </c>
      <c r="I215" s="142">
        <f t="shared" si="11"/>
        <v>28</v>
      </c>
      <c r="J215" s="147" t="s">
        <v>1838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" thickBot="1" x14ac:dyDescent="0.35">
      <c r="A216" s="73" t="s">
        <v>101</v>
      </c>
      <c r="B216" s="73" t="s">
        <v>250</v>
      </c>
      <c r="C216" s="73" t="s">
        <v>1061</v>
      </c>
      <c r="D216" s="73" t="s">
        <v>251</v>
      </c>
      <c r="E216" s="85" t="s">
        <v>15</v>
      </c>
      <c r="F216" s="85" t="s">
        <v>1300</v>
      </c>
      <c r="G216" s="85" t="s">
        <v>45</v>
      </c>
      <c r="H216" s="85" t="s">
        <v>713</v>
      </c>
      <c r="I216" s="142">
        <f t="shared" si="11"/>
        <v>28</v>
      </c>
      <c r="J216" s="147" t="s">
        <v>1839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" thickBot="1" x14ac:dyDescent="0.35">
      <c r="A217" t="s">
        <v>101</v>
      </c>
      <c r="B217" t="s">
        <v>1517</v>
      </c>
      <c r="C217" t="s">
        <v>1061</v>
      </c>
      <c r="D217" t="s">
        <v>1518</v>
      </c>
      <c r="E217" s="30" t="s">
        <v>15</v>
      </c>
      <c r="F217" s="30" t="s">
        <v>28</v>
      </c>
      <c r="G217" s="30"/>
      <c r="H217" s="30" t="s">
        <v>1519</v>
      </c>
      <c r="I217" s="142">
        <f t="shared" si="11"/>
        <v>28</v>
      </c>
      <c r="J217" s="147" t="s">
        <v>1840</v>
      </c>
      <c r="K217" s="142">
        <f t="shared" si="12"/>
        <v>0</v>
      </c>
      <c r="L217" s="143">
        <f t="shared" si="13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" thickBot="1" x14ac:dyDescent="0.35">
      <c r="A218" t="s">
        <v>101</v>
      </c>
      <c r="B218" t="s">
        <v>2271</v>
      </c>
      <c r="C218" t="s">
        <v>1061</v>
      </c>
      <c r="D218" t="s">
        <v>2272</v>
      </c>
      <c r="E218" s="30" t="s">
        <v>15</v>
      </c>
      <c r="F218" s="85" t="s">
        <v>1300</v>
      </c>
      <c r="G218" s="30"/>
      <c r="H218" s="30" t="s">
        <v>2273</v>
      </c>
      <c r="I218" s="142">
        <f t="shared" si="11"/>
        <v>13</v>
      </c>
      <c r="J218" s="151" t="s">
        <v>2274</v>
      </c>
      <c r="K218" s="142">
        <f t="shared" si="12"/>
        <v>15</v>
      </c>
      <c r="L218" s="143">
        <f t="shared" si="13"/>
        <v>0.4642857142857143</v>
      </c>
      <c r="M218" s="70" t="s">
        <v>2286</v>
      </c>
      <c r="N218" s="70" t="s">
        <v>2286</v>
      </c>
      <c r="O218" s="70" t="s">
        <v>2286</v>
      </c>
      <c r="P218" s="70" t="s">
        <v>2286</v>
      </c>
      <c r="Q218" s="70" t="s">
        <v>2286</v>
      </c>
      <c r="R218" s="70" t="s">
        <v>2286</v>
      </c>
      <c r="S218" s="70" t="s">
        <v>2286</v>
      </c>
      <c r="T218" s="70" t="s">
        <v>2286</v>
      </c>
      <c r="U218" s="70" t="s">
        <v>2286</v>
      </c>
      <c r="V218" s="70" t="s">
        <v>2286</v>
      </c>
      <c r="W218" s="70"/>
      <c r="X218" s="70" t="s">
        <v>2286</v>
      </c>
      <c r="Y218" s="70" t="s">
        <v>2286</v>
      </c>
      <c r="Z218" s="70" t="s">
        <v>2286</v>
      </c>
      <c r="AA218" s="70" t="s">
        <v>2286</v>
      </c>
      <c r="AB218" s="70" t="s">
        <v>2286</v>
      </c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" thickBot="1" x14ac:dyDescent="0.35">
      <c r="A219" t="s">
        <v>199</v>
      </c>
      <c r="B219" t="s">
        <v>1183</v>
      </c>
      <c r="C219" t="s">
        <v>1062</v>
      </c>
      <c r="D219" t="s">
        <v>1184</v>
      </c>
      <c r="E219" s="30" t="s">
        <v>73</v>
      </c>
      <c r="F219" s="30" t="s">
        <v>16</v>
      </c>
      <c r="G219" s="30"/>
      <c r="H219" s="30" t="s">
        <v>1269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2286</v>
      </c>
      <c r="N219" s="70" t="s">
        <v>2286</v>
      </c>
      <c r="O219" s="70" t="s">
        <v>2286</v>
      </c>
      <c r="P219" s="70" t="s">
        <v>2286</v>
      </c>
      <c r="Q219" s="70" t="s">
        <v>2286</v>
      </c>
      <c r="R219" s="70" t="s">
        <v>2286</v>
      </c>
      <c r="S219" s="70" t="s">
        <v>2286</v>
      </c>
      <c r="T219" s="70" t="s">
        <v>2286</v>
      </c>
      <c r="U219" s="70" t="s">
        <v>2286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" thickBot="1" x14ac:dyDescent="0.35">
      <c r="A220" t="s">
        <v>199</v>
      </c>
      <c r="B220" t="s">
        <v>1185</v>
      </c>
      <c r="C220" t="s">
        <v>1062</v>
      </c>
      <c r="D220" t="s">
        <v>1186</v>
      </c>
      <c r="E220" s="30" t="s">
        <v>73</v>
      </c>
      <c r="F220" s="30" t="s">
        <v>20</v>
      </c>
      <c r="G220" s="30"/>
      <c r="H220" s="30" t="s">
        <v>1270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2286</v>
      </c>
      <c r="N220" s="70" t="s">
        <v>2286</v>
      </c>
      <c r="O220" s="70" t="s">
        <v>2286</v>
      </c>
      <c r="P220" s="70" t="s">
        <v>2286</v>
      </c>
      <c r="Q220" s="70" t="s">
        <v>2286</v>
      </c>
      <c r="R220" s="70" t="s">
        <v>2286</v>
      </c>
      <c r="S220" s="70" t="s">
        <v>2286</v>
      </c>
      <c r="T220" s="70" t="s">
        <v>2286</v>
      </c>
      <c r="U220" s="70" t="s">
        <v>2286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" thickBot="1" x14ac:dyDescent="0.35">
      <c r="A221" t="s">
        <v>1444</v>
      </c>
      <c r="B221" t="s">
        <v>957</v>
      </c>
      <c r="C221" t="s">
        <v>1061</v>
      </c>
      <c r="D221" t="s">
        <v>1085</v>
      </c>
      <c r="E221" s="30" t="s">
        <v>19</v>
      </c>
      <c r="F221" s="30" t="s">
        <v>1055</v>
      </c>
      <c r="G221" s="30"/>
      <c r="H221" s="30" t="s">
        <v>1433</v>
      </c>
      <c r="I221" s="31">
        <f t="shared" si="11"/>
        <v>27</v>
      </c>
      <c r="J221" s="147" t="s">
        <v>1841</v>
      </c>
      <c r="K221" s="31">
        <f t="shared" si="12"/>
        <v>1</v>
      </c>
      <c r="L221" s="32">
        <f t="shared" si="13"/>
        <v>0.9642857142857143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 t="s">
        <v>2286</v>
      </c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" thickBot="1" x14ac:dyDescent="0.35">
      <c r="A222" s="73" t="s">
        <v>168</v>
      </c>
      <c r="B222" s="73" t="s">
        <v>252</v>
      </c>
      <c r="C222" s="73" t="s">
        <v>1061</v>
      </c>
      <c r="D222" s="73" t="s">
        <v>253</v>
      </c>
      <c r="E222" s="85" t="s">
        <v>19</v>
      </c>
      <c r="F222" s="85" t="s">
        <v>1300</v>
      </c>
      <c r="G222" s="85"/>
      <c r="H222" s="85" t="s">
        <v>1415</v>
      </c>
      <c r="I222" s="142">
        <f t="shared" si="11"/>
        <v>28</v>
      </c>
      <c r="J222" s="147" t="s">
        <v>1842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" thickBot="1" x14ac:dyDescent="0.35">
      <c r="A223" t="s">
        <v>254</v>
      </c>
      <c r="B223" t="s">
        <v>255</v>
      </c>
      <c r="C223" t="s">
        <v>1061</v>
      </c>
      <c r="D223" t="s">
        <v>256</v>
      </c>
      <c r="E223" s="30" t="s">
        <v>73</v>
      </c>
      <c r="F223" s="30" t="s">
        <v>28</v>
      </c>
      <c r="G223" s="30"/>
      <c r="H223" s="30" t="s">
        <v>714</v>
      </c>
      <c r="I223" s="31">
        <f t="shared" si="11"/>
        <v>27</v>
      </c>
      <c r="J223" s="147" t="s">
        <v>1843</v>
      </c>
      <c r="K223" s="31">
        <f t="shared" si="12"/>
        <v>1</v>
      </c>
      <c r="L223" s="32">
        <f t="shared" si="13"/>
        <v>0.9642857142857143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 t="s">
        <v>2286</v>
      </c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" thickBot="1" x14ac:dyDescent="0.35">
      <c r="A224" t="s">
        <v>254</v>
      </c>
      <c r="B224" t="s">
        <v>257</v>
      </c>
      <c r="C224" t="s">
        <v>1061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27</v>
      </c>
      <c r="J224" s="147" t="s">
        <v>1844</v>
      </c>
      <c r="K224" s="31">
        <f t="shared" si="12"/>
        <v>1</v>
      </c>
      <c r="L224" s="32">
        <f t="shared" si="13"/>
        <v>0.9642857142857143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 t="s">
        <v>2286</v>
      </c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" thickBot="1" x14ac:dyDescent="0.35">
      <c r="A225" s="73" t="s">
        <v>254</v>
      </c>
      <c r="B225" s="73" t="s">
        <v>1322</v>
      </c>
      <c r="C225" s="73" t="s">
        <v>1061</v>
      </c>
      <c r="D225" s="73" t="s">
        <v>1326</v>
      </c>
      <c r="E225" s="85" t="s">
        <v>15</v>
      </c>
      <c r="F225" s="85" t="s">
        <v>1300</v>
      </c>
      <c r="G225" s="85"/>
      <c r="H225" s="85" t="s">
        <v>1331</v>
      </c>
      <c r="I225" s="142">
        <f t="shared" si="11"/>
        <v>28</v>
      </c>
      <c r="J225" s="147" t="s">
        <v>1845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" thickBot="1" x14ac:dyDescent="0.35">
      <c r="A226" s="73" t="s">
        <v>254</v>
      </c>
      <c r="B226" s="73" t="s">
        <v>1418</v>
      </c>
      <c r="C226" s="73" t="s">
        <v>1061</v>
      </c>
      <c r="D226" s="73" t="s">
        <v>1419</v>
      </c>
      <c r="E226" s="85" t="s">
        <v>15</v>
      </c>
      <c r="F226" s="85" t="s">
        <v>1300</v>
      </c>
      <c r="G226" s="85"/>
      <c r="H226" s="85" t="s">
        <v>1420</v>
      </c>
      <c r="I226" s="142">
        <f t="shared" si="11"/>
        <v>28</v>
      </c>
      <c r="J226" s="147" t="s">
        <v>1846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" thickBot="1" x14ac:dyDescent="0.35">
      <c r="A227" s="73" t="s">
        <v>254</v>
      </c>
      <c r="B227" s="73" t="s">
        <v>1592</v>
      </c>
      <c r="C227" s="73" t="s">
        <v>1061</v>
      </c>
      <c r="D227" s="73" t="s">
        <v>1593</v>
      </c>
      <c r="E227" s="85" t="s">
        <v>15</v>
      </c>
      <c r="F227" s="85" t="s">
        <v>1300</v>
      </c>
      <c r="G227" s="85"/>
      <c r="H227" s="85" t="s">
        <v>1594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" thickBot="1" x14ac:dyDescent="0.35">
      <c r="A228" s="73" t="s">
        <v>258</v>
      </c>
      <c r="B228" s="73" t="s">
        <v>958</v>
      </c>
      <c r="C228" s="73" t="s">
        <v>1062</v>
      </c>
      <c r="D228" s="73" t="s">
        <v>259</v>
      </c>
      <c r="E228" s="85" t="s">
        <v>15</v>
      </c>
      <c r="F228" s="85" t="s">
        <v>1300</v>
      </c>
      <c r="G228" s="85"/>
      <c r="H228" s="85" t="s">
        <v>715</v>
      </c>
      <c r="I228" s="142">
        <f t="shared" si="11"/>
        <v>28</v>
      </c>
      <c r="J228" s="147" t="s">
        <v>1847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" thickBot="1" x14ac:dyDescent="0.35">
      <c r="A229" s="73" t="s">
        <v>258</v>
      </c>
      <c r="B229" s="73" t="s">
        <v>260</v>
      </c>
      <c r="C229" s="73" t="s">
        <v>1062</v>
      </c>
      <c r="D229" s="73" t="s">
        <v>261</v>
      </c>
      <c r="E229" s="85" t="s">
        <v>73</v>
      </c>
      <c r="F229" s="85" t="s">
        <v>1300</v>
      </c>
      <c r="G229" s="85"/>
      <c r="H229" s="85" t="s">
        <v>716</v>
      </c>
      <c r="I229" s="142">
        <f t="shared" si="11"/>
        <v>28</v>
      </c>
      <c r="J229" s="147" t="s">
        <v>1848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" thickBot="1" x14ac:dyDescent="0.35">
      <c r="A230" s="73" t="s">
        <v>258</v>
      </c>
      <c r="B230" s="73" t="s">
        <v>262</v>
      </c>
      <c r="C230" s="73" t="s">
        <v>1062</v>
      </c>
      <c r="D230" s="73" t="s">
        <v>261</v>
      </c>
      <c r="E230" s="85" t="s">
        <v>73</v>
      </c>
      <c r="F230" s="85" t="s">
        <v>1300</v>
      </c>
      <c r="G230" s="85"/>
      <c r="H230" s="85" t="s">
        <v>717</v>
      </c>
      <c r="I230" s="142">
        <f t="shared" si="11"/>
        <v>28</v>
      </c>
      <c r="J230" s="147" t="s">
        <v>1849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" thickBot="1" x14ac:dyDescent="0.35">
      <c r="A231" s="73" t="s">
        <v>258</v>
      </c>
      <c r="B231" s="73" t="s">
        <v>2281</v>
      </c>
      <c r="C231" s="73" t="s">
        <v>1062</v>
      </c>
      <c r="D231" s="73" t="s">
        <v>2282</v>
      </c>
      <c r="E231" s="85" t="s">
        <v>15</v>
      </c>
      <c r="F231" s="85" t="s">
        <v>1300</v>
      </c>
      <c r="G231" s="85"/>
      <c r="H231" s="85" t="s">
        <v>2283</v>
      </c>
      <c r="I231" s="142">
        <f t="shared" si="11"/>
        <v>28</v>
      </c>
      <c r="J231" s="147" t="s">
        <v>2284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" thickBot="1" x14ac:dyDescent="0.35">
      <c r="A232" t="s">
        <v>267</v>
      </c>
      <c r="B232" t="s">
        <v>959</v>
      </c>
      <c r="C232" t="s">
        <v>1061</v>
      </c>
      <c r="D232" t="s">
        <v>272</v>
      </c>
      <c r="E232" s="30" t="s">
        <v>73</v>
      </c>
      <c r="F232" s="30" t="s">
        <v>28</v>
      </c>
      <c r="G232" s="30"/>
      <c r="H232" s="30" t="s">
        <v>722</v>
      </c>
      <c r="I232" s="31">
        <f t="shared" si="11"/>
        <v>10</v>
      </c>
      <c r="J232" s="147" t="s">
        <v>1850</v>
      </c>
      <c r="K232" s="31">
        <f t="shared" si="12"/>
        <v>18</v>
      </c>
      <c r="L232" s="32">
        <f t="shared" si="13"/>
        <v>0.35714285714285715</v>
      </c>
      <c r="M232" s="70" t="s">
        <v>2286</v>
      </c>
      <c r="N232" s="70" t="s">
        <v>2286</v>
      </c>
      <c r="O232" s="70" t="s">
        <v>2286</v>
      </c>
      <c r="P232" s="70" t="s">
        <v>2286</v>
      </c>
      <c r="Q232" s="70" t="s">
        <v>2286</v>
      </c>
      <c r="R232" s="70" t="s">
        <v>2286</v>
      </c>
      <c r="S232" s="70" t="s">
        <v>2286</v>
      </c>
      <c r="T232" s="70" t="s">
        <v>2286</v>
      </c>
      <c r="U232" s="70" t="s">
        <v>2286</v>
      </c>
      <c r="V232" s="70" t="s">
        <v>2286</v>
      </c>
      <c r="W232" s="70"/>
      <c r="X232" s="70" t="s">
        <v>2286</v>
      </c>
      <c r="Y232" s="70" t="s">
        <v>2286</v>
      </c>
      <c r="Z232" s="70" t="s">
        <v>2286</v>
      </c>
      <c r="AA232" s="70" t="s">
        <v>2286</v>
      </c>
      <c r="AB232" s="70" t="s">
        <v>2286</v>
      </c>
      <c r="AC232" s="70" t="s">
        <v>2286</v>
      </c>
      <c r="AD232" s="70" t="s">
        <v>2286</v>
      </c>
      <c r="AE232" s="70"/>
      <c r="AF232" s="70" t="s">
        <v>2286</v>
      </c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" thickBot="1" x14ac:dyDescent="0.35">
      <c r="A233" t="s">
        <v>267</v>
      </c>
      <c r="B233" t="s">
        <v>960</v>
      </c>
      <c r="C233" t="s">
        <v>1061</v>
      </c>
      <c r="D233" t="s">
        <v>1086</v>
      </c>
      <c r="E233" s="30" t="s">
        <v>19</v>
      </c>
      <c r="F233" s="30" t="s">
        <v>28</v>
      </c>
      <c r="G233" s="30"/>
      <c r="H233" s="30" t="s">
        <v>724</v>
      </c>
      <c r="I233" s="31">
        <f t="shared" si="11"/>
        <v>21</v>
      </c>
      <c r="J233" s="147" t="s">
        <v>1851</v>
      </c>
      <c r="K233" s="31">
        <f t="shared" si="12"/>
        <v>7</v>
      </c>
      <c r="L233" s="32">
        <f t="shared" si="13"/>
        <v>0.75</v>
      </c>
      <c r="M233" s="70"/>
      <c r="N233" s="70"/>
      <c r="O233" s="70"/>
      <c r="P233" s="70"/>
      <c r="Q233" s="70"/>
      <c r="R233" s="70" t="s">
        <v>2286</v>
      </c>
      <c r="S233" s="70" t="s">
        <v>2286</v>
      </c>
      <c r="T233" s="70" t="s">
        <v>2286</v>
      </c>
      <c r="U233" s="70"/>
      <c r="V233" s="70"/>
      <c r="W233" s="70"/>
      <c r="X233" s="70"/>
      <c r="Y233" s="70"/>
      <c r="Z233" s="70"/>
      <c r="AA233" s="70"/>
      <c r="AB233" s="70"/>
      <c r="AC233" s="70" t="s">
        <v>2286</v>
      </c>
      <c r="AD233" s="70" t="s">
        <v>2286</v>
      </c>
      <c r="AE233" s="70" t="s">
        <v>2286</v>
      </c>
      <c r="AF233" s="70" t="s">
        <v>2286</v>
      </c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" thickBot="1" x14ac:dyDescent="0.35">
      <c r="A234" t="s">
        <v>267</v>
      </c>
      <c r="B234" t="s">
        <v>961</v>
      </c>
      <c r="C234" t="s">
        <v>1061</v>
      </c>
      <c r="D234" t="s">
        <v>279</v>
      </c>
      <c r="E234" s="30" t="s">
        <v>19</v>
      </c>
      <c r="F234" s="30" t="s">
        <v>28</v>
      </c>
      <c r="G234" s="30"/>
      <c r="H234" s="30" t="s">
        <v>1482</v>
      </c>
      <c r="I234" s="31">
        <f t="shared" si="11"/>
        <v>11</v>
      </c>
      <c r="J234" s="147" t="s">
        <v>1852</v>
      </c>
      <c r="K234" s="31">
        <f t="shared" si="12"/>
        <v>17</v>
      </c>
      <c r="L234" s="32">
        <f t="shared" si="13"/>
        <v>0.39285714285714285</v>
      </c>
      <c r="M234" s="70" t="s">
        <v>2286</v>
      </c>
      <c r="N234" s="70" t="s">
        <v>2286</v>
      </c>
      <c r="O234" s="70" t="s">
        <v>2286</v>
      </c>
      <c r="P234" s="70" t="s">
        <v>2286</v>
      </c>
      <c r="Q234" s="70" t="s">
        <v>2286</v>
      </c>
      <c r="R234" s="70" t="s">
        <v>2286</v>
      </c>
      <c r="S234" s="70" t="s">
        <v>2286</v>
      </c>
      <c r="T234" s="70" t="s">
        <v>2286</v>
      </c>
      <c r="U234" s="70"/>
      <c r="V234" s="70" t="s">
        <v>2286</v>
      </c>
      <c r="W234" s="70"/>
      <c r="X234" s="70" t="s">
        <v>2286</v>
      </c>
      <c r="Y234" s="70" t="s">
        <v>2286</v>
      </c>
      <c r="Z234" s="70" t="s">
        <v>2286</v>
      </c>
      <c r="AA234" s="70" t="s">
        <v>2286</v>
      </c>
      <c r="AB234" s="70" t="s">
        <v>2286</v>
      </c>
      <c r="AC234" s="70" t="s">
        <v>2286</v>
      </c>
      <c r="AD234" s="70"/>
      <c r="AE234" s="70" t="s">
        <v>2286</v>
      </c>
      <c r="AF234" s="70" t="s">
        <v>2286</v>
      </c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" thickBot="1" x14ac:dyDescent="0.35">
      <c r="A235" t="s">
        <v>267</v>
      </c>
      <c r="B235" t="s">
        <v>962</v>
      </c>
      <c r="C235" t="s">
        <v>1061</v>
      </c>
      <c r="D235" t="s">
        <v>282</v>
      </c>
      <c r="E235" s="30" t="s">
        <v>73</v>
      </c>
      <c r="F235" s="30" t="s">
        <v>28</v>
      </c>
      <c r="G235" s="30"/>
      <c r="H235" s="30" t="s">
        <v>726</v>
      </c>
      <c r="I235" s="31">
        <f t="shared" si="11"/>
        <v>21</v>
      </c>
      <c r="J235" s="147" t="s">
        <v>1853</v>
      </c>
      <c r="K235" s="31">
        <f t="shared" si="12"/>
        <v>7</v>
      </c>
      <c r="L235" s="32">
        <f t="shared" si="13"/>
        <v>0.75</v>
      </c>
      <c r="M235" s="70"/>
      <c r="N235" s="70"/>
      <c r="O235" s="70"/>
      <c r="P235" s="70"/>
      <c r="Q235" s="70"/>
      <c r="R235" s="70" t="s">
        <v>2286</v>
      </c>
      <c r="S235" s="70" t="s">
        <v>2286</v>
      </c>
      <c r="T235" s="70" t="s">
        <v>2286</v>
      </c>
      <c r="U235" s="70"/>
      <c r="V235" s="70"/>
      <c r="W235" s="70"/>
      <c r="X235" s="70"/>
      <c r="Y235" s="70"/>
      <c r="Z235" s="70"/>
      <c r="AA235" s="70"/>
      <c r="AB235" s="70"/>
      <c r="AC235" s="70" t="s">
        <v>2286</v>
      </c>
      <c r="AD235" s="70" t="s">
        <v>2286</v>
      </c>
      <c r="AE235" s="70" t="s">
        <v>2286</v>
      </c>
      <c r="AF235" s="70" t="s">
        <v>2286</v>
      </c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" thickBot="1" x14ac:dyDescent="0.35">
      <c r="A236" t="s">
        <v>267</v>
      </c>
      <c r="B236" t="s">
        <v>963</v>
      </c>
      <c r="C236" t="s">
        <v>1061</v>
      </c>
      <c r="D236" t="s">
        <v>282</v>
      </c>
      <c r="E236" s="30" t="s">
        <v>73</v>
      </c>
      <c r="F236" s="30" t="s">
        <v>28</v>
      </c>
      <c r="G236" s="30"/>
      <c r="H236" s="30" t="s">
        <v>727</v>
      </c>
      <c r="I236" s="31">
        <f t="shared" si="11"/>
        <v>21</v>
      </c>
      <c r="J236" s="147" t="s">
        <v>1854</v>
      </c>
      <c r="K236" s="31">
        <f t="shared" si="12"/>
        <v>7</v>
      </c>
      <c r="L236" s="32">
        <f t="shared" si="13"/>
        <v>0.75</v>
      </c>
      <c r="M236" s="70"/>
      <c r="N236" s="70"/>
      <c r="O236" s="70"/>
      <c r="P236" s="70"/>
      <c r="Q236" s="70"/>
      <c r="R236" s="70" t="s">
        <v>2286</v>
      </c>
      <c r="S236" s="70" t="s">
        <v>2286</v>
      </c>
      <c r="T236" s="70" t="s">
        <v>2286</v>
      </c>
      <c r="U236" s="70"/>
      <c r="V236" s="70"/>
      <c r="W236" s="70"/>
      <c r="X236" s="70"/>
      <c r="Y236" s="70"/>
      <c r="Z236" s="70"/>
      <c r="AA236" s="70"/>
      <c r="AB236" s="70"/>
      <c r="AC236" s="70" t="s">
        <v>2286</v>
      </c>
      <c r="AD236" s="70" t="s">
        <v>2286</v>
      </c>
      <c r="AE236" s="70" t="s">
        <v>2286</v>
      </c>
      <c r="AF236" s="70" t="s">
        <v>2286</v>
      </c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" thickBot="1" x14ac:dyDescent="0.35">
      <c r="A237" t="s">
        <v>267</v>
      </c>
      <c r="B237" t="s">
        <v>964</v>
      </c>
      <c r="C237" t="s">
        <v>1061</v>
      </c>
      <c r="D237" t="s">
        <v>263</v>
      </c>
      <c r="E237" s="30" t="s">
        <v>46</v>
      </c>
      <c r="F237" s="30" t="s">
        <v>28</v>
      </c>
      <c r="G237" s="30"/>
      <c r="H237" s="30" t="s">
        <v>718</v>
      </c>
      <c r="I237" s="31">
        <f t="shared" si="11"/>
        <v>25</v>
      </c>
      <c r="J237" s="147" t="s">
        <v>1855</v>
      </c>
      <c r="K237" s="31">
        <f t="shared" si="12"/>
        <v>3</v>
      </c>
      <c r="L237" s="32">
        <f t="shared" si="13"/>
        <v>0.8928571428571429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2286</v>
      </c>
      <c r="AD237" s="70" t="s">
        <v>2286</v>
      </c>
      <c r="AE237" s="70" t="s">
        <v>2286</v>
      </c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" thickBot="1" x14ac:dyDescent="0.35">
      <c r="A238" t="s">
        <v>264</v>
      </c>
      <c r="B238" t="s">
        <v>265</v>
      </c>
      <c r="C238" t="s">
        <v>1061</v>
      </c>
      <c r="D238" t="s">
        <v>266</v>
      </c>
      <c r="E238" s="30" t="s">
        <v>19</v>
      </c>
      <c r="F238" s="30" t="s">
        <v>28</v>
      </c>
      <c r="G238" s="30"/>
      <c r="H238" s="30" t="s">
        <v>719</v>
      </c>
      <c r="I238" s="31">
        <f t="shared" si="11"/>
        <v>25</v>
      </c>
      <c r="J238" s="147" t="s">
        <v>1856</v>
      </c>
      <c r="K238" s="31">
        <f t="shared" si="12"/>
        <v>3</v>
      </c>
      <c r="L238" s="32">
        <f t="shared" si="13"/>
        <v>0.8928571428571429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 t="s">
        <v>2286</v>
      </c>
      <c r="AD238" s="70" t="s">
        <v>2286</v>
      </c>
      <c r="AE238" s="70" t="s">
        <v>2286</v>
      </c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" thickBot="1" x14ac:dyDescent="0.35">
      <c r="A239" t="s">
        <v>267</v>
      </c>
      <c r="B239" t="s">
        <v>268</v>
      </c>
      <c r="C239" t="s">
        <v>1061</v>
      </c>
      <c r="D239" t="s">
        <v>269</v>
      </c>
      <c r="E239" s="30" t="s">
        <v>73</v>
      </c>
      <c r="F239" s="30" t="s">
        <v>28</v>
      </c>
      <c r="G239" s="30"/>
      <c r="H239" s="30" t="s">
        <v>720</v>
      </c>
      <c r="I239" s="31">
        <f t="shared" si="11"/>
        <v>25</v>
      </c>
      <c r="J239" s="147" t="s">
        <v>1857</v>
      </c>
      <c r="K239" s="31">
        <f t="shared" si="12"/>
        <v>3</v>
      </c>
      <c r="L239" s="32">
        <f t="shared" si="13"/>
        <v>0.8928571428571429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2286</v>
      </c>
      <c r="AD239" s="70" t="s">
        <v>2286</v>
      </c>
      <c r="AE239" s="70" t="s">
        <v>2286</v>
      </c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" thickBot="1" x14ac:dyDescent="0.35">
      <c r="A240" t="s">
        <v>267</v>
      </c>
      <c r="B240" t="s">
        <v>270</v>
      </c>
      <c r="C240" t="s">
        <v>1061</v>
      </c>
      <c r="D240" t="s">
        <v>271</v>
      </c>
      <c r="E240" s="30" t="s">
        <v>46</v>
      </c>
      <c r="F240" s="30" t="s">
        <v>28</v>
      </c>
      <c r="G240" s="30"/>
      <c r="H240" s="30" t="s">
        <v>721</v>
      </c>
      <c r="I240" s="31">
        <f t="shared" ref="I240:I309" si="14">COUNTIF(M240:AN240,"")</f>
        <v>24</v>
      </c>
      <c r="J240" s="147" t="s">
        <v>1858</v>
      </c>
      <c r="K240" s="31">
        <f t="shared" ref="K240:K309" si="15">COUNTIF(M240:AN240,"APAGADO")</f>
        <v>4</v>
      </c>
      <c r="L240" s="32">
        <f t="shared" ref="L240:L309" si="16">(I240)/(K240+I240)</f>
        <v>0.8571428571428571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2286</v>
      </c>
      <c r="AD240" s="70" t="s">
        <v>2286</v>
      </c>
      <c r="AE240" s="70" t="s">
        <v>2286</v>
      </c>
      <c r="AF240" s="70" t="s">
        <v>2286</v>
      </c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" thickBot="1" x14ac:dyDescent="0.35">
      <c r="A241" t="s">
        <v>264</v>
      </c>
      <c r="B241" t="s">
        <v>273</v>
      </c>
      <c r="C241" t="s">
        <v>1061</v>
      </c>
      <c r="D241" t="s">
        <v>274</v>
      </c>
      <c r="E241" s="30" t="s">
        <v>19</v>
      </c>
      <c r="F241" s="30" t="s">
        <v>28</v>
      </c>
      <c r="G241" s="30"/>
      <c r="H241" s="30" t="s">
        <v>723</v>
      </c>
      <c r="I241" s="31">
        <f t="shared" si="14"/>
        <v>13</v>
      </c>
      <c r="J241" s="147" t="s">
        <v>1859</v>
      </c>
      <c r="K241" s="31">
        <f t="shared" si="15"/>
        <v>15</v>
      </c>
      <c r="L241" s="32">
        <f t="shared" si="16"/>
        <v>0.4642857142857143</v>
      </c>
      <c r="M241" s="70"/>
      <c r="N241" s="70" t="s">
        <v>2286</v>
      </c>
      <c r="O241" s="70" t="s">
        <v>2286</v>
      </c>
      <c r="P241" s="70" t="s">
        <v>2286</v>
      </c>
      <c r="Q241" s="70"/>
      <c r="R241" s="70" t="s">
        <v>2286</v>
      </c>
      <c r="S241" s="70" t="s">
        <v>2286</v>
      </c>
      <c r="T241" s="70" t="s">
        <v>2286</v>
      </c>
      <c r="U241" s="70" t="s">
        <v>2286</v>
      </c>
      <c r="V241" s="70" t="s">
        <v>2286</v>
      </c>
      <c r="W241" s="70"/>
      <c r="X241" s="70"/>
      <c r="Y241" s="70" t="s">
        <v>2286</v>
      </c>
      <c r="Z241" s="70" t="s">
        <v>2286</v>
      </c>
      <c r="AA241" s="70" t="s">
        <v>2286</v>
      </c>
      <c r="AB241" s="70"/>
      <c r="AC241" s="70" t="s">
        <v>2286</v>
      </c>
      <c r="AD241" s="70" t="s">
        <v>2286</v>
      </c>
      <c r="AE241" s="70" t="s">
        <v>2286</v>
      </c>
      <c r="AF241" s="70" t="s">
        <v>2286</v>
      </c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" thickBot="1" x14ac:dyDescent="0.35">
      <c r="A242" t="s">
        <v>267</v>
      </c>
      <c r="B242" t="s">
        <v>275</v>
      </c>
      <c r="C242" t="s">
        <v>1061</v>
      </c>
      <c r="D242" t="s">
        <v>276</v>
      </c>
      <c r="E242" s="30" t="s">
        <v>19</v>
      </c>
      <c r="F242" s="30" t="s">
        <v>28</v>
      </c>
      <c r="G242" s="30"/>
      <c r="H242" s="30"/>
      <c r="I242" s="31">
        <f t="shared" si="14"/>
        <v>21</v>
      </c>
      <c r="J242" s="147" t="s">
        <v>1860</v>
      </c>
      <c r="K242" s="31">
        <f t="shared" si="15"/>
        <v>7</v>
      </c>
      <c r="L242" s="32">
        <f t="shared" si="16"/>
        <v>0.75</v>
      </c>
      <c r="M242" s="70"/>
      <c r="N242" s="70"/>
      <c r="O242" s="70"/>
      <c r="P242" s="70"/>
      <c r="Q242" s="70"/>
      <c r="R242" s="70" t="s">
        <v>2286</v>
      </c>
      <c r="S242" s="70" t="s">
        <v>2286</v>
      </c>
      <c r="T242" s="70" t="s">
        <v>2286</v>
      </c>
      <c r="U242" s="70"/>
      <c r="V242" s="70"/>
      <c r="W242" s="70"/>
      <c r="X242" s="70"/>
      <c r="Y242" s="70"/>
      <c r="Z242" s="70"/>
      <c r="AA242" s="70"/>
      <c r="AB242" s="70"/>
      <c r="AC242" s="70" t="s">
        <v>2286</v>
      </c>
      <c r="AD242" s="70" t="s">
        <v>2286</v>
      </c>
      <c r="AE242" s="70" t="s">
        <v>2286</v>
      </c>
      <c r="AF242" s="70" t="s">
        <v>2286</v>
      </c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" thickBot="1" x14ac:dyDescent="0.35">
      <c r="A243" t="s">
        <v>267</v>
      </c>
      <c r="B243" t="s">
        <v>277</v>
      </c>
      <c r="C243" t="s">
        <v>1061</v>
      </c>
      <c r="D243" t="s">
        <v>278</v>
      </c>
      <c r="E243" s="30" t="s">
        <v>19</v>
      </c>
      <c r="F243" s="30" t="s">
        <v>28</v>
      </c>
      <c r="G243" s="30"/>
      <c r="H243" s="30" t="s">
        <v>1442</v>
      </c>
      <c r="I243" s="31">
        <f t="shared" si="14"/>
        <v>21</v>
      </c>
      <c r="J243" s="147" t="s">
        <v>1861</v>
      </c>
      <c r="K243" s="31">
        <f t="shared" si="15"/>
        <v>7</v>
      </c>
      <c r="L243" s="32">
        <f t="shared" si="16"/>
        <v>0.75</v>
      </c>
      <c r="M243" s="70"/>
      <c r="N243" s="70"/>
      <c r="O243" s="70"/>
      <c r="P243" s="70"/>
      <c r="Q243" s="70"/>
      <c r="R243" s="70" t="s">
        <v>2286</v>
      </c>
      <c r="S243" s="70" t="s">
        <v>2286</v>
      </c>
      <c r="T243" s="70" t="s">
        <v>2286</v>
      </c>
      <c r="U243" s="70"/>
      <c r="V243" s="70"/>
      <c r="W243" s="70"/>
      <c r="X243" s="70"/>
      <c r="Y243" s="70"/>
      <c r="Z243" s="70"/>
      <c r="AA243" s="70"/>
      <c r="AB243" s="70"/>
      <c r="AC243" s="70" t="s">
        <v>2286</v>
      </c>
      <c r="AD243" s="70" t="s">
        <v>2286</v>
      </c>
      <c r="AE243" s="70" t="s">
        <v>2286</v>
      </c>
      <c r="AF243" s="70" t="s">
        <v>2286</v>
      </c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" thickBot="1" x14ac:dyDescent="0.35">
      <c r="A244" t="s">
        <v>267</v>
      </c>
      <c r="B244" t="s">
        <v>280</v>
      </c>
      <c r="C244" t="s">
        <v>1061</v>
      </c>
      <c r="D244" t="s">
        <v>281</v>
      </c>
      <c r="E244" s="30" t="s">
        <v>19</v>
      </c>
      <c r="F244" s="30" t="s">
        <v>28</v>
      </c>
      <c r="G244" s="30"/>
      <c r="H244" s="30" t="s">
        <v>725</v>
      </c>
      <c r="I244" s="31">
        <f t="shared" si="14"/>
        <v>24</v>
      </c>
      <c r="J244" s="147" t="s">
        <v>1862</v>
      </c>
      <c r="K244" s="31">
        <f t="shared" si="15"/>
        <v>4</v>
      </c>
      <c r="L244" s="32">
        <f t="shared" si="16"/>
        <v>0.8571428571428571</v>
      </c>
      <c r="M244" s="70"/>
      <c r="N244" s="70"/>
      <c r="O244" s="70"/>
      <c r="P244" s="70"/>
      <c r="Q244" s="70"/>
      <c r="R244" s="70"/>
      <c r="S244" s="70" t="s">
        <v>2286</v>
      </c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2286</v>
      </c>
      <c r="AD244" s="70" t="s">
        <v>2286</v>
      </c>
      <c r="AE244" s="70" t="s">
        <v>2286</v>
      </c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" thickBot="1" x14ac:dyDescent="0.35">
      <c r="A245" t="s">
        <v>267</v>
      </c>
      <c r="B245" t="s">
        <v>283</v>
      </c>
      <c r="C245" t="s">
        <v>1061</v>
      </c>
      <c r="D245" t="s">
        <v>284</v>
      </c>
      <c r="E245" s="30" t="s">
        <v>15</v>
      </c>
      <c r="F245" s="30" t="s">
        <v>28</v>
      </c>
      <c r="G245" s="30"/>
      <c r="H245" s="30" t="s">
        <v>728</v>
      </c>
      <c r="I245" s="31">
        <f t="shared" si="14"/>
        <v>21</v>
      </c>
      <c r="J245" s="147" t="s">
        <v>1863</v>
      </c>
      <c r="K245" s="31">
        <f t="shared" si="15"/>
        <v>7</v>
      </c>
      <c r="L245" s="32">
        <f t="shared" si="16"/>
        <v>0.75</v>
      </c>
      <c r="M245" s="70"/>
      <c r="N245" s="70"/>
      <c r="O245" s="70"/>
      <c r="P245" s="70"/>
      <c r="Q245" s="70"/>
      <c r="R245" s="70" t="s">
        <v>2286</v>
      </c>
      <c r="S245" s="70" t="s">
        <v>2286</v>
      </c>
      <c r="T245" s="70" t="s">
        <v>2286</v>
      </c>
      <c r="U245" s="70"/>
      <c r="V245" s="70"/>
      <c r="W245" s="70"/>
      <c r="X245" s="70"/>
      <c r="Y245" s="70"/>
      <c r="Z245" s="70"/>
      <c r="AA245" s="70"/>
      <c r="AB245" s="70"/>
      <c r="AC245" s="70" t="s">
        <v>2286</v>
      </c>
      <c r="AD245" s="70" t="s">
        <v>2286</v>
      </c>
      <c r="AE245" s="70" t="s">
        <v>2286</v>
      </c>
      <c r="AF245" s="70" t="s">
        <v>2286</v>
      </c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" thickBot="1" x14ac:dyDescent="0.35">
      <c r="A246" t="s">
        <v>267</v>
      </c>
      <c r="B246" s="30" t="s">
        <v>1210</v>
      </c>
      <c r="C246" s="30" t="s">
        <v>1061</v>
      </c>
      <c r="D246" t="s">
        <v>1205</v>
      </c>
      <c r="E246" s="30" t="s">
        <v>15</v>
      </c>
      <c r="F246" s="30" t="s">
        <v>28</v>
      </c>
      <c r="G246" s="30"/>
      <c r="H246" s="30" t="s">
        <v>1206</v>
      </c>
      <c r="I246" s="31">
        <f t="shared" si="14"/>
        <v>12</v>
      </c>
      <c r="J246" s="147" t="s">
        <v>1864</v>
      </c>
      <c r="K246" s="31">
        <f t="shared" si="15"/>
        <v>16</v>
      </c>
      <c r="L246" s="32">
        <f t="shared" si="16"/>
        <v>0.42857142857142855</v>
      </c>
      <c r="M246" s="70"/>
      <c r="N246" s="70"/>
      <c r="O246" s="70" t="s">
        <v>2286</v>
      </c>
      <c r="P246" s="70" t="s">
        <v>2286</v>
      </c>
      <c r="Q246" s="70" t="s">
        <v>2286</v>
      </c>
      <c r="R246" s="70" t="s">
        <v>2286</v>
      </c>
      <c r="S246" s="70" t="s">
        <v>2286</v>
      </c>
      <c r="T246" s="70" t="s">
        <v>2286</v>
      </c>
      <c r="U246" s="70"/>
      <c r="V246" s="70" t="s">
        <v>2286</v>
      </c>
      <c r="W246" s="70"/>
      <c r="X246" s="70" t="s">
        <v>2286</v>
      </c>
      <c r="Y246" s="70" t="s">
        <v>2286</v>
      </c>
      <c r="Z246" s="70" t="s">
        <v>2286</v>
      </c>
      <c r="AA246" s="70" t="s">
        <v>2286</v>
      </c>
      <c r="AB246" s="70" t="s">
        <v>2286</v>
      </c>
      <c r="AC246" s="70" t="s">
        <v>2286</v>
      </c>
      <c r="AD246" s="70" t="s">
        <v>2286</v>
      </c>
      <c r="AE246" s="70" t="s">
        <v>2286</v>
      </c>
      <c r="AF246" s="70" t="s">
        <v>2286</v>
      </c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" thickBot="1" x14ac:dyDescent="0.35">
      <c r="A247" s="73" t="s">
        <v>287</v>
      </c>
      <c r="B247" s="73" t="s">
        <v>965</v>
      </c>
      <c r="C247" s="91" t="s">
        <v>1062</v>
      </c>
      <c r="D247" s="73" t="s">
        <v>1087</v>
      </c>
      <c r="E247" s="92" t="s">
        <v>19</v>
      </c>
      <c r="F247" s="85" t="s">
        <v>1300</v>
      </c>
      <c r="G247" s="85"/>
      <c r="H247" s="85" t="s">
        <v>2257</v>
      </c>
      <c r="I247" s="31">
        <f t="shared" si="14"/>
        <v>28</v>
      </c>
      <c r="J247" s="87"/>
      <c r="K247" s="31">
        <f t="shared" si="15"/>
        <v>0</v>
      </c>
      <c r="L247" s="32">
        <f t="shared" si="16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" thickBot="1" x14ac:dyDescent="0.35">
      <c r="A248" t="s">
        <v>229</v>
      </c>
      <c r="B248" t="s">
        <v>285</v>
      </c>
      <c r="C248" t="s">
        <v>1062</v>
      </c>
      <c r="D248" t="s">
        <v>286</v>
      </c>
      <c r="E248" s="30" t="s">
        <v>15</v>
      </c>
      <c r="F248" s="30" t="s">
        <v>1055</v>
      </c>
      <c r="G248" s="30"/>
      <c r="H248" s="30" t="s">
        <v>1063</v>
      </c>
      <c r="I248" s="31">
        <f t="shared" si="14"/>
        <v>27</v>
      </c>
      <c r="J248" s="147" t="s">
        <v>1820</v>
      </c>
      <c r="K248" s="31">
        <f t="shared" si="15"/>
        <v>1</v>
      </c>
      <c r="L248" s="32">
        <f t="shared" si="16"/>
        <v>0.9642857142857143</v>
      </c>
      <c r="M248" s="70"/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 t="s">
        <v>2286</v>
      </c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" thickBot="1" x14ac:dyDescent="0.35">
      <c r="A249" t="s">
        <v>287</v>
      </c>
      <c r="B249" t="s">
        <v>288</v>
      </c>
      <c r="C249" t="s">
        <v>1062</v>
      </c>
      <c r="D249" t="s">
        <v>289</v>
      </c>
      <c r="E249" s="30" t="s">
        <v>15</v>
      </c>
      <c r="F249" s="30" t="s">
        <v>28</v>
      </c>
      <c r="G249" s="30"/>
      <c r="H249" s="30" t="s">
        <v>729</v>
      </c>
      <c r="I249" s="31">
        <f t="shared" si="14"/>
        <v>21</v>
      </c>
      <c r="J249" s="147" t="s">
        <v>1865</v>
      </c>
      <c r="K249" s="31">
        <f t="shared" si="15"/>
        <v>7</v>
      </c>
      <c r="L249" s="32">
        <f t="shared" si="16"/>
        <v>0.75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 t="s">
        <v>2286</v>
      </c>
      <c r="AA249" s="70" t="s">
        <v>2286</v>
      </c>
      <c r="AB249" s="70" t="s">
        <v>2286</v>
      </c>
      <c r="AC249" s="70" t="s">
        <v>2286</v>
      </c>
      <c r="AD249" s="70" t="s">
        <v>2286</v>
      </c>
      <c r="AE249" s="70" t="s">
        <v>2286</v>
      </c>
      <c r="AF249" s="70" t="s">
        <v>2286</v>
      </c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" thickBot="1" x14ac:dyDescent="0.35">
      <c r="A250" t="s">
        <v>12</v>
      </c>
      <c r="B250" s="33" t="s">
        <v>13</v>
      </c>
      <c r="C250" t="s">
        <v>1062</v>
      </c>
      <c r="D250" t="s">
        <v>14</v>
      </c>
      <c r="E250" s="30" t="s">
        <v>15</v>
      </c>
      <c r="F250" s="30" t="s">
        <v>1055</v>
      </c>
      <c r="G250" s="30"/>
      <c r="H250" s="30" t="s">
        <v>730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" thickBot="1" x14ac:dyDescent="0.35">
      <c r="A251" t="s">
        <v>375</v>
      </c>
      <c r="B251" t="s">
        <v>966</v>
      </c>
      <c r="C251" t="s">
        <v>1062</v>
      </c>
      <c r="D251" t="s">
        <v>967</v>
      </c>
      <c r="E251" s="30" t="s">
        <v>73</v>
      </c>
      <c r="F251" s="30" t="s">
        <v>28</v>
      </c>
      <c r="G251" s="30"/>
      <c r="H251" s="30" t="s">
        <v>1216</v>
      </c>
      <c r="I251" s="31">
        <f t="shared" si="14"/>
        <v>28</v>
      </c>
      <c r="J251" s="147" t="s">
        <v>1866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" thickBot="1" x14ac:dyDescent="0.35">
      <c r="A252" t="s">
        <v>968</v>
      </c>
      <c r="B252" t="s">
        <v>969</v>
      </c>
      <c r="C252" t="s">
        <v>1062</v>
      </c>
      <c r="D252" t="s">
        <v>967</v>
      </c>
      <c r="E252" s="30" t="s">
        <v>73</v>
      </c>
      <c r="F252" s="30" t="s">
        <v>28</v>
      </c>
      <c r="G252" s="30"/>
      <c r="H252" s="30" t="s">
        <v>1217</v>
      </c>
      <c r="I252" s="31">
        <f t="shared" si="14"/>
        <v>28</v>
      </c>
      <c r="J252" s="147" t="s">
        <v>1867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" thickBot="1" x14ac:dyDescent="0.35">
      <c r="A253" s="73" t="s">
        <v>17</v>
      </c>
      <c r="B253" s="144" t="s">
        <v>18</v>
      </c>
      <c r="C253" s="73" t="s">
        <v>1062</v>
      </c>
      <c r="D253" s="73" t="s">
        <v>1088</v>
      </c>
      <c r="E253" s="85" t="s">
        <v>19</v>
      </c>
      <c r="F253" s="85" t="s">
        <v>1300</v>
      </c>
      <c r="G253" s="85"/>
      <c r="H253" s="85" t="s">
        <v>1377</v>
      </c>
      <c r="I253" s="142">
        <f t="shared" si="14"/>
        <v>28</v>
      </c>
      <c r="J253" s="147" t="s">
        <v>1868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" thickBot="1" x14ac:dyDescent="0.35">
      <c r="A254" s="73" t="s">
        <v>17</v>
      </c>
      <c r="B254" s="144" t="s">
        <v>21</v>
      </c>
      <c r="C254" s="73" t="s">
        <v>1062</v>
      </c>
      <c r="D254" s="73" t="s">
        <v>22</v>
      </c>
      <c r="E254" s="85" t="s">
        <v>19</v>
      </c>
      <c r="F254" s="85" t="s">
        <v>1300</v>
      </c>
      <c r="G254" s="85"/>
      <c r="H254" s="85" t="s">
        <v>1378</v>
      </c>
      <c r="I254" s="142">
        <f t="shared" si="14"/>
        <v>28</v>
      </c>
      <c r="J254" s="147" t="s">
        <v>1869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" thickBot="1" x14ac:dyDescent="0.35">
      <c r="A255" t="s">
        <v>17</v>
      </c>
      <c r="B255" s="33" t="s">
        <v>23</v>
      </c>
      <c r="C255" t="s">
        <v>1062</v>
      </c>
      <c r="D255" t="s">
        <v>609</v>
      </c>
      <c r="E255" s="30" t="s">
        <v>15</v>
      </c>
      <c r="F255" s="30" t="s">
        <v>1055</v>
      </c>
      <c r="G255" s="30" t="s">
        <v>1253</v>
      </c>
      <c r="H255" s="30" t="s">
        <v>731</v>
      </c>
      <c r="I255" s="31">
        <f t="shared" si="14"/>
        <v>28</v>
      </c>
      <c r="J255" s="147" t="s">
        <v>1870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5">
      <c r="A256" t="s">
        <v>17</v>
      </c>
      <c r="B256" s="33" t="s">
        <v>24</v>
      </c>
      <c r="C256" t="s">
        <v>1062</v>
      </c>
      <c r="D256" t="s">
        <v>25</v>
      </c>
      <c r="E256" s="30" t="s">
        <v>15</v>
      </c>
      <c r="F256" s="30" t="s">
        <v>20</v>
      </c>
      <c r="G256" s="30"/>
      <c r="H256" s="30" t="s">
        <v>732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5">
      <c r="A257" s="69"/>
      <c r="B257" t="s">
        <v>1230</v>
      </c>
      <c r="C257" t="s">
        <v>1061</v>
      </c>
      <c r="D257" t="s">
        <v>1231</v>
      </c>
      <c r="E257" t="s">
        <v>19</v>
      </c>
      <c r="F257" t="s">
        <v>28</v>
      </c>
      <c r="G257"/>
      <c r="H257" s="30" t="s">
        <v>1271</v>
      </c>
      <c r="I257" s="31">
        <f t="shared" si="14"/>
        <v>26</v>
      </c>
      <c r="J257" s="147" t="s">
        <v>1871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/>
      <c r="S257" s="70" t="s">
        <v>2286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 t="s">
        <v>2286</v>
      </c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5">
      <c r="A258" s="69"/>
      <c r="B258" t="s">
        <v>1315</v>
      </c>
      <c r="C258" t="s">
        <v>1061</v>
      </c>
      <c r="D258" t="s">
        <v>1318</v>
      </c>
      <c r="E258" s="30" t="s">
        <v>15</v>
      </c>
      <c r="F258" s="30" t="s">
        <v>28</v>
      </c>
      <c r="G258"/>
      <c r="H258" s="30" t="s">
        <v>1330</v>
      </c>
      <c r="I258" s="31">
        <f t="shared" si="14"/>
        <v>27</v>
      </c>
      <c r="J258" s="147" t="s">
        <v>1872</v>
      </c>
      <c r="K258" s="31">
        <f t="shared" si="15"/>
        <v>1</v>
      </c>
      <c r="L258" s="32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 t="s">
        <v>2286</v>
      </c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" thickBot="1" x14ac:dyDescent="0.35">
      <c r="A259" s="73" t="s">
        <v>290</v>
      </c>
      <c r="B259" s="73" t="s">
        <v>970</v>
      </c>
      <c r="C259" s="73" t="s">
        <v>1061</v>
      </c>
      <c r="D259" s="73" t="s">
        <v>291</v>
      </c>
      <c r="E259" s="85" t="s">
        <v>73</v>
      </c>
      <c r="F259" s="85" t="s">
        <v>1300</v>
      </c>
      <c r="G259" s="85"/>
      <c r="H259" s="85" t="s">
        <v>733</v>
      </c>
      <c r="I259" s="142">
        <f t="shared" si="14"/>
        <v>28</v>
      </c>
      <c r="J259" s="147" t="s">
        <v>1873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" thickBot="1" x14ac:dyDescent="0.35">
      <c r="A260" t="s">
        <v>267</v>
      </c>
      <c r="B260" t="s">
        <v>292</v>
      </c>
      <c r="C260" t="s">
        <v>1061</v>
      </c>
      <c r="D260" t="s">
        <v>293</v>
      </c>
      <c r="E260" s="30" t="s">
        <v>73</v>
      </c>
      <c r="F260" s="30" t="s">
        <v>28</v>
      </c>
      <c r="G260" s="30"/>
      <c r="H260" s="30" t="s">
        <v>1059</v>
      </c>
      <c r="I260" s="31">
        <f t="shared" si="14"/>
        <v>21</v>
      </c>
      <c r="J260" s="147" t="s">
        <v>1874</v>
      </c>
      <c r="K260" s="31">
        <f t="shared" si="15"/>
        <v>7</v>
      </c>
      <c r="L260" s="32">
        <f t="shared" si="16"/>
        <v>0.75</v>
      </c>
      <c r="M260" s="70"/>
      <c r="N260" s="70"/>
      <c r="O260" s="70"/>
      <c r="P260" s="70"/>
      <c r="Q260" s="70"/>
      <c r="R260" s="70" t="s">
        <v>2286</v>
      </c>
      <c r="S260" s="70" t="s">
        <v>2286</v>
      </c>
      <c r="T260" s="70" t="s">
        <v>2286</v>
      </c>
      <c r="U260" s="70"/>
      <c r="V260" s="70"/>
      <c r="W260" s="70"/>
      <c r="X260" s="70"/>
      <c r="Y260" s="70"/>
      <c r="Z260" s="70"/>
      <c r="AA260" s="70"/>
      <c r="AB260" s="70"/>
      <c r="AC260" s="70" t="s">
        <v>2286</v>
      </c>
      <c r="AD260" s="70" t="s">
        <v>2286</v>
      </c>
      <c r="AE260" s="70" t="s">
        <v>2286</v>
      </c>
      <c r="AF260" s="70" t="s">
        <v>2286</v>
      </c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" thickBot="1" x14ac:dyDescent="0.35">
      <c r="A261" t="s">
        <v>294</v>
      </c>
      <c r="B261" t="s">
        <v>971</v>
      </c>
      <c r="C261" t="s">
        <v>1061</v>
      </c>
      <c r="D261" t="s">
        <v>295</v>
      </c>
      <c r="E261" s="30" t="s">
        <v>19</v>
      </c>
      <c r="F261" s="30" t="s">
        <v>28</v>
      </c>
      <c r="G261" s="30"/>
      <c r="H261" s="30" t="s">
        <v>734</v>
      </c>
      <c r="I261" s="31">
        <f t="shared" si="14"/>
        <v>28</v>
      </c>
      <c r="J261" s="147" t="s">
        <v>1875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" thickBot="1" x14ac:dyDescent="0.35">
      <c r="A262" t="s">
        <v>290</v>
      </c>
      <c r="B262" t="s">
        <v>296</v>
      </c>
      <c r="C262" t="s">
        <v>1061</v>
      </c>
      <c r="D262" t="s">
        <v>297</v>
      </c>
      <c r="E262" s="30" t="s">
        <v>19</v>
      </c>
      <c r="F262" s="30" t="s">
        <v>28</v>
      </c>
      <c r="G262" s="30"/>
      <c r="H262" s="30" t="s">
        <v>735</v>
      </c>
      <c r="I262" s="31">
        <f t="shared" si="14"/>
        <v>21</v>
      </c>
      <c r="J262" s="147" t="s">
        <v>1862</v>
      </c>
      <c r="K262" s="31">
        <f t="shared" si="15"/>
        <v>7</v>
      </c>
      <c r="L262" s="32">
        <f t="shared" si="16"/>
        <v>0.75</v>
      </c>
      <c r="M262" s="70"/>
      <c r="N262" s="70"/>
      <c r="O262" s="70"/>
      <c r="P262" s="70"/>
      <c r="Q262" s="70"/>
      <c r="R262" s="70" t="s">
        <v>2286</v>
      </c>
      <c r="S262" s="70" t="s">
        <v>2286</v>
      </c>
      <c r="T262" s="70" t="s">
        <v>2286</v>
      </c>
      <c r="U262" s="70"/>
      <c r="V262" s="70"/>
      <c r="W262" s="70"/>
      <c r="X262" s="70"/>
      <c r="Y262" s="70"/>
      <c r="Z262" s="70"/>
      <c r="AA262" s="70"/>
      <c r="AB262" s="70"/>
      <c r="AC262" s="70" t="s">
        <v>2286</v>
      </c>
      <c r="AD262" s="70" t="s">
        <v>2286</v>
      </c>
      <c r="AE262" s="70" t="s">
        <v>2286</v>
      </c>
      <c r="AF262" s="70" t="s">
        <v>2286</v>
      </c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" thickBot="1" x14ac:dyDescent="0.35">
      <c r="A263" t="s">
        <v>294</v>
      </c>
      <c r="B263" t="s">
        <v>972</v>
      </c>
      <c r="C263" t="s">
        <v>1061</v>
      </c>
      <c r="D263" t="s">
        <v>298</v>
      </c>
      <c r="E263" s="30" t="s">
        <v>19</v>
      </c>
      <c r="F263" s="30" t="s">
        <v>28</v>
      </c>
      <c r="G263" s="30"/>
      <c r="H263" s="30" t="s">
        <v>736</v>
      </c>
      <c r="I263" s="31">
        <f t="shared" si="14"/>
        <v>27</v>
      </c>
      <c r="J263" s="147" t="s">
        <v>1876</v>
      </c>
      <c r="K263" s="31">
        <f t="shared" si="15"/>
        <v>1</v>
      </c>
      <c r="L263" s="32">
        <f t="shared" si="16"/>
        <v>0.9642857142857143</v>
      </c>
      <c r="M263" s="70"/>
      <c r="N263" s="70" t="s">
        <v>2286</v>
      </c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thickBot="1" x14ac:dyDescent="0.35">
      <c r="A264" t="s">
        <v>294</v>
      </c>
      <c r="B264" t="s">
        <v>299</v>
      </c>
      <c r="C264" t="s">
        <v>1061</v>
      </c>
      <c r="D264" t="s">
        <v>300</v>
      </c>
      <c r="E264" s="30" t="s">
        <v>15</v>
      </c>
      <c r="F264" s="30" t="s">
        <v>1055</v>
      </c>
      <c r="G264" s="30"/>
      <c r="H264" s="30" t="s">
        <v>737</v>
      </c>
      <c r="I264" s="31">
        <f t="shared" si="14"/>
        <v>13</v>
      </c>
      <c r="J264" s="147" t="s">
        <v>1877</v>
      </c>
      <c r="K264" s="31">
        <f t="shared" si="15"/>
        <v>15</v>
      </c>
      <c r="L264" s="32">
        <f t="shared" si="16"/>
        <v>0.4642857142857143</v>
      </c>
      <c r="M264" s="70" t="s">
        <v>2286</v>
      </c>
      <c r="N264" s="70" t="s">
        <v>2286</v>
      </c>
      <c r="O264" s="70" t="s">
        <v>2286</v>
      </c>
      <c r="P264" s="70" t="s">
        <v>2286</v>
      </c>
      <c r="Q264" s="70" t="s">
        <v>2286</v>
      </c>
      <c r="R264" s="70" t="s">
        <v>2286</v>
      </c>
      <c r="S264" s="70"/>
      <c r="T264" s="70"/>
      <c r="U264" s="70"/>
      <c r="V264" s="70"/>
      <c r="W264" s="70"/>
      <c r="X264" s="70" t="s">
        <v>2286</v>
      </c>
      <c r="Y264" s="70" t="s">
        <v>2286</v>
      </c>
      <c r="Z264" s="70" t="s">
        <v>2286</v>
      </c>
      <c r="AA264" s="70" t="s">
        <v>2286</v>
      </c>
      <c r="AB264" s="70" t="s">
        <v>2286</v>
      </c>
      <c r="AC264" s="70" t="s">
        <v>2286</v>
      </c>
      <c r="AD264" s="70" t="s">
        <v>2286</v>
      </c>
      <c r="AE264" s="70" t="s">
        <v>2286</v>
      </c>
      <c r="AF264" s="70" t="s">
        <v>2286</v>
      </c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" thickBot="1" x14ac:dyDescent="0.35">
      <c r="A265" s="73" t="s">
        <v>290</v>
      </c>
      <c r="B265" s="73" t="s">
        <v>1244</v>
      </c>
      <c r="C265" s="73" t="s">
        <v>1061</v>
      </c>
      <c r="D265" s="73" t="s">
        <v>1245</v>
      </c>
      <c r="E265" s="85" t="s">
        <v>19</v>
      </c>
      <c r="F265" s="85" t="s">
        <v>1300</v>
      </c>
      <c r="G265" s="85"/>
      <c r="H265" s="85" t="s">
        <v>1246</v>
      </c>
      <c r="I265" s="142">
        <f t="shared" si="14"/>
        <v>28</v>
      </c>
      <c r="J265" s="147" t="s">
        <v>1878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" thickBot="1" x14ac:dyDescent="0.35">
      <c r="A266" t="s">
        <v>290</v>
      </c>
      <c r="B266" t="s">
        <v>1283</v>
      </c>
      <c r="C266" t="s">
        <v>1061</v>
      </c>
      <c r="D266" t="s">
        <v>1284</v>
      </c>
      <c r="E266" s="30" t="s">
        <v>19</v>
      </c>
      <c r="F266" s="30" t="s">
        <v>1055</v>
      </c>
      <c r="G266" s="30"/>
      <c r="H266" s="30" t="s">
        <v>1359</v>
      </c>
      <c r="I266" s="31">
        <f t="shared" si="14"/>
        <v>21</v>
      </c>
      <c r="J266" s="147" t="s">
        <v>1879</v>
      </c>
      <c r="K266" s="31">
        <f t="shared" si="15"/>
        <v>7</v>
      </c>
      <c r="L266" s="32">
        <f t="shared" si="16"/>
        <v>0.75</v>
      </c>
      <c r="M266" s="70"/>
      <c r="N266" s="70"/>
      <c r="O266" s="70"/>
      <c r="P266" s="70"/>
      <c r="Q266" s="70"/>
      <c r="R266" s="70" t="s">
        <v>2286</v>
      </c>
      <c r="S266" s="70" t="s">
        <v>2286</v>
      </c>
      <c r="T266" s="70" t="s">
        <v>2286</v>
      </c>
      <c r="U266" s="70"/>
      <c r="V266" s="70"/>
      <c r="W266" s="70"/>
      <c r="X266" s="70"/>
      <c r="Y266" s="70"/>
      <c r="Z266" s="70"/>
      <c r="AA266" s="70"/>
      <c r="AB266" s="70"/>
      <c r="AC266" s="70" t="s">
        <v>2286</v>
      </c>
      <c r="AD266" s="70" t="s">
        <v>2286</v>
      </c>
      <c r="AE266" s="70" t="s">
        <v>2286</v>
      </c>
      <c r="AF266" s="70" t="s">
        <v>2286</v>
      </c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" thickBot="1" x14ac:dyDescent="0.35">
      <c r="A267" t="s">
        <v>301</v>
      </c>
      <c r="B267" t="s">
        <v>302</v>
      </c>
      <c r="C267" t="s">
        <v>1061</v>
      </c>
      <c r="D267" t="s">
        <v>303</v>
      </c>
      <c r="E267" s="30" t="s">
        <v>73</v>
      </c>
      <c r="F267" s="30" t="s">
        <v>28</v>
      </c>
      <c r="G267" s="30"/>
      <c r="H267" s="30" t="s">
        <v>738</v>
      </c>
      <c r="I267" s="31">
        <f t="shared" si="14"/>
        <v>28</v>
      </c>
      <c r="J267" s="147" t="s">
        <v>1880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" thickBot="1" x14ac:dyDescent="0.35">
      <c r="A268" t="s">
        <v>301</v>
      </c>
      <c r="B268" t="s">
        <v>304</v>
      </c>
      <c r="C268" t="s">
        <v>1061</v>
      </c>
      <c r="D268" t="s">
        <v>305</v>
      </c>
      <c r="E268" s="30" t="s">
        <v>19</v>
      </c>
      <c r="F268" s="30" t="s">
        <v>28</v>
      </c>
      <c r="G268" s="30"/>
      <c r="H268" s="30" t="s">
        <v>739</v>
      </c>
      <c r="I268" s="31">
        <f t="shared" si="14"/>
        <v>27</v>
      </c>
      <c r="J268" s="150" t="s">
        <v>1881</v>
      </c>
      <c r="K268" s="31">
        <f t="shared" si="15"/>
        <v>1</v>
      </c>
      <c r="L268" s="32">
        <f t="shared" si="16"/>
        <v>0.9642857142857143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 t="s">
        <v>2286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" thickBot="1" x14ac:dyDescent="0.35">
      <c r="A269" t="s">
        <v>301</v>
      </c>
      <c r="B269" t="s">
        <v>306</v>
      </c>
      <c r="C269" t="s">
        <v>1061</v>
      </c>
      <c r="D269" t="s">
        <v>307</v>
      </c>
      <c r="E269" s="30" t="s">
        <v>19</v>
      </c>
      <c r="F269" s="30" t="s">
        <v>1055</v>
      </c>
      <c r="G269" s="30"/>
      <c r="H269" s="30" t="s">
        <v>1497</v>
      </c>
      <c r="I269" s="31">
        <f t="shared" si="14"/>
        <v>27</v>
      </c>
      <c r="J269" s="147" t="s">
        <v>1882</v>
      </c>
      <c r="K269" s="31">
        <f t="shared" si="15"/>
        <v>1</v>
      </c>
      <c r="L269" s="32">
        <f t="shared" si="16"/>
        <v>0.9642857142857143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2286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" thickBot="1" x14ac:dyDescent="0.35">
      <c r="A270" s="73" t="s">
        <v>301</v>
      </c>
      <c r="B270" s="73" t="s">
        <v>308</v>
      </c>
      <c r="C270" s="73" t="s">
        <v>1061</v>
      </c>
      <c r="D270" s="73" t="s">
        <v>309</v>
      </c>
      <c r="E270" s="85" t="s">
        <v>19</v>
      </c>
      <c r="F270" s="85" t="s">
        <v>1300</v>
      </c>
      <c r="G270" s="85"/>
      <c r="H270" s="85" t="s">
        <v>1498</v>
      </c>
      <c r="I270" s="142">
        <f t="shared" si="14"/>
        <v>28</v>
      </c>
      <c r="J270" s="147" t="s">
        <v>1883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" thickBot="1" x14ac:dyDescent="0.35">
      <c r="A271" t="s">
        <v>301</v>
      </c>
      <c r="B271" t="s">
        <v>1492</v>
      </c>
      <c r="C271" t="s">
        <v>1061</v>
      </c>
      <c r="D271" t="s">
        <v>1491</v>
      </c>
      <c r="E271" s="30" t="s">
        <v>73</v>
      </c>
      <c r="F271" s="30" t="s">
        <v>28</v>
      </c>
      <c r="G271" s="30"/>
      <c r="H271" s="30" t="s">
        <v>1493</v>
      </c>
      <c r="I271" s="142">
        <f t="shared" si="14"/>
        <v>27</v>
      </c>
      <c r="J271" s="147" t="s">
        <v>1884</v>
      </c>
      <c r="K271" s="142">
        <f t="shared" si="15"/>
        <v>1</v>
      </c>
      <c r="L271" s="143">
        <f t="shared" si="16"/>
        <v>0.9642857142857143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 t="s">
        <v>2286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" thickBot="1" x14ac:dyDescent="0.35">
      <c r="A272" t="s">
        <v>301</v>
      </c>
      <c r="B272" t="s">
        <v>1494</v>
      </c>
      <c r="C272" t="s">
        <v>1061</v>
      </c>
      <c r="D272" t="s">
        <v>1491</v>
      </c>
      <c r="E272" s="30" t="s">
        <v>73</v>
      </c>
      <c r="F272" s="30" t="s">
        <v>28</v>
      </c>
      <c r="G272" s="30"/>
      <c r="H272" s="30" t="s">
        <v>1499</v>
      </c>
      <c r="I272" s="142">
        <f t="shared" si="14"/>
        <v>27</v>
      </c>
      <c r="J272" s="147" t="s">
        <v>1885</v>
      </c>
      <c r="K272" s="142">
        <f t="shared" si="15"/>
        <v>1</v>
      </c>
      <c r="L272" s="143">
        <f t="shared" si="16"/>
        <v>0.9642857142857143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 t="s">
        <v>2286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" thickBot="1" x14ac:dyDescent="0.35">
      <c r="A273" t="s">
        <v>2211</v>
      </c>
      <c r="B273" t="s">
        <v>2212</v>
      </c>
      <c r="C273" t="s">
        <v>1062</v>
      </c>
      <c r="D273" t="s">
        <v>2213</v>
      </c>
      <c r="E273" s="30" t="s">
        <v>19</v>
      </c>
      <c r="F273" s="85" t="s">
        <v>1300</v>
      </c>
      <c r="G273" s="30"/>
      <c r="H273" s="30" t="s">
        <v>2214</v>
      </c>
      <c r="I273" s="142">
        <f t="shared" si="14"/>
        <v>28</v>
      </c>
      <c r="J273" s="147" t="s">
        <v>2215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" thickBot="1" x14ac:dyDescent="0.35">
      <c r="A274" t="s">
        <v>2211</v>
      </c>
      <c r="B274" t="s">
        <v>2216</v>
      </c>
      <c r="C274" t="s">
        <v>1062</v>
      </c>
      <c r="D274" t="s">
        <v>2218</v>
      </c>
      <c r="E274" s="30" t="s">
        <v>19</v>
      </c>
      <c r="F274" s="85" t="s">
        <v>1300</v>
      </c>
      <c r="G274" s="30"/>
      <c r="H274" s="30" t="s">
        <v>2217</v>
      </c>
      <c r="I274" s="142">
        <f t="shared" si="14"/>
        <v>28</v>
      </c>
      <c r="J274" s="147" t="s">
        <v>2219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" thickBot="1" x14ac:dyDescent="0.35">
      <c r="A275" t="s">
        <v>310</v>
      </c>
      <c r="B275" t="s">
        <v>973</v>
      </c>
      <c r="C275" t="s">
        <v>1061</v>
      </c>
      <c r="D275" t="s">
        <v>313</v>
      </c>
      <c r="E275" s="30" t="s">
        <v>19</v>
      </c>
      <c r="F275" s="30" t="s">
        <v>28</v>
      </c>
      <c r="G275" s="30"/>
      <c r="H275" s="30" t="s">
        <v>740</v>
      </c>
      <c r="I275" s="31">
        <f t="shared" si="14"/>
        <v>27</v>
      </c>
      <c r="J275" s="147" t="s">
        <v>1886</v>
      </c>
      <c r="K275" s="31">
        <f t="shared" si="15"/>
        <v>1</v>
      </c>
      <c r="L275" s="32">
        <f t="shared" si="16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2286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" thickBot="1" x14ac:dyDescent="0.35">
      <c r="A276" s="73" t="s">
        <v>310</v>
      </c>
      <c r="B276" s="73" t="s">
        <v>314</v>
      </c>
      <c r="C276" s="73" t="s">
        <v>1061</v>
      </c>
      <c r="D276" s="73" t="s">
        <v>315</v>
      </c>
      <c r="E276" s="85" t="s">
        <v>19</v>
      </c>
      <c r="F276" s="85" t="s">
        <v>1300</v>
      </c>
      <c r="G276" s="85"/>
      <c r="H276" s="85" t="s">
        <v>1372</v>
      </c>
      <c r="I276" s="142">
        <f t="shared" si="14"/>
        <v>28</v>
      </c>
      <c r="J276" s="147" t="s">
        <v>1887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" thickBot="1" x14ac:dyDescent="0.35">
      <c r="A277" t="s">
        <v>310</v>
      </c>
      <c r="B277" t="s">
        <v>316</v>
      </c>
      <c r="C277" t="s">
        <v>1061</v>
      </c>
      <c r="D277" t="s">
        <v>317</v>
      </c>
      <c r="E277" s="30" t="s">
        <v>19</v>
      </c>
      <c r="F277" s="30" t="s">
        <v>1055</v>
      </c>
      <c r="G277" s="30" t="s">
        <v>1254</v>
      </c>
      <c r="H277" s="30" t="s">
        <v>741</v>
      </c>
      <c r="I277" s="31">
        <f t="shared" si="14"/>
        <v>27</v>
      </c>
      <c r="J277" s="147" t="s">
        <v>1888</v>
      </c>
      <c r="K277" s="31">
        <f t="shared" si="15"/>
        <v>1</v>
      </c>
      <c r="L277" s="32">
        <f t="shared" si="16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 t="s">
        <v>2286</v>
      </c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" thickBot="1" x14ac:dyDescent="0.35">
      <c r="A278" s="73" t="s">
        <v>310</v>
      </c>
      <c r="B278" s="73" t="s">
        <v>318</v>
      </c>
      <c r="C278" s="73" t="s">
        <v>1061</v>
      </c>
      <c r="D278" s="73" t="s">
        <v>319</v>
      </c>
      <c r="E278" s="85" t="s">
        <v>19</v>
      </c>
      <c r="F278" s="85" t="s">
        <v>1300</v>
      </c>
      <c r="G278" s="85"/>
      <c r="H278" s="85" t="s">
        <v>1362</v>
      </c>
      <c r="I278" s="142">
        <f t="shared" si="14"/>
        <v>28</v>
      </c>
      <c r="J278" s="147" t="s">
        <v>1889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" thickBot="1" x14ac:dyDescent="0.35">
      <c r="A279" s="73" t="s">
        <v>320</v>
      </c>
      <c r="B279" s="73" t="s">
        <v>321</v>
      </c>
      <c r="C279" s="73" t="s">
        <v>1061</v>
      </c>
      <c r="D279" s="73" t="s">
        <v>322</v>
      </c>
      <c r="E279" s="85" t="s">
        <v>19</v>
      </c>
      <c r="F279" s="85" t="s">
        <v>1300</v>
      </c>
      <c r="G279" s="85"/>
      <c r="H279" s="145" t="s">
        <v>1363</v>
      </c>
      <c r="I279" s="142">
        <f t="shared" si="14"/>
        <v>28</v>
      </c>
      <c r="J279" s="147" t="s">
        <v>1890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" thickBot="1" x14ac:dyDescent="0.35">
      <c r="A280" t="s">
        <v>52</v>
      </c>
      <c r="B280" t="s">
        <v>323</v>
      </c>
      <c r="C280" t="s">
        <v>1061</v>
      </c>
      <c r="D280" t="s">
        <v>324</v>
      </c>
      <c r="E280" s="30" t="s">
        <v>19</v>
      </c>
      <c r="F280" s="30" t="s">
        <v>28</v>
      </c>
      <c r="G280" s="30"/>
      <c r="H280" s="30" t="s">
        <v>742</v>
      </c>
      <c r="I280" s="31">
        <f t="shared" si="14"/>
        <v>27</v>
      </c>
      <c r="J280" s="147" t="s">
        <v>1692</v>
      </c>
      <c r="K280" s="31">
        <f t="shared" si="15"/>
        <v>1</v>
      </c>
      <c r="L280" s="32">
        <f t="shared" si="16"/>
        <v>0.9642857142857143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 t="s">
        <v>2286</v>
      </c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" thickBot="1" x14ac:dyDescent="0.35">
      <c r="A281" t="s">
        <v>310</v>
      </c>
      <c r="B281" t="s">
        <v>325</v>
      </c>
      <c r="C281" t="s">
        <v>1061</v>
      </c>
      <c r="D281" t="s">
        <v>326</v>
      </c>
      <c r="E281" s="30" t="s">
        <v>19</v>
      </c>
      <c r="F281" s="30" t="s">
        <v>28</v>
      </c>
      <c r="G281" s="30"/>
      <c r="H281" s="30" t="s">
        <v>743</v>
      </c>
      <c r="I281" s="31">
        <f t="shared" si="14"/>
        <v>9</v>
      </c>
      <c r="J281" s="147" t="s">
        <v>1891</v>
      </c>
      <c r="K281" s="31">
        <f t="shared" si="15"/>
        <v>19</v>
      </c>
      <c r="L281" s="32">
        <f t="shared" si="16"/>
        <v>0.32142857142857145</v>
      </c>
      <c r="M281" s="70" t="s">
        <v>2286</v>
      </c>
      <c r="N281" s="70" t="s">
        <v>2286</v>
      </c>
      <c r="O281" s="70" t="s">
        <v>2286</v>
      </c>
      <c r="P281" s="70" t="s">
        <v>2286</v>
      </c>
      <c r="Q281" s="70" t="s">
        <v>2286</v>
      </c>
      <c r="R281" s="70" t="s">
        <v>2286</v>
      </c>
      <c r="S281" s="70" t="s">
        <v>2286</v>
      </c>
      <c r="T281" s="70" t="s">
        <v>2286</v>
      </c>
      <c r="U281" s="70" t="s">
        <v>2286</v>
      </c>
      <c r="V281" s="70" t="s">
        <v>2286</v>
      </c>
      <c r="W281" s="70"/>
      <c r="X281" s="70" t="s">
        <v>2286</v>
      </c>
      <c r="Y281" s="70" t="s">
        <v>2286</v>
      </c>
      <c r="Z281" s="70" t="s">
        <v>2286</v>
      </c>
      <c r="AA281" s="70" t="s">
        <v>2286</v>
      </c>
      <c r="AB281" s="70" t="s">
        <v>2286</v>
      </c>
      <c r="AC281" s="70" t="s">
        <v>2286</v>
      </c>
      <c r="AD281" s="70" t="s">
        <v>2286</v>
      </c>
      <c r="AE281" s="70" t="s">
        <v>2286</v>
      </c>
      <c r="AF281" s="70" t="s">
        <v>2286</v>
      </c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s="73" customFormat="1" ht="15" thickBot="1" x14ac:dyDescent="0.35">
      <c r="A282" s="73" t="s">
        <v>310</v>
      </c>
      <c r="B282" s="73" t="s">
        <v>311</v>
      </c>
      <c r="C282" s="73" t="s">
        <v>1061</v>
      </c>
      <c r="D282" s="73" t="s">
        <v>312</v>
      </c>
      <c r="E282" s="85" t="s">
        <v>15</v>
      </c>
      <c r="F282" s="85" t="s">
        <v>1300</v>
      </c>
      <c r="G282" s="85"/>
      <c r="H282" s="85" t="s">
        <v>1371</v>
      </c>
      <c r="I282" s="142">
        <f t="shared" si="14"/>
        <v>28</v>
      </c>
      <c r="J282" s="147" t="s">
        <v>1892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" thickBot="1" x14ac:dyDescent="0.35">
      <c r="A283" s="73" t="s">
        <v>310</v>
      </c>
      <c r="B283" s="73" t="s">
        <v>327</v>
      </c>
      <c r="C283" s="73" t="s">
        <v>1061</v>
      </c>
      <c r="D283" s="73" t="s">
        <v>328</v>
      </c>
      <c r="E283" s="85" t="s">
        <v>15</v>
      </c>
      <c r="F283" s="85" t="s">
        <v>1300</v>
      </c>
      <c r="G283" s="85"/>
      <c r="H283" s="85" t="s">
        <v>744</v>
      </c>
      <c r="I283" s="142">
        <f t="shared" si="14"/>
        <v>28</v>
      </c>
      <c r="J283" s="147" t="s">
        <v>1893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5">
      <c r="A284" s="73" t="s">
        <v>310</v>
      </c>
      <c r="B284" s="73" t="s">
        <v>1341</v>
      </c>
      <c r="C284" s="73" t="s">
        <v>1061</v>
      </c>
      <c r="D284" s="73" t="s">
        <v>1342</v>
      </c>
      <c r="E284" s="85" t="s">
        <v>15</v>
      </c>
      <c r="F284" s="85" t="s">
        <v>1300</v>
      </c>
      <c r="G284" s="85"/>
      <c r="H284" s="85" t="s">
        <v>1357</v>
      </c>
      <c r="I284" s="142">
        <f t="shared" si="14"/>
        <v>21</v>
      </c>
      <c r="J284" s="147" t="s">
        <v>1894</v>
      </c>
      <c r="K284" s="142">
        <f t="shared" si="15"/>
        <v>7</v>
      </c>
      <c r="L284" s="143">
        <f t="shared" si="16"/>
        <v>0.75</v>
      </c>
      <c r="M284" s="70"/>
      <c r="N284" s="70"/>
      <c r="O284" s="70"/>
      <c r="P284" s="70"/>
      <c r="Q284" s="70"/>
      <c r="R284" s="70" t="s">
        <v>2286</v>
      </c>
      <c r="S284" s="70" t="s">
        <v>2286</v>
      </c>
      <c r="T284" s="70" t="s">
        <v>2286</v>
      </c>
      <c r="U284" s="70" t="s">
        <v>2286</v>
      </c>
      <c r="V284" s="70" t="s">
        <v>2286</v>
      </c>
      <c r="W284" s="70"/>
      <c r="X284" s="70" t="s">
        <v>2286</v>
      </c>
      <c r="Y284" s="70"/>
      <c r="Z284" s="70"/>
      <c r="AA284" s="70"/>
      <c r="AB284" s="70" t="s">
        <v>2286</v>
      </c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" thickBot="1" x14ac:dyDescent="0.35">
      <c r="A285" s="73" t="s">
        <v>1538</v>
      </c>
      <c r="B285" s="73" t="s">
        <v>1537</v>
      </c>
      <c r="C285" s="73" t="s">
        <v>1061</v>
      </c>
      <c r="D285" s="73" t="s">
        <v>1539</v>
      </c>
      <c r="E285" s="85" t="s">
        <v>19</v>
      </c>
      <c r="F285" s="85" t="s">
        <v>1300</v>
      </c>
      <c r="G285" s="85"/>
      <c r="H285" s="85" t="s">
        <v>1540</v>
      </c>
      <c r="I285" s="142">
        <f t="shared" si="14"/>
        <v>27</v>
      </c>
      <c r="J285" s="147" t="s">
        <v>1895</v>
      </c>
      <c r="K285" s="142">
        <f t="shared" si="15"/>
        <v>1</v>
      </c>
      <c r="L285" s="143">
        <f t="shared" si="16"/>
        <v>0.9642857142857143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 t="s">
        <v>2286</v>
      </c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" thickBot="1" x14ac:dyDescent="0.35">
      <c r="A286" s="73" t="s">
        <v>1538</v>
      </c>
      <c r="B286" s="73" t="s">
        <v>1652</v>
      </c>
      <c r="C286" s="73" t="s">
        <v>1061</v>
      </c>
      <c r="D286" s="73" t="s">
        <v>1653</v>
      </c>
      <c r="E286" s="85" t="s">
        <v>19</v>
      </c>
      <c r="F286" s="85" t="s">
        <v>28</v>
      </c>
      <c r="G286" s="85"/>
      <c r="H286" s="85" t="s">
        <v>1654</v>
      </c>
      <c r="I286" s="142">
        <f t="shared" si="14"/>
        <v>28</v>
      </c>
      <c r="J286" s="87" t="s">
        <v>2194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" thickBot="1" x14ac:dyDescent="0.35">
      <c r="A287" t="s">
        <v>331</v>
      </c>
      <c r="B287" t="s">
        <v>329</v>
      </c>
      <c r="C287" t="s">
        <v>1062</v>
      </c>
      <c r="D287" t="s">
        <v>330</v>
      </c>
      <c r="E287" s="30" t="s">
        <v>15</v>
      </c>
      <c r="F287" s="30" t="s">
        <v>28</v>
      </c>
      <c r="G287" s="30"/>
      <c r="H287" s="30" t="s">
        <v>745</v>
      </c>
      <c r="I287" s="31">
        <f t="shared" si="14"/>
        <v>28</v>
      </c>
      <c r="J287" s="147" t="s">
        <v>1896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" thickBot="1" x14ac:dyDescent="0.35">
      <c r="A288" t="s">
        <v>331</v>
      </c>
      <c r="B288" t="s">
        <v>332</v>
      </c>
      <c r="C288" t="s">
        <v>1062</v>
      </c>
      <c r="D288" t="s">
        <v>333</v>
      </c>
      <c r="E288" s="30" t="s">
        <v>73</v>
      </c>
      <c r="F288" s="30" t="s">
        <v>28</v>
      </c>
      <c r="G288" s="30"/>
      <c r="H288" s="30" t="s">
        <v>746</v>
      </c>
      <c r="I288" s="31">
        <f t="shared" si="14"/>
        <v>28</v>
      </c>
      <c r="J288" s="147" t="s">
        <v>1897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" thickBot="1" x14ac:dyDescent="0.35">
      <c r="A289" t="s">
        <v>331</v>
      </c>
      <c r="B289" t="s">
        <v>334</v>
      </c>
      <c r="C289" t="s">
        <v>1062</v>
      </c>
      <c r="D289" t="s">
        <v>333</v>
      </c>
      <c r="E289" s="30" t="s">
        <v>73</v>
      </c>
      <c r="F289" s="30" t="s">
        <v>28</v>
      </c>
      <c r="G289" s="30"/>
      <c r="H289" s="30" t="s">
        <v>747</v>
      </c>
      <c r="I289" s="31">
        <f t="shared" si="14"/>
        <v>28</v>
      </c>
      <c r="J289" s="147" t="s">
        <v>1898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" thickBot="1" x14ac:dyDescent="0.35">
      <c r="A290" t="s">
        <v>331</v>
      </c>
      <c r="B290" t="s">
        <v>335</v>
      </c>
      <c r="C290" t="s">
        <v>1062</v>
      </c>
      <c r="D290" t="s">
        <v>336</v>
      </c>
      <c r="E290" s="30" t="s">
        <v>73</v>
      </c>
      <c r="F290" s="30" t="s">
        <v>28</v>
      </c>
      <c r="G290" s="30"/>
      <c r="H290" s="30" t="s">
        <v>748</v>
      </c>
      <c r="I290" s="31">
        <f t="shared" si="14"/>
        <v>28</v>
      </c>
      <c r="J290" s="147" t="s">
        <v>1899</v>
      </c>
      <c r="K290" s="31">
        <f t="shared" si="15"/>
        <v>0</v>
      </c>
      <c r="L290" s="32">
        <f t="shared" si="16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" thickBot="1" x14ac:dyDescent="0.35">
      <c r="A291" t="s">
        <v>331</v>
      </c>
      <c r="B291" t="s">
        <v>337</v>
      </c>
      <c r="C291" t="s">
        <v>1062</v>
      </c>
      <c r="D291" t="s">
        <v>336</v>
      </c>
      <c r="E291" s="30" t="s">
        <v>73</v>
      </c>
      <c r="F291" s="30" t="s">
        <v>28</v>
      </c>
      <c r="G291" s="30"/>
      <c r="H291" s="30" t="s">
        <v>749</v>
      </c>
      <c r="I291" s="31">
        <f t="shared" si="14"/>
        <v>28</v>
      </c>
      <c r="J291" s="147" t="s">
        <v>1900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" thickBot="1" x14ac:dyDescent="0.35">
      <c r="A292" t="s">
        <v>41</v>
      </c>
      <c r="B292" t="s">
        <v>339</v>
      </c>
      <c r="C292" t="s">
        <v>1061</v>
      </c>
      <c r="D292" t="s">
        <v>340</v>
      </c>
      <c r="E292" s="30" t="s">
        <v>15</v>
      </c>
      <c r="F292" s="30" t="s">
        <v>28</v>
      </c>
      <c r="G292" s="30"/>
      <c r="H292" s="30" t="s">
        <v>752</v>
      </c>
      <c r="I292" s="31">
        <f t="shared" si="14"/>
        <v>28</v>
      </c>
      <c r="J292" s="147" t="s">
        <v>1901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" thickBot="1" x14ac:dyDescent="0.35">
      <c r="A293" t="s">
        <v>41</v>
      </c>
      <c r="B293" t="s">
        <v>341</v>
      </c>
      <c r="C293" t="s">
        <v>1061</v>
      </c>
      <c r="D293" t="s">
        <v>340</v>
      </c>
      <c r="E293" s="30" t="s">
        <v>73</v>
      </c>
      <c r="F293" s="30" t="s">
        <v>28</v>
      </c>
      <c r="G293" s="30"/>
      <c r="H293" s="30" t="s">
        <v>753</v>
      </c>
      <c r="I293" s="31">
        <f t="shared" si="14"/>
        <v>28</v>
      </c>
      <c r="J293" s="147" t="s">
        <v>1902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" thickBot="1" x14ac:dyDescent="0.35">
      <c r="A294" t="s">
        <v>41</v>
      </c>
      <c r="B294" t="s">
        <v>975</v>
      </c>
      <c r="C294" t="s">
        <v>1061</v>
      </c>
      <c r="D294" t="s">
        <v>976</v>
      </c>
      <c r="E294" s="30" t="s">
        <v>73</v>
      </c>
      <c r="F294" s="30" t="s">
        <v>28</v>
      </c>
      <c r="G294" s="30"/>
      <c r="H294" s="30" t="s">
        <v>1272</v>
      </c>
      <c r="I294" s="31">
        <f t="shared" si="14"/>
        <v>28</v>
      </c>
      <c r="J294" s="147" t="s">
        <v>1903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" thickBot="1" x14ac:dyDescent="0.35">
      <c r="A295" t="s">
        <v>186</v>
      </c>
      <c r="B295" t="s">
        <v>342</v>
      </c>
      <c r="C295" t="s">
        <v>1062</v>
      </c>
      <c r="D295" t="s">
        <v>343</v>
      </c>
      <c r="E295" s="30" t="s">
        <v>15</v>
      </c>
      <c r="F295" s="30" t="s">
        <v>28</v>
      </c>
      <c r="G295" s="30"/>
      <c r="H295" s="30" t="s">
        <v>754</v>
      </c>
      <c r="I295" s="31">
        <f t="shared" si="14"/>
        <v>28</v>
      </c>
      <c r="J295" s="147" t="s">
        <v>1904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5">
      <c r="A296" t="s">
        <v>186</v>
      </c>
      <c r="B296" t="s">
        <v>344</v>
      </c>
      <c r="C296" t="s">
        <v>1062</v>
      </c>
      <c r="D296" t="s">
        <v>343</v>
      </c>
      <c r="E296" s="30" t="s">
        <v>73</v>
      </c>
      <c r="F296" s="30" t="s">
        <v>28</v>
      </c>
      <c r="G296" s="30"/>
      <c r="H296" s="30" t="s">
        <v>755</v>
      </c>
      <c r="I296" s="31">
        <f t="shared" si="14"/>
        <v>9</v>
      </c>
      <c r="J296" s="147" t="s">
        <v>1905</v>
      </c>
      <c r="K296" s="31">
        <f t="shared" si="15"/>
        <v>19</v>
      </c>
      <c r="L296" s="32">
        <f t="shared" si="16"/>
        <v>0.32142857142857145</v>
      </c>
      <c r="M296" s="70" t="s">
        <v>2286</v>
      </c>
      <c r="N296" s="70" t="s">
        <v>2286</v>
      </c>
      <c r="O296" s="70" t="s">
        <v>2286</v>
      </c>
      <c r="P296" s="70" t="s">
        <v>2286</v>
      </c>
      <c r="Q296" s="70" t="s">
        <v>2286</v>
      </c>
      <c r="R296" s="70" t="s">
        <v>2286</v>
      </c>
      <c r="S296" s="70" t="s">
        <v>2286</v>
      </c>
      <c r="T296" s="70" t="s">
        <v>2286</v>
      </c>
      <c r="U296" s="70" t="s">
        <v>2286</v>
      </c>
      <c r="V296" s="70" t="s">
        <v>2286</v>
      </c>
      <c r="W296" s="70"/>
      <c r="X296" s="70" t="s">
        <v>2286</v>
      </c>
      <c r="Y296" s="70" t="s">
        <v>2286</v>
      </c>
      <c r="Z296" s="70" t="s">
        <v>2286</v>
      </c>
      <c r="AA296" s="70" t="s">
        <v>2286</v>
      </c>
      <c r="AB296" s="70" t="s">
        <v>2286</v>
      </c>
      <c r="AC296" s="70" t="s">
        <v>2286</v>
      </c>
      <c r="AD296" s="70" t="s">
        <v>2286</v>
      </c>
      <c r="AE296" s="70" t="s">
        <v>2286</v>
      </c>
      <c r="AF296" s="70" t="s">
        <v>2286</v>
      </c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" thickBot="1" x14ac:dyDescent="0.35">
      <c r="A297" t="s">
        <v>186</v>
      </c>
      <c r="B297" t="s">
        <v>1294</v>
      </c>
      <c r="C297" t="s">
        <v>1062</v>
      </c>
      <c r="D297" t="s">
        <v>977</v>
      </c>
      <c r="E297" s="30" t="s">
        <v>73</v>
      </c>
      <c r="F297" s="30" t="s">
        <v>28</v>
      </c>
      <c r="G297" s="30"/>
      <c r="H297" s="30" t="s">
        <v>1273</v>
      </c>
      <c r="I297" s="31">
        <f t="shared" si="14"/>
        <v>28</v>
      </c>
      <c r="J297" s="147" t="s">
        <v>1906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" thickBot="1" x14ac:dyDescent="0.35">
      <c r="A298" t="s">
        <v>214</v>
      </c>
      <c r="B298" t="s">
        <v>345</v>
      </c>
      <c r="C298" t="s">
        <v>1062</v>
      </c>
      <c r="D298" t="s">
        <v>346</v>
      </c>
      <c r="E298" s="30" t="s">
        <v>15</v>
      </c>
      <c r="F298" s="30" t="s">
        <v>28</v>
      </c>
      <c r="G298" s="30"/>
      <c r="H298" s="30" t="s">
        <v>756</v>
      </c>
      <c r="I298" s="31">
        <f t="shared" si="14"/>
        <v>27</v>
      </c>
      <c r="J298" s="147" t="s">
        <v>1907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/>
      <c r="R298" s="70" t="s">
        <v>2286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" thickBot="1" x14ac:dyDescent="0.35">
      <c r="A299" t="s">
        <v>214</v>
      </c>
      <c r="B299" t="s">
        <v>347</v>
      </c>
      <c r="C299" t="s">
        <v>1062</v>
      </c>
      <c r="D299" t="s">
        <v>346</v>
      </c>
      <c r="E299" s="30" t="s">
        <v>73</v>
      </c>
      <c r="F299" s="30" t="s">
        <v>28</v>
      </c>
      <c r="G299" s="30"/>
      <c r="H299" s="30" t="s">
        <v>757</v>
      </c>
      <c r="I299" s="31">
        <f t="shared" si="14"/>
        <v>27</v>
      </c>
      <c r="J299" s="147" t="s">
        <v>1908</v>
      </c>
      <c r="K299" s="31">
        <f t="shared" si="15"/>
        <v>1</v>
      </c>
      <c r="L299" s="32">
        <f t="shared" si="16"/>
        <v>0.9642857142857143</v>
      </c>
      <c r="M299" s="70"/>
      <c r="N299" s="70"/>
      <c r="O299" s="70"/>
      <c r="P299" s="70"/>
      <c r="Q299" s="70"/>
      <c r="R299" s="70" t="s">
        <v>2286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" thickBot="1" x14ac:dyDescent="0.35">
      <c r="A300" t="s">
        <v>214</v>
      </c>
      <c r="B300" t="s">
        <v>1293</v>
      </c>
      <c r="C300" t="s">
        <v>1062</v>
      </c>
      <c r="D300" t="s">
        <v>978</v>
      </c>
      <c r="E300" s="30" t="s">
        <v>19</v>
      </c>
      <c r="F300" s="30" t="s">
        <v>28</v>
      </c>
      <c r="G300" s="30"/>
      <c r="H300" s="30" t="s">
        <v>1274</v>
      </c>
      <c r="I300" s="31">
        <f t="shared" si="14"/>
        <v>28</v>
      </c>
      <c r="J300" s="147" t="s">
        <v>1909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" thickBot="1" x14ac:dyDescent="0.35">
      <c r="A301" t="s">
        <v>287</v>
      </c>
      <c r="B301" t="s">
        <v>348</v>
      </c>
      <c r="C301" t="s">
        <v>1062</v>
      </c>
      <c r="D301" t="s">
        <v>349</v>
      </c>
      <c r="E301" s="30" t="s">
        <v>73</v>
      </c>
      <c r="F301" s="30" t="s">
        <v>28</v>
      </c>
      <c r="G301" s="30"/>
      <c r="H301" s="30" t="s">
        <v>759</v>
      </c>
      <c r="I301" s="31">
        <f t="shared" si="14"/>
        <v>28</v>
      </c>
      <c r="J301" s="147" t="s">
        <v>1910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" thickBot="1" x14ac:dyDescent="0.35">
      <c r="A302" t="s">
        <v>287</v>
      </c>
      <c r="B302" t="s">
        <v>364</v>
      </c>
      <c r="C302" t="s">
        <v>1062</v>
      </c>
      <c r="D302" t="s">
        <v>349</v>
      </c>
      <c r="E302" s="30" t="s">
        <v>15</v>
      </c>
      <c r="F302" s="30" t="s">
        <v>28</v>
      </c>
      <c r="G302" s="30"/>
      <c r="H302" s="30" t="s">
        <v>760</v>
      </c>
      <c r="I302" s="31">
        <f t="shared" si="14"/>
        <v>28</v>
      </c>
      <c r="J302" s="147" t="s">
        <v>1911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" thickBot="1" x14ac:dyDescent="0.35">
      <c r="A303" t="s">
        <v>287</v>
      </c>
      <c r="B303" t="s">
        <v>979</v>
      </c>
      <c r="C303" t="s">
        <v>1062</v>
      </c>
      <c r="D303" t="s">
        <v>980</v>
      </c>
      <c r="E303" s="30" t="s">
        <v>73</v>
      </c>
      <c r="F303" s="30" t="s">
        <v>28</v>
      </c>
      <c r="G303" s="30"/>
      <c r="H303" s="30" t="s">
        <v>1275</v>
      </c>
      <c r="I303" s="31">
        <f t="shared" si="14"/>
        <v>28</v>
      </c>
      <c r="J303" s="147" t="s">
        <v>1912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" thickBot="1" x14ac:dyDescent="0.35">
      <c r="A304" t="s">
        <v>350</v>
      </c>
      <c r="B304" t="s">
        <v>351</v>
      </c>
      <c r="C304" t="s">
        <v>1062</v>
      </c>
      <c r="D304" t="s">
        <v>352</v>
      </c>
      <c r="E304" s="30" t="s">
        <v>15</v>
      </c>
      <c r="F304" s="30" t="s">
        <v>28</v>
      </c>
      <c r="G304" s="30"/>
      <c r="H304" s="30" t="s">
        <v>761</v>
      </c>
      <c r="I304" s="31">
        <f t="shared" si="14"/>
        <v>28</v>
      </c>
      <c r="J304" s="147" t="s">
        <v>1913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" thickBot="1" x14ac:dyDescent="0.35">
      <c r="A305" t="s">
        <v>350</v>
      </c>
      <c r="B305" t="s">
        <v>353</v>
      </c>
      <c r="C305" t="s">
        <v>1062</v>
      </c>
      <c r="D305" t="s">
        <v>352</v>
      </c>
      <c r="E305" s="30" t="s">
        <v>73</v>
      </c>
      <c r="F305" s="30" t="s">
        <v>28</v>
      </c>
      <c r="G305" s="30"/>
      <c r="H305" s="30" t="s">
        <v>762</v>
      </c>
      <c r="I305" s="31">
        <f t="shared" si="14"/>
        <v>28</v>
      </c>
      <c r="J305" s="147" t="s">
        <v>1914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" thickBot="1" x14ac:dyDescent="0.35">
      <c r="A306" t="s">
        <v>350</v>
      </c>
      <c r="B306" t="s">
        <v>981</v>
      </c>
      <c r="C306" t="s">
        <v>1062</v>
      </c>
      <c r="D306" t="s">
        <v>352</v>
      </c>
      <c r="E306" s="30" t="s">
        <v>19</v>
      </c>
      <c r="F306" s="30" t="s">
        <v>28</v>
      </c>
      <c r="G306" s="30"/>
      <c r="H306" s="30" t="s">
        <v>1276</v>
      </c>
      <c r="I306" s="31">
        <f t="shared" si="14"/>
        <v>28</v>
      </c>
      <c r="J306" s="147" t="s">
        <v>1915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" thickBot="1" x14ac:dyDescent="0.35">
      <c r="A307" t="s">
        <v>354</v>
      </c>
      <c r="B307" t="s">
        <v>974</v>
      </c>
      <c r="C307" t="s">
        <v>1062</v>
      </c>
      <c r="D307" t="s">
        <v>355</v>
      </c>
      <c r="E307" s="30" t="s">
        <v>15</v>
      </c>
      <c r="F307" s="30" t="s">
        <v>28</v>
      </c>
      <c r="G307" s="30"/>
      <c r="H307" s="30" t="s">
        <v>767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" thickBot="1" x14ac:dyDescent="0.35">
      <c r="A308" s="73" t="s">
        <v>196</v>
      </c>
      <c r="B308" s="73" t="s">
        <v>356</v>
      </c>
      <c r="C308" s="73" t="s">
        <v>1062</v>
      </c>
      <c r="D308" s="73" t="s">
        <v>357</v>
      </c>
      <c r="E308" s="85" t="s">
        <v>15</v>
      </c>
      <c r="F308" s="85" t="s">
        <v>1300</v>
      </c>
      <c r="G308" s="85"/>
      <c r="H308" s="85" t="s">
        <v>763</v>
      </c>
      <c r="I308" s="142">
        <f t="shared" si="14"/>
        <v>9</v>
      </c>
      <c r="J308" s="147" t="s">
        <v>1916</v>
      </c>
      <c r="K308" s="142">
        <f t="shared" si="15"/>
        <v>19</v>
      </c>
      <c r="L308" s="143">
        <f t="shared" si="16"/>
        <v>0.32142857142857145</v>
      </c>
      <c r="M308" s="70" t="s">
        <v>2286</v>
      </c>
      <c r="N308" s="70" t="s">
        <v>2286</v>
      </c>
      <c r="O308" s="70" t="s">
        <v>2286</v>
      </c>
      <c r="P308" s="70" t="s">
        <v>2286</v>
      </c>
      <c r="Q308" s="70" t="s">
        <v>2286</v>
      </c>
      <c r="R308" s="70" t="s">
        <v>2286</v>
      </c>
      <c r="S308" s="70" t="s">
        <v>2286</v>
      </c>
      <c r="T308" s="70" t="s">
        <v>2286</v>
      </c>
      <c r="U308" s="70" t="s">
        <v>2286</v>
      </c>
      <c r="V308" s="70" t="s">
        <v>2286</v>
      </c>
      <c r="W308" s="70"/>
      <c r="X308" s="70" t="s">
        <v>2286</v>
      </c>
      <c r="Y308" s="70" t="s">
        <v>2286</v>
      </c>
      <c r="Z308" s="70" t="s">
        <v>2286</v>
      </c>
      <c r="AA308" s="70" t="s">
        <v>2286</v>
      </c>
      <c r="AB308" s="70" t="s">
        <v>2286</v>
      </c>
      <c r="AC308" s="70" t="s">
        <v>2286</v>
      </c>
      <c r="AD308" s="70" t="s">
        <v>2286</v>
      </c>
      <c r="AE308" s="70" t="s">
        <v>2286</v>
      </c>
      <c r="AF308" s="70" t="s">
        <v>2286</v>
      </c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" thickBot="1" x14ac:dyDescent="0.35">
      <c r="A309" s="73" t="s">
        <v>196</v>
      </c>
      <c r="B309" s="73" t="s">
        <v>358</v>
      </c>
      <c r="C309" s="73" t="s">
        <v>1062</v>
      </c>
      <c r="D309" s="73" t="s">
        <v>357</v>
      </c>
      <c r="E309" s="85" t="s">
        <v>73</v>
      </c>
      <c r="F309" s="85" t="s">
        <v>1300</v>
      </c>
      <c r="G309" s="85"/>
      <c r="H309" s="85" t="s">
        <v>1630</v>
      </c>
      <c r="I309" s="142">
        <f t="shared" si="14"/>
        <v>28</v>
      </c>
      <c r="J309" s="147" t="s">
        <v>2151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" thickBot="1" x14ac:dyDescent="0.35">
      <c r="A310" s="73" t="s">
        <v>196</v>
      </c>
      <c r="B310" s="73" t="s">
        <v>982</v>
      </c>
      <c r="C310" s="73" t="s">
        <v>1062</v>
      </c>
      <c r="D310" s="73" t="s">
        <v>983</v>
      </c>
      <c r="E310" s="85" t="s">
        <v>73</v>
      </c>
      <c r="F310" s="85" t="s">
        <v>1300</v>
      </c>
      <c r="G310" s="85"/>
      <c r="H310" s="85" t="s">
        <v>1277</v>
      </c>
      <c r="I310" s="31">
        <f t="shared" ref="I310:I380" si="17">COUNTIF(M310:AN310,"")</f>
        <v>9</v>
      </c>
      <c r="J310" s="147" t="s">
        <v>1917</v>
      </c>
      <c r="K310" s="31">
        <f t="shared" ref="K310:K380" si="18">COUNTIF(M310:AN310,"APAGADO")</f>
        <v>19</v>
      </c>
      <c r="L310" s="32">
        <f t="shared" ref="L310:L380" si="19">(I310)/(K310+I310)</f>
        <v>0.32142857142857145</v>
      </c>
      <c r="M310" s="70" t="s">
        <v>2286</v>
      </c>
      <c r="N310" s="70" t="s">
        <v>2286</v>
      </c>
      <c r="O310" s="70" t="s">
        <v>2286</v>
      </c>
      <c r="P310" s="70" t="s">
        <v>2286</v>
      </c>
      <c r="Q310" s="70" t="s">
        <v>2286</v>
      </c>
      <c r="R310" s="70" t="s">
        <v>2286</v>
      </c>
      <c r="S310" s="70" t="s">
        <v>2286</v>
      </c>
      <c r="T310" s="70" t="s">
        <v>2286</v>
      </c>
      <c r="U310" s="70" t="s">
        <v>2286</v>
      </c>
      <c r="V310" s="70" t="s">
        <v>2286</v>
      </c>
      <c r="W310" s="70"/>
      <c r="X310" s="70" t="s">
        <v>2286</v>
      </c>
      <c r="Y310" s="70" t="s">
        <v>2286</v>
      </c>
      <c r="Z310" s="70" t="s">
        <v>2286</v>
      </c>
      <c r="AA310" s="70" t="s">
        <v>2286</v>
      </c>
      <c r="AB310" s="70" t="s">
        <v>2286</v>
      </c>
      <c r="AC310" s="70" t="s">
        <v>2286</v>
      </c>
      <c r="AD310" s="70" t="s">
        <v>2286</v>
      </c>
      <c r="AE310" s="70" t="s">
        <v>2286</v>
      </c>
      <c r="AF310" s="70" t="s">
        <v>2286</v>
      </c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" thickBot="1" x14ac:dyDescent="0.35">
      <c r="A311" s="73" t="s">
        <v>359</v>
      </c>
      <c r="B311" s="73" t="s">
        <v>1208</v>
      </c>
      <c r="C311" s="73" t="s">
        <v>1062</v>
      </c>
      <c r="D311" s="73" t="s">
        <v>1209</v>
      </c>
      <c r="E311" s="85" t="s">
        <v>15</v>
      </c>
      <c r="F311" s="85" t="s">
        <v>1300</v>
      </c>
      <c r="G311" s="85"/>
      <c r="H311" s="85" t="s">
        <v>768</v>
      </c>
      <c r="I311" s="142">
        <f t="shared" si="17"/>
        <v>12</v>
      </c>
      <c r="J311" s="147" t="s">
        <v>1918</v>
      </c>
      <c r="K311" s="142">
        <f t="shared" si="18"/>
        <v>16</v>
      </c>
      <c r="L311" s="143">
        <f t="shared" si="19"/>
        <v>0.42857142857142855</v>
      </c>
      <c r="M311" s="70"/>
      <c r="N311" s="70" t="s">
        <v>2286</v>
      </c>
      <c r="O311" s="70" t="s">
        <v>2286</v>
      </c>
      <c r="P311" s="70" t="s">
        <v>2286</v>
      </c>
      <c r="Q311" s="70" t="s">
        <v>2286</v>
      </c>
      <c r="R311" s="70" t="s">
        <v>2286</v>
      </c>
      <c r="S311" s="70" t="s">
        <v>2286</v>
      </c>
      <c r="T311" s="70"/>
      <c r="U311" s="70"/>
      <c r="V311" s="70" t="s">
        <v>2286</v>
      </c>
      <c r="W311" s="70"/>
      <c r="X311" s="70" t="s">
        <v>2286</v>
      </c>
      <c r="Y311" s="70" t="s">
        <v>2286</v>
      </c>
      <c r="Z311" s="70" t="s">
        <v>2286</v>
      </c>
      <c r="AA311" s="70" t="s">
        <v>2286</v>
      </c>
      <c r="AB311" s="70" t="s">
        <v>2286</v>
      </c>
      <c r="AC311" s="70" t="s">
        <v>2286</v>
      </c>
      <c r="AD311" s="70" t="s">
        <v>2286</v>
      </c>
      <c r="AE311" s="70" t="s">
        <v>2286</v>
      </c>
      <c r="AF311" s="70" t="s">
        <v>2286</v>
      </c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" thickBot="1" x14ac:dyDescent="0.35">
      <c r="A312" s="73" t="s">
        <v>359</v>
      </c>
      <c r="B312" s="73" t="s">
        <v>360</v>
      </c>
      <c r="C312" s="73" t="s">
        <v>1062</v>
      </c>
      <c r="D312" s="73" t="s">
        <v>1209</v>
      </c>
      <c r="E312" s="85" t="s">
        <v>73</v>
      </c>
      <c r="F312" s="85" t="s">
        <v>1300</v>
      </c>
      <c r="G312" s="85"/>
      <c r="H312" s="85" t="s">
        <v>769</v>
      </c>
      <c r="I312" s="142">
        <f t="shared" si="17"/>
        <v>12</v>
      </c>
      <c r="J312" s="87" t="s">
        <v>2195</v>
      </c>
      <c r="K312" s="142">
        <f t="shared" si="18"/>
        <v>16</v>
      </c>
      <c r="L312" s="143">
        <f t="shared" si="19"/>
        <v>0.42857142857142855</v>
      </c>
      <c r="M312" s="70"/>
      <c r="N312" s="70" t="s">
        <v>2286</v>
      </c>
      <c r="O312" s="70" t="s">
        <v>2286</v>
      </c>
      <c r="P312" s="70" t="s">
        <v>2286</v>
      </c>
      <c r="Q312" s="70" t="s">
        <v>2286</v>
      </c>
      <c r="R312" s="70" t="s">
        <v>2286</v>
      </c>
      <c r="S312" s="70" t="s">
        <v>2286</v>
      </c>
      <c r="T312" s="70"/>
      <c r="U312" s="70"/>
      <c r="V312" s="70" t="s">
        <v>2286</v>
      </c>
      <c r="W312" s="70"/>
      <c r="X312" s="70" t="s">
        <v>2286</v>
      </c>
      <c r="Y312" s="70" t="s">
        <v>2286</v>
      </c>
      <c r="Z312" s="70" t="s">
        <v>2286</v>
      </c>
      <c r="AA312" s="70" t="s">
        <v>2286</v>
      </c>
      <c r="AB312" s="70" t="s">
        <v>2286</v>
      </c>
      <c r="AC312" s="70" t="s">
        <v>2286</v>
      </c>
      <c r="AD312" s="70" t="s">
        <v>2286</v>
      </c>
      <c r="AE312" s="70" t="s">
        <v>2286</v>
      </c>
      <c r="AF312" s="70" t="s">
        <v>2286</v>
      </c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s="73" customFormat="1" ht="15" thickBot="1" x14ac:dyDescent="0.35">
      <c r="A313" s="73" t="s">
        <v>359</v>
      </c>
      <c r="B313" s="73" t="s">
        <v>984</v>
      </c>
      <c r="C313" s="73" t="s">
        <v>1062</v>
      </c>
      <c r="D313" s="73" t="s">
        <v>985</v>
      </c>
      <c r="E313" s="85" t="s">
        <v>19</v>
      </c>
      <c r="F313" s="85" t="s">
        <v>1300</v>
      </c>
      <c r="G313" s="85"/>
      <c r="H313" s="85" t="s">
        <v>1278</v>
      </c>
      <c r="I313" s="142">
        <f t="shared" si="17"/>
        <v>12</v>
      </c>
      <c r="J313" s="147" t="s">
        <v>1919</v>
      </c>
      <c r="K313" s="142">
        <f t="shared" si="18"/>
        <v>16</v>
      </c>
      <c r="L313" s="143">
        <f t="shared" si="19"/>
        <v>0.42857142857142855</v>
      </c>
      <c r="M313" s="70"/>
      <c r="N313" s="70" t="s">
        <v>2286</v>
      </c>
      <c r="O313" s="70" t="s">
        <v>2286</v>
      </c>
      <c r="P313" s="70" t="s">
        <v>2286</v>
      </c>
      <c r="Q313" s="70" t="s">
        <v>2286</v>
      </c>
      <c r="R313" s="70" t="s">
        <v>2286</v>
      </c>
      <c r="S313" s="70" t="s">
        <v>2286</v>
      </c>
      <c r="T313" s="70"/>
      <c r="U313" s="70"/>
      <c r="V313" s="70" t="s">
        <v>2286</v>
      </c>
      <c r="W313" s="70"/>
      <c r="X313" s="70" t="s">
        <v>2286</v>
      </c>
      <c r="Y313" s="70" t="s">
        <v>2286</v>
      </c>
      <c r="Z313" s="70" t="s">
        <v>2286</v>
      </c>
      <c r="AA313" s="70" t="s">
        <v>2286</v>
      </c>
      <c r="AB313" s="70" t="s">
        <v>2286</v>
      </c>
      <c r="AC313" s="70" t="s">
        <v>2286</v>
      </c>
      <c r="AD313" s="70" t="s">
        <v>2286</v>
      </c>
      <c r="AE313" s="70" t="s">
        <v>2286</v>
      </c>
      <c r="AF313" s="70" t="s">
        <v>2286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89"/>
      <c r="AQ313" s="89"/>
    </row>
    <row r="314" spans="1:43" ht="15" thickBot="1" x14ac:dyDescent="0.35">
      <c r="A314" t="s">
        <v>350</v>
      </c>
      <c r="B314" t="s">
        <v>361</v>
      </c>
      <c r="C314" t="s">
        <v>1062</v>
      </c>
      <c r="D314" t="s">
        <v>362</v>
      </c>
      <c r="E314" s="30" t="s">
        <v>15</v>
      </c>
      <c r="F314" s="30" t="s">
        <v>28</v>
      </c>
      <c r="G314" s="30"/>
      <c r="H314" s="30" t="s">
        <v>765</v>
      </c>
      <c r="I314" s="31">
        <f t="shared" si="17"/>
        <v>9</v>
      </c>
      <c r="J314" s="147" t="s">
        <v>1920</v>
      </c>
      <c r="K314" s="31">
        <f t="shared" si="18"/>
        <v>19</v>
      </c>
      <c r="L314" s="32">
        <f t="shared" si="19"/>
        <v>0.32142857142857145</v>
      </c>
      <c r="M314" s="70" t="s">
        <v>2286</v>
      </c>
      <c r="N314" s="70" t="s">
        <v>2286</v>
      </c>
      <c r="O314" s="70" t="s">
        <v>2286</v>
      </c>
      <c r="P314" s="70" t="s">
        <v>2286</v>
      </c>
      <c r="Q314" s="70" t="s">
        <v>2286</v>
      </c>
      <c r="R314" s="70" t="s">
        <v>2286</v>
      </c>
      <c r="S314" s="70" t="s">
        <v>2286</v>
      </c>
      <c r="T314" s="70" t="s">
        <v>2286</v>
      </c>
      <c r="U314" s="70" t="s">
        <v>2286</v>
      </c>
      <c r="V314" s="70" t="s">
        <v>2286</v>
      </c>
      <c r="W314" s="70"/>
      <c r="X314" s="70" t="s">
        <v>2286</v>
      </c>
      <c r="Y314" s="70" t="s">
        <v>2286</v>
      </c>
      <c r="Z314" s="70" t="s">
        <v>2286</v>
      </c>
      <c r="AA314" s="70" t="s">
        <v>2286</v>
      </c>
      <c r="AB314" s="70" t="s">
        <v>2286</v>
      </c>
      <c r="AC314" s="70" t="s">
        <v>2286</v>
      </c>
      <c r="AD314" s="70" t="s">
        <v>2286</v>
      </c>
      <c r="AE314" s="70" t="s">
        <v>2286</v>
      </c>
      <c r="AF314" s="70" t="s">
        <v>2286</v>
      </c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" thickBot="1" x14ac:dyDescent="0.35">
      <c r="A315" t="s">
        <v>350</v>
      </c>
      <c r="B315" t="s">
        <v>363</v>
      </c>
      <c r="C315" t="s">
        <v>1062</v>
      </c>
      <c r="D315" t="s">
        <v>362</v>
      </c>
      <c r="E315" s="30" t="s">
        <v>73</v>
      </c>
      <c r="F315" s="30" t="s">
        <v>28</v>
      </c>
      <c r="G315" s="30"/>
      <c r="H315" s="30" t="s">
        <v>764</v>
      </c>
      <c r="I315" s="31">
        <f t="shared" si="17"/>
        <v>12</v>
      </c>
      <c r="J315" s="147" t="s">
        <v>1921</v>
      </c>
      <c r="K315" s="31">
        <f t="shared" si="18"/>
        <v>16</v>
      </c>
      <c r="L315" s="32">
        <f t="shared" si="19"/>
        <v>0.42857142857142855</v>
      </c>
      <c r="M315" s="70" t="s">
        <v>2286</v>
      </c>
      <c r="N315" s="70" t="s">
        <v>2286</v>
      </c>
      <c r="O315" s="70" t="s">
        <v>2286</v>
      </c>
      <c r="P315" s="70" t="s">
        <v>2286</v>
      </c>
      <c r="Q315" s="70" t="s">
        <v>2286</v>
      </c>
      <c r="R315" s="70"/>
      <c r="S315" s="70"/>
      <c r="T315" s="70" t="s">
        <v>2286</v>
      </c>
      <c r="U315" s="70" t="s">
        <v>2286</v>
      </c>
      <c r="W315" s="70"/>
      <c r="X315" s="70" t="s">
        <v>2286</v>
      </c>
      <c r="Y315" s="70" t="s">
        <v>2286</v>
      </c>
      <c r="Z315" s="70" t="s">
        <v>2286</v>
      </c>
      <c r="AA315" s="70" t="s">
        <v>2286</v>
      </c>
      <c r="AB315" s="70" t="s">
        <v>2286</v>
      </c>
      <c r="AC315" s="70" t="s">
        <v>2286</v>
      </c>
      <c r="AD315" s="70" t="s">
        <v>2286</v>
      </c>
      <c r="AE315" s="70" t="s">
        <v>2286</v>
      </c>
      <c r="AF315" s="70" t="s">
        <v>2286</v>
      </c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" thickBot="1" x14ac:dyDescent="0.35">
      <c r="A316" t="s">
        <v>350</v>
      </c>
      <c r="B316" t="s">
        <v>986</v>
      </c>
      <c r="C316" t="s">
        <v>1062</v>
      </c>
      <c r="D316" t="s">
        <v>987</v>
      </c>
      <c r="E316" s="30" t="s">
        <v>73</v>
      </c>
      <c r="F316" s="30" t="s">
        <v>28</v>
      </c>
      <c r="G316" s="30"/>
      <c r="H316" s="30" t="s">
        <v>1279</v>
      </c>
      <c r="I316" s="31">
        <f t="shared" si="17"/>
        <v>12</v>
      </c>
      <c r="J316" s="147" t="s">
        <v>1922</v>
      </c>
      <c r="K316" s="31">
        <f t="shared" si="18"/>
        <v>16</v>
      </c>
      <c r="L316" s="32">
        <f t="shared" si="19"/>
        <v>0.42857142857142855</v>
      </c>
      <c r="M316" s="70" t="s">
        <v>2286</v>
      </c>
      <c r="N316" s="70" t="s">
        <v>2286</v>
      </c>
      <c r="O316" s="70" t="s">
        <v>2286</v>
      </c>
      <c r="P316" s="70" t="s">
        <v>2286</v>
      </c>
      <c r="Q316" s="70" t="s">
        <v>2286</v>
      </c>
      <c r="R316" s="70"/>
      <c r="S316" s="70"/>
      <c r="T316" s="70" t="s">
        <v>2286</v>
      </c>
      <c r="U316" s="70" t="s">
        <v>2286</v>
      </c>
      <c r="V316" s="70"/>
      <c r="W316" s="70"/>
      <c r="X316" s="70" t="s">
        <v>2286</v>
      </c>
      <c r="Y316" s="70" t="s">
        <v>2286</v>
      </c>
      <c r="Z316" s="70" t="s">
        <v>2286</v>
      </c>
      <c r="AA316" s="70" t="s">
        <v>2286</v>
      </c>
      <c r="AB316" s="70" t="s">
        <v>2286</v>
      </c>
      <c r="AC316" s="70" t="s">
        <v>2286</v>
      </c>
      <c r="AD316" s="70" t="s">
        <v>2286</v>
      </c>
      <c r="AE316" s="70" t="s">
        <v>2286</v>
      </c>
      <c r="AF316" s="70" t="s">
        <v>2286</v>
      </c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" thickBot="1" x14ac:dyDescent="0.35">
      <c r="A317" t="s">
        <v>229</v>
      </c>
      <c r="B317" t="s">
        <v>1290</v>
      </c>
      <c r="C317" t="s">
        <v>1062</v>
      </c>
      <c r="D317" t="s">
        <v>989</v>
      </c>
      <c r="E317" s="30" t="s">
        <v>73</v>
      </c>
      <c r="F317" s="30" t="s">
        <v>28</v>
      </c>
      <c r="G317" s="30"/>
      <c r="H317" s="30" t="s">
        <v>766</v>
      </c>
      <c r="I317" s="31">
        <f t="shared" si="17"/>
        <v>28</v>
      </c>
      <c r="J317" s="147" t="s">
        <v>1923</v>
      </c>
      <c r="K317" s="31">
        <f t="shared" si="18"/>
        <v>0</v>
      </c>
      <c r="L317" s="32">
        <f t="shared" si="19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" thickBot="1" x14ac:dyDescent="0.35">
      <c r="A318" t="s">
        <v>229</v>
      </c>
      <c r="B318" t="s">
        <v>1291</v>
      </c>
      <c r="C318" t="s">
        <v>1062</v>
      </c>
      <c r="D318" t="s">
        <v>989</v>
      </c>
      <c r="E318" s="30" t="s">
        <v>73</v>
      </c>
      <c r="F318" s="30" t="s">
        <v>28</v>
      </c>
      <c r="G318" s="30"/>
      <c r="H318" s="30" t="s">
        <v>758</v>
      </c>
      <c r="I318" s="31">
        <f t="shared" si="17"/>
        <v>28</v>
      </c>
      <c r="J318" s="147" t="s">
        <v>1924</v>
      </c>
      <c r="K318" s="31">
        <f t="shared" si="18"/>
        <v>0</v>
      </c>
      <c r="L318" s="32">
        <f t="shared" si="19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" thickBot="1" x14ac:dyDescent="0.35">
      <c r="A319" t="s">
        <v>229</v>
      </c>
      <c r="B319" t="s">
        <v>988</v>
      </c>
      <c r="C319" t="s">
        <v>1062</v>
      </c>
      <c r="D319" t="s">
        <v>989</v>
      </c>
      <c r="E319" s="30" t="s">
        <v>73</v>
      </c>
      <c r="F319" s="30" t="s">
        <v>28</v>
      </c>
      <c r="G319" s="30"/>
      <c r="H319" s="30" t="s">
        <v>1292</v>
      </c>
      <c r="I319" s="31">
        <f t="shared" si="17"/>
        <v>28</v>
      </c>
      <c r="J319" s="147" t="s">
        <v>1925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" thickBot="1" x14ac:dyDescent="0.35">
      <c r="A320" t="s">
        <v>365</v>
      </c>
      <c r="B320" t="s">
        <v>366</v>
      </c>
      <c r="C320" t="s">
        <v>1062</v>
      </c>
      <c r="D320" t="s">
        <v>367</v>
      </c>
      <c r="E320" s="30" t="s">
        <v>15</v>
      </c>
      <c r="F320" s="30" t="s">
        <v>28</v>
      </c>
      <c r="G320" s="30"/>
      <c r="H320" s="30" t="s">
        <v>770</v>
      </c>
      <c r="I320" s="31">
        <f t="shared" si="17"/>
        <v>27</v>
      </c>
      <c r="J320" s="147" t="s">
        <v>1926</v>
      </c>
      <c r="K320" s="31">
        <f t="shared" si="18"/>
        <v>1</v>
      </c>
      <c r="L320" s="32">
        <f t="shared" si="19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2286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" thickBot="1" x14ac:dyDescent="0.35">
      <c r="A321" t="s">
        <v>365</v>
      </c>
      <c r="B321" t="s">
        <v>990</v>
      </c>
      <c r="C321" t="s">
        <v>1062</v>
      </c>
      <c r="D321" t="s">
        <v>368</v>
      </c>
      <c r="E321" s="30" t="s">
        <v>15</v>
      </c>
      <c r="F321" s="30" t="s">
        <v>28</v>
      </c>
      <c r="G321" s="30"/>
      <c r="H321" s="30" t="s">
        <v>771</v>
      </c>
      <c r="I321" s="31">
        <f t="shared" si="17"/>
        <v>28</v>
      </c>
      <c r="J321" s="147" t="s">
        <v>1927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" thickBot="1" x14ac:dyDescent="0.35">
      <c r="A322" t="s">
        <v>365</v>
      </c>
      <c r="B322" t="s">
        <v>369</v>
      </c>
      <c r="C322" t="s">
        <v>1062</v>
      </c>
      <c r="D322" t="s">
        <v>370</v>
      </c>
      <c r="E322" s="30" t="s">
        <v>73</v>
      </c>
      <c r="F322" s="30" t="s">
        <v>28</v>
      </c>
      <c r="G322" s="30"/>
      <c r="H322" s="30" t="s">
        <v>772</v>
      </c>
      <c r="I322" s="31">
        <f t="shared" si="17"/>
        <v>28</v>
      </c>
      <c r="J322" s="147" t="s">
        <v>1928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" thickBot="1" x14ac:dyDescent="0.35">
      <c r="A323" t="s">
        <v>365</v>
      </c>
      <c r="B323" t="s">
        <v>371</v>
      </c>
      <c r="C323" t="s">
        <v>1062</v>
      </c>
      <c r="D323" t="s">
        <v>370</v>
      </c>
      <c r="E323" s="30" t="s">
        <v>73</v>
      </c>
      <c r="F323" s="30" t="s">
        <v>28</v>
      </c>
      <c r="G323" s="30"/>
      <c r="H323" s="30" t="s">
        <v>773</v>
      </c>
      <c r="I323" s="31">
        <f t="shared" si="17"/>
        <v>28</v>
      </c>
      <c r="J323" s="147" t="s">
        <v>1929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" thickBot="1" x14ac:dyDescent="0.35">
      <c r="A324" t="s">
        <v>365</v>
      </c>
      <c r="B324" t="s">
        <v>372</v>
      </c>
      <c r="C324" t="s">
        <v>1062</v>
      </c>
      <c r="D324" t="s">
        <v>373</v>
      </c>
      <c r="E324" s="30" t="s">
        <v>73</v>
      </c>
      <c r="F324" s="30" t="s">
        <v>28</v>
      </c>
      <c r="G324" s="30"/>
      <c r="H324" s="30" t="s">
        <v>774</v>
      </c>
      <c r="I324" s="31">
        <f t="shared" si="17"/>
        <v>28</v>
      </c>
      <c r="J324" s="147" t="s">
        <v>1930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" thickBot="1" x14ac:dyDescent="0.35">
      <c r="A325" t="s">
        <v>365</v>
      </c>
      <c r="B325" t="s">
        <v>374</v>
      </c>
      <c r="C325" t="s">
        <v>1062</v>
      </c>
      <c r="D325" t="s">
        <v>373</v>
      </c>
      <c r="E325" s="30" t="s">
        <v>46</v>
      </c>
      <c r="F325" s="30" t="s">
        <v>28</v>
      </c>
      <c r="G325" s="30"/>
      <c r="H325" s="30" t="s">
        <v>775</v>
      </c>
      <c r="I325" s="31">
        <f t="shared" si="17"/>
        <v>28</v>
      </c>
      <c r="J325" s="147" t="s">
        <v>1931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" thickBot="1" x14ac:dyDescent="0.35">
      <c r="A326" t="s">
        <v>365</v>
      </c>
      <c r="B326" t="s">
        <v>1334</v>
      </c>
      <c r="C326" t="s">
        <v>1061</v>
      </c>
      <c r="D326" t="s">
        <v>1335</v>
      </c>
      <c r="E326" s="30"/>
      <c r="F326" s="30" t="s">
        <v>28</v>
      </c>
      <c r="G326" s="30"/>
      <c r="H326" s="30" t="s">
        <v>1345</v>
      </c>
      <c r="I326" s="31">
        <f t="shared" si="17"/>
        <v>28</v>
      </c>
      <c r="J326" s="147" t="s">
        <v>1932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" thickBot="1" x14ac:dyDescent="0.35">
      <c r="A327" t="s">
        <v>365</v>
      </c>
      <c r="B327" t="s">
        <v>1379</v>
      </c>
      <c r="C327" t="s">
        <v>1062</v>
      </c>
      <c r="D327" s="68" t="s">
        <v>1382</v>
      </c>
      <c r="E327" s="30" t="s">
        <v>19</v>
      </c>
      <c r="F327" s="30" t="s">
        <v>28</v>
      </c>
      <c r="G327" s="30"/>
      <c r="H327" s="30" t="s">
        <v>1394</v>
      </c>
      <c r="I327" s="31">
        <f t="shared" si="17"/>
        <v>28</v>
      </c>
      <c r="J327" s="147" t="s">
        <v>1933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" thickBot="1" x14ac:dyDescent="0.35">
      <c r="A328" t="s">
        <v>365</v>
      </c>
      <c r="B328" t="s">
        <v>1380</v>
      </c>
      <c r="C328" t="s">
        <v>1062</v>
      </c>
      <c r="D328" s="68" t="s">
        <v>1383</v>
      </c>
      <c r="E328" s="30" t="s">
        <v>73</v>
      </c>
      <c r="F328" s="30" t="s">
        <v>28</v>
      </c>
      <c r="G328" s="30"/>
      <c r="H328" s="30" t="s">
        <v>1395</v>
      </c>
      <c r="I328" s="31">
        <f t="shared" si="17"/>
        <v>28</v>
      </c>
      <c r="J328" s="147" t="s">
        <v>1934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" thickBot="1" x14ac:dyDescent="0.35">
      <c r="A329" t="s">
        <v>365</v>
      </c>
      <c r="B329" t="s">
        <v>1381</v>
      </c>
      <c r="C329" t="s">
        <v>1062</v>
      </c>
      <c r="D329" s="68" t="s">
        <v>1384</v>
      </c>
      <c r="E329" s="30" t="s">
        <v>73</v>
      </c>
      <c r="F329" s="30" t="s">
        <v>28</v>
      </c>
      <c r="G329" s="30"/>
      <c r="H329" s="30" t="s">
        <v>1396</v>
      </c>
      <c r="I329" s="31">
        <f t="shared" si="17"/>
        <v>28</v>
      </c>
      <c r="J329" s="147" t="s">
        <v>1935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" thickBot="1" x14ac:dyDescent="0.35">
      <c r="A330" t="s">
        <v>365</v>
      </c>
      <c r="B330" t="s">
        <v>2255</v>
      </c>
      <c r="C330" t="s">
        <v>1062</v>
      </c>
      <c r="D330" s="68" t="s">
        <v>2237</v>
      </c>
      <c r="E330" s="85" t="s">
        <v>15</v>
      </c>
      <c r="F330" s="30" t="s">
        <v>28</v>
      </c>
      <c r="G330" s="30"/>
      <c r="H330" s="30" t="s">
        <v>2256</v>
      </c>
      <c r="I330" s="31">
        <f t="shared" si="17"/>
        <v>28</v>
      </c>
      <c r="J330" s="153" t="s">
        <v>2238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" thickBot="1" x14ac:dyDescent="0.35">
      <c r="A331" t="s">
        <v>365</v>
      </c>
      <c r="B331" t="s">
        <v>2239</v>
      </c>
      <c r="C331" t="s">
        <v>1062</v>
      </c>
      <c r="D331" s="68" t="s">
        <v>2240</v>
      </c>
      <c r="E331" s="85" t="s">
        <v>15</v>
      </c>
      <c r="F331" s="30" t="s">
        <v>28</v>
      </c>
      <c r="G331" s="30"/>
      <c r="H331" s="30" t="s">
        <v>2241</v>
      </c>
      <c r="I331" s="31">
        <f t="shared" si="17"/>
        <v>22</v>
      </c>
      <c r="J331" s="147" t="s">
        <v>2242</v>
      </c>
      <c r="K331" s="31">
        <f t="shared" si="18"/>
        <v>6</v>
      </c>
      <c r="L331" s="32">
        <f t="shared" si="19"/>
        <v>0.7857142857142857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 t="s">
        <v>2286</v>
      </c>
      <c r="AB331" s="70" t="s">
        <v>2286</v>
      </c>
      <c r="AC331" s="70" t="s">
        <v>2286</v>
      </c>
      <c r="AD331" s="70" t="s">
        <v>2286</v>
      </c>
      <c r="AE331" s="70" t="s">
        <v>2286</v>
      </c>
      <c r="AF331" s="70" t="s">
        <v>2286</v>
      </c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" thickBot="1" x14ac:dyDescent="0.35">
      <c r="A332" s="73" t="s">
        <v>375</v>
      </c>
      <c r="B332" s="73" t="s">
        <v>1000</v>
      </c>
      <c r="C332" s="73" t="s">
        <v>1062</v>
      </c>
      <c r="D332" s="73" t="s">
        <v>376</v>
      </c>
      <c r="E332" s="85" t="s">
        <v>15</v>
      </c>
      <c r="F332" s="85" t="s">
        <v>28</v>
      </c>
      <c r="G332" s="85"/>
      <c r="H332" s="85" t="s">
        <v>776</v>
      </c>
      <c r="I332" s="87">
        <f t="shared" si="17"/>
        <v>28</v>
      </c>
      <c r="J332" s="147" t="s">
        <v>1936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" thickBot="1" x14ac:dyDescent="0.35">
      <c r="A333" t="s">
        <v>375</v>
      </c>
      <c r="B333" t="s">
        <v>1001</v>
      </c>
      <c r="C333" t="s">
        <v>1062</v>
      </c>
      <c r="D333" t="s">
        <v>377</v>
      </c>
      <c r="E333" s="30" t="s">
        <v>15</v>
      </c>
      <c r="F333" s="30" t="s">
        <v>28</v>
      </c>
      <c r="G333" s="30"/>
      <c r="H333" s="30" t="s">
        <v>779</v>
      </c>
      <c r="I333" s="31">
        <f t="shared" si="17"/>
        <v>27</v>
      </c>
      <c r="J333" s="147" t="s">
        <v>1937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 t="s">
        <v>2286</v>
      </c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" thickBot="1" x14ac:dyDescent="0.35">
      <c r="A334" t="s">
        <v>375</v>
      </c>
      <c r="B334" t="s">
        <v>378</v>
      </c>
      <c r="C334" t="s">
        <v>1062</v>
      </c>
      <c r="D334" t="s">
        <v>379</v>
      </c>
      <c r="E334" s="30" t="s">
        <v>73</v>
      </c>
      <c r="F334" s="30" t="s">
        <v>28</v>
      </c>
      <c r="G334" s="30"/>
      <c r="H334" s="30" t="s">
        <v>777</v>
      </c>
      <c r="I334" s="31">
        <f t="shared" si="17"/>
        <v>28</v>
      </c>
      <c r="J334" s="147" t="s">
        <v>1938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" thickBot="1" x14ac:dyDescent="0.35">
      <c r="A335" t="s">
        <v>375</v>
      </c>
      <c r="B335" t="s">
        <v>380</v>
      </c>
      <c r="C335" t="s">
        <v>1062</v>
      </c>
      <c r="D335" t="s">
        <v>379</v>
      </c>
      <c r="E335" s="30" t="s">
        <v>73</v>
      </c>
      <c r="F335" s="30" t="s">
        <v>28</v>
      </c>
      <c r="G335" s="30"/>
      <c r="H335" s="30" t="s">
        <v>778</v>
      </c>
      <c r="I335" s="31">
        <f t="shared" si="17"/>
        <v>28</v>
      </c>
      <c r="J335" s="147" t="s">
        <v>1939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" thickBot="1" x14ac:dyDescent="0.35">
      <c r="A336" t="s">
        <v>375</v>
      </c>
      <c r="B336" t="s">
        <v>991</v>
      </c>
      <c r="C336" t="s">
        <v>1062</v>
      </c>
      <c r="D336" t="s">
        <v>381</v>
      </c>
      <c r="E336" s="30" t="s">
        <v>15</v>
      </c>
      <c r="F336" s="30" t="s">
        <v>28</v>
      </c>
      <c r="G336" s="30"/>
      <c r="H336" s="30" t="s">
        <v>780</v>
      </c>
      <c r="I336" s="31">
        <f t="shared" si="17"/>
        <v>28</v>
      </c>
      <c r="J336" s="147" t="s">
        <v>1940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" thickBot="1" x14ac:dyDescent="0.35">
      <c r="A337" t="s">
        <v>375</v>
      </c>
      <c r="B337" t="s">
        <v>992</v>
      </c>
      <c r="C337" t="s">
        <v>1062</v>
      </c>
      <c r="D337" t="s">
        <v>993</v>
      </c>
      <c r="E337" s="30" t="s">
        <v>19</v>
      </c>
      <c r="F337" s="30" t="s">
        <v>28</v>
      </c>
      <c r="G337" s="30"/>
      <c r="H337" s="30" t="s">
        <v>905</v>
      </c>
      <c r="I337" s="31">
        <f t="shared" si="17"/>
        <v>28</v>
      </c>
      <c r="J337" s="147" t="s">
        <v>1941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" thickBot="1" x14ac:dyDescent="0.35">
      <c r="A338" t="s">
        <v>375</v>
      </c>
      <c r="B338" t="s">
        <v>994</v>
      </c>
      <c r="C338" t="s">
        <v>1062</v>
      </c>
      <c r="D338" t="s">
        <v>995</v>
      </c>
      <c r="E338" s="30" t="s">
        <v>19</v>
      </c>
      <c r="F338" s="30" t="s">
        <v>28</v>
      </c>
      <c r="G338" s="30"/>
      <c r="H338" s="30" t="s">
        <v>906</v>
      </c>
      <c r="I338" s="31">
        <f t="shared" si="17"/>
        <v>28</v>
      </c>
      <c r="J338" s="147" t="s">
        <v>1942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" thickBot="1" x14ac:dyDescent="0.35">
      <c r="A339" t="s">
        <v>375</v>
      </c>
      <c r="B339" t="s">
        <v>996</v>
      </c>
      <c r="C339" t="s">
        <v>1062</v>
      </c>
      <c r="D339" t="s">
        <v>997</v>
      </c>
      <c r="E339" s="30" t="s">
        <v>19</v>
      </c>
      <c r="F339" s="30" t="s">
        <v>28</v>
      </c>
      <c r="G339" s="30"/>
      <c r="H339" s="30" t="s">
        <v>907</v>
      </c>
      <c r="I339" s="31">
        <f t="shared" si="17"/>
        <v>28</v>
      </c>
      <c r="J339" s="147" t="s">
        <v>1943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" thickBot="1" x14ac:dyDescent="0.35">
      <c r="A340" t="s">
        <v>375</v>
      </c>
      <c r="B340" t="s">
        <v>998</v>
      </c>
      <c r="C340" t="s">
        <v>1062</v>
      </c>
      <c r="D340" t="s">
        <v>999</v>
      </c>
      <c r="E340" s="30" t="s">
        <v>19</v>
      </c>
      <c r="F340" s="30" t="s">
        <v>28</v>
      </c>
      <c r="G340" s="30"/>
      <c r="H340" s="30" t="s">
        <v>908</v>
      </c>
      <c r="I340" s="31">
        <f t="shared" si="17"/>
        <v>28</v>
      </c>
      <c r="J340" s="147" t="s">
        <v>1944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" thickBot="1" x14ac:dyDescent="0.35">
      <c r="A341" t="s">
        <v>375</v>
      </c>
      <c r="B341" t="s">
        <v>1173</v>
      </c>
      <c r="C341" t="s">
        <v>1062</v>
      </c>
      <c r="D341" t="s">
        <v>1156</v>
      </c>
      <c r="E341" s="30" t="s">
        <v>19</v>
      </c>
      <c r="F341" s="30" t="s">
        <v>28</v>
      </c>
      <c r="G341" s="30"/>
      <c r="H341" s="30" t="s">
        <v>1158</v>
      </c>
      <c r="I341" s="31">
        <f t="shared" si="17"/>
        <v>28</v>
      </c>
      <c r="J341" s="147" t="s">
        <v>1945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" thickBot="1" x14ac:dyDescent="0.35">
      <c r="A342" t="s">
        <v>375</v>
      </c>
      <c r="B342" t="s">
        <v>1174</v>
      </c>
      <c r="C342" t="s">
        <v>1062</v>
      </c>
      <c r="D342" t="s">
        <v>1156</v>
      </c>
      <c r="E342" s="30" t="s">
        <v>19</v>
      </c>
      <c r="F342" s="30" t="s">
        <v>28</v>
      </c>
      <c r="G342" s="30"/>
      <c r="H342" s="30" t="s">
        <v>1159</v>
      </c>
      <c r="I342" s="31">
        <f t="shared" si="17"/>
        <v>28</v>
      </c>
      <c r="J342" s="147" t="s">
        <v>1946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" thickBot="1" x14ac:dyDescent="0.35">
      <c r="A343" t="s">
        <v>375</v>
      </c>
      <c r="B343" t="s">
        <v>1192</v>
      </c>
      <c r="C343" t="s">
        <v>1062</v>
      </c>
      <c r="D343" t="s">
        <v>1155</v>
      </c>
      <c r="E343" s="30" t="s">
        <v>15</v>
      </c>
      <c r="F343" s="30" t="s">
        <v>28</v>
      </c>
      <c r="G343" s="30"/>
      <c r="H343" s="30" t="s">
        <v>1157</v>
      </c>
      <c r="I343" s="31">
        <f t="shared" si="17"/>
        <v>28</v>
      </c>
      <c r="J343" s="147" t="s">
        <v>1947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" thickBot="1" x14ac:dyDescent="0.35">
      <c r="A344" t="s">
        <v>375</v>
      </c>
      <c r="B344" t="s">
        <v>1295</v>
      </c>
      <c r="C344" t="s">
        <v>1062</v>
      </c>
      <c r="D344" t="s">
        <v>1296</v>
      </c>
      <c r="E344" s="30" t="s">
        <v>73</v>
      </c>
      <c r="F344" s="30" t="s">
        <v>28</v>
      </c>
      <c r="G344" s="30"/>
      <c r="H344" s="30" t="s">
        <v>1484</v>
      </c>
      <c r="I344" s="31">
        <f t="shared" si="17"/>
        <v>28</v>
      </c>
      <c r="J344" s="147" t="s">
        <v>1948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" thickBot="1" x14ac:dyDescent="0.35">
      <c r="A345" t="s">
        <v>375</v>
      </c>
      <c r="B345" t="s">
        <v>1385</v>
      </c>
      <c r="C345" t="s">
        <v>1062</v>
      </c>
      <c r="D345" s="68" t="s">
        <v>1388</v>
      </c>
      <c r="E345" s="30" t="s">
        <v>15</v>
      </c>
      <c r="F345" s="30" t="s">
        <v>1055</v>
      </c>
      <c r="G345" s="30"/>
      <c r="H345" s="30" t="s">
        <v>1392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" thickBot="1" x14ac:dyDescent="0.35">
      <c r="A346" t="s">
        <v>375</v>
      </c>
      <c r="B346" t="s">
        <v>1386</v>
      </c>
      <c r="C346" t="s">
        <v>1062</v>
      </c>
      <c r="D346" s="68" t="s">
        <v>1389</v>
      </c>
      <c r="E346" s="30" t="s">
        <v>73</v>
      </c>
      <c r="F346" s="30" t="s">
        <v>1055</v>
      </c>
      <c r="G346" s="30"/>
      <c r="H346" s="30" t="s">
        <v>1393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" thickBot="1" x14ac:dyDescent="0.35">
      <c r="A347" t="s">
        <v>375</v>
      </c>
      <c r="B347" t="s">
        <v>1387</v>
      </c>
      <c r="C347" t="s">
        <v>1062</v>
      </c>
      <c r="D347" s="68" t="s">
        <v>1390</v>
      </c>
      <c r="E347" s="30" t="s">
        <v>15</v>
      </c>
      <c r="F347" s="30" t="s">
        <v>28</v>
      </c>
      <c r="G347" s="30"/>
      <c r="H347" s="30" t="s">
        <v>1501</v>
      </c>
      <c r="I347" s="31">
        <f t="shared" si="17"/>
        <v>28</v>
      </c>
      <c r="J347" s="147" t="s">
        <v>1949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" thickBot="1" x14ac:dyDescent="0.35">
      <c r="A348" s="73" t="s">
        <v>898</v>
      </c>
      <c r="B348" s="73" t="s">
        <v>1002</v>
      </c>
      <c r="C348" s="73" t="s">
        <v>1062</v>
      </c>
      <c r="D348" s="73" t="s">
        <v>1003</v>
      </c>
      <c r="E348" s="85" t="s">
        <v>1056</v>
      </c>
      <c r="F348" s="85" t="s">
        <v>1300</v>
      </c>
      <c r="G348" s="85"/>
      <c r="H348" s="85" t="s">
        <v>900</v>
      </c>
      <c r="I348" s="142">
        <f t="shared" si="17"/>
        <v>26</v>
      </c>
      <c r="J348" s="87"/>
      <c r="K348" s="142">
        <f t="shared" si="18"/>
        <v>2</v>
      </c>
      <c r="L348" s="143">
        <f t="shared" si="19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 t="s">
        <v>2286</v>
      </c>
      <c r="Y348" s="70" t="s">
        <v>2286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" thickBot="1" x14ac:dyDescent="0.35">
      <c r="A349" s="73" t="s">
        <v>898</v>
      </c>
      <c r="B349" s="73" t="s">
        <v>897</v>
      </c>
      <c r="C349" s="73" t="s">
        <v>1062</v>
      </c>
      <c r="D349" s="73" t="s">
        <v>1003</v>
      </c>
      <c r="E349" s="85" t="s">
        <v>1057</v>
      </c>
      <c r="F349" s="85" t="s">
        <v>1300</v>
      </c>
      <c r="G349" s="85"/>
      <c r="H349" s="85" t="s">
        <v>899</v>
      </c>
      <c r="I349" s="142">
        <f t="shared" si="17"/>
        <v>26</v>
      </c>
      <c r="J349" s="87"/>
      <c r="K349" s="142">
        <f t="shared" si="18"/>
        <v>2</v>
      </c>
      <c r="L349" s="143">
        <f t="shared" si="19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 t="s">
        <v>2286</v>
      </c>
      <c r="Y349" s="70" t="s">
        <v>2286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" thickBot="1" x14ac:dyDescent="0.35">
      <c r="A350" t="s">
        <v>264</v>
      </c>
      <c r="B350" t="s">
        <v>382</v>
      </c>
      <c r="C350" t="s">
        <v>1061</v>
      </c>
      <c r="D350" t="s">
        <v>383</v>
      </c>
      <c r="E350" s="30" t="s">
        <v>19</v>
      </c>
      <c r="F350" s="30" t="s">
        <v>28</v>
      </c>
      <c r="G350" s="30"/>
      <c r="H350" s="30" t="s">
        <v>781</v>
      </c>
      <c r="I350" s="31">
        <f t="shared" si="17"/>
        <v>21</v>
      </c>
      <c r="J350" s="147" t="s">
        <v>1950</v>
      </c>
      <c r="K350" s="31">
        <f t="shared" si="18"/>
        <v>7</v>
      </c>
      <c r="L350" s="32">
        <f t="shared" si="19"/>
        <v>0.75</v>
      </c>
      <c r="M350" s="70"/>
      <c r="N350" s="70"/>
      <c r="O350" s="70"/>
      <c r="P350" s="70"/>
      <c r="Q350" s="70"/>
      <c r="R350" s="70" t="s">
        <v>2286</v>
      </c>
      <c r="S350" s="70" t="s">
        <v>2286</v>
      </c>
      <c r="T350" s="70" t="s">
        <v>2286</v>
      </c>
      <c r="U350" s="70"/>
      <c r="V350" s="70"/>
      <c r="W350" s="70"/>
      <c r="X350" s="70"/>
      <c r="Y350" s="70"/>
      <c r="Z350" s="70"/>
      <c r="AA350" s="70"/>
      <c r="AB350" s="70"/>
      <c r="AC350" s="70" t="s">
        <v>2286</v>
      </c>
      <c r="AD350" s="70" t="s">
        <v>2286</v>
      </c>
      <c r="AE350" s="70" t="s">
        <v>2286</v>
      </c>
      <c r="AF350" s="70" t="s">
        <v>2286</v>
      </c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" thickBot="1" x14ac:dyDescent="0.35">
      <c r="A351" s="73" t="s">
        <v>264</v>
      </c>
      <c r="B351" s="73" t="s">
        <v>1004</v>
      </c>
      <c r="C351" s="73" t="s">
        <v>1061</v>
      </c>
      <c r="D351" s="73" t="s">
        <v>338</v>
      </c>
      <c r="E351" s="85" t="s">
        <v>73</v>
      </c>
      <c r="F351" s="85" t="s">
        <v>1300</v>
      </c>
      <c r="G351" s="85"/>
      <c r="H351" s="85" t="s">
        <v>750</v>
      </c>
      <c r="I351" s="142">
        <f t="shared" si="17"/>
        <v>28</v>
      </c>
      <c r="J351" s="147" t="s">
        <v>1951</v>
      </c>
      <c r="K351" s="142">
        <f t="shared" si="18"/>
        <v>0</v>
      </c>
      <c r="L351" s="143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" thickBot="1" x14ac:dyDescent="0.35">
      <c r="A352" s="73" t="s">
        <v>264</v>
      </c>
      <c r="B352" s="73" t="s">
        <v>1005</v>
      </c>
      <c r="C352" s="73" t="s">
        <v>1061</v>
      </c>
      <c r="D352" s="73" t="s">
        <v>338</v>
      </c>
      <c r="E352" s="85" t="s">
        <v>73</v>
      </c>
      <c r="F352" s="85" t="s">
        <v>1300</v>
      </c>
      <c r="G352" s="85"/>
      <c r="H352" s="85" t="s">
        <v>751</v>
      </c>
      <c r="I352" s="142">
        <f t="shared" si="17"/>
        <v>28</v>
      </c>
      <c r="J352" s="147" t="s">
        <v>1952</v>
      </c>
      <c r="K352" s="142">
        <f t="shared" si="18"/>
        <v>0</v>
      </c>
      <c r="L352" s="143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ht="15" thickBot="1" x14ac:dyDescent="0.35">
      <c r="A353" t="s">
        <v>264</v>
      </c>
      <c r="B353" t="s">
        <v>1006</v>
      </c>
      <c r="C353" t="s">
        <v>1061</v>
      </c>
      <c r="D353" t="s">
        <v>1007</v>
      </c>
      <c r="E353" s="30" t="s">
        <v>19</v>
      </c>
      <c r="F353" s="30" t="s">
        <v>28</v>
      </c>
      <c r="G353" s="30"/>
      <c r="H353" s="30" t="s">
        <v>2232</v>
      </c>
      <c r="I353" s="31">
        <f t="shared" si="17"/>
        <v>25</v>
      </c>
      <c r="J353" s="147" t="s">
        <v>1953</v>
      </c>
      <c r="K353" s="31">
        <f t="shared" si="18"/>
        <v>3</v>
      </c>
      <c r="L353" s="32">
        <f t="shared" si="19"/>
        <v>0.8928571428571429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2286</v>
      </c>
      <c r="AD353" s="70" t="s">
        <v>2286</v>
      </c>
      <c r="AE353" s="70" t="s">
        <v>2286</v>
      </c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" thickBot="1" x14ac:dyDescent="0.35">
      <c r="A354" t="s">
        <v>264</v>
      </c>
      <c r="B354" t="s">
        <v>1008</v>
      </c>
      <c r="C354" t="s">
        <v>1061</v>
      </c>
      <c r="D354" t="s">
        <v>1009</v>
      </c>
      <c r="E354" s="30" t="s">
        <v>19</v>
      </c>
      <c r="F354" s="30" t="s">
        <v>28</v>
      </c>
      <c r="G354" s="30"/>
      <c r="H354" s="30" t="s">
        <v>2233</v>
      </c>
      <c r="I354" s="31">
        <f t="shared" si="17"/>
        <v>25</v>
      </c>
      <c r="J354" s="147" t="s">
        <v>1954</v>
      </c>
      <c r="K354" s="31">
        <f t="shared" si="18"/>
        <v>3</v>
      </c>
      <c r="L354" s="32">
        <f t="shared" si="19"/>
        <v>0.8928571428571429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2286</v>
      </c>
      <c r="AD354" s="70" t="s">
        <v>2286</v>
      </c>
      <c r="AE354" s="70" t="s">
        <v>2286</v>
      </c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" thickBot="1" x14ac:dyDescent="0.35">
      <c r="A355" t="s">
        <v>264</v>
      </c>
      <c r="B355" t="s">
        <v>1129</v>
      </c>
      <c r="C355" t="s">
        <v>1061</v>
      </c>
      <c r="D355" t="s">
        <v>1126</v>
      </c>
      <c r="E355" s="30" t="s">
        <v>73</v>
      </c>
      <c r="F355" s="30" t="s">
        <v>28</v>
      </c>
      <c r="G355" s="30"/>
      <c r="H355" s="30" t="s">
        <v>1135</v>
      </c>
      <c r="I355" s="31">
        <f t="shared" si="17"/>
        <v>25</v>
      </c>
      <c r="J355" s="147" t="s">
        <v>1955</v>
      </c>
      <c r="K355" s="31">
        <f t="shared" si="18"/>
        <v>3</v>
      </c>
      <c r="L355" s="32">
        <f t="shared" si="19"/>
        <v>0.8928571428571429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2286</v>
      </c>
      <c r="AD355" s="70" t="s">
        <v>2286</v>
      </c>
      <c r="AE355" s="70" t="s">
        <v>2286</v>
      </c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" thickBot="1" x14ac:dyDescent="0.35">
      <c r="A356" t="s">
        <v>264</v>
      </c>
      <c r="B356" t="s">
        <v>1130</v>
      </c>
      <c r="C356" t="s">
        <v>1061</v>
      </c>
      <c r="D356" t="s">
        <v>1126</v>
      </c>
      <c r="E356" s="30" t="s">
        <v>73</v>
      </c>
      <c r="F356" s="30" t="s">
        <v>28</v>
      </c>
      <c r="G356" s="30"/>
      <c r="H356" s="30" t="s">
        <v>1136</v>
      </c>
      <c r="I356" s="31">
        <f t="shared" si="17"/>
        <v>25</v>
      </c>
      <c r="J356" s="147" t="s">
        <v>1956</v>
      </c>
      <c r="K356" s="31">
        <f t="shared" si="18"/>
        <v>3</v>
      </c>
      <c r="L356" s="32">
        <f t="shared" si="19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2286</v>
      </c>
      <c r="AD356" s="70" t="s">
        <v>2286</v>
      </c>
      <c r="AE356" s="70" t="s">
        <v>2286</v>
      </c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" thickBot="1" x14ac:dyDescent="0.35">
      <c r="A357" t="s">
        <v>264</v>
      </c>
      <c r="B357" t="s">
        <v>1131</v>
      </c>
      <c r="C357" t="s">
        <v>1061</v>
      </c>
      <c r="D357" t="s">
        <v>1127</v>
      </c>
      <c r="E357" s="30" t="s">
        <v>73</v>
      </c>
      <c r="F357" s="30" t="s">
        <v>28</v>
      </c>
      <c r="G357" s="30"/>
      <c r="H357" s="30" t="s">
        <v>1137</v>
      </c>
      <c r="I357" s="31">
        <f t="shared" si="17"/>
        <v>25</v>
      </c>
      <c r="J357" s="147" t="s">
        <v>1957</v>
      </c>
      <c r="K357" s="31">
        <f t="shared" si="18"/>
        <v>3</v>
      </c>
      <c r="L357" s="32">
        <f t="shared" si="19"/>
        <v>0.8928571428571429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2286</v>
      </c>
      <c r="AD357" s="70" t="s">
        <v>2286</v>
      </c>
      <c r="AE357" s="70" t="s">
        <v>2286</v>
      </c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" thickBot="1" x14ac:dyDescent="0.35">
      <c r="A358" t="s">
        <v>264</v>
      </c>
      <c r="B358" t="s">
        <v>1132</v>
      </c>
      <c r="C358" t="s">
        <v>1061</v>
      </c>
      <c r="D358" t="s">
        <v>1127</v>
      </c>
      <c r="E358" s="30" t="s">
        <v>73</v>
      </c>
      <c r="F358" s="30" t="s">
        <v>28</v>
      </c>
      <c r="G358" s="30"/>
      <c r="H358" s="30" t="s">
        <v>1138</v>
      </c>
      <c r="I358" s="31">
        <f t="shared" si="17"/>
        <v>25</v>
      </c>
      <c r="J358" s="147" t="s">
        <v>1958</v>
      </c>
      <c r="K358" s="31">
        <f t="shared" si="18"/>
        <v>3</v>
      </c>
      <c r="L358" s="32">
        <f t="shared" si="19"/>
        <v>0.8928571428571429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2286</v>
      </c>
      <c r="AD358" s="70" t="s">
        <v>2286</v>
      </c>
      <c r="AE358" s="70" t="s">
        <v>2286</v>
      </c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" thickBot="1" x14ac:dyDescent="0.35">
      <c r="A359" s="73" t="s">
        <v>1319</v>
      </c>
      <c r="B359" t="s">
        <v>1232</v>
      </c>
      <c r="C359" t="s">
        <v>1061</v>
      </c>
      <c r="D359" t="s">
        <v>1233</v>
      </c>
      <c r="E359" t="s">
        <v>19</v>
      </c>
      <c r="F359" t="s">
        <v>28</v>
      </c>
      <c r="G359"/>
      <c r="H359" s="30" t="s">
        <v>1239</v>
      </c>
      <c r="I359" s="31">
        <f t="shared" si="17"/>
        <v>27</v>
      </c>
      <c r="J359" s="147" t="s">
        <v>1959</v>
      </c>
      <c r="K359" s="31">
        <f t="shared" si="18"/>
        <v>1</v>
      </c>
      <c r="L359" s="32">
        <f t="shared" si="19"/>
        <v>0.9642857142857143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 t="s">
        <v>2286</v>
      </c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" thickBot="1" x14ac:dyDescent="0.35">
      <c r="A360" s="73" t="s">
        <v>1319</v>
      </c>
      <c r="B360" t="s">
        <v>1234</v>
      </c>
      <c r="C360" t="s">
        <v>1061</v>
      </c>
      <c r="D360" t="s">
        <v>1235</v>
      </c>
      <c r="E360" t="s">
        <v>19</v>
      </c>
      <c r="F360" t="s">
        <v>28</v>
      </c>
      <c r="G360"/>
      <c r="H360" s="30" t="s">
        <v>1240</v>
      </c>
      <c r="I360" s="31">
        <f t="shared" si="17"/>
        <v>27</v>
      </c>
      <c r="J360" s="147" t="s">
        <v>1960</v>
      </c>
      <c r="K360" s="31">
        <f t="shared" si="18"/>
        <v>1</v>
      </c>
      <c r="L360" s="32">
        <f t="shared" si="19"/>
        <v>0.9642857142857143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 t="s">
        <v>2286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" thickBot="1" x14ac:dyDescent="0.35">
      <c r="A361" s="73" t="s">
        <v>1319</v>
      </c>
      <c r="B361" s="73" t="s">
        <v>1573</v>
      </c>
      <c r="C361" s="73" t="s">
        <v>1061</v>
      </c>
      <c r="D361" s="73" t="s">
        <v>1576</v>
      </c>
      <c r="E361" s="85" t="s">
        <v>73</v>
      </c>
      <c r="F361" s="85" t="s">
        <v>1300</v>
      </c>
      <c r="H361" s="85" t="s">
        <v>1577</v>
      </c>
      <c r="I361" s="31">
        <f t="shared" si="17"/>
        <v>28</v>
      </c>
      <c r="J361" s="147" t="s">
        <v>1961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" thickBot="1" x14ac:dyDescent="0.35">
      <c r="A362" s="73" t="s">
        <v>1319</v>
      </c>
      <c r="B362" s="73" t="s">
        <v>1574</v>
      </c>
      <c r="C362" s="73" t="s">
        <v>1061</v>
      </c>
      <c r="D362" s="73" t="s">
        <v>1578</v>
      </c>
      <c r="E362" s="73" t="s">
        <v>73</v>
      </c>
      <c r="F362" s="85" t="s">
        <v>1300</v>
      </c>
      <c r="H362" s="85" t="s">
        <v>1579</v>
      </c>
      <c r="I362" s="31">
        <f t="shared" si="17"/>
        <v>28</v>
      </c>
      <c r="J362" s="147" t="s">
        <v>1962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" thickBot="1" x14ac:dyDescent="0.35">
      <c r="A363" s="73" t="s">
        <v>1319</v>
      </c>
      <c r="B363" s="73" t="s">
        <v>1575</v>
      </c>
      <c r="C363" s="73" t="s">
        <v>1061</v>
      </c>
      <c r="D363" s="73" t="s">
        <v>1580</v>
      </c>
      <c r="E363" s="73" t="s">
        <v>73</v>
      </c>
      <c r="F363" s="85" t="s">
        <v>1300</v>
      </c>
      <c r="H363" s="85" t="s">
        <v>1581</v>
      </c>
      <c r="I363" s="31">
        <f t="shared" si="17"/>
        <v>28</v>
      </c>
      <c r="J363" s="147" t="s">
        <v>1963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" thickBot="1" x14ac:dyDescent="0.35">
      <c r="A364" s="73" t="s">
        <v>1319</v>
      </c>
      <c r="B364" s="73" t="s">
        <v>1634</v>
      </c>
      <c r="C364" s="73" t="s">
        <v>1061</v>
      </c>
      <c r="D364" s="73" t="s">
        <v>1635</v>
      </c>
      <c r="E364" s="73" t="s">
        <v>19</v>
      </c>
      <c r="F364" s="85" t="s">
        <v>1300</v>
      </c>
      <c r="H364" s="85" t="s">
        <v>1636</v>
      </c>
      <c r="I364" s="31">
        <f t="shared" si="17"/>
        <v>28</v>
      </c>
      <c r="J364" s="147" t="s">
        <v>2145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" thickBot="1" x14ac:dyDescent="0.35">
      <c r="A365" t="s">
        <v>384</v>
      </c>
      <c r="B365" t="s">
        <v>385</v>
      </c>
      <c r="C365" t="s">
        <v>1061</v>
      </c>
      <c r="D365" t="s">
        <v>386</v>
      </c>
      <c r="E365" s="30" t="s">
        <v>19</v>
      </c>
      <c r="F365" s="30" t="s">
        <v>28</v>
      </c>
      <c r="G365" s="30"/>
      <c r="H365" s="30" t="s">
        <v>782</v>
      </c>
      <c r="I365" s="31">
        <f t="shared" si="17"/>
        <v>28</v>
      </c>
      <c r="J365" s="147" t="s">
        <v>1964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" thickBot="1" x14ac:dyDescent="0.35">
      <c r="A366" t="s">
        <v>384</v>
      </c>
      <c r="B366" t="s">
        <v>387</v>
      </c>
      <c r="C366" t="s">
        <v>1061</v>
      </c>
      <c r="D366" t="s">
        <v>388</v>
      </c>
      <c r="E366" s="30" t="s">
        <v>19</v>
      </c>
      <c r="F366" s="30" t="s">
        <v>28</v>
      </c>
      <c r="G366" s="30"/>
      <c r="H366" s="30" t="s">
        <v>783</v>
      </c>
      <c r="I366" s="31">
        <f t="shared" si="17"/>
        <v>28</v>
      </c>
      <c r="J366" s="147" t="s">
        <v>1965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" thickBot="1" x14ac:dyDescent="0.35">
      <c r="A367" s="73" t="s">
        <v>389</v>
      </c>
      <c r="B367" s="73" t="s">
        <v>390</v>
      </c>
      <c r="C367" s="73" t="s">
        <v>1061</v>
      </c>
      <c r="D367" s="73" t="s">
        <v>391</v>
      </c>
      <c r="E367" s="85" t="s">
        <v>19</v>
      </c>
      <c r="F367" s="85" t="s">
        <v>1300</v>
      </c>
      <c r="G367" s="85"/>
      <c r="H367" s="85" t="s">
        <v>1483</v>
      </c>
      <c r="I367" s="142">
        <f t="shared" si="17"/>
        <v>28</v>
      </c>
      <c r="J367" s="87"/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" thickBot="1" x14ac:dyDescent="0.35">
      <c r="A368" s="73" t="s">
        <v>384</v>
      </c>
      <c r="B368" s="73" t="s">
        <v>2175</v>
      </c>
      <c r="C368" s="73" t="s">
        <v>1061</v>
      </c>
      <c r="D368" s="73" t="s">
        <v>2176</v>
      </c>
      <c r="E368" s="85" t="s">
        <v>73</v>
      </c>
      <c r="F368" s="30" t="s">
        <v>28</v>
      </c>
      <c r="G368" s="85"/>
      <c r="H368" s="85" t="s">
        <v>2177</v>
      </c>
      <c r="I368" s="142">
        <f t="shared" si="17"/>
        <v>28</v>
      </c>
      <c r="J368" s="153" t="s">
        <v>2178</v>
      </c>
      <c r="K368" s="142">
        <f t="shared" si="18"/>
        <v>0</v>
      </c>
      <c r="L368" s="143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" thickBot="1" x14ac:dyDescent="0.35">
      <c r="A369" t="s">
        <v>294</v>
      </c>
      <c r="B369" t="s">
        <v>392</v>
      </c>
      <c r="C369" t="s">
        <v>1061</v>
      </c>
      <c r="D369" t="s">
        <v>393</v>
      </c>
      <c r="E369" s="30" t="s">
        <v>19</v>
      </c>
      <c r="F369" s="30" t="s">
        <v>28</v>
      </c>
      <c r="G369" s="30"/>
      <c r="H369" s="30" t="s">
        <v>786</v>
      </c>
      <c r="I369" s="31">
        <f t="shared" si="17"/>
        <v>28</v>
      </c>
      <c r="J369" s="147" t="s">
        <v>1966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" thickBot="1" x14ac:dyDescent="0.35">
      <c r="A370" t="s">
        <v>294</v>
      </c>
      <c r="B370" t="s">
        <v>1010</v>
      </c>
      <c r="C370" t="s">
        <v>1061</v>
      </c>
      <c r="D370" t="s">
        <v>394</v>
      </c>
      <c r="E370" s="30" t="s">
        <v>19</v>
      </c>
      <c r="F370" s="30" t="s">
        <v>28</v>
      </c>
      <c r="G370" s="30"/>
      <c r="H370" s="30" t="s">
        <v>787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" thickBot="1" x14ac:dyDescent="0.35">
      <c r="A371" t="s">
        <v>294</v>
      </c>
      <c r="B371" t="s">
        <v>395</v>
      </c>
      <c r="C371" t="s">
        <v>1061</v>
      </c>
      <c r="D371" t="s">
        <v>396</v>
      </c>
      <c r="E371" s="30" t="s">
        <v>73</v>
      </c>
      <c r="F371" s="30" t="s">
        <v>28</v>
      </c>
      <c r="G371" s="30"/>
      <c r="H371" s="30" t="s">
        <v>784</v>
      </c>
      <c r="I371" s="31">
        <f t="shared" si="17"/>
        <v>28</v>
      </c>
      <c r="J371" s="147" t="s">
        <v>1967</v>
      </c>
      <c r="K371" s="31">
        <f t="shared" si="18"/>
        <v>0</v>
      </c>
      <c r="L371" s="32">
        <f t="shared" si="19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" thickBot="1" x14ac:dyDescent="0.35">
      <c r="A372" t="s">
        <v>294</v>
      </c>
      <c r="B372" t="s">
        <v>397</v>
      </c>
      <c r="C372" t="s">
        <v>1061</v>
      </c>
      <c r="D372" t="s">
        <v>396</v>
      </c>
      <c r="E372" s="30" t="s">
        <v>73</v>
      </c>
      <c r="F372" s="30" t="s">
        <v>28</v>
      </c>
      <c r="G372" s="30"/>
      <c r="H372" s="30" t="s">
        <v>785</v>
      </c>
      <c r="I372" s="31">
        <f t="shared" si="17"/>
        <v>28</v>
      </c>
      <c r="J372" s="147" t="s">
        <v>1968</v>
      </c>
      <c r="K372" s="31">
        <f t="shared" si="18"/>
        <v>0</v>
      </c>
      <c r="L372" s="32">
        <f t="shared" si="19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" thickBot="1" x14ac:dyDescent="0.35">
      <c r="A373" t="s">
        <v>294</v>
      </c>
      <c r="B373" t="s">
        <v>1263</v>
      </c>
      <c r="C373" t="s">
        <v>1061</v>
      </c>
      <c r="D373" t="s">
        <v>1264</v>
      </c>
      <c r="E373" s="30" t="s">
        <v>15</v>
      </c>
      <c r="F373" s="30" t="s">
        <v>1055</v>
      </c>
      <c r="G373" s="30" t="s">
        <v>1266</v>
      </c>
      <c r="H373" s="30" t="s">
        <v>1265</v>
      </c>
      <c r="I373" s="31">
        <f t="shared" si="17"/>
        <v>28</v>
      </c>
      <c r="J373" s="147" t="s">
        <v>1969</v>
      </c>
      <c r="K373" s="31">
        <f t="shared" si="18"/>
        <v>0</v>
      </c>
      <c r="L373" s="32">
        <f t="shared" si="19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" thickBot="1" x14ac:dyDescent="0.35">
      <c r="A374" s="73" t="s">
        <v>294</v>
      </c>
      <c r="B374" s="73" t="s">
        <v>1312</v>
      </c>
      <c r="C374" s="73" t="s">
        <v>1062</v>
      </c>
      <c r="D374" s="73" t="s">
        <v>1313</v>
      </c>
      <c r="E374" s="85" t="s">
        <v>15</v>
      </c>
      <c r="F374" s="85" t="s">
        <v>1300</v>
      </c>
      <c r="G374" s="85"/>
      <c r="H374" s="85" t="s">
        <v>1314</v>
      </c>
      <c r="I374" s="31">
        <f t="shared" si="17"/>
        <v>27</v>
      </c>
      <c r="J374" s="147" t="s">
        <v>1970</v>
      </c>
      <c r="K374" s="31">
        <f t="shared" si="18"/>
        <v>1</v>
      </c>
      <c r="L374" s="32">
        <f t="shared" si="19"/>
        <v>0.9642857142857143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 t="s">
        <v>2286</v>
      </c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" thickBot="1" x14ac:dyDescent="0.35">
      <c r="A375" s="91" t="s">
        <v>402</v>
      </c>
      <c r="B375" s="91" t="s">
        <v>407</v>
      </c>
      <c r="C375" s="91" t="s">
        <v>1061</v>
      </c>
      <c r="D375" s="91" t="s">
        <v>408</v>
      </c>
      <c r="E375" s="92" t="s">
        <v>15</v>
      </c>
      <c r="F375" s="92" t="s">
        <v>20</v>
      </c>
      <c r="G375" s="92"/>
      <c r="H375" s="92" t="s">
        <v>788</v>
      </c>
      <c r="I375" s="31">
        <f t="shared" si="17"/>
        <v>9</v>
      </c>
      <c r="J375" s="73"/>
      <c r="K375" s="31">
        <f t="shared" si="18"/>
        <v>19</v>
      </c>
      <c r="L375" s="32">
        <f t="shared" si="19"/>
        <v>0.32142857142857145</v>
      </c>
      <c r="M375" s="70" t="s">
        <v>2286</v>
      </c>
      <c r="N375" s="70" t="s">
        <v>2286</v>
      </c>
      <c r="O375" s="70" t="s">
        <v>2286</v>
      </c>
      <c r="P375" s="70" t="s">
        <v>2286</v>
      </c>
      <c r="Q375" s="70" t="s">
        <v>2286</v>
      </c>
      <c r="R375" s="70" t="s">
        <v>2286</v>
      </c>
      <c r="S375" s="70" t="s">
        <v>2286</v>
      </c>
      <c r="T375" s="70" t="s">
        <v>2286</v>
      </c>
      <c r="U375" s="70" t="s">
        <v>2286</v>
      </c>
      <c r="V375" s="70" t="s">
        <v>2286</v>
      </c>
      <c r="W375" s="70"/>
      <c r="X375" s="70" t="s">
        <v>2286</v>
      </c>
      <c r="Y375" s="70" t="s">
        <v>2286</v>
      </c>
      <c r="Z375" s="70" t="s">
        <v>2286</v>
      </c>
      <c r="AA375" s="70" t="s">
        <v>2286</v>
      </c>
      <c r="AB375" s="70" t="s">
        <v>2286</v>
      </c>
      <c r="AC375" s="70" t="s">
        <v>2286</v>
      </c>
      <c r="AD375" s="70" t="s">
        <v>2286</v>
      </c>
      <c r="AE375" s="93" t="s">
        <v>2286</v>
      </c>
      <c r="AF375" s="93" t="s">
        <v>2286</v>
      </c>
      <c r="AG375" s="70"/>
      <c r="AH375" s="93"/>
      <c r="AI375" s="93"/>
      <c r="AJ375" s="93"/>
      <c r="AK375" s="93"/>
      <c r="AL375" s="93"/>
      <c r="AM375" s="93"/>
      <c r="AN375" s="93"/>
      <c r="AO375" s="93"/>
      <c r="AP375" s="93"/>
      <c r="AQ375" s="93"/>
    </row>
    <row r="376" spans="1:43" s="73" customFormat="1" ht="15" thickBot="1" x14ac:dyDescent="0.35">
      <c r="A376" s="73" t="s">
        <v>384</v>
      </c>
      <c r="B376" s="73" t="s">
        <v>398</v>
      </c>
      <c r="C376" s="73" t="s">
        <v>1061</v>
      </c>
      <c r="D376" s="73" t="s">
        <v>399</v>
      </c>
      <c r="E376" s="85" t="s">
        <v>19</v>
      </c>
      <c r="F376" s="85" t="s">
        <v>1300</v>
      </c>
      <c r="G376" s="85"/>
      <c r="H376" s="85" t="s">
        <v>2122</v>
      </c>
      <c r="I376" s="142">
        <f t="shared" si="17"/>
        <v>28</v>
      </c>
      <c r="J376" s="147" t="s">
        <v>1971</v>
      </c>
      <c r="K376" s="142">
        <f t="shared" si="18"/>
        <v>0</v>
      </c>
      <c r="L376" s="143">
        <f t="shared" si="19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" thickBot="1" x14ac:dyDescent="0.35">
      <c r="A377" s="73" t="s">
        <v>384</v>
      </c>
      <c r="B377" s="73" t="s">
        <v>400</v>
      </c>
      <c r="C377" s="73" t="s">
        <v>1061</v>
      </c>
      <c r="D377" s="73" t="s">
        <v>401</v>
      </c>
      <c r="E377" s="85" t="s">
        <v>15</v>
      </c>
      <c r="F377" s="85" t="s">
        <v>28</v>
      </c>
      <c r="G377" s="85"/>
      <c r="H377" s="85" t="s">
        <v>1516</v>
      </c>
      <c r="I377" s="87">
        <f t="shared" si="17"/>
        <v>27</v>
      </c>
      <c r="J377" s="147" t="s">
        <v>1972</v>
      </c>
      <c r="K377" s="87">
        <f t="shared" si="18"/>
        <v>1</v>
      </c>
      <c r="L377" s="88">
        <f t="shared" si="19"/>
        <v>0.9642857142857143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 t="s">
        <v>2286</v>
      </c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" thickBot="1" x14ac:dyDescent="0.35">
      <c r="A378" t="s">
        <v>402</v>
      </c>
      <c r="B378" t="s">
        <v>403</v>
      </c>
      <c r="C378" t="s">
        <v>1061</v>
      </c>
      <c r="D378" t="s">
        <v>404</v>
      </c>
      <c r="E378" s="30" t="s">
        <v>19</v>
      </c>
      <c r="F378" s="30" t="s">
        <v>28</v>
      </c>
      <c r="G378" s="30"/>
      <c r="H378" s="30" t="s">
        <v>789</v>
      </c>
      <c r="I378" s="31">
        <f t="shared" si="17"/>
        <v>20</v>
      </c>
      <c r="J378" s="147" t="s">
        <v>1973</v>
      </c>
      <c r="K378" s="31">
        <f t="shared" si="18"/>
        <v>8</v>
      </c>
      <c r="L378" s="32">
        <f t="shared" si="19"/>
        <v>0.7142857142857143</v>
      </c>
      <c r="M378" s="70" t="s">
        <v>2286</v>
      </c>
      <c r="N378" s="70" t="s">
        <v>2286</v>
      </c>
      <c r="O378" s="70"/>
      <c r="P378" s="70"/>
      <c r="Q378" s="70"/>
      <c r="R378" s="70" t="s">
        <v>2286</v>
      </c>
      <c r="S378" s="70" t="s">
        <v>2286</v>
      </c>
      <c r="T378" s="70" t="s">
        <v>2286</v>
      </c>
      <c r="U378" s="70" t="s">
        <v>2286</v>
      </c>
      <c r="V378" s="70" t="s">
        <v>2286</v>
      </c>
      <c r="W378" s="70"/>
      <c r="X378" s="70" t="s">
        <v>2286</v>
      </c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" thickBot="1" x14ac:dyDescent="0.35">
      <c r="A379" t="s">
        <v>402</v>
      </c>
      <c r="B379" t="s">
        <v>405</v>
      </c>
      <c r="C379" t="s">
        <v>1061</v>
      </c>
      <c r="D379" t="s">
        <v>404</v>
      </c>
      <c r="E379" s="30" t="s">
        <v>73</v>
      </c>
      <c r="F379" s="30" t="s">
        <v>28</v>
      </c>
      <c r="G379" s="30"/>
      <c r="H379" s="30" t="s">
        <v>790</v>
      </c>
      <c r="I379" s="31">
        <f t="shared" si="17"/>
        <v>20</v>
      </c>
      <c r="J379" s="147" t="s">
        <v>1974</v>
      </c>
      <c r="K379" s="31">
        <f t="shared" si="18"/>
        <v>8</v>
      </c>
      <c r="L379" s="32">
        <f t="shared" si="19"/>
        <v>0.7142857142857143</v>
      </c>
      <c r="M379" s="70" t="s">
        <v>2286</v>
      </c>
      <c r="N379" s="70" t="s">
        <v>2286</v>
      </c>
      <c r="O379" s="70"/>
      <c r="P379" s="70"/>
      <c r="Q379" s="70"/>
      <c r="R379" s="70" t="s">
        <v>2286</v>
      </c>
      <c r="S379" s="70" t="s">
        <v>2286</v>
      </c>
      <c r="T379" s="70" t="s">
        <v>2286</v>
      </c>
      <c r="U379" s="70" t="s">
        <v>2286</v>
      </c>
      <c r="V379" s="70" t="s">
        <v>2286</v>
      </c>
      <c r="W379" s="70"/>
      <c r="X379" s="70" t="s">
        <v>2286</v>
      </c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" thickBot="1" x14ac:dyDescent="0.35">
      <c r="A380" t="s">
        <v>402</v>
      </c>
      <c r="B380" t="s">
        <v>406</v>
      </c>
      <c r="C380" t="s">
        <v>1061</v>
      </c>
      <c r="D380" t="s">
        <v>404</v>
      </c>
      <c r="E380" s="30" t="s">
        <v>73</v>
      </c>
      <c r="F380" s="30" t="s">
        <v>28</v>
      </c>
      <c r="G380" s="30"/>
      <c r="H380" s="30" t="s">
        <v>791</v>
      </c>
      <c r="I380" s="31">
        <f t="shared" si="17"/>
        <v>20</v>
      </c>
      <c r="J380" s="147" t="s">
        <v>1975</v>
      </c>
      <c r="K380" s="31">
        <f t="shared" si="18"/>
        <v>8</v>
      </c>
      <c r="L380" s="32">
        <f t="shared" si="19"/>
        <v>0.7142857142857143</v>
      </c>
      <c r="M380" s="70" t="s">
        <v>2286</v>
      </c>
      <c r="N380" s="70" t="s">
        <v>2286</v>
      </c>
      <c r="O380" s="70"/>
      <c r="P380" s="70"/>
      <c r="Q380" s="70"/>
      <c r="R380" s="70" t="s">
        <v>2286</v>
      </c>
      <c r="S380" s="70" t="s">
        <v>2286</v>
      </c>
      <c r="T380" s="70" t="s">
        <v>2286</v>
      </c>
      <c r="U380" s="70" t="s">
        <v>2286</v>
      </c>
      <c r="V380" s="70" t="s">
        <v>2286</v>
      </c>
      <c r="W380" s="70"/>
      <c r="X380" s="70" t="s">
        <v>2286</v>
      </c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" thickBot="1" x14ac:dyDescent="0.35">
      <c r="A381" t="s">
        <v>409</v>
      </c>
      <c r="B381" t="s">
        <v>410</v>
      </c>
      <c r="C381" t="s">
        <v>1061</v>
      </c>
      <c r="D381" t="s">
        <v>411</v>
      </c>
      <c r="E381" s="30" t="s">
        <v>73</v>
      </c>
      <c r="F381" s="30" t="s">
        <v>28</v>
      </c>
      <c r="G381" s="30"/>
      <c r="H381" s="30" t="s">
        <v>792</v>
      </c>
      <c r="I381" s="31">
        <f t="shared" ref="I381:I462" si="20">COUNTIF(M381:AN381,"")</f>
        <v>12</v>
      </c>
      <c r="J381" s="147" t="s">
        <v>1976</v>
      </c>
      <c r="K381" s="31">
        <f t="shared" ref="K381:K462" si="21">COUNTIF(M381:AN381,"APAGADO")</f>
        <v>16</v>
      </c>
      <c r="L381" s="32">
        <f t="shared" ref="L381:L462" si="22">(I381)/(K381+I381)</f>
        <v>0.42857142857142855</v>
      </c>
      <c r="M381" s="70" t="s">
        <v>2286</v>
      </c>
      <c r="N381" s="70" t="s">
        <v>2286</v>
      </c>
      <c r="O381" s="70"/>
      <c r="P381" s="70"/>
      <c r="Q381" s="70"/>
      <c r="R381" s="70" t="s">
        <v>2286</v>
      </c>
      <c r="S381" s="70" t="s">
        <v>2286</v>
      </c>
      <c r="T381" s="70" t="s">
        <v>2286</v>
      </c>
      <c r="U381" s="70" t="s">
        <v>2286</v>
      </c>
      <c r="V381" s="70" t="s">
        <v>2286</v>
      </c>
      <c r="W381" s="70"/>
      <c r="X381" s="70" t="s">
        <v>2286</v>
      </c>
      <c r="Y381" s="70" t="s">
        <v>2286</v>
      </c>
      <c r="Z381" s="70" t="s">
        <v>2286</v>
      </c>
      <c r="AA381" s="70" t="s">
        <v>2286</v>
      </c>
      <c r="AB381" s="70" t="s">
        <v>2286</v>
      </c>
      <c r="AC381" s="70" t="s">
        <v>2286</v>
      </c>
      <c r="AD381" s="70" t="s">
        <v>2286</v>
      </c>
      <c r="AE381" s="70" t="s">
        <v>2286</v>
      </c>
      <c r="AF381" s="70" t="s">
        <v>2286</v>
      </c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" thickBot="1" x14ac:dyDescent="0.35">
      <c r="A382" t="s">
        <v>409</v>
      </c>
      <c r="B382" t="s">
        <v>412</v>
      </c>
      <c r="C382" t="s">
        <v>1061</v>
      </c>
      <c r="D382" t="s">
        <v>411</v>
      </c>
      <c r="E382" s="30" t="s">
        <v>73</v>
      </c>
      <c r="F382" s="30" t="s">
        <v>28</v>
      </c>
      <c r="G382" s="30"/>
      <c r="H382" s="30" t="s">
        <v>793</v>
      </c>
      <c r="I382" s="31">
        <f t="shared" si="20"/>
        <v>12</v>
      </c>
      <c r="J382" s="147" t="s">
        <v>1977</v>
      </c>
      <c r="K382" s="31">
        <f t="shared" si="21"/>
        <v>16</v>
      </c>
      <c r="L382" s="32">
        <f t="shared" si="22"/>
        <v>0.42857142857142855</v>
      </c>
      <c r="M382" s="70" t="s">
        <v>2286</v>
      </c>
      <c r="N382" s="70" t="s">
        <v>2286</v>
      </c>
      <c r="O382" s="70"/>
      <c r="P382" s="70"/>
      <c r="Q382" s="70"/>
      <c r="R382" s="70" t="s">
        <v>2286</v>
      </c>
      <c r="S382" s="70" t="s">
        <v>2286</v>
      </c>
      <c r="T382" s="70" t="s">
        <v>2286</v>
      </c>
      <c r="U382" s="70" t="s">
        <v>2286</v>
      </c>
      <c r="V382" s="70" t="s">
        <v>2286</v>
      </c>
      <c r="W382" s="70"/>
      <c r="X382" s="70" t="s">
        <v>2286</v>
      </c>
      <c r="Y382" s="70" t="s">
        <v>2286</v>
      </c>
      <c r="Z382" s="70" t="s">
        <v>2286</v>
      </c>
      <c r="AA382" s="70" t="s">
        <v>2286</v>
      </c>
      <c r="AB382" s="70" t="s">
        <v>2286</v>
      </c>
      <c r="AC382" s="70" t="s">
        <v>2286</v>
      </c>
      <c r="AD382" s="70" t="s">
        <v>2286</v>
      </c>
      <c r="AE382" s="70" t="s">
        <v>2286</v>
      </c>
      <c r="AF382" s="70" t="s">
        <v>2286</v>
      </c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" thickBot="1" x14ac:dyDescent="0.35">
      <c r="A383" t="s">
        <v>402</v>
      </c>
      <c r="B383" t="s">
        <v>413</v>
      </c>
      <c r="C383" t="s">
        <v>1061</v>
      </c>
      <c r="D383" t="s">
        <v>414</v>
      </c>
      <c r="E383" s="30" t="s">
        <v>73</v>
      </c>
      <c r="F383" s="30" t="s">
        <v>28</v>
      </c>
      <c r="G383" s="30"/>
      <c r="H383" s="30" t="s">
        <v>794</v>
      </c>
      <c r="I383" s="31">
        <f t="shared" si="20"/>
        <v>20</v>
      </c>
      <c r="J383" s="147" t="s">
        <v>1978</v>
      </c>
      <c r="K383" s="31">
        <f t="shared" si="21"/>
        <v>8</v>
      </c>
      <c r="L383" s="32">
        <f t="shared" si="22"/>
        <v>0.7142857142857143</v>
      </c>
      <c r="M383" s="70" t="s">
        <v>2286</v>
      </c>
      <c r="N383" s="70" t="s">
        <v>2286</v>
      </c>
      <c r="O383" s="70"/>
      <c r="P383" s="70"/>
      <c r="Q383" s="70"/>
      <c r="R383" s="70" t="s">
        <v>2286</v>
      </c>
      <c r="S383" s="70" t="s">
        <v>2286</v>
      </c>
      <c r="T383" s="70" t="s">
        <v>2286</v>
      </c>
      <c r="U383" s="70" t="s">
        <v>2286</v>
      </c>
      <c r="V383" s="70" t="s">
        <v>2286</v>
      </c>
      <c r="W383" s="70"/>
      <c r="X383" s="70" t="s">
        <v>2286</v>
      </c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" thickBot="1" x14ac:dyDescent="0.35">
      <c r="A384" t="s">
        <v>402</v>
      </c>
      <c r="B384" t="s">
        <v>415</v>
      </c>
      <c r="C384" t="s">
        <v>1061</v>
      </c>
      <c r="D384" t="s">
        <v>414</v>
      </c>
      <c r="E384" s="30" t="s">
        <v>73</v>
      </c>
      <c r="F384" s="30" t="s">
        <v>28</v>
      </c>
      <c r="G384" s="30"/>
      <c r="H384" s="30" t="s">
        <v>795</v>
      </c>
      <c r="I384" s="31">
        <f t="shared" si="20"/>
        <v>20</v>
      </c>
      <c r="J384" s="147" t="s">
        <v>1979</v>
      </c>
      <c r="K384" s="31">
        <f t="shared" si="21"/>
        <v>8</v>
      </c>
      <c r="L384" s="32">
        <f t="shared" si="22"/>
        <v>0.7142857142857143</v>
      </c>
      <c r="M384" s="70" t="s">
        <v>2286</v>
      </c>
      <c r="N384" s="70" t="s">
        <v>2286</v>
      </c>
      <c r="O384" s="70"/>
      <c r="P384" s="70"/>
      <c r="Q384" s="70"/>
      <c r="R384" s="70" t="s">
        <v>2286</v>
      </c>
      <c r="S384" s="70" t="s">
        <v>2286</v>
      </c>
      <c r="T384" s="70" t="s">
        <v>2286</v>
      </c>
      <c r="U384" s="70" t="s">
        <v>2286</v>
      </c>
      <c r="V384" s="70" t="s">
        <v>2286</v>
      </c>
      <c r="W384" s="70"/>
      <c r="X384" s="70" t="s">
        <v>2286</v>
      </c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" thickBot="1" x14ac:dyDescent="0.35">
      <c r="A385" t="s">
        <v>402</v>
      </c>
      <c r="B385" t="s">
        <v>416</v>
      </c>
      <c r="C385" t="s">
        <v>1061</v>
      </c>
      <c r="D385" t="s">
        <v>417</v>
      </c>
      <c r="E385" s="30" t="s">
        <v>73</v>
      </c>
      <c r="F385" s="30" t="s">
        <v>28</v>
      </c>
      <c r="G385" s="30"/>
      <c r="H385" s="30" t="s">
        <v>796</v>
      </c>
      <c r="I385" s="31">
        <f t="shared" si="20"/>
        <v>20</v>
      </c>
      <c r="J385" s="147" t="s">
        <v>1980</v>
      </c>
      <c r="K385" s="31">
        <f t="shared" si="21"/>
        <v>8</v>
      </c>
      <c r="L385" s="32">
        <f t="shared" si="22"/>
        <v>0.7142857142857143</v>
      </c>
      <c r="M385" s="70" t="s">
        <v>2286</v>
      </c>
      <c r="N385" s="70" t="s">
        <v>2286</v>
      </c>
      <c r="O385" s="70"/>
      <c r="P385" s="70"/>
      <c r="Q385" s="70"/>
      <c r="R385" s="70" t="s">
        <v>2286</v>
      </c>
      <c r="S385" s="70" t="s">
        <v>2286</v>
      </c>
      <c r="T385" s="70" t="s">
        <v>2286</v>
      </c>
      <c r="U385" s="70" t="s">
        <v>2286</v>
      </c>
      <c r="V385" s="70" t="s">
        <v>2286</v>
      </c>
      <c r="W385" s="70"/>
      <c r="X385" s="70" t="s">
        <v>2286</v>
      </c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" thickBot="1" x14ac:dyDescent="0.35">
      <c r="A386" t="s">
        <v>402</v>
      </c>
      <c r="B386" t="s">
        <v>418</v>
      </c>
      <c r="C386" t="s">
        <v>1061</v>
      </c>
      <c r="D386" t="s">
        <v>417</v>
      </c>
      <c r="E386" s="30" t="s">
        <v>73</v>
      </c>
      <c r="F386" s="30" t="s">
        <v>28</v>
      </c>
      <c r="G386" s="30"/>
      <c r="H386" s="30" t="s">
        <v>797</v>
      </c>
      <c r="I386" s="31">
        <f t="shared" si="20"/>
        <v>20</v>
      </c>
      <c r="J386" s="147" t="s">
        <v>1981</v>
      </c>
      <c r="K386" s="31">
        <f t="shared" si="21"/>
        <v>8</v>
      </c>
      <c r="L386" s="32">
        <f t="shared" si="22"/>
        <v>0.7142857142857143</v>
      </c>
      <c r="M386" s="70" t="s">
        <v>2286</v>
      </c>
      <c r="N386" s="70" t="s">
        <v>2286</v>
      </c>
      <c r="O386" s="70"/>
      <c r="P386" s="70"/>
      <c r="Q386" s="70"/>
      <c r="R386" s="70" t="s">
        <v>2286</v>
      </c>
      <c r="S386" s="70" t="s">
        <v>2286</v>
      </c>
      <c r="T386" s="70" t="s">
        <v>2286</v>
      </c>
      <c r="U386" s="70" t="s">
        <v>2286</v>
      </c>
      <c r="V386" s="70" t="s">
        <v>2286</v>
      </c>
      <c r="W386" s="70"/>
      <c r="X386" s="70" t="s">
        <v>2286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" thickBot="1" x14ac:dyDescent="0.35">
      <c r="A387" t="s">
        <v>409</v>
      </c>
      <c r="B387" t="s">
        <v>901</v>
      </c>
      <c r="C387" t="s">
        <v>1061</v>
      </c>
      <c r="D387" t="s">
        <v>902</v>
      </c>
      <c r="E387" s="30" t="s">
        <v>19</v>
      </c>
      <c r="F387" s="30" t="s">
        <v>28</v>
      </c>
      <c r="G387" s="30"/>
      <c r="H387" s="30" t="s">
        <v>909</v>
      </c>
      <c r="I387" s="31">
        <f t="shared" si="20"/>
        <v>12</v>
      </c>
      <c r="J387" s="147" t="s">
        <v>1982</v>
      </c>
      <c r="K387" s="31">
        <f t="shared" si="21"/>
        <v>16</v>
      </c>
      <c r="L387" s="32">
        <f t="shared" si="22"/>
        <v>0.42857142857142855</v>
      </c>
      <c r="M387" s="70" t="s">
        <v>2286</v>
      </c>
      <c r="N387" s="70" t="s">
        <v>2286</v>
      </c>
      <c r="O387" s="70"/>
      <c r="P387" s="70"/>
      <c r="Q387" s="70"/>
      <c r="R387" s="70" t="s">
        <v>2286</v>
      </c>
      <c r="S387" s="70" t="s">
        <v>2286</v>
      </c>
      <c r="T387" s="70" t="s">
        <v>2286</v>
      </c>
      <c r="U387" s="70" t="s">
        <v>2286</v>
      </c>
      <c r="V387" s="70" t="s">
        <v>2286</v>
      </c>
      <c r="W387" s="70"/>
      <c r="X387" s="70" t="s">
        <v>2286</v>
      </c>
      <c r="Y387" s="70" t="s">
        <v>2286</v>
      </c>
      <c r="Z387" s="70" t="s">
        <v>2286</v>
      </c>
      <c r="AA387" s="70" t="s">
        <v>2286</v>
      </c>
      <c r="AB387" s="70" t="s">
        <v>2286</v>
      </c>
      <c r="AC387" s="70" t="s">
        <v>2286</v>
      </c>
      <c r="AD387" s="70" t="s">
        <v>2286</v>
      </c>
      <c r="AE387" s="70" t="s">
        <v>2286</v>
      </c>
      <c r="AF387" s="70" t="s">
        <v>2286</v>
      </c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" thickBot="1" x14ac:dyDescent="0.35">
      <c r="A388" t="s">
        <v>402</v>
      </c>
      <c r="B388" t="s">
        <v>903</v>
      </c>
      <c r="C388" t="s">
        <v>1061</v>
      </c>
      <c r="D388" t="s">
        <v>904</v>
      </c>
      <c r="E388" s="30" t="s">
        <v>19</v>
      </c>
      <c r="F388" s="30" t="s">
        <v>28</v>
      </c>
      <c r="G388" s="30"/>
      <c r="H388" s="30" t="s">
        <v>910</v>
      </c>
      <c r="I388" s="31">
        <f t="shared" si="20"/>
        <v>9</v>
      </c>
      <c r="J388" s="147" t="s">
        <v>1983</v>
      </c>
      <c r="K388" s="31">
        <f t="shared" si="21"/>
        <v>19</v>
      </c>
      <c r="L388" s="32">
        <f t="shared" si="22"/>
        <v>0.32142857142857145</v>
      </c>
      <c r="M388" s="70" t="s">
        <v>2286</v>
      </c>
      <c r="N388" s="70" t="s">
        <v>2286</v>
      </c>
      <c r="O388" s="70" t="s">
        <v>2286</v>
      </c>
      <c r="P388" s="70" t="s">
        <v>2286</v>
      </c>
      <c r="Q388" s="70" t="s">
        <v>2286</v>
      </c>
      <c r="R388" s="70" t="s">
        <v>2286</v>
      </c>
      <c r="S388" s="70" t="s">
        <v>2286</v>
      </c>
      <c r="T388" s="70" t="s">
        <v>2286</v>
      </c>
      <c r="U388" s="70" t="s">
        <v>2286</v>
      </c>
      <c r="V388" s="70" t="s">
        <v>2286</v>
      </c>
      <c r="W388" s="70"/>
      <c r="X388" s="70" t="s">
        <v>2286</v>
      </c>
      <c r="Y388" s="70" t="s">
        <v>2286</v>
      </c>
      <c r="Z388" s="70" t="s">
        <v>2286</v>
      </c>
      <c r="AA388" s="70" t="s">
        <v>2286</v>
      </c>
      <c r="AB388" s="70" t="s">
        <v>2286</v>
      </c>
      <c r="AC388" s="70" t="s">
        <v>2286</v>
      </c>
      <c r="AD388" s="70" t="s">
        <v>2286</v>
      </c>
      <c r="AE388" s="70" t="s">
        <v>2286</v>
      </c>
      <c r="AF388" s="70" t="s">
        <v>2286</v>
      </c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" thickBot="1" x14ac:dyDescent="0.35">
      <c r="A389" t="s">
        <v>402</v>
      </c>
      <c r="B389" t="s">
        <v>1011</v>
      </c>
      <c r="C389" t="s">
        <v>1061</v>
      </c>
      <c r="D389" t="s">
        <v>1012</v>
      </c>
      <c r="E389" s="30" t="s">
        <v>19</v>
      </c>
      <c r="F389" s="30" t="s">
        <v>28</v>
      </c>
      <c r="G389" s="30"/>
      <c r="H389" s="30" t="s">
        <v>1218</v>
      </c>
      <c r="I389" s="31">
        <f t="shared" si="20"/>
        <v>9</v>
      </c>
      <c r="J389" s="147" t="s">
        <v>1984</v>
      </c>
      <c r="K389" s="31">
        <f t="shared" si="21"/>
        <v>19</v>
      </c>
      <c r="L389" s="32">
        <f t="shared" si="22"/>
        <v>0.32142857142857145</v>
      </c>
      <c r="M389" s="70" t="s">
        <v>2286</v>
      </c>
      <c r="N389" s="70" t="s">
        <v>2286</v>
      </c>
      <c r="O389" s="70" t="s">
        <v>2286</v>
      </c>
      <c r="P389" s="70" t="s">
        <v>2286</v>
      </c>
      <c r="Q389" s="70" t="s">
        <v>2286</v>
      </c>
      <c r="R389" s="70" t="s">
        <v>2286</v>
      </c>
      <c r="S389" s="70" t="s">
        <v>2286</v>
      </c>
      <c r="T389" s="70" t="s">
        <v>2286</v>
      </c>
      <c r="U389" s="70" t="s">
        <v>2286</v>
      </c>
      <c r="V389" s="70" t="s">
        <v>2286</v>
      </c>
      <c r="W389" s="70"/>
      <c r="X389" s="70" t="s">
        <v>2286</v>
      </c>
      <c r="Y389" s="70" t="s">
        <v>2286</v>
      </c>
      <c r="Z389" s="70" t="s">
        <v>2286</v>
      </c>
      <c r="AA389" s="70" t="s">
        <v>2286</v>
      </c>
      <c r="AB389" s="70" t="s">
        <v>2286</v>
      </c>
      <c r="AC389" s="70" t="s">
        <v>2286</v>
      </c>
      <c r="AD389" s="70" t="s">
        <v>2286</v>
      </c>
      <c r="AE389" s="70" t="s">
        <v>2286</v>
      </c>
      <c r="AF389" s="70" t="s">
        <v>2286</v>
      </c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s="73" customFormat="1" ht="15" thickBot="1" x14ac:dyDescent="0.35">
      <c r="A390" s="73" t="s">
        <v>402</v>
      </c>
      <c r="B390" s="73" t="s">
        <v>1436</v>
      </c>
      <c r="C390" s="73" t="s">
        <v>1061</v>
      </c>
      <c r="D390" s="73" t="s">
        <v>1439</v>
      </c>
      <c r="E390" s="30" t="s">
        <v>19</v>
      </c>
      <c r="F390" s="85" t="s">
        <v>1300</v>
      </c>
      <c r="G390" s="85"/>
      <c r="H390" s="85" t="s">
        <v>1440</v>
      </c>
      <c r="I390" s="142">
        <f t="shared" si="20"/>
        <v>28</v>
      </c>
      <c r="J390" s="147" t="s">
        <v>1985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" thickBot="1" x14ac:dyDescent="0.35">
      <c r="A391" t="s">
        <v>402</v>
      </c>
      <c r="B391" t="s">
        <v>1437</v>
      </c>
      <c r="C391" t="s">
        <v>1061</v>
      </c>
      <c r="D391" t="s">
        <v>1439</v>
      </c>
      <c r="E391" s="30" t="s">
        <v>73</v>
      </c>
      <c r="F391" s="30" t="s">
        <v>28</v>
      </c>
      <c r="G391" s="30"/>
      <c r="H391" s="85" t="s">
        <v>1502</v>
      </c>
      <c r="I391" s="31">
        <f t="shared" si="20"/>
        <v>28</v>
      </c>
      <c r="J391" s="147" t="s">
        <v>1986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" thickBot="1" x14ac:dyDescent="0.35">
      <c r="A392" t="s">
        <v>402</v>
      </c>
      <c r="B392" t="s">
        <v>1438</v>
      </c>
      <c r="C392" t="s">
        <v>1061</v>
      </c>
      <c r="D392" t="s">
        <v>1439</v>
      </c>
      <c r="E392" s="30" t="s">
        <v>73</v>
      </c>
      <c r="F392" s="30" t="s">
        <v>28</v>
      </c>
      <c r="G392" s="30"/>
      <c r="H392" s="85" t="s">
        <v>1500</v>
      </c>
      <c r="I392" s="31">
        <f t="shared" si="20"/>
        <v>28</v>
      </c>
      <c r="J392" s="147" t="s">
        <v>1987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" thickBot="1" x14ac:dyDescent="0.35">
      <c r="A393" t="s">
        <v>402</v>
      </c>
      <c r="B393" t="s">
        <v>1631</v>
      </c>
      <c r="C393" t="s">
        <v>1061</v>
      </c>
      <c r="D393" t="s">
        <v>1632</v>
      </c>
      <c r="E393" s="30" t="s">
        <v>19</v>
      </c>
      <c r="F393" s="30" t="s">
        <v>28</v>
      </c>
      <c r="G393" s="30"/>
      <c r="H393" s="85" t="s">
        <v>1633</v>
      </c>
      <c r="I393" s="31">
        <f t="shared" si="20"/>
        <v>10</v>
      </c>
      <c r="J393" s="87"/>
      <c r="K393" s="31">
        <f t="shared" si="21"/>
        <v>18</v>
      </c>
      <c r="L393" s="32">
        <f t="shared" si="22"/>
        <v>0.35714285714285715</v>
      </c>
      <c r="M393" s="70"/>
      <c r="N393" s="70" t="s">
        <v>2286</v>
      </c>
      <c r="O393" s="70" t="s">
        <v>2286</v>
      </c>
      <c r="P393" s="84" t="s">
        <v>2286</v>
      </c>
      <c r="Q393" s="84" t="s">
        <v>2286</v>
      </c>
      <c r="R393" s="84" t="s">
        <v>2286</v>
      </c>
      <c r="S393" s="84" t="s">
        <v>2286</v>
      </c>
      <c r="T393" s="84" t="s">
        <v>2286</v>
      </c>
      <c r="U393" s="84" t="s">
        <v>2286</v>
      </c>
      <c r="V393" s="84" t="s">
        <v>2286</v>
      </c>
      <c r="W393" s="84"/>
      <c r="X393" s="84" t="s">
        <v>2286</v>
      </c>
      <c r="Y393" s="84" t="s">
        <v>2286</v>
      </c>
      <c r="Z393" s="84" t="s">
        <v>2286</v>
      </c>
      <c r="AA393" s="84" t="s">
        <v>2286</v>
      </c>
      <c r="AB393" s="84" t="s">
        <v>2286</v>
      </c>
      <c r="AC393" s="84" t="s">
        <v>2286</v>
      </c>
      <c r="AD393" s="84" t="s">
        <v>2286</v>
      </c>
      <c r="AE393" s="84" t="s">
        <v>2286</v>
      </c>
      <c r="AF393" s="84" t="s">
        <v>2286</v>
      </c>
      <c r="AG393" s="84"/>
      <c r="AH393" s="84"/>
      <c r="AI393" s="84"/>
      <c r="AJ393" s="84"/>
      <c r="AK393" s="84"/>
      <c r="AL393" s="84"/>
      <c r="AM393" s="84"/>
      <c r="AN393" s="84"/>
      <c r="AO393" s="84"/>
      <c r="AP393" s="90"/>
      <c r="AQ393" s="90"/>
    </row>
    <row r="394" spans="1:43" ht="15" thickBot="1" x14ac:dyDescent="0.35">
      <c r="A394" t="s">
        <v>402</v>
      </c>
      <c r="B394" t="s">
        <v>2278</v>
      </c>
      <c r="C394" t="s">
        <v>1061</v>
      </c>
      <c r="D394" t="s">
        <v>2279</v>
      </c>
      <c r="E394" s="30" t="s">
        <v>19</v>
      </c>
      <c r="F394" s="85" t="s">
        <v>1300</v>
      </c>
      <c r="G394" s="30"/>
      <c r="H394" s="85" t="s">
        <v>2280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" thickBot="1" x14ac:dyDescent="0.35">
      <c r="A395" t="s">
        <v>196</v>
      </c>
      <c r="B395" t="s">
        <v>419</v>
      </c>
      <c r="C395" t="s">
        <v>1062</v>
      </c>
      <c r="D395" t="s">
        <v>420</v>
      </c>
      <c r="E395" s="30" t="s">
        <v>15</v>
      </c>
      <c r="F395" s="30" t="s">
        <v>20</v>
      </c>
      <c r="G395" s="30"/>
      <c r="H395" s="30" t="s">
        <v>799</v>
      </c>
      <c r="I395" s="31">
        <f t="shared" si="20"/>
        <v>16</v>
      </c>
      <c r="J395" s="87"/>
      <c r="K395" s="31">
        <f t="shared" si="21"/>
        <v>12</v>
      </c>
      <c r="L395" s="32">
        <f t="shared" si="22"/>
        <v>0.5714285714285714</v>
      </c>
      <c r="M395" s="70" t="s">
        <v>2286</v>
      </c>
      <c r="N395" s="70" t="s">
        <v>2286</v>
      </c>
      <c r="O395" s="70"/>
      <c r="P395" s="70"/>
      <c r="Q395" s="70" t="s">
        <v>2286</v>
      </c>
      <c r="R395" s="70" t="s">
        <v>2286</v>
      </c>
      <c r="S395" s="70" t="s">
        <v>2286</v>
      </c>
      <c r="T395" s="70" t="s">
        <v>2286</v>
      </c>
      <c r="U395" s="70" t="s">
        <v>2286</v>
      </c>
      <c r="V395" s="70" t="s">
        <v>2286</v>
      </c>
      <c r="W395" s="70"/>
      <c r="X395" s="70" t="s">
        <v>2286</v>
      </c>
      <c r="Y395" s="70" t="s">
        <v>2286</v>
      </c>
      <c r="Z395" s="70" t="s">
        <v>2286</v>
      </c>
      <c r="AA395" s="70" t="s">
        <v>2286</v>
      </c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s="73" customFormat="1" ht="15" thickBot="1" x14ac:dyDescent="0.35">
      <c r="A396" s="73" t="s">
        <v>196</v>
      </c>
      <c r="B396" s="73" t="s">
        <v>421</v>
      </c>
      <c r="C396" s="73" t="s">
        <v>1062</v>
      </c>
      <c r="D396" s="73" t="s">
        <v>422</v>
      </c>
      <c r="E396" s="85" t="s">
        <v>15</v>
      </c>
      <c r="F396" s="85" t="s">
        <v>1300</v>
      </c>
      <c r="G396" s="85"/>
      <c r="H396" s="85" t="s">
        <v>1430</v>
      </c>
      <c r="I396" s="142">
        <f t="shared" si="20"/>
        <v>24</v>
      </c>
      <c r="J396" s="147" t="s">
        <v>1988</v>
      </c>
      <c r="K396" s="142">
        <f t="shared" si="21"/>
        <v>4</v>
      </c>
      <c r="L396" s="143">
        <f t="shared" si="22"/>
        <v>0.8571428571428571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 t="s">
        <v>2286</v>
      </c>
      <c r="Z396" s="70" t="s">
        <v>2286</v>
      </c>
      <c r="AA396" s="70" t="s">
        <v>2286</v>
      </c>
      <c r="AB396" s="70"/>
      <c r="AC396" s="70" t="s">
        <v>2286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" thickBot="1" x14ac:dyDescent="0.35">
      <c r="A397" t="s">
        <v>196</v>
      </c>
      <c r="B397" t="s">
        <v>1013</v>
      </c>
      <c r="C397" t="s">
        <v>1062</v>
      </c>
      <c r="D397" t="s">
        <v>1014</v>
      </c>
      <c r="E397" s="30" t="s">
        <v>73</v>
      </c>
      <c r="F397" s="30" t="s">
        <v>20</v>
      </c>
      <c r="G397" s="30"/>
      <c r="H397" s="30" t="s">
        <v>1280</v>
      </c>
      <c r="I397" s="31">
        <f t="shared" si="20"/>
        <v>26</v>
      </c>
      <c r="J397" s="87"/>
      <c r="K397" s="31">
        <f t="shared" si="21"/>
        <v>2</v>
      </c>
      <c r="L397" s="32">
        <f t="shared" si="22"/>
        <v>0.9285714285714286</v>
      </c>
      <c r="M397" s="70"/>
      <c r="N397" s="70"/>
      <c r="O397" s="70"/>
      <c r="P397" s="70"/>
      <c r="Q397" s="70"/>
      <c r="R397" s="70" t="s">
        <v>2286</v>
      </c>
      <c r="S397" s="70" t="s">
        <v>2286</v>
      </c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" thickBot="1" x14ac:dyDescent="0.35">
      <c r="A398" t="s">
        <v>196</v>
      </c>
      <c r="B398" t="s">
        <v>1015</v>
      </c>
      <c r="C398" t="s">
        <v>1062</v>
      </c>
      <c r="D398" t="s">
        <v>1014</v>
      </c>
      <c r="E398" s="30" t="s">
        <v>73</v>
      </c>
      <c r="F398" s="30" t="s">
        <v>20</v>
      </c>
      <c r="G398" s="30"/>
      <c r="H398" s="30" t="s">
        <v>1398</v>
      </c>
      <c r="I398" s="31">
        <f t="shared" si="20"/>
        <v>26</v>
      </c>
      <c r="J398" s="87"/>
      <c r="K398" s="31">
        <f t="shared" si="21"/>
        <v>2</v>
      </c>
      <c r="L398" s="32">
        <f t="shared" si="22"/>
        <v>0.9285714285714286</v>
      </c>
      <c r="M398" s="70"/>
      <c r="N398" s="70"/>
      <c r="O398" s="70"/>
      <c r="P398" s="70"/>
      <c r="Q398" s="70"/>
      <c r="R398" s="70" t="s">
        <v>2286</v>
      </c>
      <c r="S398" s="70" t="s">
        <v>2286</v>
      </c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" thickBot="1" x14ac:dyDescent="0.35">
      <c r="A399" s="73" t="s">
        <v>196</v>
      </c>
      <c r="B399" s="73" t="s">
        <v>423</v>
      </c>
      <c r="C399" s="73" t="s">
        <v>1062</v>
      </c>
      <c r="D399" s="73" t="s">
        <v>424</v>
      </c>
      <c r="E399" s="85" t="s">
        <v>19</v>
      </c>
      <c r="F399" s="30" t="s">
        <v>1055</v>
      </c>
      <c r="G399" s="85"/>
      <c r="H399" s="85" t="s">
        <v>1431</v>
      </c>
      <c r="I399" s="87">
        <f t="shared" si="20"/>
        <v>9</v>
      </c>
      <c r="J399" s="147" t="s">
        <v>1989</v>
      </c>
      <c r="K399" s="87">
        <f t="shared" si="21"/>
        <v>19</v>
      </c>
      <c r="L399" s="88">
        <f t="shared" si="22"/>
        <v>0.32142857142857145</v>
      </c>
      <c r="M399" s="89" t="s">
        <v>2286</v>
      </c>
      <c r="N399" s="89" t="s">
        <v>2286</v>
      </c>
      <c r="O399" s="89" t="s">
        <v>2286</v>
      </c>
      <c r="P399" s="89" t="s">
        <v>2286</v>
      </c>
      <c r="Q399" s="89" t="s">
        <v>2286</v>
      </c>
      <c r="R399" s="89" t="s">
        <v>2286</v>
      </c>
      <c r="S399" s="89" t="s">
        <v>2286</v>
      </c>
      <c r="T399" s="89" t="s">
        <v>2286</v>
      </c>
      <c r="U399" s="89" t="s">
        <v>2286</v>
      </c>
      <c r="V399" s="89" t="s">
        <v>2286</v>
      </c>
      <c r="W399" s="89"/>
      <c r="X399" s="89" t="s">
        <v>2286</v>
      </c>
      <c r="Y399" s="89" t="s">
        <v>2286</v>
      </c>
      <c r="Z399" s="89" t="s">
        <v>2286</v>
      </c>
      <c r="AA399" s="89" t="s">
        <v>2286</v>
      </c>
      <c r="AB399" s="89" t="s">
        <v>2286</v>
      </c>
      <c r="AC399" s="89" t="s">
        <v>2286</v>
      </c>
      <c r="AD399" s="89" t="s">
        <v>2286</v>
      </c>
      <c r="AE399" s="89" t="s">
        <v>2286</v>
      </c>
      <c r="AF399" s="89" t="s">
        <v>2286</v>
      </c>
      <c r="AG399" s="89"/>
      <c r="AH399" s="89"/>
      <c r="AI399" s="89"/>
      <c r="AJ399" s="89"/>
      <c r="AK399" s="89"/>
      <c r="AL399" s="89"/>
      <c r="AM399" s="89"/>
      <c r="AN399" s="89"/>
      <c r="AO399" s="89"/>
      <c r="AP399" s="89"/>
      <c r="AQ399" s="89"/>
    </row>
    <row r="400" spans="1:43" ht="15" thickBot="1" x14ac:dyDescent="0.35">
      <c r="A400" t="s">
        <v>196</v>
      </c>
      <c r="B400" t="s">
        <v>425</v>
      </c>
      <c r="C400" t="s">
        <v>1062</v>
      </c>
      <c r="D400" t="s">
        <v>426</v>
      </c>
      <c r="E400" s="30" t="s">
        <v>19</v>
      </c>
      <c r="F400" s="30" t="s">
        <v>20</v>
      </c>
      <c r="G400" s="30"/>
      <c r="H400" s="30" t="s">
        <v>798</v>
      </c>
      <c r="I400" s="31">
        <f t="shared" si="20"/>
        <v>25</v>
      </c>
      <c r="J400" s="87"/>
      <c r="K400" s="31">
        <f t="shared" si="21"/>
        <v>3</v>
      </c>
      <c r="L400" s="32">
        <f t="shared" si="22"/>
        <v>0.8928571428571429</v>
      </c>
      <c r="M400" s="70"/>
      <c r="N400" s="70"/>
      <c r="O400" s="70" t="s">
        <v>2286</v>
      </c>
      <c r="P400" s="70"/>
      <c r="Q400" s="70"/>
      <c r="R400" s="70" t="s">
        <v>2286</v>
      </c>
      <c r="S400" s="70" t="s">
        <v>2286</v>
      </c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" thickBot="1" x14ac:dyDescent="0.35">
      <c r="A401" t="s">
        <v>196</v>
      </c>
      <c r="B401" t="s">
        <v>427</v>
      </c>
      <c r="C401" t="s">
        <v>1062</v>
      </c>
      <c r="D401" t="s">
        <v>428</v>
      </c>
      <c r="E401" s="30" t="s">
        <v>73</v>
      </c>
      <c r="F401" s="30" t="s">
        <v>28</v>
      </c>
      <c r="G401" s="30"/>
      <c r="H401" s="30" t="s">
        <v>801</v>
      </c>
      <c r="I401" s="31">
        <f t="shared" si="20"/>
        <v>9</v>
      </c>
      <c r="J401" s="147" t="s">
        <v>1990</v>
      </c>
      <c r="K401" s="31">
        <f t="shared" si="21"/>
        <v>19</v>
      </c>
      <c r="L401" s="32">
        <f t="shared" si="22"/>
        <v>0.32142857142857145</v>
      </c>
      <c r="M401" s="70" t="s">
        <v>2286</v>
      </c>
      <c r="N401" s="70" t="s">
        <v>2286</v>
      </c>
      <c r="O401" s="70" t="s">
        <v>2286</v>
      </c>
      <c r="P401" s="70" t="s">
        <v>2286</v>
      </c>
      <c r="Q401" s="70" t="s">
        <v>2286</v>
      </c>
      <c r="R401" s="70" t="s">
        <v>2286</v>
      </c>
      <c r="S401" s="70" t="s">
        <v>2286</v>
      </c>
      <c r="T401" s="70" t="s">
        <v>2286</v>
      </c>
      <c r="U401" s="70" t="s">
        <v>2286</v>
      </c>
      <c r="V401" s="70" t="s">
        <v>2286</v>
      </c>
      <c r="W401" s="70"/>
      <c r="X401" s="70" t="s">
        <v>2286</v>
      </c>
      <c r="Y401" s="70" t="s">
        <v>2286</v>
      </c>
      <c r="Z401" s="70" t="s">
        <v>2286</v>
      </c>
      <c r="AA401" s="70" t="s">
        <v>2286</v>
      </c>
      <c r="AB401" s="70" t="s">
        <v>2286</v>
      </c>
      <c r="AC401" s="70" t="s">
        <v>2286</v>
      </c>
      <c r="AD401" s="70" t="s">
        <v>2286</v>
      </c>
      <c r="AE401" s="70" t="s">
        <v>2286</v>
      </c>
      <c r="AF401" s="70" t="s">
        <v>2286</v>
      </c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</row>
    <row r="402" spans="1:43" ht="15" thickBot="1" x14ac:dyDescent="0.35">
      <c r="A402" t="s">
        <v>196</v>
      </c>
      <c r="B402" t="s">
        <v>429</v>
      </c>
      <c r="C402" t="s">
        <v>1062</v>
      </c>
      <c r="D402" t="s">
        <v>428</v>
      </c>
      <c r="E402" s="30" t="s">
        <v>73</v>
      </c>
      <c r="F402" s="30" t="s">
        <v>28</v>
      </c>
      <c r="G402" s="30"/>
      <c r="H402" s="30" t="s">
        <v>802</v>
      </c>
      <c r="I402" s="31">
        <f t="shared" si="20"/>
        <v>9</v>
      </c>
      <c r="J402" s="147" t="s">
        <v>1991</v>
      </c>
      <c r="K402" s="31">
        <f t="shared" si="21"/>
        <v>19</v>
      </c>
      <c r="L402" s="32">
        <f t="shared" si="22"/>
        <v>0.32142857142857145</v>
      </c>
      <c r="M402" s="70" t="s">
        <v>2286</v>
      </c>
      <c r="N402" s="70" t="s">
        <v>2286</v>
      </c>
      <c r="O402" s="70" t="s">
        <v>2286</v>
      </c>
      <c r="P402" s="70" t="s">
        <v>2286</v>
      </c>
      <c r="Q402" s="70" t="s">
        <v>2286</v>
      </c>
      <c r="R402" s="70" t="s">
        <v>2286</v>
      </c>
      <c r="S402" s="70" t="s">
        <v>2286</v>
      </c>
      <c r="T402" s="70" t="s">
        <v>2286</v>
      </c>
      <c r="U402" s="70" t="s">
        <v>2286</v>
      </c>
      <c r="V402" s="70" t="s">
        <v>2286</v>
      </c>
      <c r="W402" s="70"/>
      <c r="X402" s="70" t="s">
        <v>2286</v>
      </c>
      <c r="Y402" s="70" t="s">
        <v>2286</v>
      </c>
      <c r="Z402" s="70" t="s">
        <v>2286</v>
      </c>
      <c r="AA402" s="70" t="s">
        <v>2286</v>
      </c>
      <c r="AB402" s="70" t="s">
        <v>2286</v>
      </c>
      <c r="AC402" s="70" t="s">
        <v>2286</v>
      </c>
      <c r="AD402" s="70" t="s">
        <v>2286</v>
      </c>
      <c r="AE402" s="70" t="s">
        <v>2286</v>
      </c>
      <c r="AF402" s="70" t="s">
        <v>2286</v>
      </c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</row>
    <row r="403" spans="1:43" s="73" customFormat="1" ht="15" thickBot="1" x14ac:dyDescent="0.35">
      <c r="A403" s="73" t="s">
        <v>196</v>
      </c>
      <c r="B403" s="73" t="s">
        <v>430</v>
      </c>
      <c r="C403" s="73" t="s">
        <v>1062</v>
      </c>
      <c r="D403" s="73" t="s">
        <v>431</v>
      </c>
      <c r="E403" s="85" t="s">
        <v>73</v>
      </c>
      <c r="F403" s="85" t="s">
        <v>1300</v>
      </c>
      <c r="G403" s="85"/>
      <c r="H403" s="85" t="s">
        <v>803</v>
      </c>
      <c r="I403" s="142">
        <f t="shared" si="20"/>
        <v>28</v>
      </c>
      <c r="J403" s="147" t="s">
        <v>1992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5">
      <c r="A404" s="73" t="s">
        <v>196</v>
      </c>
      <c r="B404" s="73" t="s">
        <v>432</v>
      </c>
      <c r="C404" s="73" t="s">
        <v>1062</v>
      </c>
      <c r="D404" s="73" t="s">
        <v>431</v>
      </c>
      <c r="E404" s="85" t="s">
        <v>73</v>
      </c>
      <c r="F404" s="85" t="s">
        <v>1300</v>
      </c>
      <c r="G404" s="85"/>
      <c r="H404" s="85" t="s">
        <v>804</v>
      </c>
      <c r="I404" s="142">
        <f t="shared" si="20"/>
        <v>28</v>
      </c>
      <c r="J404" s="147" t="s">
        <v>1993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" thickBot="1" x14ac:dyDescent="0.35">
      <c r="A405" s="73" t="s">
        <v>196</v>
      </c>
      <c r="B405" s="73" t="s">
        <v>1544</v>
      </c>
      <c r="C405" s="73" t="s">
        <v>1062</v>
      </c>
      <c r="D405" s="73" t="s">
        <v>1545</v>
      </c>
      <c r="E405" s="85" t="s">
        <v>73</v>
      </c>
      <c r="F405" s="85" t="s">
        <v>1300</v>
      </c>
      <c r="G405" s="85"/>
      <c r="H405" s="85"/>
      <c r="I405" s="142">
        <f t="shared" si="20"/>
        <v>22</v>
      </c>
      <c r="J405" s="87"/>
      <c r="K405" s="142">
        <f t="shared" si="21"/>
        <v>6</v>
      </c>
      <c r="L405" s="143">
        <f t="shared" si="22"/>
        <v>0.7857142857142857</v>
      </c>
      <c r="M405" s="70" t="s">
        <v>2286</v>
      </c>
      <c r="N405" s="70" t="s">
        <v>2286</v>
      </c>
      <c r="O405" s="70" t="s">
        <v>2286</v>
      </c>
      <c r="P405" s="70" t="s">
        <v>2286</v>
      </c>
      <c r="Q405" s="70" t="s">
        <v>2286</v>
      </c>
      <c r="R405" s="70" t="s">
        <v>2286</v>
      </c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" thickBot="1" x14ac:dyDescent="0.35">
      <c r="A406" s="73" t="s">
        <v>196</v>
      </c>
      <c r="B406" s="73" t="s">
        <v>1546</v>
      </c>
      <c r="C406" s="73" t="s">
        <v>1062</v>
      </c>
      <c r="D406" s="73" t="s">
        <v>1545</v>
      </c>
      <c r="E406" s="85" t="s">
        <v>73</v>
      </c>
      <c r="F406" s="85" t="s">
        <v>1300</v>
      </c>
      <c r="G406" s="85"/>
      <c r="H406" s="85"/>
      <c r="I406" s="142">
        <f t="shared" si="20"/>
        <v>22</v>
      </c>
      <c r="J406" s="87"/>
      <c r="K406" s="142">
        <f t="shared" si="21"/>
        <v>6</v>
      </c>
      <c r="L406" s="143">
        <f t="shared" si="22"/>
        <v>0.7857142857142857</v>
      </c>
      <c r="M406" s="70" t="s">
        <v>2286</v>
      </c>
      <c r="N406" s="70" t="s">
        <v>2286</v>
      </c>
      <c r="O406" s="70" t="s">
        <v>2286</v>
      </c>
      <c r="P406" s="70" t="s">
        <v>2286</v>
      </c>
      <c r="Q406" s="70" t="s">
        <v>2286</v>
      </c>
      <c r="R406" s="70" t="s">
        <v>2286</v>
      </c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" thickBot="1" x14ac:dyDescent="0.35">
      <c r="A407" s="73" t="s">
        <v>196</v>
      </c>
      <c r="B407" s="73" t="s">
        <v>1627</v>
      </c>
      <c r="C407" s="73" t="s">
        <v>1062</v>
      </c>
      <c r="D407" s="73" t="s">
        <v>1628</v>
      </c>
      <c r="E407" s="85" t="s">
        <v>73</v>
      </c>
      <c r="F407" s="85" t="s">
        <v>1300</v>
      </c>
      <c r="G407" s="85"/>
      <c r="H407" s="85" t="s">
        <v>1629</v>
      </c>
      <c r="I407" s="142">
        <f t="shared" si="20"/>
        <v>28</v>
      </c>
      <c r="J407" s="87" t="s">
        <v>2150</v>
      </c>
      <c r="K407" s="142">
        <f t="shared" si="21"/>
        <v>0</v>
      </c>
      <c r="L407" s="143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  <c r="AQ407" s="89"/>
    </row>
    <row r="408" spans="1:43" s="73" customFormat="1" ht="15" thickBot="1" x14ac:dyDescent="0.35">
      <c r="A408" s="73" t="s">
        <v>196</v>
      </c>
      <c r="B408" s="73" t="s">
        <v>2146</v>
      </c>
      <c r="C408" s="73" t="s">
        <v>1062</v>
      </c>
      <c r="D408" s="73" t="s">
        <v>2147</v>
      </c>
      <c r="E408" s="92" t="s">
        <v>19</v>
      </c>
      <c r="F408" s="85" t="s">
        <v>1300</v>
      </c>
      <c r="G408" s="85"/>
      <c r="H408" s="85" t="s">
        <v>2148</v>
      </c>
      <c r="I408" s="142">
        <f t="shared" si="20"/>
        <v>28</v>
      </c>
      <c r="J408" s="87" t="s">
        <v>2149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" thickBot="1" x14ac:dyDescent="0.35">
      <c r="A409" s="73" t="s">
        <v>2270</v>
      </c>
      <c r="B409" s="73" t="s">
        <v>434</v>
      </c>
      <c r="C409" s="91" t="s">
        <v>1062</v>
      </c>
      <c r="D409" s="73" t="s">
        <v>435</v>
      </c>
      <c r="E409" s="92" t="s">
        <v>19</v>
      </c>
      <c r="F409" s="85" t="s">
        <v>1300</v>
      </c>
      <c r="G409" s="85"/>
      <c r="H409" s="85" t="s">
        <v>2199</v>
      </c>
      <c r="I409" s="31">
        <f t="shared" si="20"/>
        <v>28</v>
      </c>
      <c r="J409" s="87" t="s">
        <v>2200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" thickBot="1" x14ac:dyDescent="0.35">
      <c r="A410" s="73" t="s">
        <v>2270</v>
      </c>
      <c r="B410" s="73" t="s">
        <v>1352</v>
      </c>
      <c r="C410" s="73" t="s">
        <v>1062</v>
      </c>
      <c r="D410" s="73" t="s">
        <v>1353</v>
      </c>
      <c r="E410" s="92" t="s">
        <v>19</v>
      </c>
      <c r="F410" s="85" t="s">
        <v>1300</v>
      </c>
      <c r="G410" s="85"/>
      <c r="H410" s="85" t="s">
        <v>1414</v>
      </c>
      <c r="I410" s="142">
        <f t="shared" si="20"/>
        <v>28</v>
      </c>
      <c r="J410" s="147" t="s">
        <v>1994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" thickBot="1" x14ac:dyDescent="0.35">
      <c r="A411" s="73" t="s">
        <v>2270</v>
      </c>
      <c r="B411" s="73" t="s">
        <v>1402</v>
      </c>
      <c r="C411" s="73" t="s">
        <v>1062</v>
      </c>
      <c r="D411" s="73" t="s">
        <v>1403</v>
      </c>
      <c r="E411" s="92" t="s">
        <v>19</v>
      </c>
      <c r="F411" s="85" t="s">
        <v>1300</v>
      </c>
      <c r="G411" s="85"/>
      <c r="H411" s="85" t="s">
        <v>1404</v>
      </c>
      <c r="I411" s="142">
        <f t="shared" si="20"/>
        <v>28</v>
      </c>
      <c r="J411" s="147" t="s">
        <v>1995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" thickBot="1" x14ac:dyDescent="0.35">
      <c r="A412" s="73" t="s">
        <v>2270</v>
      </c>
      <c r="B412" s="73" t="s">
        <v>2266</v>
      </c>
      <c r="C412" s="73" t="s">
        <v>1062</v>
      </c>
      <c r="D412" s="73" t="s">
        <v>2267</v>
      </c>
      <c r="E412" s="92" t="s">
        <v>19</v>
      </c>
      <c r="F412" s="85" t="s">
        <v>1300</v>
      </c>
      <c r="G412" s="85"/>
      <c r="H412" s="85" t="s">
        <v>2268</v>
      </c>
      <c r="I412" s="142">
        <f t="shared" si="20"/>
        <v>28</v>
      </c>
      <c r="J412" s="147" t="s">
        <v>2269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" thickBot="1" x14ac:dyDescent="0.35">
      <c r="A413" s="73" t="s">
        <v>438</v>
      </c>
      <c r="B413" s="73" t="s">
        <v>445</v>
      </c>
      <c r="C413" s="73" t="s">
        <v>1062</v>
      </c>
      <c r="D413" s="73" t="s">
        <v>446</v>
      </c>
      <c r="E413" s="85" t="s">
        <v>15</v>
      </c>
      <c r="F413" s="85" t="s">
        <v>1300</v>
      </c>
      <c r="G413" s="85"/>
      <c r="H413" s="85" t="s">
        <v>1373</v>
      </c>
      <c r="I413" s="142">
        <f t="shared" si="20"/>
        <v>23</v>
      </c>
      <c r="J413" s="147" t="s">
        <v>1996</v>
      </c>
      <c r="K413" s="142">
        <f t="shared" si="21"/>
        <v>5</v>
      </c>
      <c r="L413" s="143">
        <f t="shared" si="22"/>
        <v>0.8214285714285714</v>
      </c>
      <c r="M413" s="70" t="s">
        <v>2286</v>
      </c>
      <c r="N413" s="70" t="s">
        <v>2286</v>
      </c>
      <c r="O413" s="70" t="s">
        <v>2286</v>
      </c>
      <c r="P413" s="70" t="s">
        <v>2286</v>
      </c>
      <c r="Q413" s="70" t="s">
        <v>2286</v>
      </c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  <c r="AQ413" s="89"/>
    </row>
    <row r="414" spans="1:43" s="73" customFormat="1" ht="15" thickBot="1" x14ac:dyDescent="0.35">
      <c r="A414" s="73" t="s">
        <v>438</v>
      </c>
      <c r="B414" s="73" t="s">
        <v>447</v>
      </c>
      <c r="C414" s="73" t="s">
        <v>1062</v>
      </c>
      <c r="D414" s="73" t="s">
        <v>448</v>
      </c>
      <c r="E414" s="85" t="s">
        <v>19</v>
      </c>
      <c r="F414" s="85" t="s">
        <v>1300</v>
      </c>
      <c r="G414" s="85"/>
      <c r="H414" s="85" t="s">
        <v>1423</v>
      </c>
      <c r="I414" s="142">
        <f t="shared" si="20"/>
        <v>28</v>
      </c>
      <c r="J414" s="147" t="s">
        <v>1997</v>
      </c>
      <c r="K414" s="142">
        <f t="shared" si="21"/>
        <v>0</v>
      </c>
      <c r="L414" s="143">
        <f t="shared" si="22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" thickBot="1" x14ac:dyDescent="0.35">
      <c r="A415" s="91" t="s">
        <v>438</v>
      </c>
      <c r="B415" s="91" t="s">
        <v>436</v>
      </c>
      <c r="C415" s="91" t="s">
        <v>1062</v>
      </c>
      <c r="D415" s="91" t="s">
        <v>437</v>
      </c>
      <c r="E415" s="92" t="s">
        <v>19</v>
      </c>
      <c r="F415" s="92" t="s">
        <v>20</v>
      </c>
      <c r="G415" s="92"/>
      <c r="H415" s="92" t="s">
        <v>805</v>
      </c>
      <c r="I415" s="31">
        <f t="shared" si="20"/>
        <v>9</v>
      </c>
      <c r="J415" s="87"/>
      <c r="K415" s="31">
        <f t="shared" si="21"/>
        <v>19</v>
      </c>
      <c r="L415" s="32">
        <f t="shared" si="22"/>
        <v>0.32142857142857145</v>
      </c>
      <c r="M415" s="70" t="s">
        <v>2286</v>
      </c>
      <c r="N415" s="70" t="s">
        <v>2286</v>
      </c>
      <c r="O415" s="70" t="s">
        <v>2286</v>
      </c>
      <c r="P415" s="70" t="s">
        <v>2286</v>
      </c>
      <c r="Q415" s="70" t="s">
        <v>2286</v>
      </c>
      <c r="R415" s="70" t="s">
        <v>2286</v>
      </c>
      <c r="S415" s="70" t="s">
        <v>2286</v>
      </c>
      <c r="T415" s="70" t="s">
        <v>2286</v>
      </c>
      <c r="U415" s="70" t="s">
        <v>2286</v>
      </c>
      <c r="V415" s="70" t="s">
        <v>2286</v>
      </c>
      <c r="W415" s="70"/>
      <c r="X415" s="70" t="s">
        <v>2286</v>
      </c>
      <c r="Y415" s="70" t="s">
        <v>2286</v>
      </c>
      <c r="Z415" s="70" t="s">
        <v>2286</v>
      </c>
      <c r="AA415" s="70" t="s">
        <v>2286</v>
      </c>
      <c r="AB415" s="70" t="s">
        <v>2286</v>
      </c>
      <c r="AC415" s="70" t="s">
        <v>2286</v>
      </c>
      <c r="AD415" s="70" t="s">
        <v>2286</v>
      </c>
      <c r="AE415" s="93" t="s">
        <v>2286</v>
      </c>
      <c r="AF415" s="93" t="s">
        <v>2286</v>
      </c>
      <c r="AG415" s="70"/>
      <c r="AH415" s="93"/>
      <c r="AI415" s="93"/>
      <c r="AJ415" s="93"/>
      <c r="AK415" s="93"/>
      <c r="AL415" s="93"/>
      <c r="AM415" s="93"/>
      <c r="AN415" s="93"/>
      <c r="AO415" s="93"/>
      <c r="AP415" s="93"/>
      <c r="AQ415" s="93"/>
    </row>
    <row r="416" spans="1:43" s="73" customFormat="1" ht="15" thickBot="1" x14ac:dyDescent="0.35">
      <c r="A416" s="73" t="s">
        <v>438</v>
      </c>
      <c r="B416" s="73" t="s">
        <v>439</v>
      </c>
      <c r="C416" s="73" t="s">
        <v>1062</v>
      </c>
      <c r="D416" s="73" t="s">
        <v>440</v>
      </c>
      <c r="E416" s="85" t="s">
        <v>46</v>
      </c>
      <c r="F416" s="85" t="s">
        <v>1300</v>
      </c>
      <c r="G416" s="85"/>
      <c r="H416" s="85" t="s">
        <v>1374</v>
      </c>
      <c r="I416" s="142">
        <f t="shared" si="20"/>
        <v>23</v>
      </c>
      <c r="J416" s="147" t="s">
        <v>1998</v>
      </c>
      <c r="K416" s="142">
        <f t="shared" si="21"/>
        <v>5</v>
      </c>
      <c r="L416" s="143">
        <f t="shared" si="22"/>
        <v>0.8214285714285714</v>
      </c>
      <c r="M416" s="70" t="s">
        <v>2286</v>
      </c>
      <c r="N416" s="70" t="s">
        <v>2286</v>
      </c>
      <c r="O416" s="70" t="s">
        <v>2286</v>
      </c>
      <c r="P416" s="70" t="s">
        <v>2286</v>
      </c>
      <c r="Q416" s="70" t="s">
        <v>2286</v>
      </c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89"/>
      <c r="AQ416" s="89"/>
    </row>
    <row r="417" spans="1:43" ht="15" thickBot="1" x14ac:dyDescent="0.35">
      <c r="A417" t="s">
        <v>438</v>
      </c>
      <c r="B417" t="s">
        <v>449</v>
      </c>
      <c r="C417" t="s">
        <v>1062</v>
      </c>
      <c r="D417" t="s">
        <v>450</v>
      </c>
      <c r="E417" s="30" t="s">
        <v>15</v>
      </c>
      <c r="F417" s="30" t="s">
        <v>1055</v>
      </c>
      <c r="G417" s="30" t="s">
        <v>1255</v>
      </c>
      <c r="H417" s="30" t="s">
        <v>806</v>
      </c>
      <c r="I417" s="31">
        <f t="shared" si="20"/>
        <v>27</v>
      </c>
      <c r="J417" s="147" t="s">
        <v>1999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 t="s">
        <v>2286</v>
      </c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" thickBot="1" x14ac:dyDescent="0.35">
      <c r="A418" t="s">
        <v>438</v>
      </c>
      <c r="B418" t="s">
        <v>441</v>
      </c>
      <c r="C418" t="s">
        <v>1062</v>
      </c>
      <c r="D418" t="s">
        <v>442</v>
      </c>
      <c r="E418" s="30" t="s">
        <v>15</v>
      </c>
      <c r="F418" s="30" t="s">
        <v>28</v>
      </c>
      <c r="G418" s="30"/>
      <c r="H418" s="30" t="s">
        <v>807</v>
      </c>
      <c r="I418" s="31">
        <f t="shared" si="20"/>
        <v>28</v>
      </c>
      <c r="J418" s="87"/>
      <c r="K418" s="31">
        <f t="shared" si="21"/>
        <v>0</v>
      </c>
      <c r="L418" s="32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" thickBot="1" x14ac:dyDescent="0.35">
      <c r="A419" s="73" t="s">
        <v>438</v>
      </c>
      <c r="B419" s="73" t="s">
        <v>443</v>
      </c>
      <c r="C419" s="73" t="s">
        <v>1062</v>
      </c>
      <c r="D419" s="73" t="s">
        <v>444</v>
      </c>
      <c r="E419" s="85" t="s">
        <v>15</v>
      </c>
      <c r="F419" s="85" t="s">
        <v>1300</v>
      </c>
      <c r="G419" s="85"/>
      <c r="H419" s="85" t="s">
        <v>808</v>
      </c>
      <c r="I419" s="142">
        <f t="shared" si="20"/>
        <v>26</v>
      </c>
      <c r="J419" s="73" t="s">
        <v>2000</v>
      </c>
      <c r="K419" s="142">
        <f t="shared" si="21"/>
        <v>2</v>
      </c>
      <c r="L419" s="143">
        <f t="shared" si="22"/>
        <v>0.9285714285714286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 t="s">
        <v>2286</v>
      </c>
      <c r="Y419" s="70" t="s">
        <v>2286</v>
      </c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" thickBot="1" x14ac:dyDescent="0.35">
      <c r="A420" t="s">
        <v>1123</v>
      </c>
      <c r="B420" t="s">
        <v>1124</v>
      </c>
      <c r="C420" t="s">
        <v>1062</v>
      </c>
      <c r="D420" t="s">
        <v>1125</v>
      </c>
      <c r="E420" s="30" t="s">
        <v>1113</v>
      </c>
      <c r="F420" s="30" t="s">
        <v>28</v>
      </c>
      <c r="G420" s="30"/>
      <c r="H420" s="30" t="s">
        <v>1139</v>
      </c>
      <c r="I420" s="31">
        <f t="shared" si="20"/>
        <v>23</v>
      </c>
      <c r="J420" s="147" t="s">
        <v>2001</v>
      </c>
      <c r="K420" s="31">
        <f t="shared" si="21"/>
        <v>5</v>
      </c>
      <c r="L420" s="32">
        <f t="shared" si="22"/>
        <v>0.8214285714285714</v>
      </c>
      <c r="M420" s="70" t="s">
        <v>2286</v>
      </c>
      <c r="N420" s="70" t="s">
        <v>2286</v>
      </c>
      <c r="O420" s="70" t="s">
        <v>2286</v>
      </c>
      <c r="P420" s="70" t="s">
        <v>2286</v>
      </c>
      <c r="Q420" s="70" t="s">
        <v>2286</v>
      </c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ht="16.95" customHeight="1" thickBot="1" x14ac:dyDescent="0.35">
      <c r="A421" t="s">
        <v>1123</v>
      </c>
      <c r="B421" t="s">
        <v>1143</v>
      </c>
      <c r="C421" t="s">
        <v>1062</v>
      </c>
      <c r="D421" t="s">
        <v>1125</v>
      </c>
      <c r="E421" s="30" t="s">
        <v>1113</v>
      </c>
      <c r="F421" s="30" t="s">
        <v>28</v>
      </c>
      <c r="G421" s="30"/>
      <c r="H421" s="30" t="s">
        <v>1140</v>
      </c>
      <c r="I421" s="31">
        <f t="shared" si="20"/>
        <v>22</v>
      </c>
      <c r="J421" s="147" t="s">
        <v>2002</v>
      </c>
      <c r="K421" s="31">
        <f t="shared" si="21"/>
        <v>6</v>
      </c>
      <c r="L421" s="32">
        <f t="shared" si="22"/>
        <v>0.7857142857142857</v>
      </c>
      <c r="M421" s="70" t="s">
        <v>2286</v>
      </c>
      <c r="N421" s="70" t="s">
        <v>2286</v>
      </c>
      <c r="O421" s="70" t="s">
        <v>2286</v>
      </c>
      <c r="P421" s="70" t="s">
        <v>2286</v>
      </c>
      <c r="Q421" s="70" t="s">
        <v>2286</v>
      </c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 t="s">
        <v>2286</v>
      </c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6.95" customHeight="1" thickBot="1" x14ac:dyDescent="0.35">
      <c r="A422" t="s">
        <v>1123</v>
      </c>
      <c r="B422" s="73" t="s">
        <v>1559</v>
      </c>
      <c r="C422" s="73" t="s">
        <v>1062</v>
      </c>
      <c r="D422" s="73" t="s">
        <v>1560</v>
      </c>
      <c r="E422" s="85" t="s">
        <v>1113</v>
      </c>
      <c r="F422" s="85" t="s">
        <v>1300</v>
      </c>
      <c r="G422" s="85"/>
      <c r="H422" s="85" t="s">
        <v>1562</v>
      </c>
      <c r="I422" s="31">
        <f t="shared" si="20"/>
        <v>25</v>
      </c>
      <c r="J422" s="147" t="s">
        <v>2003</v>
      </c>
      <c r="K422" s="31">
        <f t="shared" si="21"/>
        <v>3</v>
      </c>
      <c r="L422" s="32">
        <f t="shared" si="22"/>
        <v>0.8928571428571429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 t="s">
        <v>2286</v>
      </c>
      <c r="Y422" s="70" t="s">
        <v>2286</v>
      </c>
      <c r="Z422" s="70"/>
      <c r="AA422" s="70"/>
      <c r="AB422" s="70" t="s">
        <v>2286</v>
      </c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95" customHeight="1" thickBot="1" x14ac:dyDescent="0.35">
      <c r="A423" t="s">
        <v>1123</v>
      </c>
      <c r="B423" s="73" t="s">
        <v>1558</v>
      </c>
      <c r="C423" s="73" t="s">
        <v>1062</v>
      </c>
      <c r="D423" s="73" t="s">
        <v>1561</v>
      </c>
      <c r="E423" s="85" t="s">
        <v>1113</v>
      </c>
      <c r="F423" s="85" t="s">
        <v>1300</v>
      </c>
      <c r="G423" s="85"/>
      <c r="H423" s="85" t="s">
        <v>1563</v>
      </c>
      <c r="I423" s="31">
        <f t="shared" si="20"/>
        <v>25</v>
      </c>
      <c r="J423" s="147" t="s">
        <v>2004</v>
      </c>
      <c r="K423" s="31">
        <f t="shared" si="21"/>
        <v>3</v>
      </c>
      <c r="L423" s="32">
        <f t="shared" si="22"/>
        <v>0.8928571428571429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 t="s">
        <v>2286</v>
      </c>
      <c r="Y423" s="70" t="s">
        <v>2286</v>
      </c>
      <c r="Z423" s="70"/>
      <c r="AA423" s="70"/>
      <c r="AB423" s="70" t="s">
        <v>2286</v>
      </c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95" customHeight="1" thickBot="1" x14ac:dyDescent="0.35">
      <c r="A424" t="s">
        <v>1123</v>
      </c>
      <c r="B424" s="73" t="s">
        <v>2251</v>
      </c>
      <c r="C424" s="73" t="s">
        <v>1062</v>
      </c>
      <c r="D424" s="73" t="s">
        <v>2252</v>
      </c>
      <c r="E424" s="85" t="s">
        <v>1113</v>
      </c>
      <c r="F424" s="85"/>
      <c r="G424" s="85"/>
      <c r="H424" s="85" t="s">
        <v>2253</v>
      </c>
      <c r="I424" s="31">
        <f t="shared" si="20"/>
        <v>25</v>
      </c>
      <c r="J424" s="147"/>
      <c r="K424" s="31">
        <f t="shared" si="21"/>
        <v>3</v>
      </c>
      <c r="L424" s="32">
        <f t="shared" si="22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 t="s">
        <v>2286</v>
      </c>
      <c r="Y424" s="70" t="s">
        <v>2286</v>
      </c>
      <c r="Z424" s="70"/>
      <c r="AA424" s="70"/>
      <c r="AB424" s="70" t="s">
        <v>2286</v>
      </c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" thickBot="1" x14ac:dyDescent="0.35">
      <c r="A425" t="s">
        <v>165</v>
      </c>
      <c r="B425" t="s">
        <v>451</v>
      </c>
      <c r="C425" t="s">
        <v>1061</v>
      </c>
      <c r="D425" t="s">
        <v>452</v>
      </c>
      <c r="E425" s="30" t="s">
        <v>73</v>
      </c>
      <c r="F425" s="30" t="s">
        <v>28</v>
      </c>
      <c r="G425" s="30"/>
      <c r="H425" s="30" t="s">
        <v>809</v>
      </c>
      <c r="I425" s="31">
        <f t="shared" si="20"/>
        <v>28</v>
      </c>
      <c r="J425" s="147" t="s">
        <v>2005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" thickBot="1" x14ac:dyDescent="0.35">
      <c r="A426" t="s">
        <v>165</v>
      </c>
      <c r="B426" t="s">
        <v>453</v>
      </c>
      <c r="C426" t="s">
        <v>1061</v>
      </c>
      <c r="D426" t="s">
        <v>452</v>
      </c>
      <c r="E426" s="30" t="s">
        <v>73</v>
      </c>
      <c r="F426" s="30" t="s">
        <v>28</v>
      </c>
      <c r="G426" s="30"/>
      <c r="H426" s="30" t="s">
        <v>810</v>
      </c>
      <c r="I426" s="31">
        <f t="shared" si="20"/>
        <v>28</v>
      </c>
      <c r="J426" s="147" t="s">
        <v>2006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" thickBot="1" x14ac:dyDescent="0.35">
      <c r="A427" t="s">
        <v>165</v>
      </c>
      <c r="B427" t="s">
        <v>1016</v>
      </c>
      <c r="C427" t="s">
        <v>1061</v>
      </c>
      <c r="D427" t="s">
        <v>454</v>
      </c>
      <c r="E427" s="30" t="s">
        <v>73</v>
      </c>
      <c r="F427" s="30" t="s">
        <v>28</v>
      </c>
      <c r="G427" s="30"/>
      <c r="H427" s="30" t="s">
        <v>811</v>
      </c>
      <c r="I427" s="31">
        <f t="shared" si="20"/>
        <v>28</v>
      </c>
      <c r="J427" s="147" t="s">
        <v>2007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" thickBot="1" x14ac:dyDescent="0.35">
      <c r="A428" t="s">
        <v>165</v>
      </c>
      <c r="B428" t="s">
        <v>1017</v>
      </c>
      <c r="C428" t="s">
        <v>1061</v>
      </c>
      <c r="D428" t="s">
        <v>454</v>
      </c>
      <c r="E428" s="30" t="s">
        <v>73</v>
      </c>
      <c r="F428" s="30" t="s">
        <v>28</v>
      </c>
      <c r="G428" s="30"/>
      <c r="H428" s="30" t="s">
        <v>812</v>
      </c>
      <c r="I428" s="31">
        <f t="shared" si="20"/>
        <v>28</v>
      </c>
      <c r="J428" s="147" t="s">
        <v>2008</v>
      </c>
      <c r="K428" s="31">
        <f t="shared" si="21"/>
        <v>0</v>
      </c>
      <c r="L428" s="32">
        <f t="shared" si="22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" thickBot="1" x14ac:dyDescent="0.35">
      <c r="A429" t="s">
        <v>455</v>
      </c>
      <c r="B429" t="s">
        <v>464</v>
      </c>
      <c r="C429" t="s">
        <v>1062</v>
      </c>
      <c r="D429" t="s">
        <v>1024</v>
      </c>
      <c r="E429" s="30" t="s">
        <v>19</v>
      </c>
      <c r="F429" s="30" t="s">
        <v>1055</v>
      </c>
      <c r="G429" s="30"/>
      <c r="H429" s="30" t="s">
        <v>1410</v>
      </c>
      <c r="I429" s="31">
        <f t="shared" si="20"/>
        <v>15</v>
      </c>
      <c r="J429" s="147" t="s">
        <v>2009</v>
      </c>
      <c r="K429" s="31">
        <f t="shared" si="21"/>
        <v>13</v>
      </c>
      <c r="L429" s="32">
        <f t="shared" si="22"/>
        <v>0.5357142857142857</v>
      </c>
      <c r="M429" s="70" t="s">
        <v>2286</v>
      </c>
      <c r="N429" s="70" t="s">
        <v>2286</v>
      </c>
      <c r="O429" s="70" t="s">
        <v>2286</v>
      </c>
      <c r="P429" s="70" t="s">
        <v>2286</v>
      </c>
      <c r="Q429" s="70" t="s">
        <v>2286</v>
      </c>
      <c r="R429" s="70"/>
      <c r="S429" s="70"/>
      <c r="T429" s="70"/>
      <c r="U429" s="70"/>
      <c r="V429" s="70"/>
      <c r="W429" s="70"/>
      <c r="X429" s="70" t="s">
        <v>2286</v>
      </c>
      <c r="Y429" s="70" t="s">
        <v>2286</v>
      </c>
      <c r="Z429" s="70" t="s">
        <v>2286</v>
      </c>
      <c r="AA429" s="70"/>
      <c r="AB429" s="70" t="s">
        <v>2286</v>
      </c>
      <c r="AC429" s="70" t="s">
        <v>2286</v>
      </c>
      <c r="AD429" s="70" t="s">
        <v>2286</v>
      </c>
      <c r="AE429" s="70" t="s">
        <v>2286</v>
      </c>
      <c r="AF429" s="70" t="s">
        <v>2286</v>
      </c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" thickBot="1" x14ac:dyDescent="0.35">
      <c r="A430" t="s">
        <v>350</v>
      </c>
      <c r="B430" t="s">
        <v>465</v>
      </c>
      <c r="C430" t="s">
        <v>1062</v>
      </c>
      <c r="D430" t="s">
        <v>1320</v>
      </c>
      <c r="E430" s="30" t="s">
        <v>19</v>
      </c>
      <c r="F430" s="30" t="s">
        <v>1055</v>
      </c>
      <c r="G430" s="30"/>
      <c r="H430" s="30" t="s">
        <v>1411</v>
      </c>
      <c r="I430" s="31">
        <f t="shared" si="20"/>
        <v>15</v>
      </c>
      <c r="J430" s="147" t="s">
        <v>2010</v>
      </c>
      <c r="K430" s="31">
        <f t="shared" si="21"/>
        <v>13</v>
      </c>
      <c r="L430" s="32">
        <f t="shared" si="22"/>
        <v>0.5357142857142857</v>
      </c>
      <c r="M430" s="70" t="s">
        <v>2286</v>
      </c>
      <c r="N430" s="70" t="s">
        <v>2286</v>
      </c>
      <c r="O430" s="70" t="s">
        <v>2286</v>
      </c>
      <c r="P430" s="70" t="s">
        <v>2286</v>
      </c>
      <c r="Q430" s="70" t="s">
        <v>2286</v>
      </c>
      <c r="R430" s="70"/>
      <c r="S430" s="70"/>
      <c r="T430" s="70"/>
      <c r="U430" s="70"/>
      <c r="V430" s="70"/>
      <c r="W430" s="70"/>
      <c r="X430" s="70" t="s">
        <v>2286</v>
      </c>
      <c r="Y430" s="70" t="s">
        <v>2286</v>
      </c>
      <c r="Z430" s="70" t="s">
        <v>2286</v>
      </c>
      <c r="AA430" s="70"/>
      <c r="AB430" s="70" t="s">
        <v>2286</v>
      </c>
      <c r="AC430" s="70" t="s">
        <v>2286</v>
      </c>
      <c r="AD430" s="70" t="s">
        <v>2286</v>
      </c>
      <c r="AE430" s="70" t="s">
        <v>2286</v>
      </c>
      <c r="AF430" s="70" t="s">
        <v>2286</v>
      </c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5" thickBot="1" x14ac:dyDescent="0.35">
      <c r="A431" s="73" t="s">
        <v>455</v>
      </c>
      <c r="B431" s="73" t="s">
        <v>466</v>
      </c>
      <c r="C431" s="73" t="s">
        <v>1062</v>
      </c>
      <c r="D431" s="73" t="s">
        <v>467</v>
      </c>
      <c r="E431" s="85" t="s">
        <v>19</v>
      </c>
      <c r="F431" s="85" t="s">
        <v>1300</v>
      </c>
      <c r="G431" s="85"/>
      <c r="H431" s="85" t="s">
        <v>1422</v>
      </c>
      <c r="I431" s="142">
        <f t="shared" si="20"/>
        <v>27</v>
      </c>
      <c r="J431" s="147" t="s">
        <v>2011</v>
      </c>
      <c r="K431" s="142">
        <f t="shared" si="21"/>
        <v>1</v>
      </c>
      <c r="L431" s="143">
        <f t="shared" si="22"/>
        <v>0.9642857142857143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 t="s">
        <v>2286</v>
      </c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" thickBot="1" x14ac:dyDescent="0.35">
      <c r="A432" s="73" t="s">
        <v>455</v>
      </c>
      <c r="B432" s="73" t="s">
        <v>1018</v>
      </c>
      <c r="C432" s="73" t="s">
        <v>1062</v>
      </c>
      <c r="D432" s="73" t="s">
        <v>468</v>
      </c>
      <c r="E432" s="85" t="s">
        <v>19</v>
      </c>
      <c r="F432" s="85" t="s">
        <v>1300</v>
      </c>
      <c r="G432" s="85"/>
      <c r="H432" s="85" t="s">
        <v>1327</v>
      </c>
      <c r="I432" s="142">
        <f t="shared" si="20"/>
        <v>28</v>
      </c>
      <c r="J432" s="147" t="s">
        <v>2012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" thickBot="1" x14ac:dyDescent="0.35">
      <c r="A433" t="s">
        <v>455</v>
      </c>
      <c r="B433" t="s">
        <v>1025</v>
      </c>
      <c r="C433" t="s">
        <v>1062</v>
      </c>
      <c r="D433" t="s">
        <v>456</v>
      </c>
      <c r="E433" s="30" t="s">
        <v>15</v>
      </c>
      <c r="F433" s="30" t="s">
        <v>20</v>
      </c>
      <c r="G433" s="30"/>
      <c r="H433" s="30" t="s">
        <v>815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" thickBot="1" x14ac:dyDescent="0.35">
      <c r="A434" t="s">
        <v>455</v>
      </c>
      <c r="B434" t="s">
        <v>1026</v>
      </c>
      <c r="C434" t="s">
        <v>1062</v>
      </c>
      <c r="D434" t="s">
        <v>457</v>
      </c>
      <c r="E434" s="30" t="s">
        <v>19</v>
      </c>
      <c r="F434" s="30" t="s">
        <v>28</v>
      </c>
      <c r="G434" s="30"/>
      <c r="H434" s="30" t="s">
        <v>816</v>
      </c>
      <c r="I434" s="31">
        <f t="shared" si="20"/>
        <v>20</v>
      </c>
      <c r="J434" s="147" t="s">
        <v>2013</v>
      </c>
      <c r="K434" s="31">
        <f t="shared" si="21"/>
        <v>8</v>
      </c>
      <c r="L434" s="32">
        <f t="shared" si="22"/>
        <v>0.7142857142857143</v>
      </c>
      <c r="M434" s="70" t="s">
        <v>2286</v>
      </c>
      <c r="N434" s="70" t="s">
        <v>2286</v>
      </c>
      <c r="O434" s="70" t="s">
        <v>2286</v>
      </c>
      <c r="P434" s="70" t="s">
        <v>2286</v>
      </c>
      <c r="Q434" s="70" t="s">
        <v>2286</v>
      </c>
      <c r="R434" s="70" t="s">
        <v>2286</v>
      </c>
      <c r="S434" s="70" t="s">
        <v>2286</v>
      </c>
      <c r="T434" s="70" t="s">
        <v>2286</v>
      </c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" thickBot="1" x14ac:dyDescent="0.35">
      <c r="A435" t="s">
        <v>455</v>
      </c>
      <c r="B435" t="s">
        <v>1027</v>
      </c>
      <c r="C435" t="s">
        <v>1062</v>
      </c>
      <c r="D435" t="s">
        <v>458</v>
      </c>
      <c r="E435" s="30" t="s">
        <v>19</v>
      </c>
      <c r="F435" s="30" t="s">
        <v>28</v>
      </c>
      <c r="G435" s="30"/>
      <c r="H435" s="30" t="s">
        <v>817</v>
      </c>
      <c r="I435" s="31">
        <f t="shared" si="20"/>
        <v>28</v>
      </c>
      <c r="J435" s="147" t="s">
        <v>2014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" thickBot="1" x14ac:dyDescent="0.35">
      <c r="A436" t="s">
        <v>455</v>
      </c>
      <c r="B436" t="s">
        <v>459</v>
      </c>
      <c r="C436" t="s">
        <v>1062</v>
      </c>
      <c r="D436" t="s">
        <v>460</v>
      </c>
      <c r="E436" s="30" t="s">
        <v>19</v>
      </c>
      <c r="F436" s="30" t="s">
        <v>28</v>
      </c>
      <c r="G436" s="30"/>
      <c r="H436" s="30" t="s">
        <v>818</v>
      </c>
      <c r="I436" s="31">
        <f t="shared" si="20"/>
        <v>9</v>
      </c>
      <c r="J436" s="147" t="s">
        <v>2015</v>
      </c>
      <c r="K436" s="31">
        <f t="shared" si="21"/>
        <v>19</v>
      </c>
      <c r="L436" s="32">
        <f t="shared" si="22"/>
        <v>0.32142857142857145</v>
      </c>
      <c r="M436" s="70" t="s">
        <v>2286</v>
      </c>
      <c r="N436" s="70" t="s">
        <v>2286</v>
      </c>
      <c r="O436" s="70" t="s">
        <v>2286</v>
      </c>
      <c r="P436" s="70" t="s">
        <v>2286</v>
      </c>
      <c r="Q436" s="70" t="s">
        <v>2286</v>
      </c>
      <c r="R436" s="70" t="s">
        <v>2286</v>
      </c>
      <c r="S436" s="70" t="s">
        <v>2286</v>
      </c>
      <c r="T436" s="70" t="s">
        <v>2286</v>
      </c>
      <c r="U436" s="70" t="s">
        <v>2286</v>
      </c>
      <c r="V436" s="70" t="s">
        <v>2286</v>
      </c>
      <c r="W436" s="70"/>
      <c r="X436" s="70" t="s">
        <v>2286</v>
      </c>
      <c r="Y436" s="70" t="s">
        <v>2286</v>
      </c>
      <c r="Z436" s="70" t="s">
        <v>2286</v>
      </c>
      <c r="AA436" s="70" t="s">
        <v>2286</v>
      </c>
      <c r="AB436" s="70" t="s">
        <v>2286</v>
      </c>
      <c r="AC436" s="70" t="s">
        <v>2286</v>
      </c>
      <c r="AD436" s="70" t="s">
        <v>2286</v>
      </c>
      <c r="AE436" s="70" t="s">
        <v>2286</v>
      </c>
      <c r="AF436" s="70" t="s">
        <v>2286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" thickBot="1" x14ac:dyDescent="0.35">
      <c r="A437" t="s">
        <v>455</v>
      </c>
      <c r="B437" t="s">
        <v>1028</v>
      </c>
      <c r="C437" t="s">
        <v>1062</v>
      </c>
      <c r="D437" t="s">
        <v>461</v>
      </c>
      <c r="E437" s="30" t="s">
        <v>15</v>
      </c>
      <c r="F437" s="30" t="s">
        <v>20</v>
      </c>
      <c r="G437" s="30"/>
      <c r="H437" s="30" t="s">
        <v>800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" thickBot="1" x14ac:dyDescent="0.35">
      <c r="A438" t="s">
        <v>455</v>
      </c>
      <c r="B438" t="s">
        <v>1029</v>
      </c>
      <c r="C438" t="s">
        <v>1062</v>
      </c>
      <c r="D438" t="s">
        <v>462</v>
      </c>
      <c r="E438" s="30" t="s">
        <v>15</v>
      </c>
      <c r="F438" s="30" t="s">
        <v>20</v>
      </c>
      <c r="G438" s="30"/>
      <c r="H438" s="30" t="s">
        <v>819</v>
      </c>
      <c r="I438" s="31">
        <f t="shared" si="20"/>
        <v>28</v>
      </c>
      <c r="J438" s="87"/>
      <c r="K438" s="31">
        <f t="shared" si="21"/>
        <v>0</v>
      </c>
      <c r="L438" s="32">
        <f t="shared" si="22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" thickBot="1" x14ac:dyDescent="0.35">
      <c r="A439" t="s">
        <v>455</v>
      </c>
      <c r="B439" t="s">
        <v>1019</v>
      </c>
      <c r="C439" t="s">
        <v>1062</v>
      </c>
      <c r="D439" t="s">
        <v>469</v>
      </c>
      <c r="E439" s="30" t="s">
        <v>15</v>
      </c>
      <c r="F439" s="30" t="s">
        <v>20</v>
      </c>
      <c r="G439" s="30"/>
      <c r="H439" s="30" t="s">
        <v>813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" thickBot="1" x14ac:dyDescent="0.35">
      <c r="A440" t="s">
        <v>455</v>
      </c>
      <c r="B440" t="s">
        <v>470</v>
      </c>
      <c r="C440" t="s">
        <v>1062</v>
      </c>
      <c r="D440" t="s">
        <v>471</v>
      </c>
      <c r="E440" s="30" t="s">
        <v>15</v>
      </c>
      <c r="F440" s="30" t="s">
        <v>20</v>
      </c>
      <c r="G440" s="30"/>
      <c r="H440" s="30" t="s">
        <v>814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" thickBot="1" x14ac:dyDescent="0.35">
      <c r="A441" t="s">
        <v>350</v>
      </c>
      <c r="B441" t="s">
        <v>1020</v>
      </c>
      <c r="C441" t="s">
        <v>1062</v>
      </c>
      <c r="D441" t="s">
        <v>472</v>
      </c>
      <c r="E441" s="30" t="s">
        <v>73</v>
      </c>
      <c r="F441" s="30" t="s">
        <v>1055</v>
      </c>
      <c r="G441" s="30"/>
      <c r="H441" s="30" t="s">
        <v>1412</v>
      </c>
      <c r="I441" s="31">
        <f t="shared" si="20"/>
        <v>12</v>
      </c>
      <c r="J441" s="147" t="s">
        <v>2016</v>
      </c>
      <c r="K441" s="31">
        <f t="shared" si="21"/>
        <v>16</v>
      </c>
      <c r="L441" s="32">
        <f t="shared" si="22"/>
        <v>0.42857142857142855</v>
      </c>
      <c r="M441" s="70" t="s">
        <v>2286</v>
      </c>
      <c r="N441" s="70" t="s">
        <v>2286</v>
      </c>
      <c r="O441" s="70" t="s">
        <v>2286</v>
      </c>
      <c r="P441" s="70" t="s">
        <v>2286</v>
      </c>
      <c r="Q441" s="70" t="s">
        <v>2286</v>
      </c>
      <c r="R441" s="70" t="s">
        <v>2286</v>
      </c>
      <c r="S441" s="70" t="s">
        <v>2286</v>
      </c>
      <c r="T441" s="70"/>
      <c r="U441" s="70"/>
      <c r="V441" s="70"/>
      <c r="W441" s="70"/>
      <c r="X441" s="70" t="s">
        <v>2286</v>
      </c>
      <c r="Y441" s="70" t="s">
        <v>2286</v>
      </c>
      <c r="Z441" s="70" t="s">
        <v>2286</v>
      </c>
      <c r="AA441" s="70" t="s">
        <v>2286</v>
      </c>
      <c r="AB441" s="70" t="s">
        <v>2286</v>
      </c>
      <c r="AC441" s="70" t="s">
        <v>2286</v>
      </c>
      <c r="AD441" s="70" t="s">
        <v>2286</v>
      </c>
      <c r="AE441" s="70" t="s">
        <v>2286</v>
      </c>
      <c r="AF441" s="70" t="s">
        <v>2286</v>
      </c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" thickBot="1" x14ac:dyDescent="0.35">
      <c r="A442" t="s">
        <v>350</v>
      </c>
      <c r="B442" t="s">
        <v>1021</v>
      </c>
      <c r="C442" t="s">
        <v>1062</v>
      </c>
      <c r="D442" t="s">
        <v>472</v>
      </c>
      <c r="E442" s="30" t="s">
        <v>73</v>
      </c>
      <c r="F442" s="30" t="s">
        <v>1055</v>
      </c>
      <c r="G442" s="30"/>
      <c r="H442" s="30" t="s">
        <v>1413</v>
      </c>
      <c r="I442" s="31">
        <f t="shared" si="20"/>
        <v>9</v>
      </c>
      <c r="J442" s="147" t="s">
        <v>2017</v>
      </c>
      <c r="K442" s="31">
        <f t="shared" si="21"/>
        <v>19</v>
      </c>
      <c r="L442" s="32">
        <f t="shared" si="22"/>
        <v>0.32142857142857145</v>
      </c>
      <c r="M442" s="70" t="s">
        <v>2286</v>
      </c>
      <c r="N442" s="70" t="s">
        <v>2286</v>
      </c>
      <c r="O442" s="70" t="s">
        <v>2286</v>
      </c>
      <c r="P442" s="70" t="s">
        <v>2286</v>
      </c>
      <c r="Q442" s="70" t="s">
        <v>2286</v>
      </c>
      <c r="R442" s="70" t="s">
        <v>2286</v>
      </c>
      <c r="S442" s="70" t="s">
        <v>2286</v>
      </c>
      <c r="T442" s="70" t="s">
        <v>2286</v>
      </c>
      <c r="U442" s="70" t="s">
        <v>2286</v>
      </c>
      <c r="V442" s="70" t="s">
        <v>2286</v>
      </c>
      <c r="W442" s="70"/>
      <c r="X442" s="70" t="s">
        <v>2286</v>
      </c>
      <c r="Y442" s="70" t="s">
        <v>2286</v>
      </c>
      <c r="Z442" s="70" t="s">
        <v>2286</v>
      </c>
      <c r="AA442" s="70" t="s">
        <v>2286</v>
      </c>
      <c r="AB442" s="70" t="s">
        <v>2286</v>
      </c>
      <c r="AC442" s="70" t="s">
        <v>2286</v>
      </c>
      <c r="AD442" s="70" t="s">
        <v>2286</v>
      </c>
      <c r="AE442" s="70" t="s">
        <v>2286</v>
      </c>
      <c r="AF442" s="70" t="s">
        <v>2286</v>
      </c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s="73" customFormat="1" ht="15" thickBot="1" x14ac:dyDescent="0.35">
      <c r="A443" s="73" t="s">
        <v>455</v>
      </c>
      <c r="B443" s="73" t="s">
        <v>473</v>
      </c>
      <c r="C443" s="73" t="s">
        <v>1062</v>
      </c>
      <c r="D443" s="73" t="s">
        <v>474</v>
      </c>
      <c r="E443" s="85" t="s">
        <v>15</v>
      </c>
      <c r="F443" s="85" t="s">
        <v>1300</v>
      </c>
      <c r="G443" s="85"/>
      <c r="H443" s="85" t="s">
        <v>820</v>
      </c>
      <c r="I443" s="142">
        <f t="shared" si="20"/>
        <v>27</v>
      </c>
      <c r="J443" s="147" t="s">
        <v>2018</v>
      </c>
      <c r="K443" s="142">
        <f t="shared" si="21"/>
        <v>1</v>
      </c>
      <c r="L443" s="143">
        <f t="shared" si="22"/>
        <v>0.9642857142857143</v>
      </c>
      <c r="M443" s="70" t="s">
        <v>2286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" thickBot="1" x14ac:dyDescent="0.35">
      <c r="A444" s="73" t="s">
        <v>455</v>
      </c>
      <c r="B444" s="73" t="s">
        <v>1030</v>
      </c>
      <c r="C444" s="73" t="s">
        <v>1062</v>
      </c>
      <c r="D444" s="73" t="s">
        <v>463</v>
      </c>
      <c r="E444" s="85" t="s">
        <v>73</v>
      </c>
      <c r="F444" s="85" t="s">
        <v>1300</v>
      </c>
      <c r="G444" s="85"/>
      <c r="H444" s="85" t="s">
        <v>821</v>
      </c>
      <c r="I444" s="142">
        <f t="shared" si="20"/>
        <v>28</v>
      </c>
      <c r="J444" s="147" t="s">
        <v>2019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" thickBot="1" x14ac:dyDescent="0.35">
      <c r="A445" s="73" t="s">
        <v>455</v>
      </c>
      <c r="B445" s="73" t="s">
        <v>1031</v>
      </c>
      <c r="C445" s="73" t="s">
        <v>1062</v>
      </c>
      <c r="D445" s="73" t="s">
        <v>463</v>
      </c>
      <c r="E445" s="85" t="s">
        <v>73</v>
      </c>
      <c r="F445" s="85" t="s">
        <v>1300</v>
      </c>
      <c r="G445" s="85"/>
      <c r="H445" s="85" t="s">
        <v>822</v>
      </c>
      <c r="I445" s="142">
        <f t="shared" si="20"/>
        <v>28</v>
      </c>
      <c r="J445" s="147" t="s">
        <v>2020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" thickBot="1" x14ac:dyDescent="0.35">
      <c r="A446" t="s">
        <v>455</v>
      </c>
      <c r="B446" t="s">
        <v>1022</v>
      </c>
      <c r="C446" t="s">
        <v>1062</v>
      </c>
      <c r="D446" t="s">
        <v>475</v>
      </c>
      <c r="E446" s="30" t="s">
        <v>73</v>
      </c>
      <c r="F446" s="30" t="s">
        <v>28</v>
      </c>
      <c r="G446" s="30"/>
      <c r="H446" s="30" t="s">
        <v>823</v>
      </c>
      <c r="I446" s="31">
        <f t="shared" si="20"/>
        <v>14</v>
      </c>
      <c r="J446" s="147" t="s">
        <v>2021</v>
      </c>
      <c r="K446" s="31">
        <f t="shared" si="21"/>
        <v>14</v>
      </c>
      <c r="L446" s="32">
        <f t="shared" si="22"/>
        <v>0.5</v>
      </c>
      <c r="M446" s="70" t="s">
        <v>2286</v>
      </c>
      <c r="N446" s="70" t="s">
        <v>2286</v>
      </c>
      <c r="O446" s="70" t="s">
        <v>2286</v>
      </c>
      <c r="P446" s="70" t="s">
        <v>2286</v>
      </c>
      <c r="Q446" s="70" t="s">
        <v>2286</v>
      </c>
      <c r="R446" s="70"/>
      <c r="S446" s="70"/>
      <c r="T446" s="70"/>
      <c r="U446" s="70"/>
      <c r="V446" s="70"/>
      <c r="W446" s="70"/>
      <c r="X446" s="70" t="s">
        <v>2286</v>
      </c>
      <c r="Y446" s="70" t="s">
        <v>2286</v>
      </c>
      <c r="Z446" s="70" t="s">
        <v>2286</v>
      </c>
      <c r="AA446" s="70" t="s">
        <v>2286</v>
      </c>
      <c r="AB446" s="70" t="s">
        <v>2286</v>
      </c>
      <c r="AC446" s="70" t="s">
        <v>2286</v>
      </c>
      <c r="AD446" s="70" t="s">
        <v>2286</v>
      </c>
      <c r="AE446" s="70" t="s">
        <v>2286</v>
      </c>
      <c r="AF446" s="70" t="s">
        <v>2286</v>
      </c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" thickBot="1" x14ac:dyDescent="0.35">
      <c r="A447" t="s">
        <v>455</v>
      </c>
      <c r="B447" t="s">
        <v>1023</v>
      </c>
      <c r="C447" t="s">
        <v>1062</v>
      </c>
      <c r="D447" t="s">
        <v>475</v>
      </c>
      <c r="E447" s="30" t="s">
        <v>73</v>
      </c>
      <c r="F447" s="30" t="s">
        <v>28</v>
      </c>
      <c r="G447" s="30"/>
      <c r="H447" s="30" t="s">
        <v>824</v>
      </c>
      <c r="I447" s="31">
        <f t="shared" si="20"/>
        <v>14</v>
      </c>
      <c r="J447" s="147" t="s">
        <v>2022</v>
      </c>
      <c r="K447" s="31">
        <f t="shared" si="21"/>
        <v>14</v>
      </c>
      <c r="L447" s="32">
        <f t="shared" si="22"/>
        <v>0.5</v>
      </c>
      <c r="M447" s="70" t="s">
        <v>2286</v>
      </c>
      <c r="N447" s="70" t="s">
        <v>2286</v>
      </c>
      <c r="O447" s="70" t="s">
        <v>2286</v>
      </c>
      <c r="P447" s="70" t="s">
        <v>2286</v>
      </c>
      <c r="Q447" s="70" t="s">
        <v>2286</v>
      </c>
      <c r="R447" s="70"/>
      <c r="S447" s="70"/>
      <c r="T447" s="70"/>
      <c r="U447" s="70"/>
      <c r="V447" s="70"/>
      <c r="W447" s="70"/>
      <c r="X447" s="70" t="s">
        <v>2286</v>
      </c>
      <c r="Y447" s="70" t="s">
        <v>2286</v>
      </c>
      <c r="Z447" s="70" t="s">
        <v>2286</v>
      </c>
      <c r="AA447" s="70" t="s">
        <v>2286</v>
      </c>
      <c r="AB447" s="70" t="s">
        <v>2286</v>
      </c>
      <c r="AC447" s="70" t="s">
        <v>2286</v>
      </c>
      <c r="AD447" s="70" t="s">
        <v>2286</v>
      </c>
      <c r="AE447" s="70" t="s">
        <v>2286</v>
      </c>
      <c r="AF447" s="70" t="s">
        <v>2286</v>
      </c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" thickBot="1" x14ac:dyDescent="0.35">
      <c r="A448" t="s">
        <v>455</v>
      </c>
      <c r="B448" s="30" t="s">
        <v>1287</v>
      </c>
      <c r="C448" t="s">
        <v>1062</v>
      </c>
      <c r="D448" s="68" t="s">
        <v>1286</v>
      </c>
      <c r="E448" s="30" t="s">
        <v>73</v>
      </c>
      <c r="F448" s="30" t="s">
        <v>28</v>
      </c>
      <c r="G448" s="30"/>
      <c r="H448" s="30" t="s">
        <v>1288</v>
      </c>
      <c r="I448" s="31">
        <f t="shared" si="20"/>
        <v>20</v>
      </c>
      <c r="J448" s="147" t="s">
        <v>2023</v>
      </c>
      <c r="K448" s="31">
        <f t="shared" si="21"/>
        <v>8</v>
      </c>
      <c r="L448" s="32">
        <f t="shared" si="22"/>
        <v>0.7142857142857143</v>
      </c>
      <c r="M448" s="70" t="s">
        <v>2286</v>
      </c>
      <c r="N448" s="70" t="s">
        <v>2286</v>
      </c>
      <c r="O448" s="70" t="s">
        <v>2286</v>
      </c>
      <c r="P448" s="70" t="s">
        <v>2286</v>
      </c>
      <c r="Q448" s="70" t="s">
        <v>2286</v>
      </c>
      <c r="R448" s="70" t="s">
        <v>2286</v>
      </c>
      <c r="S448" s="70" t="s">
        <v>2286</v>
      </c>
      <c r="T448" s="70" t="s">
        <v>2286</v>
      </c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" thickBot="1" x14ac:dyDescent="0.35">
      <c r="A449" t="s">
        <v>455</v>
      </c>
      <c r="B449" t="s">
        <v>1285</v>
      </c>
      <c r="C449" t="s">
        <v>1062</v>
      </c>
      <c r="D449" s="68" t="s">
        <v>1286</v>
      </c>
      <c r="E449" s="30" t="s">
        <v>73</v>
      </c>
      <c r="F449" s="30" t="s">
        <v>28</v>
      </c>
      <c r="G449" s="30"/>
      <c r="H449" s="30" t="s">
        <v>1289</v>
      </c>
      <c r="I449" s="31">
        <f t="shared" si="20"/>
        <v>28</v>
      </c>
      <c r="J449" s="147" t="s">
        <v>2024</v>
      </c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" thickBot="1" x14ac:dyDescent="0.35">
      <c r="A450" s="73" t="s">
        <v>1603</v>
      </c>
      <c r="B450" s="73" t="s">
        <v>1604</v>
      </c>
      <c r="C450" s="73" t="s">
        <v>1062</v>
      </c>
      <c r="D450" s="146" t="s">
        <v>1605</v>
      </c>
      <c r="E450" s="85" t="s">
        <v>15</v>
      </c>
      <c r="F450" s="85" t="s">
        <v>1300</v>
      </c>
      <c r="G450" s="85"/>
      <c r="H450" s="85" t="s">
        <v>1606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" thickBot="1" x14ac:dyDescent="0.35">
      <c r="A451" s="73" t="s">
        <v>1603</v>
      </c>
      <c r="B451" s="73" t="s">
        <v>1615</v>
      </c>
      <c r="C451" s="73" t="s">
        <v>1062</v>
      </c>
      <c r="D451" s="146" t="s">
        <v>1616</v>
      </c>
      <c r="E451" s="85" t="s">
        <v>19</v>
      </c>
      <c r="F451" s="85" t="s">
        <v>1300</v>
      </c>
      <c r="G451" s="85"/>
      <c r="H451" s="85" t="s">
        <v>1617</v>
      </c>
      <c r="I451" s="31">
        <f t="shared" si="20"/>
        <v>27</v>
      </c>
      <c r="J451" s="87"/>
      <c r="K451" s="31">
        <f t="shared" si="21"/>
        <v>1</v>
      </c>
      <c r="L451" s="32">
        <f t="shared" si="22"/>
        <v>0.9642857142857143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2286</v>
      </c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" thickBot="1" x14ac:dyDescent="0.35">
      <c r="A452" s="73" t="s">
        <v>1609</v>
      </c>
      <c r="B452" s="73" t="s">
        <v>1608</v>
      </c>
      <c r="C452" s="73" t="s">
        <v>1062</v>
      </c>
      <c r="D452" s="146" t="s">
        <v>1610</v>
      </c>
      <c r="E452" s="85" t="s">
        <v>73</v>
      </c>
      <c r="F452" s="85" t="s">
        <v>1300</v>
      </c>
      <c r="G452" s="85"/>
      <c r="H452" s="85" t="s">
        <v>1611</v>
      </c>
      <c r="I452" s="31">
        <f t="shared" si="20"/>
        <v>27</v>
      </c>
      <c r="J452" s="87"/>
      <c r="K452" s="31">
        <f t="shared" si="21"/>
        <v>1</v>
      </c>
      <c r="L452" s="32">
        <f t="shared" si="22"/>
        <v>0.9642857142857143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2286</v>
      </c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" thickBot="1" x14ac:dyDescent="0.35">
      <c r="A453" s="73" t="s">
        <v>1603</v>
      </c>
      <c r="B453" s="73" t="s">
        <v>1660</v>
      </c>
      <c r="C453" s="73" t="s">
        <v>1062</v>
      </c>
      <c r="D453" s="146" t="s">
        <v>1658</v>
      </c>
      <c r="E453" s="85" t="s">
        <v>73</v>
      </c>
      <c r="F453" s="85" t="s">
        <v>1300</v>
      </c>
      <c r="G453" s="85"/>
      <c r="H453" s="85" t="s">
        <v>1662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" thickBot="1" x14ac:dyDescent="0.35">
      <c r="A454" s="73" t="s">
        <v>1603</v>
      </c>
      <c r="B454" s="73" t="s">
        <v>1661</v>
      </c>
      <c r="C454" s="73" t="s">
        <v>1062</v>
      </c>
      <c r="D454" s="146" t="s">
        <v>1659</v>
      </c>
      <c r="E454" s="85" t="s">
        <v>73</v>
      </c>
      <c r="F454" s="85" t="s">
        <v>1300</v>
      </c>
      <c r="G454" s="85"/>
      <c r="H454" s="85" t="s">
        <v>1663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" thickBot="1" x14ac:dyDescent="0.35">
      <c r="A455" s="73" t="s">
        <v>1603</v>
      </c>
      <c r="B455" s="73" t="s">
        <v>2172</v>
      </c>
      <c r="C455" s="73" t="s">
        <v>1062</v>
      </c>
      <c r="D455" s="146" t="s">
        <v>2173</v>
      </c>
      <c r="E455" s="85"/>
      <c r="F455" s="85" t="s">
        <v>1300</v>
      </c>
      <c r="G455" s="85"/>
      <c r="H455" s="85" t="s">
        <v>2174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" thickBot="1" x14ac:dyDescent="0.35">
      <c r="A456" s="73" t="s">
        <v>359</v>
      </c>
      <c r="B456" s="73" t="s">
        <v>476</v>
      </c>
      <c r="C456" s="73" t="s">
        <v>1062</v>
      </c>
      <c r="D456" s="73" t="s">
        <v>477</v>
      </c>
      <c r="E456" s="85" t="s">
        <v>73</v>
      </c>
      <c r="F456" s="85" t="s">
        <v>1300</v>
      </c>
      <c r="G456" s="85"/>
      <c r="H456" s="85" t="s">
        <v>825</v>
      </c>
      <c r="I456" s="142">
        <f t="shared" si="20"/>
        <v>9</v>
      </c>
      <c r="J456" s="147" t="s">
        <v>2025</v>
      </c>
      <c r="K456" s="142">
        <f t="shared" si="21"/>
        <v>19</v>
      </c>
      <c r="L456" s="143">
        <f t="shared" si="22"/>
        <v>0.32142857142857145</v>
      </c>
      <c r="M456" s="70" t="s">
        <v>2286</v>
      </c>
      <c r="N456" s="70" t="s">
        <v>2286</v>
      </c>
      <c r="O456" s="70" t="s">
        <v>2286</v>
      </c>
      <c r="P456" s="70" t="s">
        <v>2286</v>
      </c>
      <c r="Q456" s="70" t="s">
        <v>2286</v>
      </c>
      <c r="R456" s="70" t="s">
        <v>2286</v>
      </c>
      <c r="S456" s="70" t="s">
        <v>2286</v>
      </c>
      <c r="T456" s="70" t="s">
        <v>2286</v>
      </c>
      <c r="U456" s="70" t="s">
        <v>2286</v>
      </c>
      <c r="V456" s="70" t="s">
        <v>2286</v>
      </c>
      <c r="W456" s="70"/>
      <c r="X456" s="70" t="s">
        <v>2286</v>
      </c>
      <c r="Y456" s="70" t="s">
        <v>2286</v>
      </c>
      <c r="Z456" s="70" t="s">
        <v>2286</v>
      </c>
      <c r="AA456" s="70" t="s">
        <v>2286</v>
      </c>
      <c r="AB456" s="70" t="s">
        <v>2286</v>
      </c>
      <c r="AC456" s="70" t="s">
        <v>2286</v>
      </c>
      <c r="AD456" s="70" t="s">
        <v>2286</v>
      </c>
      <c r="AE456" s="70" t="s">
        <v>2286</v>
      </c>
      <c r="AF456" s="70" t="s">
        <v>2286</v>
      </c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" thickBot="1" x14ac:dyDescent="0.35">
      <c r="A457" s="73" t="s">
        <v>359</v>
      </c>
      <c r="B457" s="73" t="s">
        <v>478</v>
      </c>
      <c r="C457" s="73" t="s">
        <v>1062</v>
      </c>
      <c r="D457" s="73" t="s">
        <v>477</v>
      </c>
      <c r="E457" s="85" t="s">
        <v>73</v>
      </c>
      <c r="F457" s="85" t="s">
        <v>1300</v>
      </c>
      <c r="G457" s="85"/>
      <c r="H457" s="85" t="s">
        <v>826</v>
      </c>
      <c r="I457" s="142">
        <f t="shared" si="20"/>
        <v>9</v>
      </c>
      <c r="J457" s="147" t="s">
        <v>2026</v>
      </c>
      <c r="K457" s="142">
        <f t="shared" si="21"/>
        <v>19</v>
      </c>
      <c r="L457" s="143">
        <f t="shared" si="22"/>
        <v>0.32142857142857145</v>
      </c>
      <c r="M457" s="70" t="s">
        <v>2286</v>
      </c>
      <c r="N457" s="70" t="s">
        <v>2286</v>
      </c>
      <c r="O457" s="70" t="s">
        <v>2286</v>
      </c>
      <c r="P457" s="70" t="s">
        <v>2286</v>
      </c>
      <c r="Q457" s="70" t="s">
        <v>2286</v>
      </c>
      <c r="R457" s="70" t="s">
        <v>2286</v>
      </c>
      <c r="S457" s="70" t="s">
        <v>2286</v>
      </c>
      <c r="T457" s="70" t="s">
        <v>2286</v>
      </c>
      <c r="U457" s="70" t="s">
        <v>2286</v>
      </c>
      <c r="V457" s="70" t="s">
        <v>2286</v>
      </c>
      <c r="W457" s="70"/>
      <c r="X457" s="70" t="s">
        <v>2286</v>
      </c>
      <c r="Y457" s="70" t="s">
        <v>2286</v>
      </c>
      <c r="Z457" s="70" t="s">
        <v>2286</v>
      </c>
      <c r="AA457" s="70" t="s">
        <v>2286</v>
      </c>
      <c r="AB457" s="70" t="s">
        <v>2286</v>
      </c>
      <c r="AC457" s="70" t="s">
        <v>2286</v>
      </c>
      <c r="AD457" s="70" t="s">
        <v>2286</v>
      </c>
      <c r="AE457" s="70" t="s">
        <v>2286</v>
      </c>
      <c r="AF457" s="70" t="s">
        <v>2286</v>
      </c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s="73" customFormat="1" ht="15" thickBot="1" x14ac:dyDescent="0.35">
      <c r="A458" s="73" t="s">
        <v>359</v>
      </c>
      <c r="B458" s="85" t="s">
        <v>1104</v>
      </c>
      <c r="C458" s="85" t="s">
        <v>1062</v>
      </c>
      <c r="D458" s="73" t="s">
        <v>1103</v>
      </c>
      <c r="E458" s="85" t="s">
        <v>15</v>
      </c>
      <c r="F458" s="85" t="s">
        <v>1300</v>
      </c>
      <c r="G458" s="85"/>
      <c r="H458" s="85" t="s">
        <v>1105</v>
      </c>
      <c r="I458" s="142">
        <f t="shared" si="20"/>
        <v>9</v>
      </c>
      <c r="J458" s="87"/>
      <c r="K458" s="142">
        <f t="shared" si="21"/>
        <v>19</v>
      </c>
      <c r="L458" s="143">
        <f t="shared" si="22"/>
        <v>0.32142857142857145</v>
      </c>
      <c r="M458" s="70" t="s">
        <v>2286</v>
      </c>
      <c r="N458" s="70" t="s">
        <v>2286</v>
      </c>
      <c r="O458" s="70" t="s">
        <v>2286</v>
      </c>
      <c r="P458" s="70" t="s">
        <v>2286</v>
      </c>
      <c r="Q458" s="70" t="s">
        <v>2286</v>
      </c>
      <c r="R458" s="70" t="s">
        <v>2286</v>
      </c>
      <c r="S458" s="70" t="s">
        <v>2286</v>
      </c>
      <c r="T458" s="70" t="s">
        <v>2286</v>
      </c>
      <c r="U458" s="70" t="s">
        <v>2286</v>
      </c>
      <c r="V458" s="70" t="s">
        <v>2286</v>
      </c>
      <c r="W458" s="70"/>
      <c r="X458" s="70" t="s">
        <v>2286</v>
      </c>
      <c r="Y458" s="70" t="s">
        <v>2286</v>
      </c>
      <c r="Z458" s="70" t="s">
        <v>2286</v>
      </c>
      <c r="AA458" s="70" t="s">
        <v>2286</v>
      </c>
      <c r="AB458" s="70" t="s">
        <v>2286</v>
      </c>
      <c r="AC458" s="70" t="s">
        <v>2286</v>
      </c>
      <c r="AD458" s="70" t="s">
        <v>2286</v>
      </c>
      <c r="AE458" s="70" t="s">
        <v>2286</v>
      </c>
      <c r="AF458" s="70" t="s">
        <v>2286</v>
      </c>
      <c r="AG458" s="70"/>
      <c r="AH458" s="70"/>
      <c r="AI458" s="70"/>
      <c r="AJ458" s="70"/>
      <c r="AK458" s="70"/>
      <c r="AL458" s="70"/>
      <c r="AM458" s="70"/>
      <c r="AN458" s="70"/>
      <c r="AO458" s="70"/>
      <c r="AP458" s="89"/>
      <c r="AQ458" s="89"/>
    </row>
    <row r="459" spans="1:43" s="73" customFormat="1" ht="15" thickBot="1" x14ac:dyDescent="0.35">
      <c r="A459" s="73" t="s">
        <v>433</v>
      </c>
      <c r="B459" s="85" t="s">
        <v>2141</v>
      </c>
      <c r="C459" t="s">
        <v>1061</v>
      </c>
      <c r="D459" s="73" t="s">
        <v>2142</v>
      </c>
      <c r="E459" s="85" t="s">
        <v>15</v>
      </c>
      <c r="F459" s="85" t="s">
        <v>1300</v>
      </c>
      <c r="G459" s="85"/>
      <c r="H459" s="85" t="s">
        <v>2143</v>
      </c>
      <c r="I459" s="142">
        <f t="shared" si="20"/>
        <v>18</v>
      </c>
      <c r="J459" s="153" t="s">
        <v>2144</v>
      </c>
      <c r="K459" s="142">
        <f t="shared" si="21"/>
        <v>10</v>
      </c>
      <c r="L459" s="143">
        <f t="shared" si="22"/>
        <v>0.6428571428571429</v>
      </c>
      <c r="M459" s="70" t="s">
        <v>2286</v>
      </c>
      <c r="N459" s="70" t="s">
        <v>2286</v>
      </c>
      <c r="O459" s="70" t="s">
        <v>2286</v>
      </c>
      <c r="P459" s="70" t="s">
        <v>2286</v>
      </c>
      <c r="Q459" s="70" t="s">
        <v>2286</v>
      </c>
      <c r="R459" s="70" t="s">
        <v>2286</v>
      </c>
      <c r="S459" s="70" t="s">
        <v>2286</v>
      </c>
      <c r="T459" s="70" t="s">
        <v>2286</v>
      </c>
      <c r="U459" s="70" t="s">
        <v>2286</v>
      </c>
      <c r="V459" s="70" t="s">
        <v>2286</v>
      </c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" thickBot="1" x14ac:dyDescent="0.35">
      <c r="B460" s="85" t="s">
        <v>2285</v>
      </c>
      <c r="C460" t="s">
        <v>1061</v>
      </c>
      <c r="D460" s="73" t="s">
        <v>1542</v>
      </c>
      <c r="E460" s="85"/>
      <c r="F460" s="85"/>
      <c r="G460" s="85"/>
      <c r="H460" s="85"/>
      <c r="I460" s="142">
        <f t="shared" si="20"/>
        <v>9</v>
      </c>
      <c r="J460" s="153"/>
      <c r="K460" s="142">
        <f t="shared" si="21"/>
        <v>19</v>
      </c>
      <c r="L460" s="143">
        <f t="shared" si="22"/>
        <v>0.32142857142857145</v>
      </c>
      <c r="M460" s="70" t="s">
        <v>2286</v>
      </c>
      <c r="N460" s="70" t="s">
        <v>2286</v>
      </c>
      <c r="O460" s="70" t="s">
        <v>2286</v>
      </c>
      <c r="P460" s="70" t="s">
        <v>2286</v>
      </c>
      <c r="Q460" s="70" t="s">
        <v>2286</v>
      </c>
      <c r="R460" s="70" t="s">
        <v>2286</v>
      </c>
      <c r="S460" s="70" t="s">
        <v>2286</v>
      </c>
      <c r="T460" s="70" t="s">
        <v>2286</v>
      </c>
      <c r="U460" s="70" t="s">
        <v>2286</v>
      </c>
      <c r="V460" s="70" t="s">
        <v>2286</v>
      </c>
      <c r="W460" s="70"/>
      <c r="X460" s="70" t="s">
        <v>2286</v>
      </c>
      <c r="Y460" s="70" t="s">
        <v>2286</v>
      </c>
      <c r="Z460" s="70" t="s">
        <v>2286</v>
      </c>
      <c r="AA460" s="70" t="s">
        <v>2286</v>
      </c>
      <c r="AB460" s="70" t="s">
        <v>2286</v>
      </c>
      <c r="AC460" s="70" t="s">
        <v>2286</v>
      </c>
      <c r="AD460" s="70" t="s">
        <v>2286</v>
      </c>
      <c r="AE460" s="70" t="s">
        <v>2286</v>
      </c>
      <c r="AF460" s="70" t="s">
        <v>2286</v>
      </c>
      <c r="AG460" s="70"/>
      <c r="AH460" s="70"/>
      <c r="AI460" s="70"/>
      <c r="AJ460" s="70"/>
      <c r="AK460" s="70"/>
      <c r="AL460" s="70"/>
      <c r="AM460" s="70"/>
      <c r="AN460" s="70"/>
      <c r="AO460" s="70"/>
      <c r="AP460" s="89"/>
      <c r="AQ460" s="89"/>
    </row>
    <row r="461" spans="1:43" ht="15" thickBot="1" x14ac:dyDescent="0.35">
      <c r="A461" t="s">
        <v>264</v>
      </c>
      <c r="B461" t="s">
        <v>1032</v>
      </c>
      <c r="C461" t="s">
        <v>1061</v>
      </c>
      <c r="D461" t="s">
        <v>496</v>
      </c>
      <c r="E461" s="30" t="s">
        <v>19</v>
      </c>
      <c r="F461" s="30" t="s">
        <v>1055</v>
      </c>
      <c r="G461" s="30" t="s">
        <v>1256</v>
      </c>
      <c r="H461" s="30" t="s">
        <v>835</v>
      </c>
      <c r="I461" s="31">
        <f t="shared" si="20"/>
        <v>21</v>
      </c>
      <c r="J461" s="147" t="s">
        <v>2027</v>
      </c>
      <c r="K461" s="31">
        <f t="shared" si="21"/>
        <v>7</v>
      </c>
      <c r="L461" s="32">
        <f t="shared" si="22"/>
        <v>0.75</v>
      </c>
      <c r="M461" s="70"/>
      <c r="N461" s="70"/>
      <c r="O461" s="70"/>
      <c r="P461" s="70"/>
      <c r="Q461" s="70"/>
      <c r="R461" s="70" t="s">
        <v>2286</v>
      </c>
      <c r="S461" s="70" t="s">
        <v>2286</v>
      </c>
      <c r="T461" s="70" t="s">
        <v>2286</v>
      </c>
      <c r="U461" s="70"/>
      <c r="V461" s="70"/>
      <c r="W461" s="70"/>
      <c r="X461" s="70"/>
      <c r="Y461" s="70"/>
      <c r="Z461" s="70"/>
      <c r="AA461" s="70"/>
      <c r="AB461" s="70"/>
      <c r="AC461" s="70" t="s">
        <v>2286</v>
      </c>
      <c r="AD461" s="70" t="s">
        <v>2286</v>
      </c>
      <c r="AE461" s="70" t="s">
        <v>2286</v>
      </c>
      <c r="AF461" s="70" t="s">
        <v>2286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" thickBot="1" x14ac:dyDescent="0.35">
      <c r="A462" t="s">
        <v>479</v>
      </c>
      <c r="B462" t="s">
        <v>480</v>
      </c>
      <c r="C462" t="s">
        <v>1061</v>
      </c>
      <c r="D462" t="s">
        <v>1613</v>
      </c>
      <c r="E462" s="30" t="s">
        <v>19</v>
      </c>
      <c r="F462" s="30" t="s">
        <v>1055</v>
      </c>
      <c r="G462" s="30" t="s">
        <v>1256</v>
      </c>
      <c r="H462" s="30" t="s">
        <v>827</v>
      </c>
      <c r="I462" s="31">
        <f t="shared" si="20"/>
        <v>19</v>
      </c>
      <c r="J462" s="147" t="s">
        <v>2028</v>
      </c>
      <c r="K462" s="31">
        <f t="shared" si="21"/>
        <v>9</v>
      </c>
      <c r="L462" s="32">
        <f t="shared" si="22"/>
        <v>0.6785714285714286</v>
      </c>
      <c r="M462" s="70"/>
      <c r="N462" s="70"/>
      <c r="O462" s="70"/>
      <c r="P462" s="70"/>
      <c r="Q462" s="70"/>
      <c r="R462" s="70" t="s">
        <v>2286</v>
      </c>
      <c r="S462" s="70" t="s">
        <v>2286</v>
      </c>
      <c r="T462" s="70" t="s">
        <v>2286</v>
      </c>
      <c r="U462" s="70"/>
      <c r="V462" s="70"/>
      <c r="W462" s="70"/>
      <c r="X462" s="70"/>
      <c r="Y462" s="70"/>
      <c r="Z462" s="70"/>
      <c r="AA462" s="70" t="s">
        <v>2286</v>
      </c>
      <c r="AB462" s="70" t="s">
        <v>2286</v>
      </c>
      <c r="AC462" s="70" t="s">
        <v>2286</v>
      </c>
      <c r="AD462" s="70" t="s">
        <v>2286</v>
      </c>
      <c r="AE462" s="70" t="s">
        <v>2286</v>
      </c>
      <c r="AF462" s="70" t="s">
        <v>2286</v>
      </c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" thickBot="1" x14ac:dyDescent="0.35">
      <c r="A463" t="s">
        <v>479</v>
      </c>
      <c r="B463" t="s">
        <v>481</v>
      </c>
      <c r="C463" t="s">
        <v>1061</v>
      </c>
      <c r="D463" t="s">
        <v>482</v>
      </c>
      <c r="E463" s="30" t="s">
        <v>19</v>
      </c>
      <c r="F463" s="30" t="s">
        <v>28</v>
      </c>
      <c r="G463" s="30"/>
      <c r="H463" s="30" t="s">
        <v>828</v>
      </c>
      <c r="I463" s="31">
        <f t="shared" ref="I463:I535" si="23">COUNTIF(M463:AN463,"")</f>
        <v>28</v>
      </c>
      <c r="J463" s="147" t="s">
        <v>2029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" thickBot="1" x14ac:dyDescent="0.35">
      <c r="A464" t="s">
        <v>483</v>
      </c>
      <c r="B464" t="s">
        <v>484</v>
      </c>
      <c r="C464" t="s">
        <v>1061</v>
      </c>
      <c r="D464" t="s">
        <v>485</v>
      </c>
      <c r="E464" s="30" t="s">
        <v>19</v>
      </c>
      <c r="F464" s="30" t="s">
        <v>28</v>
      </c>
      <c r="G464" s="30"/>
      <c r="H464" s="30" t="s">
        <v>829</v>
      </c>
      <c r="I464" s="31">
        <f t="shared" si="23"/>
        <v>28</v>
      </c>
      <c r="J464" s="147" t="s">
        <v>2030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" thickBot="1" x14ac:dyDescent="0.35">
      <c r="A465" t="s">
        <v>479</v>
      </c>
      <c r="B465" t="s">
        <v>486</v>
      </c>
      <c r="C465" t="s">
        <v>1061</v>
      </c>
      <c r="D465" t="s">
        <v>487</v>
      </c>
      <c r="E465" s="30" t="s">
        <v>15</v>
      </c>
      <c r="F465" s="30" t="s">
        <v>28</v>
      </c>
      <c r="G465" s="30"/>
      <c r="H465" s="30" t="s">
        <v>830</v>
      </c>
      <c r="I465" s="31">
        <f t="shared" si="23"/>
        <v>28</v>
      </c>
      <c r="J465" s="147" t="s">
        <v>2031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" thickBot="1" x14ac:dyDescent="0.35">
      <c r="A466" t="s">
        <v>479</v>
      </c>
      <c r="B466" t="s">
        <v>488</v>
      </c>
      <c r="C466" t="s">
        <v>1061</v>
      </c>
      <c r="D466" t="s">
        <v>489</v>
      </c>
      <c r="E466" s="30" t="s">
        <v>19</v>
      </c>
      <c r="F466" s="30" t="s">
        <v>28</v>
      </c>
      <c r="G466" s="30"/>
      <c r="H466" s="30" t="s">
        <v>831</v>
      </c>
      <c r="I466" s="31">
        <f t="shared" si="23"/>
        <v>28</v>
      </c>
      <c r="J466" s="147" t="s">
        <v>2032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" thickBot="1" x14ac:dyDescent="0.35">
      <c r="A467" s="73" t="s">
        <v>479</v>
      </c>
      <c r="B467" s="73" t="s">
        <v>490</v>
      </c>
      <c r="C467" s="73" t="s">
        <v>1061</v>
      </c>
      <c r="D467" s="73" t="s">
        <v>491</v>
      </c>
      <c r="E467" s="85" t="s">
        <v>15</v>
      </c>
      <c r="F467" s="85" t="s">
        <v>1300</v>
      </c>
      <c r="G467" s="85"/>
      <c r="H467" s="85" t="s">
        <v>832</v>
      </c>
      <c r="I467" s="142">
        <f t="shared" si="23"/>
        <v>28</v>
      </c>
      <c r="J467" s="147" t="s">
        <v>2033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" thickBot="1" x14ac:dyDescent="0.35">
      <c r="A468" s="73" t="s">
        <v>479</v>
      </c>
      <c r="B468" s="73" t="s">
        <v>492</v>
      </c>
      <c r="C468" s="73" t="s">
        <v>1061</v>
      </c>
      <c r="D468" s="73" t="s">
        <v>493</v>
      </c>
      <c r="E468" s="85" t="s">
        <v>19</v>
      </c>
      <c r="F468" s="85" t="s">
        <v>1300</v>
      </c>
      <c r="G468" s="85"/>
      <c r="H468" s="85" t="s">
        <v>833</v>
      </c>
      <c r="I468" s="31">
        <f t="shared" si="23"/>
        <v>28</v>
      </c>
      <c r="J468" s="147" t="s">
        <v>2034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" thickBot="1" x14ac:dyDescent="0.35">
      <c r="A469" t="s">
        <v>479</v>
      </c>
      <c r="B469" t="s">
        <v>494</v>
      </c>
      <c r="C469" t="s">
        <v>1061</v>
      </c>
      <c r="D469" t="s">
        <v>495</v>
      </c>
      <c r="E469" s="30" t="s">
        <v>19</v>
      </c>
      <c r="F469" s="30" t="s">
        <v>1055</v>
      </c>
      <c r="G469" s="30" t="s">
        <v>1257</v>
      </c>
      <c r="H469" s="30" t="s">
        <v>834</v>
      </c>
      <c r="I469" s="31">
        <f t="shared" si="23"/>
        <v>28</v>
      </c>
      <c r="J469" s="147" t="s">
        <v>2035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" thickBot="1" x14ac:dyDescent="0.35">
      <c r="A470" s="73" t="s">
        <v>479</v>
      </c>
      <c r="B470" s="73" t="s">
        <v>1187</v>
      </c>
      <c r="C470" s="73" t="s">
        <v>1061</v>
      </c>
      <c r="D470" s="73" t="s">
        <v>1188</v>
      </c>
      <c r="E470" s="85" t="s">
        <v>1113</v>
      </c>
      <c r="F470" s="85" t="s">
        <v>1300</v>
      </c>
      <c r="G470" s="85"/>
      <c r="H470" s="85" t="s">
        <v>1189</v>
      </c>
      <c r="I470" s="142">
        <f t="shared" si="23"/>
        <v>28</v>
      </c>
      <c r="J470" s="147" t="s">
        <v>2036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" thickBot="1" x14ac:dyDescent="0.35">
      <c r="A471" s="73" t="s">
        <v>479</v>
      </c>
      <c r="B471" s="73" t="s">
        <v>1190</v>
      </c>
      <c r="C471" s="73" t="s">
        <v>1061</v>
      </c>
      <c r="D471" s="73" t="s">
        <v>1188</v>
      </c>
      <c r="E471" s="85" t="s">
        <v>1113</v>
      </c>
      <c r="F471" s="85" t="s">
        <v>28</v>
      </c>
      <c r="G471" s="85"/>
      <c r="H471" s="85" t="s">
        <v>1191</v>
      </c>
      <c r="I471" s="87">
        <f t="shared" si="23"/>
        <v>28</v>
      </c>
      <c r="J471" s="147" t="s">
        <v>2037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" thickBot="1" x14ac:dyDescent="0.35">
      <c r="A472" t="s">
        <v>479</v>
      </c>
      <c r="B472" t="s">
        <v>1220</v>
      </c>
      <c r="C472" t="s">
        <v>1061</v>
      </c>
      <c r="D472" t="s">
        <v>1236</v>
      </c>
      <c r="E472" t="s">
        <v>73</v>
      </c>
      <c r="F472" t="s">
        <v>28</v>
      </c>
      <c r="G472"/>
      <c r="H472" s="30" t="s">
        <v>1281</v>
      </c>
      <c r="I472" s="31">
        <f t="shared" si="23"/>
        <v>28</v>
      </c>
      <c r="J472" s="147" t="s">
        <v>2038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" thickBot="1" x14ac:dyDescent="0.35">
      <c r="A473" t="s">
        <v>479</v>
      </c>
      <c r="B473" t="s">
        <v>1221</v>
      </c>
      <c r="C473" t="s">
        <v>1061</v>
      </c>
      <c r="D473" t="s">
        <v>1236</v>
      </c>
      <c r="E473" t="s">
        <v>73</v>
      </c>
      <c r="F473" t="s">
        <v>28</v>
      </c>
      <c r="G473"/>
      <c r="H473" s="30" t="s">
        <v>1282</v>
      </c>
      <c r="I473" s="31">
        <f t="shared" si="23"/>
        <v>28</v>
      </c>
      <c r="J473" s="147" t="s">
        <v>2039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" thickBot="1" x14ac:dyDescent="0.35">
      <c r="A474" t="s">
        <v>479</v>
      </c>
      <c r="B474" t="s">
        <v>1339</v>
      </c>
      <c r="C474" t="s">
        <v>1061</v>
      </c>
      <c r="D474" s="68" t="s">
        <v>1340</v>
      </c>
      <c r="E474" t="s">
        <v>73</v>
      </c>
      <c r="F474"/>
      <c r="G474"/>
      <c r="H474" s="30" t="s">
        <v>1329</v>
      </c>
      <c r="I474" s="31">
        <f t="shared" si="23"/>
        <v>28</v>
      </c>
      <c r="J474" s="147" t="s">
        <v>2040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" thickBot="1" x14ac:dyDescent="0.35">
      <c r="A475" s="73" t="s">
        <v>479</v>
      </c>
      <c r="B475" s="73" t="s">
        <v>1351</v>
      </c>
      <c r="C475" s="73" t="s">
        <v>1061</v>
      </c>
      <c r="D475" s="146" t="s">
        <v>1358</v>
      </c>
      <c r="E475" s="73" t="s">
        <v>15</v>
      </c>
      <c r="F475" s="73" t="s">
        <v>1300</v>
      </c>
      <c r="H475" s="85" t="s">
        <v>1421</v>
      </c>
      <c r="I475" s="87">
        <f t="shared" si="23"/>
        <v>28</v>
      </c>
      <c r="J475" s="147" t="s">
        <v>2041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" thickBot="1" x14ac:dyDescent="0.35">
      <c r="A476" s="73" t="s">
        <v>479</v>
      </c>
      <c r="B476" s="73" t="s">
        <v>1607</v>
      </c>
      <c r="C476" s="73" t="s">
        <v>1061</v>
      </c>
      <c r="D476" s="146" t="s">
        <v>1612</v>
      </c>
      <c r="E476" s="73" t="s">
        <v>15</v>
      </c>
      <c r="F476" s="73" t="s">
        <v>1300</v>
      </c>
      <c r="H476" s="85" t="s">
        <v>1614</v>
      </c>
      <c r="I476" s="87">
        <f t="shared" si="23"/>
        <v>28</v>
      </c>
      <c r="J476" s="87" t="s">
        <v>2164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" thickBot="1" x14ac:dyDescent="0.35">
      <c r="A477" s="73" t="s">
        <v>479</v>
      </c>
      <c r="B477" s="73" t="s">
        <v>1625</v>
      </c>
      <c r="C477" s="73" t="s">
        <v>1061</v>
      </c>
      <c r="D477" s="146" t="s">
        <v>1618</v>
      </c>
      <c r="E477" s="73" t="s">
        <v>19</v>
      </c>
      <c r="F477" s="73" t="s">
        <v>1300</v>
      </c>
      <c r="H477" s="85" t="s">
        <v>1626</v>
      </c>
      <c r="I477" s="87">
        <f t="shared" si="23"/>
        <v>28</v>
      </c>
      <c r="J477" s="87" t="s">
        <v>2165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" thickBot="1" x14ac:dyDescent="0.35">
      <c r="A478" s="73" t="s">
        <v>479</v>
      </c>
      <c r="B478" s="73" t="s">
        <v>1620</v>
      </c>
      <c r="C478" s="73" t="s">
        <v>1061</v>
      </c>
      <c r="D478" s="146" t="s">
        <v>1619</v>
      </c>
      <c r="E478" s="73" t="s">
        <v>1113</v>
      </c>
      <c r="F478" s="73" t="s">
        <v>1300</v>
      </c>
      <c r="H478" s="85" t="s">
        <v>1624</v>
      </c>
      <c r="I478" s="87">
        <f t="shared" si="23"/>
        <v>28</v>
      </c>
      <c r="J478" s="87" t="s">
        <v>2166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" thickBot="1" x14ac:dyDescent="0.35">
      <c r="A479" s="73" t="s">
        <v>479</v>
      </c>
      <c r="B479" s="73" t="s">
        <v>1621</v>
      </c>
      <c r="C479" s="73" t="s">
        <v>1061</v>
      </c>
      <c r="D479" s="146" t="s">
        <v>1622</v>
      </c>
      <c r="E479" s="73" t="s">
        <v>1113</v>
      </c>
      <c r="F479" s="73" t="s">
        <v>1300</v>
      </c>
      <c r="H479" s="85" t="s">
        <v>1623</v>
      </c>
      <c r="I479" s="87">
        <f t="shared" si="23"/>
        <v>28</v>
      </c>
      <c r="J479" s="87" t="s">
        <v>2167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" thickBot="1" x14ac:dyDescent="0.35">
      <c r="A480" s="73" t="s">
        <v>229</v>
      </c>
      <c r="B480" s="73" t="s">
        <v>497</v>
      </c>
      <c r="C480" s="73" t="s">
        <v>1062</v>
      </c>
      <c r="D480" s="73" t="s">
        <v>498</v>
      </c>
      <c r="E480" s="85" t="s">
        <v>19</v>
      </c>
      <c r="F480" s="85" t="s">
        <v>1300</v>
      </c>
      <c r="G480" s="85"/>
      <c r="H480" s="85" t="s">
        <v>836</v>
      </c>
      <c r="I480" s="142">
        <f t="shared" si="23"/>
        <v>28</v>
      </c>
      <c r="J480" s="147" t="s">
        <v>2042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" thickBot="1" x14ac:dyDescent="0.35">
      <c r="A481" t="s">
        <v>229</v>
      </c>
      <c r="B481" t="s">
        <v>499</v>
      </c>
      <c r="C481" t="s">
        <v>1062</v>
      </c>
      <c r="D481" t="s">
        <v>500</v>
      </c>
      <c r="E481" s="30" t="s">
        <v>15</v>
      </c>
      <c r="F481" s="30" t="s">
        <v>20</v>
      </c>
      <c r="G481" s="30"/>
      <c r="H481" s="30" t="s">
        <v>837</v>
      </c>
      <c r="I481" s="31">
        <f t="shared" si="23"/>
        <v>26</v>
      </c>
      <c r="J481" s="87"/>
      <c r="K481" s="31">
        <f t="shared" si="24"/>
        <v>2</v>
      </c>
      <c r="L481" s="32">
        <f t="shared" si="25"/>
        <v>0.9285714285714286</v>
      </c>
      <c r="M481" s="70"/>
      <c r="N481" s="70"/>
      <c r="O481" s="70"/>
      <c r="P481" s="70"/>
      <c r="Q481" s="70"/>
      <c r="R481" s="70" t="s">
        <v>2286</v>
      </c>
      <c r="S481" s="70" t="s">
        <v>2286</v>
      </c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" thickBot="1" x14ac:dyDescent="0.35">
      <c r="A482" t="s">
        <v>229</v>
      </c>
      <c r="B482" t="s">
        <v>501</v>
      </c>
      <c r="C482" t="s">
        <v>1062</v>
      </c>
      <c r="D482" t="s">
        <v>502</v>
      </c>
      <c r="E482" s="30" t="s">
        <v>73</v>
      </c>
      <c r="F482" s="30" t="s">
        <v>20</v>
      </c>
      <c r="G482" s="30"/>
      <c r="H482" s="30" t="s">
        <v>838</v>
      </c>
      <c r="I482" s="31">
        <f t="shared" si="23"/>
        <v>26</v>
      </c>
      <c r="J482" s="87"/>
      <c r="K482" s="31">
        <f t="shared" si="24"/>
        <v>2</v>
      </c>
      <c r="L482" s="32">
        <f t="shared" si="25"/>
        <v>0.9285714285714286</v>
      </c>
      <c r="M482" s="70"/>
      <c r="N482" s="70"/>
      <c r="O482" s="70"/>
      <c r="P482" s="70"/>
      <c r="Q482" s="70"/>
      <c r="R482" s="70" t="s">
        <v>2286</v>
      </c>
      <c r="S482" s="70" t="s">
        <v>2286</v>
      </c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" thickBot="1" x14ac:dyDescent="0.35">
      <c r="A483" t="s">
        <v>229</v>
      </c>
      <c r="B483" t="s">
        <v>503</v>
      </c>
      <c r="C483" t="s">
        <v>1062</v>
      </c>
      <c r="D483" t="s">
        <v>502</v>
      </c>
      <c r="E483" s="30" t="s">
        <v>73</v>
      </c>
      <c r="F483" s="30" t="s">
        <v>20</v>
      </c>
      <c r="G483" s="30"/>
      <c r="H483" s="30" t="s">
        <v>839</v>
      </c>
      <c r="I483" s="31">
        <f t="shared" si="23"/>
        <v>25</v>
      </c>
      <c r="J483" s="87"/>
      <c r="K483" s="31">
        <f t="shared" si="24"/>
        <v>3</v>
      </c>
      <c r="L483" s="32">
        <f t="shared" si="25"/>
        <v>0.8928571428571429</v>
      </c>
      <c r="M483" s="70"/>
      <c r="N483" s="70"/>
      <c r="O483" s="70"/>
      <c r="P483" s="70"/>
      <c r="Q483" s="70"/>
      <c r="R483" s="70" t="s">
        <v>2286</v>
      </c>
      <c r="S483" s="70" t="s">
        <v>2286</v>
      </c>
      <c r="T483" s="70"/>
      <c r="U483" s="70"/>
      <c r="V483" s="70"/>
      <c r="W483" s="70"/>
      <c r="X483" s="70" t="s">
        <v>2286</v>
      </c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" thickBot="1" x14ac:dyDescent="0.35">
      <c r="A484" t="s">
        <v>229</v>
      </c>
      <c r="B484" t="s">
        <v>504</v>
      </c>
      <c r="C484" t="s">
        <v>1062</v>
      </c>
      <c r="D484" t="s">
        <v>505</v>
      </c>
      <c r="E484" s="30" t="s">
        <v>73</v>
      </c>
      <c r="F484" s="30" t="s">
        <v>20</v>
      </c>
      <c r="G484" s="30"/>
      <c r="H484" s="30" t="s">
        <v>840</v>
      </c>
      <c r="I484" s="31">
        <f t="shared" si="23"/>
        <v>26</v>
      </c>
      <c r="J484" s="87"/>
      <c r="K484" s="31">
        <f t="shared" si="24"/>
        <v>2</v>
      </c>
      <c r="L484" s="32">
        <f t="shared" si="25"/>
        <v>0.9285714285714286</v>
      </c>
      <c r="M484" s="70"/>
      <c r="N484" s="70"/>
      <c r="O484" s="70"/>
      <c r="P484" s="70"/>
      <c r="Q484" s="70"/>
      <c r="R484" s="70" t="s">
        <v>2286</v>
      </c>
      <c r="S484" s="70" t="s">
        <v>2286</v>
      </c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" thickBot="1" x14ac:dyDescent="0.35">
      <c r="A485" t="s">
        <v>229</v>
      </c>
      <c r="B485" t="s">
        <v>506</v>
      </c>
      <c r="C485" t="s">
        <v>1062</v>
      </c>
      <c r="D485" t="s">
        <v>505</v>
      </c>
      <c r="E485" s="30" t="s">
        <v>73</v>
      </c>
      <c r="F485" s="30" t="s">
        <v>20</v>
      </c>
      <c r="G485" s="30"/>
      <c r="H485" s="30" t="s">
        <v>841</v>
      </c>
      <c r="I485" s="31">
        <f t="shared" si="23"/>
        <v>25</v>
      </c>
      <c r="J485" s="87"/>
      <c r="K485" s="31">
        <f t="shared" si="24"/>
        <v>3</v>
      </c>
      <c r="L485" s="32">
        <f t="shared" si="25"/>
        <v>0.8928571428571429</v>
      </c>
      <c r="M485" s="70"/>
      <c r="N485" s="70"/>
      <c r="O485" s="70"/>
      <c r="P485" s="70"/>
      <c r="Q485" s="70"/>
      <c r="R485" s="70" t="s">
        <v>2286</v>
      </c>
      <c r="S485" s="70" t="s">
        <v>2286</v>
      </c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2286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" thickBot="1" x14ac:dyDescent="0.35">
      <c r="A486" t="s">
        <v>229</v>
      </c>
      <c r="B486" t="s">
        <v>507</v>
      </c>
      <c r="C486" t="s">
        <v>1062</v>
      </c>
      <c r="D486" t="s">
        <v>508</v>
      </c>
      <c r="E486" s="30" t="s">
        <v>15</v>
      </c>
      <c r="F486" s="30" t="s">
        <v>28</v>
      </c>
      <c r="G486" s="30"/>
      <c r="H486" s="30" t="s">
        <v>842</v>
      </c>
      <c r="I486" s="31">
        <f t="shared" si="23"/>
        <v>28</v>
      </c>
      <c r="J486" s="147" t="s">
        <v>2043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" thickBot="1" x14ac:dyDescent="0.35">
      <c r="A487" t="s">
        <v>229</v>
      </c>
      <c r="B487" t="s">
        <v>1033</v>
      </c>
      <c r="C487" t="s">
        <v>1062</v>
      </c>
      <c r="D487" t="s">
        <v>509</v>
      </c>
      <c r="E487" s="30" t="s">
        <v>73</v>
      </c>
      <c r="F487" s="30" t="s">
        <v>28</v>
      </c>
      <c r="G487" s="30"/>
      <c r="H487" s="30" t="s">
        <v>843</v>
      </c>
      <c r="I487" s="31">
        <f t="shared" si="23"/>
        <v>28</v>
      </c>
      <c r="J487" s="147" t="s">
        <v>2044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" thickBot="1" x14ac:dyDescent="0.35">
      <c r="A488" t="s">
        <v>229</v>
      </c>
      <c r="B488" t="s">
        <v>1034</v>
      </c>
      <c r="C488" t="s">
        <v>1062</v>
      </c>
      <c r="D488" t="s">
        <v>509</v>
      </c>
      <c r="E488" s="30" t="s">
        <v>73</v>
      </c>
      <c r="F488" s="30" t="s">
        <v>28</v>
      </c>
      <c r="G488" s="30"/>
      <c r="H488" s="30" t="s">
        <v>844</v>
      </c>
      <c r="I488" s="31">
        <f t="shared" si="23"/>
        <v>28</v>
      </c>
      <c r="J488" s="147" t="s">
        <v>2045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" thickBot="1" x14ac:dyDescent="0.35">
      <c r="A489" t="s">
        <v>229</v>
      </c>
      <c r="B489" t="s">
        <v>510</v>
      </c>
      <c r="C489" t="s">
        <v>1062</v>
      </c>
      <c r="D489" t="s">
        <v>511</v>
      </c>
      <c r="E489" s="30" t="s">
        <v>73</v>
      </c>
      <c r="F489" s="30" t="s">
        <v>28</v>
      </c>
      <c r="G489" s="30"/>
      <c r="H489" s="30" t="s">
        <v>845</v>
      </c>
      <c r="I489" s="31">
        <f t="shared" si="23"/>
        <v>28</v>
      </c>
      <c r="J489" s="147" t="s">
        <v>2046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" thickBot="1" x14ac:dyDescent="0.35">
      <c r="A490" t="s">
        <v>229</v>
      </c>
      <c r="B490" t="s">
        <v>512</v>
      </c>
      <c r="C490" t="s">
        <v>1062</v>
      </c>
      <c r="D490" t="s">
        <v>511</v>
      </c>
      <c r="E490" s="30" t="s">
        <v>73</v>
      </c>
      <c r="F490" s="30" t="s">
        <v>28</v>
      </c>
      <c r="G490" s="30"/>
      <c r="H490" s="30" t="s">
        <v>846</v>
      </c>
      <c r="I490" s="31">
        <f t="shared" si="23"/>
        <v>28</v>
      </c>
      <c r="J490" s="147" t="s">
        <v>2047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" thickBot="1" x14ac:dyDescent="0.35">
      <c r="A491" t="s">
        <v>229</v>
      </c>
      <c r="B491" s="30" t="s">
        <v>1094</v>
      </c>
      <c r="C491" s="30" t="s">
        <v>1062</v>
      </c>
      <c r="D491" t="s">
        <v>1095</v>
      </c>
      <c r="E491" s="30" t="s">
        <v>19</v>
      </c>
      <c r="F491" s="30" t="s">
        <v>28</v>
      </c>
      <c r="G491" s="30"/>
      <c r="H491" s="30" t="s">
        <v>1096</v>
      </c>
      <c r="I491" s="31">
        <f t="shared" si="23"/>
        <v>28</v>
      </c>
      <c r="J491" s="147" t="s">
        <v>2048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" thickBot="1" x14ac:dyDescent="0.35">
      <c r="A492" t="s">
        <v>229</v>
      </c>
      <c r="B492" s="30" t="s">
        <v>1099</v>
      </c>
      <c r="C492" s="30" t="s">
        <v>1062</v>
      </c>
      <c r="D492" t="s">
        <v>1097</v>
      </c>
      <c r="E492" s="30" t="s">
        <v>19</v>
      </c>
      <c r="F492" s="30" t="s">
        <v>28</v>
      </c>
      <c r="G492" s="30"/>
      <c r="H492" s="30" t="s">
        <v>1098</v>
      </c>
      <c r="I492" s="31">
        <f t="shared" si="23"/>
        <v>28</v>
      </c>
      <c r="J492" s="147" t="s">
        <v>2049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" thickBot="1" x14ac:dyDescent="0.35">
      <c r="A493" t="s">
        <v>229</v>
      </c>
      <c r="B493" s="30" t="s">
        <v>1100</v>
      </c>
      <c r="C493" s="30" t="s">
        <v>1062</v>
      </c>
      <c r="D493" t="s">
        <v>1101</v>
      </c>
      <c r="E493" s="30" t="s">
        <v>19</v>
      </c>
      <c r="F493" s="30" t="s">
        <v>28</v>
      </c>
      <c r="G493" s="30"/>
      <c r="H493" s="30" t="s">
        <v>1102</v>
      </c>
      <c r="I493" s="31">
        <f t="shared" si="23"/>
        <v>28</v>
      </c>
      <c r="J493" s="147" t="s">
        <v>2050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" thickBot="1" x14ac:dyDescent="0.35">
      <c r="A494" t="s">
        <v>518</v>
      </c>
      <c r="B494" t="s">
        <v>526</v>
      </c>
      <c r="C494" t="s">
        <v>1062</v>
      </c>
      <c r="D494" t="s">
        <v>2254</v>
      </c>
      <c r="E494" s="30" t="s">
        <v>19</v>
      </c>
      <c r="F494" s="30" t="s">
        <v>28</v>
      </c>
      <c r="G494" s="30"/>
      <c r="H494" s="30" t="s">
        <v>847</v>
      </c>
      <c r="I494" s="31">
        <f t="shared" si="23"/>
        <v>28</v>
      </c>
      <c r="J494" s="147" t="s">
        <v>2051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" thickBot="1" x14ac:dyDescent="0.35">
      <c r="A495" t="s">
        <v>514</v>
      </c>
      <c r="B495" t="s">
        <v>527</v>
      </c>
      <c r="C495" t="s">
        <v>1062</v>
      </c>
      <c r="D495" t="s">
        <v>1090</v>
      </c>
      <c r="E495" s="30" t="s">
        <v>19</v>
      </c>
      <c r="F495" s="30" t="s">
        <v>28</v>
      </c>
      <c r="G495" s="30"/>
      <c r="H495" s="30" t="s">
        <v>848</v>
      </c>
      <c r="I495" s="31">
        <f t="shared" si="23"/>
        <v>27</v>
      </c>
      <c r="J495" s="147" t="s">
        <v>2052</v>
      </c>
      <c r="K495" s="31">
        <f t="shared" si="24"/>
        <v>1</v>
      </c>
      <c r="L495" s="32">
        <f t="shared" si="25"/>
        <v>0.9642857142857143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 t="s">
        <v>2286</v>
      </c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" thickBot="1" x14ac:dyDescent="0.35">
      <c r="A496" t="s">
        <v>514</v>
      </c>
      <c r="B496" t="s">
        <v>528</v>
      </c>
      <c r="C496" t="s">
        <v>1062</v>
      </c>
      <c r="D496" t="s">
        <v>529</v>
      </c>
      <c r="E496" s="30" t="s">
        <v>19</v>
      </c>
      <c r="F496" s="30" t="s">
        <v>28</v>
      </c>
      <c r="G496" s="30"/>
      <c r="H496" s="30" t="s">
        <v>849</v>
      </c>
      <c r="I496" s="31">
        <f t="shared" si="23"/>
        <v>14</v>
      </c>
      <c r="J496" s="147" t="s">
        <v>2053</v>
      </c>
      <c r="K496" s="31">
        <f t="shared" si="24"/>
        <v>14</v>
      </c>
      <c r="L496" s="32">
        <f t="shared" si="25"/>
        <v>0.5</v>
      </c>
      <c r="M496" s="70" t="s">
        <v>2286</v>
      </c>
      <c r="N496" s="70" t="s">
        <v>2286</v>
      </c>
      <c r="O496" s="70"/>
      <c r="P496" s="70"/>
      <c r="Q496" s="70" t="s">
        <v>2286</v>
      </c>
      <c r="R496" s="70" t="s">
        <v>2286</v>
      </c>
      <c r="S496" s="70" t="s">
        <v>2286</v>
      </c>
      <c r="T496" s="70" t="s">
        <v>2286</v>
      </c>
      <c r="U496" s="70"/>
      <c r="V496" s="70"/>
      <c r="W496" s="70"/>
      <c r="X496" s="70"/>
      <c r="Y496" s="70" t="s">
        <v>2286</v>
      </c>
      <c r="Z496" s="70" t="s">
        <v>2286</v>
      </c>
      <c r="AA496" s="70" t="s">
        <v>2286</v>
      </c>
      <c r="AB496" s="70" t="s">
        <v>2286</v>
      </c>
      <c r="AC496" s="70" t="s">
        <v>2286</v>
      </c>
      <c r="AD496" s="70" t="s">
        <v>2286</v>
      </c>
      <c r="AE496" s="70" t="s">
        <v>2286</v>
      </c>
      <c r="AF496" s="70" t="s">
        <v>2286</v>
      </c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" thickBot="1" x14ac:dyDescent="0.35">
      <c r="A497" s="73" t="s">
        <v>514</v>
      </c>
      <c r="B497" s="73" t="s">
        <v>530</v>
      </c>
      <c r="C497" s="73" t="s">
        <v>1062</v>
      </c>
      <c r="D497" s="73" t="s">
        <v>531</v>
      </c>
      <c r="E497" s="85" t="s">
        <v>19</v>
      </c>
      <c r="F497" s="85" t="s">
        <v>28</v>
      </c>
      <c r="G497" s="85"/>
      <c r="H497" s="85" t="s">
        <v>850</v>
      </c>
      <c r="I497" s="31">
        <f t="shared" si="23"/>
        <v>27</v>
      </c>
      <c r="J497" s="147" t="s">
        <v>2054</v>
      </c>
      <c r="K497" s="31">
        <f t="shared" si="24"/>
        <v>1</v>
      </c>
      <c r="L497" s="32">
        <f t="shared" si="25"/>
        <v>0.9642857142857143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 t="s">
        <v>2286</v>
      </c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" thickBot="1" x14ac:dyDescent="0.35">
      <c r="A498" s="73" t="s">
        <v>514</v>
      </c>
      <c r="B498" s="73" t="s">
        <v>532</v>
      </c>
      <c r="C498" s="73" t="s">
        <v>1062</v>
      </c>
      <c r="D498" s="73" t="s">
        <v>533</v>
      </c>
      <c r="E498" s="85" t="s">
        <v>19</v>
      </c>
      <c r="F498" s="85" t="s">
        <v>1300</v>
      </c>
      <c r="G498" s="85"/>
      <c r="H498" s="85" t="s">
        <v>1503</v>
      </c>
      <c r="I498" s="142">
        <f t="shared" si="23"/>
        <v>28</v>
      </c>
      <c r="J498" s="147" t="s">
        <v>2055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" thickBot="1" x14ac:dyDescent="0.35">
      <c r="A499" t="s">
        <v>514</v>
      </c>
      <c r="B499" t="s">
        <v>534</v>
      </c>
      <c r="C499" t="s">
        <v>1062</v>
      </c>
      <c r="D499" t="s">
        <v>1068</v>
      </c>
      <c r="E499" s="30" t="s">
        <v>19</v>
      </c>
      <c r="F499" s="30" t="s">
        <v>28</v>
      </c>
      <c r="G499" s="30"/>
      <c r="H499" s="30" t="s">
        <v>851</v>
      </c>
      <c r="I499" s="31">
        <f t="shared" si="23"/>
        <v>28</v>
      </c>
      <c r="J499" s="147" t="s">
        <v>2056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" thickBot="1" x14ac:dyDescent="0.35">
      <c r="A500" t="s">
        <v>514</v>
      </c>
      <c r="B500" t="s">
        <v>535</v>
      </c>
      <c r="C500" t="s">
        <v>1061</v>
      </c>
      <c r="D500" t="s">
        <v>1067</v>
      </c>
      <c r="E500" s="30" t="s">
        <v>19</v>
      </c>
      <c r="F500" s="30" t="s">
        <v>28</v>
      </c>
      <c r="G500" s="30"/>
      <c r="H500" s="30" t="s">
        <v>852</v>
      </c>
      <c r="I500" s="31">
        <f t="shared" si="23"/>
        <v>28</v>
      </c>
      <c r="J500" s="147" t="s">
        <v>2057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" thickBot="1" x14ac:dyDescent="0.35">
      <c r="A501" s="73" t="s">
        <v>518</v>
      </c>
      <c r="B501" s="73" t="s">
        <v>536</v>
      </c>
      <c r="C501" s="73" t="s">
        <v>1062</v>
      </c>
      <c r="D501" s="73" t="s">
        <v>537</v>
      </c>
      <c r="E501" s="85" t="s">
        <v>19</v>
      </c>
      <c r="F501" s="85" t="s">
        <v>1300</v>
      </c>
      <c r="G501" s="85"/>
      <c r="H501" s="85" t="s">
        <v>853</v>
      </c>
      <c r="I501" s="142">
        <f t="shared" si="23"/>
        <v>28</v>
      </c>
      <c r="J501" s="147" t="s">
        <v>2058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" thickBot="1" x14ac:dyDescent="0.35">
      <c r="A502" t="s">
        <v>518</v>
      </c>
      <c r="B502" t="s">
        <v>538</v>
      </c>
      <c r="C502" t="s">
        <v>1062</v>
      </c>
      <c r="D502" t="s">
        <v>539</v>
      </c>
      <c r="E502" s="30" t="s">
        <v>19</v>
      </c>
      <c r="F502" s="30" t="s">
        <v>28</v>
      </c>
      <c r="G502" s="30"/>
      <c r="H502" s="30" t="s">
        <v>854</v>
      </c>
      <c r="I502" s="31">
        <f t="shared" si="23"/>
        <v>28</v>
      </c>
      <c r="J502" s="147" t="s">
        <v>2059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" thickBot="1" x14ac:dyDescent="0.35">
      <c r="A503" t="s">
        <v>514</v>
      </c>
      <c r="B503" t="s">
        <v>1035</v>
      </c>
      <c r="C503" t="s">
        <v>1062</v>
      </c>
      <c r="D503" t="s">
        <v>540</v>
      </c>
      <c r="E503" s="30" t="s">
        <v>19</v>
      </c>
      <c r="F503" s="30" t="s">
        <v>28</v>
      </c>
      <c r="G503" s="30"/>
      <c r="H503" s="30" t="s">
        <v>855</v>
      </c>
      <c r="I503" s="31">
        <f t="shared" si="23"/>
        <v>14</v>
      </c>
      <c r="J503" s="147" t="s">
        <v>2060</v>
      </c>
      <c r="K503" s="31">
        <f t="shared" si="24"/>
        <v>14</v>
      </c>
      <c r="L503" s="32">
        <f t="shared" si="25"/>
        <v>0.5</v>
      </c>
      <c r="M503" s="70" t="s">
        <v>2286</v>
      </c>
      <c r="N503" s="70" t="s">
        <v>2286</v>
      </c>
      <c r="O503" s="70"/>
      <c r="P503" s="70"/>
      <c r="Q503" s="70" t="s">
        <v>2286</v>
      </c>
      <c r="R503" s="70" t="s">
        <v>2286</v>
      </c>
      <c r="S503" s="70" t="s">
        <v>2286</v>
      </c>
      <c r="T503" s="70" t="s">
        <v>2286</v>
      </c>
      <c r="U503" s="70"/>
      <c r="V503" s="70"/>
      <c r="W503" s="70"/>
      <c r="X503" s="70"/>
      <c r="Y503" s="70" t="s">
        <v>2286</v>
      </c>
      <c r="Z503" s="70" t="s">
        <v>2286</v>
      </c>
      <c r="AA503" s="70" t="s">
        <v>2286</v>
      </c>
      <c r="AB503" s="70" t="s">
        <v>2286</v>
      </c>
      <c r="AC503" s="70" t="s">
        <v>2286</v>
      </c>
      <c r="AD503" s="70" t="s">
        <v>2286</v>
      </c>
      <c r="AE503" s="70" t="s">
        <v>2286</v>
      </c>
      <c r="AF503" s="70" t="s">
        <v>2286</v>
      </c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" thickBot="1" x14ac:dyDescent="0.35">
      <c r="A504" t="s">
        <v>518</v>
      </c>
      <c r="B504" t="s">
        <v>541</v>
      </c>
      <c r="C504" t="s">
        <v>1062</v>
      </c>
      <c r="D504" t="s">
        <v>542</v>
      </c>
      <c r="E504" s="30" t="s">
        <v>19</v>
      </c>
      <c r="F504" s="85" t="s">
        <v>1300</v>
      </c>
      <c r="G504" s="30"/>
      <c r="H504" s="30" t="s">
        <v>856</v>
      </c>
      <c r="I504" s="31">
        <f t="shared" si="23"/>
        <v>28</v>
      </c>
      <c r="J504" s="147" t="s">
        <v>2061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" thickBot="1" x14ac:dyDescent="0.35">
      <c r="A505" t="s">
        <v>518</v>
      </c>
      <c r="B505" t="s">
        <v>1039</v>
      </c>
      <c r="C505" t="s">
        <v>1062</v>
      </c>
      <c r="D505" t="s">
        <v>513</v>
      </c>
      <c r="E505" s="30" t="s">
        <v>15</v>
      </c>
      <c r="F505" s="30" t="s">
        <v>1055</v>
      </c>
      <c r="G505" s="30" t="s">
        <v>1258</v>
      </c>
      <c r="H505" s="30" t="s">
        <v>857</v>
      </c>
      <c r="I505" s="31">
        <f t="shared" si="23"/>
        <v>27</v>
      </c>
      <c r="J505" s="147" t="s">
        <v>2062</v>
      </c>
      <c r="K505" s="31">
        <f t="shared" si="24"/>
        <v>1</v>
      </c>
      <c r="L505" s="32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 t="s">
        <v>2286</v>
      </c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" thickBot="1" x14ac:dyDescent="0.35">
      <c r="A506" t="s">
        <v>514</v>
      </c>
      <c r="B506" t="s">
        <v>1040</v>
      </c>
      <c r="C506" t="s">
        <v>1062</v>
      </c>
      <c r="D506" t="s">
        <v>515</v>
      </c>
      <c r="E506" s="30" t="s">
        <v>19</v>
      </c>
      <c r="F506" s="30" t="s">
        <v>28</v>
      </c>
      <c r="G506" s="30"/>
      <c r="H506" s="30" t="s">
        <v>858</v>
      </c>
      <c r="I506" s="31">
        <f t="shared" si="23"/>
        <v>27</v>
      </c>
      <c r="J506" s="147" t="s">
        <v>2063</v>
      </c>
      <c r="K506" s="31">
        <f t="shared" si="24"/>
        <v>1</v>
      </c>
      <c r="L506" s="32">
        <f t="shared" si="25"/>
        <v>0.9642857142857143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 t="s">
        <v>2286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" thickBot="1" x14ac:dyDescent="0.35">
      <c r="A507" t="s">
        <v>518</v>
      </c>
      <c r="B507" t="s">
        <v>1036</v>
      </c>
      <c r="C507" t="s">
        <v>1062</v>
      </c>
      <c r="D507" t="s">
        <v>543</v>
      </c>
      <c r="E507" s="30" t="s">
        <v>15</v>
      </c>
      <c r="F507" s="30" t="s">
        <v>28</v>
      </c>
      <c r="G507" s="30"/>
      <c r="H507" s="30" t="s">
        <v>859</v>
      </c>
      <c r="I507" s="31">
        <f t="shared" si="23"/>
        <v>28</v>
      </c>
      <c r="J507" s="147" t="s">
        <v>2064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" thickBot="1" x14ac:dyDescent="0.35">
      <c r="A508" t="s">
        <v>518</v>
      </c>
      <c r="B508" t="s">
        <v>516</v>
      </c>
      <c r="C508" t="s">
        <v>1062</v>
      </c>
      <c r="D508" t="s">
        <v>517</v>
      </c>
      <c r="E508" s="30" t="s">
        <v>15</v>
      </c>
      <c r="F508" s="30" t="s">
        <v>1055</v>
      </c>
      <c r="G508" s="30" t="s">
        <v>1259</v>
      </c>
      <c r="H508" s="30" t="s">
        <v>860</v>
      </c>
      <c r="I508" s="31">
        <f t="shared" si="23"/>
        <v>14</v>
      </c>
      <c r="J508" s="147" t="s">
        <v>2065</v>
      </c>
      <c r="K508" s="31">
        <f t="shared" si="24"/>
        <v>14</v>
      </c>
      <c r="L508" s="32">
        <f t="shared" si="25"/>
        <v>0.5</v>
      </c>
      <c r="M508" s="70" t="s">
        <v>2286</v>
      </c>
      <c r="N508" s="70" t="s">
        <v>2286</v>
      </c>
      <c r="O508" s="70"/>
      <c r="P508" s="70"/>
      <c r="Q508" s="70" t="s">
        <v>2286</v>
      </c>
      <c r="R508" s="70" t="s">
        <v>2286</v>
      </c>
      <c r="S508" s="70" t="s">
        <v>2286</v>
      </c>
      <c r="T508" s="70" t="s">
        <v>2286</v>
      </c>
      <c r="U508" s="70"/>
      <c r="V508" s="70"/>
      <c r="W508" s="70"/>
      <c r="X508" s="70"/>
      <c r="Y508" s="70" t="s">
        <v>2286</v>
      </c>
      <c r="Z508" s="70" t="s">
        <v>2286</v>
      </c>
      <c r="AA508" s="70" t="s">
        <v>2286</v>
      </c>
      <c r="AB508" s="70" t="s">
        <v>2286</v>
      </c>
      <c r="AC508" s="70" t="s">
        <v>2286</v>
      </c>
      <c r="AD508" s="70" t="s">
        <v>2286</v>
      </c>
      <c r="AE508" s="70" t="s">
        <v>2286</v>
      </c>
      <c r="AF508" s="70" t="s">
        <v>2286</v>
      </c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" thickBot="1" x14ac:dyDescent="0.35">
      <c r="A509" t="s">
        <v>518</v>
      </c>
      <c r="B509" t="s">
        <v>519</v>
      </c>
      <c r="C509" t="s">
        <v>1062</v>
      </c>
      <c r="D509" t="s">
        <v>520</v>
      </c>
      <c r="E509" s="30" t="s">
        <v>15</v>
      </c>
      <c r="F509" s="30" t="s">
        <v>1055</v>
      </c>
      <c r="G509" s="30" t="s">
        <v>1255</v>
      </c>
      <c r="H509" s="30" t="s">
        <v>861</v>
      </c>
      <c r="I509" s="31">
        <f t="shared" si="23"/>
        <v>28</v>
      </c>
      <c r="J509" s="147" t="s">
        <v>2066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" thickBot="1" x14ac:dyDescent="0.35">
      <c r="A510" t="s">
        <v>518</v>
      </c>
      <c r="B510" t="s">
        <v>521</v>
      </c>
      <c r="C510" t="s">
        <v>1062</v>
      </c>
      <c r="D510" t="s">
        <v>1089</v>
      </c>
      <c r="E510" s="30" t="s">
        <v>15</v>
      </c>
      <c r="F510" s="30" t="s">
        <v>1055</v>
      </c>
      <c r="G510" s="30" t="s">
        <v>1260</v>
      </c>
      <c r="H510" s="30" t="s">
        <v>862</v>
      </c>
      <c r="I510" s="31">
        <f t="shared" si="23"/>
        <v>9</v>
      </c>
      <c r="J510" s="147" t="s">
        <v>2067</v>
      </c>
      <c r="K510" s="31">
        <f t="shared" si="24"/>
        <v>19</v>
      </c>
      <c r="L510" s="32">
        <f t="shared" si="25"/>
        <v>0.32142857142857145</v>
      </c>
      <c r="M510" s="70" t="s">
        <v>2286</v>
      </c>
      <c r="N510" s="70" t="s">
        <v>2286</v>
      </c>
      <c r="O510" s="70" t="s">
        <v>2286</v>
      </c>
      <c r="P510" s="70" t="s">
        <v>2286</v>
      </c>
      <c r="Q510" s="70" t="s">
        <v>2286</v>
      </c>
      <c r="R510" s="70" t="s">
        <v>2286</v>
      </c>
      <c r="S510" s="70" t="s">
        <v>2286</v>
      </c>
      <c r="T510" s="70" t="s">
        <v>2286</v>
      </c>
      <c r="U510" s="70" t="s">
        <v>2286</v>
      </c>
      <c r="V510" s="70" t="s">
        <v>2286</v>
      </c>
      <c r="W510" s="70"/>
      <c r="X510" s="70" t="s">
        <v>2286</v>
      </c>
      <c r="Y510" s="70" t="s">
        <v>2286</v>
      </c>
      <c r="Z510" s="70" t="s">
        <v>2286</v>
      </c>
      <c r="AA510" s="70" t="s">
        <v>2286</v>
      </c>
      <c r="AB510" s="70" t="s">
        <v>2286</v>
      </c>
      <c r="AC510" s="70" t="s">
        <v>2286</v>
      </c>
      <c r="AD510" s="70" t="s">
        <v>2286</v>
      </c>
      <c r="AE510" s="70" t="s">
        <v>2286</v>
      </c>
      <c r="AF510" s="70" t="s">
        <v>2286</v>
      </c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" thickBot="1" x14ac:dyDescent="0.35">
      <c r="A511" t="s">
        <v>514</v>
      </c>
      <c r="B511" t="s">
        <v>1041</v>
      </c>
      <c r="C511" t="s">
        <v>1062</v>
      </c>
      <c r="D511" t="s">
        <v>522</v>
      </c>
      <c r="E511" s="30" t="s">
        <v>15</v>
      </c>
      <c r="F511" s="30" t="s">
        <v>1055</v>
      </c>
      <c r="G511" s="30" t="s">
        <v>1261</v>
      </c>
      <c r="H511" s="30" t="s">
        <v>863</v>
      </c>
      <c r="I511" s="31">
        <f t="shared" si="23"/>
        <v>14</v>
      </c>
      <c r="J511" s="147" t="s">
        <v>2068</v>
      </c>
      <c r="K511" s="31">
        <f t="shared" si="24"/>
        <v>14</v>
      </c>
      <c r="L511" s="32">
        <f t="shared" si="25"/>
        <v>0.5</v>
      </c>
      <c r="M511" s="70" t="s">
        <v>2286</v>
      </c>
      <c r="N511" s="70" t="s">
        <v>2286</v>
      </c>
      <c r="O511" s="70"/>
      <c r="P511" s="70"/>
      <c r="Q511" s="70" t="s">
        <v>2286</v>
      </c>
      <c r="R511" s="70" t="s">
        <v>2286</v>
      </c>
      <c r="S511" s="70" t="s">
        <v>2286</v>
      </c>
      <c r="T511" s="70" t="s">
        <v>2286</v>
      </c>
      <c r="U511" s="70"/>
      <c r="V511" s="70"/>
      <c r="W511" s="70"/>
      <c r="X511" s="70"/>
      <c r="Y511" s="70" t="s">
        <v>2286</v>
      </c>
      <c r="Z511" s="70" t="s">
        <v>2286</v>
      </c>
      <c r="AA511" s="70" t="s">
        <v>2286</v>
      </c>
      <c r="AB511" s="70" t="s">
        <v>2286</v>
      </c>
      <c r="AC511" s="70" t="s">
        <v>2286</v>
      </c>
      <c r="AD511" s="70" t="s">
        <v>2286</v>
      </c>
      <c r="AE511" s="70" t="s">
        <v>2286</v>
      </c>
      <c r="AF511" s="70" t="s">
        <v>2286</v>
      </c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" thickBot="1" x14ac:dyDescent="0.35">
      <c r="A512" t="s">
        <v>514</v>
      </c>
      <c r="B512" t="s">
        <v>1042</v>
      </c>
      <c r="C512" t="s">
        <v>1062</v>
      </c>
      <c r="D512" t="s">
        <v>523</v>
      </c>
      <c r="E512" s="30" t="s">
        <v>15</v>
      </c>
      <c r="F512" s="30" t="s">
        <v>20</v>
      </c>
      <c r="G512" s="30"/>
      <c r="H512" s="30" t="s">
        <v>864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" thickBot="1" x14ac:dyDescent="0.35">
      <c r="A513" s="73" t="s">
        <v>518</v>
      </c>
      <c r="B513" s="73" t="s">
        <v>524</v>
      </c>
      <c r="C513" s="73" t="s">
        <v>1062</v>
      </c>
      <c r="D513" s="73" t="s">
        <v>525</v>
      </c>
      <c r="E513" s="85" t="s">
        <v>46</v>
      </c>
      <c r="F513" s="85" t="s">
        <v>1300</v>
      </c>
      <c r="G513" s="85"/>
      <c r="H513" s="85" t="s">
        <v>1366</v>
      </c>
      <c r="I513" s="142">
        <f t="shared" si="23"/>
        <v>28</v>
      </c>
      <c r="J513" s="147" t="s">
        <v>2069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" thickBot="1" x14ac:dyDescent="0.35">
      <c r="A514" t="s">
        <v>514</v>
      </c>
      <c r="B514" t="s">
        <v>1037</v>
      </c>
      <c r="C514" t="s">
        <v>1062</v>
      </c>
      <c r="D514" t="s">
        <v>544</v>
      </c>
      <c r="E514" s="30" t="s">
        <v>73</v>
      </c>
      <c r="F514" s="30" t="s">
        <v>28</v>
      </c>
      <c r="G514" s="30"/>
      <c r="H514" s="30" t="s">
        <v>865</v>
      </c>
      <c r="I514" s="31">
        <f t="shared" si="23"/>
        <v>14</v>
      </c>
      <c r="J514" s="147" t="s">
        <v>2070</v>
      </c>
      <c r="K514" s="31">
        <f t="shared" si="24"/>
        <v>14</v>
      </c>
      <c r="L514" s="32">
        <f t="shared" si="25"/>
        <v>0.5</v>
      </c>
      <c r="M514" s="70" t="s">
        <v>2286</v>
      </c>
      <c r="N514" s="70" t="s">
        <v>2286</v>
      </c>
      <c r="O514" s="70"/>
      <c r="P514" s="70"/>
      <c r="Q514" s="70" t="s">
        <v>2286</v>
      </c>
      <c r="R514" s="70" t="s">
        <v>2286</v>
      </c>
      <c r="S514" s="70" t="s">
        <v>2286</v>
      </c>
      <c r="T514" s="70" t="s">
        <v>2286</v>
      </c>
      <c r="U514" s="70"/>
      <c r="V514" s="70"/>
      <c r="W514" s="70"/>
      <c r="X514" s="70"/>
      <c r="Y514" s="70" t="s">
        <v>2286</v>
      </c>
      <c r="Z514" s="70" t="s">
        <v>2286</v>
      </c>
      <c r="AA514" s="70" t="s">
        <v>2286</v>
      </c>
      <c r="AB514" s="70" t="s">
        <v>2286</v>
      </c>
      <c r="AC514" s="70" t="s">
        <v>2286</v>
      </c>
      <c r="AD514" s="70" t="s">
        <v>2286</v>
      </c>
      <c r="AE514" s="70" t="s">
        <v>2286</v>
      </c>
      <c r="AF514" s="70" t="s">
        <v>2286</v>
      </c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" thickBot="1" x14ac:dyDescent="0.35">
      <c r="A515" t="s">
        <v>514</v>
      </c>
      <c r="B515" t="s">
        <v>1038</v>
      </c>
      <c r="C515" t="s">
        <v>1062</v>
      </c>
      <c r="D515" t="s">
        <v>544</v>
      </c>
      <c r="E515" s="30" t="s">
        <v>73</v>
      </c>
      <c r="F515" s="30" t="s">
        <v>28</v>
      </c>
      <c r="G515" s="30"/>
      <c r="H515" s="30" t="s">
        <v>866</v>
      </c>
      <c r="I515" s="31">
        <f t="shared" si="23"/>
        <v>15</v>
      </c>
      <c r="J515" s="147" t="s">
        <v>2071</v>
      </c>
      <c r="K515" s="31">
        <f t="shared" si="24"/>
        <v>13</v>
      </c>
      <c r="L515" s="32">
        <f t="shared" si="25"/>
        <v>0.5357142857142857</v>
      </c>
      <c r="M515" s="70" t="s">
        <v>2286</v>
      </c>
      <c r="N515" s="70" t="s">
        <v>2286</v>
      </c>
      <c r="O515" s="70"/>
      <c r="P515" s="70"/>
      <c r="Q515" s="70"/>
      <c r="R515" s="70" t="s">
        <v>2286</v>
      </c>
      <c r="S515" s="70" t="s">
        <v>2286</v>
      </c>
      <c r="T515" s="70" t="s">
        <v>2286</v>
      </c>
      <c r="U515" s="70"/>
      <c r="V515" s="70"/>
      <c r="W515" s="70"/>
      <c r="X515" s="70"/>
      <c r="Y515" s="70" t="s">
        <v>2286</v>
      </c>
      <c r="Z515" s="70" t="s">
        <v>2286</v>
      </c>
      <c r="AA515" s="70" t="s">
        <v>2286</v>
      </c>
      <c r="AB515" s="70" t="s">
        <v>2286</v>
      </c>
      <c r="AC515" s="70" t="s">
        <v>2286</v>
      </c>
      <c r="AD515" s="70" t="s">
        <v>2286</v>
      </c>
      <c r="AE515" s="70" t="s">
        <v>2286</v>
      </c>
      <c r="AF515" s="70" t="s">
        <v>2286</v>
      </c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" thickBot="1" x14ac:dyDescent="0.35">
      <c r="A516" t="s">
        <v>514</v>
      </c>
      <c r="B516" t="s">
        <v>545</v>
      </c>
      <c r="C516" t="s">
        <v>1061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" thickBot="1" x14ac:dyDescent="0.35">
      <c r="A517" t="s">
        <v>514</v>
      </c>
      <c r="B517" t="s">
        <v>547</v>
      </c>
      <c r="C517" t="s">
        <v>1061</v>
      </c>
      <c r="D517" t="s">
        <v>546</v>
      </c>
      <c r="E517" s="30" t="s">
        <v>73</v>
      </c>
      <c r="F517" s="30" t="s">
        <v>28</v>
      </c>
      <c r="G517" s="30"/>
      <c r="H517" s="30" t="s">
        <v>867</v>
      </c>
      <c r="I517" s="31">
        <f t="shared" si="23"/>
        <v>28</v>
      </c>
      <c r="J517" s="147" t="s">
        <v>2073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" thickBot="1" x14ac:dyDescent="0.35">
      <c r="A518" t="s">
        <v>514</v>
      </c>
      <c r="B518" t="s">
        <v>1144</v>
      </c>
      <c r="C518" t="s">
        <v>1062</v>
      </c>
      <c r="D518" t="s">
        <v>1146</v>
      </c>
      <c r="E518" s="30" t="s">
        <v>73</v>
      </c>
      <c r="F518" s="30" t="s">
        <v>28</v>
      </c>
      <c r="G518" s="30"/>
      <c r="H518" s="30" t="s">
        <v>1147</v>
      </c>
      <c r="I518" s="31">
        <f t="shared" si="23"/>
        <v>28</v>
      </c>
      <c r="J518" s="147" t="s">
        <v>2074</v>
      </c>
      <c r="K518" s="31">
        <f t="shared" si="24"/>
        <v>0</v>
      </c>
      <c r="L518" s="32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" thickBot="1" x14ac:dyDescent="0.35">
      <c r="A519" t="s">
        <v>514</v>
      </c>
      <c r="B519" t="s">
        <v>1145</v>
      </c>
      <c r="C519" t="s">
        <v>1062</v>
      </c>
      <c r="D519" t="s">
        <v>1146</v>
      </c>
      <c r="E519" s="30" t="s">
        <v>1113</v>
      </c>
      <c r="F519" s="30" t="s">
        <v>28</v>
      </c>
      <c r="G519" s="30"/>
      <c r="H519" s="30" t="s">
        <v>1148</v>
      </c>
      <c r="I519" s="31">
        <f t="shared" si="23"/>
        <v>28</v>
      </c>
      <c r="J519" s="147" t="s">
        <v>2075</v>
      </c>
      <c r="K519" s="31">
        <f t="shared" si="24"/>
        <v>0</v>
      </c>
      <c r="L519" s="32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" thickBot="1" x14ac:dyDescent="0.35">
      <c r="A520" s="73" t="s">
        <v>518</v>
      </c>
      <c r="B520" s="85" t="s">
        <v>1207</v>
      </c>
      <c r="C520" s="85" t="s">
        <v>1062</v>
      </c>
      <c r="D520" s="73" t="s">
        <v>1203</v>
      </c>
      <c r="E520" s="85" t="s">
        <v>15</v>
      </c>
      <c r="F520" s="85" t="s">
        <v>1300</v>
      </c>
      <c r="G520" s="85"/>
      <c r="H520" s="85" t="s">
        <v>1204</v>
      </c>
      <c r="I520" s="142">
        <f t="shared" si="23"/>
        <v>9</v>
      </c>
      <c r="J520" s="147" t="s">
        <v>2076</v>
      </c>
      <c r="K520" s="142">
        <f t="shared" si="24"/>
        <v>19</v>
      </c>
      <c r="L520" s="143">
        <f t="shared" si="25"/>
        <v>0.32142857142857145</v>
      </c>
      <c r="M520" s="70" t="s">
        <v>2286</v>
      </c>
      <c r="N520" s="70" t="s">
        <v>2286</v>
      </c>
      <c r="O520" s="70" t="s">
        <v>2286</v>
      </c>
      <c r="P520" s="70" t="s">
        <v>2286</v>
      </c>
      <c r="Q520" s="70" t="s">
        <v>2286</v>
      </c>
      <c r="R520" s="70" t="s">
        <v>2286</v>
      </c>
      <c r="S520" s="70" t="s">
        <v>2286</v>
      </c>
      <c r="T520" s="70" t="s">
        <v>2286</v>
      </c>
      <c r="U520" s="70" t="s">
        <v>2286</v>
      </c>
      <c r="V520" s="70" t="s">
        <v>2286</v>
      </c>
      <c r="W520" s="70"/>
      <c r="X520" s="70" t="s">
        <v>2286</v>
      </c>
      <c r="Y520" s="70" t="s">
        <v>2286</v>
      </c>
      <c r="Z520" s="70" t="s">
        <v>2286</v>
      </c>
      <c r="AA520" s="70" t="s">
        <v>2286</v>
      </c>
      <c r="AB520" s="70" t="s">
        <v>2286</v>
      </c>
      <c r="AC520" s="70" t="s">
        <v>2286</v>
      </c>
      <c r="AD520" s="70" t="s">
        <v>2286</v>
      </c>
      <c r="AE520" s="70" t="s">
        <v>2286</v>
      </c>
      <c r="AF520" s="70" t="s">
        <v>2286</v>
      </c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" thickBot="1" x14ac:dyDescent="0.35">
      <c r="A521" t="s">
        <v>518</v>
      </c>
      <c r="B521" s="30" t="s">
        <v>1531</v>
      </c>
      <c r="C521" s="30" t="s">
        <v>1062</v>
      </c>
      <c r="D521" t="s">
        <v>1532</v>
      </c>
      <c r="E521" s="30" t="s">
        <v>1113</v>
      </c>
      <c r="F521" s="30" t="s">
        <v>28</v>
      </c>
      <c r="G521" s="30"/>
      <c r="H521" s="30" t="s">
        <v>1533</v>
      </c>
      <c r="I521" s="142">
        <f t="shared" si="23"/>
        <v>28</v>
      </c>
      <c r="J521" s="147" t="s">
        <v>2077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" thickBot="1" x14ac:dyDescent="0.35">
      <c r="A522" s="73" t="s">
        <v>518</v>
      </c>
      <c r="B522" s="85" t="s">
        <v>1582</v>
      </c>
      <c r="C522" s="85" t="s">
        <v>1062</v>
      </c>
      <c r="D522" s="73" t="s">
        <v>1583</v>
      </c>
      <c r="E522" s="85" t="s">
        <v>15</v>
      </c>
      <c r="F522" s="85" t="s">
        <v>1300</v>
      </c>
      <c r="G522" s="85"/>
      <c r="H522" s="85" t="s">
        <v>1584</v>
      </c>
      <c r="I522" s="142">
        <f t="shared" si="23"/>
        <v>28</v>
      </c>
      <c r="J522" s="147" t="s">
        <v>2078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" thickBot="1" x14ac:dyDescent="0.35">
      <c r="A523" s="73" t="s">
        <v>518</v>
      </c>
      <c r="B523" s="85" t="s">
        <v>1585</v>
      </c>
      <c r="C523" s="85" t="s">
        <v>1062</v>
      </c>
      <c r="D523" s="73" t="s">
        <v>1586</v>
      </c>
      <c r="E523" s="85" t="s">
        <v>15</v>
      </c>
      <c r="F523" s="85" t="s">
        <v>1300</v>
      </c>
      <c r="G523" s="85"/>
      <c r="H523" s="85" t="s">
        <v>1587</v>
      </c>
      <c r="I523" s="142">
        <f t="shared" si="23"/>
        <v>22</v>
      </c>
      <c r="J523" s="147" t="s">
        <v>2079</v>
      </c>
      <c r="K523" s="142">
        <f t="shared" si="24"/>
        <v>6</v>
      </c>
      <c r="L523" s="143">
        <f t="shared" si="25"/>
        <v>0.7857142857142857</v>
      </c>
      <c r="M523" s="70" t="s">
        <v>2286</v>
      </c>
      <c r="N523" s="70" t="s">
        <v>2286</v>
      </c>
      <c r="O523" s="70" t="s">
        <v>2286</v>
      </c>
      <c r="P523" s="70" t="s">
        <v>2286</v>
      </c>
      <c r="Q523" s="70" t="s">
        <v>2286</v>
      </c>
      <c r="R523" s="70" t="s">
        <v>2286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" thickBot="1" x14ac:dyDescent="0.35">
      <c r="A524" s="73" t="s">
        <v>518</v>
      </c>
      <c r="B524" s="85" t="s">
        <v>2224</v>
      </c>
      <c r="C524" s="85" t="s">
        <v>1062</v>
      </c>
      <c r="D524" s="73" t="s">
        <v>2225</v>
      </c>
      <c r="E524" s="30" t="s">
        <v>73</v>
      </c>
      <c r="F524" s="85" t="s">
        <v>1300</v>
      </c>
      <c r="G524" s="85"/>
      <c r="H524" s="85" t="s">
        <v>2226</v>
      </c>
      <c r="I524" s="142">
        <f t="shared" si="23"/>
        <v>28</v>
      </c>
      <c r="J524" s="147" t="s">
        <v>2227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" thickBot="1" x14ac:dyDescent="0.35">
      <c r="A525" s="73" t="s">
        <v>518</v>
      </c>
      <c r="B525" s="85" t="s">
        <v>2228</v>
      </c>
      <c r="C525" s="85" t="s">
        <v>1062</v>
      </c>
      <c r="D525" s="73" t="s">
        <v>2229</v>
      </c>
      <c r="E525" s="85" t="s">
        <v>15</v>
      </c>
      <c r="F525" s="85" t="s">
        <v>1300</v>
      </c>
      <c r="G525" s="85"/>
      <c r="H525" s="85" t="s">
        <v>2230</v>
      </c>
      <c r="I525" s="142">
        <f t="shared" si="23"/>
        <v>28</v>
      </c>
      <c r="J525" s="147" t="s">
        <v>2231</v>
      </c>
      <c r="K525" s="142">
        <f t="shared" si="24"/>
        <v>0</v>
      </c>
      <c r="L525" s="143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ht="15" thickBot="1" x14ac:dyDescent="0.35">
      <c r="A526" t="s">
        <v>409</v>
      </c>
      <c r="B526" t="s">
        <v>1043</v>
      </c>
      <c r="C526" t="s">
        <v>1061</v>
      </c>
      <c r="D526" t="s">
        <v>550</v>
      </c>
      <c r="E526" s="30" t="s">
        <v>19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2080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" thickBot="1" x14ac:dyDescent="0.35">
      <c r="A527" t="s">
        <v>294</v>
      </c>
      <c r="B527" t="s">
        <v>1044</v>
      </c>
      <c r="C527" t="s">
        <v>1061</v>
      </c>
      <c r="D527" t="s">
        <v>551</v>
      </c>
      <c r="E527" s="30" t="s">
        <v>19</v>
      </c>
      <c r="F527" s="30" t="s">
        <v>28</v>
      </c>
      <c r="G527" s="30"/>
      <c r="H527" s="30" t="s">
        <v>871</v>
      </c>
      <c r="I527" s="31">
        <f t="shared" si="23"/>
        <v>28</v>
      </c>
      <c r="J527" s="147" t="s">
        <v>2081</v>
      </c>
      <c r="K527" s="31">
        <f t="shared" si="24"/>
        <v>0</v>
      </c>
      <c r="L527" s="32">
        <f t="shared" si="25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" thickBot="1" x14ac:dyDescent="0.35">
      <c r="A528" t="s">
        <v>409</v>
      </c>
      <c r="B528" t="s">
        <v>552</v>
      </c>
      <c r="C528" t="s">
        <v>1061</v>
      </c>
      <c r="D528" t="s">
        <v>553</v>
      </c>
      <c r="E528" s="30" t="s">
        <v>73</v>
      </c>
      <c r="F528" s="30" t="s">
        <v>28</v>
      </c>
      <c r="G528" s="30"/>
      <c r="H528" s="30" t="s">
        <v>868</v>
      </c>
      <c r="I528" s="31">
        <f t="shared" si="23"/>
        <v>28</v>
      </c>
      <c r="J528" s="147" t="s">
        <v>2082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" thickBot="1" x14ac:dyDescent="0.35">
      <c r="A529" t="s">
        <v>409</v>
      </c>
      <c r="B529" t="s">
        <v>554</v>
      </c>
      <c r="C529" t="s">
        <v>1061</v>
      </c>
      <c r="D529" t="s">
        <v>553</v>
      </c>
      <c r="E529" s="30" t="s">
        <v>73</v>
      </c>
      <c r="F529" s="30" t="s">
        <v>28</v>
      </c>
      <c r="G529" s="30"/>
      <c r="H529" s="30" t="s">
        <v>869</v>
      </c>
      <c r="I529" s="31">
        <f t="shared" si="23"/>
        <v>28</v>
      </c>
      <c r="J529" s="147" t="s">
        <v>2083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" thickBot="1" x14ac:dyDescent="0.35">
      <c r="A530" t="s">
        <v>409</v>
      </c>
      <c r="B530" t="s">
        <v>555</v>
      </c>
      <c r="C530" t="s">
        <v>1061</v>
      </c>
      <c r="D530" t="s">
        <v>556</v>
      </c>
      <c r="E530" s="30" t="s">
        <v>73</v>
      </c>
      <c r="F530" s="30" t="s">
        <v>28</v>
      </c>
      <c r="G530" s="30"/>
      <c r="H530" s="30" t="s">
        <v>872</v>
      </c>
      <c r="I530" s="31">
        <f t="shared" si="23"/>
        <v>26</v>
      </c>
      <c r="J530" s="147" t="s">
        <v>2084</v>
      </c>
      <c r="K530" s="31">
        <f t="shared" si="24"/>
        <v>2</v>
      </c>
      <c r="L530" s="32">
        <f t="shared" si="25"/>
        <v>0.9285714285714286</v>
      </c>
      <c r="M530" s="70" t="s">
        <v>2286</v>
      </c>
      <c r="N530" s="70" t="s">
        <v>2286</v>
      </c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" thickBot="1" x14ac:dyDescent="0.35">
      <c r="A531" t="s">
        <v>409</v>
      </c>
      <c r="B531" t="s">
        <v>557</v>
      </c>
      <c r="C531" t="s">
        <v>1061</v>
      </c>
      <c r="D531" t="s">
        <v>556</v>
      </c>
      <c r="E531" s="30" t="s">
        <v>73</v>
      </c>
      <c r="F531" s="30" t="s">
        <v>28</v>
      </c>
      <c r="G531" s="30"/>
      <c r="H531" s="30" t="s">
        <v>873</v>
      </c>
      <c r="I531" s="31">
        <f t="shared" si="23"/>
        <v>26</v>
      </c>
      <c r="J531" s="147" t="s">
        <v>2085</v>
      </c>
      <c r="K531" s="31">
        <f t="shared" si="24"/>
        <v>2</v>
      </c>
      <c r="L531" s="32">
        <f t="shared" si="25"/>
        <v>0.9285714285714286</v>
      </c>
      <c r="M531" s="70" t="s">
        <v>2286</v>
      </c>
      <c r="N531" s="70" t="s">
        <v>2286</v>
      </c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" thickBot="1" x14ac:dyDescent="0.35">
      <c r="A532" s="73" t="s">
        <v>409</v>
      </c>
      <c r="B532" s="73" t="s">
        <v>548</v>
      </c>
      <c r="C532" s="91" t="s">
        <v>1061</v>
      </c>
      <c r="D532" s="73" t="s">
        <v>549</v>
      </c>
      <c r="E532" s="92" t="s">
        <v>19</v>
      </c>
      <c r="F532" s="85" t="s">
        <v>28</v>
      </c>
      <c r="G532" s="85"/>
      <c r="H532" s="85" t="s">
        <v>874</v>
      </c>
      <c r="I532" s="31">
        <f t="shared" si="23"/>
        <v>26</v>
      </c>
      <c r="J532" s="73"/>
      <c r="K532" s="31">
        <f t="shared" si="24"/>
        <v>2</v>
      </c>
      <c r="L532" s="32">
        <f t="shared" si="25"/>
        <v>0.9285714285714286</v>
      </c>
      <c r="M532" s="70" t="s">
        <v>2286</v>
      </c>
      <c r="N532" s="70" t="s">
        <v>2286</v>
      </c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" thickBot="1" x14ac:dyDescent="0.35">
      <c r="A533" s="73" t="s">
        <v>409</v>
      </c>
      <c r="B533" s="73" t="s">
        <v>558</v>
      </c>
      <c r="C533" s="91" t="s">
        <v>1061</v>
      </c>
      <c r="D533" s="73" t="s">
        <v>559</v>
      </c>
      <c r="E533" s="92" t="s">
        <v>15</v>
      </c>
      <c r="F533" s="85" t="s">
        <v>28</v>
      </c>
      <c r="G533" s="85"/>
      <c r="H533" s="85" t="s">
        <v>1505</v>
      </c>
      <c r="I533" s="31">
        <f t="shared" si="23"/>
        <v>26</v>
      </c>
      <c r="J533" s="147" t="s">
        <v>2086</v>
      </c>
      <c r="K533" s="31">
        <f t="shared" si="24"/>
        <v>2</v>
      </c>
      <c r="L533" s="32">
        <f t="shared" si="25"/>
        <v>0.9285714285714286</v>
      </c>
      <c r="M533" s="70" t="s">
        <v>2286</v>
      </c>
      <c r="N533" s="70" t="s">
        <v>2286</v>
      </c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" thickBot="1" x14ac:dyDescent="0.35">
      <c r="A534" s="73" t="s">
        <v>483</v>
      </c>
      <c r="B534" s="73" t="s">
        <v>1343</v>
      </c>
      <c r="C534" s="85" t="s">
        <v>1061</v>
      </c>
      <c r="D534" s="73" t="s">
        <v>1344</v>
      </c>
      <c r="E534" s="92" t="s">
        <v>15</v>
      </c>
      <c r="F534" s="85" t="s">
        <v>1300</v>
      </c>
      <c r="G534" s="85"/>
      <c r="H534" s="85" t="s">
        <v>1350</v>
      </c>
      <c r="I534" s="142">
        <f t="shared" si="23"/>
        <v>28</v>
      </c>
      <c r="J534" s="147" t="s">
        <v>2087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" thickBot="1" x14ac:dyDescent="0.35">
      <c r="A535" t="s">
        <v>483</v>
      </c>
      <c r="B535" t="s">
        <v>560</v>
      </c>
      <c r="C535" t="s">
        <v>1061</v>
      </c>
      <c r="D535" t="s">
        <v>561</v>
      </c>
      <c r="E535" s="30" t="s">
        <v>19</v>
      </c>
      <c r="F535" s="30" t="s">
        <v>28</v>
      </c>
      <c r="G535" s="30"/>
      <c r="H535" s="30" t="s">
        <v>875</v>
      </c>
      <c r="I535" s="31">
        <f t="shared" si="23"/>
        <v>28</v>
      </c>
      <c r="J535" s="147" t="s">
        <v>2088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" thickBot="1" x14ac:dyDescent="0.35">
      <c r="A536" s="73" t="s">
        <v>483</v>
      </c>
      <c r="B536" s="73" t="s">
        <v>562</v>
      </c>
      <c r="C536" s="73" t="s">
        <v>1061</v>
      </c>
      <c r="D536" s="73" t="s">
        <v>563</v>
      </c>
      <c r="E536" s="85" t="s">
        <v>19</v>
      </c>
      <c r="F536" s="85" t="s">
        <v>1300</v>
      </c>
      <c r="G536" s="85"/>
      <c r="H536" s="85" t="s">
        <v>1369</v>
      </c>
      <c r="I536" s="142">
        <f t="shared" ref="I536:I581" si="26">COUNTIF(M536:AN536,"")</f>
        <v>28</v>
      </c>
      <c r="J536" s="147" t="s">
        <v>2089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" thickBot="1" x14ac:dyDescent="0.35">
      <c r="A537" s="73" t="s">
        <v>483</v>
      </c>
      <c r="B537" s="73" t="s">
        <v>564</v>
      </c>
      <c r="C537" s="73" t="s">
        <v>1061</v>
      </c>
      <c r="D537" s="73" t="s">
        <v>565</v>
      </c>
      <c r="E537" s="85" t="s">
        <v>19</v>
      </c>
      <c r="F537" s="85" t="s">
        <v>1300</v>
      </c>
      <c r="G537" s="85"/>
      <c r="H537" s="85" t="s">
        <v>1427</v>
      </c>
      <c r="I537" s="142">
        <f t="shared" si="26"/>
        <v>28</v>
      </c>
      <c r="J537" s="147" t="s">
        <v>2090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" thickBot="1" x14ac:dyDescent="0.35">
      <c r="A538" t="s">
        <v>483</v>
      </c>
      <c r="B538" t="s">
        <v>566</v>
      </c>
      <c r="C538" t="s">
        <v>1061</v>
      </c>
      <c r="D538" t="s">
        <v>567</v>
      </c>
      <c r="E538" s="30" t="s">
        <v>19</v>
      </c>
      <c r="F538" s="30" t="s">
        <v>1055</v>
      </c>
      <c r="G538" s="30" t="s">
        <v>1262</v>
      </c>
      <c r="H538" s="30" t="s">
        <v>876</v>
      </c>
      <c r="I538" s="31">
        <f t="shared" si="26"/>
        <v>27</v>
      </c>
      <c r="J538" s="147" t="s">
        <v>2091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1360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" thickBot="1" x14ac:dyDescent="0.35">
      <c r="A539" s="73" t="s">
        <v>479</v>
      </c>
      <c r="B539" s="73" t="s">
        <v>568</v>
      </c>
      <c r="C539" s="73" t="s">
        <v>1061</v>
      </c>
      <c r="D539" s="73" t="s">
        <v>569</v>
      </c>
      <c r="E539" s="85" t="s">
        <v>19</v>
      </c>
      <c r="F539" s="85" t="s">
        <v>1300</v>
      </c>
      <c r="G539" s="85"/>
      <c r="H539" s="85" t="s">
        <v>1504</v>
      </c>
      <c r="I539" s="142">
        <f t="shared" si="26"/>
        <v>27</v>
      </c>
      <c r="J539" s="147" t="s">
        <v>2092</v>
      </c>
      <c r="K539" s="142">
        <f t="shared" si="27"/>
        <v>1</v>
      </c>
      <c r="L539" s="143">
        <f t="shared" si="28"/>
        <v>0.9642857142857143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 t="s">
        <v>2286</v>
      </c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ht="15" thickBot="1" x14ac:dyDescent="0.35">
      <c r="A540" t="s">
        <v>479</v>
      </c>
      <c r="B540" t="s">
        <v>1311</v>
      </c>
      <c r="C540" t="s">
        <v>1061</v>
      </c>
      <c r="D540" t="s">
        <v>2196</v>
      </c>
      <c r="E540" s="85" t="s">
        <v>15</v>
      </c>
      <c r="F540" s="85" t="s">
        <v>1300</v>
      </c>
      <c r="G540" s="30"/>
      <c r="H540" s="30" t="s">
        <v>2197</v>
      </c>
      <c r="I540" s="31">
        <f t="shared" si="26"/>
        <v>13</v>
      </c>
      <c r="J540" s="147" t="s">
        <v>2198</v>
      </c>
      <c r="K540" s="31">
        <f t="shared" si="27"/>
        <v>15</v>
      </c>
      <c r="L540" s="32">
        <f t="shared" si="28"/>
        <v>0.4642857142857143</v>
      </c>
      <c r="M540" s="70" t="s">
        <v>2286</v>
      </c>
      <c r="N540" s="70" t="s">
        <v>2286</v>
      </c>
      <c r="O540" s="70" t="s">
        <v>2286</v>
      </c>
      <c r="P540" s="70" t="s">
        <v>2286</v>
      </c>
      <c r="Q540" s="70" t="s">
        <v>2286</v>
      </c>
      <c r="R540" s="70" t="s">
        <v>2286</v>
      </c>
      <c r="S540" s="70" t="s">
        <v>2286</v>
      </c>
      <c r="T540" s="70" t="s">
        <v>2286</v>
      </c>
      <c r="U540" s="70" t="s">
        <v>2286</v>
      </c>
      <c r="V540" s="70" t="s">
        <v>2286</v>
      </c>
      <c r="W540" s="70"/>
      <c r="X540" s="70" t="s">
        <v>2286</v>
      </c>
      <c r="Y540" s="70" t="s">
        <v>2286</v>
      </c>
      <c r="Z540" s="70" t="s">
        <v>2286</v>
      </c>
      <c r="AA540" s="70" t="s">
        <v>2286</v>
      </c>
      <c r="AB540" s="70" t="s">
        <v>2286</v>
      </c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" thickBot="1" x14ac:dyDescent="0.35">
      <c r="A541" t="s">
        <v>483</v>
      </c>
      <c r="B541" t="s">
        <v>2132</v>
      </c>
      <c r="C541" t="s">
        <v>1061</v>
      </c>
      <c r="D541" s="73" t="s">
        <v>2133</v>
      </c>
      <c r="E541" s="85" t="s">
        <v>15</v>
      </c>
      <c r="F541" s="85" t="s">
        <v>1300</v>
      </c>
      <c r="G541" s="30"/>
      <c r="H541" s="30" t="s">
        <v>2134</v>
      </c>
      <c r="I541" s="31">
        <f t="shared" si="26"/>
        <v>28</v>
      </c>
      <c r="J541" s="147" t="s">
        <v>2135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" thickBot="1" x14ac:dyDescent="0.35">
      <c r="A542" s="73" t="s">
        <v>570</v>
      </c>
      <c r="B542" s="73" t="s">
        <v>571</v>
      </c>
      <c r="C542" s="73" t="s">
        <v>1062</v>
      </c>
      <c r="D542" s="73" t="s">
        <v>572</v>
      </c>
      <c r="E542" s="85" t="s">
        <v>15</v>
      </c>
      <c r="F542" s="85" t="s">
        <v>1300</v>
      </c>
      <c r="G542" s="85"/>
      <c r="H542" s="85" t="s">
        <v>877</v>
      </c>
      <c r="I542" s="142">
        <f t="shared" si="26"/>
        <v>26</v>
      </c>
      <c r="J542" s="147" t="s">
        <v>2093</v>
      </c>
      <c r="K542" s="142">
        <f t="shared" si="27"/>
        <v>2</v>
      </c>
      <c r="L542" s="143">
        <f t="shared" si="28"/>
        <v>0.9285714285714286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 t="s">
        <v>2286</v>
      </c>
      <c r="Y542" s="70" t="s">
        <v>2286</v>
      </c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" thickBot="1" x14ac:dyDescent="0.35">
      <c r="A543" s="73" t="s">
        <v>570</v>
      </c>
      <c r="B543" s="73" t="s">
        <v>1462</v>
      </c>
      <c r="C543" s="73" t="s">
        <v>1062</v>
      </c>
      <c r="D543" s="73" t="s">
        <v>573</v>
      </c>
      <c r="E543" s="85" t="s">
        <v>15</v>
      </c>
      <c r="F543" s="85" t="s">
        <v>1300</v>
      </c>
      <c r="G543" s="85"/>
      <c r="H543" s="85" t="s">
        <v>878</v>
      </c>
      <c r="I543" s="142">
        <f t="shared" si="26"/>
        <v>26</v>
      </c>
      <c r="J543" s="147" t="s">
        <v>2094</v>
      </c>
      <c r="K543" s="142">
        <f t="shared" si="27"/>
        <v>2</v>
      </c>
      <c r="L543" s="143">
        <f t="shared" si="28"/>
        <v>0.9285714285714286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 t="s">
        <v>2286</v>
      </c>
      <c r="Y543" s="70" t="s">
        <v>2286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" thickBot="1" x14ac:dyDescent="0.35">
      <c r="A544" s="73" t="s">
        <v>570</v>
      </c>
      <c r="B544" s="73" t="s">
        <v>1045</v>
      </c>
      <c r="C544" s="73" t="s">
        <v>1062</v>
      </c>
      <c r="D544" s="73" t="s">
        <v>574</v>
      </c>
      <c r="E544" s="85" t="s">
        <v>73</v>
      </c>
      <c r="F544" s="85" t="s">
        <v>1300</v>
      </c>
      <c r="G544" s="85"/>
      <c r="H544" s="85" t="s">
        <v>879</v>
      </c>
      <c r="I544" s="142">
        <f t="shared" si="26"/>
        <v>23</v>
      </c>
      <c r="J544" s="147" t="s">
        <v>2095</v>
      </c>
      <c r="K544" s="142">
        <f t="shared" si="27"/>
        <v>5</v>
      </c>
      <c r="L544" s="143">
        <f t="shared" si="28"/>
        <v>0.8214285714285714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 t="s">
        <v>2286</v>
      </c>
      <c r="Y544" s="70" t="s">
        <v>2286</v>
      </c>
      <c r="Z544" s="70" t="s">
        <v>2286</v>
      </c>
      <c r="AA544" s="70" t="s">
        <v>2286</v>
      </c>
      <c r="AB544" s="70" t="s">
        <v>2286</v>
      </c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" thickBot="1" x14ac:dyDescent="0.35">
      <c r="A545" s="73" t="s">
        <v>570</v>
      </c>
      <c r="B545" s="73" t="s">
        <v>1046</v>
      </c>
      <c r="C545" s="73" t="s">
        <v>1062</v>
      </c>
      <c r="D545" s="73" t="s">
        <v>574</v>
      </c>
      <c r="E545" s="85" t="s">
        <v>73</v>
      </c>
      <c r="F545" s="85" t="s">
        <v>1300</v>
      </c>
      <c r="G545" s="85"/>
      <c r="H545" s="85" t="s">
        <v>880</v>
      </c>
      <c r="I545" s="142">
        <f t="shared" si="26"/>
        <v>23</v>
      </c>
      <c r="J545" s="147" t="s">
        <v>2096</v>
      </c>
      <c r="K545" s="142">
        <f t="shared" si="27"/>
        <v>5</v>
      </c>
      <c r="L545" s="143">
        <f t="shared" si="28"/>
        <v>0.8214285714285714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 t="s">
        <v>2286</v>
      </c>
      <c r="Y545" s="70" t="s">
        <v>2286</v>
      </c>
      <c r="Z545" s="70" t="s">
        <v>2286</v>
      </c>
      <c r="AA545" s="70" t="s">
        <v>2286</v>
      </c>
      <c r="AB545" s="70" t="s">
        <v>2286</v>
      </c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" thickBot="1" x14ac:dyDescent="0.35">
      <c r="A546" s="73" t="s">
        <v>570</v>
      </c>
      <c r="B546" s="73" t="s">
        <v>1642</v>
      </c>
      <c r="C546" s="73" t="s">
        <v>1062</v>
      </c>
      <c r="D546" s="73" t="s">
        <v>1649</v>
      </c>
      <c r="E546" s="85" t="s">
        <v>1113</v>
      </c>
      <c r="F546" s="85" t="s">
        <v>28</v>
      </c>
      <c r="G546" s="85"/>
      <c r="H546" s="85" t="s">
        <v>1644</v>
      </c>
      <c r="I546" s="142">
        <f t="shared" si="26"/>
        <v>26</v>
      </c>
      <c r="J546" s="87" t="s">
        <v>2186</v>
      </c>
      <c r="K546" s="142">
        <f t="shared" si="27"/>
        <v>2</v>
      </c>
      <c r="L546" s="143">
        <f t="shared" si="28"/>
        <v>0.9285714285714286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 t="s">
        <v>2286</v>
      </c>
      <c r="Y546" s="70" t="s">
        <v>2286</v>
      </c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" thickBot="1" x14ac:dyDescent="0.35">
      <c r="A547" s="73" t="s">
        <v>570</v>
      </c>
      <c r="B547" s="73" t="s">
        <v>2126</v>
      </c>
      <c r="C547" s="73" t="s">
        <v>1062</v>
      </c>
      <c r="D547" s="73" t="s">
        <v>2127</v>
      </c>
      <c r="E547" s="30" t="s">
        <v>15</v>
      </c>
      <c r="F547" s="85" t="s">
        <v>1300</v>
      </c>
      <c r="G547" s="85"/>
      <c r="H547" s="85" t="s">
        <v>2129</v>
      </c>
      <c r="I547" s="142">
        <f t="shared" si="26"/>
        <v>15</v>
      </c>
      <c r="J547" s="87"/>
      <c r="K547" s="142">
        <f t="shared" si="27"/>
        <v>13</v>
      </c>
      <c r="L547" s="143">
        <f t="shared" si="28"/>
        <v>0.5357142857142857</v>
      </c>
      <c r="M547" s="70" t="s">
        <v>2286</v>
      </c>
      <c r="N547" s="70" t="s">
        <v>2286</v>
      </c>
      <c r="O547" s="70" t="s">
        <v>2286</v>
      </c>
      <c r="P547" s="70" t="s">
        <v>2286</v>
      </c>
      <c r="Q547" s="70" t="s">
        <v>2286</v>
      </c>
      <c r="R547" s="70" t="s">
        <v>2286</v>
      </c>
      <c r="S547" s="70" t="s">
        <v>2286</v>
      </c>
      <c r="T547" s="70" t="s">
        <v>2286</v>
      </c>
      <c r="U547" s="70"/>
      <c r="V547" s="70"/>
      <c r="W547" s="70"/>
      <c r="X547" s="70"/>
      <c r="Y547" s="70" t="s">
        <v>2286</v>
      </c>
      <c r="Z547" s="70"/>
      <c r="AA547" s="70"/>
      <c r="AB547" s="70"/>
      <c r="AC547" s="70" t="s">
        <v>2286</v>
      </c>
      <c r="AD547" s="70" t="s">
        <v>2286</v>
      </c>
      <c r="AE547" s="70" t="s">
        <v>2286</v>
      </c>
      <c r="AF547" s="70" t="s">
        <v>2286</v>
      </c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s="73" customFormat="1" ht="15" thickBot="1" x14ac:dyDescent="0.35">
      <c r="A548" s="73" t="s">
        <v>570</v>
      </c>
      <c r="B548" s="73" t="s">
        <v>1655</v>
      </c>
      <c r="C548" s="73" t="s">
        <v>1062</v>
      </c>
      <c r="D548" s="73" t="s">
        <v>1656</v>
      </c>
      <c r="E548" s="85" t="s">
        <v>15</v>
      </c>
      <c r="F548" s="85" t="s">
        <v>1300</v>
      </c>
      <c r="G548" s="85"/>
      <c r="H548" s="85" t="s">
        <v>1657</v>
      </c>
      <c r="I548" s="142">
        <f t="shared" si="26"/>
        <v>9</v>
      </c>
      <c r="J548" s="87" t="s">
        <v>2187</v>
      </c>
      <c r="K548" s="142">
        <f t="shared" si="27"/>
        <v>19</v>
      </c>
      <c r="L548" s="143">
        <f t="shared" si="28"/>
        <v>0.32142857142857145</v>
      </c>
      <c r="M548" s="70" t="s">
        <v>2286</v>
      </c>
      <c r="N548" s="70" t="s">
        <v>2286</v>
      </c>
      <c r="O548" s="70" t="s">
        <v>2286</v>
      </c>
      <c r="P548" s="70" t="s">
        <v>2286</v>
      </c>
      <c r="Q548" s="70" t="s">
        <v>2286</v>
      </c>
      <c r="R548" s="70" t="s">
        <v>2286</v>
      </c>
      <c r="S548" s="70" t="s">
        <v>2286</v>
      </c>
      <c r="T548" s="70" t="s">
        <v>2286</v>
      </c>
      <c r="U548" s="70" t="s">
        <v>2286</v>
      </c>
      <c r="V548" s="70" t="s">
        <v>2286</v>
      </c>
      <c r="W548" s="70"/>
      <c r="X548" s="70" t="s">
        <v>2286</v>
      </c>
      <c r="Y548" s="70" t="s">
        <v>2286</v>
      </c>
      <c r="Z548" s="70" t="s">
        <v>2286</v>
      </c>
      <c r="AA548" s="70" t="s">
        <v>2286</v>
      </c>
      <c r="AB548" s="70" t="s">
        <v>2286</v>
      </c>
      <c r="AC548" s="70" t="s">
        <v>2286</v>
      </c>
      <c r="AD548" s="70" t="s">
        <v>2286</v>
      </c>
      <c r="AE548" s="70" t="s">
        <v>2286</v>
      </c>
      <c r="AF548" s="70" t="s">
        <v>2286</v>
      </c>
      <c r="AG548" s="70"/>
      <c r="AH548" s="70"/>
      <c r="AI548" s="70"/>
      <c r="AJ548" s="70"/>
      <c r="AK548" s="70"/>
      <c r="AL548" s="70"/>
      <c r="AM548" s="70"/>
      <c r="AN548" s="70"/>
      <c r="AO548" s="70"/>
      <c r="AP548" s="89"/>
      <c r="AQ548" s="89"/>
    </row>
    <row r="549" spans="1:43" ht="15" thickBot="1" x14ac:dyDescent="0.35">
      <c r="A549" t="s">
        <v>575</v>
      </c>
      <c r="B549" t="s">
        <v>1047</v>
      </c>
      <c r="C549" t="s">
        <v>1062</v>
      </c>
      <c r="D549" t="s">
        <v>576</v>
      </c>
      <c r="E549" s="30" t="s">
        <v>73</v>
      </c>
      <c r="F549" s="85" t="s">
        <v>1300</v>
      </c>
      <c r="G549" s="30"/>
      <c r="H549" s="30" t="s">
        <v>881</v>
      </c>
      <c r="I549" s="31">
        <f t="shared" si="26"/>
        <v>13</v>
      </c>
      <c r="J549" s="87" t="s">
        <v>2183</v>
      </c>
      <c r="K549" s="31">
        <f t="shared" si="27"/>
        <v>15</v>
      </c>
      <c r="L549" s="32">
        <f t="shared" si="28"/>
        <v>0.4642857142857143</v>
      </c>
      <c r="M549" s="70" t="s">
        <v>2286</v>
      </c>
      <c r="N549" s="70" t="s">
        <v>2286</v>
      </c>
      <c r="O549" s="70" t="s">
        <v>2286</v>
      </c>
      <c r="P549" s="70" t="s">
        <v>2286</v>
      </c>
      <c r="Q549" s="70" t="s">
        <v>2286</v>
      </c>
      <c r="R549" s="70" t="s">
        <v>2286</v>
      </c>
      <c r="S549" s="70"/>
      <c r="T549" s="70"/>
      <c r="U549" s="70"/>
      <c r="V549" s="70"/>
      <c r="W549" s="70"/>
      <c r="X549" s="70" t="s">
        <v>2286</v>
      </c>
      <c r="Y549" s="70" t="s">
        <v>2286</v>
      </c>
      <c r="Z549" s="70" t="s">
        <v>2286</v>
      </c>
      <c r="AA549" s="70" t="s">
        <v>2286</v>
      </c>
      <c r="AB549" s="70" t="s">
        <v>2286</v>
      </c>
      <c r="AC549" s="70" t="s">
        <v>2286</v>
      </c>
      <c r="AD549" s="70" t="s">
        <v>2286</v>
      </c>
      <c r="AE549" s="70" t="s">
        <v>2286</v>
      </c>
      <c r="AF549" s="70" t="s">
        <v>2286</v>
      </c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" thickBot="1" x14ac:dyDescent="0.35">
      <c r="A550" t="s">
        <v>575</v>
      </c>
      <c r="B550" t="s">
        <v>1048</v>
      </c>
      <c r="C550" t="s">
        <v>1062</v>
      </c>
      <c r="D550" t="s">
        <v>577</v>
      </c>
      <c r="E550" s="30" t="s">
        <v>15</v>
      </c>
      <c r="F550" s="30" t="s">
        <v>28</v>
      </c>
      <c r="G550" s="30"/>
      <c r="H550" s="30" t="s">
        <v>882</v>
      </c>
      <c r="I550" s="31">
        <f t="shared" si="26"/>
        <v>23</v>
      </c>
      <c r="J550" s="147" t="s">
        <v>2097</v>
      </c>
      <c r="K550" s="31">
        <f t="shared" si="27"/>
        <v>5</v>
      </c>
      <c r="L550" s="32">
        <f t="shared" si="28"/>
        <v>0.8214285714285714</v>
      </c>
      <c r="M550" s="70" t="s">
        <v>2286</v>
      </c>
      <c r="N550" s="70" t="s">
        <v>2286</v>
      </c>
      <c r="O550" s="70" t="s">
        <v>2286</v>
      </c>
      <c r="P550" s="70" t="s">
        <v>2286</v>
      </c>
      <c r="Q550" s="70" t="s">
        <v>2286</v>
      </c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" thickBot="1" x14ac:dyDescent="0.35">
      <c r="A551" t="s">
        <v>575</v>
      </c>
      <c r="B551" t="s">
        <v>578</v>
      </c>
      <c r="C551" t="s">
        <v>1062</v>
      </c>
      <c r="D551" t="s">
        <v>579</v>
      </c>
      <c r="E551" s="30" t="s">
        <v>73</v>
      </c>
      <c r="F551" s="85" t="s">
        <v>1300</v>
      </c>
      <c r="G551" s="30"/>
      <c r="H551" s="30" t="s">
        <v>883</v>
      </c>
      <c r="I551" s="31">
        <f t="shared" si="26"/>
        <v>10</v>
      </c>
      <c r="J551" s="87" t="s">
        <v>2184</v>
      </c>
      <c r="K551" s="31">
        <f t="shared" si="27"/>
        <v>18</v>
      </c>
      <c r="L551" s="32">
        <f t="shared" si="28"/>
        <v>0.35714285714285715</v>
      </c>
      <c r="M551" s="70" t="s">
        <v>2286</v>
      </c>
      <c r="N551" s="70" t="s">
        <v>2286</v>
      </c>
      <c r="O551" s="70" t="s">
        <v>2286</v>
      </c>
      <c r="P551" s="70" t="s">
        <v>2286</v>
      </c>
      <c r="Q551" s="70" t="s">
        <v>2286</v>
      </c>
      <c r="R551" s="70" t="s">
        <v>2286</v>
      </c>
      <c r="S551" s="70"/>
      <c r="T551" s="70" t="s">
        <v>2286</v>
      </c>
      <c r="U551" s="70" t="s">
        <v>2286</v>
      </c>
      <c r="V551" s="70" t="s">
        <v>2286</v>
      </c>
      <c r="W551" s="70"/>
      <c r="X551" s="70" t="s">
        <v>2286</v>
      </c>
      <c r="Y551" s="70" t="s">
        <v>2286</v>
      </c>
      <c r="Z551" s="70" t="s">
        <v>2286</v>
      </c>
      <c r="AA551" s="70" t="s">
        <v>2286</v>
      </c>
      <c r="AB551" s="70" t="s">
        <v>2286</v>
      </c>
      <c r="AC551" s="70" t="s">
        <v>2286</v>
      </c>
      <c r="AD551" s="70" t="s">
        <v>2286</v>
      </c>
      <c r="AE551" s="70" t="s">
        <v>2286</v>
      </c>
      <c r="AF551" s="70" t="s">
        <v>2286</v>
      </c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" thickBot="1" x14ac:dyDescent="0.35">
      <c r="A552" t="s">
        <v>575</v>
      </c>
      <c r="B552" t="s">
        <v>580</v>
      </c>
      <c r="C552" t="s">
        <v>1062</v>
      </c>
      <c r="D552" t="s">
        <v>581</v>
      </c>
      <c r="E552" s="30" t="s">
        <v>15</v>
      </c>
      <c r="F552" s="30" t="s">
        <v>28</v>
      </c>
      <c r="G552" s="30"/>
      <c r="H552" s="30" t="s">
        <v>884</v>
      </c>
      <c r="I552" s="31">
        <f t="shared" si="26"/>
        <v>23</v>
      </c>
      <c r="J552" s="147" t="s">
        <v>2098</v>
      </c>
      <c r="K552" s="31">
        <f t="shared" si="27"/>
        <v>5</v>
      </c>
      <c r="L552" s="32">
        <f t="shared" si="28"/>
        <v>0.8214285714285714</v>
      </c>
      <c r="M552" s="70" t="s">
        <v>2286</v>
      </c>
      <c r="N552" s="70" t="s">
        <v>2286</v>
      </c>
      <c r="O552" s="70" t="s">
        <v>2286</v>
      </c>
      <c r="P552" s="70" t="s">
        <v>2286</v>
      </c>
      <c r="Q552" s="70" t="s">
        <v>2286</v>
      </c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" thickBot="1" x14ac:dyDescent="0.35">
      <c r="A553" s="73" t="s">
        <v>575</v>
      </c>
      <c r="B553" s="73" t="s">
        <v>582</v>
      </c>
      <c r="C553" s="73" t="s">
        <v>1062</v>
      </c>
      <c r="D553" s="73" t="s">
        <v>583</v>
      </c>
      <c r="E553" s="85" t="s">
        <v>15</v>
      </c>
      <c r="F553" s="85" t="s">
        <v>1300</v>
      </c>
      <c r="G553" s="85"/>
      <c r="H553" s="85" t="s">
        <v>885</v>
      </c>
      <c r="I553" s="142">
        <f t="shared" si="26"/>
        <v>27</v>
      </c>
      <c r="J553" s="147" t="s">
        <v>2099</v>
      </c>
      <c r="K553" s="142">
        <f t="shared" si="27"/>
        <v>1</v>
      </c>
      <c r="L553" s="143">
        <f t="shared" si="28"/>
        <v>0.9642857142857143</v>
      </c>
      <c r="M553" s="70" t="s">
        <v>2286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  <c r="AQ553" s="89"/>
    </row>
    <row r="554" spans="1:43" s="73" customFormat="1" ht="15" thickBot="1" x14ac:dyDescent="0.35">
      <c r="A554" s="73" t="s">
        <v>2138</v>
      </c>
      <c r="B554" s="73" t="s">
        <v>2136</v>
      </c>
      <c r="C554" t="s">
        <v>1061</v>
      </c>
      <c r="D554" s="73" t="s">
        <v>2137</v>
      </c>
      <c r="E554" s="85" t="s">
        <v>15</v>
      </c>
      <c r="F554" s="85" t="s">
        <v>1300</v>
      </c>
      <c r="G554" s="85"/>
      <c r="H554" s="85" t="s">
        <v>2139</v>
      </c>
      <c r="I554" s="142">
        <f t="shared" si="26"/>
        <v>28</v>
      </c>
      <c r="J554" s="151" t="s">
        <v>2140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" thickBot="1" x14ac:dyDescent="0.35">
      <c r="A555" t="s">
        <v>175</v>
      </c>
      <c r="B555" t="s">
        <v>584</v>
      </c>
      <c r="C555" t="s">
        <v>1062</v>
      </c>
      <c r="D555" t="s">
        <v>1091</v>
      </c>
      <c r="E555" s="30" t="s">
        <v>19</v>
      </c>
      <c r="F555" s="30" t="s">
        <v>20</v>
      </c>
      <c r="G555" s="30"/>
      <c r="H555" s="30" t="s">
        <v>1397</v>
      </c>
      <c r="I555" s="31">
        <f t="shared" si="26"/>
        <v>28</v>
      </c>
      <c r="J555" s="87" t="s">
        <v>2185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" thickBot="1" x14ac:dyDescent="0.35">
      <c r="A556" t="s">
        <v>175</v>
      </c>
      <c r="B556" t="s">
        <v>1049</v>
      </c>
      <c r="C556" t="s">
        <v>1062</v>
      </c>
      <c r="D556" t="s">
        <v>1092</v>
      </c>
      <c r="E556" s="30" t="s">
        <v>73</v>
      </c>
      <c r="F556" s="30" t="s">
        <v>28</v>
      </c>
      <c r="G556" s="30"/>
      <c r="H556" s="30" t="s">
        <v>886</v>
      </c>
      <c r="I556" s="31">
        <f t="shared" si="26"/>
        <v>28</v>
      </c>
      <c r="J556" s="147" t="s">
        <v>2100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" thickBot="1" x14ac:dyDescent="0.35">
      <c r="A557" t="s">
        <v>175</v>
      </c>
      <c r="B557" t="s">
        <v>1050</v>
      </c>
      <c r="C557" t="s">
        <v>1062</v>
      </c>
      <c r="D557" t="s">
        <v>1092</v>
      </c>
      <c r="E557" s="30" t="s">
        <v>73</v>
      </c>
      <c r="F557" s="30" t="s">
        <v>28</v>
      </c>
      <c r="G557" s="30"/>
      <c r="H557" s="30" t="s">
        <v>887</v>
      </c>
      <c r="I557" s="31">
        <f t="shared" si="26"/>
        <v>28</v>
      </c>
      <c r="J557" s="147" t="s">
        <v>2101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" thickBot="1" x14ac:dyDescent="0.35">
      <c r="A558" t="s">
        <v>175</v>
      </c>
      <c r="B558" t="s">
        <v>1051</v>
      </c>
      <c r="C558" t="s">
        <v>1062</v>
      </c>
      <c r="D558" t="s">
        <v>1106</v>
      </c>
      <c r="E558" s="30" t="s">
        <v>15</v>
      </c>
      <c r="F558" s="30" t="s">
        <v>28</v>
      </c>
      <c r="G558" s="30"/>
      <c r="H558" s="30" t="s">
        <v>888</v>
      </c>
      <c r="I558" s="31">
        <f t="shared" si="26"/>
        <v>28</v>
      </c>
      <c r="J558" s="147" t="s">
        <v>2102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" thickBot="1" x14ac:dyDescent="0.35">
      <c r="A559" t="s">
        <v>175</v>
      </c>
      <c r="B559" t="s">
        <v>585</v>
      </c>
      <c r="C559" t="s">
        <v>1062</v>
      </c>
      <c r="D559" t="s">
        <v>1093</v>
      </c>
      <c r="E559" s="30" t="s">
        <v>15</v>
      </c>
      <c r="F559" s="30" t="s">
        <v>28</v>
      </c>
      <c r="G559" s="30"/>
      <c r="H559" s="30" t="s">
        <v>1219</v>
      </c>
      <c r="I559" s="31">
        <f t="shared" si="26"/>
        <v>9</v>
      </c>
      <c r="J559" s="147" t="s">
        <v>2103</v>
      </c>
      <c r="K559" s="31">
        <f t="shared" si="27"/>
        <v>19</v>
      </c>
      <c r="L559" s="32">
        <f t="shared" si="28"/>
        <v>0.32142857142857145</v>
      </c>
      <c r="M559" s="70" t="s">
        <v>2286</v>
      </c>
      <c r="N559" s="70" t="s">
        <v>2286</v>
      </c>
      <c r="O559" s="70" t="s">
        <v>2286</v>
      </c>
      <c r="P559" s="70" t="s">
        <v>2286</v>
      </c>
      <c r="Q559" s="70" t="s">
        <v>2286</v>
      </c>
      <c r="R559" s="70" t="s">
        <v>2286</v>
      </c>
      <c r="S559" s="70" t="s">
        <v>2286</v>
      </c>
      <c r="T559" s="70" t="s">
        <v>2286</v>
      </c>
      <c r="U559" s="70" t="s">
        <v>2286</v>
      </c>
      <c r="V559" s="70" t="s">
        <v>2286</v>
      </c>
      <c r="W559" s="70"/>
      <c r="X559" s="70" t="s">
        <v>2286</v>
      </c>
      <c r="Y559" s="70" t="s">
        <v>2286</v>
      </c>
      <c r="Z559" s="70" t="s">
        <v>2286</v>
      </c>
      <c r="AA559" s="70" t="s">
        <v>2286</v>
      </c>
      <c r="AB559" s="70" t="s">
        <v>2286</v>
      </c>
      <c r="AC559" s="70" t="s">
        <v>2286</v>
      </c>
      <c r="AD559" s="70" t="s">
        <v>2286</v>
      </c>
      <c r="AE559" s="70" t="s">
        <v>2286</v>
      </c>
      <c r="AF559" s="70" t="s">
        <v>2286</v>
      </c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" thickBot="1" x14ac:dyDescent="0.35">
      <c r="A560" t="s">
        <v>586</v>
      </c>
      <c r="B560" t="s">
        <v>587</v>
      </c>
      <c r="C560" t="s">
        <v>1062</v>
      </c>
      <c r="D560" t="s">
        <v>588</v>
      </c>
      <c r="E560" s="30" t="s">
        <v>73</v>
      </c>
      <c r="F560" s="30" t="s">
        <v>28</v>
      </c>
      <c r="G560" s="30"/>
      <c r="H560" s="30" t="s">
        <v>889</v>
      </c>
      <c r="I560" s="31">
        <f t="shared" si="26"/>
        <v>18</v>
      </c>
      <c r="J560" s="147" t="s">
        <v>2104</v>
      </c>
      <c r="K560" s="31">
        <f t="shared" si="27"/>
        <v>10</v>
      </c>
      <c r="L560" s="32">
        <f t="shared" si="28"/>
        <v>0.6428571428571429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 t="s">
        <v>2286</v>
      </c>
      <c r="W560" s="70"/>
      <c r="X560" s="70" t="s">
        <v>2286</v>
      </c>
      <c r="Y560" s="70" t="s">
        <v>2286</v>
      </c>
      <c r="Z560" s="70" t="s">
        <v>2286</v>
      </c>
      <c r="AA560" s="70" t="s">
        <v>2286</v>
      </c>
      <c r="AB560" s="70" t="s">
        <v>2286</v>
      </c>
      <c r="AC560" s="70" t="s">
        <v>2286</v>
      </c>
      <c r="AD560" s="70" t="s">
        <v>2286</v>
      </c>
      <c r="AE560" s="70" t="s">
        <v>2286</v>
      </c>
      <c r="AF560" s="70" t="s">
        <v>2286</v>
      </c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" thickBot="1" x14ac:dyDescent="0.35">
      <c r="A561" t="s">
        <v>586</v>
      </c>
      <c r="B561" t="s">
        <v>1052</v>
      </c>
      <c r="C561" t="s">
        <v>1062</v>
      </c>
      <c r="D561" t="s">
        <v>588</v>
      </c>
      <c r="E561" s="30" t="s">
        <v>73</v>
      </c>
      <c r="F561" s="30" t="s">
        <v>28</v>
      </c>
      <c r="G561" s="30"/>
      <c r="H561" s="30" t="s">
        <v>890</v>
      </c>
      <c r="I561" s="31">
        <f t="shared" si="26"/>
        <v>18</v>
      </c>
      <c r="J561" s="147" t="s">
        <v>2105</v>
      </c>
      <c r="K561" s="31">
        <f t="shared" si="27"/>
        <v>10</v>
      </c>
      <c r="L561" s="32">
        <f t="shared" si="28"/>
        <v>0.6428571428571429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 t="s">
        <v>2286</v>
      </c>
      <c r="W561" s="70"/>
      <c r="X561" s="70" t="s">
        <v>2286</v>
      </c>
      <c r="Y561" s="70" t="s">
        <v>2286</v>
      </c>
      <c r="Z561" s="70" t="s">
        <v>2286</v>
      </c>
      <c r="AA561" s="70" t="s">
        <v>2286</v>
      </c>
      <c r="AB561" s="70" t="s">
        <v>2286</v>
      </c>
      <c r="AC561" s="70" t="s">
        <v>2286</v>
      </c>
      <c r="AD561" s="70" t="s">
        <v>2286</v>
      </c>
      <c r="AE561" s="70" t="s">
        <v>2286</v>
      </c>
      <c r="AF561" s="70" t="s">
        <v>2286</v>
      </c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" thickBot="1" x14ac:dyDescent="0.35">
      <c r="A562" t="s">
        <v>586</v>
      </c>
      <c r="B562" t="s">
        <v>1053</v>
      </c>
      <c r="C562" t="s">
        <v>1062</v>
      </c>
      <c r="D562" t="s">
        <v>589</v>
      </c>
      <c r="E562" s="30" t="s">
        <v>73</v>
      </c>
      <c r="F562" s="30" t="s">
        <v>28</v>
      </c>
      <c r="G562" s="30"/>
      <c r="H562" s="30" t="s">
        <v>891</v>
      </c>
      <c r="I562" s="31">
        <f t="shared" si="26"/>
        <v>18</v>
      </c>
      <c r="J562" s="147" t="s">
        <v>2106</v>
      </c>
      <c r="K562" s="31">
        <f t="shared" si="27"/>
        <v>10</v>
      </c>
      <c r="L562" s="32">
        <f t="shared" si="28"/>
        <v>0.6428571428571429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 t="s">
        <v>2286</v>
      </c>
      <c r="W562" s="70"/>
      <c r="X562" s="70" t="s">
        <v>2286</v>
      </c>
      <c r="Y562" s="70" t="s">
        <v>2286</v>
      </c>
      <c r="Z562" s="70" t="s">
        <v>2286</v>
      </c>
      <c r="AA562" s="70" t="s">
        <v>2286</v>
      </c>
      <c r="AB562" s="70" t="s">
        <v>2286</v>
      </c>
      <c r="AC562" s="70" t="s">
        <v>2286</v>
      </c>
      <c r="AD562" s="70" t="s">
        <v>2286</v>
      </c>
      <c r="AE562" s="70" t="s">
        <v>2286</v>
      </c>
      <c r="AF562" s="70" t="s">
        <v>2286</v>
      </c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" thickBot="1" x14ac:dyDescent="0.35">
      <c r="A563" t="s">
        <v>586</v>
      </c>
      <c r="B563" t="s">
        <v>590</v>
      </c>
      <c r="C563" t="s">
        <v>1062</v>
      </c>
      <c r="D563" t="s">
        <v>589</v>
      </c>
      <c r="E563" s="30" t="s">
        <v>73</v>
      </c>
      <c r="F563" s="30" t="s">
        <v>28</v>
      </c>
      <c r="G563" s="30"/>
      <c r="H563" s="30" t="s">
        <v>892</v>
      </c>
      <c r="I563" s="31">
        <f t="shared" si="26"/>
        <v>18</v>
      </c>
      <c r="J563" s="147" t="s">
        <v>2107</v>
      </c>
      <c r="K563" s="31">
        <f t="shared" si="27"/>
        <v>10</v>
      </c>
      <c r="L563" s="32">
        <f t="shared" si="28"/>
        <v>0.6428571428571429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 t="s">
        <v>2286</v>
      </c>
      <c r="W563" s="70"/>
      <c r="X563" s="70" t="s">
        <v>2286</v>
      </c>
      <c r="Y563" s="70" t="s">
        <v>2286</v>
      </c>
      <c r="Z563" s="70" t="s">
        <v>2286</v>
      </c>
      <c r="AA563" s="70" t="s">
        <v>2286</v>
      </c>
      <c r="AB563" s="70" t="s">
        <v>2286</v>
      </c>
      <c r="AC563" s="70" t="s">
        <v>2286</v>
      </c>
      <c r="AD563" s="70" t="s">
        <v>2286</v>
      </c>
      <c r="AE563" s="70" t="s">
        <v>2286</v>
      </c>
      <c r="AF563" s="70" t="s">
        <v>2286</v>
      </c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" thickBot="1" x14ac:dyDescent="0.35">
      <c r="A564" s="73" t="s">
        <v>591</v>
      </c>
      <c r="B564" s="73" t="s">
        <v>592</v>
      </c>
      <c r="C564" s="73" t="s">
        <v>1062</v>
      </c>
      <c r="D564" s="73" t="s">
        <v>593</v>
      </c>
      <c r="E564" s="85" t="s">
        <v>15</v>
      </c>
      <c r="F564" s="85" t="s">
        <v>1300</v>
      </c>
      <c r="G564" s="85"/>
      <c r="H564" s="85" t="s">
        <v>893</v>
      </c>
      <c r="I564" s="142">
        <f t="shared" si="26"/>
        <v>26</v>
      </c>
      <c r="J564" s="87" t="s">
        <v>2201</v>
      </c>
      <c r="K564" s="142">
        <f t="shared" si="27"/>
        <v>2</v>
      </c>
      <c r="L564" s="143">
        <f t="shared" si="28"/>
        <v>0.9285714285714286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 t="s">
        <v>2286</v>
      </c>
      <c r="Y564" s="70" t="s">
        <v>2286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" thickBot="1" x14ac:dyDescent="0.35">
      <c r="A565" s="73" t="s">
        <v>591</v>
      </c>
      <c r="B565" s="73" t="s">
        <v>2262</v>
      </c>
      <c r="C565" s="73" t="s">
        <v>1062</v>
      </c>
      <c r="D565" s="73" t="s">
        <v>2263</v>
      </c>
      <c r="E565" s="85" t="s">
        <v>15</v>
      </c>
      <c r="F565" s="85" t="s">
        <v>1300</v>
      </c>
      <c r="G565" s="85"/>
      <c r="H565" s="85" t="s">
        <v>2264</v>
      </c>
      <c r="I565" s="142">
        <f t="shared" si="26"/>
        <v>28</v>
      </c>
      <c r="J565" s="87" t="s">
        <v>2265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" thickBot="1" x14ac:dyDescent="0.35">
      <c r="A566" s="73" t="s">
        <v>591</v>
      </c>
      <c r="B566" s="73" t="s">
        <v>2275</v>
      </c>
      <c r="C566" s="73" t="s">
        <v>1062</v>
      </c>
      <c r="D566" s="73" t="s">
        <v>2276</v>
      </c>
      <c r="E566" s="85" t="s">
        <v>15</v>
      </c>
      <c r="F566" s="85"/>
      <c r="G566" s="85"/>
      <c r="H566" s="85" t="s">
        <v>2277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5">
      <c r="A567" t="s">
        <v>594</v>
      </c>
      <c r="B567" t="s">
        <v>1054</v>
      </c>
      <c r="C567" t="s">
        <v>1062</v>
      </c>
      <c r="D567" t="s">
        <v>595</v>
      </c>
      <c r="E567" s="30" t="s">
        <v>15</v>
      </c>
      <c r="F567" s="30" t="s">
        <v>20</v>
      </c>
      <c r="G567" s="30"/>
      <c r="H567" s="30" t="s">
        <v>894</v>
      </c>
      <c r="I567" s="31">
        <f t="shared" si="26"/>
        <v>28</v>
      </c>
      <c r="J567" s="87" t="s">
        <v>2202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" thickBot="1" x14ac:dyDescent="0.35">
      <c r="A568" t="s">
        <v>594</v>
      </c>
      <c r="B568" t="s">
        <v>596</v>
      </c>
      <c r="C568" t="s">
        <v>1062</v>
      </c>
      <c r="D568" t="s">
        <v>597</v>
      </c>
      <c r="E568" s="30" t="s">
        <v>15</v>
      </c>
      <c r="F568" s="30" t="s">
        <v>20</v>
      </c>
      <c r="G568" s="30"/>
      <c r="H568" s="30" t="s">
        <v>895</v>
      </c>
      <c r="I568" s="31">
        <f t="shared" si="26"/>
        <v>28</v>
      </c>
      <c r="J568" s="87" t="s">
        <v>2203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" thickBot="1" x14ac:dyDescent="0.35">
      <c r="A569" t="s">
        <v>594</v>
      </c>
      <c r="B569" t="s">
        <v>598</v>
      </c>
      <c r="C569" t="s">
        <v>1062</v>
      </c>
      <c r="D569" t="s">
        <v>599</v>
      </c>
      <c r="E569" s="30" t="s">
        <v>15</v>
      </c>
      <c r="F569" s="30" t="s">
        <v>20</v>
      </c>
      <c r="G569" s="30"/>
      <c r="H569" s="30" t="s">
        <v>896</v>
      </c>
      <c r="I569" s="31">
        <f t="shared" si="26"/>
        <v>28</v>
      </c>
      <c r="J569" s="87" t="s">
        <v>2204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" thickBot="1" x14ac:dyDescent="0.35">
      <c r="A570" t="s">
        <v>594</v>
      </c>
      <c r="B570" s="30" t="s">
        <v>1114</v>
      </c>
      <c r="C570" s="30" t="s">
        <v>1062</v>
      </c>
      <c r="D570" t="s">
        <v>1116</v>
      </c>
      <c r="E570" s="30" t="s">
        <v>1113</v>
      </c>
      <c r="F570" s="30" t="s">
        <v>28</v>
      </c>
      <c r="G570" s="30"/>
      <c r="H570" s="30" t="s">
        <v>1121</v>
      </c>
      <c r="I570" s="31">
        <f t="shared" si="26"/>
        <v>27</v>
      </c>
      <c r="J570" s="147" t="s">
        <v>2109</v>
      </c>
      <c r="K570" s="31">
        <f t="shared" si="27"/>
        <v>1</v>
      </c>
      <c r="L570" s="32">
        <f t="shared" si="28"/>
        <v>0.9642857142857143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 t="s">
        <v>2286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" thickBot="1" x14ac:dyDescent="0.35">
      <c r="A571" t="s">
        <v>594</v>
      </c>
      <c r="B571" s="30" t="s">
        <v>1115</v>
      </c>
      <c r="C571" s="30" t="s">
        <v>1062</v>
      </c>
      <c r="D571" t="s">
        <v>1116</v>
      </c>
      <c r="E571" s="30" t="s">
        <v>1113</v>
      </c>
      <c r="F571" s="30" t="s">
        <v>28</v>
      </c>
      <c r="G571" s="30"/>
      <c r="H571" s="30" t="s">
        <v>1122</v>
      </c>
      <c r="I571" s="31">
        <f t="shared" si="26"/>
        <v>27</v>
      </c>
      <c r="J571" s="147" t="s">
        <v>2108</v>
      </c>
      <c r="K571" s="31">
        <f t="shared" si="27"/>
        <v>1</v>
      </c>
      <c r="L571" s="32">
        <f t="shared" si="28"/>
        <v>0.9642857142857143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 t="s">
        <v>2286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" thickBot="1" x14ac:dyDescent="0.35">
      <c r="A572" t="s">
        <v>594</v>
      </c>
      <c r="B572" s="30" t="s">
        <v>1200</v>
      </c>
      <c r="C572" s="30" t="s">
        <v>1062</v>
      </c>
      <c r="D572" t="s">
        <v>1201</v>
      </c>
      <c r="E572" s="30" t="s">
        <v>15</v>
      </c>
      <c r="F572" s="30" t="s">
        <v>28</v>
      </c>
      <c r="G572" s="30"/>
      <c r="H572" s="30" t="s">
        <v>1202</v>
      </c>
      <c r="I572" s="31">
        <f t="shared" si="26"/>
        <v>27</v>
      </c>
      <c r="J572" s="147" t="s">
        <v>2110</v>
      </c>
      <c r="K572" s="31">
        <f t="shared" si="27"/>
        <v>1</v>
      </c>
      <c r="L572" s="32">
        <f t="shared" si="28"/>
        <v>0.9642857142857143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 t="s">
        <v>2286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" thickBot="1" x14ac:dyDescent="0.35">
      <c r="A573" t="s">
        <v>389</v>
      </c>
      <c r="B573" s="30" t="s">
        <v>2179</v>
      </c>
      <c r="C573" s="73" t="s">
        <v>1061</v>
      </c>
      <c r="D573" t="s">
        <v>2180</v>
      </c>
      <c r="E573" s="85" t="s">
        <v>46</v>
      </c>
      <c r="F573" s="30" t="s">
        <v>28</v>
      </c>
      <c r="G573" s="30"/>
      <c r="H573" s="30" t="s">
        <v>2181</v>
      </c>
      <c r="I573" s="31">
        <f t="shared" si="26"/>
        <v>28</v>
      </c>
      <c r="J573" s="147" t="s">
        <v>2182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" thickBot="1" x14ac:dyDescent="0.35">
      <c r="A574" s="73" t="s">
        <v>602</v>
      </c>
      <c r="B574" s="73" t="s">
        <v>603</v>
      </c>
      <c r="C574" s="73" t="s">
        <v>1062</v>
      </c>
      <c r="D574" s="73" t="s">
        <v>604</v>
      </c>
      <c r="E574" s="85" t="s">
        <v>19</v>
      </c>
      <c r="F574" s="85" t="s">
        <v>1300</v>
      </c>
      <c r="G574" s="85"/>
      <c r="H574" s="85" t="s">
        <v>1370</v>
      </c>
      <c r="I574" s="142">
        <f t="shared" si="26"/>
        <v>28</v>
      </c>
      <c r="J574" s="147" t="s">
        <v>2111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" thickBot="1" x14ac:dyDescent="0.35">
      <c r="A575" s="73" t="s">
        <v>310</v>
      </c>
      <c r="B575" s="73" t="s">
        <v>605</v>
      </c>
      <c r="C575" s="73" t="s">
        <v>1062</v>
      </c>
      <c r="D575" s="73" t="s">
        <v>606</v>
      </c>
      <c r="E575" s="85" t="s">
        <v>19</v>
      </c>
      <c r="F575" s="85" t="s">
        <v>1300</v>
      </c>
      <c r="G575" s="85"/>
      <c r="H575" s="85" t="s">
        <v>1367</v>
      </c>
      <c r="I575" s="142">
        <f t="shared" si="26"/>
        <v>28</v>
      </c>
      <c r="J575" s="147" t="s">
        <v>2112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" thickBot="1" x14ac:dyDescent="0.35">
      <c r="A576" s="73" t="s">
        <v>602</v>
      </c>
      <c r="B576" s="73" t="s">
        <v>607</v>
      </c>
      <c r="C576" s="73" t="s">
        <v>1061</v>
      </c>
      <c r="D576" s="73" t="s">
        <v>608</v>
      </c>
      <c r="E576" s="85" t="s">
        <v>15</v>
      </c>
      <c r="F576" s="85" t="s">
        <v>1300</v>
      </c>
      <c r="G576" s="85"/>
      <c r="H576" s="85" t="s">
        <v>1506</v>
      </c>
      <c r="I576" s="142">
        <f t="shared" si="26"/>
        <v>28</v>
      </c>
      <c r="J576" s="147" t="s">
        <v>2113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" thickBot="1" x14ac:dyDescent="0.35">
      <c r="A577" s="73" t="s">
        <v>602</v>
      </c>
      <c r="B577" s="73" t="s">
        <v>600</v>
      </c>
      <c r="C577" s="73" t="s">
        <v>1061</v>
      </c>
      <c r="D577" s="73" t="s">
        <v>601</v>
      </c>
      <c r="E577" s="85" t="s">
        <v>19</v>
      </c>
      <c r="F577" s="85" t="s">
        <v>1300</v>
      </c>
      <c r="G577" s="85"/>
      <c r="H577" s="85" t="s">
        <v>1428</v>
      </c>
      <c r="I577" s="142">
        <f t="shared" si="26"/>
        <v>9</v>
      </c>
      <c r="J577" s="147" t="s">
        <v>2114</v>
      </c>
      <c r="K577" s="142">
        <f t="shared" si="27"/>
        <v>19</v>
      </c>
      <c r="L577" s="143">
        <f t="shared" si="28"/>
        <v>0.32142857142857145</v>
      </c>
      <c r="M577" s="70" t="s">
        <v>2286</v>
      </c>
      <c r="N577" s="70" t="s">
        <v>2286</v>
      </c>
      <c r="O577" s="70" t="s">
        <v>2286</v>
      </c>
      <c r="P577" s="70" t="s">
        <v>2286</v>
      </c>
      <c r="Q577" s="70" t="s">
        <v>2286</v>
      </c>
      <c r="R577" s="70" t="s">
        <v>2286</v>
      </c>
      <c r="S577" s="70" t="s">
        <v>2286</v>
      </c>
      <c r="T577" s="70" t="s">
        <v>2286</v>
      </c>
      <c r="U577" s="70" t="s">
        <v>2286</v>
      </c>
      <c r="V577" s="70" t="s">
        <v>2286</v>
      </c>
      <c r="W577" s="70"/>
      <c r="X577" s="70" t="s">
        <v>2286</v>
      </c>
      <c r="Y577" s="70" t="s">
        <v>2286</v>
      </c>
      <c r="Z577" s="70" t="s">
        <v>2286</v>
      </c>
      <c r="AA577" s="70" t="s">
        <v>2286</v>
      </c>
      <c r="AB577" s="70" t="s">
        <v>2286</v>
      </c>
      <c r="AC577" s="70" t="s">
        <v>2286</v>
      </c>
      <c r="AD577" s="70" t="s">
        <v>2286</v>
      </c>
      <c r="AE577" s="70" t="s">
        <v>2286</v>
      </c>
      <c r="AF577" s="70" t="s">
        <v>2286</v>
      </c>
      <c r="AG577" s="70"/>
      <c r="AH577" s="70"/>
      <c r="AI577" s="70"/>
      <c r="AJ577" s="70"/>
      <c r="AK577" s="70"/>
      <c r="AL577" s="70"/>
      <c r="AM577" s="70"/>
      <c r="AN577" s="70"/>
      <c r="AO577" s="70"/>
      <c r="AP577" s="89"/>
      <c r="AQ577" s="89"/>
    </row>
    <row r="578" spans="1:43" s="73" customFormat="1" ht="15" thickBot="1" x14ac:dyDescent="0.35">
      <c r="A578" s="73" t="s">
        <v>602</v>
      </c>
      <c r="B578" s="73" t="s">
        <v>1446</v>
      </c>
      <c r="C578" s="73" t="s">
        <v>1061</v>
      </c>
      <c r="D578" s="73" t="s">
        <v>1447</v>
      </c>
      <c r="E578" s="85" t="s">
        <v>46</v>
      </c>
      <c r="F578" s="85" t="s">
        <v>1300</v>
      </c>
      <c r="G578" s="85"/>
      <c r="H578" s="85" t="s">
        <v>1452</v>
      </c>
      <c r="I578" s="142">
        <f t="shared" si="26"/>
        <v>28</v>
      </c>
      <c r="J578" s="147" t="s">
        <v>2115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" thickBot="1" x14ac:dyDescent="0.35">
      <c r="A579" s="73" t="s">
        <v>602</v>
      </c>
      <c r="B579" s="73" t="s">
        <v>1449</v>
      </c>
      <c r="C579" s="73" t="s">
        <v>1061</v>
      </c>
      <c r="D579" s="73" t="s">
        <v>1448</v>
      </c>
      <c r="E579" s="85" t="s">
        <v>73</v>
      </c>
      <c r="F579" s="85" t="s">
        <v>1300</v>
      </c>
      <c r="G579" s="85"/>
      <c r="H579" s="85" t="s">
        <v>1453</v>
      </c>
      <c r="I579" s="142">
        <f t="shared" si="26"/>
        <v>28</v>
      </c>
      <c r="J579" s="147" t="s">
        <v>2116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" thickBot="1" x14ac:dyDescent="0.35">
      <c r="A580" s="73" t="s">
        <v>602</v>
      </c>
      <c r="B580" s="73" t="s">
        <v>1450</v>
      </c>
      <c r="C580" s="73" t="s">
        <v>1061</v>
      </c>
      <c r="D580" s="73" t="s">
        <v>1451</v>
      </c>
      <c r="E580" s="85" t="s">
        <v>73</v>
      </c>
      <c r="F580" s="85" t="s">
        <v>1300</v>
      </c>
      <c r="G580" s="85"/>
      <c r="H580" s="85" t="s">
        <v>1454</v>
      </c>
      <c r="I580" s="142">
        <f t="shared" si="26"/>
        <v>28</v>
      </c>
      <c r="J580" s="147" t="s">
        <v>2117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" thickBot="1" x14ac:dyDescent="0.35">
      <c r="A581" s="73" t="s">
        <v>602</v>
      </c>
      <c r="B581" s="73" t="s">
        <v>2118</v>
      </c>
      <c r="C581" s="73" t="s">
        <v>1061</v>
      </c>
      <c r="D581" s="73" t="s">
        <v>2119</v>
      </c>
      <c r="E581" s="85" t="s">
        <v>15</v>
      </c>
      <c r="F581" s="85" t="s">
        <v>1300</v>
      </c>
      <c r="G581" s="85"/>
      <c r="H581" s="85" t="s">
        <v>2120</v>
      </c>
      <c r="I581" s="142">
        <f t="shared" si="26"/>
        <v>28</v>
      </c>
      <c r="J581" s="151" t="s">
        <v>2121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3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3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3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3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3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3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3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3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3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3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3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3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3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3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3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3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3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3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3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3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3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3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3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3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3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3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3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3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3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3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3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3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3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3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3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3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3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3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3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3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3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3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3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3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3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3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3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3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3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3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3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3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3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3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3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3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3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3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3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3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3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3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3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3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3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3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3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3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3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3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3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3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3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3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3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3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3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3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3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3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3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3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3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3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3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3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3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3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3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3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3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3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3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3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3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3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3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3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3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3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3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3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3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3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3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3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3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3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3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3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3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3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3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3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3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3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3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3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3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3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3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3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3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3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3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3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3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3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3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3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3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3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3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3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3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3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3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3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3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3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3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3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3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3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3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3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3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3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3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3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3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3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3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3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3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3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3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3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3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3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3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3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3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3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3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3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3">
      <c r="E828" s="30"/>
      <c r="F828" s="30"/>
      <c r="G828" s="30"/>
      <c r="H828" s="30"/>
      <c r="L828" s="13"/>
      <c r="O828" s="70"/>
    </row>
    <row r="829" spans="5:41" x14ac:dyDescent="0.3">
      <c r="E829" s="30"/>
      <c r="F829" s="30"/>
      <c r="G829" s="30"/>
      <c r="H829" s="30"/>
      <c r="L829" s="13"/>
      <c r="O829" s="70"/>
    </row>
    <row r="830" spans="5:41" x14ac:dyDescent="0.3">
      <c r="E830" s="30"/>
      <c r="F830" s="30"/>
      <c r="G830" s="30"/>
      <c r="H830" s="30"/>
      <c r="L830" s="13"/>
      <c r="O830" s="70"/>
    </row>
    <row r="831" spans="5:41" x14ac:dyDescent="0.3">
      <c r="L831" s="13"/>
      <c r="O831" s="70"/>
    </row>
    <row r="832" spans="5:41" x14ac:dyDescent="0.3">
      <c r="O832" s="70"/>
    </row>
    <row r="833" spans="15:15" x14ac:dyDescent="0.3">
      <c r="O833" s="70"/>
    </row>
    <row r="834" spans="15:15" x14ac:dyDescent="0.3">
      <c r="O834" s="70"/>
    </row>
    <row r="835" spans="15:15" x14ac:dyDescent="0.3">
      <c r="O835" s="70"/>
    </row>
    <row r="836" spans="15:15" x14ac:dyDescent="0.3">
      <c r="O836" s="70"/>
    </row>
    <row r="837" spans="15:15" x14ac:dyDescent="0.3">
      <c r="O837" s="70"/>
    </row>
    <row r="838" spans="15:15" x14ac:dyDescent="0.3">
      <c r="O838" s="70"/>
    </row>
    <row r="839" spans="15:15" x14ac:dyDescent="0.3">
      <c r="O839" s="70"/>
    </row>
    <row r="840" spans="15:15" x14ac:dyDescent="0.3">
      <c r="O840" s="70"/>
    </row>
    <row r="841" spans="15:15" x14ac:dyDescent="0.3">
      <c r="O841" s="70"/>
    </row>
    <row r="842" spans="15:15" x14ac:dyDescent="0.3">
      <c r="O842" s="70"/>
    </row>
    <row r="843" spans="15:15" x14ac:dyDescent="0.3">
      <c r="O843" s="70"/>
    </row>
    <row r="844" spans="15:15" x14ac:dyDescent="0.3">
      <c r="O844" s="70"/>
    </row>
    <row r="845" spans="15:15" x14ac:dyDescent="0.3">
      <c r="O845" s="70"/>
    </row>
    <row r="846" spans="15:15" x14ac:dyDescent="0.3">
      <c r="O846" s="70"/>
    </row>
    <row r="847" spans="15:15" x14ac:dyDescent="0.3">
      <c r="O847" s="70"/>
    </row>
    <row r="848" spans="15:15" x14ac:dyDescent="0.3">
      <c r="O848" s="70"/>
    </row>
    <row r="849" spans="15:15" x14ac:dyDescent="0.3">
      <c r="O849" s="70"/>
    </row>
    <row r="850" spans="15:15" x14ac:dyDescent="0.3">
      <c r="O850" s="70"/>
    </row>
    <row r="851" spans="15:15" x14ac:dyDescent="0.3">
      <c r="O851" s="70"/>
    </row>
    <row r="852" spans="15:15" x14ac:dyDescent="0.3">
      <c r="O852" s="70"/>
    </row>
    <row r="853" spans="15:15" x14ac:dyDescent="0.3">
      <c r="O853" s="70"/>
    </row>
    <row r="854" spans="15:15" x14ac:dyDescent="0.3">
      <c r="O854" s="70"/>
    </row>
    <row r="855" spans="15:15" x14ac:dyDescent="0.3">
      <c r="O855" s="70"/>
    </row>
    <row r="856" spans="15:15" x14ac:dyDescent="0.3">
      <c r="O856" s="70"/>
    </row>
    <row r="857" spans="15:15" x14ac:dyDescent="0.3">
      <c r="O857" s="70"/>
    </row>
    <row r="858" spans="15:15" x14ac:dyDescent="0.3">
      <c r="O858" s="70"/>
    </row>
    <row r="859" spans="15:15" x14ac:dyDescent="0.3">
      <c r="O859" s="70"/>
    </row>
    <row r="860" spans="15:15" x14ac:dyDescent="0.3">
      <c r="O860" s="70"/>
    </row>
    <row r="861" spans="15:15" x14ac:dyDescent="0.3">
      <c r="O861" s="70"/>
    </row>
    <row r="862" spans="15:15" x14ac:dyDescent="0.3">
      <c r="O862" s="70"/>
    </row>
    <row r="863" spans="15:15" x14ac:dyDescent="0.3">
      <c r="O863" s="70"/>
    </row>
    <row r="864" spans="15:15" x14ac:dyDescent="0.3">
      <c r="O864" s="70"/>
    </row>
    <row r="865" spans="15:15" x14ac:dyDescent="0.3">
      <c r="O865" s="70"/>
    </row>
    <row r="866" spans="15:15" x14ac:dyDescent="0.3">
      <c r="O866" s="70"/>
    </row>
    <row r="867" spans="15:15" x14ac:dyDescent="0.3">
      <c r="O867" s="70"/>
    </row>
    <row r="868" spans="15:15" x14ac:dyDescent="0.3">
      <c r="O868" s="70"/>
    </row>
    <row r="869" spans="15:15" x14ac:dyDescent="0.3">
      <c r="O869" s="70"/>
    </row>
    <row r="870" spans="15:15" x14ac:dyDescent="0.3">
      <c r="O870" s="70"/>
    </row>
    <row r="871" spans="15:15" x14ac:dyDescent="0.3">
      <c r="O871" s="70"/>
    </row>
    <row r="872" spans="15:15" x14ac:dyDescent="0.3">
      <c r="O872" s="70"/>
    </row>
    <row r="873" spans="15:15" x14ac:dyDescent="0.3">
      <c r="O873" s="70"/>
    </row>
    <row r="874" spans="15:15" x14ac:dyDescent="0.3">
      <c r="O874" s="70"/>
    </row>
    <row r="875" spans="15:15" x14ac:dyDescent="0.3">
      <c r="O875" s="70"/>
    </row>
    <row r="876" spans="15:15" x14ac:dyDescent="0.3">
      <c r="O876" s="70"/>
    </row>
    <row r="877" spans="15:15" x14ac:dyDescent="0.3">
      <c r="O877" s="70"/>
    </row>
    <row r="878" spans="15:15" x14ac:dyDescent="0.3">
      <c r="O878" s="70"/>
    </row>
    <row r="879" spans="15:15" x14ac:dyDescent="0.3">
      <c r="O879" s="70"/>
    </row>
    <row r="880" spans="15:15" x14ac:dyDescent="0.3">
      <c r="O880" s="70"/>
    </row>
    <row r="881" spans="15:15" x14ac:dyDescent="0.3">
      <c r="O881" s="70"/>
    </row>
    <row r="882" spans="15:15" x14ac:dyDescent="0.3">
      <c r="O882" s="70"/>
    </row>
    <row r="883" spans="15:15" x14ac:dyDescent="0.3">
      <c r="O883" s="70"/>
    </row>
    <row r="884" spans="15:15" x14ac:dyDescent="0.3">
      <c r="O884" s="70"/>
    </row>
    <row r="885" spans="15:15" x14ac:dyDescent="0.3">
      <c r="O885" s="70"/>
    </row>
    <row r="886" spans="15:15" x14ac:dyDescent="0.3">
      <c r="O886" s="70"/>
    </row>
    <row r="887" spans="15:15" x14ac:dyDescent="0.3">
      <c r="O887" s="70"/>
    </row>
    <row r="888" spans="15:15" x14ac:dyDescent="0.3">
      <c r="O888" s="70"/>
    </row>
    <row r="889" spans="15:15" x14ac:dyDescent="0.3">
      <c r="O889" s="70"/>
    </row>
    <row r="890" spans="15:15" x14ac:dyDescent="0.3">
      <c r="O890" s="70"/>
    </row>
    <row r="891" spans="15:15" x14ac:dyDescent="0.3">
      <c r="O891" s="70"/>
    </row>
    <row r="892" spans="15:15" x14ac:dyDescent="0.3">
      <c r="O892" s="70"/>
    </row>
    <row r="893" spans="15:15" x14ac:dyDescent="0.3">
      <c r="O893" s="70"/>
    </row>
    <row r="894" spans="15:15" x14ac:dyDescent="0.3">
      <c r="O894" s="70"/>
    </row>
    <row r="895" spans="15:15" x14ac:dyDescent="0.3">
      <c r="O895" s="70"/>
    </row>
    <row r="896" spans="15:15" x14ac:dyDescent="0.3">
      <c r="O896" s="70"/>
    </row>
    <row r="897" spans="15:15" x14ac:dyDescent="0.3">
      <c r="O897" s="70"/>
    </row>
    <row r="898" spans="15:15" x14ac:dyDescent="0.3">
      <c r="O898" s="70"/>
    </row>
    <row r="899" spans="15:15" x14ac:dyDescent="0.3">
      <c r="O899" s="70"/>
    </row>
    <row r="900" spans="15:15" x14ac:dyDescent="0.3">
      <c r="O900" s="70"/>
    </row>
    <row r="901" spans="15:15" x14ac:dyDescent="0.3">
      <c r="O901" s="70"/>
    </row>
    <row r="902" spans="15:15" x14ac:dyDescent="0.3">
      <c r="O902" s="70"/>
    </row>
    <row r="903" spans="15:15" x14ac:dyDescent="0.3">
      <c r="O903" s="70"/>
    </row>
    <row r="904" spans="15:15" x14ac:dyDescent="0.3">
      <c r="O904" s="70"/>
    </row>
    <row r="905" spans="15:15" x14ac:dyDescent="0.3">
      <c r="O905" s="70"/>
    </row>
    <row r="906" spans="15:15" x14ac:dyDescent="0.3">
      <c r="O906" s="70"/>
    </row>
    <row r="907" spans="15:15" x14ac:dyDescent="0.3">
      <c r="O907" s="70"/>
    </row>
    <row r="908" spans="15:15" x14ac:dyDescent="0.3">
      <c r="O908" s="70"/>
    </row>
    <row r="909" spans="15:15" x14ac:dyDescent="0.3">
      <c r="O909" s="70"/>
    </row>
    <row r="910" spans="15:15" x14ac:dyDescent="0.3">
      <c r="O910" s="70"/>
    </row>
    <row r="911" spans="15:15" x14ac:dyDescent="0.3">
      <c r="O911" s="70"/>
    </row>
    <row r="912" spans="15:15" x14ac:dyDescent="0.3">
      <c r="O912" s="70"/>
    </row>
    <row r="913" spans="15:15" x14ac:dyDescent="0.3">
      <c r="O913" s="70"/>
    </row>
    <row r="914" spans="15:15" x14ac:dyDescent="0.3">
      <c r="O914" s="70"/>
    </row>
    <row r="915" spans="15:15" x14ac:dyDescent="0.3">
      <c r="O915" s="70"/>
    </row>
    <row r="916" spans="15:15" x14ac:dyDescent="0.3">
      <c r="O916" s="70"/>
    </row>
    <row r="917" spans="15:15" x14ac:dyDescent="0.3">
      <c r="O917" s="70"/>
    </row>
    <row r="918" spans="15:15" x14ac:dyDescent="0.3">
      <c r="O918" s="70"/>
    </row>
    <row r="919" spans="15:15" x14ac:dyDescent="0.3">
      <c r="O919" s="70"/>
    </row>
    <row r="920" spans="15:15" x14ac:dyDescent="0.3">
      <c r="O920" s="70"/>
    </row>
    <row r="921" spans="15:15" x14ac:dyDescent="0.3">
      <c r="O921" s="70"/>
    </row>
    <row r="922" spans="15:15" x14ac:dyDescent="0.3">
      <c r="O922" s="70"/>
    </row>
    <row r="923" spans="15:15" x14ac:dyDescent="0.3">
      <c r="O923" s="70"/>
    </row>
    <row r="924" spans="15:15" x14ac:dyDescent="0.3">
      <c r="O924" s="70"/>
    </row>
    <row r="925" spans="15:15" x14ac:dyDescent="0.3">
      <c r="O925" s="70"/>
    </row>
    <row r="926" spans="15:15" x14ac:dyDescent="0.3">
      <c r="O926" s="70"/>
    </row>
    <row r="927" spans="15:15" x14ac:dyDescent="0.3">
      <c r="O927" s="70"/>
    </row>
    <row r="928" spans="15:15" x14ac:dyDescent="0.3">
      <c r="O928" s="70"/>
    </row>
    <row r="929" spans="15:15" x14ac:dyDescent="0.3">
      <c r="O929" s="70"/>
    </row>
    <row r="930" spans="15:15" x14ac:dyDescent="0.3">
      <c r="O930" s="70"/>
    </row>
    <row r="931" spans="15:15" x14ac:dyDescent="0.3">
      <c r="O931" s="70"/>
    </row>
    <row r="932" spans="15:15" x14ac:dyDescent="0.3">
      <c r="O932" s="70"/>
    </row>
    <row r="933" spans="15:15" x14ac:dyDescent="0.3">
      <c r="O933" s="70"/>
    </row>
    <row r="934" spans="15:15" x14ac:dyDescent="0.3">
      <c r="O934" s="70"/>
    </row>
    <row r="935" spans="15:15" x14ac:dyDescent="0.3">
      <c r="O935" s="70"/>
    </row>
    <row r="936" spans="15:15" x14ac:dyDescent="0.3">
      <c r="O936" s="70"/>
    </row>
    <row r="937" spans="15:15" x14ac:dyDescent="0.3">
      <c r="O937" s="70"/>
    </row>
    <row r="938" spans="15:15" x14ac:dyDescent="0.3">
      <c r="O938" s="70"/>
    </row>
    <row r="939" spans="15:15" x14ac:dyDescent="0.3">
      <c r="O939" s="70"/>
    </row>
    <row r="940" spans="15:15" x14ac:dyDescent="0.3">
      <c r="O940" s="70"/>
    </row>
    <row r="941" spans="15:15" x14ac:dyDescent="0.3">
      <c r="O941" s="70"/>
    </row>
    <row r="942" spans="15:15" x14ac:dyDescent="0.3">
      <c r="O942" s="70"/>
    </row>
    <row r="943" spans="15:15" x14ac:dyDescent="0.3">
      <c r="O943" s="70"/>
    </row>
    <row r="944" spans="15:15" x14ac:dyDescent="0.3">
      <c r="O944" s="70"/>
    </row>
    <row r="945" spans="15:15" x14ac:dyDescent="0.3">
      <c r="O945" s="70"/>
    </row>
    <row r="946" spans="15:15" x14ac:dyDescent="0.3">
      <c r="O946" s="70"/>
    </row>
    <row r="947" spans="15:15" x14ac:dyDescent="0.3">
      <c r="O947" s="70"/>
    </row>
    <row r="948" spans="15:15" x14ac:dyDescent="0.3">
      <c r="O948" s="70"/>
    </row>
    <row r="949" spans="15:15" x14ac:dyDescent="0.3">
      <c r="O949" s="70"/>
    </row>
    <row r="950" spans="15:15" x14ac:dyDescent="0.3">
      <c r="O950" s="70"/>
    </row>
    <row r="951" spans="15:15" x14ac:dyDescent="0.3">
      <c r="O951" s="70"/>
    </row>
    <row r="952" spans="15:15" x14ac:dyDescent="0.3">
      <c r="O952" s="70"/>
    </row>
    <row r="953" spans="15:15" x14ac:dyDescent="0.3">
      <c r="O953" s="70"/>
    </row>
    <row r="954" spans="15:15" x14ac:dyDescent="0.3">
      <c r="O954" s="70"/>
    </row>
    <row r="955" spans="15:15" x14ac:dyDescent="0.3">
      <c r="O955" s="70"/>
    </row>
    <row r="956" spans="15:15" x14ac:dyDescent="0.3">
      <c r="O956" s="70"/>
    </row>
    <row r="957" spans="15:15" x14ac:dyDescent="0.3">
      <c r="O957" s="70"/>
    </row>
    <row r="958" spans="15:15" x14ac:dyDescent="0.3">
      <c r="O958" s="70"/>
    </row>
    <row r="959" spans="15:15" x14ac:dyDescent="0.3">
      <c r="O959" s="70"/>
    </row>
    <row r="960" spans="15:15" x14ac:dyDescent="0.3">
      <c r="O960" s="70"/>
    </row>
    <row r="961" spans="15:15" x14ac:dyDescent="0.3">
      <c r="O961" s="70"/>
    </row>
    <row r="962" spans="15:15" x14ac:dyDescent="0.3">
      <c r="O962" s="70"/>
    </row>
    <row r="963" spans="15:15" x14ac:dyDescent="0.3">
      <c r="O963" s="70"/>
    </row>
    <row r="964" spans="15:15" x14ac:dyDescent="0.3">
      <c r="O964" s="70"/>
    </row>
    <row r="965" spans="15:15" x14ac:dyDescent="0.3">
      <c r="O965" s="70"/>
    </row>
    <row r="966" spans="15:15" x14ac:dyDescent="0.3">
      <c r="O966" s="70"/>
    </row>
    <row r="967" spans="15:15" x14ac:dyDescent="0.3">
      <c r="O967" s="70"/>
    </row>
    <row r="968" spans="15:15" x14ac:dyDescent="0.3">
      <c r="O968" s="70"/>
    </row>
    <row r="969" spans="15:15" x14ac:dyDescent="0.3">
      <c r="O969" s="70"/>
    </row>
    <row r="970" spans="15:15" x14ac:dyDescent="0.3">
      <c r="O970" s="70"/>
    </row>
    <row r="971" spans="15:15" x14ac:dyDescent="0.3">
      <c r="O971" s="70"/>
    </row>
    <row r="972" spans="15:15" x14ac:dyDescent="0.3">
      <c r="O972" s="70"/>
    </row>
    <row r="973" spans="15:15" x14ac:dyDescent="0.3">
      <c r="O973" s="70"/>
    </row>
    <row r="974" spans="15:15" x14ac:dyDescent="0.3">
      <c r="O974" s="70"/>
    </row>
    <row r="975" spans="15:15" x14ac:dyDescent="0.3">
      <c r="O975" s="70"/>
    </row>
    <row r="976" spans="15:15" x14ac:dyDescent="0.3">
      <c r="O976" s="70"/>
    </row>
    <row r="977" spans="15:15" x14ac:dyDescent="0.3">
      <c r="O977" s="70"/>
    </row>
    <row r="978" spans="15:15" x14ac:dyDescent="0.3">
      <c r="O978" s="70"/>
    </row>
    <row r="979" spans="15:15" x14ac:dyDescent="0.3">
      <c r="O979" s="70"/>
    </row>
    <row r="980" spans="15:15" x14ac:dyDescent="0.3">
      <c r="O980" s="70"/>
    </row>
    <row r="981" spans="15:15" x14ac:dyDescent="0.3">
      <c r="O981" s="70"/>
    </row>
    <row r="982" spans="15:15" x14ac:dyDescent="0.3">
      <c r="O982" s="70"/>
    </row>
    <row r="983" spans="15:15" x14ac:dyDescent="0.3">
      <c r="O983" s="70"/>
    </row>
    <row r="984" spans="15:15" x14ac:dyDescent="0.3">
      <c r="O984" s="70"/>
    </row>
    <row r="985" spans="15:15" x14ac:dyDescent="0.3">
      <c r="O985" s="70"/>
    </row>
    <row r="986" spans="15:15" x14ac:dyDescent="0.3">
      <c r="O986" s="70"/>
    </row>
    <row r="987" spans="15:15" x14ac:dyDescent="0.3">
      <c r="O987" s="70"/>
    </row>
    <row r="988" spans="15:15" x14ac:dyDescent="0.3">
      <c r="O988" s="70"/>
    </row>
    <row r="989" spans="15:15" x14ac:dyDescent="0.3">
      <c r="O989" s="70"/>
    </row>
    <row r="990" spans="15:15" x14ac:dyDescent="0.3">
      <c r="O990" s="70"/>
    </row>
    <row r="991" spans="15:15" x14ac:dyDescent="0.3">
      <c r="O991" s="70"/>
    </row>
    <row r="992" spans="15:15" x14ac:dyDescent="0.3">
      <c r="O992" s="70"/>
    </row>
    <row r="993" spans="15:15" x14ac:dyDescent="0.3">
      <c r="O993" s="70"/>
    </row>
    <row r="994" spans="15:15" x14ac:dyDescent="0.3">
      <c r="O994" s="70"/>
    </row>
    <row r="995" spans="15:15" x14ac:dyDescent="0.3">
      <c r="O995" s="70"/>
    </row>
    <row r="996" spans="15:15" x14ac:dyDescent="0.3">
      <c r="O996" s="70"/>
    </row>
    <row r="997" spans="15:15" x14ac:dyDescent="0.3">
      <c r="O997" s="70"/>
    </row>
    <row r="998" spans="15:15" x14ac:dyDescent="0.3">
      <c r="O998" s="70"/>
    </row>
    <row r="999" spans="15:15" x14ac:dyDescent="0.3">
      <c r="O999" s="70"/>
    </row>
    <row r="1000" spans="15:15" x14ac:dyDescent="0.3">
      <c r="O1000" s="70"/>
    </row>
    <row r="1001" spans="15:15" x14ac:dyDescent="0.3">
      <c r="O1001" s="70"/>
    </row>
    <row r="1002" spans="15:15" x14ac:dyDescent="0.3">
      <c r="O1002" s="70"/>
    </row>
    <row r="1003" spans="15:15" x14ac:dyDescent="0.3">
      <c r="O1003" s="70"/>
    </row>
    <row r="1004" spans="15:15" x14ac:dyDescent="0.3">
      <c r="O1004" s="70"/>
    </row>
    <row r="1005" spans="15:15" x14ac:dyDescent="0.3">
      <c r="O1005" s="70"/>
    </row>
    <row r="1006" spans="15:15" x14ac:dyDescent="0.3">
      <c r="O1006" s="70"/>
    </row>
    <row r="1007" spans="15:15" x14ac:dyDescent="0.3">
      <c r="O1007" s="70"/>
    </row>
    <row r="1008" spans="15:15" x14ac:dyDescent="0.3">
      <c r="O1008" s="70"/>
    </row>
    <row r="1009" spans="15:15" x14ac:dyDescent="0.3">
      <c r="O1009" s="70"/>
    </row>
    <row r="1010" spans="15:15" x14ac:dyDescent="0.3">
      <c r="O1010" s="70"/>
    </row>
    <row r="1011" spans="15:15" x14ac:dyDescent="0.3">
      <c r="O1011" s="70"/>
    </row>
    <row r="1012" spans="15:15" x14ac:dyDescent="0.3">
      <c r="O1012" s="70"/>
    </row>
    <row r="1013" spans="15:15" x14ac:dyDescent="0.3">
      <c r="O1013" s="70"/>
    </row>
    <row r="1014" spans="15:15" x14ac:dyDescent="0.3">
      <c r="O1014" s="70"/>
    </row>
    <row r="1015" spans="15:15" x14ac:dyDescent="0.3">
      <c r="O1015" s="70"/>
    </row>
    <row r="1016" spans="15:15" x14ac:dyDescent="0.3">
      <c r="O1016" s="70"/>
    </row>
    <row r="1017" spans="15:15" x14ac:dyDescent="0.3">
      <c r="O1017" s="70"/>
    </row>
    <row r="1018" spans="15:15" x14ac:dyDescent="0.3">
      <c r="O1018" s="70"/>
    </row>
    <row r="1019" spans="15:15" x14ac:dyDescent="0.3">
      <c r="O1019" s="70"/>
    </row>
    <row r="1020" spans="15:15" x14ac:dyDescent="0.3">
      <c r="O1020" s="70"/>
    </row>
    <row r="1021" spans="15:15" x14ac:dyDescent="0.3">
      <c r="O1021" s="70"/>
    </row>
    <row r="1022" spans="15:15" x14ac:dyDescent="0.3">
      <c r="O1022" s="70"/>
    </row>
    <row r="1023" spans="15:15" x14ac:dyDescent="0.3">
      <c r="O1023" s="70"/>
    </row>
    <row r="1024" spans="15:15" x14ac:dyDescent="0.3">
      <c r="O1024" s="70"/>
    </row>
    <row r="1025" spans="15:15" x14ac:dyDescent="0.3">
      <c r="O1025" s="70"/>
    </row>
    <row r="1026" spans="15:15" x14ac:dyDescent="0.3">
      <c r="O1026" s="70"/>
    </row>
    <row r="1027" spans="15:15" x14ac:dyDescent="0.3">
      <c r="O1027" s="70"/>
    </row>
    <row r="1028" spans="15:15" x14ac:dyDescent="0.3">
      <c r="O1028" s="70"/>
    </row>
    <row r="1029" spans="15:15" x14ac:dyDescent="0.3">
      <c r="O1029" s="70"/>
    </row>
    <row r="1030" spans="15:15" x14ac:dyDescent="0.3">
      <c r="O1030" s="70"/>
    </row>
    <row r="1031" spans="15:15" x14ac:dyDescent="0.3">
      <c r="O1031" s="70"/>
    </row>
    <row r="1032" spans="15:15" x14ac:dyDescent="0.3">
      <c r="O1032" s="70"/>
    </row>
    <row r="1033" spans="15:15" x14ac:dyDescent="0.3">
      <c r="O1033" s="70"/>
    </row>
    <row r="1034" spans="15:15" x14ac:dyDescent="0.3">
      <c r="O1034" s="70"/>
    </row>
    <row r="1035" spans="15:15" x14ac:dyDescent="0.3">
      <c r="O1035" s="70"/>
    </row>
    <row r="1036" spans="15:15" x14ac:dyDescent="0.3">
      <c r="O1036" s="70"/>
    </row>
    <row r="1037" spans="15:15" x14ac:dyDescent="0.3">
      <c r="O1037" s="70"/>
    </row>
    <row r="1038" spans="15:15" x14ac:dyDescent="0.3">
      <c r="O1038" s="70"/>
    </row>
    <row r="1039" spans="15:15" x14ac:dyDescent="0.3">
      <c r="O1039" s="70"/>
    </row>
    <row r="1040" spans="15:15" x14ac:dyDescent="0.3">
      <c r="O1040" s="70"/>
    </row>
    <row r="1041" spans="15:15" x14ac:dyDescent="0.3">
      <c r="O1041" s="70"/>
    </row>
    <row r="1042" spans="15:15" x14ac:dyDescent="0.3">
      <c r="O1042" s="70"/>
    </row>
    <row r="1043" spans="15:15" x14ac:dyDescent="0.3">
      <c r="O1043" s="70"/>
    </row>
    <row r="1044" spans="15:15" x14ac:dyDescent="0.3">
      <c r="O1044" s="70"/>
    </row>
    <row r="1045" spans="15:15" x14ac:dyDescent="0.3">
      <c r="O1045" s="70"/>
    </row>
    <row r="1046" spans="15:15" x14ac:dyDescent="0.3">
      <c r="O1046" s="70"/>
    </row>
    <row r="1047" spans="15:15" x14ac:dyDescent="0.3">
      <c r="O1047" s="70"/>
    </row>
    <row r="1048" spans="15:15" x14ac:dyDescent="0.3">
      <c r="O1048" s="70"/>
    </row>
    <row r="1049" spans="15:15" x14ac:dyDescent="0.3">
      <c r="O1049" s="70"/>
    </row>
    <row r="1050" spans="15:15" x14ac:dyDescent="0.3">
      <c r="O1050" s="70"/>
    </row>
    <row r="1051" spans="15:15" x14ac:dyDescent="0.3">
      <c r="O1051" s="70"/>
    </row>
    <row r="1052" spans="15:15" x14ac:dyDescent="0.3">
      <c r="O1052" s="70"/>
    </row>
    <row r="1053" spans="15:15" x14ac:dyDescent="0.3">
      <c r="O1053" s="70"/>
    </row>
    <row r="1054" spans="15:15" x14ac:dyDescent="0.3">
      <c r="O1054" s="70"/>
    </row>
    <row r="1055" spans="15:15" x14ac:dyDescent="0.3">
      <c r="O1055" s="70"/>
    </row>
    <row r="1056" spans="15:15" x14ac:dyDescent="0.3">
      <c r="O1056" s="70"/>
    </row>
    <row r="1057" spans="15:15" x14ac:dyDescent="0.3">
      <c r="O1057" s="70"/>
    </row>
    <row r="1058" spans="15:15" x14ac:dyDescent="0.3">
      <c r="O1058" s="70"/>
    </row>
    <row r="1059" spans="15:15" x14ac:dyDescent="0.3">
      <c r="O1059" s="70"/>
    </row>
    <row r="1060" spans="15:15" x14ac:dyDescent="0.3">
      <c r="O1060" s="70"/>
    </row>
    <row r="1061" spans="15:15" x14ac:dyDescent="0.3">
      <c r="O1061" s="70"/>
    </row>
    <row r="1062" spans="15:15" x14ac:dyDescent="0.3">
      <c r="O1062" s="70"/>
    </row>
    <row r="1063" spans="15:15" x14ac:dyDescent="0.3">
      <c r="O1063" s="70"/>
    </row>
    <row r="1064" spans="15:15" x14ac:dyDescent="0.3">
      <c r="O1064" s="70"/>
    </row>
    <row r="1065" spans="15:15" x14ac:dyDescent="0.3">
      <c r="O1065" s="70"/>
    </row>
    <row r="1066" spans="15:15" x14ac:dyDescent="0.3">
      <c r="O1066" s="70"/>
    </row>
    <row r="1067" spans="15:15" x14ac:dyDescent="0.3">
      <c r="O1067" s="70"/>
    </row>
    <row r="1068" spans="15:15" x14ac:dyDescent="0.3">
      <c r="O1068" s="70"/>
    </row>
    <row r="1069" spans="15:15" x14ac:dyDescent="0.3">
      <c r="O1069" s="70"/>
    </row>
    <row r="1070" spans="15:15" x14ac:dyDescent="0.3">
      <c r="O1070" s="70"/>
    </row>
    <row r="1071" spans="15:15" x14ac:dyDescent="0.3">
      <c r="O1071" s="70"/>
    </row>
    <row r="1072" spans="15:15" x14ac:dyDescent="0.3">
      <c r="O1072" s="70"/>
    </row>
    <row r="1073" spans="15:15" x14ac:dyDescent="0.3">
      <c r="O1073" s="70"/>
    </row>
    <row r="1074" spans="15:15" x14ac:dyDescent="0.3">
      <c r="O1074" s="70"/>
    </row>
    <row r="1075" spans="15:15" x14ac:dyDescent="0.3">
      <c r="O1075" s="70"/>
    </row>
    <row r="1076" spans="15:15" x14ac:dyDescent="0.3">
      <c r="O1076" s="70"/>
    </row>
    <row r="1077" spans="15:15" x14ac:dyDescent="0.3">
      <c r="O1077" s="70"/>
    </row>
    <row r="1078" spans="15:15" x14ac:dyDescent="0.3">
      <c r="O1078" s="70"/>
    </row>
    <row r="1079" spans="15:15" x14ac:dyDescent="0.3">
      <c r="O1079" s="70"/>
    </row>
    <row r="1080" spans="15:15" x14ac:dyDescent="0.3">
      <c r="O1080" s="70"/>
    </row>
    <row r="1081" spans="15:15" x14ac:dyDescent="0.3">
      <c r="O1081" s="70"/>
    </row>
    <row r="1082" spans="15:15" x14ac:dyDescent="0.3">
      <c r="O1082" s="70"/>
    </row>
    <row r="1083" spans="15:15" x14ac:dyDescent="0.3">
      <c r="O1083" s="70"/>
    </row>
    <row r="1084" spans="15:15" x14ac:dyDescent="0.3">
      <c r="O1084" s="70"/>
    </row>
    <row r="1085" spans="15:15" x14ac:dyDescent="0.3">
      <c r="O1085" s="70"/>
    </row>
    <row r="1086" spans="15:15" x14ac:dyDescent="0.3">
      <c r="O1086" s="70"/>
    </row>
    <row r="1087" spans="15:15" x14ac:dyDescent="0.3">
      <c r="O1087" s="70"/>
    </row>
    <row r="1088" spans="15:15" x14ac:dyDescent="0.3">
      <c r="O1088" s="70"/>
    </row>
    <row r="1089" spans="15:15" x14ac:dyDescent="0.3">
      <c r="O1089" s="70"/>
    </row>
    <row r="1090" spans="15:15" x14ac:dyDescent="0.3">
      <c r="O1090" s="70"/>
    </row>
    <row r="1091" spans="15:15" x14ac:dyDescent="0.3">
      <c r="O1091" s="70"/>
    </row>
    <row r="1092" spans="15:15" x14ac:dyDescent="0.3">
      <c r="O1092" s="70"/>
    </row>
    <row r="1093" spans="15:15" x14ac:dyDescent="0.3">
      <c r="O1093" s="70"/>
    </row>
    <row r="1094" spans="15:15" x14ac:dyDescent="0.3">
      <c r="O1094" s="70"/>
    </row>
    <row r="1095" spans="15:15" x14ac:dyDescent="0.3">
      <c r="O1095" s="70"/>
    </row>
    <row r="1096" spans="15:15" x14ac:dyDescent="0.3">
      <c r="O1096" s="70"/>
    </row>
    <row r="1097" spans="15:15" x14ac:dyDescent="0.3">
      <c r="O1097" s="70"/>
    </row>
    <row r="1098" spans="15:15" x14ac:dyDescent="0.3">
      <c r="O1098" s="70"/>
    </row>
    <row r="1099" spans="15:15" x14ac:dyDescent="0.3">
      <c r="O1099" s="70"/>
    </row>
    <row r="1100" spans="15:15" x14ac:dyDescent="0.3">
      <c r="O1100" s="70"/>
    </row>
    <row r="1101" spans="15:15" x14ac:dyDescent="0.3">
      <c r="O1101" s="70"/>
    </row>
    <row r="1102" spans="15:15" x14ac:dyDescent="0.3">
      <c r="O1102" s="70"/>
    </row>
    <row r="1103" spans="15:15" x14ac:dyDescent="0.3">
      <c r="O1103" s="70"/>
    </row>
    <row r="1104" spans="15:15" x14ac:dyDescent="0.3">
      <c r="O1104" s="70"/>
    </row>
    <row r="1105" spans="15:15" x14ac:dyDescent="0.3">
      <c r="O1105" s="70"/>
    </row>
    <row r="1106" spans="15:15" x14ac:dyDescent="0.3">
      <c r="O1106" s="70"/>
    </row>
    <row r="1107" spans="15:15" x14ac:dyDescent="0.3">
      <c r="O1107" s="70"/>
    </row>
    <row r="1108" spans="15:15" x14ac:dyDescent="0.3">
      <c r="O1108" s="70"/>
    </row>
    <row r="1109" spans="15:15" x14ac:dyDescent="0.3">
      <c r="O1109" s="70"/>
    </row>
    <row r="1110" spans="15:15" x14ac:dyDescent="0.3">
      <c r="O1110" s="70"/>
    </row>
    <row r="1111" spans="15:15" x14ac:dyDescent="0.3">
      <c r="O1111" s="70"/>
    </row>
    <row r="1112" spans="15:15" x14ac:dyDescent="0.3">
      <c r="O1112" s="70"/>
    </row>
    <row r="1113" spans="15:15" x14ac:dyDescent="0.3">
      <c r="O1113" s="70"/>
    </row>
    <row r="1114" spans="15:15" x14ac:dyDescent="0.3">
      <c r="O1114" s="70"/>
    </row>
    <row r="1115" spans="15:15" x14ac:dyDescent="0.3">
      <c r="O1115" s="70"/>
    </row>
    <row r="1116" spans="15:15" x14ac:dyDescent="0.3">
      <c r="O1116" s="70"/>
    </row>
    <row r="1117" spans="15:15" x14ac:dyDescent="0.3">
      <c r="O1117" s="70"/>
    </row>
    <row r="1118" spans="15:15" x14ac:dyDescent="0.3">
      <c r="O1118" s="70"/>
    </row>
    <row r="1119" spans="15:15" x14ac:dyDescent="0.3">
      <c r="O1119" s="70"/>
    </row>
    <row r="1120" spans="15:15" x14ac:dyDescent="0.3">
      <c r="O1120" s="70"/>
    </row>
    <row r="1121" spans="15:15" x14ac:dyDescent="0.3">
      <c r="O1121" s="70"/>
    </row>
    <row r="1122" spans="15:15" x14ac:dyDescent="0.3">
      <c r="O1122" s="70"/>
    </row>
    <row r="1123" spans="15:15" x14ac:dyDescent="0.3">
      <c r="O1123" s="70"/>
    </row>
    <row r="1124" spans="15:15" x14ac:dyDescent="0.3">
      <c r="O1124" s="70"/>
    </row>
    <row r="1125" spans="15:15" x14ac:dyDescent="0.3">
      <c r="O1125" s="70"/>
    </row>
    <row r="1126" spans="15:15" x14ac:dyDescent="0.3">
      <c r="O1126" s="70"/>
    </row>
    <row r="1127" spans="15:15" x14ac:dyDescent="0.3">
      <c r="O1127" s="70"/>
    </row>
    <row r="1128" spans="15:15" x14ac:dyDescent="0.3">
      <c r="O1128" s="70"/>
    </row>
    <row r="1129" spans="15:15" x14ac:dyDescent="0.3">
      <c r="O1129" s="70"/>
    </row>
    <row r="1130" spans="15:15" x14ac:dyDescent="0.3">
      <c r="O1130" s="70"/>
    </row>
    <row r="1131" spans="15:15" x14ac:dyDescent="0.3">
      <c r="O1131" s="70"/>
    </row>
    <row r="1132" spans="15:15" x14ac:dyDescent="0.3">
      <c r="O1132" s="70"/>
    </row>
    <row r="1133" spans="15:15" x14ac:dyDescent="0.3">
      <c r="O1133" s="70"/>
    </row>
    <row r="1134" spans="15:15" x14ac:dyDescent="0.3">
      <c r="O1134" s="70"/>
    </row>
    <row r="1135" spans="15:15" x14ac:dyDescent="0.3">
      <c r="O1135" s="70"/>
    </row>
    <row r="1136" spans="15:15" x14ac:dyDescent="0.3">
      <c r="O1136" s="70"/>
    </row>
    <row r="1137" spans="15:15" x14ac:dyDescent="0.3">
      <c r="O1137" s="70"/>
    </row>
    <row r="1138" spans="15:15" x14ac:dyDescent="0.3">
      <c r="O1138" s="70"/>
    </row>
    <row r="1139" spans="15:15" x14ac:dyDescent="0.3">
      <c r="O1139" s="70"/>
    </row>
    <row r="1140" spans="15:15" x14ac:dyDescent="0.3">
      <c r="O1140" s="70"/>
    </row>
    <row r="1141" spans="15:15" x14ac:dyDescent="0.3">
      <c r="O1141" s="70"/>
    </row>
    <row r="1142" spans="15:15" x14ac:dyDescent="0.3">
      <c r="O1142" s="70"/>
    </row>
    <row r="1143" spans="15:15" x14ac:dyDescent="0.3">
      <c r="O1143" s="70"/>
    </row>
    <row r="1144" spans="15:15" x14ac:dyDescent="0.3">
      <c r="O1144" s="70"/>
    </row>
    <row r="1145" spans="15:15" x14ac:dyDescent="0.3">
      <c r="O1145" s="70"/>
    </row>
    <row r="1146" spans="15:15" x14ac:dyDescent="0.3">
      <c r="O1146" s="70"/>
    </row>
    <row r="1147" spans="15:15" x14ac:dyDescent="0.3">
      <c r="O1147" s="70"/>
    </row>
    <row r="1148" spans="15:15" x14ac:dyDescent="0.3">
      <c r="O1148" s="70"/>
    </row>
    <row r="1149" spans="15:15" x14ac:dyDescent="0.3">
      <c r="O1149" s="70"/>
    </row>
    <row r="1150" spans="15:15" x14ac:dyDescent="0.3">
      <c r="O1150" s="70"/>
    </row>
    <row r="1151" spans="15:15" x14ac:dyDescent="0.3">
      <c r="O1151" s="70"/>
    </row>
    <row r="1152" spans="15:15" x14ac:dyDescent="0.3">
      <c r="O1152" s="70"/>
    </row>
    <row r="1153" spans="15:15" x14ac:dyDescent="0.3">
      <c r="O1153" s="70"/>
    </row>
    <row r="1154" spans="15:15" x14ac:dyDescent="0.3">
      <c r="O1154" s="70"/>
    </row>
    <row r="1155" spans="15:15" x14ac:dyDescent="0.3">
      <c r="O1155" s="70"/>
    </row>
    <row r="1156" spans="15:15" x14ac:dyDescent="0.3">
      <c r="O1156" s="70"/>
    </row>
    <row r="1157" spans="15:15" x14ac:dyDescent="0.3">
      <c r="O1157" s="70"/>
    </row>
    <row r="1158" spans="15:15" x14ac:dyDescent="0.3">
      <c r="O1158" s="70"/>
    </row>
    <row r="1159" spans="15:15" x14ac:dyDescent="0.3">
      <c r="O1159" s="70"/>
    </row>
    <row r="1160" spans="15:15" x14ac:dyDescent="0.3">
      <c r="O1160" s="70"/>
    </row>
    <row r="1161" spans="15:15" x14ac:dyDescent="0.3">
      <c r="O1161" s="70"/>
    </row>
    <row r="1162" spans="15:15" x14ac:dyDescent="0.3">
      <c r="O1162" s="70"/>
    </row>
    <row r="1163" spans="15:15" x14ac:dyDescent="0.3">
      <c r="O1163" s="70"/>
    </row>
    <row r="1164" spans="15:15" x14ac:dyDescent="0.3">
      <c r="O1164" s="70"/>
    </row>
    <row r="1165" spans="15:15" x14ac:dyDescent="0.3">
      <c r="O1165" s="70"/>
    </row>
    <row r="1166" spans="15:15" x14ac:dyDescent="0.3">
      <c r="O1166" s="70"/>
    </row>
    <row r="1167" spans="15:15" x14ac:dyDescent="0.3">
      <c r="O1167" s="70"/>
    </row>
    <row r="1168" spans="15:15" x14ac:dyDescent="0.3">
      <c r="O1168" s="70"/>
    </row>
    <row r="1169" spans="15:15" x14ac:dyDescent="0.3">
      <c r="O1169" s="70"/>
    </row>
    <row r="1170" spans="15:15" x14ac:dyDescent="0.3">
      <c r="O1170" s="70"/>
    </row>
    <row r="1171" spans="15:15" x14ac:dyDescent="0.3">
      <c r="O1171" s="70"/>
    </row>
    <row r="1172" spans="15:15" x14ac:dyDescent="0.3">
      <c r="O1172" s="70"/>
    </row>
    <row r="1173" spans="15:15" x14ac:dyDescent="0.3">
      <c r="O1173" s="70"/>
    </row>
    <row r="1174" spans="15:15" x14ac:dyDescent="0.3">
      <c r="O1174" s="70"/>
    </row>
    <row r="1175" spans="15:15" x14ac:dyDescent="0.3">
      <c r="O1175" s="70"/>
    </row>
    <row r="1176" spans="15:15" x14ac:dyDescent="0.3">
      <c r="O1176" s="70"/>
    </row>
    <row r="1177" spans="15:15" x14ac:dyDescent="0.3">
      <c r="O1177" s="70"/>
    </row>
    <row r="1178" spans="15:15" x14ac:dyDescent="0.3">
      <c r="O1178" s="70"/>
    </row>
    <row r="1179" spans="15:15" x14ac:dyDescent="0.3">
      <c r="O1179" s="70"/>
    </row>
    <row r="1180" spans="15:15" x14ac:dyDescent="0.3">
      <c r="O1180" s="70"/>
    </row>
    <row r="1181" spans="15:15" x14ac:dyDescent="0.3">
      <c r="O1181" s="70"/>
    </row>
    <row r="1182" spans="15:15" x14ac:dyDescent="0.3">
      <c r="O1182" s="70"/>
    </row>
    <row r="1183" spans="15:15" x14ac:dyDescent="0.3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34 AQ8:AQ225 M35:AD35 AF35:AP35 M36:AP45 M46:AO92 AP46:AP132 M93:AG93 AI93:AO93 M94:AO118 M119:U119 W119:AO119 M120:AO131 AC132:AO132 M132:AB144 AC133:AP144 M145:AP225 Z226:Z227 M228:AP314 AQ228:AQ389 M315:U315 W315:AP315 M316:AP332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2:16382" ht="18" x14ac:dyDescent="0.35">
      <c r="C1" s="28" t="s">
        <v>1302</v>
      </c>
      <c r="D1" s="29">
        <f>COUNTIFS(A5:A602,"=paradas seguras")/2</f>
        <v>0</v>
      </c>
      <c r="E1" s="77" t="s">
        <v>1303</v>
      </c>
      <c r="F1" s="77"/>
      <c r="G1" s="77"/>
      <c r="H1" s="78">
        <f>COUNTIFS(A5:A602,"=paradas seguras")</f>
        <v>0</v>
      </c>
      <c r="I1" s="79" t="s">
        <v>1304</v>
      </c>
      <c r="J1" s="79"/>
      <c r="K1" s="80">
        <f>COUNTIFS(D5:D602,"=GFIJA")</f>
        <v>0</v>
      </c>
      <c r="L1" s="81" t="s">
        <v>1305</v>
      </c>
      <c r="M1" s="81"/>
      <c r="N1" s="81"/>
      <c r="O1" s="82">
        <f>COUNTIFS(D5:D602,"=INTERCOMUNICADOR")</f>
        <v>0</v>
      </c>
    </row>
    <row r="2" spans="1:36 16382:16382" ht="21" x14ac:dyDescent="0.4">
      <c r="E2" s="16" t="s">
        <v>1307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6" thickBot="1" x14ac:dyDescent="0.45">
      <c r="E3" s="16" t="s">
        <v>1299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46023</v>
      </c>
      <c r="G4" s="11">
        <f>'RESUMEN TOTAL'!N7</f>
        <v>46024</v>
      </c>
      <c r="H4" s="11">
        <f>'RESUMEN TOTAL'!O7</f>
        <v>46025</v>
      </c>
      <c r="I4" s="11">
        <f>'RESUMEN TOTAL'!P7</f>
        <v>46026</v>
      </c>
      <c r="J4" s="11">
        <f>'RESUMEN TOTAL'!Q7</f>
        <v>46027</v>
      </c>
      <c r="K4" s="11">
        <f>'RESUMEN TOTAL'!R7</f>
        <v>46028</v>
      </c>
      <c r="L4" s="11">
        <f>'RESUMEN TOTAL'!S7</f>
        <v>46029</v>
      </c>
      <c r="M4" s="11">
        <f>'RESUMEN TOTAL'!T7</f>
        <v>46030</v>
      </c>
      <c r="N4" s="11">
        <f>'RESUMEN TOTAL'!U7</f>
        <v>46031</v>
      </c>
      <c r="O4" s="11">
        <f>'RESUMEN TOTAL'!V7</f>
        <v>46032</v>
      </c>
      <c r="P4" s="11">
        <f>'RESUMEN TOTAL'!W7</f>
        <v>46033</v>
      </c>
      <c r="Q4" s="11">
        <f>'RESUMEN TOTAL'!X7</f>
        <v>46034</v>
      </c>
      <c r="R4" s="11">
        <f>'RESUMEN TOTAL'!Y7</f>
        <v>46035</v>
      </c>
      <c r="S4" s="11">
        <f>'RESUMEN TOTAL'!Z7</f>
        <v>46036</v>
      </c>
      <c r="T4" s="11">
        <f>'RESUMEN TOTAL'!AA7</f>
        <v>46037</v>
      </c>
      <c r="U4" s="11">
        <f>'RESUMEN TOTAL'!AB7</f>
        <v>46038</v>
      </c>
      <c r="V4" s="11">
        <f>'RESUMEN TOTAL'!AC7</f>
        <v>46039</v>
      </c>
      <c r="W4" s="11">
        <f>'RESUMEN TOTAL'!AD7</f>
        <v>46040</v>
      </c>
      <c r="X4" s="11">
        <f>'RESUMEN TOTAL'!AE7</f>
        <v>46041</v>
      </c>
      <c r="Y4" s="11">
        <f>'RESUMEN TOTAL'!AF7</f>
        <v>46042</v>
      </c>
      <c r="Z4" s="11">
        <f>'RESUMEN TOTAL'!AG7</f>
        <v>46043</v>
      </c>
      <c r="AA4" s="11">
        <f>'RESUMEN TOTAL'!AH7</f>
        <v>46044</v>
      </c>
      <c r="AB4" s="11">
        <f>'RESUMEN TOTAL'!AI7</f>
        <v>46045</v>
      </c>
      <c r="AC4" s="11">
        <f>'RESUMEN TOTAL'!AJ7</f>
        <v>46046</v>
      </c>
      <c r="AD4" s="11">
        <f>'RESUMEN TOTAL'!AK7</f>
        <v>46047</v>
      </c>
      <c r="AE4" s="11">
        <f>'RESUMEN TOTAL'!AL7</f>
        <v>46048</v>
      </c>
      <c r="AF4" s="11">
        <f>'RESUMEN TOTAL'!AM7</f>
        <v>46049</v>
      </c>
      <c r="AG4" s="11">
        <f>'RESUMEN TOTAL'!AN7</f>
        <v>46050</v>
      </c>
      <c r="AH4" s="11">
        <f>'RESUMEN TOTAL'!AO7</f>
        <v>46051</v>
      </c>
      <c r="AI4" s="11">
        <f>'RESUMEN TOTAL'!AP7</f>
        <v>46052</v>
      </c>
      <c r="AJ4" s="11">
        <f>'RESUMEN TOTAL'!AQ7</f>
        <v>46053</v>
      </c>
      <c r="XFB4" s="15">
        <f>SUM(F4:XFA4)</f>
        <v>1427178</v>
      </c>
    </row>
    <row r="5" spans="1:36 16382:16382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 t="str">
        <f>'RESUMEN TOTAL'!S8</f>
        <v>APAGADO</v>
      </c>
      <c r="M5" s="70" t="str">
        <f>'RESUMEN TOTAL'!T8</f>
        <v>APAGADO</v>
      </c>
      <c r="N5" s="70" t="str">
        <f>'RESUMEN TOTAL'!U8</f>
        <v>APAGADO</v>
      </c>
      <c r="O5" s="70" t="str">
        <f>'RESUMEN TOTAL'!V8</f>
        <v>APAGADO</v>
      </c>
      <c r="P5" s="70">
        <f>'RESUMEN TOTAL'!W8</f>
        <v>0</v>
      </c>
      <c r="Q5" s="70" t="str">
        <f>'RESUMEN TOTAL'!X8</f>
        <v>APAGADO</v>
      </c>
      <c r="R5" s="70" t="str">
        <f>'RESUMEN TOTAL'!Y8</f>
        <v>APAGADO</v>
      </c>
      <c r="S5" s="70" t="str">
        <f>'RESUMEN TOTAL'!Z8</f>
        <v>APAGADO</v>
      </c>
      <c r="T5" s="70" t="str">
        <f>'RESUMEN TOTAL'!AA8</f>
        <v>APAGADO</v>
      </c>
      <c r="U5" s="70" t="str">
        <f>'RESUMEN TOTAL'!AB8</f>
        <v>APAGADO</v>
      </c>
      <c r="V5" s="70" t="str">
        <f>'RESUMEN TOTAL'!AC8</f>
        <v>APAGADO</v>
      </c>
      <c r="W5" s="70" t="str">
        <f>'RESUMEN TOTAL'!AD8</f>
        <v>APAGADO</v>
      </c>
      <c r="X5" s="70" t="str">
        <f>'RESUMEN TOTAL'!AE8</f>
        <v>APAGADO</v>
      </c>
      <c r="Y5" s="70" t="str">
        <f>'RESUMEN TOTAL'!AF8</f>
        <v>APAGADO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 t="str">
        <f>'RESUMEN TOTAL'!S9</f>
        <v>APAGADO</v>
      </c>
      <c r="M6" s="70" t="str">
        <f>'RESUMEN TOTAL'!T9</f>
        <v>APAGADO</v>
      </c>
      <c r="N6" s="70" t="str">
        <f>'RESUMEN TOTAL'!U9</f>
        <v>APAGADO</v>
      </c>
      <c r="O6" s="70" t="str">
        <f>'RESUMEN TOTAL'!V9</f>
        <v>APAGADO</v>
      </c>
      <c r="P6" s="70">
        <f>'RESUMEN TOTAL'!W9</f>
        <v>0</v>
      </c>
      <c r="Q6" s="70" t="str">
        <f>'RESUMEN TOTAL'!X9</f>
        <v>APAGADO</v>
      </c>
      <c r="R6" s="70" t="str">
        <f>'RESUMEN TOTAL'!Y9</f>
        <v>APAGADO</v>
      </c>
      <c r="S6" s="70" t="str">
        <f>'RESUMEN TOTAL'!Z9</f>
        <v>APAGADO</v>
      </c>
      <c r="T6" s="70" t="str">
        <f>'RESUMEN TOTAL'!AA9</f>
        <v>APAGADO</v>
      </c>
      <c r="U6" s="70" t="str">
        <f>'RESUMEN TOTAL'!AB9</f>
        <v>APAGADO</v>
      </c>
      <c r="V6" s="70" t="str">
        <f>'RESUMEN TOTAL'!AC9</f>
        <v>APAGADO</v>
      </c>
      <c r="W6" s="70" t="str">
        <f>'RESUMEN TOTAL'!AD9</f>
        <v>APAGADO</v>
      </c>
      <c r="X6" s="70" t="str">
        <f>'RESUMEN TOTAL'!AE9</f>
        <v>APAGADO</v>
      </c>
      <c r="Y6" s="70" t="str">
        <f>'RESUMEN TOTAL'!AF9</f>
        <v>APAGADO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 t="str">
        <f>'RESUMEN TOTAL'!S14</f>
        <v>APAGADO</v>
      </c>
      <c r="M11" s="70" t="str">
        <f>'RESUMEN TOTAL'!T14</f>
        <v>APAGADO</v>
      </c>
      <c r="N11" s="70" t="str">
        <f>'RESUMEN TOTAL'!U14</f>
        <v>APAGADO</v>
      </c>
      <c r="O11" s="70" t="str">
        <f>'RESUMEN TOTAL'!V14</f>
        <v>APAGADO</v>
      </c>
      <c r="P11" s="70">
        <f>'RESUMEN TOTAL'!W14</f>
        <v>0</v>
      </c>
      <c r="Q11" s="70" t="str">
        <f>'RESUMEN TOTAL'!X14</f>
        <v>APAGADO</v>
      </c>
      <c r="R11" s="70" t="str">
        <f>'RESUMEN TOTAL'!Y14</f>
        <v>APAGADO</v>
      </c>
      <c r="S11" s="70" t="str">
        <f>'RESUMEN TOTAL'!Z14</f>
        <v>APAGADO</v>
      </c>
      <c r="T11" s="70" t="str">
        <f>'RESUMEN TOTAL'!AA14</f>
        <v>APAGADO</v>
      </c>
      <c r="U11" s="70" t="str">
        <f>'RESUMEN TOTAL'!AB14</f>
        <v>APAGADO</v>
      </c>
      <c r="V11" s="70" t="str">
        <f>'RESUMEN TOTAL'!AC14</f>
        <v>APAGADO</v>
      </c>
      <c r="W11" s="70" t="str">
        <f>'RESUMEN TOTAL'!AD14</f>
        <v>APAGADO</v>
      </c>
      <c r="X11" s="70" t="str">
        <f>'RESUMEN TOTAL'!AE14</f>
        <v>APAGADO</v>
      </c>
      <c r="Y11" s="70" t="str">
        <f>'RESUMEN TOTAL'!AF14</f>
        <v>APAGADO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 t="str">
        <f>'RESUMEN TOTAL'!AA17</f>
        <v>APAGADO</v>
      </c>
      <c r="U14" s="70" t="str">
        <f>'RESUMEN TOTAL'!AB17</f>
        <v>APAGADO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3">
      <c r="A15" t="str">
        <f>'RESUMEN TOTAL'!A18</f>
        <v>ALTAMIRA</v>
      </c>
      <c r="B15" t="str">
        <f>'RESUMEN TOTAL'!B18</f>
        <v>ALT 11</v>
      </c>
      <c r="C15" s="68" t="s">
        <v>1528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>
        <f>'RESUMEN TOTAL'!W19</f>
        <v>0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3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3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 t="str">
        <f>'RESUMEN TOTAL'!AC23</f>
        <v>APAGADO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3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 t="str">
        <f>'RESUMEN TOTAL'!AC24</f>
        <v>APAGADO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3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 t="str">
        <f>'RESUMEN TOTAL'!AC25</f>
        <v>APAGADO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3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 t="str">
        <f>'RESUMEN TOTAL'!AC26</f>
        <v>APAGADO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3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 t="str">
        <f>'RESUMEN TOTAL'!AC27</f>
        <v>APAGADO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3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3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3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 t="str">
        <f>'RESUMEN TOTAL'!AC46</f>
        <v>APAGADO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3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 t="str">
        <f>'RESUMEN TOTAL'!AC47</f>
        <v>APAGADO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3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3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3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 t="str">
        <f>'RESUMEN TOTAL'!AC50</f>
        <v>APAGADO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3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3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 t="str">
        <f>'RESUMEN TOTAL'!U52</f>
        <v>APAGADO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 t="str">
        <f>'RESUMEN TOTAL'!AC52</f>
        <v>APAGADO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3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 t="str">
        <f>'RESUMEN TOTAL'!AC53</f>
        <v>APAGADO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3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3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3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3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3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>
        <f>'RESUMEN TOTAL'!S58</f>
        <v>0</v>
      </c>
      <c r="M37" s="70">
        <f>'RESUMEN TOTAL'!T58</f>
        <v>0</v>
      </c>
      <c r="N37" s="70">
        <f>'RESUMEN TOTAL'!U58</f>
        <v>0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3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3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3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3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 t="str">
        <f>'RESUMEN TOTAL'!V62</f>
        <v>APAGADO</v>
      </c>
      <c r="P41" s="70">
        <f>'RESUMEN TOTAL'!W62</f>
        <v>0</v>
      </c>
      <c r="Q41" s="70" t="str">
        <f>'RESUMEN TOTAL'!X62</f>
        <v>APAGADO</v>
      </c>
      <c r="R41" s="70" t="str">
        <f>'RESUMEN TOTAL'!Y62</f>
        <v>APAGADO</v>
      </c>
      <c r="S41" s="70" t="str">
        <f>'RESUMEN TOTAL'!Z62</f>
        <v>APAGADO</v>
      </c>
      <c r="T41" s="70" t="str">
        <f>'RESUMEN TOTAL'!AA62</f>
        <v>APAGADO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3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3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3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3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3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3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3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 t="str">
        <f>'RESUMEN TOTAL'!AC69</f>
        <v>APAGADO</v>
      </c>
      <c r="W48" s="70" t="str">
        <f>'RESUMEN TOTAL'!AD69</f>
        <v>APAGADO</v>
      </c>
      <c r="X48" s="70" t="str">
        <f>'RESUMEN TOTAL'!AE69</f>
        <v>APAGADO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3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 t="str">
        <f>'RESUMEN TOTAL'!AC70</f>
        <v>APAGADO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3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3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3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3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 t="str">
        <f>'RESUMEN TOTAL'!AB74</f>
        <v>APAGADO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3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3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3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3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3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 t="str">
        <f>'RESUMEN TOTAL'!AC79</f>
        <v>APAGADO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3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 t="str">
        <f>'RESUMEN TOTAL'!AC80</f>
        <v>APAGADO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3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3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 t="str">
        <f>'RESUMEN TOTAL'!AC82</f>
        <v>APAGADO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3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 t="str">
        <f>'RESUMEN TOTAL'!AC83</f>
        <v>APAGADO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3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3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3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3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3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>
        <f>'RESUMEN TOTAL'!P88</f>
        <v>0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3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 t="str">
        <f>'RESUMEN TOTAL'!Q89</f>
        <v>APAGADO</v>
      </c>
      <c r="K68" s="70" t="str">
        <f>'RESUMEN TOTAL'!R89</f>
        <v>APAGADO</v>
      </c>
      <c r="L68" s="70" t="str">
        <f>'RESUMEN TOTAL'!S89</f>
        <v>APAGADO</v>
      </c>
      <c r="M68" s="70">
        <f>'RESUMEN TOTAL'!T89</f>
        <v>0</v>
      </c>
      <c r="N68" s="70" t="str">
        <f>'RESUMEN TOTAL'!U89</f>
        <v>APAGADO</v>
      </c>
      <c r="O68" s="70" t="str">
        <f>'RESUMEN TOTAL'!V89</f>
        <v>APAGADO</v>
      </c>
      <c r="P68" s="70">
        <f>'RESUMEN TOTAL'!W89</f>
        <v>0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3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 t="str">
        <f>'RESUMEN TOTAL'!AC90</f>
        <v>APAGADO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3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 t="str">
        <f>'RESUMEN TOTAL'!AC91</f>
        <v>APAGADO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3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>
        <f>'RESUMEN TOTAL'!P92</f>
        <v>0</v>
      </c>
      <c r="J71" s="70">
        <f>'RESUMEN TOTAL'!Q92</f>
        <v>0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3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3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 t="str">
        <f>'RESUMEN TOTAL'!AC94</f>
        <v>APAGADO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3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 t="str">
        <f>'RESUMEN TOTAL'!T95</f>
        <v>APAGADO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 t="str">
        <f>'RESUMEN TOTAL'!X95</f>
        <v>APAGADO</v>
      </c>
      <c r="R74" s="70">
        <f>'RESUMEN TOTAL'!Y95</f>
        <v>0</v>
      </c>
      <c r="S74" s="70">
        <f>'RESUMEN TOTAL'!Z95</f>
        <v>0</v>
      </c>
      <c r="T74" s="70" t="str">
        <f>'RESUMEN TOTAL'!AA95</f>
        <v>APAGADO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3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3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3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 t="str">
        <f>'RESUMEN TOTAL'!Z98</f>
        <v>APAGADO</v>
      </c>
      <c r="T77" s="70" t="str">
        <f>'RESUMEN TOTAL'!AA98</f>
        <v>APAGADO</v>
      </c>
      <c r="U77" s="70" t="str">
        <f>'RESUMEN TOTAL'!AB98</f>
        <v>APAGADO</v>
      </c>
      <c r="V77" s="70" t="str">
        <f>'RESUMEN TOTAL'!AC98</f>
        <v>APAGADO</v>
      </c>
      <c r="W77" s="70" t="str">
        <f>'RESUMEN TOTAL'!AD98</f>
        <v>APAGADO</v>
      </c>
      <c r="X77" s="70" t="str">
        <f>'RESUMEN TOTAL'!AE98</f>
        <v>APAGADO</v>
      </c>
      <c r="Y77" s="70" t="str">
        <f>'RESUMEN TOTAL'!AF98</f>
        <v>APAGADO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3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>
        <f>'RESUMEN TOTAL'!U99</f>
        <v>0</v>
      </c>
      <c r="O78" s="70" t="str">
        <f>'RESUMEN TOTAL'!V99</f>
        <v>APAGADO</v>
      </c>
      <c r="P78" s="70">
        <f>'RESUMEN TOTAL'!W99</f>
        <v>0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3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3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3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3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 t="str">
        <f>'RESUMEN TOTAL'!AC103</f>
        <v>APAGADO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3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3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3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>
        <f>'RESUMEN TOTAL'!M106</f>
        <v>0</v>
      </c>
      <c r="G85" s="70">
        <f>'RESUMEN TOTAL'!N106</f>
        <v>0</v>
      </c>
      <c r="H85" s="70">
        <f>'RESUMEN TOTAL'!O106</f>
        <v>0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3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3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 t="str">
        <f>'RESUMEN TOTAL'!AC108</f>
        <v>APAGADO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3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 t="str">
        <f>'RESUMEN TOTAL'!AC109</f>
        <v>APAGADO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3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3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3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 t="str">
        <f>'RESUMEN TOTAL'!M112</f>
        <v>APAGADO</v>
      </c>
      <c r="G91" s="70" t="str">
        <f>'RESUMEN TOTAL'!N112</f>
        <v>APAGADO</v>
      </c>
      <c r="H91" s="70" t="str">
        <f>'RESUMEN TOTAL'!O112</f>
        <v>APAGADO</v>
      </c>
      <c r="I91" s="70" t="str">
        <f>'RESUMEN TOTAL'!P112</f>
        <v>APAGADO</v>
      </c>
      <c r="J91" s="70" t="str">
        <f>'RESUMEN TOTAL'!Q112</f>
        <v>APAGADO</v>
      </c>
      <c r="K91" s="70" t="str">
        <f>'RESUMEN TOTAL'!R112</f>
        <v>APAGADO</v>
      </c>
      <c r="L91" s="70" t="str">
        <f>'RESUMEN TOTAL'!S112</f>
        <v>APAGADO</v>
      </c>
      <c r="M91" s="70" t="str">
        <f>'RESUMEN TOTAL'!T112</f>
        <v>APAGADO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 t="str">
        <f>'RESUMEN TOTAL'!Z112</f>
        <v>APAGADO</v>
      </c>
      <c r="T91" s="70" t="str">
        <f>'RESUMEN TOTAL'!AA112</f>
        <v>APAGADO</v>
      </c>
      <c r="U91" s="70" t="str">
        <f>'RESUMEN TOTAL'!AB112</f>
        <v>APAGADO</v>
      </c>
      <c r="V91" s="70" t="str">
        <f>'RESUMEN TOTAL'!AC112</f>
        <v>APAGADO</v>
      </c>
      <c r="W91" s="70" t="str">
        <f>'RESUMEN TOTAL'!AD112</f>
        <v>APAGADO</v>
      </c>
      <c r="X91" s="70" t="str">
        <f>'RESUMEN TOTAL'!AE112</f>
        <v>APAGADO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3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 t="str">
        <f>'RESUMEN TOTAL'!M113</f>
        <v>APAGADO</v>
      </c>
      <c r="G92" s="70" t="str">
        <f>'RESUMEN TOTAL'!N113</f>
        <v>APAGADO</v>
      </c>
      <c r="H92" s="70" t="str">
        <f>'RESUMEN TOTAL'!O113</f>
        <v>APAGADO</v>
      </c>
      <c r="I92" s="70" t="str">
        <f>'RESUMEN TOTAL'!P113</f>
        <v>APAGADO</v>
      </c>
      <c r="J92" s="70" t="str">
        <f>'RESUMEN TOTAL'!Q113</f>
        <v>APAGADO</v>
      </c>
      <c r="K92" s="70" t="str">
        <f>'RESUMEN TOTAL'!R113</f>
        <v>APAGADO</v>
      </c>
      <c r="L92" s="70" t="str">
        <f>'RESUMEN TOTAL'!S113</f>
        <v>APAGADO</v>
      </c>
      <c r="M92" s="70" t="str">
        <f>'RESUMEN TOTAL'!T113</f>
        <v>APAGADO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 t="str">
        <f>'RESUMEN TOTAL'!Z113</f>
        <v>APAGADO</v>
      </c>
      <c r="T92" s="70" t="str">
        <f>'RESUMEN TOTAL'!AA113</f>
        <v>APAGADO</v>
      </c>
      <c r="U92" s="70" t="str">
        <f>'RESUMEN TOTAL'!AB113</f>
        <v>APAGADO</v>
      </c>
      <c r="V92" s="70" t="str">
        <f>'RESUMEN TOTAL'!AC113</f>
        <v>APAGADO</v>
      </c>
      <c r="W92" s="70" t="str">
        <f>'RESUMEN TOTAL'!AD113</f>
        <v>APAGADO</v>
      </c>
      <c r="X92" s="70" t="str">
        <f>'RESUMEN TOTAL'!AE113</f>
        <v>APAGADO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3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 t="str">
        <f>'RESUMEN TOTAL'!AA114</f>
        <v>APAGADO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3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 t="str">
        <f>'RESUMEN TOTAL'!AA115</f>
        <v>APAGADO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3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3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3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 t="str">
        <f>'RESUMEN TOTAL'!M118</f>
        <v>APAGADO</v>
      </c>
      <c r="G97" s="70" t="str">
        <f>'RESUMEN TOTAL'!N118</f>
        <v>APAGADO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3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 t="str">
        <f>'RESUMEN TOTAL'!V120</f>
        <v>APAGADO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3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 t="str">
        <f>'RESUMEN TOTAL'!N120</f>
        <v>APAGADO</v>
      </c>
      <c r="H99" s="70" t="str">
        <f>'RESUMEN TOTAL'!O120</f>
        <v>APAGADO</v>
      </c>
      <c r="I99" s="70" t="str">
        <f>'RESUMEN TOTAL'!P120</f>
        <v>APAGADO</v>
      </c>
      <c r="J99" s="70" t="str">
        <f>'RESUMEN TOTAL'!Q120</f>
        <v>APAGADO</v>
      </c>
      <c r="K99" s="70" t="str">
        <f>'RESUMEN TOTAL'!R120</f>
        <v>APAGADO</v>
      </c>
      <c r="L99" s="70" t="str">
        <f>'RESUMEN TOTAL'!S120</f>
        <v>APAGADO</v>
      </c>
      <c r="M99" s="70" t="str">
        <f>'RESUMEN TOTAL'!T120</f>
        <v>APAGADO</v>
      </c>
      <c r="N99" s="70" t="str">
        <f>'RESUMEN TOTAL'!U120</f>
        <v>APAGADO</v>
      </c>
      <c r="O99" s="70" t="e">
        <f>'RESUMEN TOTAL'!#REF!</f>
        <v>#REF!</v>
      </c>
      <c r="P99" s="70">
        <f>'RESUMEN TOTAL'!W120</f>
        <v>0</v>
      </c>
      <c r="Q99" s="70" t="str">
        <f>'RESUMEN TOTAL'!X120</f>
        <v>APAGADO</v>
      </c>
      <c r="R99" s="70" t="str">
        <f>'RESUMEN TOTAL'!Y120</f>
        <v>APAGADO</v>
      </c>
      <c r="S99" s="70" t="str">
        <f>'RESUMEN TOTAL'!Z120</f>
        <v>APAGADO</v>
      </c>
      <c r="T99" s="70" t="str">
        <f>'RESUMEN TOTAL'!AA120</f>
        <v>APAGADO</v>
      </c>
      <c r="U99" s="70" t="str">
        <f>'RESUMEN TOTAL'!AB120</f>
        <v>APAGADO</v>
      </c>
      <c r="V99" s="70" t="str">
        <f>'RESUMEN TOTAL'!AC120</f>
        <v>APAGADO</v>
      </c>
      <c r="W99" s="70" t="str">
        <f>'RESUMEN TOTAL'!AD120</f>
        <v>APAGADO</v>
      </c>
      <c r="X99" s="70" t="str">
        <f>'RESUMEN TOTAL'!AE120</f>
        <v>APAGADO</v>
      </c>
      <c r="Y99" s="70" t="str">
        <f>'RESUMEN TOTAL'!AF120</f>
        <v>APAGADO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3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3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3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3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 t="str">
        <f>'RESUMEN TOTAL'!AC124</f>
        <v>APAGADO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3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 t="str">
        <f>'RESUMEN TOTAL'!AC125</f>
        <v>APAGADO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3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3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 t="str">
        <f>'RESUMEN TOTAL'!N127</f>
        <v>APAGADO</v>
      </c>
      <c r="H106" s="70">
        <f>'RESUMEN TOTAL'!O127</f>
        <v>0</v>
      </c>
      <c r="I106" s="70">
        <f>'RESUMEN TOTAL'!P127</f>
        <v>0</v>
      </c>
      <c r="J106" s="70" t="str">
        <f>'RESUMEN TOTAL'!Q127</f>
        <v>APAGADO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 t="str">
        <f>'RESUMEN TOTAL'!Y127</f>
        <v>APAGADO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3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>
        <f>'RESUMEN TOTAL'!M128</f>
        <v>0</v>
      </c>
      <c r="G107" s="70">
        <f>'RESUMEN TOTAL'!N128</f>
        <v>0</v>
      </c>
      <c r="H107" s="70">
        <f>'RESUMEN TOTAL'!O128</f>
        <v>0</v>
      </c>
      <c r="I107" s="70">
        <f>'RESUMEN TOTAL'!P128</f>
        <v>0</v>
      </c>
      <c r="J107" s="70">
        <f>'RESUMEN TOTAL'!Q128</f>
        <v>0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3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3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 t="str">
        <f>'RESUMEN TOTAL'!M130</f>
        <v>APAGADO</v>
      </c>
      <c r="G109" s="70" t="str">
        <f>'RESUMEN TOTAL'!N130</f>
        <v>APAGADO</v>
      </c>
      <c r="H109" s="70">
        <f>'RESUMEN TOTAL'!O130</f>
        <v>0</v>
      </c>
      <c r="I109" s="70">
        <f>'RESUMEN TOTAL'!P130</f>
        <v>0</v>
      </c>
      <c r="J109" s="70" t="str">
        <f>'RESUMEN TOTAL'!Q130</f>
        <v>APAGADO</v>
      </c>
      <c r="K109" s="70" t="str">
        <f>'RESUMEN TOTAL'!R130</f>
        <v>APAGADO</v>
      </c>
      <c r="L109" s="70">
        <f>'RESUMEN TOTAL'!S130</f>
        <v>0</v>
      </c>
      <c r="M109" s="70">
        <f>'RESUMEN TOTAL'!T130</f>
        <v>0</v>
      </c>
      <c r="N109" s="70" t="str">
        <f>'RESUMEN TOTAL'!U130</f>
        <v>APAGADO</v>
      </c>
      <c r="O109" s="70" t="str">
        <f>'RESUMEN TOTAL'!V130</f>
        <v>APAGADO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 t="str">
        <f>'RESUMEN TOTAL'!Z130</f>
        <v>APAGADO</v>
      </c>
      <c r="T109" s="70">
        <f>'RESUMEN TOTAL'!AA130</f>
        <v>0</v>
      </c>
      <c r="U109" s="70" t="str">
        <f>'RESUMEN TOTAL'!AB130</f>
        <v>APAGADO</v>
      </c>
      <c r="V109" s="70" t="str">
        <f>'RESUMEN TOTAL'!AC130</f>
        <v>APAGADO</v>
      </c>
      <c r="W109" s="70" t="str">
        <f>'RESUMEN TOTAL'!AD130</f>
        <v>APAGADO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3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 t="str">
        <f>'RESUMEN TOTAL'!M131</f>
        <v>APAGADO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 t="str">
        <f>'RESUMEN TOTAL'!S131</f>
        <v>APAGADO</v>
      </c>
      <c r="M110" s="70" t="str">
        <f>'RESUMEN TOTAL'!T131</f>
        <v>APAGADO</v>
      </c>
      <c r="N110" s="70" t="str">
        <f>'RESUMEN TOTAL'!U131</f>
        <v>APAGADO</v>
      </c>
      <c r="O110" s="70" t="str">
        <f>'RESUMEN TOTAL'!V131</f>
        <v>APAGADO</v>
      </c>
      <c r="P110" s="70">
        <f>'RESUMEN TOTAL'!W131</f>
        <v>0</v>
      </c>
      <c r="Q110" s="70" t="str">
        <f>'RESUMEN TOTAL'!X131</f>
        <v>APAGADO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3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 t="str">
        <f>'RESUMEN TOTAL'!N145</f>
        <v>APAGADO</v>
      </c>
      <c r="H111" s="70" t="str">
        <f>'RESUMEN TOTAL'!O145</f>
        <v>APAGADO</v>
      </c>
      <c r="I111" s="70" t="str">
        <f>'RESUMEN TOTAL'!P145</f>
        <v>APAGADO</v>
      </c>
      <c r="J111" s="70" t="str">
        <f>'RESUMEN TOTAL'!Q145</f>
        <v>APAGADO</v>
      </c>
      <c r="K111" s="70" t="str">
        <f>'RESUMEN TOTAL'!R145</f>
        <v>APAGADO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3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3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 t="str">
        <f>'RESUMEN TOTAL'!AC147</f>
        <v>APAGADO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3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3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3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 t="str">
        <f>'RESUMEN TOTAL'!AB150</f>
        <v>APAGADO</v>
      </c>
      <c r="V116" s="70">
        <f>'RESUMEN TOTAL'!AC150</f>
        <v>0</v>
      </c>
      <c r="W116" s="70">
        <f>'RESUMEN TOTAL'!AD150</f>
        <v>0</v>
      </c>
      <c r="X116" s="70" t="str">
        <f>'RESUMEN TOTAL'!AE150</f>
        <v>APAGADO</v>
      </c>
      <c r="Y116" s="70" t="str">
        <f>'RESUMEN TOTAL'!AF150</f>
        <v>APAGADO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3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>
        <f>'RESUMEN TOTAL'!M151</f>
        <v>0</v>
      </c>
      <c r="G117" s="70">
        <f>'RESUMEN TOTAL'!N151</f>
        <v>0</v>
      </c>
      <c r="H117" s="70">
        <f>'RESUMEN TOTAL'!O151</f>
        <v>0</v>
      </c>
      <c r="I117" s="70">
        <f>'RESUMEN TOTAL'!P151</f>
        <v>0</v>
      </c>
      <c r="J117" s="70" t="str">
        <f>'RESUMEN TOTAL'!Q151</f>
        <v>APAGADO</v>
      </c>
      <c r="K117" s="70" t="str">
        <f>'RESUMEN TOTAL'!R151</f>
        <v>APAGADO</v>
      </c>
      <c r="L117" s="70">
        <f>'RESUMEN TOTAL'!S151</f>
        <v>0</v>
      </c>
      <c r="M117" s="70">
        <f>'RESUMEN TOTAL'!T151</f>
        <v>0</v>
      </c>
      <c r="N117" s="70">
        <f>'RESUMEN TOTAL'!U151</f>
        <v>0</v>
      </c>
      <c r="O117" s="70">
        <f>'RESUMEN TOTAL'!V151</f>
        <v>0</v>
      </c>
      <c r="P117" s="70">
        <f>'RESUMEN TOTAL'!W151</f>
        <v>0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 t="str">
        <f>'RESUMEN TOTAL'!AA151</f>
        <v>APAGADO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3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3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3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3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3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 t="str">
        <f>'RESUMEN TOTAL'!M156</f>
        <v>APAGADO</v>
      </c>
      <c r="G122" s="70" t="str">
        <f>'RESUMEN TOTAL'!N156</f>
        <v>APAGADO</v>
      </c>
      <c r="H122" s="70" t="str">
        <f>'RESUMEN TOTAL'!O156</f>
        <v>APAGADO</v>
      </c>
      <c r="I122" s="70">
        <f>'RESUMEN TOTAL'!P156</f>
        <v>0</v>
      </c>
      <c r="J122" s="70" t="str">
        <f>'RESUMEN TOTAL'!Q156</f>
        <v>APAGADO</v>
      </c>
      <c r="K122" s="70" t="str">
        <f>'RESUMEN TOTAL'!R156</f>
        <v>APAGADO</v>
      </c>
      <c r="L122" s="70" t="str">
        <f>'RESUMEN TOTAL'!S156</f>
        <v>APAGADO</v>
      </c>
      <c r="M122" s="70" t="str">
        <f>'RESUMEN TOTAL'!T156</f>
        <v>APAGADO</v>
      </c>
      <c r="N122" s="70" t="str">
        <f>'RESUMEN TOTAL'!U156</f>
        <v>APAGADO</v>
      </c>
      <c r="O122" s="70" t="str">
        <f>'RESUMEN TOTAL'!V156</f>
        <v>APAGADO</v>
      </c>
      <c r="P122" s="70">
        <f>'RESUMEN TOTAL'!W156</f>
        <v>0</v>
      </c>
      <c r="Q122" s="70" t="str">
        <f>'RESUMEN TOTAL'!X156</f>
        <v>APAGADO</v>
      </c>
      <c r="R122" s="70" t="str">
        <f>'RESUMEN TOTAL'!Y156</f>
        <v>APAGADO</v>
      </c>
      <c r="S122" s="70" t="str">
        <f>'RESUMEN TOTAL'!Z156</f>
        <v>APAGADO</v>
      </c>
      <c r="T122" s="70" t="str">
        <f>'RESUMEN TOTAL'!AA156</f>
        <v>APAGADO</v>
      </c>
      <c r="U122" s="70" t="str">
        <f>'RESUMEN TOTAL'!AB156</f>
        <v>APAGADO</v>
      </c>
      <c r="V122" s="70" t="str">
        <f>'RESUMEN TOTAL'!AC156</f>
        <v>APAGADO</v>
      </c>
      <c r="W122" s="70" t="str">
        <f>'RESUMEN TOTAL'!AD156</f>
        <v>APAGADO</v>
      </c>
      <c r="X122" s="70" t="str">
        <f>'RESUMEN TOTAL'!AE156</f>
        <v>APAGADO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3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 t="str">
        <f>'RESUMEN TOTAL'!M157</f>
        <v>APAGADO</v>
      </c>
      <c r="G123" s="70" t="str">
        <f>'RESUMEN TOTAL'!N157</f>
        <v>APAGADO</v>
      </c>
      <c r="H123" s="70" t="str">
        <f>'RESUMEN TOTAL'!O157</f>
        <v>APAGADO</v>
      </c>
      <c r="I123" s="70">
        <f>'RESUMEN TOTAL'!P157</f>
        <v>0</v>
      </c>
      <c r="J123" s="70" t="str">
        <f>'RESUMEN TOTAL'!Q157</f>
        <v>APAGADO</v>
      </c>
      <c r="K123" s="70" t="str">
        <f>'RESUMEN TOTAL'!R157</f>
        <v>APAGADO</v>
      </c>
      <c r="L123" s="70" t="str">
        <f>'RESUMEN TOTAL'!S157</f>
        <v>APAGADO</v>
      </c>
      <c r="M123" s="70" t="str">
        <f>'RESUMEN TOTAL'!T157</f>
        <v>APAGADO</v>
      </c>
      <c r="N123" s="70" t="str">
        <f>'RESUMEN TOTAL'!U157</f>
        <v>APAGADO</v>
      </c>
      <c r="O123" s="70" t="str">
        <f>'RESUMEN TOTAL'!V157</f>
        <v>APAGADO</v>
      </c>
      <c r="P123" s="70">
        <f>'RESUMEN TOTAL'!W157</f>
        <v>0</v>
      </c>
      <c r="Q123" s="70" t="str">
        <f>'RESUMEN TOTAL'!X157</f>
        <v>APAGADO</v>
      </c>
      <c r="R123" s="70" t="str">
        <f>'RESUMEN TOTAL'!Y157</f>
        <v>APAGADO</v>
      </c>
      <c r="S123" s="70" t="str">
        <f>'RESUMEN TOTAL'!Z157</f>
        <v>APAGADO</v>
      </c>
      <c r="T123" s="70" t="str">
        <f>'RESUMEN TOTAL'!AA157</f>
        <v>APAGADO</v>
      </c>
      <c r="U123" s="70" t="str">
        <f>'RESUMEN TOTAL'!AB157</f>
        <v>APAGADO</v>
      </c>
      <c r="V123" s="70" t="str">
        <f>'RESUMEN TOTAL'!AC157</f>
        <v>APAGADO</v>
      </c>
      <c r="W123" s="70" t="str">
        <f>'RESUMEN TOTAL'!AD157</f>
        <v>APAGADO</v>
      </c>
      <c r="X123" s="70" t="str">
        <f>'RESUMEN TOTAL'!AE157</f>
        <v>APAGADO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3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3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3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 t="str">
        <f>'RESUMEN TOTAL'!M164</f>
        <v>APAGADO</v>
      </c>
      <c r="G126" s="70" t="str">
        <f>'RESUMEN TOTAL'!N164</f>
        <v>APAGADO</v>
      </c>
      <c r="H126" s="70" t="str">
        <f>'RESUMEN TOTAL'!O164</f>
        <v>APAGADO</v>
      </c>
      <c r="I126" s="70" t="str">
        <f>'RESUMEN TOTAL'!P164</f>
        <v>APAGADO</v>
      </c>
      <c r="J126" s="70" t="str">
        <f>'RESUMEN TOTAL'!Q164</f>
        <v>APAGADO</v>
      </c>
      <c r="K126" s="70" t="str">
        <f>'RESUMEN TOTAL'!R164</f>
        <v>APAGADO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3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 t="str">
        <f>'RESUMEN TOTAL'!O165</f>
        <v>APAGADO</v>
      </c>
      <c r="I127" s="70" t="str">
        <f>'RESUMEN TOTAL'!P165</f>
        <v>APAGADO</v>
      </c>
      <c r="J127" s="70" t="str">
        <f>'RESUMEN TOTAL'!Q165</f>
        <v>APAGADO</v>
      </c>
      <c r="K127" s="70" t="str">
        <f>'RESUMEN TOTAL'!R165</f>
        <v>APAGADO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3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 t="str">
        <f>'RESUMEN TOTAL'!R166</f>
        <v>APAGADO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3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 t="str">
        <f>'RESUMEN TOTAL'!M167</f>
        <v>APAGADO</v>
      </c>
      <c r="G129" s="70" t="str">
        <f>'RESUMEN TOTAL'!N167</f>
        <v>APAGADO</v>
      </c>
      <c r="H129" s="70">
        <f>'RESUMEN TOTAL'!O167</f>
        <v>0</v>
      </c>
      <c r="I129" s="70">
        <f>'RESUMEN TOTAL'!P167</f>
        <v>0</v>
      </c>
      <c r="J129" s="70" t="str">
        <f>'RESUMEN TOTAL'!Q167</f>
        <v>APAGADO</v>
      </c>
      <c r="K129" s="70" t="str">
        <f>'RESUMEN TOTAL'!R167</f>
        <v>APAGADO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3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 t="str">
        <f>'RESUMEN TOTAL'!AC170</f>
        <v>APAGADO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3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3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3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 t="str">
        <f>'RESUMEN TOTAL'!AC173</f>
        <v>APAGADO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3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 t="str">
        <f>'RESUMEN TOTAL'!AC174</f>
        <v>APAGADO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3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 t="str">
        <f>'RESUMEN TOTAL'!AB175</f>
        <v>APAGADO</v>
      </c>
      <c r="V135" s="70" t="str">
        <f>'RESUMEN TOTAL'!AC175</f>
        <v>APAGADO</v>
      </c>
      <c r="W135" s="70" t="str">
        <f>'RESUMEN TOTAL'!AD175</f>
        <v>APAGADO</v>
      </c>
      <c r="X135" s="70" t="str">
        <f>'RESUMEN TOTAL'!AE175</f>
        <v>APAGADO</v>
      </c>
      <c r="Y135" s="70" t="str">
        <f>'RESUMEN TOTAL'!AF175</f>
        <v>APAGADO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3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3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3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 t="str">
        <f>'RESUMEN TOTAL'!AC178</f>
        <v>APAGADO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3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 t="str">
        <f>'RESUMEN TOTAL'!AC179</f>
        <v>APAGADO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3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 t="str">
        <f>'RESUMEN TOTAL'!M180</f>
        <v>APAGADO</v>
      </c>
      <c r="G140" s="70" t="str">
        <f>'RESUMEN TOTAL'!N180</f>
        <v>APAGADO</v>
      </c>
      <c r="H140" s="70" t="str">
        <f>'RESUMEN TOTAL'!O180</f>
        <v>APAGADO</v>
      </c>
      <c r="I140" s="70" t="str">
        <f>'RESUMEN TOTAL'!P180</f>
        <v>APAGADO</v>
      </c>
      <c r="J140" s="70" t="str">
        <f>'RESUMEN TOTAL'!Q180</f>
        <v>APAGADO</v>
      </c>
      <c r="K140" s="70" t="str">
        <f>'RESUMEN TOTAL'!R180</f>
        <v>APAGADO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3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 t="str">
        <f>'RESUMEN TOTAL'!M181</f>
        <v>APAGADO</v>
      </c>
      <c r="G141" s="70" t="str">
        <f>'RESUMEN TOTAL'!N181</f>
        <v>APAGADO</v>
      </c>
      <c r="H141" s="70" t="str">
        <f>'RESUMEN TOTAL'!O181</f>
        <v>APAGADO</v>
      </c>
      <c r="I141" s="70" t="str">
        <f>'RESUMEN TOTAL'!P181</f>
        <v>APAGADO</v>
      </c>
      <c r="J141" s="70" t="str">
        <f>'RESUMEN TOTAL'!Q181</f>
        <v>APAGADO</v>
      </c>
      <c r="K141" s="70" t="str">
        <f>'RESUMEN TOTAL'!R181</f>
        <v>APAGADO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3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 t="str">
        <f>'RESUMEN TOTAL'!M182</f>
        <v>APAGADO</v>
      </c>
      <c r="G142" s="70" t="str">
        <f>'RESUMEN TOTAL'!N182</f>
        <v>APAGADO</v>
      </c>
      <c r="H142" s="70" t="str">
        <f>'RESUMEN TOTAL'!O182</f>
        <v>APAGADO</v>
      </c>
      <c r="I142" s="70" t="str">
        <f>'RESUMEN TOTAL'!P182</f>
        <v>APAGADO</v>
      </c>
      <c r="J142" s="70" t="str">
        <f>'RESUMEN TOTAL'!Q182</f>
        <v>APAGADO</v>
      </c>
      <c r="K142" s="70" t="str">
        <f>'RESUMEN TOTAL'!R182</f>
        <v>APAGADO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3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 t="str">
        <f>'RESUMEN TOTAL'!O183</f>
        <v>APAGADO</v>
      </c>
      <c r="I143" s="70" t="str">
        <f>'RESUMEN TOTAL'!P183</f>
        <v>APAGADO</v>
      </c>
      <c r="J143" s="70" t="str">
        <f>'RESUMEN TOTAL'!Q183</f>
        <v>APAGADO</v>
      </c>
      <c r="K143" s="70" t="str">
        <f>'RESUMEN TOTAL'!R183</f>
        <v>APAGADO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3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3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3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3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3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>
        <f>'RESUMEN TOTAL'!W193</f>
        <v>0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 t="str">
        <f>'RESUMEN TOTAL'!AC193</f>
        <v>APAGADO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3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 t="str">
        <f>'RESUMEN TOTAL'!M194</f>
        <v>APAGADO</v>
      </c>
      <c r="G149" s="70" t="str">
        <f>'RESUMEN TOTAL'!N194</f>
        <v>APAGADO</v>
      </c>
      <c r="H149" s="70" t="str">
        <f>'RESUMEN TOTAL'!O194</f>
        <v>APAGADO</v>
      </c>
      <c r="I149" s="70" t="str">
        <f>'RESUMEN TOTAL'!P194</f>
        <v>APAGADO</v>
      </c>
      <c r="J149" s="70" t="str">
        <f>'RESUMEN TOTAL'!Q194</f>
        <v>APAGADO</v>
      </c>
      <c r="K149" s="70" t="str">
        <f>'RESUMEN TOTAL'!R194</f>
        <v>APAGADO</v>
      </c>
      <c r="L149" s="70" t="str">
        <f>'RESUMEN TOTAL'!S194</f>
        <v>APAGADO</v>
      </c>
      <c r="M149" s="70" t="str">
        <f>'RESUMEN TOTAL'!T194</f>
        <v>APAGADO</v>
      </c>
      <c r="N149" s="70" t="str">
        <f>'RESUMEN TOTAL'!U194</f>
        <v>APAGADO</v>
      </c>
      <c r="O149" s="70" t="str">
        <f>'RESUMEN TOTAL'!V194</f>
        <v>APAGADO</v>
      </c>
      <c r="P149" s="70">
        <f>'RESUMEN TOTAL'!W194</f>
        <v>0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 t="str">
        <f>'RESUMEN TOTAL'!AC194</f>
        <v>APAGADO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3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 t="str">
        <f>'RESUMEN TOTAL'!P195</f>
        <v>APAGADO</v>
      </c>
      <c r="J150" s="70" t="str">
        <f>'RESUMEN TOTAL'!Q195</f>
        <v>APAGADO</v>
      </c>
      <c r="K150" s="70" t="str">
        <f>'RESUMEN TOTAL'!R195</f>
        <v>APAGADO</v>
      </c>
      <c r="L150" s="70">
        <f>'RESUMEN TOTAL'!S195</f>
        <v>0</v>
      </c>
      <c r="M150" s="70">
        <f>'RESUMEN TOTAL'!T195</f>
        <v>0</v>
      </c>
      <c r="N150" s="70">
        <f>'RESUMEN TOTAL'!U195</f>
        <v>0</v>
      </c>
      <c r="O150" s="70">
        <f>'RESUMEN TOTAL'!V195</f>
        <v>0</v>
      </c>
      <c r="P150" s="70">
        <f>'RESUMEN TOTAL'!W195</f>
        <v>0</v>
      </c>
      <c r="Q150" s="70">
        <f>'RESUMEN TOTAL'!X195</f>
        <v>0</v>
      </c>
      <c r="R150" s="70" t="str">
        <f>'RESUMEN TOTAL'!Y195</f>
        <v>APAGADO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 t="str">
        <f>'RESUMEN TOTAL'!AC195</f>
        <v>APAGADO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3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3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>
        <f>'RESUMEN TOTAL'!M197</f>
        <v>0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 t="str">
        <f>'RESUMEN TOTAL'!R197</f>
        <v>APAGADO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3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>
        <f>'RESUMEN TOTAL'!M198</f>
        <v>0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3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 t="str">
        <f>'RESUMEN TOTAL'!AB199</f>
        <v>APAGADO</v>
      </c>
      <c r="V154" s="70" t="str">
        <f>'RESUMEN TOTAL'!AC199</f>
        <v>APAGADO</v>
      </c>
      <c r="W154" s="70" t="str">
        <f>'RESUMEN TOTAL'!AD199</f>
        <v>APAGADO</v>
      </c>
      <c r="X154" s="70" t="str">
        <f>'RESUMEN TOTAL'!AE199</f>
        <v>APAGADO</v>
      </c>
      <c r="Y154" s="70" t="str">
        <f>'RESUMEN TOTAL'!AF199</f>
        <v>APAGADO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3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 t="str">
        <f>'RESUMEN TOTAL'!M200</f>
        <v>APAGADO</v>
      </c>
      <c r="G155" s="70" t="str">
        <f>'RESUMEN TOTAL'!N200</f>
        <v>APAGADO</v>
      </c>
      <c r="H155" s="70" t="str">
        <f>'RESUMEN TOTAL'!O200</f>
        <v>APAGADO</v>
      </c>
      <c r="I155" s="70" t="str">
        <f>'RESUMEN TOTAL'!P200</f>
        <v>APAGADO</v>
      </c>
      <c r="J155" s="70" t="str">
        <f>'RESUMEN TOTAL'!Q200</f>
        <v>APAGADO</v>
      </c>
      <c r="K155" s="70">
        <f>'RESUMEN TOTAL'!R200</f>
        <v>0</v>
      </c>
      <c r="L155" s="70" t="str">
        <f>'RESUMEN TOTAL'!S200</f>
        <v>APAGADO</v>
      </c>
      <c r="M155" s="70" t="str">
        <f>'RESUMEN TOTAL'!T200</f>
        <v>APAGADO</v>
      </c>
      <c r="N155" s="70" t="str">
        <f>'RESUMEN TOTAL'!U200</f>
        <v>APAGADO</v>
      </c>
      <c r="O155" s="70" t="str">
        <f>'RESUMEN TOTAL'!V200</f>
        <v>APAGADO</v>
      </c>
      <c r="P155" s="70">
        <f>'RESUMEN TOTAL'!W200</f>
        <v>0</v>
      </c>
      <c r="Q155" s="70" t="str">
        <f>'RESUMEN TOTAL'!X200</f>
        <v>APAGADO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 t="str">
        <f>'RESUMEN TOTAL'!AB200</f>
        <v>APAGADO</v>
      </c>
      <c r="V155" s="70" t="str">
        <f>'RESUMEN TOTAL'!AC200</f>
        <v>APAGADO</v>
      </c>
      <c r="W155" s="70" t="str">
        <f>'RESUMEN TOTAL'!AD200</f>
        <v>APAGADO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3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>
        <f>'RESUMEN TOTAL'!S201</f>
        <v>0</v>
      </c>
      <c r="M156" s="70">
        <f>'RESUMEN TOTAL'!T201</f>
        <v>0</v>
      </c>
      <c r="N156" s="70">
        <f>'RESUMEN TOTAL'!U201</f>
        <v>0</v>
      </c>
      <c r="O156" s="70">
        <f>'RESUMEN TOTAL'!V201</f>
        <v>0</v>
      </c>
      <c r="P156" s="70">
        <f>'RESUMEN TOTAL'!W201</f>
        <v>0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3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3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3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3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>
        <f>'RESUMEN TOTAL'!P205</f>
        <v>0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3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>
        <f>'RESUMEN TOTAL'!P206</f>
        <v>0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3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3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3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3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3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 t="str">
        <f>'RESUMEN TOTAL'!M211</f>
        <v>APAGADO</v>
      </c>
      <c r="G166" s="70" t="str">
        <f>'RESUMEN TOTAL'!N211</f>
        <v>APAGADO</v>
      </c>
      <c r="H166" s="70" t="str">
        <f>'RESUMEN TOTAL'!O211</f>
        <v>APAGADO</v>
      </c>
      <c r="I166" s="70" t="str">
        <f>'RESUMEN TOTAL'!P211</f>
        <v>APAGADO</v>
      </c>
      <c r="J166" s="70" t="str">
        <f>'RESUMEN TOTAL'!Q211</f>
        <v>APAGADO</v>
      </c>
      <c r="K166" s="70" t="str">
        <f>'RESUMEN TOTAL'!R211</f>
        <v>APAGADO</v>
      </c>
      <c r="L166" s="70" t="str">
        <f>'RESUMEN TOTAL'!S211</f>
        <v>APAGADO</v>
      </c>
      <c r="M166" s="70" t="str">
        <f>'RESUMEN TOTAL'!T211</f>
        <v>APAGADO</v>
      </c>
      <c r="N166" s="70" t="str">
        <f>'RESUMEN TOTAL'!U211</f>
        <v>APAGADO</v>
      </c>
      <c r="O166" s="70" t="str">
        <f>'RESUMEN TOTAL'!V211</f>
        <v>APAGADO</v>
      </c>
      <c r="P166" s="70">
        <f>'RESUMEN TOTAL'!W211</f>
        <v>0</v>
      </c>
      <c r="Q166" s="70" t="str">
        <f>'RESUMEN TOTAL'!X211</f>
        <v>APAGADO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3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3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3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3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3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3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 t="str">
        <f>'RESUMEN TOTAL'!AC221</f>
        <v>APAGADO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3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3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 t="str">
        <f>'RESUMEN TOTAL'!AC223</f>
        <v>APAGADO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3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 t="str">
        <f>'RESUMEN TOTAL'!AC224</f>
        <v>APAGADO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3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3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3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3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 t="str">
        <f>'RESUMEN TOTAL'!R232</f>
        <v>APAGADO</v>
      </c>
      <c r="L179" s="70" t="str">
        <f>'RESUMEN TOTAL'!S232</f>
        <v>APAGADO</v>
      </c>
      <c r="M179" s="70" t="str">
        <f>'RESUMEN TOTAL'!T232</f>
        <v>APAGADO</v>
      </c>
      <c r="N179" s="70" t="str">
        <f>'RESUMEN TOTAL'!U232</f>
        <v>APAGADO</v>
      </c>
      <c r="O179" s="70" t="str">
        <f>'RESUMEN TOTAL'!V232</f>
        <v>APAGADO</v>
      </c>
      <c r="P179" s="70">
        <f>'RESUMEN TOTAL'!W232</f>
        <v>0</v>
      </c>
      <c r="Q179" s="70" t="str">
        <f>'RESUMEN TOTAL'!X232</f>
        <v>APAGADO</v>
      </c>
      <c r="R179" s="70" t="str">
        <f>'RESUMEN TOTAL'!Y232</f>
        <v>APAGADO</v>
      </c>
      <c r="S179" s="70" t="str">
        <f>'RESUMEN TOTAL'!Z232</f>
        <v>APAGADO</v>
      </c>
      <c r="T179" s="70" t="str">
        <f>'RESUMEN TOTAL'!AA232</f>
        <v>APAGADO</v>
      </c>
      <c r="U179" s="70" t="str">
        <f>'RESUMEN TOTAL'!AB232</f>
        <v>APAGADO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 t="str">
        <f>'RESUMEN TOTAL'!AF232</f>
        <v>APAGADO</v>
      </c>
      <c r="Z179" s="70">
        <f>'RESUMEN TOTAL'!AG232</f>
        <v>0</v>
      </c>
      <c r="AA179" s="70">
        <f>'RESUMEN TOTAL'!AH232</f>
        <v>0</v>
      </c>
      <c r="AB179" s="70">
        <f>'RESUMEN TOTAL'!AI232</f>
        <v>0</v>
      </c>
      <c r="AC179" s="70">
        <f>'RESUMEN TOTAL'!AJ232</f>
        <v>0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3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 t="str">
        <f>'RESUMEN TOTAL'!R233</f>
        <v>APAGADO</v>
      </c>
      <c r="L180" s="70" t="str">
        <f>'RESUMEN TOTAL'!S233</f>
        <v>APAGADO</v>
      </c>
      <c r="M180" s="70" t="str">
        <f>'RESUMEN TOTAL'!T233</f>
        <v>APAGADO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 t="str">
        <f>'RESUMEN TOTAL'!AE233</f>
        <v>APAGADO</v>
      </c>
      <c r="Y180" s="70" t="str">
        <f>'RESUMEN TOTAL'!AF233</f>
        <v>APAGADO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3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>
        <f>'RESUMEN TOTAL'!U234</f>
        <v>0</v>
      </c>
      <c r="O181" s="70" t="str">
        <f>'RESUMEN TOTAL'!V234</f>
        <v>APAGADO</v>
      </c>
      <c r="P181" s="70">
        <f>'RESUMEN TOTAL'!W234</f>
        <v>0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>
        <f>'RESUMEN TOTAL'!AD234</f>
        <v>0</v>
      </c>
      <c r="X181" s="70" t="str">
        <f>'RESUMEN TOTAL'!AE234</f>
        <v>APAGADO</v>
      </c>
      <c r="Y181" s="70" t="str">
        <f>'RESUMEN TOTAL'!AF234</f>
        <v>APAGADO</v>
      </c>
      <c r="Z181" s="70">
        <f>'RESUMEN TOTAL'!AG234</f>
        <v>0</v>
      </c>
      <c r="AA181" s="70">
        <f>'RESUMEN TOTAL'!AH234</f>
        <v>0</v>
      </c>
      <c r="AB181" s="70">
        <f>'RESUMEN TOTAL'!AI234</f>
        <v>0</v>
      </c>
      <c r="AC181" s="70">
        <f>'RESUMEN TOTAL'!AJ234</f>
        <v>0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3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 t="str">
        <f>'RESUMEN TOTAL'!R235</f>
        <v>APAGADO</v>
      </c>
      <c r="L182" s="70" t="str">
        <f>'RESUMEN TOTAL'!S235</f>
        <v>APAGADO</v>
      </c>
      <c r="M182" s="70" t="str">
        <f>'RESUMEN TOTAL'!T235</f>
        <v>APAGADO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 t="str">
        <f>'RESUMEN TOTAL'!AE235</f>
        <v>APAGADO</v>
      </c>
      <c r="Y182" s="70" t="str">
        <f>'RESUMEN TOTAL'!AF235</f>
        <v>APAGADO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3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 t="str">
        <f>'RESUMEN TOTAL'!R236</f>
        <v>APAGADO</v>
      </c>
      <c r="L183" s="70" t="str">
        <f>'RESUMEN TOTAL'!S236</f>
        <v>APAGADO</v>
      </c>
      <c r="M183" s="70" t="str">
        <f>'RESUMEN TOTAL'!T236</f>
        <v>APAGADO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 t="str">
        <f>'RESUMEN TOTAL'!AE236</f>
        <v>APAGADO</v>
      </c>
      <c r="Y183" s="70" t="str">
        <f>'RESUMEN TOTAL'!AF236</f>
        <v>APAGADO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3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 t="str">
        <f>'RESUMEN TOTAL'!AE237</f>
        <v>APAGADO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3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 t="str">
        <f>'RESUMEN TOTAL'!AC238</f>
        <v>APAGADO</v>
      </c>
      <c r="W185" s="70" t="str">
        <f>'RESUMEN TOTAL'!AD238</f>
        <v>APAGADO</v>
      </c>
      <c r="X185" s="70" t="str">
        <f>'RESUMEN TOTAL'!AE238</f>
        <v>APAGADO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3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 t="str">
        <f>'RESUMEN TOTAL'!AE239</f>
        <v>APAGADO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3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 t="str">
        <f>'RESUMEN TOTAL'!AE240</f>
        <v>APAGADO</v>
      </c>
      <c r="Y187" s="70" t="str">
        <f>'RESUMEN TOTAL'!AF240</f>
        <v>APAGADO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3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 t="str">
        <f>'RESUMEN TOTAL'!N241</f>
        <v>APAGADO</v>
      </c>
      <c r="H188" s="70" t="str">
        <f>'RESUMEN TOTAL'!O241</f>
        <v>APAGADO</v>
      </c>
      <c r="I188" s="70" t="str">
        <f>'RESUMEN TOTAL'!P241</f>
        <v>APAGADO</v>
      </c>
      <c r="J188" s="70">
        <f>'RESUMEN TOTAL'!Q241</f>
        <v>0</v>
      </c>
      <c r="K188" s="70" t="str">
        <f>'RESUMEN TOTAL'!R241</f>
        <v>APAGADO</v>
      </c>
      <c r="L188" s="70" t="str">
        <f>'RESUMEN TOTAL'!S241</f>
        <v>APAGADO</v>
      </c>
      <c r="M188" s="70" t="str">
        <f>'RESUMEN TOTAL'!T241</f>
        <v>APAGADO</v>
      </c>
      <c r="N188" s="70" t="str">
        <f>'RESUMEN TOTAL'!U241</f>
        <v>APAGADO</v>
      </c>
      <c r="O188" s="70" t="str">
        <f>'RESUMEN TOTAL'!V241</f>
        <v>APAGADO</v>
      </c>
      <c r="P188" s="70">
        <f>'RESUMEN TOTAL'!W241</f>
        <v>0</v>
      </c>
      <c r="Q188" s="70">
        <f>'RESUMEN TOTAL'!X241</f>
        <v>0</v>
      </c>
      <c r="R188" s="70" t="str">
        <f>'RESUMEN TOTAL'!Y241</f>
        <v>APAGADO</v>
      </c>
      <c r="S188" s="70" t="str">
        <f>'RESUMEN TOTAL'!Z241</f>
        <v>APAGADO</v>
      </c>
      <c r="T188" s="70" t="str">
        <f>'RESUMEN TOTAL'!AA241</f>
        <v>APAGADO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 t="str">
        <f>'RESUMEN TOTAL'!AE241</f>
        <v>APAGADO</v>
      </c>
      <c r="Y188" s="70" t="str">
        <f>'RESUMEN TOTAL'!AF241</f>
        <v>APAGADO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3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 t="str">
        <f>'RESUMEN TOTAL'!R242</f>
        <v>APAGADO</v>
      </c>
      <c r="L189" s="70" t="str">
        <f>'RESUMEN TOTAL'!S242</f>
        <v>APAGADO</v>
      </c>
      <c r="M189" s="70" t="str">
        <f>'RESUMEN TOTAL'!T242</f>
        <v>APAGADO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 t="str">
        <f>'RESUMEN TOTAL'!AE242</f>
        <v>APAGADO</v>
      </c>
      <c r="Y189" s="70" t="str">
        <f>'RESUMEN TOTAL'!AF242</f>
        <v>APAGADO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3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 t="str">
        <f>'RESUMEN TOTAL'!R243</f>
        <v>APAGADO</v>
      </c>
      <c r="L190" s="70" t="str">
        <f>'RESUMEN TOTAL'!S243</f>
        <v>APAGADO</v>
      </c>
      <c r="M190" s="70" t="str">
        <f>'RESUMEN TOTAL'!T243</f>
        <v>APAGADO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 t="str">
        <f>'RESUMEN TOTAL'!AE243</f>
        <v>APAGADO</v>
      </c>
      <c r="Y190" s="70" t="str">
        <f>'RESUMEN TOTAL'!AF243</f>
        <v>APAGADO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3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>
        <f>'RESUMEN TOTAL'!M244</f>
        <v>0</v>
      </c>
      <c r="G191" s="70">
        <f>'RESUMEN TOTAL'!N244</f>
        <v>0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 t="str">
        <f>'RESUMEN TOTAL'!S244</f>
        <v>APAGADO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 t="str">
        <f>'RESUMEN TOTAL'!AE244</f>
        <v>APAGADO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3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 t="str">
        <f>'RESUMEN TOTAL'!R245</f>
        <v>APAGADO</v>
      </c>
      <c r="L192" s="70" t="str">
        <f>'RESUMEN TOTAL'!S245</f>
        <v>APAGADO</v>
      </c>
      <c r="M192" s="70" t="str">
        <f>'RESUMEN TOTAL'!T245</f>
        <v>APAGADO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 t="str">
        <f>'RESUMEN TOTAL'!AE245</f>
        <v>APAGADO</v>
      </c>
      <c r="Y192" s="70" t="str">
        <f>'RESUMEN TOTAL'!AF245</f>
        <v>APAGADO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3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 t="str">
        <f>'RESUMEN TOTAL'!O246</f>
        <v>APAGADO</v>
      </c>
      <c r="I193" s="70" t="str">
        <f>'RESUMEN TOTAL'!P246</f>
        <v>APAGADO</v>
      </c>
      <c r="J193" s="70" t="str">
        <f>'RESUMEN TOTAL'!Q246</f>
        <v>APAGADO</v>
      </c>
      <c r="K193" s="70" t="str">
        <f>'RESUMEN TOTAL'!R246</f>
        <v>APAGADO</v>
      </c>
      <c r="L193" s="70" t="str">
        <f>'RESUMEN TOTAL'!S246</f>
        <v>APAGADO</v>
      </c>
      <c r="M193" s="70" t="str">
        <f>'RESUMEN TOTAL'!T246</f>
        <v>APAGADO</v>
      </c>
      <c r="N193" s="70">
        <f>'RESUMEN TOTAL'!U246</f>
        <v>0</v>
      </c>
      <c r="O193" s="70" t="str">
        <f>'RESUMEN TOTAL'!V246</f>
        <v>APAGADO</v>
      </c>
      <c r="P193" s="70">
        <f>'RESUMEN TOTAL'!W246</f>
        <v>0</v>
      </c>
      <c r="Q193" s="70" t="str">
        <f>'RESUMEN TOTAL'!X246</f>
        <v>APAGADO</v>
      </c>
      <c r="R193" s="70" t="str">
        <f>'RESUMEN TOTAL'!Y246</f>
        <v>APAGADO</v>
      </c>
      <c r="S193" s="70" t="str">
        <f>'RESUMEN TOTAL'!Z246</f>
        <v>APAGADO</v>
      </c>
      <c r="T193" s="70" t="str">
        <f>'RESUMEN TOTAL'!AA246</f>
        <v>APAGADO</v>
      </c>
      <c r="U193" s="70" t="str">
        <f>'RESUMEN TOTAL'!AB246</f>
        <v>APAGADO</v>
      </c>
      <c r="V193" s="70" t="str">
        <f>'RESUMEN TOTAL'!AC246</f>
        <v>APAGADO</v>
      </c>
      <c r="W193" s="70" t="str">
        <f>'RESUMEN TOTAL'!AD246</f>
        <v>APAGADO</v>
      </c>
      <c r="X193" s="70" t="str">
        <f>'RESUMEN TOTAL'!AE246</f>
        <v>APAGADO</v>
      </c>
      <c r="Y193" s="70" t="str">
        <f>'RESUMEN TOTAL'!AF246</f>
        <v>APAGADO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3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>
        <f>'RESUMEN TOTAL'!M247</f>
        <v>0</v>
      </c>
      <c r="G194" s="70">
        <f>'RESUMEN TOTAL'!N247</f>
        <v>0</v>
      </c>
      <c r="H194" s="70">
        <f>'RESUMEN TOTAL'!O247</f>
        <v>0</v>
      </c>
      <c r="I194" s="70">
        <f>'RESUMEN TOTAL'!P247</f>
        <v>0</v>
      </c>
      <c r="J194" s="70">
        <f>'RESUMEN TOTAL'!Q247</f>
        <v>0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3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>
        <f>'RESUMEN TOTAL'!M248</f>
        <v>0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 t="str">
        <f>'RESUMEN TOTAL'!AC248</f>
        <v>APAGADO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3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 t="str">
        <f>'RESUMEN TOTAL'!Z249</f>
        <v>APAGADO</v>
      </c>
      <c r="T196" s="70" t="str">
        <f>'RESUMEN TOTAL'!AA249</f>
        <v>APAGADO</v>
      </c>
      <c r="U196" s="70" t="str">
        <f>'RESUMEN TOTAL'!AB249</f>
        <v>APAGADO</v>
      </c>
      <c r="V196" s="70" t="str">
        <f>'RESUMEN TOTAL'!AC249</f>
        <v>APAGADO</v>
      </c>
      <c r="W196" s="70" t="str">
        <f>'RESUMEN TOTAL'!AD249</f>
        <v>APAGADO</v>
      </c>
      <c r="X196" s="70" t="str">
        <f>'RESUMEN TOTAL'!AE249</f>
        <v>APAGADO</v>
      </c>
      <c r="Y196" s="70" t="str">
        <f>'RESUMEN TOTAL'!AF249</f>
        <v>APAGADO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3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3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3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3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3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3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3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3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>
        <f>'RESUMEN TOTAL'!R257</f>
        <v>0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 t="str">
        <f>'RESUMEN TOTAL'!AC257</f>
        <v>APAGADO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3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>
        <f>'RESUMEN TOTAL'!P258</f>
        <v>0</v>
      </c>
      <c r="J205" s="70">
        <f>'RESUMEN TOTAL'!Q258</f>
        <v>0</v>
      </c>
      <c r="K205" s="70">
        <f>'RESUMEN TOTAL'!R258</f>
        <v>0</v>
      </c>
      <c r="L205" s="70">
        <f>'RESUMEN TOTAL'!S258</f>
        <v>0</v>
      </c>
      <c r="M205" s="70">
        <f>'RESUMEN TOTAL'!T258</f>
        <v>0</v>
      </c>
      <c r="N205" s="70">
        <f>'RESUMEN TOTAL'!U258</f>
        <v>0</v>
      </c>
      <c r="O205" s="70">
        <f>'RESUMEN TOTAL'!V258</f>
        <v>0</v>
      </c>
      <c r="P205" s="70">
        <f>'RESUMEN TOTAL'!W258</f>
        <v>0</v>
      </c>
      <c r="Q205" s="70">
        <f>'RESUMEN TOTAL'!X258</f>
        <v>0</v>
      </c>
      <c r="R205" s="70">
        <f>'RESUMEN TOTAL'!Y258</f>
        <v>0</v>
      </c>
      <c r="S205" s="70">
        <f>'RESUMEN TOTAL'!Z258</f>
        <v>0</v>
      </c>
      <c r="T205" s="70">
        <f>'RESUMEN TOTAL'!AA258</f>
        <v>0</v>
      </c>
      <c r="U205" s="70">
        <f>'RESUMEN TOTAL'!AB258</f>
        <v>0</v>
      </c>
      <c r="V205" s="70" t="str">
        <f>'RESUMEN TOTAL'!AC258</f>
        <v>APAGADO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3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3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>
        <f>'RESUMEN TOTAL'!M260</f>
        <v>0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 t="str">
        <f>'RESUMEN TOTAL'!R260</f>
        <v>APAGADO</v>
      </c>
      <c r="L207" s="70" t="str">
        <f>'RESUMEN TOTAL'!S260</f>
        <v>APAGADO</v>
      </c>
      <c r="M207" s="70" t="str">
        <f>'RESUMEN TOTAL'!T260</f>
        <v>APAGADO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 t="str">
        <f>'RESUMEN TOTAL'!AE260</f>
        <v>APAGADO</v>
      </c>
      <c r="Y207" s="70" t="str">
        <f>'RESUMEN TOTAL'!AF260</f>
        <v>APAGADO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3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3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>
        <f>'RESUMEN TOTAL'!M262</f>
        <v>0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 t="str">
        <f>'RESUMEN TOTAL'!R262</f>
        <v>APAGADO</v>
      </c>
      <c r="L209" s="70" t="str">
        <f>'RESUMEN TOTAL'!S262</f>
        <v>APAGADO</v>
      </c>
      <c r="M209" s="70" t="str">
        <f>'RESUMEN TOTAL'!T262</f>
        <v>APAGADO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 t="str">
        <f>'RESUMEN TOTAL'!AE262</f>
        <v>APAGADO</v>
      </c>
      <c r="Y209" s="70" t="str">
        <f>'RESUMEN TOTAL'!AF262</f>
        <v>APAGADO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3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 t="str">
        <f>'RESUMEN TOTAL'!N263</f>
        <v>APAGADO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3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 t="str">
        <f>'RESUMEN TOTAL'!M264</f>
        <v>APAGADO</v>
      </c>
      <c r="G211" s="70" t="str">
        <f>'RESUMEN TOTAL'!N264</f>
        <v>APAGADO</v>
      </c>
      <c r="H211" s="70" t="str">
        <f>'RESUMEN TOTAL'!O264</f>
        <v>APAGADO</v>
      </c>
      <c r="I211" s="70" t="str">
        <f>'RESUMEN TOTAL'!P264</f>
        <v>APAGADO</v>
      </c>
      <c r="J211" s="70" t="str">
        <f>'RESUMEN TOTAL'!Q264</f>
        <v>APAGADO</v>
      </c>
      <c r="K211" s="70" t="str">
        <f>'RESUMEN TOTAL'!R264</f>
        <v>APAGADO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 t="str">
        <f>'RESUMEN TOTAL'!X264</f>
        <v>APAGADO</v>
      </c>
      <c r="R211" s="70" t="str">
        <f>'RESUMEN TOTAL'!Y264</f>
        <v>APAGADO</v>
      </c>
      <c r="S211" s="70" t="str">
        <f>'RESUMEN TOTAL'!Z264</f>
        <v>APAGADO</v>
      </c>
      <c r="T211" s="70" t="str">
        <f>'RESUMEN TOTAL'!AA264</f>
        <v>APAGADO</v>
      </c>
      <c r="U211" s="70" t="str">
        <f>'RESUMEN TOTAL'!AB264</f>
        <v>APAGADO</v>
      </c>
      <c r="V211" s="70" t="str">
        <f>'RESUMEN TOTAL'!AC264</f>
        <v>APAGADO</v>
      </c>
      <c r="W211" s="70" t="str">
        <f>'RESUMEN TOTAL'!AD264</f>
        <v>APAGADO</v>
      </c>
      <c r="X211" s="70" t="str">
        <f>'RESUMEN TOTAL'!AE264</f>
        <v>APAGADO</v>
      </c>
      <c r="Y211" s="70" t="str">
        <f>'RESUMEN TOTAL'!AF264</f>
        <v>APAGADO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3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3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 t="str">
        <f>'RESUMEN TOTAL'!R266</f>
        <v>APAGADO</v>
      </c>
      <c r="L213" s="70" t="str">
        <f>'RESUMEN TOTAL'!S266</f>
        <v>APAGADO</v>
      </c>
      <c r="M213" s="70" t="str">
        <f>'RESUMEN TOTAL'!T266</f>
        <v>APAGADO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 t="str">
        <f>'RESUMEN TOTAL'!AE266</f>
        <v>APAGADO</v>
      </c>
      <c r="Y213" s="70" t="str">
        <f>'RESUMEN TOTAL'!AF266</f>
        <v>APAGADO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3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3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 t="str">
        <f>'RESUMEN TOTAL'!AC268</f>
        <v>APAGADO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3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 t="str">
        <f>'RESUMEN TOTAL'!AC269</f>
        <v>APAGADO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3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3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 t="str">
        <f>'RESUMEN TOTAL'!AA275</f>
        <v>APAGADO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3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3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 t="str">
        <f>'RESUMEN TOTAL'!AA277</f>
        <v>APAGADO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3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3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3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 t="str">
        <f>'RESUMEN TOTAL'!AC280</f>
        <v>APAGADO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3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>
        <f>'RESUMEN TOTAL'!W281</f>
        <v>0</v>
      </c>
      <c r="Q224" s="70" t="str">
        <f>'RESUMEN TOTAL'!X281</f>
        <v>APAGADO</v>
      </c>
      <c r="R224" s="70" t="str">
        <f>'RESUMEN TOTAL'!Y281</f>
        <v>APAGADO</v>
      </c>
      <c r="S224" s="70" t="str">
        <f>'RESUMEN TOTAL'!Z281</f>
        <v>APAGADO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>
        <f>'RESUMEN TOTAL'!AG281</f>
        <v>0</v>
      </c>
      <c r="AA224" s="70">
        <f>'RESUMEN TOTAL'!AH281</f>
        <v>0</v>
      </c>
      <c r="AB224" s="70">
        <f>'RESUMEN TOTAL'!AI281</f>
        <v>0</v>
      </c>
      <c r="AC224" s="70">
        <f>'RESUMEN TOTAL'!AJ281</f>
        <v>0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3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3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>
        <f>'RESUMEN TOTAL'!N283</f>
        <v>0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3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3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3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3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>
        <f>'RESUMEN TOTAL'!W290</f>
        <v>0</v>
      </c>
      <c r="Q230" s="70">
        <f>'RESUMEN TOTAL'!X290</f>
        <v>0</v>
      </c>
      <c r="R230" s="70">
        <f>'RESUMEN TOTAL'!Y290</f>
        <v>0</v>
      </c>
      <c r="S230" s="70">
        <f>'RESUMEN TOTAL'!Z290</f>
        <v>0</v>
      </c>
      <c r="T230" s="70">
        <f>'RESUMEN TOTAL'!AA290</f>
        <v>0</v>
      </c>
      <c r="U230" s="70">
        <f>'RESUMEN TOTAL'!AB290</f>
        <v>0</v>
      </c>
      <c r="V230" s="70">
        <f>'RESUMEN TOTAL'!AC290</f>
        <v>0</v>
      </c>
      <c r="W230" s="70">
        <f>'RESUMEN TOTAL'!AD290</f>
        <v>0</v>
      </c>
      <c r="X230" s="70">
        <f>'RESUMEN TOTAL'!AE290</f>
        <v>0</v>
      </c>
      <c r="Y230" s="70">
        <f>'RESUMEN TOTAL'!AF290</f>
        <v>0</v>
      </c>
      <c r="Z230" s="70">
        <f>'RESUMEN TOTAL'!AG290</f>
        <v>0</v>
      </c>
      <c r="AA230" s="70">
        <f>'RESUMEN TOTAL'!AH290</f>
        <v>0</v>
      </c>
      <c r="AB230" s="70">
        <f>'RESUMEN TOTAL'!AI290</f>
        <v>0</v>
      </c>
      <c r="AC230" s="70">
        <f>'RESUMEN TOTAL'!AJ290</f>
        <v>0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3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>
        <f>'RESUMEN TOTAL'!W291</f>
        <v>0</v>
      </c>
      <c r="Q231" s="70">
        <f>'RESUMEN TOTAL'!X291</f>
        <v>0</v>
      </c>
      <c r="R231" s="70">
        <f>'RESUMEN TOTAL'!Y291</f>
        <v>0</v>
      </c>
      <c r="S231" s="70">
        <f>'RESUMEN TOTAL'!Z291</f>
        <v>0</v>
      </c>
      <c r="T231" s="70">
        <f>'RESUMEN TOTAL'!AA291</f>
        <v>0</v>
      </c>
      <c r="U231" s="70">
        <f>'RESUMEN TOTAL'!AB291</f>
        <v>0</v>
      </c>
      <c r="V231" s="70">
        <f>'RESUMEN TOTAL'!AC291</f>
        <v>0</v>
      </c>
      <c r="W231" s="70">
        <f>'RESUMEN TOTAL'!AD291</f>
        <v>0</v>
      </c>
      <c r="X231" s="70">
        <f>'RESUMEN TOTAL'!AE291</f>
        <v>0</v>
      </c>
      <c r="Y231" s="70">
        <f>'RESUMEN TOTAL'!AF291</f>
        <v>0</v>
      </c>
      <c r="Z231" s="70">
        <f>'RESUMEN TOTAL'!AG291</f>
        <v>0</v>
      </c>
      <c r="AA231" s="70">
        <f>'RESUMEN TOTAL'!AH291</f>
        <v>0</v>
      </c>
      <c r="AB231" s="70">
        <f>'RESUMEN TOTAL'!AI291</f>
        <v>0</v>
      </c>
      <c r="AC231" s="70">
        <f>'RESUMEN TOTAL'!AJ291</f>
        <v>0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3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3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3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3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3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>
        <f>'RESUMEN TOTAL'!W296</f>
        <v>0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>
        <f>'RESUMEN TOTAL'!AG296</f>
        <v>0</v>
      </c>
      <c r="AA236" s="70">
        <f>'RESUMEN TOTAL'!AH296</f>
        <v>0</v>
      </c>
      <c r="AB236" s="70">
        <f>'RESUMEN TOTAL'!AI296</f>
        <v>0</v>
      </c>
      <c r="AC236" s="70">
        <f>'RESUMEN TOTAL'!AJ296</f>
        <v>0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3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>
        <f>'RESUMEN TOTAL'!M297</f>
        <v>0</v>
      </c>
      <c r="G237" s="70">
        <f>'RESUMEN TOTAL'!N297</f>
        <v>0</v>
      </c>
      <c r="H237" s="70">
        <f>'RESUMEN TOTAL'!O297</f>
        <v>0</v>
      </c>
      <c r="I237" s="70">
        <f>'RESUMEN TOTAL'!P297</f>
        <v>0</v>
      </c>
      <c r="J237" s="70">
        <f>'RESUMEN TOTAL'!Q297</f>
        <v>0</v>
      </c>
      <c r="K237" s="70">
        <f>'RESUMEN TOTAL'!R297</f>
        <v>0</v>
      </c>
      <c r="L237" s="70">
        <f>'RESUMEN TOTAL'!S297</f>
        <v>0</v>
      </c>
      <c r="M237" s="70">
        <f>'RESUMEN TOTAL'!T297</f>
        <v>0</v>
      </c>
      <c r="N237" s="70">
        <f>'RESUMEN TOTAL'!U297</f>
        <v>0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3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>
        <f>'RESUMEN TOTAL'!Q298</f>
        <v>0</v>
      </c>
      <c r="K238" s="70" t="str">
        <f>'RESUMEN TOTAL'!R298</f>
        <v>APAGADO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3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 t="str">
        <f>'RESUMEN TOTAL'!R299</f>
        <v>APAGADO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3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3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3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3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3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3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3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3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3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>
        <f>'RESUMEN TOTAL'!W308</f>
        <v>0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>
        <f>'RESUMEN TOTAL'!AG308</f>
        <v>0</v>
      </c>
      <c r="AA248" s="70">
        <f>'RESUMEN TOTAL'!AH308</f>
        <v>0</v>
      </c>
      <c r="AB248" s="70">
        <f>'RESUMEN TOTAL'!AI308</f>
        <v>0</v>
      </c>
      <c r="AC248" s="70">
        <f>'RESUMEN TOTAL'!AJ308</f>
        <v>0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3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3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>
        <f>'RESUMEN TOTAL'!W310</f>
        <v>0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>
        <f>'RESUMEN TOTAL'!AG310</f>
        <v>0</v>
      </c>
      <c r="AA250" s="70">
        <f>'RESUMEN TOTAL'!AH310</f>
        <v>0</v>
      </c>
      <c r="AB250" s="70">
        <f>'RESUMEN TOTAL'!AI310</f>
        <v>0</v>
      </c>
      <c r="AC250" s="70">
        <f>'RESUMEN TOTAL'!AJ310</f>
        <v>0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3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>
        <f>'RESUMEN TOTAL'!M311</f>
        <v>0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>
        <f>'RESUMEN TOTAL'!T311</f>
        <v>0</v>
      </c>
      <c r="N251" s="70">
        <f>'RESUMEN TOTAL'!U311</f>
        <v>0</v>
      </c>
      <c r="O251" s="70" t="str">
        <f>'RESUMEN TOTAL'!V311</f>
        <v>APAGADO</v>
      </c>
      <c r="P251" s="70">
        <f>'RESUMEN TOTAL'!W311</f>
        <v>0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>
        <f>'RESUMEN TOTAL'!AG311</f>
        <v>0</v>
      </c>
      <c r="AA251" s="70">
        <f>'RESUMEN TOTAL'!AH311</f>
        <v>0</v>
      </c>
      <c r="AB251" s="70">
        <f>'RESUMEN TOTAL'!AI311</f>
        <v>0</v>
      </c>
      <c r="AC251" s="70">
        <f>'RESUMEN TOTAL'!AJ311</f>
        <v>0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3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>
        <f>'RESUMEN TOTAL'!M312</f>
        <v>0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>
        <f>'RESUMEN TOTAL'!T312</f>
        <v>0</v>
      </c>
      <c r="N252" s="70">
        <f>'RESUMEN TOTAL'!U312</f>
        <v>0</v>
      </c>
      <c r="O252" s="70" t="str">
        <f>'RESUMEN TOTAL'!V312</f>
        <v>APAGADO</v>
      </c>
      <c r="P252" s="70">
        <f>'RESUMEN TOTAL'!W312</f>
        <v>0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>
        <f>'RESUMEN TOTAL'!AG312</f>
        <v>0</v>
      </c>
      <c r="AA252" s="70">
        <f>'RESUMEN TOTAL'!AH312</f>
        <v>0</v>
      </c>
      <c r="AB252" s="70">
        <f>'RESUMEN TOTAL'!AI312</f>
        <v>0</v>
      </c>
      <c r="AC252" s="70">
        <f>'RESUMEN TOTAL'!AJ312</f>
        <v>0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3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>
        <f>'RESUMEN TOTAL'!M313</f>
        <v>0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>
        <f>'RESUMEN TOTAL'!T313</f>
        <v>0</v>
      </c>
      <c r="N253" s="70">
        <f>'RESUMEN TOTAL'!U313</f>
        <v>0</v>
      </c>
      <c r="O253" s="70" t="str">
        <f>'RESUMEN TOTAL'!V313</f>
        <v>APAGADO</v>
      </c>
      <c r="P253" s="70">
        <f>'RESUMEN TOTAL'!W313</f>
        <v>0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>
        <f>'RESUMEN TOTAL'!AG313</f>
        <v>0</v>
      </c>
      <c r="AA253" s="70">
        <f>'RESUMEN TOTAL'!AH313</f>
        <v>0</v>
      </c>
      <c r="AB253" s="70">
        <f>'RESUMEN TOTAL'!AI313</f>
        <v>0</v>
      </c>
      <c r="AC253" s="70">
        <f>'RESUMEN TOTAL'!AJ313</f>
        <v>0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3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 t="str">
        <f>'RESUMEN TOTAL'!M314</f>
        <v>APAGADO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e">
        <f>'RESUMEN TOTAL'!#REF!</f>
        <v>#REF!</v>
      </c>
      <c r="P254" s="70">
        <f>'RESUMEN TOTAL'!W314</f>
        <v>0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 t="str">
        <f>'RESUMEN TOTAL'!AC314</f>
        <v>APAGADO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>
        <f>'RESUMEN TOTAL'!AG314</f>
        <v>0</v>
      </c>
      <c r="AA254" s="70">
        <f>'RESUMEN TOTAL'!AH314</f>
        <v>0</v>
      </c>
      <c r="AB254" s="70">
        <f>'RESUMEN TOTAL'!AI314</f>
        <v>0</v>
      </c>
      <c r="AC254" s="70">
        <f>'RESUMEN TOTAL'!AJ314</f>
        <v>0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3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 t="str">
        <f>'RESUMEN TOTAL'!M315</f>
        <v>APAGADO</v>
      </c>
      <c r="G255" s="70" t="str">
        <f>'RESUMEN TOTAL'!N315</f>
        <v>APAGADO</v>
      </c>
      <c r="H255" s="70" t="str">
        <f>'RESUMEN TOTAL'!O315</f>
        <v>APAGADO</v>
      </c>
      <c r="I255" s="70" t="str">
        <f>'RESUMEN TOTAL'!P315</f>
        <v>APAGADO</v>
      </c>
      <c r="J255" s="70" t="str">
        <f>'RESUMEN TOTAL'!Q315</f>
        <v>APAGADO</v>
      </c>
      <c r="K255" s="70">
        <f>'RESUMEN TOTAL'!R315</f>
        <v>0</v>
      </c>
      <c r="L255" s="70">
        <f>'RESUMEN TOTAL'!S315</f>
        <v>0</v>
      </c>
      <c r="M255" s="70" t="str">
        <f>'RESUMEN TOTAL'!T315</f>
        <v>APAGADO</v>
      </c>
      <c r="N255" s="70" t="str">
        <f>'RESUMEN TOTAL'!U315</f>
        <v>APAGADO</v>
      </c>
      <c r="O255" s="70" t="str">
        <f>'RESUMEN TOTAL'!V314</f>
        <v>APAGADO</v>
      </c>
      <c r="P255" s="70">
        <f>'RESUMEN TOTAL'!W315</f>
        <v>0</v>
      </c>
      <c r="Q255" s="70" t="str">
        <f>'RESUMEN TOTAL'!X315</f>
        <v>APAGADO</v>
      </c>
      <c r="R255" s="70" t="str">
        <f>'RESUMEN TOTAL'!Y315</f>
        <v>APAGADO</v>
      </c>
      <c r="S255" s="70" t="str">
        <f>'RESUMEN TOTAL'!Z315</f>
        <v>APAGADO</v>
      </c>
      <c r="T255" s="70" t="str">
        <f>'RESUMEN TOTAL'!AA315</f>
        <v>APAGADO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 t="str">
        <f>'RESUMEN TOTAL'!AE315</f>
        <v>APAGADO</v>
      </c>
      <c r="Y255" s="70" t="str">
        <f>'RESUMEN TOTAL'!AF315</f>
        <v>APAGADO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>
        <f>'RESUMEN TOTAL'!AJ315</f>
        <v>0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3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 t="str">
        <f>'RESUMEN TOTAL'!M316</f>
        <v>APAGADO</v>
      </c>
      <c r="G256" s="70" t="str">
        <f>'RESUMEN TOTAL'!N316</f>
        <v>APAGADO</v>
      </c>
      <c r="H256" s="70" t="str">
        <f>'RESUMEN TOTAL'!O316</f>
        <v>APAGADO</v>
      </c>
      <c r="I256" s="70" t="str">
        <f>'RESUMEN TOTAL'!P316</f>
        <v>APAGADO</v>
      </c>
      <c r="J256" s="70" t="str">
        <f>'RESUMEN TOTAL'!Q316</f>
        <v>APAGADO</v>
      </c>
      <c r="K256" s="70">
        <f>'RESUMEN TOTAL'!R316</f>
        <v>0</v>
      </c>
      <c r="L256" s="70">
        <f>'RESUMEN TOTAL'!S316</f>
        <v>0</v>
      </c>
      <c r="M256" s="70" t="str">
        <f>'RESUMEN TOTAL'!T316</f>
        <v>APAGADO</v>
      </c>
      <c r="N256" s="70" t="str">
        <f>'RESUMEN TOTAL'!U316</f>
        <v>APAGADO</v>
      </c>
      <c r="O256" s="70">
        <f>'RESUMEN TOTAL'!V316</f>
        <v>0</v>
      </c>
      <c r="P256" s="70">
        <f>'RESUMEN TOTAL'!W316</f>
        <v>0</v>
      </c>
      <c r="Q256" s="70" t="str">
        <f>'RESUMEN TOTAL'!X316</f>
        <v>APAGADO</v>
      </c>
      <c r="R256" s="70" t="str">
        <f>'RESUMEN TOTAL'!Y316</f>
        <v>APAGADO</v>
      </c>
      <c r="S256" s="70" t="str">
        <f>'RESUMEN TOTAL'!Z316</f>
        <v>APAGADO</v>
      </c>
      <c r="T256" s="70" t="str">
        <f>'RESUMEN TOTAL'!AA316</f>
        <v>APAGADO</v>
      </c>
      <c r="U256" s="70" t="str">
        <f>'RESUMEN TOTAL'!AB316</f>
        <v>APAGADO</v>
      </c>
      <c r="V256" s="70" t="str">
        <f>'RESUMEN TOTAL'!AC316</f>
        <v>APAGADO</v>
      </c>
      <c r="W256" s="70" t="str">
        <f>'RESUMEN TOTAL'!AD316</f>
        <v>APAGADO</v>
      </c>
      <c r="X256" s="70" t="str">
        <f>'RESUMEN TOTAL'!AE316</f>
        <v>APAGADO</v>
      </c>
      <c r="Y256" s="70" t="str">
        <f>'RESUMEN TOTAL'!AF316</f>
        <v>APAGADO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>
        <f>'RESUMEN TOTAL'!AJ316</f>
        <v>0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3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>
        <f>'RESUMEN TOTAL'!M317</f>
        <v>0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3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>
        <f>'RESUMEN TOTAL'!M318</f>
        <v>0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3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>
        <f>'RESUMEN TOTAL'!M319</f>
        <v>0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3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 t="str">
        <f>'RESUMEN TOTAL'!Y320</f>
        <v>APAGADO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3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3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3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3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3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3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3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>
        <f>'RESUMEN TOTAL'!M333</f>
        <v>0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 t="str">
        <f>'RESUMEN TOTAL'!V333</f>
        <v>APAGADO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3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3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3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3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>
        <f>'RESUMEN TOTAL'!AJ337</f>
        <v>0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3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3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3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3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3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3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3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3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>
        <f>'RESUMEN TOTAL'!P348</f>
        <v>0</v>
      </c>
      <c r="J279" s="70">
        <f>'RESUMEN TOTAL'!Q348</f>
        <v>0</v>
      </c>
      <c r="K279" s="70">
        <f>'RESUMEN TOTAL'!R348</f>
        <v>0</v>
      </c>
      <c r="L279" s="70">
        <f>'RESUMEN TOTAL'!S348</f>
        <v>0</v>
      </c>
      <c r="M279" s="70">
        <f>'RESUMEN TOTAL'!T348</f>
        <v>0</v>
      </c>
      <c r="N279" s="70">
        <f>'RESUMEN TOTAL'!U348</f>
        <v>0</v>
      </c>
      <c r="O279" s="70">
        <f>'RESUMEN TOTAL'!V348</f>
        <v>0</v>
      </c>
      <c r="P279" s="70">
        <f>'RESUMEN TOTAL'!W348</f>
        <v>0</v>
      </c>
      <c r="Q279" s="70" t="str">
        <f>'RESUMEN TOTAL'!X348</f>
        <v>APAGADO</v>
      </c>
      <c r="R279" s="70" t="str">
        <f>'RESUMEN TOTAL'!Y348</f>
        <v>APAGADO</v>
      </c>
      <c r="S279" s="70">
        <f>'RESUMEN TOTAL'!Z348</f>
        <v>0</v>
      </c>
      <c r="T279" s="70">
        <f>'RESUMEN TOTAL'!AA348</f>
        <v>0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3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>
        <f>'RESUMEN TOTAL'!P349</f>
        <v>0</v>
      </c>
      <c r="J280" s="70">
        <f>'RESUMEN TOTAL'!Q349</f>
        <v>0</v>
      </c>
      <c r="K280" s="70">
        <f>'RESUMEN TOTAL'!R349</f>
        <v>0</v>
      </c>
      <c r="L280" s="70">
        <f>'RESUMEN TOTAL'!S349</f>
        <v>0</v>
      </c>
      <c r="M280" s="70">
        <f>'RESUMEN TOTAL'!T349</f>
        <v>0</v>
      </c>
      <c r="N280" s="70">
        <f>'RESUMEN TOTAL'!U349</f>
        <v>0</v>
      </c>
      <c r="O280" s="70">
        <f>'RESUMEN TOTAL'!V349</f>
        <v>0</v>
      </c>
      <c r="P280" s="70">
        <f>'RESUMEN TOTAL'!W349</f>
        <v>0</v>
      </c>
      <c r="Q280" s="70" t="str">
        <f>'RESUMEN TOTAL'!X349</f>
        <v>APAGADO</v>
      </c>
      <c r="R280" s="70" t="str">
        <f>'RESUMEN TOTAL'!Y349</f>
        <v>APAGADO</v>
      </c>
      <c r="S280" s="70">
        <f>'RESUMEN TOTAL'!Z349</f>
        <v>0</v>
      </c>
      <c r="T280" s="70">
        <f>'RESUMEN TOTAL'!AA349</f>
        <v>0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3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 t="str">
        <f>'RESUMEN TOTAL'!R350</f>
        <v>APAGADO</v>
      </c>
      <c r="L281" s="70" t="str">
        <f>'RESUMEN TOTAL'!S350</f>
        <v>APAGADO</v>
      </c>
      <c r="M281" s="70" t="str">
        <f>'RESUMEN TOTAL'!T350</f>
        <v>APAGADO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 t="str">
        <f>'RESUMEN TOTAL'!AE350</f>
        <v>APAGADO</v>
      </c>
      <c r="Y281" s="70" t="str">
        <f>'RESUMEN TOTAL'!AF350</f>
        <v>APAGADO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3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>
        <f>'RESUMEN TOTAL'!M351</f>
        <v>0</v>
      </c>
      <c r="G282" s="70">
        <f>'RESUMEN TOTAL'!N351</f>
        <v>0</v>
      </c>
      <c r="H282" s="70">
        <f>'RESUMEN TOTAL'!O351</f>
        <v>0</v>
      </c>
      <c r="I282" s="70">
        <f>'RESUMEN TOTAL'!P351</f>
        <v>0</v>
      </c>
      <c r="J282" s="70">
        <f>'RESUMEN TOTAL'!Q351</f>
        <v>0</v>
      </c>
      <c r="K282" s="70">
        <f>'RESUMEN TOTAL'!R351</f>
        <v>0</v>
      </c>
      <c r="L282" s="70">
        <f>'RESUMEN TOTAL'!S351</f>
        <v>0</v>
      </c>
      <c r="M282" s="70">
        <f>'RESUMEN TOTAL'!T351</f>
        <v>0</v>
      </c>
      <c r="N282" s="70">
        <f>'RESUMEN TOTAL'!U351</f>
        <v>0</v>
      </c>
      <c r="O282" s="70">
        <f>'RESUMEN TOTAL'!V351</f>
        <v>0</v>
      </c>
      <c r="P282" s="70">
        <f>'RESUMEN TOTAL'!W351</f>
        <v>0</v>
      </c>
      <c r="Q282" s="70">
        <f>'RESUMEN TOTAL'!X351</f>
        <v>0</v>
      </c>
      <c r="R282" s="70">
        <f>'RESUMEN TOTAL'!Y351</f>
        <v>0</v>
      </c>
      <c r="S282" s="70">
        <f>'RESUMEN TOTAL'!Z351</f>
        <v>0</v>
      </c>
      <c r="T282" s="70">
        <f>'RESUMEN TOTAL'!AA351</f>
        <v>0</v>
      </c>
      <c r="U282" s="70">
        <f>'RESUMEN TOTAL'!AB351</f>
        <v>0</v>
      </c>
      <c r="V282" s="70">
        <f>'RESUMEN TOTAL'!AC351</f>
        <v>0</v>
      </c>
      <c r="W282" s="70">
        <f>'RESUMEN TOTAL'!AD351</f>
        <v>0</v>
      </c>
      <c r="X282" s="70">
        <f>'RESUMEN TOTAL'!AE351</f>
        <v>0</v>
      </c>
      <c r="Y282" s="70">
        <f>'RESUMEN TOTAL'!AF351</f>
        <v>0</v>
      </c>
      <c r="Z282" s="70">
        <f>'RESUMEN TOTAL'!AG351</f>
        <v>0</v>
      </c>
      <c r="AA282" s="70">
        <f>'RESUMEN TOTAL'!AH351</f>
        <v>0</v>
      </c>
      <c r="AB282" s="70">
        <f>'RESUMEN TOTAL'!AI351</f>
        <v>0</v>
      </c>
      <c r="AC282" s="70">
        <f>'RESUMEN TOTAL'!AJ351</f>
        <v>0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3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>
        <f>'RESUMEN TOTAL'!M352</f>
        <v>0</v>
      </c>
      <c r="G283" s="70">
        <f>'RESUMEN TOTAL'!N352</f>
        <v>0</v>
      </c>
      <c r="H283" s="70">
        <f>'RESUMEN TOTAL'!O352</f>
        <v>0</v>
      </c>
      <c r="I283" s="70">
        <f>'RESUMEN TOTAL'!P352</f>
        <v>0</v>
      </c>
      <c r="J283" s="70">
        <f>'RESUMEN TOTAL'!Q352</f>
        <v>0</v>
      </c>
      <c r="K283" s="70">
        <f>'RESUMEN TOTAL'!R352</f>
        <v>0</v>
      </c>
      <c r="L283" s="70">
        <f>'RESUMEN TOTAL'!S352</f>
        <v>0</v>
      </c>
      <c r="M283" s="70">
        <f>'RESUMEN TOTAL'!T352</f>
        <v>0</v>
      </c>
      <c r="N283" s="70">
        <f>'RESUMEN TOTAL'!U352</f>
        <v>0</v>
      </c>
      <c r="O283" s="70">
        <f>'RESUMEN TOTAL'!V352</f>
        <v>0</v>
      </c>
      <c r="P283" s="70">
        <f>'RESUMEN TOTAL'!W352</f>
        <v>0</v>
      </c>
      <c r="Q283" s="70">
        <f>'RESUMEN TOTAL'!X352</f>
        <v>0</v>
      </c>
      <c r="R283" s="70">
        <f>'RESUMEN TOTAL'!Y352</f>
        <v>0</v>
      </c>
      <c r="S283" s="70">
        <f>'RESUMEN TOTAL'!Z352</f>
        <v>0</v>
      </c>
      <c r="T283" s="70">
        <f>'RESUMEN TOTAL'!AA352</f>
        <v>0</v>
      </c>
      <c r="U283" s="70">
        <f>'RESUMEN TOTAL'!AB352</f>
        <v>0</v>
      </c>
      <c r="V283" s="70">
        <f>'RESUMEN TOTAL'!AC352</f>
        <v>0</v>
      </c>
      <c r="W283" s="70">
        <f>'RESUMEN TOTAL'!AD352</f>
        <v>0</v>
      </c>
      <c r="X283" s="70">
        <f>'RESUMEN TOTAL'!AE352</f>
        <v>0</v>
      </c>
      <c r="Y283" s="70">
        <f>'RESUMEN TOTAL'!AF352</f>
        <v>0</v>
      </c>
      <c r="Z283" s="70">
        <f>'RESUMEN TOTAL'!AG352</f>
        <v>0</v>
      </c>
      <c r="AA283" s="70">
        <f>'RESUMEN TOTAL'!AH352</f>
        <v>0</v>
      </c>
      <c r="AB283" s="70">
        <f>'RESUMEN TOTAL'!AI352</f>
        <v>0</v>
      </c>
      <c r="AC283" s="70">
        <f>'RESUMEN TOTAL'!AJ352</f>
        <v>0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3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 t="str">
        <f>'RESUMEN TOTAL'!AE353</f>
        <v>APAGADO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3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 t="str">
        <f>'RESUMEN TOTAL'!AE354</f>
        <v>APAGADO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3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 t="str">
        <f>'RESUMEN TOTAL'!AE355</f>
        <v>APAGADO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3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 t="str">
        <f>'RESUMEN TOTAL'!AE356</f>
        <v>APAGADO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3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 t="str">
        <f>'RESUMEN TOTAL'!AE357</f>
        <v>APAGADO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3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 t="str">
        <f>'RESUMEN TOTAL'!AE358</f>
        <v>APAGADO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3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 t="str">
        <f>'RESUMEN TOTAL'!AC359</f>
        <v>APAGADO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3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 t="str">
        <f>'RESUMEN TOTAL'!AC360</f>
        <v>APAGADO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3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3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3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>
        <f>'RESUMEN TOTAL'!AE367</f>
        <v>0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3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>
        <f>'RESUMEN TOTAL'!M369</f>
        <v>0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3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3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>
        <f>'RESUMEN TOTAL'!O371</f>
        <v>0</v>
      </c>
      <c r="I297" s="70">
        <f>'RESUMEN TOTAL'!P371</f>
        <v>0</v>
      </c>
      <c r="J297" s="70">
        <f>'RESUMEN TOTAL'!Q371</f>
        <v>0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3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>
        <f>'RESUMEN TOTAL'!O372</f>
        <v>0</v>
      </c>
      <c r="I298" s="70">
        <f>'RESUMEN TOTAL'!P372</f>
        <v>0</v>
      </c>
      <c r="J298" s="70">
        <f>'RESUMEN TOTAL'!Q372</f>
        <v>0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3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>
        <f>'RESUMEN TOTAL'!M373</f>
        <v>0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3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>
        <f>'RESUMEN TOTAL'!M374</f>
        <v>0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 t="str">
        <f>'RESUMEN TOTAL'!AF374</f>
        <v>APAGADO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3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 t="str">
        <f>'RESUMEN TOTAL'!M375</f>
        <v>APAGADO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>
        <f>'RESUMEN TOTAL'!W375</f>
        <v>0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>
        <f>'RESUMEN TOTAL'!AG375</f>
        <v>0</v>
      </c>
      <c r="AA301" s="70">
        <f>'RESUMEN TOTAL'!AH375</f>
        <v>0</v>
      </c>
      <c r="AB301" s="70">
        <f>'RESUMEN TOTAL'!AI375</f>
        <v>0</v>
      </c>
      <c r="AC301" s="70">
        <f>'RESUMEN TOTAL'!AJ375</f>
        <v>0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3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>
        <f>'RESUMEN TOTAL'!V376</f>
        <v>0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3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 t="str">
        <f>'RESUMEN TOTAL'!AC377</f>
        <v>APAGADO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3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 t="str">
        <f>'RESUMEN TOTAL'!M378</f>
        <v>APAGADO</v>
      </c>
      <c r="G304" s="70" t="str">
        <f>'RESUMEN TOTAL'!N378</f>
        <v>APAGADO</v>
      </c>
      <c r="H304" s="70">
        <f>'RESUMEN TOTAL'!O378</f>
        <v>0</v>
      </c>
      <c r="I304" s="70">
        <f>'RESUMEN TOTAL'!P378</f>
        <v>0</v>
      </c>
      <c r="J304" s="70">
        <f>'RESUMEN TOTAL'!Q378</f>
        <v>0</v>
      </c>
      <c r="K304" s="70" t="str">
        <f>'RESUMEN TOTAL'!R378</f>
        <v>APAGADO</v>
      </c>
      <c r="L304" s="70" t="str">
        <f>'RESUMEN TOTAL'!S378</f>
        <v>APAGADO</v>
      </c>
      <c r="M304" s="70" t="str">
        <f>'RESUMEN TOTAL'!T378</f>
        <v>APAGADO</v>
      </c>
      <c r="N304" s="70" t="str">
        <f>'RESUMEN TOTAL'!U378</f>
        <v>APAGADO</v>
      </c>
      <c r="O304" s="70" t="str">
        <f>'RESUMEN TOTAL'!V378</f>
        <v>APAGADO</v>
      </c>
      <c r="P304" s="70">
        <f>'RESUMEN TOTAL'!W378</f>
        <v>0</v>
      </c>
      <c r="Q304" s="70" t="str">
        <f>'RESUMEN TOTAL'!X378</f>
        <v>APAGADO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>
        <f>'RESUMEN TOTAL'!AD378</f>
        <v>0</v>
      </c>
      <c r="X304" s="70">
        <f>'RESUMEN TOTAL'!AE378</f>
        <v>0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3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 t="str">
        <f>'RESUMEN TOTAL'!M379</f>
        <v>APAGADO</v>
      </c>
      <c r="G305" s="70" t="str">
        <f>'RESUMEN TOTAL'!N379</f>
        <v>APAGADO</v>
      </c>
      <c r="H305" s="70">
        <f>'RESUMEN TOTAL'!O379</f>
        <v>0</v>
      </c>
      <c r="I305" s="70">
        <f>'RESUMEN TOTAL'!P379</f>
        <v>0</v>
      </c>
      <c r="J305" s="70">
        <f>'RESUMEN TOTAL'!Q379</f>
        <v>0</v>
      </c>
      <c r="K305" s="70" t="str">
        <f>'RESUMEN TOTAL'!R379</f>
        <v>APAGADO</v>
      </c>
      <c r="L305" s="70" t="str">
        <f>'RESUMEN TOTAL'!S379</f>
        <v>APAGADO</v>
      </c>
      <c r="M305" s="70" t="str">
        <f>'RESUMEN TOTAL'!T379</f>
        <v>APAGADO</v>
      </c>
      <c r="N305" s="70" t="str">
        <f>'RESUMEN TOTAL'!U379</f>
        <v>APAGADO</v>
      </c>
      <c r="O305" s="70" t="str">
        <f>'RESUMEN TOTAL'!V379</f>
        <v>APAGADO</v>
      </c>
      <c r="P305" s="70">
        <f>'RESUMEN TOTAL'!W379</f>
        <v>0</v>
      </c>
      <c r="Q305" s="70" t="str">
        <f>'RESUMEN TOTAL'!X379</f>
        <v>APAGADO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>
        <f>'RESUMEN TOTAL'!AD379</f>
        <v>0</v>
      </c>
      <c r="X305" s="70">
        <f>'RESUMEN TOTAL'!AE379</f>
        <v>0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3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 t="str">
        <f>'RESUMEN TOTAL'!M380</f>
        <v>APAGADO</v>
      </c>
      <c r="G306" s="70" t="str">
        <f>'RESUMEN TOTAL'!N380</f>
        <v>APAGADO</v>
      </c>
      <c r="H306" s="70">
        <f>'RESUMEN TOTAL'!O380</f>
        <v>0</v>
      </c>
      <c r="I306" s="70">
        <f>'RESUMEN TOTAL'!P380</f>
        <v>0</v>
      </c>
      <c r="J306" s="70">
        <f>'RESUMEN TOTAL'!Q380</f>
        <v>0</v>
      </c>
      <c r="K306" s="70" t="str">
        <f>'RESUMEN TOTAL'!R380</f>
        <v>APAGADO</v>
      </c>
      <c r="L306" s="70" t="str">
        <f>'RESUMEN TOTAL'!S380</f>
        <v>APAGADO</v>
      </c>
      <c r="M306" s="70" t="str">
        <f>'RESUMEN TOTAL'!T380</f>
        <v>APAGADO</v>
      </c>
      <c r="N306" s="70" t="str">
        <f>'RESUMEN TOTAL'!U380</f>
        <v>APAGADO</v>
      </c>
      <c r="O306" s="70" t="str">
        <f>'RESUMEN TOTAL'!V380</f>
        <v>APAGADO</v>
      </c>
      <c r="P306" s="70">
        <f>'RESUMEN TOTAL'!W380</f>
        <v>0</v>
      </c>
      <c r="Q306" s="70" t="str">
        <f>'RESUMEN TOTAL'!X380</f>
        <v>APAGADO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>
        <f>'RESUMEN TOTAL'!AD380</f>
        <v>0</v>
      </c>
      <c r="X306" s="70">
        <f>'RESUMEN TOTAL'!AE380</f>
        <v>0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3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 t="str">
        <f>'RESUMEN TOTAL'!M381</f>
        <v>APAGADO</v>
      </c>
      <c r="G307" s="70" t="str">
        <f>'RESUMEN TOTAL'!N381</f>
        <v>APAGADO</v>
      </c>
      <c r="H307" s="70">
        <f>'RESUMEN TOTAL'!O381</f>
        <v>0</v>
      </c>
      <c r="I307" s="70">
        <f>'RESUMEN TOTAL'!P381</f>
        <v>0</v>
      </c>
      <c r="J307" s="70">
        <f>'RESUMEN TOTAL'!Q381</f>
        <v>0</v>
      </c>
      <c r="K307" s="70" t="str">
        <f>'RESUMEN TOTAL'!R381</f>
        <v>APAGADO</v>
      </c>
      <c r="L307" s="70" t="str">
        <f>'RESUMEN TOTAL'!S381</f>
        <v>APAGADO</v>
      </c>
      <c r="M307" s="70" t="str">
        <f>'RESUMEN TOTAL'!T381</f>
        <v>APAGADO</v>
      </c>
      <c r="N307" s="70" t="str">
        <f>'RESUMEN TOTAL'!U381</f>
        <v>APAGADO</v>
      </c>
      <c r="O307" s="70" t="str">
        <f>'RESUMEN TOTAL'!V381</f>
        <v>APAGADO</v>
      </c>
      <c r="P307" s="70">
        <f>'RESUMEN TOTAL'!W381</f>
        <v>0</v>
      </c>
      <c r="Q307" s="70" t="str">
        <f>'RESUMEN TOTAL'!X381</f>
        <v>APAGADO</v>
      </c>
      <c r="R307" s="70" t="str">
        <f>'RESUMEN TOTAL'!Y381</f>
        <v>APAGADO</v>
      </c>
      <c r="S307" s="70" t="str">
        <f>'RESUMEN TOTAL'!Z381</f>
        <v>APAGADO</v>
      </c>
      <c r="T307" s="70" t="str">
        <f>'RESUMEN TOTAL'!AA381</f>
        <v>APAGADO</v>
      </c>
      <c r="U307" s="70" t="str">
        <f>'RESUMEN TOTAL'!AB381</f>
        <v>APAGADO</v>
      </c>
      <c r="V307" s="70" t="str">
        <f>'RESUMEN TOTAL'!AC381</f>
        <v>APAGADO</v>
      </c>
      <c r="W307" s="70" t="str">
        <f>'RESUMEN TOTAL'!AD381</f>
        <v>APAGADO</v>
      </c>
      <c r="X307" s="70" t="str">
        <f>'RESUMEN TOTAL'!AE381</f>
        <v>APAGADO</v>
      </c>
      <c r="Y307" s="70" t="str">
        <f>'RESUMEN TOTAL'!AF381</f>
        <v>APAGADO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3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 t="str">
        <f>'RESUMEN TOTAL'!M382</f>
        <v>APAGADO</v>
      </c>
      <c r="G308" s="70" t="str">
        <f>'RESUMEN TOTAL'!N382</f>
        <v>APAGADO</v>
      </c>
      <c r="H308" s="70">
        <f>'RESUMEN TOTAL'!O382</f>
        <v>0</v>
      </c>
      <c r="I308" s="70">
        <f>'RESUMEN TOTAL'!P382</f>
        <v>0</v>
      </c>
      <c r="J308" s="70">
        <f>'RESUMEN TOTAL'!Q382</f>
        <v>0</v>
      </c>
      <c r="K308" s="70" t="str">
        <f>'RESUMEN TOTAL'!R382</f>
        <v>APAGADO</v>
      </c>
      <c r="L308" s="70" t="str">
        <f>'RESUMEN TOTAL'!S382</f>
        <v>APAGADO</v>
      </c>
      <c r="M308" s="70" t="str">
        <f>'RESUMEN TOTAL'!T382</f>
        <v>APAGADO</v>
      </c>
      <c r="N308" s="70" t="str">
        <f>'RESUMEN TOTAL'!U382</f>
        <v>APAGADO</v>
      </c>
      <c r="O308" s="70" t="str">
        <f>'RESUMEN TOTAL'!V382</f>
        <v>APAGADO</v>
      </c>
      <c r="P308" s="70">
        <f>'RESUMEN TOTAL'!W382</f>
        <v>0</v>
      </c>
      <c r="Q308" s="70" t="str">
        <f>'RESUMEN TOTAL'!X382</f>
        <v>APAGADO</v>
      </c>
      <c r="R308" s="70" t="str">
        <f>'RESUMEN TOTAL'!Y382</f>
        <v>APAGADO</v>
      </c>
      <c r="S308" s="70" t="str">
        <f>'RESUMEN TOTAL'!Z382</f>
        <v>APAGADO</v>
      </c>
      <c r="T308" s="70" t="str">
        <f>'RESUMEN TOTAL'!AA382</f>
        <v>APAGADO</v>
      </c>
      <c r="U308" s="70" t="str">
        <f>'RESUMEN TOTAL'!AB382</f>
        <v>APAGADO</v>
      </c>
      <c r="V308" s="70" t="str">
        <f>'RESUMEN TOTAL'!AC382</f>
        <v>APAGADO</v>
      </c>
      <c r="W308" s="70" t="str">
        <f>'RESUMEN TOTAL'!AD382</f>
        <v>APAGADO</v>
      </c>
      <c r="X308" s="70" t="str">
        <f>'RESUMEN TOTAL'!AE382</f>
        <v>APAGADO</v>
      </c>
      <c r="Y308" s="70" t="str">
        <f>'RESUMEN TOTAL'!AF382</f>
        <v>APAGADO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3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 t="str">
        <f>'RESUMEN TOTAL'!M383</f>
        <v>APAGADO</v>
      </c>
      <c r="G309" s="70" t="str">
        <f>'RESUMEN TOTAL'!N383</f>
        <v>APAGADO</v>
      </c>
      <c r="H309" s="70">
        <f>'RESUMEN TOTAL'!O383</f>
        <v>0</v>
      </c>
      <c r="I309" s="70">
        <f>'RESUMEN TOTAL'!P383</f>
        <v>0</v>
      </c>
      <c r="J309" s="70">
        <f>'RESUMEN TOTAL'!Q383</f>
        <v>0</v>
      </c>
      <c r="K309" s="70" t="str">
        <f>'RESUMEN TOTAL'!R383</f>
        <v>APAGADO</v>
      </c>
      <c r="L309" s="70" t="str">
        <f>'RESUMEN TOTAL'!S383</f>
        <v>APAGADO</v>
      </c>
      <c r="M309" s="70" t="str">
        <f>'RESUMEN TOTAL'!T383</f>
        <v>APAGADO</v>
      </c>
      <c r="N309" s="70" t="str">
        <f>'RESUMEN TOTAL'!U383</f>
        <v>APAGADO</v>
      </c>
      <c r="O309" s="70" t="str">
        <f>'RESUMEN TOTAL'!V383</f>
        <v>APAGADO</v>
      </c>
      <c r="P309" s="70">
        <f>'RESUMEN TOTAL'!W383</f>
        <v>0</v>
      </c>
      <c r="Q309" s="70" t="str">
        <f>'RESUMEN TOTAL'!X383</f>
        <v>APAGADO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3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 t="str">
        <f>'RESUMEN TOTAL'!M384</f>
        <v>APAGADO</v>
      </c>
      <c r="G310" s="70" t="str">
        <f>'RESUMEN TOTAL'!N384</f>
        <v>APAGADO</v>
      </c>
      <c r="H310" s="70">
        <f>'RESUMEN TOTAL'!O384</f>
        <v>0</v>
      </c>
      <c r="I310" s="70">
        <f>'RESUMEN TOTAL'!P384</f>
        <v>0</v>
      </c>
      <c r="J310" s="70">
        <f>'RESUMEN TOTAL'!Q384</f>
        <v>0</v>
      </c>
      <c r="K310" s="70" t="str">
        <f>'RESUMEN TOTAL'!R384</f>
        <v>APAGADO</v>
      </c>
      <c r="L310" s="70" t="str">
        <f>'RESUMEN TOTAL'!S384</f>
        <v>APAGADO</v>
      </c>
      <c r="M310" s="70" t="str">
        <f>'RESUMEN TOTAL'!T384</f>
        <v>APAGADO</v>
      </c>
      <c r="N310" s="70" t="str">
        <f>'RESUMEN TOTAL'!U384</f>
        <v>APAGADO</v>
      </c>
      <c r="O310" s="70" t="str">
        <f>'RESUMEN TOTAL'!V384</f>
        <v>APAGADO</v>
      </c>
      <c r="P310" s="70">
        <f>'RESUMEN TOTAL'!W384</f>
        <v>0</v>
      </c>
      <c r="Q310" s="70" t="str">
        <f>'RESUMEN TOTAL'!X384</f>
        <v>APAGADO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3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 t="str">
        <f>'RESUMEN TOTAL'!M385</f>
        <v>APAGADO</v>
      </c>
      <c r="G311" s="70" t="str">
        <f>'RESUMEN TOTAL'!N385</f>
        <v>APAGADO</v>
      </c>
      <c r="H311" s="70">
        <f>'RESUMEN TOTAL'!O385</f>
        <v>0</v>
      </c>
      <c r="I311" s="70">
        <f>'RESUMEN TOTAL'!P385</f>
        <v>0</v>
      </c>
      <c r="J311" s="70">
        <f>'RESUMEN TOTAL'!Q385</f>
        <v>0</v>
      </c>
      <c r="K311" s="70" t="str">
        <f>'RESUMEN TOTAL'!R385</f>
        <v>APAGADO</v>
      </c>
      <c r="L311" s="70" t="str">
        <f>'RESUMEN TOTAL'!S385</f>
        <v>APAGADO</v>
      </c>
      <c r="M311" s="70" t="str">
        <f>'RESUMEN TOTAL'!T385</f>
        <v>APAGADO</v>
      </c>
      <c r="N311" s="70" t="str">
        <f>'RESUMEN TOTAL'!U385</f>
        <v>APAGADO</v>
      </c>
      <c r="O311" s="70" t="str">
        <f>'RESUMEN TOTAL'!V385</f>
        <v>APAGADO</v>
      </c>
      <c r="P311" s="70">
        <f>'RESUMEN TOTAL'!W385</f>
        <v>0</v>
      </c>
      <c r="Q311" s="70" t="str">
        <f>'RESUMEN TOTAL'!X385</f>
        <v>APAGADO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3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 t="str">
        <f>'RESUMEN TOTAL'!M386</f>
        <v>APAGADO</v>
      </c>
      <c r="G312" s="70" t="str">
        <f>'RESUMEN TOTAL'!N386</f>
        <v>APAGADO</v>
      </c>
      <c r="H312" s="70">
        <f>'RESUMEN TOTAL'!O386</f>
        <v>0</v>
      </c>
      <c r="I312" s="70">
        <f>'RESUMEN TOTAL'!P386</f>
        <v>0</v>
      </c>
      <c r="J312" s="70">
        <f>'RESUMEN TOTAL'!Q386</f>
        <v>0</v>
      </c>
      <c r="K312" s="70" t="str">
        <f>'RESUMEN TOTAL'!R386</f>
        <v>APAGADO</v>
      </c>
      <c r="L312" s="70" t="str">
        <f>'RESUMEN TOTAL'!S386</f>
        <v>APAGADO</v>
      </c>
      <c r="M312" s="70" t="str">
        <f>'RESUMEN TOTAL'!T386</f>
        <v>APAGADO</v>
      </c>
      <c r="N312" s="70" t="str">
        <f>'RESUMEN TOTAL'!U386</f>
        <v>APAGADO</v>
      </c>
      <c r="O312" s="70" t="str">
        <f>'RESUMEN TOTAL'!V386</f>
        <v>APAGADO</v>
      </c>
      <c r="P312" s="70">
        <f>'RESUMEN TOTAL'!W386</f>
        <v>0</v>
      </c>
      <c r="Q312" s="70" t="str">
        <f>'RESUMEN TOTAL'!X386</f>
        <v>APAGADO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3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 t="str">
        <f>'RESUMEN TOTAL'!M387</f>
        <v>APAGADO</v>
      </c>
      <c r="G313" s="70" t="str">
        <f>'RESUMEN TOTAL'!N387</f>
        <v>APAGADO</v>
      </c>
      <c r="H313" s="70">
        <f>'RESUMEN TOTAL'!O387</f>
        <v>0</v>
      </c>
      <c r="I313" s="70">
        <f>'RESUMEN TOTAL'!P387</f>
        <v>0</v>
      </c>
      <c r="J313" s="70">
        <f>'RESUMEN TOTAL'!Q387</f>
        <v>0</v>
      </c>
      <c r="K313" s="70" t="str">
        <f>'RESUMEN TOTAL'!R387</f>
        <v>APAGADO</v>
      </c>
      <c r="L313" s="70" t="str">
        <f>'RESUMEN TOTAL'!S387</f>
        <v>APAGADO</v>
      </c>
      <c r="M313" s="70" t="str">
        <f>'RESUMEN TOTAL'!T387</f>
        <v>APAGADO</v>
      </c>
      <c r="N313" s="70" t="str">
        <f>'RESUMEN TOTAL'!U387</f>
        <v>APAGADO</v>
      </c>
      <c r="O313" s="70" t="str">
        <f>'RESUMEN TOTAL'!V387</f>
        <v>APAGADO</v>
      </c>
      <c r="P313" s="70">
        <f>'RESUMEN TOTAL'!W387</f>
        <v>0</v>
      </c>
      <c r="Q313" s="70" t="str">
        <f>'RESUMEN TOTAL'!X387</f>
        <v>APAGADO</v>
      </c>
      <c r="R313" s="70" t="str">
        <f>'RESUMEN TOTAL'!Y387</f>
        <v>APAGADO</v>
      </c>
      <c r="S313" s="70" t="str">
        <f>'RESUMEN TOTAL'!Z387</f>
        <v>APAGADO</v>
      </c>
      <c r="T313" s="70" t="str">
        <f>'RESUMEN TOTAL'!AA387</f>
        <v>APAGADO</v>
      </c>
      <c r="U313" s="70" t="str">
        <f>'RESUMEN TOTAL'!AB387</f>
        <v>APAGADO</v>
      </c>
      <c r="V313" s="70" t="str">
        <f>'RESUMEN TOTAL'!AC387</f>
        <v>APAGADO</v>
      </c>
      <c r="W313" s="70" t="str">
        <f>'RESUMEN TOTAL'!AD387</f>
        <v>APAGADO</v>
      </c>
      <c r="X313" s="70" t="str">
        <f>'RESUMEN TOTAL'!AE387</f>
        <v>APAGADO</v>
      </c>
      <c r="Y313" s="70" t="str">
        <f>'RESUMEN TOTAL'!AF387</f>
        <v>APAGADO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3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>
        <f>'RESUMEN TOTAL'!W388</f>
        <v>0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>
        <f>'RESUMEN TOTAL'!AG388</f>
        <v>0</v>
      </c>
      <c r="AA314" s="70">
        <f>'RESUMEN TOTAL'!AH388</f>
        <v>0</v>
      </c>
      <c r="AB314" s="70">
        <f>'RESUMEN TOTAL'!AI388</f>
        <v>0</v>
      </c>
      <c r="AC314" s="70">
        <f>'RESUMEN TOTAL'!AJ388</f>
        <v>0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3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>
        <f>'RESUMEN TOTAL'!W389</f>
        <v>0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>
        <f>'RESUMEN TOTAL'!AG389</f>
        <v>0</v>
      </c>
      <c r="AA315" s="70">
        <f>'RESUMEN TOTAL'!AH389</f>
        <v>0</v>
      </c>
      <c r="AB315" s="70">
        <f>'RESUMEN TOTAL'!AI389</f>
        <v>0</v>
      </c>
      <c r="AC315" s="70">
        <f>'RESUMEN TOTAL'!AJ389</f>
        <v>0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3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 t="str">
        <f>'RESUMEN TOTAL'!N395</f>
        <v>APAGADO</v>
      </c>
      <c r="H316" s="70">
        <f>'RESUMEN TOTAL'!O395</f>
        <v>0</v>
      </c>
      <c r="I316" s="70">
        <f>'RESUMEN TOTAL'!P395</f>
        <v>0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 t="str">
        <f>'RESUMEN TOTAL'!V395</f>
        <v>APAGADO</v>
      </c>
      <c r="P316" s="70">
        <f>'RESUMEN TOTAL'!W395</f>
        <v>0</v>
      </c>
      <c r="Q316" s="70" t="str">
        <f>'RESUMEN TOTAL'!X395</f>
        <v>APAGADO</v>
      </c>
      <c r="R316" s="70" t="str">
        <f>'RESUMEN TOTAL'!Y395</f>
        <v>APAGADO</v>
      </c>
      <c r="S316" s="70" t="str">
        <f>'RESUMEN TOTAL'!Z395</f>
        <v>APAGADO</v>
      </c>
      <c r="T316" s="70" t="str">
        <f>'RESUMEN TOTAL'!AA395</f>
        <v>APAGADO</v>
      </c>
      <c r="U316" s="70">
        <f>'RESUMEN TOTAL'!AB395</f>
        <v>0</v>
      </c>
      <c r="V316" s="70">
        <f>'RESUMEN TOTAL'!AC395</f>
        <v>0</v>
      </c>
      <c r="W316" s="70">
        <f>'RESUMEN TOTAL'!AD395</f>
        <v>0</v>
      </c>
      <c r="X316" s="70">
        <f>'RESUMEN TOTAL'!AE395</f>
        <v>0</v>
      </c>
      <c r="Y316" s="70">
        <f>'RESUMEN TOTAL'!AF395</f>
        <v>0</v>
      </c>
      <c r="Z316" s="70">
        <f>'RESUMEN TOTAL'!AG395</f>
        <v>0</v>
      </c>
      <c r="AA316" s="70">
        <f>'RESUMEN TOTAL'!AH395</f>
        <v>0</v>
      </c>
      <c r="AB316" s="70">
        <f>'RESUMEN TOTAL'!AI395</f>
        <v>0</v>
      </c>
      <c r="AC316" s="70">
        <f>'RESUMEN TOTAL'!AJ395</f>
        <v>0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3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 t="str">
        <f>'RESUMEN TOTAL'!Y396</f>
        <v>APAGADO</v>
      </c>
      <c r="S317" s="70" t="str">
        <f>'RESUMEN TOTAL'!Z396</f>
        <v>APAGADO</v>
      </c>
      <c r="T317" s="70" t="str">
        <f>'RESUMEN TOTAL'!AA396</f>
        <v>APAGADO</v>
      </c>
      <c r="U317" s="70">
        <f>'RESUMEN TOTAL'!AB396</f>
        <v>0</v>
      </c>
      <c r="V317" s="70" t="str">
        <f>'RESUMEN TOTAL'!AC396</f>
        <v>APAGADO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3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>
        <f>'RESUMEN TOTAL'!P397</f>
        <v>0</v>
      </c>
      <c r="J318" s="70">
        <f>'RESUMEN TOTAL'!Q397</f>
        <v>0</v>
      </c>
      <c r="K318" s="70" t="str">
        <f>'RESUMEN TOTAL'!R397</f>
        <v>APAGADO</v>
      </c>
      <c r="L318" s="70" t="str">
        <f>'RESUMEN TOTAL'!S397</f>
        <v>APAGADO</v>
      </c>
      <c r="M318" s="70">
        <f>'RESUMEN TOTAL'!T397</f>
        <v>0</v>
      </c>
      <c r="N318" s="70">
        <f>'RESUMEN TOTAL'!U397</f>
        <v>0</v>
      </c>
      <c r="O318" s="70">
        <f>'RESUMEN TOTAL'!V397</f>
        <v>0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>
        <f>'RESUMEN TOTAL'!AA397</f>
        <v>0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3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>
        <f>'RESUMEN TOTAL'!Q398</f>
        <v>0</v>
      </c>
      <c r="K319" s="70" t="str">
        <f>'RESUMEN TOTAL'!R398</f>
        <v>APAGADO</v>
      </c>
      <c r="L319" s="70" t="str">
        <f>'RESUMEN TOTAL'!S398</f>
        <v>APAGADO</v>
      </c>
      <c r="M319" s="70">
        <f>'RESUMEN TOTAL'!T398</f>
        <v>0</v>
      </c>
      <c r="N319" s="70">
        <f>'RESUMEN TOTAL'!U398</f>
        <v>0</v>
      </c>
      <c r="O319" s="70">
        <f>'RESUMEN TOTAL'!V398</f>
        <v>0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>
        <f>'RESUMEN TOTAL'!AA398</f>
        <v>0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3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>
        <f>'RESUMEN TOTAL'!W399</f>
        <v>0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>
        <f>'RESUMEN TOTAL'!AG399</f>
        <v>0</v>
      </c>
      <c r="AA320" s="70">
        <f>'RESUMEN TOTAL'!AH399</f>
        <v>0</v>
      </c>
      <c r="AB320" s="70">
        <f>'RESUMEN TOTAL'!AI399</f>
        <v>0</v>
      </c>
      <c r="AC320" s="70">
        <f>'RESUMEN TOTAL'!AJ399</f>
        <v>0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3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>
        <f>'RESUMEN TOTAL'!M400</f>
        <v>0</v>
      </c>
      <c r="G321" s="70">
        <f>'RESUMEN TOTAL'!N400</f>
        <v>0</v>
      </c>
      <c r="H321" s="70">
        <f>'RESUMEN TOTAL'!P400</f>
        <v>0</v>
      </c>
      <c r="I321" s="70">
        <v>0</v>
      </c>
      <c r="J321" s="70">
        <f>'RESUMEN TOTAL'!Q400</f>
        <v>0</v>
      </c>
      <c r="K321" s="70" t="str">
        <f>'RESUMEN TOTAL'!R400</f>
        <v>APAGADO</v>
      </c>
      <c r="L321" s="70" t="str">
        <f>'RESUMEN TOTAL'!S400</f>
        <v>APAGADO</v>
      </c>
      <c r="M321" s="70">
        <f>'RESUMEN TOTAL'!T400</f>
        <v>0</v>
      </c>
      <c r="N321" s="70">
        <f>'RESUMEN TOTAL'!U400</f>
        <v>0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>
        <f>'RESUMEN TOTAL'!AA400</f>
        <v>0</v>
      </c>
      <c r="U321" s="70">
        <f>'RESUMEN TOTAL'!AB400</f>
        <v>0</v>
      </c>
      <c r="V321" s="70">
        <f>'RESUMEN TOTAL'!AC400</f>
        <v>0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3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>
        <f>'RESUMEN TOTAL'!W401</f>
        <v>0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>
        <f>'RESUMEN TOTAL'!AG401</f>
        <v>0</v>
      </c>
      <c r="AA322" s="70">
        <f>'RESUMEN TOTAL'!AH401</f>
        <v>0</v>
      </c>
      <c r="AB322" s="70">
        <f>'RESUMEN TOTAL'!AI401</f>
        <v>0</v>
      </c>
      <c r="AC322" s="70">
        <f>'RESUMEN TOTAL'!AJ401</f>
        <v>0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3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>
        <f>'RESUMEN TOTAL'!W402</f>
        <v>0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>
        <f>'RESUMEN TOTAL'!AG402</f>
        <v>0</v>
      </c>
      <c r="AA323" s="70">
        <f>'RESUMEN TOTAL'!AH402</f>
        <v>0</v>
      </c>
      <c r="AB323" s="70">
        <f>'RESUMEN TOTAL'!AI402</f>
        <v>0</v>
      </c>
      <c r="AC323" s="70">
        <f>'RESUMEN TOTAL'!AJ402</f>
        <v>0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3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3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3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3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 t="str">
        <f>'RESUMEN TOTAL'!M413</f>
        <v>APAGADO</v>
      </c>
      <c r="G327" s="70" t="str">
        <f>'RESUMEN TOTAL'!N413</f>
        <v>APAGADO</v>
      </c>
      <c r="H327" s="70" t="str">
        <f>'RESUMEN TOTAL'!O413</f>
        <v>APAGADO</v>
      </c>
      <c r="I327" s="70" t="str">
        <f>'RESUMEN TOTAL'!P413</f>
        <v>APAGADO</v>
      </c>
      <c r="J327" s="70" t="str">
        <f>'RESUMEN TOTAL'!Q413</f>
        <v>APAGADO</v>
      </c>
      <c r="K327" s="70">
        <f>'RESUMEN TOTAL'!R413</f>
        <v>0</v>
      </c>
      <c r="L327" s="70">
        <f>'RESUMEN TOTAL'!S413</f>
        <v>0</v>
      </c>
      <c r="M327" s="70">
        <f>'RESUMEN TOTAL'!T413</f>
        <v>0</v>
      </c>
      <c r="N327" s="70">
        <f>'RESUMEN TOTAL'!U413</f>
        <v>0</v>
      </c>
      <c r="O327" s="70">
        <f>'RESUMEN TOTAL'!V413</f>
        <v>0</v>
      </c>
      <c r="P327" s="70">
        <f>'RESUMEN TOTAL'!W413</f>
        <v>0</v>
      </c>
      <c r="Q327" s="70">
        <f>'RESUMEN TOTAL'!X413</f>
        <v>0</v>
      </c>
      <c r="R327" s="70">
        <f>'RESUMEN TOTAL'!Y413</f>
        <v>0</v>
      </c>
      <c r="S327" s="70">
        <f>'RESUMEN TOTAL'!Z413</f>
        <v>0</v>
      </c>
      <c r="T327" s="70">
        <f>'RESUMEN TOTAL'!AA413</f>
        <v>0</v>
      </c>
      <c r="U327" s="70">
        <f>'RESUMEN TOTAL'!AB413</f>
        <v>0</v>
      </c>
      <c r="V327" s="70">
        <f>'RESUMEN TOTAL'!AC413</f>
        <v>0</v>
      </c>
      <c r="W327" s="70">
        <f>'RESUMEN TOTAL'!AD413</f>
        <v>0</v>
      </c>
      <c r="X327" s="70">
        <f>'RESUMEN TOTAL'!AE413</f>
        <v>0</v>
      </c>
      <c r="Y327" s="70">
        <f>'RESUMEN TOTAL'!AF413</f>
        <v>0</v>
      </c>
      <c r="Z327" s="70">
        <f>'RESUMEN TOTAL'!AG413</f>
        <v>0</v>
      </c>
      <c r="AA327" s="70">
        <f>'RESUMEN TOTAL'!AH413</f>
        <v>0</v>
      </c>
      <c r="AB327" s="70">
        <f>'RESUMEN TOTAL'!AI413</f>
        <v>0</v>
      </c>
      <c r="AC327" s="70">
        <f>'RESUMEN TOTAL'!AJ413</f>
        <v>0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3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>
        <f>'RESUMEN TOTAL'!P414</f>
        <v>0</v>
      </c>
      <c r="J328" s="70">
        <f>'RESUMEN TOTAL'!Q414</f>
        <v>0</v>
      </c>
      <c r="K328" s="70">
        <f>'RESUMEN TOTAL'!R414</f>
        <v>0</v>
      </c>
      <c r="L328" s="70">
        <f>'RESUMEN TOTAL'!S414</f>
        <v>0</v>
      </c>
      <c r="M328" s="70">
        <f>'RESUMEN TOTAL'!T414</f>
        <v>0</v>
      </c>
      <c r="N328" s="70">
        <f>'RESUMEN TOTAL'!U414</f>
        <v>0</v>
      </c>
      <c r="O328" s="70">
        <f>'RESUMEN TOTAL'!V414</f>
        <v>0</v>
      </c>
      <c r="P328" s="70">
        <f>'RESUMEN TOTAL'!W414</f>
        <v>0</v>
      </c>
      <c r="Q328" s="70">
        <f>'RESUMEN TOTAL'!X414</f>
        <v>0</v>
      </c>
      <c r="R328" s="70">
        <f>'RESUMEN TOTAL'!Y414</f>
        <v>0</v>
      </c>
      <c r="S328" s="70">
        <f>'RESUMEN TOTAL'!Z414</f>
        <v>0</v>
      </c>
      <c r="T328" s="70">
        <f>'RESUMEN TOTAL'!AA414</f>
        <v>0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3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>
        <f>'RESUMEN TOTAL'!W415</f>
        <v>0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>
        <f>'RESUMEN TOTAL'!AG415</f>
        <v>0</v>
      </c>
      <c r="AA329" s="70">
        <f>'RESUMEN TOTAL'!AH415</f>
        <v>0</v>
      </c>
      <c r="AB329" s="70">
        <f>'RESUMEN TOTAL'!AI415</f>
        <v>0</v>
      </c>
      <c r="AC329" s="70">
        <f>'RESUMEN TOTAL'!AJ415</f>
        <v>0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3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 t="str">
        <f>'RESUMEN TOTAL'!M416</f>
        <v>APAGADO</v>
      </c>
      <c r="G330" s="70" t="str">
        <f>'RESUMEN TOTAL'!N416</f>
        <v>APAGADO</v>
      </c>
      <c r="H330" s="70" t="str">
        <f>'RESUMEN TOTAL'!O416</f>
        <v>APAGADO</v>
      </c>
      <c r="I330" s="70" t="str">
        <f>'RESUMEN TOTAL'!P416</f>
        <v>APAGADO</v>
      </c>
      <c r="J330" s="70" t="str">
        <f>'RESUMEN TOTAL'!Q416</f>
        <v>APAGADO</v>
      </c>
      <c r="K330" s="70">
        <f>'RESUMEN TOTAL'!R416</f>
        <v>0</v>
      </c>
      <c r="L330" s="70">
        <f>'RESUMEN TOTAL'!S416</f>
        <v>0</v>
      </c>
      <c r="M330" s="70">
        <f>'RESUMEN TOTAL'!T416</f>
        <v>0</v>
      </c>
      <c r="N330" s="70">
        <f>'RESUMEN TOTAL'!U416</f>
        <v>0</v>
      </c>
      <c r="O330" s="70">
        <f>'RESUMEN TOTAL'!V416</f>
        <v>0</v>
      </c>
      <c r="P330" s="70">
        <f>'RESUMEN TOTAL'!W416</f>
        <v>0</v>
      </c>
      <c r="Q330" s="70">
        <f>'RESUMEN TOTAL'!X416</f>
        <v>0</v>
      </c>
      <c r="R330" s="70">
        <f>'RESUMEN TOTAL'!Y416</f>
        <v>0</v>
      </c>
      <c r="S330" s="70">
        <f>'RESUMEN TOTAL'!Z416</f>
        <v>0</v>
      </c>
      <c r="T330" s="70">
        <f>'RESUMEN TOTAL'!AA416</f>
        <v>0</v>
      </c>
      <c r="U330" s="70">
        <f>'RESUMEN TOTAL'!AB416</f>
        <v>0</v>
      </c>
      <c r="V330" s="70">
        <f>'RESUMEN TOTAL'!AC416</f>
        <v>0</v>
      </c>
      <c r="W330" s="70">
        <f>'RESUMEN TOTAL'!AD416</f>
        <v>0</v>
      </c>
      <c r="X330" s="70">
        <f>'RESUMEN TOTAL'!AE416</f>
        <v>0</v>
      </c>
      <c r="Y330" s="70">
        <f>'RESUMEN TOTAL'!AF416</f>
        <v>0</v>
      </c>
      <c r="Z330" s="70">
        <f>'RESUMEN TOTAL'!AG416</f>
        <v>0</v>
      </c>
      <c r="AA330" s="70">
        <f>'RESUMEN TOTAL'!AH416</f>
        <v>0</v>
      </c>
      <c r="AB330" s="70">
        <f>'RESUMEN TOTAL'!AI416</f>
        <v>0</v>
      </c>
      <c r="AC330" s="70">
        <f>'RESUMEN TOTAL'!AJ416</f>
        <v>0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3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 t="str">
        <f>'RESUMEN TOTAL'!AB417</f>
        <v>APAGADO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3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>
        <f>'RESUMEN TOTAL'!P418</f>
        <v>0</v>
      </c>
      <c r="J332" s="70">
        <f>'RESUMEN TOTAL'!Q418</f>
        <v>0</v>
      </c>
      <c r="K332" s="70">
        <f>'RESUMEN TOTAL'!R418</f>
        <v>0</v>
      </c>
      <c r="L332" s="70">
        <f>'RESUMEN TOTAL'!S418</f>
        <v>0</v>
      </c>
      <c r="M332" s="70">
        <f>'RESUMEN TOTAL'!T418</f>
        <v>0</v>
      </c>
      <c r="N332" s="70">
        <f>'RESUMEN TOTAL'!U418</f>
        <v>0</v>
      </c>
      <c r="O332" s="70">
        <f>'RESUMEN TOTAL'!V418</f>
        <v>0</v>
      </c>
      <c r="P332" s="70">
        <f>'RESUMEN TOTAL'!W418</f>
        <v>0</v>
      </c>
      <c r="Q332" s="70">
        <f>'RESUMEN TOTAL'!X418</f>
        <v>0</v>
      </c>
      <c r="R332" s="70">
        <f>'RESUMEN TOTAL'!Y418</f>
        <v>0</v>
      </c>
      <c r="S332" s="70">
        <f>'RESUMEN TOTAL'!Z418</f>
        <v>0</v>
      </c>
      <c r="T332" s="70">
        <f>'RESUMEN TOTAL'!AA418</f>
        <v>0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3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>
        <f>'RESUMEN TOTAL'!P419</f>
        <v>0</v>
      </c>
      <c r="J333" s="70">
        <f>'RESUMEN TOTAL'!Q419</f>
        <v>0</v>
      </c>
      <c r="K333" s="70">
        <f>'RESUMEN TOTAL'!R419</f>
        <v>0</v>
      </c>
      <c r="L333" s="70">
        <f>'RESUMEN TOTAL'!S419</f>
        <v>0</v>
      </c>
      <c r="M333" s="70">
        <f>'RESUMEN TOTAL'!T419</f>
        <v>0</v>
      </c>
      <c r="N333" s="70">
        <f>'RESUMEN TOTAL'!U419</f>
        <v>0</v>
      </c>
      <c r="O333" s="70">
        <f>'RESUMEN TOTAL'!V419</f>
        <v>0</v>
      </c>
      <c r="P333" s="70">
        <f>'RESUMEN TOTAL'!W419</f>
        <v>0</v>
      </c>
      <c r="Q333" s="70" t="str">
        <f>'RESUMEN TOTAL'!X419</f>
        <v>APAGADO</v>
      </c>
      <c r="R333" s="70" t="str">
        <f>'RESUMEN TOTAL'!Y419</f>
        <v>APAGADO</v>
      </c>
      <c r="S333" s="70">
        <f>'RESUMEN TOTAL'!Z419</f>
        <v>0</v>
      </c>
      <c r="T333" s="70">
        <f>'RESUMEN TOTAL'!AA419</f>
        <v>0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3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 t="str">
        <f>'RESUMEN TOTAL'!N420</f>
        <v>APAGADO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>
        <f>'RESUMEN TOTAL'!R420</f>
        <v>0</v>
      </c>
      <c r="L334" s="70">
        <f>'RESUMEN TOTAL'!S420</f>
        <v>0</v>
      </c>
      <c r="M334" s="70">
        <f>'RESUMEN TOTAL'!T420</f>
        <v>0</v>
      </c>
      <c r="N334" s="70">
        <f>'RESUMEN TOTAL'!U420</f>
        <v>0</v>
      </c>
      <c r="O334" s="70">
        <f>'RESUMEN TOTAL'!V420</f>
        <v>0</v>
      </c>
      <c r="P334" s="70">
        <f>'RESUMEN TOTAL'!W420</f>
        <v>0</v>
      </c>
      <c r="Q334" s="70">
        <f>'RESUMEN TOTAL'!X420</f>
        <v>0</v>
      </c>
      <c r="R334" s="70">
        <f>'RESUMEN TOTAL'!Y420</f>
        <v>0</v>
      </c>
      <c r="S334" s="70">
        <f>'RESUMEN TOTAL'!Z420</f>
        <v>0</v>
      </c>
      <c r="T334" s="70">
        <f>'RESUMEN TOTAL'!AA420</f>
        <v>0</v>
      </c>
      <c r="U334" s="70">
        <f>'RESUMEN TOTAL'!AB420</f>
        <v>0</v>
      </c>
      <c r="V334" s="70">
        <f>'RESUMEN TOTAL'!AC420</f>
        <v>0</v>
      </c>
      <c r="W334" s="70">
        <f>'RESUMEN TOTAL'!AD420</f>
        <v>0</v>
      </c>
      <c r="X334" s="70">
        <f>'RESUMEN TOTAL'!AE420</f>
        <v>0</v>
      </c>
      <c r="Y334" s="70">
        <f>'RESUMEN TOTAL'!AF420</f>
        <v>0</v>
      </c>
      <c r="Z334" s="70">
        <f>'RESUMEN TOTAL'!AG420</f>
        <v>0</v>
      </c>
      <c r="AA334" s="70">
        <f>'RESUMEN TOTAL'!AH420</f>
        <v>0</v>
      </c>
      <c r="AB334" s="70">
        <f>'RESUMEN TOTAL'!AI420</f>
        <v>0</v>
      </c>
      <c r="AC334" s="70">
        <f>'RESUMEN TOTAL'!AJ420</f>
        <v>0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3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 t="str">
        <f>'RESUMEN TOTAL'!N421</f>
        <v>APAGADO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>
        <f>'RESUMEN TOTAL'!R421</f>
        <v>0</v>
      </c>
      <c r="L335" s="70">
        <f>'RESUMEN TOTAL'!S421</f>
        <v>0</v>
      </c>
      <c r="M335" s="70">
        <f>'RESUMEN TOTAL'!T421</f>
        <v>0</v>
      </c>
      <c r="N335" s="70">
        <f>'RESUMEN TOTAL'!U421</f>
        <v>0</v>
      </c>
      <c r="O335" s="70">
        <f>'RESUMEN TOTAL'!V421</f>
        <v>0</v>
      </c>
      <c r="P335" s="70">
        <f>'RESUMEN TOTAL'!W421</f>
        <v>0</v>
      </c>
      <c r="Q335" s="70">
        <f>'RESUMEN TOTAL'!X421</f>
        <v>0</v>
      </c>
      <c r="R335" s="70">
        <f>'RESUMEN TOTAL'!Y421</f>
        <v>0</v>
      </c>
      <c r="S335" s="70">
        <f>'RESUMEN TOTAL'!Z421</f>
        <v>0</v>
      </c>
      <c r="T335" s="70">
        <f>'RESUMEN TOTAL'!AA421</f>
        <v>0</v>
      </c>
      <c r="U335" s="70" t="str">
        <f>'RESUMEN TOTAL'!AB421</f>
        <v>APAGADO</v>
      </c>
      <c r="V335" s="70">
        <f>'RESUMEN TOTAL'!AC421</f>
        <v>0</v>
      </c>
      <c r="W335" s="70">
        <f>'RESUMEN TOTAL'!AD421</f>
        <v>0</v>
      </c>
      <c r="X335" s="70">
        <f>'RESUMEN TOTAL'!AE421</f>
        <v>0</v>
      </c>
      <c r="Y335" s="70">
        <f>'RESUMEN TOTAL'!AF421</f>
        <v>0</v>
      </c>
      <c r="Z335" s="70">
        <f>'RESUMEN TOTAL'!AG421</f>
        <v>0</v>
      </c>
      <c r="AA335" s="70">
        <f>'RESUMEN TOTAL'!AH421</f>
        <v>0</v>
      </c>
      <c r="AB335" s="70">
        <f>'RESUMEN TOTAL'!AI421</f>
        <v>0</v>
      </c>
      <c r="AC335" s="70">
        <f>'RESUMEN TOTAL'!AJ421</f>
        <v>0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3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3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3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>
        <f>'RESUMEN TOTAL'!P427</f>
        <v>0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3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>
        <f>'RESUMEN TOTAL'!P428</f>
        <v>0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3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 t="str">
        <f>'RESUMEN TOTAL'!M429</f>
        <v>APAGADO</v>
      </c>
      <c r="G340" s="70" t="str">
        <f>'RESUMEN TOTAL'!N429</f>
        <v>APAGADO</v>
      </c>
      <c r="H340" s="70" t="str">
        <f>'RESUMEN TOTAL'!O429</f>
        <v>APAGADO</v>
      </c>
      <c r="I340" s="70" t="str">
        <f>'RESUMEN TOTAL'!P429</f>
        <v>APAGADO</v>
      </c>
      <c r="J340" s="70" t="str">
        <f>'RESUMEN TOTAL'!Q429</f>
        <v>APAGADO</v>
      </c>
      <c r="K340" s="70">
        <f>'RESUMEN TOTAL'!R429</f>
        <v>0</v>
      </c>
      <c r="L340" s="70">
        <f>'RESUMEN TOTAL'!S429</f>
        <v>0</v>
      </c>
      <c r="M340" s="70">
        <f>'RESUMEN TOTAL'!T429</f>
        <v>0</v>
      </c>
      <c r="N340" s="70">
        <f>'RESUMEN TOTAL'!U429</f>
        <v>0</v>
      </c>
      <c r="O340" s="70">
        <f>'RESUMEN TOTAL'!V429</f>
        <v>0</v>
      </c>
      <c r="P340" s="70">
        <f>'RESUMEN TOTAL'!W429</f>
        <v>0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>
        <f>'RESUMEN TOTAL'!AA429</f>
        <v>0</v>
      </c>
      <c r="U340" s="70" t="str">
        <f>'RESUMEN TOTAL'!AB429</f>
        <v>APAGADO</v>
      </c>
      <c r="V340" s="70" t="str">
        <f>'RESUMEN TOTAL'!AC429</f>
        <v>APAGADO</v>
      </c>
      <c r="W340" s="70" t="str">
        <f>'RESUMEN TOTAL'!AD429</f>
        <v>APAGADO</v>
      </c>
      <c r="X340" s="70" t="str">
        <f>'RESUMEN TOTAL'!AE429</f>
        <v>APAGADO</v>
      </c>
      <c r="Y340" s="70" t="str">
        <f>'RESUMEN TOTAL'!AF429</f>
        <v>APAGADO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>
        <f>'RESUMEN TOTAL'!AJ429</f>
        <v>0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3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 t="str">
        <f>'RESUMEN TOTAL'!M430</f>
        <v>APAGADO</v>
      </c>
      <c r="G341" s="70" t="str">
        <f>'RESUMEN TOTAL'!N430</f>
        <v>APAGADO</v>
      </c>
      <c r="H341" s="70" t="str">
        <f>'RESUMEN TOTAL'!O430</f>
        <v>APAGADO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>
        <f>'RESUMEN TOTAL'!T430</f>
        <v>0</v>
      </c>
      <c r="N341" s="70">
        <f>'RESUMEN TOTAL'!U430</f>
        <v>0</v>
      </c>
      <c r="O341" s="70">
        <f>'RESUMEN TOTAL'!V430</f>
        <v>0</v>
      </c>
      <c r="P341" s="70">
        <f>'RESUMEN TOTAL'!W430</f>
        <v>0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>
        <f>'RESUMEN TOTAL'!AA430</f>
        <v>0</v>
      </c>
      <c r="U341" s="70" t="str">
        <f>'RESUMEN TOTAL'!AB430</f>
        <v>APAGADO</v>
      </c>
      <c r="V341" s="70" t="str">
        <f>'RESUMEN TOTAL'!AC430</f>
        <v>APAGADO</v>
      </c>
      <c r="W341" s="70" t="str">
        <f>'RESUMEN TOTAL'!AD430</f>
        <v>APAGADO</v>
      </c>
      <c r="X341" s="70" t="str">
        <f>'RESUMEN TOTAL'!AE430</f>
        <v>APAGADO</v>
      </c>
      <c r="Y341" s="70" t="str">
        <f>'RESUMEN TOTAL'!AF430</f>
        <v>APAGADO</v>
      </c>
      <c r="Z341" s="70">
        <f>'RESUMEN TOTAL'!AG430</f>
        <v>0</v>
      </c>
      <c r="AA341" s="70">
        <f>'RESUMEN TOTAL'!AH430</f>
        <v>0</v>
      </c>
      <c r="AB341" s="70">
        <f>'RESUMEN TOTAL'!AI430</f>
        <v>0</v>
      </c>
      <c r="AC341" s="70">
        <f>'RESUMEN TOTAL'!AJ430</f>
        <v>0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3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 t="str">
        <f>'RESUMEN TOTAL'!AF431</f>
        <v>APAGADO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3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3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3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>
        <f>'RESUMEN TOTAL'!U434</f>
        <v>0</v>
      </c>
      <c r="O345" s="70">
        <f>'RESUMEN TOTAL'!V434</f>
        <v>0</v>
      </c>
      <c r="P345" s="70">
        <f>'RESUMEN TOTAL'!W434</f>
        <v>0</v>
      </c>
      <c r="Q345" s="70">
        <f>'RESUMEN TOTAL'!X434</f>
        <v>0</v>
      </c>
      <c r="R345" s="70">
        <f>'RESUMEN TOTAL'!Y434</f>
        <v>0</v>
      </c>
      <c r="S345" s="70">
        <f>'RESUMEN TOTAL'!Z434</f>
        <v>0</v>
      </c>
      <c r="T345" s="70">
        <f>'RESUMEN TOTAL'!AA434</f>
        <v>0</v>
      </c>
      <c r="U345" s="70">
        <f>'RESUMEN TOTAL'!AB434</f>
        <v>0</v>
      </c>
      <c r="V345" s="70">
        <f>'RESUMEN TOTAL'!AC434</f>
        <v>0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3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3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>
        <f>'RESUMEN TOTAL'!W436</f>
        <v>0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 t="str">
        <f>'RESUMEN TOTAL'!AA436</f>
        <v>APAGADO</v>
      </c>
      <c r="U347" s="70" t="str">
        <f>'RESUMEN TOTAL'!AB436</f>
        <v>APAGADO</v>
      </c>
      <c r="V347" s="70" t="str">
        <f>'RESUMEN TOTAL'!AC436</f>
        <v>APAGADO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>
        <f>'RESUMEN TOTAL'!AG436</f>
        <v>0</v>
      </c>
      <c r="AA347" s="70">
        <f>'RESUMEN TOTAL'!AH436</f>
        <v>0</v>
      </c>
      <c r="AB347" s="70">
        <f>'RESUMEN TOTAL'!AI436</f>
        <v>0</v>
      </c>
      <c r="AC347" s="70">
        <f>'RESUMEN TOTAL'!AJ436</f>
        <v>0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3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>
        <f>'RESUMEN TOTAL'!M437</f>
        <v>0</v>
      </c>
      <c r="G348" s="70">
        <f>'RESUMEN TOTAL'!N437</f>
        <v>0</v>
      </c>
      <c r="H348" s="70">
        <f>'RESUMEN TOTAL'!O437</f>
        <v>0</v>
      </c>
      <c r="I348" s="70">
        <f>'RESUMEN TOTAL'!P437</f>
        <v>0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3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>
        <f>'RESUMEN TOTAL'!P438</f>
        <v>0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>
        <f>'RESUMEN TOTAL'!AA438</f>
        <v>0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3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3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>
        <f>'RESUMEN TOTAL'!M440</f>
        <v>0</v>
      </c>
      <c r="G351" s="70">
        <f>'RESUMEN TOTAL'!N440</f>
        <v>0</v>
      </c>
      <c r="H351" s="70">
        <f>'RESUMEN TOTAL'!O440</f>
        <v>0</v>
      </c>
      <c r="I351" s="70">
        <f>'RESUMEN TOTAL'!P440</f>
        <v>0</v>
      </c>
      <c r="J351" s="70">
        <f>'RESUMEN TOTAL'!Q440</f>
        <v>0</v>
      </c>
      <c r="K351" s="70">
        <f>'RESUMEN TOTAL'!R440</f>
        <v>0</v>
      </c>
      <c r="L351" s="70">
        <f>'RESUMEN TOTAL'!S440</f>
        <v>0</v>
      </c>
      <c r="M351" s="70">
        <f>'RESUMEN TOTAL'!T440</f>
        <v>0</v>
      </c>
      <c r="N351" s="70">
        <f>'RESUMEN TOTAL'!U440</f>
        <v>0</v>
      </c>
      <c r="O351" s="70">
        <f>'RESUMEN TOTAL'!V440</f>
        <v>0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3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 t="str">
        <f>'RESUMEN TOTAL'!M441</f>
        <v>APAGADO</v>
      </c>
      <c r="G352" s="70" t="str">
        <f>'RESUMEN TOTAL'!N441</f>
        <v>APAGADO</v>
      </c>
      <c r="H352" s="70" t="str">
        <f>'RESUMEN TOTAL'!O441</f>
        <v>APAGADO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>
        <f>'RESUMEN TOTAL'!T441</f>
        <v>0</v>
      </c>
      <c r="N352" s="70">
        <f>'RESUMEN TOTAL'!U441</f>
        <v>0</v>
      </c>
      <c r="O352" s="70">
        <f>'RESUMEN TOTAL'!V441</f>
        <v>0</v>
      </c>
      <c r="P352" s="70">
        <f>'RESUMEN TOTAL'!W441</f>
        <v>0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 t="str">
        <f>'RESUMEN TOTAL'!AE441</f>
        <v>APAGADO</v>
      </c>
      <c r="Y352" s="70" t="str">
        <f>'RESUMEN TOTAL'!AF441</f>
        <v>APAGADO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>
        <f>'RESUMEN TOTAL'!AJ441</f>
        <v>0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3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>
        <f>'RESUMEN TOTAL'!W442</f>
        <v>0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>
        <f>'RESUMEN TOTAL'!AG442</f>
        <v>0</v>
      </c>
      <c r="AA353" s="70">
        <f>'RESUMEN TOTAL'!AH442</f>
        <v>0</v>
      </c>
      <c r="AB353" s="70">
        <f>'RESUMEN TOTAL'!AI442</f>
        <v>0</v>
      </c>
      <c r="AC353" s="70">
        <f>'RESUMEN TOTAL'!AJ442</f>
        <v>0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3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 t="str">
        <f>'RESUMEN TOTAL'!M443</f>
        <v>APAGADO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3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3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3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 t="str">
        <f>'RESUMEN TOTAL'!M446</f>
        <v>APAGADO</v>
      </c>
      <c r="G357" s="70" t="str">
        <f>'RESUMEN TOTAL'!N446</f>
        <v>APAGADO</v>
      </c>
      <c r="H357" s="70" t="str">
        <f>'RESUMEN TOTAL'!O446</f>
        <v>APAGADO</v>
      </c>
      <c r="I357" s="70" t="str">
        <f>'RESUMEN TOTAL'!P446</f>
        <v>APAGADO</v>
      </c>
      <c r="J357" s="70" t="str">
        <f>'RESUMEN TOTAL'!Q446</f>
        <v>APAGADO</v>
      </c>
      <c r="K357" s="70">
        <f>'RESUMEN TOTAL'!R446</f>
        <v>0</v>
      </c>
      <c r="L357" s="70">
        <f>'RESUMEN TOTAL'!S446</f>
        <v>0</v>
      </c>
      <c r="M357" s="70">
        <f>'RESUMEN TOTAL'!T446</f>
        <v>0</v>
      </c>
      <c r="N357" s="70">
        <f>'RESUMEN TOTAL'!U446</f>
        <v>0</v>
      </c>
      <c r="O357" s="70">
        <f>'RESUMEN TOTAL'!V446</f>
        <v>0</v>
      </c>
      <c r="P357" s="70">
        <f>'RESUMEN TOTAL'!W446</f>
        <v>0</v>
      </c>
      <c r="Q357" s="70" t="str">
        <f>'RESUMEN TOTAL'!X446</f>
        <v>APAGADO</v>
      </c>
      <c r="R357" s="70" t="str">
        <f>'RESUMEN TOTAL'!Y446</f>
        <v>APAGADO</v>
      </c>
      <c r="S357" s="70" t="str">
        <f>'RESUMEN TOTAL'!Z446</f>
        <v>APAGADO</v>
      </c>
      <c r="T357" s="70" t="str">
        <f>'RESUMEN TOTAL'!AA446</f>
        <v>APAGADO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 t="str">
        <f>'RESUMEN TOTAL'!AF446</f>
        <v>APAGADO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>
        <f>'RESUMEN TOTAL'!AJ446</f>
        <v>0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3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 t="str">
        <f>'RESUMEN TOTAL'!M447</f>
        <v>APAGADO</v>
      </c>
      <c r="G358" s="70" t="str">
        <f>'RESUMEN TOTAL'!N447</f>
        <v>APAGADO</v>
      </c>
      <c r="H358" s="70" t="str">
        <f>'RESUMEN TOTAL'!O447</f>
        <v>APAGADO</v>
      </c>
      <c r="I358" s="70" t="str">
        <f>'RESUMEN TOTAL'!P447</f>
        <v>APAGADO</v>
      </c>
      <c r="J358" s="70" t="str">
        <f>'RESUMEN TOTAL'!Q447</f>
        <v>APAGADO</v>
      </c>
      <c r="K358" s="70">
        <f>'RESUMEN TOTAL'!R447</f>
        <v>0</v>
      </c>
      <c r="L358" s="70">
        <f>'RESUMEN TOTAL'!S447</f>
        <v>0</v>
      </c>
      <c r="M358" s="70">
        <f>'RESUMEN TOTAL'!T447</f>
        <v>0</v>
      </c>
      <c r="N358" s="70">
        <f>'RESUMEN TOTAL'!U447</f>
        <v>0</v>
      </c>
      <c r="O358" s="70">
        <f>'RESUMEN TOTAL'!V447</f>
        <v>0</v>
      </c>
      <c r="P358" s="70">
        <f>'RESUMEN TOTAL'!W447</f>
        <v>0</v>
      </c>
      <c r="Q358" s="70" t="str">
        <f>'RESUMEN TOTAL'!X447</f>
        <v>APAGADO</v>
      </c>
      <c r="R358" s="70" t="str">
        <f>'RESUMEN TOTAL'!Y447</f>
        <v>APAGADO</v>
      </c>
      <c r="S358" s="70" t="str">
        <f>'RESUMEN TOTAL'!Z447</f>
        <v>APAGADO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 t="str">
        <f>'RESUMEN TOTAL'!AF447</f>
        <v>APAGADO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>
        <f>'RESUMEN TOTAL'!AJ447</f>
        <v>0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3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>
        <f>'RESUMEN TOTAL'!U448</f>
        <v>0</v>
      </c>
      <c r="O359" s="70">
        <f>'RESUMEN TOTAL'!V448</f>
        <v>0</v>
      </c>
      <c r="P359" s="70">
        <f>'RESUMEN TOTAL'!W448</f>
        <v>0</v>
      </c>
      <c r="Q359" s="70">
        <f>'RESUMEN TOTAL'!X448</f>
        <v>0</v>
      </c>
      <c r="R359" s="70">
        <f>'RESUMEN TOTAL'!Y448</f>
        <v>0</v>
      </c>
      <c r="S359" s="70">
        <f>'RESUMEN TOTAL'!Z448</f>
        <v>0</v>
      </c>
      <c r="T359" s="70">
        <f>'RESUMEN TOTAL'!AA448</f>
        <v>0</v>
      </c>
      <c r="U359" s="70">
        <f>'RESUMEN TOTAL'!AB448</f>
        <v>0</v>
      </c>
      <c r="V359" s="70">
        <f>'RESUMEN TOTAL'!AC448</f>
        <v>0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3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>
        <f>'RESUMEN TOTAL'!M449</f>
        <v>0</v>
      </c>
      <c r="G360" s="70">
        <f>'RESUMEN TOTAL'!N449</f>
        <v>0</v>
      </c>
      <c r="H360" s="70">
        <f>'RESUMEN TOTAL'!O449</f>
        <v>0</v>
      </c>
      <c r="I360" s="70">
        <f>'RESUMEN TOTAL'!P449</f>
        <v>0</v>
      </c>
      <c r="J360" s="70">
        <f>'RESUMEN TOTAL'!Q449</f>
        <v>0</v>
      </c>
      <c r="K360" s="70">
        <f>'RESUMEN TOTAL'!R449</f>
        <v>0</v>
      </c>
      <c r="L360" s="70">
        <f>'RESUMEN TOTAL'!S449</f>
        <v>0</v>
      </c>
      <c r="M360" s="70">
        <f>'RESUMEN TOTAL'!T449</f>
        <v>0</v>
      </c>
      <c r="N360" s="70">
        <f>'RESUMEN TOTAL'!U449</f>
        <v>0</v>
      </c>
      <c r="O360" s="70">
        <f>'RESUMEN TOTAL'!V449</f>
        <v>0</v>
      </c>
      <c r="P360" s="70">
        <f>'RESUMEN TOTAL'!W449</f>
        <v>0</v>
      </c>
      <c r="Q360" s="70">
        <f>'RESUMEN TOTAL'!X449</f>
        <v>0</v>
      </c>
      <c r="R360" s="70">
        <f>'RESUMEN TOTAL'!Y449</f>
        <v>0</v>
      </c>
      <c r="S360" s="70">
        <f>'RESUMEN TOTAL'!Z449</f>
        <v>0</v>
      </c>
      <c r="T360" s="70">
        <f>'RESUMEN TOTAL'!AA449</f>
        <v>0</v>
      </c>
      <c r="U360" s="70">
        <f>'RESUMEN TOTAL'!AB449</f>
        <v>0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3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>
        <f>'RESUMEN TOTAL'!W456</f>
        <v>0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>
        <f>'RESUMEN TOTAL'!AG456</f>
        <v>0</v>
      </c>
      <c r="AA361" s="70">
        <f>'RESUMEN TOTAL'!AH456</f>
        <v>0</v>
      </c>
      <c r="AB361" s="70">
        <f>'RESUMEN TOTAL'!AI456</f>
        <v>0</v>
      </c>
      <c r="AC361" s="70">
        <f>'RESUMEN TOTAL'!AJ456</f>
        <v>0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3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>
        <f>'RESUMEN TOTAL'!W457</f>
        <v>0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>
        <f>'RESUMEN TOTAL'!AG457</f>
        <v>0</v>
      </c>
      <c r="AA362" s="70">
        <f>'RESUMEN TOTAL'!AH457</f>
        <v>0</v>
      </c>
      <c r="AB362" s="70">
        <f>'RESUMEN TOTAL'!AI457</f>
        <v>0</v>
      </c>
      <c r="AC362" s="70">
        <f>'RESUMEN TOTAL'!AJ457</f>
        <v>0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3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>
        <f>'RESUMEN TOTAL'!W458</f>
        <v>0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>
        <f>'RESUMEN TOTAL'!AG458</f>
        <v>0</v>
      </c>
      <c r="AA363" s="70">
        <f>'RESUMEN TOTAL'!AH458</f>
        <v>0</v>
      </c>
      <c r="AB363" s="70">
        <f>'RESUMEN TOTAL'!AI458</f>
        <v>0</v>
      </c>
      <c r="AC363" s="70">
        <f>'RESUMEN TOTAL'!AJ458</f>
        <v>0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3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>
        <f>'RESUMEN TOTAL'!M461</f>
        <v>0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 t="str">
        <f>'RESUMEN TOTAL'!R461</f>
        <v>APAGADO</v>
      </c>
      <c r="L364" s="70" t="str">
        <f>'RESUMEN TOTAL'!S461</f>
        <v>APAGADO</v>
      </c>
      <c r="M364" s="70" t="str">
        <f>'RESUMEN TOTAL'!T461</f>
        <v>APAGADO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 t="str">
        <f>'RESUMEN TOTAL'!AE461</f>
        <v>APAGADO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3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>
        <f>'RESUMEN TOTAL'!M462</f>
        <v>0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 t="str">
        <f>'RESUMEN TOTAL'!R462</f>
        <v>APAGADO</v>
      </c>
      <c r="L365" s="70" t="str">
        <f>'RESUMEN TOTAL'!S462</f>
        <v>APAGADO</v>
      </c>
      <c r="M365" s="70" t="str">
        <f>'RESUMEN TOTAL'!T462</f>
        <v>APAGADO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 t="str">
        <f>'RESUMEN TOTAL'!AA462</f>
        <v>APAGADO</v>
      </c>
      <c r="U365" s="70" t="str">
        <f>'RESUMEN TOTAL'!AB462</f>
        <v>APAGADO</v>
      </c>
      <c r="V365" s="70" t="str">
        <f>'RESUMEN TOTAL'!AC462</f>
        <v>APAGADO</v>
      </c>
      <c r="W365" s="70" t="str">
        <f>'RESUMEN TOTAL'!AD462</f>
        <v>APAGADO</v>
      </c>
      <c r="X365" s="70" t="str">
        <f>'RESUMEN TOTAL'!AE462</f>
        <v>APAGADO</v>
      </c>
      <c r="Y365" s="70" t="str">
        <f>'RESUMEN TOTAL'!AF462</f>
        <v>APAGADO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3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3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3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3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3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3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3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3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3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3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3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3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3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>
        <f>'RESUMEN TOTAL'!M481</f>
        <v>0</v>
      </c>
      <c r="G378" s="70">
        <f>'RESUMEN TOTAL'!N481</f>
        <v>0</v>
      </c>
      <c r="H378" s="70">
        <f>'RESUMEN TOTAL'!O481</f>
        <v>0</v>
      </c>
      <c r="I378" s="70">
        <f>'RESUMEN TOTAL'!P481</f>
        <v>0</v>
      </c>
      <c r="J378" s="70">
        <f>'RESUMEN TOTAL'!Q481</f>
        <v>0</v>
      </c>
      <c r="K378" s="70" t="str">
        <f>'RESUMEN TOTAL'!R481</f>
        <v>APAGADO</v>
      </c>
      <c r="L378" s="70" t="str">
        <f>'RESUMEN TOTAL'!S481</f>
        <v>APAGADO</v>
      </c>
      <c r="M378" s="70">
        <f>'RESUMEN TOTAL'!T481</f>
        <v>0</v>
      </c>
      <c r="N378" s="70">
        <f>'RESUMEN TOTAL'!U481</f>
        <v>0</v>
      </c>
      <c r="O378" s="70">
        <f>'RESUMEN TOTAL'!V481</f>
        <v>0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>
        <f>'RESUMEN TOTAL'!AA481</f>
        <v>0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3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>
        <f>'RESUMEN TOTAL'!P482</f>
        <v>0</v>
      </c>
      <c r="J379" s="70">
        <f>'RESUMEN TOTAL'!Q482</f>
        <v>0</v>
      </c>
      <c r="K379" s="70" t="str">
        <f>'RESUMEN TOTAL'!R482</f>
        <v>APAGADO</v>
      </c>
      <c r="L379" s="70" t="str">
        <f>'RESUMEN TOTAL'!S482</f>
        <v>APAGADO</v>
      </c>
      <c r="M379" s="70">
        <f>'RESUMEN TOTAL'!T482</f>
        <v>0</v>
      </c>
      <c r="N379" s="70">
        <f>'RESUMEN TOTAL'!U482</f>
        <v>0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>
        <f>'RESUMEN TOTAL'!AA482</f>
        <v>0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3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>
        <f>'RESUMEN TOTAL'!P483</f>
        <v>0</v>
      </c>
      <c r="J380" s="70">
        <f>'RESUMEN TOTAL'!Q483</f>
        <v>0</v>
      </c>
      <c r="K380" s="70" t="str">
        <f>'RESUMEN TOTAL'!R483</f>
        <v>APAGADO</v>
      </c>
      <c r="L380" s="70" t="str">
        <f>'RESUMEN TOTAL'!S483</f>
        <v>APAGADO</v>
      </c>
      <c r="M380" s="70">
        <f>'RESUMEN TOTAL'!T483</f>
        <v>0</v>
      </c>
      <c r="N380" s="70">
        <f>'RESUMEN TOTAL'!U483</f>
        <v>0</v>
      </c>
      <c r="O380" s="70">
        <f>'RESUMEN TOTAL'!V483</f>
        <v>0</v>
      </c>
      <c r="P380" s="70">
        <f>'RESUMEN TOTAL'!W483</f>
        <v>0</v>
      </c>
      <c r="Q380" s="70" t="str">
        <f>'RESUMEN TOTAL'!X483</f>
        <v>APAGADO</v>
      </c>
      <c r="R380" s="70">
        <f>'RESUMEN TOTAL'!Y483</f>
        <v>0</v>
      </c>
      <c r="S380" s="70">
        <f>'RESUMEN TOTAL'!Z483</f>
        <v>0</v>
      </c>
      <c r="T380" s="70">
        <f>'RESUMEN TOTAL'!AA483</f>
        <v>0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3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>
        <f>'RESUMEN TOTAL'!P484</f>
        <v>0</v>
      </c>
      <c r="J381" s="70">
        <f>'RESUMEN TOTAL'!Q484</f>
        <v>0</v>
      </c>
      <c r="K381" s="70" t="str">
        <f>'RESUMEN TOTAL'!R484</f>
        <v>APAGADO</v>
      </c>
      <c r="L381" s="70" t="str">
        <f>'RESUMEN TOTAL'!S484</f>
        <v>APAGADO</v>
      </c>
      <c r="M381" s="70">
        <f>'RESUMEN TOTAL'!T484</f>
        <v>0</v>
      </c>
      <c r="N381" s="70">
        <f>'RESUMEN TOTAL'!U484</f>
        <v>0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>
        <f>'RESUMEN TOTAL'!AA484</f>
        <v>0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3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>
        <f>'RESUMEN TOTAL'!P485</f>
        <v>0</v>
      </c>
      <c r="J382" s="70">
        <f>'RESUMEN TOTAL'!Q485</f>
        <v>0</v>
      </c>
      <c r="K382" s="70" t="str">
        <f>'RESUMEN TOTAL'!R485</f>
        <v>APAGADO</v>
      </c>
      <c r="L382" s="70" t="str">
        <f>'RESUMEN TOTAL'!S485</f>
        <v>APAGADO</v>
      </c>
      <c r="M382" s="70">
        <f>'RESUMEN TOTAL'!T485</f>
        <v>0</v>
      </c>
      <c r="N382" s="70">
        <f>'RESUMEN TOTAL'!U485</f>
        <v>0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>
        <f>'RESUMEN TOTAL'!AA485</f>
        <v>0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 t="str">
        <f>'RESUMEN TOTAL'!AE485</f>
        <v>APAGADO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3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>
        <f>'RESUMEN TOTAL'!M486</f>
        <v>0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3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3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3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3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3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>
        <f>'RESUMEN TOTAL'!M491</f>
        <v>0</v>
      </c>
      <c r="G388" s="70">
        <f>'RESUMEN TOTAL'!N491</f>
        <v>0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3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3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>
        <f>'RESUMEN TOTAL'!M493</f>
        <v>0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3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>
        <f>'RESUMEN TOTAL'!AD494</f>
        <v>0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3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 t="str">
        <f>'RESUMEN TOTAL'!AC495</f>
        <v>APAGADO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3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 t="str">
        <f>'RESUMEN TOTAL'!M496</f>
        <v>APAGADO</v>
      </c>
      <c r="G393" s="70" t="str">
        <f>'RESUMEN TOTAL'!N496</f>
        <v>APAGADO</v>
      </c>
      <c r="H393" s="70">
        <f>'RESUMEN TOTAL'!O496</f>
        <v>0</v>
      </c>
      <c r="I393" s="70">
        <f>'RESUMEN TOTAL'!P496</f>
        <v>0</v>
      </c>
      <c r="J393" s="70" t="str">
        <f>'RESUMEN TOTAL'!Q496</f>
        <v>APAGADO</v>
      </c>
      <c r="K393" s="70" t="str">
        <f>'RESUMEN TOTAL'!R496</f>
        <v>APAGADO</v>
      </c>
      <c r="L393" s="70" t="str">
        <f>'RESUMEN TOTAL'!S496</f>
        <v>APAGADO</v>
      </c>
      <c r="M393" s="70" t="str">
        <f>'RESUMEN TOTAL'!T496</f>
        <v>APAGADO</v>
      </c>
      <c r="N393" s="70">
        <f>'RESUMEN TOTAL'!U496</f>
        <v>0</v>
      </c>
      <c r="O393" s="70">
        <f>'RESUMEN TOTAL'!V496</f>
        <v>0</v>
      </c>
      <c r="P393" s="70">
        <f>'RESUMEN TOTAL'!W496</f>
        <v>0</v>
      </c>
      <c r="Q393" s="70">
        <f>'RESUMEN TOTAL'!X496</f>
        <v>0</v>
      </c>
      <c r="R393" s="70" t="str">
        <f>'RESUMEN TOTAL'!Y496</f>
        <v>APAGADO</v>
      </c>
      <c r="S393" s="70" t="str">
        <f>'RESUMEN TOTAL'!Z496</f>
        <v>APAGADO</v>
      </c>
      <c r="T393" s="70" t="str">
        <f>'RESUMEN TOTAL'!AA496</f>
        <v>APAGADO</v>
      </c>
      <c r="U393" s="70" t="str">
        <f>'RESUMEN TOTAL'!AB496</f>
        <v>APAGADO</v>
      </c>
      <c r="V393" s="70" t="str">
        <f>'RESUMEN TOTAL'!AC496</f>
        <v>APAGADO</v>
      </c>
      <c r="W393" s="70" t="str">
        <f>'RESUMEN TOTAL'!AD496</f>
        <v>APAGADO</v>
      </c>
      <c r="X393" s="70" t="str">
        <f>'RESUMEN TOTAL'!AE496</f>
        <v>APAGADO</v>
      </c>
      <c r="Y393" s="70" t="str">
        <f>'RESUMEN TOTAL'!AF496</f>
        <v>APAGADO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>
        <f>'RESUMEN TOTAL'!AJ496</f>
        <v>0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3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 t="str">
        <f>'RESUMEN TOTAL'!AC497</f>
        <v>APAGADO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3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3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3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3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3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3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 t="str">
        <f>'RESUMEN TOTAL'!M503</f>
        <v>APAGADO</v>
      </c>
      <c r="G400" s="70" t="str">
        <f>'RESUMEN TOTAL'!N503</f>
        <v>APAGADO</v>
      </c>
      <c r="H400" s="70">
        <f>'RESUMEN TOTAL'!O503</f>
        <v>0</v>
      </c>
      <c r="I400" s="70">
        <f>'RESUMEN TOTAL'!P503</f>
        <v>0</v>
      </c>
      <c r="J400" s="70" t="str">
        <f>'RESUMEN TOTAL'!Q503</f>
        <v>APAGADO</v>
      </c>
      <c r="K400" s="70" t="str">
        <f>'RESUMEN TOTAL'!R503</f>
        <v>APAGADO</v>
      </c>
      <c r="L400" s="70" t="str">
        <f>'RESUMEN TOTAL'!S503</f>
        <v>APAGADO</v>
      </c>
      <c r="M400" s="70" t="str">
        <f>'RESUMEN TOTAL'!T503</f>
        <v>APAGADO</v>
      </c>
      <c r="N400" s="70">
        <f>'RESUMEN TOTAL'!U503</f>
        <v>0</v>
      </c>
      <c r="O400" s="70">
        <f>'RESUMEN TOTAL'!V503</f>
        <v>0</v>
      </c>
      <c r="P400" s="70">
        <f>'RESUMEN TOTAL'!W503</f>
        <v>0</v>
      </c>
      <c r="Q400" s="70">
        <f>'RESUMEN TOTAL'!X503</f>
        <v>0</v>
      </c>
      <c r="R400" s="70" t="str">
        <f>'RESUMEN TOTAL'!Y503</f>
        <v>APAGADO</v>
      </c>
      <c r="S400" s="70" t="str">
        <f>'RESUMEN TOTAL'!Z503</f>
        <v>APAGADO</v>
      </c>
      <c r="T400" s="70" t="str">
        <f>'RESUMEN TOTAL'!AA503</f>
        <v>APAGADO</v>
      </c>
      <c r="U400" s="70" t="str">
        <f>'RESUMEN TOTAL'!AB503</f>
        <v>APAGADO</v>
      </c>
      <c r="V400" s="70" t="str">
        <f>'RESUMEN TOTAL'!AC503</f>
        <v>APAGADO</v>
      </c>
      <c r="W400" s="70" t="str">
        <f>'RESUMEN TOTAL'!AD503</f>
        <v>APAGADO</v>
      </c>
      <c r="X400" s="70" t="str">
        <f>'RESUMEN TOTAL'!AE503</f>
        <v>APAGADO</v>
      </c>
      <c r="Y400" s="70" t="str">
        <f>'RESUMEN TOTAL'!AF503</f>
        <v>APAGADO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>
        <f>'RESUMEN TOTAL'!AJ503</f>
        <v>0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3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3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>
        <f>'RESUMEN TOTAL'!M505</f>
        <v>0</v>
      </c>
      <c r="G402" s="70">
        <f>'RESUMEN TOTAL'!N505</f>
        <v>0</v>
      </c>
      <c r="H402" s="70">
        <f>'RESUMEN TOTAL'!O505</f>
        <v>0</v>
      </c>
      <c r="I402" s="70">
        <f>'RESUMEN TOTAL'!P505</f>
        <v>0</v>
      </c>
      <c r="J402" s="70">
        <f>'RESUMEN TOTAL'!Q505</f>
        <v>0</v>
      </c>
      <c r="K402" s="70">
        <f>'RESUMEN TOTAL'!R505</f>
        <v>0</v>
      </c>
      <c r="L402" s="70">
        <f>'RESUMEN TOTAL'!S505</f>
        <v>0</v>
      </c>
      <c r="M402" s="70">
        <f>'RESUMEN TOTAL'!T505</f>
        <v>0</v>
      </c>
      <c r="N402" s="70">
        <f>'RESUMEN TOTAL'!U505</f>
        <v>0</v>
      </c>
      <c r="O402" s="70">
        <f>'RESUMEN TOTAL'!V505</f>
        <v>0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 t="str">
        <f>'RESUMEN TOTAL'!AD505</f>
        <v>APAGADO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3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>
        <f>'RESUMEN TOTAL'!AD506</f>
        <v>0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3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3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 t="str">
        <f>'RESUMEN TOTAL'!M508</f>
        <v>APAGADO</v>
      </c>
      <c r="G405" s="70" t="str">
        <f>'RESUMEN TOTAL'!N508</f>
        <v>APAGADO</v>
      </c>
      <c r="H405" s="70">
        <f>'RESUMEN TOTAL'!O508</f>
        <v>0</v>
      </c>
      <c r="I405" s="70">
        <f>'RESUMEN TOTAL'!P508</f>
        <v>0</v>
      </c>
      <c r="J405" s="70" t="str">
        <f>'RESUMEN TOTAL'!Q508</f>
        <v>APAGADO</v>
      </c>
      <c r="K405" s="70" t="str">
        <f>'RESUMEN TOTAL'!R508</f>
        <v>APAGADO</v>
      </c>
      <c r="L405" s="70" t="str">
        <f>'RESUMEN TOTAL'!S508</f>
        <v>APAGADO</v>
      </c>
      <c r="M405" s="70" t="str">
        <f>'RESUMEN TOTAL'!T508</f>
        <v>APAGADO</v>
      </c>
      <c r="N405" s="70">
        <f>'RESUMEN TOTAL'!U508</f>
        <v>0</v>
      </c>
      <c r="O405" s="70">
        <f>'RESUMEN TOTAL'!V508</f>
        <v>0</v>
      </c>
      <c r="P405" s="70">
        <f>'RESUMEN TOTAL'!W508</f>
        <v>0</v>
      </c>
      <c r="Q405" s="70">
        <f>'RESUMEN TOTAL'!X508</f>
        <v>0</v>
      </c>
      <c r="R405" s="70" t="str">
        <f>'RESUMEN TOTAL'!Y508</f>
        <v>APAGADO</v>
      </c>
      <c r="S405" s="70" t="str">
        <f>'RESUMEN TOTAL'!Z508</f>
        <v>APAGADO</v>
      </c>
      <c r="T405" s="70" t="str">
        <f>'RESUMEN TOTAL'!AA508</f>
        <v>APAGADO</v>
      </c>
      <c r="U405" s="70" t="str">
        <f>'RESUMEN TOTAL'!AB508</f>
        <v>APAGADO</v>
      </c>
      <c r="V405" s="70" t="str">
        <f>'RESUMEN TOTAL'!AC508</f>
        <v>APAGADO</v>
      </c>
      <c r="W405" s="70" t="str">
        <f>'RESUMEN TOTAL'!AD508</f>
        <v>APAGADO</v>
      </c>
      <c r="X405" s="70" t="str">
        <f>'RESUMEN TOTAL'!AE508</f>
        <v>APAGADO</v>
      </c>
      <c r="Y405" s="70" t="str">
        <f>'RESUMEN TOTAL'!AF508</f>
        <v>APAGADO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>
        <f>'RESUMEN TOTAL'!AJ508</f>
        <v>0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3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3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>
        <f>'RESUMEN TOTAL'!W510</f>
        <v>0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>
        <f>'RESUMEN TOTAL'!AG510</f>
        <v>0</v>
      </c>
      <c r="AA407" s="70">
        <f>'RESUMEN TOTAL'!AH510</f>
        <v>0</v>
      </c>
      <c r="AB407" s="70">
        <f>'RESUMEN TOTAL'!AI510</f>
        <v>0</v>
      </c>
      <c r="AC407" s="70">
        <f>'RESUMEN TOTAL'!AJ510</f>
        <v>0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3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 t="str">
        <f>'RESUMEN TOTAL'!M511</f>
        <v>APAGADO</v>
      </c>
      <c r="G408" s="70" t="str">
        <f>'RESUMEN TOTAL'!N511</f>
        <v>APAGADO</v>
      </c>
      <c r="H408" s="70">
        <f>'RESUMEN TOTAL'!O511</f>
        <v>0</v>
      </c>
      <c r="I408" s="70">
        <f>'RESUMEN TOTAL'!P511</f>
        <v>0</v>
      </c>
      <c r="J408" s="70" t="str">
        <f>'RESUMEN TOTAL'!Q511</f>
        <v>APAGADO</v>
      </c>
      <c r="K408" s="70" t="str">
        <f>'RESUMEN TOTAL'!R511</f>
        <v>APAGADO</v>
      </c>
      <c r="L408" s="70" t="str">
        <f>'RESUMEN TOTAL'!S511</f>
        <v>APAGADO</v>
      </c>
      <c r="M408" s="70" t="str">
        <f>'RESUMEN TOTAL'!T511</f>
        <v>APAGADO</v>
      </c>
      <c r="N408" s="70">
        <f>'RESUMEN TOTAL'!U511</f>
        <v>0</v>
      </c>
      <c r="O408" s="70">
        <f>'RESUMEN TOTAL'!V511</f>
        <v>0</v>
      </c>
      <c r="P408" s="70">
        <f>'RESUMEN TOTAL'!W511</f>
        <v>0</v>
      </c>
      <c r="Q408" s="70">
        <f>'RESUMEN TOTAL'!X511</f>
        <v>0</v>
      </c>
      <c r="R408" s="70" t="str">
        <f>'RESUMEN TOTAL'!Y511</f>
        <v>APAGADO</v>
      </c>
      <c r="S408" s="70" t="str">
        <f>'RESUMEN TOTAL'!Z511</f>
        <v>APAGADO</v>
      </c>
      <c r="T408" s="70" t="str">
        <f>'RESUMEN TOTAL'!AA511</f>
        <v>APAGADO</v>
      </c>
      <c r="U408" s="70" t="str">
        <f>'RESUMEN TOTAL'!AB511</f>
        <v>APAGADO</v>
      </c>
      <c r="V408" s="70" t="str">
        <f>'RESUMEN TOTAL'!AC511</f>
        <v>APAGADO</v>
      </c>
      <c r="W408" s="70" t="str">
        <f>'RESUMEN TOTAL'!AD511</f>
        <v>APAGADO</v>
      </c>
      <c r="X408" s="70" t="str">
        <f>'RESUMEN TOTAL'!AE511</f>
        <v>APAGADO</v>
      </c>
      <c r="Y408" s="70" t="str">
        <f>'RESUMEN TOTAL'!AF511</f>
        <v>APAGADO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>
        <f>'RESUMEN TOTAL'!AJ511</f>
        <v>0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3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3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3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 t="str">
        <f>'RESUMEN TOTAL'!M514</f>
        <v>APAGADO</v>
      </c>
      <c r="G411" s="70" t="str">
        <f>'RESUMEN TOTAL'!N514</f>
        <v>APAGADO</v>
      </c>
      <c r="H411" s="70">
        <f>'RESUMEN TOTAL'!O514</f>
        <v>0</v>
      </c>
      <c r="I411" s="70">
        <f>'RESUMEN TOTAL'!P514</f>
        <v>0</v>
      </c>
      <c r="J411" s="70" t="str">
        <f>'RESUMEN TOTAL'!Q514</f>
        <v>APAGADO</v>
      </c>
      <c r="K411" s="70" t="str">
        <f>'RESUMEN TOTAL'!R514</f>
        <v>APAGADO</v>
      </c>
      <c r="L411" s="70" t="str">
        <f>'RESUMEN TOTAL'!S514</f>
        <v>APAGADO</v>
      </c>
      <c r="M411" s="70" t="str">
        <f>'RESUMEN TOTAL'!T514</f>
        <v>APAGADO</v>
      </c>
      <c r="N411" s="70">
        <f>'RESUMEN TOTAL'!U514</f>
        <v>0</v>
      </c>
      <c r="O411" s="70">
        <f>'RESUMEN TOTAL'!V514</f>
        <v>0</v>
      </c>
      <c r="P411" s="70">
        <f>'RESUMEN TOTAL'!W514</f>
        <v>0</v>
      </c>
      <c r="Q411" s="70">
        <f>'RESUMEN TOTAL'!X514</f>
        <v>0</v>
      </c>
      <c r="R411" s="70" t="str">
        <f>'RESUMEN TOTAL'!Y514</f>
        <v>APAGADO</v>
      </c>
      <c r="S411" s="70" t="str">
        <f>'RESUMEN TOTAL'!Z514</f>
        <v>APAGADO</v>
      </c>
      <c r="T411" s="70" t="str">
        <f>'RESUMEN TOTAL'!AA514</f>
        <v>APAGADO</v>
      </c>
      <c r="U411" s="70" t="str">
        <f>'RESUMEN TOTAL'!AB514</f>
        <v>APAGADO</v>
      </c>
      <c r="V411" s="70" t="str">
        <f>'RESUMEN TOTAL'!AC514</f>
        <v>APAGADO</v>
      </c>
      <c r="W411" s="70" t="str">
        <f>'RESUMEN TOTAL'!AD514</f>
        <v>APAGADO</v>
      </c>
      <c r="X411" s="70" t="str">
        <f>'RESUMEN TOTAL'!AE514</f>
        <v>APAGADO</v>
      </c>
      <c r="Y411" s="70" t="str">
        <f>'RESUMEN TOTAL'!AF514</f>
        <v>APAGADO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>
        <f>'RESUMEN TOTAL'!AJ514</f>
        <v>0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3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 t="str">
        <f>'RESUMEN TOTAL'!M515</f>
        <v>APAGADO</v>
      </c>
      <c r="G412" s="70" t="str">
        <f>'RESUMEN TOTAL'!N515</f>
        <v>APAGADO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 t="str">
        <f>'RESUMEN TOTAL'!R515</f>
        <v>APAGADO</v>
      </c>
      <c r="L412" s="70" t="str">
        <f>'RESUMEN TOTAL'!S515</f>
        <v>APAGADO</v>
      </c>
      <c r="M412" s="70" t="str">
        <f>'RESUMEN TOTAL'!T515</f>
        <v>APAGADO</v>
      </c>
      <c r="N412" s="70">
        <f>'RESUMEN TOTAL'!U515</f>
        <v>0</v>
      </c>
      <c r="O412" s="70">
        <f>'RESUMEN TOTAL'!V515</f>
        <v>0</v>
      </c>
      <c r="P412" s="70">
        <f>'RESUMEN TOTAL'!W515</f>
        <v>0</v>
      </c>
      <c r="Q412" s="70">
        <f>'RESUMEN TOTAL'!X515</f>
        <v>0</v>
      </c>
      <c r="R412" s="70" t="str">
        <f>'RESUMEN TOTAL'!Y515</f>
        <v>APAGADO</v>
      </c>
      <c r="S412" s="70" t="str">
        <f>'RESUMEN TOTAL'!Z515</f>
        <v>APAGADO</v>
      </c>
      <c r="T412" s="70" t="str">
        <f>'RESUMEN TOTAL'!AA515</f>
        <v>APAGADO</v>
      </c>
      <c r="U412" s="70" t="str">
        <f>'RESUMEN TOTAL'!AB515</f>
        <v>APAGADO</v>
      </c>
      <c r="V412" s="70" t="str">
        <f>'RESUMEN TOTAL'!AC515</f>
        <v>APAGADO</v>
      </c>
      <c r="W412" s="70" t="str">
        <f>'RESUMEN TOTAL'!AD515</f>
        <v>APAGADO</v>
      </c>
      <c r="X412" s="70" t="str">
        <f>'RESUMEN TOTAL'!AE515</f>
        <v>APAGADO</v>
      </c>
      <c r="Y412" s="70" t="str">
        <f>'RESUMEN TOTAL'!AF515</f>
        <v>APAGADO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>
        <f>'RESUMEN TOTAL'!AJ515</f>
        <v>0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3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3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3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>
        <f>'RESUMEN TOTAL'!AD518</f>
        <v>0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3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>
        <f>'RESUMEN TOTAL'!AD519</f>
        <v>0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3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>
        <f>'RESUMEN TOTAL'!W520</f>
        <v>0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 t="str">
        <f>'RESUMEN TOTAL'!AF520</f>
        <v>APAGADO</v>
      </c>
      <c r="Z417" s="70">
        <f>'RESUMEN TOTAL'!AG520</f>
        <v>0</v>
      </c>
      <c r="AA417" s="70">
        <f>'RESUMEN TOTAL'!AH520</f>
        <v>0</v>
      </c>
      <c r="AB417" s="70">
        <f>'RESUMEN TOTAL'!AI520</f>
        <v>0</v>
      </c>
      <c r="AC417" s="70">
        <f>'RESUMEN TOTAL'!AJ520</f>
        <v>0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3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>
        <f>'RESUMEN TOTAL'!O526</f>
        <v>0</v>
      </c>
      <c r="I418" s="70">
        <f>'RESUMEN TOTAL'!P526</f>
        <v>0</v>
      </c>
      <c r="J418" s="70">
        <f>'RESUMEN TOTAL'!Q526</f>
        <v>0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3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>
        <f>'RESUMEN TOTAL'!O527</f>
        <v>0</v>
      </c>
      <c r="I419" s="70">
        <f>'RESUMEN TOTAL'!P527</f>
        <v>0</v>
      </c>
      <c r="J419" s="70">
        <f>'RESUMEN TOTAL'!Q527</f>
        <v>0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3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3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3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 t="str">
        <f>'RESUMEN TOTAL'!M530</f>
        <v>APAGADO</v>
      </c>
      <c r="G422" s="70" t="str">
        <f>'RESUMEN TOTAL'!N530</f>
        <v>APAGADO</v>
      </c>
      <c r="H422" s="70">
        <f>'RESUMEN TOTAL'!O530</f>
        <v>0</v>
      </c>
      <c r="I422" s="70">
        <f>'RESUMEN TOTAL'!P530</f>
        <v>0</v>
      </c>
      <c r="J422" s="70">
        <f>'RESUMEN TOTAL'!Q530</f>
        <v>0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3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 t="str">
        <f>'RESUMEN TOTAL'!M531</f>
        <v>APAGADO</v>
      </c>
      <c r="G423" s="70" t="str">
        <f>'RESUMEN TOTAL'!N531</f>
        <v>APAGADO</v>
      </c>
      <c r="H423" s="70">
        <f>'RESUMEN TOTAL'!O531</f>
        <v>0</v>
      </c>
      <c r="I423" s="70">
        <f>'RESUMEN TOTAL'!P531</f>
        <v>0</v>
      </c>
      <c r="J423" s="70">
        <f>'RESUMEN TOTAL'!Q531</f>
        <v>0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3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 t="str">
        <f>'RESUMEN TOTAL'!M532</f>
        <v>APAGADO</v>
      </c>
      <c r="G424" s="70" t="str">
        <f>'RESUMEN TOTAL'!N532</f>
        <v>APAGADO</v>
      </c>
      <c r="H424" s="70">
        <f>'RESUMEN TOTAL'!O532</f>
        <v>0</v>
      </c>
      <c r="I424" s="70">
        <f>'RESUMEN TOTAL'!P532</f>
        <v>0</v>
      </c>
      <c r="J424" s="70">
        <f>'RESUMEN TOTAL'!Q532</f>
        <v>0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3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 t="str">
        <f>'RESUMEN TOTAL'!M533</f>
        <v>APAGADO</v>
      </c>
      <c r="G425" s="70" t="str">
        <f>'RESUMEN TOTAL'!N533</f>
        <v>APAGADO</v>
      </c>
      <c r="H425" s="70">
        <f>'RESUMEN TOTAL'!O533</f>
        <v>0</v>
      </c>
      <c r="I425" s="70">
        <f>'RESUMEN TOTAL'!P533</f>
        <v>0</v>
      </c>
      <c r="J425" s="70">
        <f>'RESUMEN TOTAL'!Q533</f>
        <v>0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3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3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3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3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3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>
        <f>'RESUMEN TOTAL'!M539</f>
        <v>0</v>
      </c>
      <c r="G430" s="70">
        <f>'RESUMEN TOTAL'!N539</f>
        <v>0</v>
      </c>
      <c r="H430" s="70">
        <f>'RESUMEN TOTAL'!O539</f>
        <v>0</v>
      </c>
      <c r="I430" s="70">
        <f>'RESUMEN TOTAL'!P539</f>
        <v>0</v>
      </c>
      <c r="J430" s="70">
        <f>'RESUMEN TOTAL'!Q539</f>
        <v>0</v>
      </c>
      <c r="K430" s="70">
        <f>'RESUMEN TOTAL'!R539</f>
        <v>0</v>
      </c>
      <c r="L430" s="70">
        <f>'RESUMEN TOTAL'!S539</f>
        <v>0</v>
      </c>
      <c r="M430" s="70">
        <f>'RESUMEN TOTAL'!T539</f>
        <v>0</v>
      </c>
      <c r="N430" s="70">
        <f>'RESUMEN TOTAL'!U539</f>
        <v>0</v>
      </c>
      <c r="O430" s="70">
        <f>'RESUMEN TOTAL'!V539</f>
        <v>0</v>
      </c>
      <c r="P430" s="70">
        <f>'RESUMEN TOTAL'!W539</f>
        <v>0</v>
      </c>
      <c r="Q430" s="70" t="str">
        <f>'RESUMEN TOTAL'!X539</f>
        <v>APAGADO</v>
      </c>
      <c r="R430" s="70">
        <f>'RESUMEN TOTAL'!Y539</f>
        <v>0</v>
      </c>
      <c r="S430" s="70">
        <f>'RESUMEN TOTAL'!Z539</f>
        <v>0</v>
      </c>
      <c r="T430" s="70">
        <f>'RESUMEN TOTAL'!AA539</f>
        <v>0</v>
      </c>
      <c r="U430" s="70">
        <f>'RESUMEN TOTAL'!AB539</f>
        <v>0</v>
      </c>
      <c r="V430" s="70">
        <f>'RESUMEN TOTAL'!AC539</f>
        <v>0</v>
      </c>
      <c r="W430" s="70">
        <f>'RESUMEN TOTAL'!AD539</f>
        <v>0</v>
      </c>
      <c r="X430" s="70">
        <f>'RESUMEN TOTAL'!AE539</f>
        <v>0</v>
      </c>
      <c r="Y430" s="70">
        <f>'RESUMEN TOTAL'!AF539</f>
        <v>0</v>
      </c>
      <c r="Z430" s="70">
        <f>'RESUMEN TOTAL'!AG539</f>
        <v>0</v>
      </c>
      <c r="AA430" s="70">
        <f>'RESUMEN TOTAL'!AH539</f>
        <v>0</v>
      </c>
      <c r="AB430" s="70">
        <f>'RESUMEN TOTAL'!AI539</f>
        <v>0</v>
      </c>
      <c r="AC430" s="70">
        <f>'RESUMEN TOTAL'!AJ539</f>
        <v>0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3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 t="str">
        <f>'RESUMEN TOTAL'!M540</f>
        <v>APAGADO</v>
      </c>
      <c r="G431" s="70" t="str">
        <f>'RESUMEN TOTAL'!N540</f>
        <v>APAGADO</v>
      </c>
      <c r="H431" s="70" t="str">
        <f>'RESUMEN TOTAL'!O540</f>
        <v>APAGADO</v>
      </c>
      <c r="I431" s="70" t="str">
        <f>'RESUMEN TOTAL'!P540</f>
        <v>APAGADO</v>
      </c>
      <c r="J431" s="70" t="str">
        <f>'RESUMEN TOTAL'!Q540</f>
        <v>APAGADO</v>
      </c>
      <c r="K431" s="70" t="str">
        <f>'RESUMEN TOTAL'!R540</f>
        <v>APAGADO</v>
      </c>
      <c r="L431" s="70" t="str">
        <f>'RESUMEN TOTAL'!S540</f>
        <v>APAGADO</v>
      </c>
      <c r="M431" s="70" t="str">
        <f>'RESUMEN TOTAL'!T540</f>
        <v>APAGADO</v>
      </c>
      <c r="N431" s="70" t="str">
        <f>'RESUMEN TOTAL'!U540</f>
        <v>APAGADO</v>
      </c>
      <c r="O431" s="70" t="str">
        <f>'RESUMEN TOTAL'!V540</f>
        <v>APAGADO</v>
      </c>
      <c r="P431" s="70">
        <f>'RESUMEN TOTAL'!W540</f>
        <v>0</v>
      </c>
      <c r="Q431" s="70" t="str">
        <f>'RESUMEN TOTAL'!X540</f>
        <v>APAGADO</v>
      </c>
      <c r="R431" s="70" t="str">
        <f>'RESUMEN TOTAL'!Y540</f>
        <v>APAGADO</v>
      </c>
      <c r="S431" s="70" t="str">
        <f>'RESUMEN TOTAL'!Z540</f>
        <v>APAGADO</v>
      </c>
      <c r="T431" s="70" t="str">
        <f>'RESUMEN TOTAL'!AA540</f>
        <v>APAGADO</v>
      </c>
      <c r="U431" s="70" t="str">
        <f>'RESUMEN TOTAL'!AB540</f>
        <v>APAGADO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3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>
        <f>'RESUMEN TOTAL'!P542</f>
        <v>0</v>
      </c>
      <c r="J432" s="70">
        <f>'RESUMEN TOTAL'!Q542</f>
        <v>0</v>
      </c>
      <c r="K432" s="70">
        <f>'RESUMEN TOTAL'!R542</f>
        <v>0</v>
      </c>
      <c r="L432" s="70">
        <f>'RESUMEN TOTAL'!S542</f>
        <v>0</v>
      </c>
      <c r="M432" s="70">
        <f>'RESUMEN TOTAL'!T542</f>
        <v>0</v>
      </c>
      <c r="N432" s="70">
        <f>'RESUMEN TOTAL'!U542</f>
        <v>0</v>
      </c>
      <c r="O432" s="70">
        <f>'RESUMEN TOTAL'!V542</f>
        <v>0</v>
      </c>
      <c r="P432" s="70">
        <f>'RESUMEN TOTAL'!W542</f>
        <v>0</v>
      </c>
      <c r="Q432" s="70" t="str">
        <f>'RESUMEN TOTAL'!X542</f>
        <v>APAGADO</v>
      </c>
      <c r="R432" s="70" t="str">
        <f>'RESUMEN TOTAL'!Y542</f>
        <v>APAGADO</v>
      </c>
      <c r="S432" s="70">
        <f>'RESUMEN TOTAL'!Z542</f>
        <v>0</v>
      </c>
      <c r="T432" s="70">
        <f>'RESUMEN TOTAL'!AA542</f>
        <v>0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3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>
        <f>'RESUMEN TOTAL'!P543</f>
        <v>0</v>
      </c>
      <c r="J433" s="70">
        <f>'RESUMEN TOTAL'!Q543</f>
        <v>0</v>
      </c>
      <c r="K433" s="70">
        <f>'RESUMEN TOTAL'!R543</f>
        <v>0</v>
      </c>
      <c r="L433" s="70">
        <f>'RESUMEN TOTAL'!S543</f>
        <v>0</v>
      </c>
      <c r="M433" s="70">
        <f>'RESUMEN TOTAL'!T543</f>
        <v>0</v>
      </c>
      <c r="N433" s="70">
        <f>'RESUMEN TOTAL'!U543</f>
        <v>0</v>
      </c>
      <c r="O433" s="70">
        <f>'RESUMEN TOTAL'!V543</f>
        <v>0</v>
      </c>
      <c r="P433" s="70">
        <f>'RESUMEN TOTAL'!W543</f>
        <v>0</v>
      </c>
      <c r="Q433" s="70" t="str">
        <f>'RESUMEN TOTAL'!X543</f>
        <v>APAGADO</v>
      </c>
      <c r="R433" s="70" t="str">
        <f>'RESUMEN TOTAL'!Y543</f>
        <v>APAGADO</v>
      </c>
      <c r="S433" s="70">
        <f>'RESUMEN TOTAL'!Z543</f>
        <v>0</v>
      </c>
      <c r="T433" s="70">
        <f>'RESUMEN TOTAL'!AA543</f>
        <v>0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3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>
        <f>'RESUMEN TOTAL'!P544</f>
        <v>0</v>
      </c>
      <c r="J434" s="70">
        <f>'RESUMEN TOTAL'!Q544</f>
        <v>0</v>
      </c>
      <c r="K434" s="70">
        <f>'RESUMEN TOTAL'!R544</f>
        <v>0</v>
      </c>
      <c r="L434" s="70">
        <f>'RESUMEN TOTAL'!S544</f>
        <v>0</v>
      </c>
      <c r="M434" s="70">
        <f>'RESUMEN TOTAL'!T544</f>
        <v>0</v>
      </c>
      <c r="N434" s="70">
        <f>'RESUMEN TOTAL'!U544</f>
        <v>0</v>
      </c>
      <c r="O434" s="70">
        <f>'RESUMEN TOTAL'!V544</f>
        <v>0</v>
      </c>
      <c r="P434" s="70">
        <f>'RESUMEN TOTAL'!W544</f>
        <v>0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>
        <f>'RESUMEN TOTAL'!AC544</f>
        <v>0</v>
      </c>
      <c r="W434" s="70">
        <f>'RESUMEN TOTAL'!AD544</f>
        <v>0</v>
      </c>
      <c r="X434" s="70">
        <f>'RESUMEN TOTAL'!AE544</f>
        <v>0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3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>
        <f>'RESUMEN TOTAL'!P545</f>
        <v>0</v>
      </c>
      <c r="J435" s="70">
        <f>'RESUMEN TOTAL'!Q545</f>
        <v>0</v>
      </c>
      <c r="K435" s="70">
        <f>'RESUMEN TOTAL'!R545</f>
        <v>0</v>
      </c>
      <c r="L435" s="70">
        <f>'RESUMEN TOTAL'!S545</f>
        <v>0</v>
      </c>
      <c r="M435" s="70">
        <f>'RESUMEN TOTAL'!T545</f>
        <v>0</v>
      </c>
      <c r="N435" s="70">
        <f>'RESUMEN TOTAL'!U545</f>
        <v>0</v>
      </c>
      <c r="O435" s="70">
        <f>'RESUMEN TOTAL'!V545</f>
        <v>0</v>
      </c>
      <c r="P435" s="70">
        <f>'RESUMEN TOTAL'!W545</f>
        <v>0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 t="str">
        <f>'RESUMEN TOTAL'!AB545</f>
        <v>APAGADO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3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 t="str">
        <f>'RESUMEN TOTAL'!M549</f>
        <v>APAGADO</v>
      </c>
      <c r="G436" s="70" t="str">
        <f>'RESUMEN TOTAL'!N549</f>
        <v>APAGADO</v>
      </c>
      <c r="H436" s="70" t="str">
        <f>'RESUMEN TOTAL'!O549</f>
        <v>APAGADO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>
        <f>'RESUMEN TOTAL'!S549</f>
        <v>0</v>
      </c>
      <c r="M436" s="70">
        <f>'RESUMEN TOTAL'!T549</f>
        <v>0</v>
      </c>
      <c r="N436" s="70">
        <f>'RESUMEN TOTAL'!U549</f>
        <v>0</v>
      </c>
      <c r="O436" s="70">
        <f>'RESUMEN TOTAL'!V549</f>
        <v>0</v>
      </c>
      <c r="P436" s="70">
        <f>'RESUMEN TOTAL'!W549</f>
        <v>0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 t="str">
        <f>'RESUMEN TOTAL'!AB549</f>
        <v>APAGADO</v>
      </c>
      <c r="V436" s="70" t="str">
        <f>'RESUMEN TOTAL'!AC549</f>
        <v>APAGADO</v>
      </c>
      <c r="W436" s="70" t="str">
        <f>'RESUMEN TOTAL'!AD549</f>
        <v>APAGADO</v>
      </c>
      <c r="X436" s="70" t="str">
        <f>'RESUMEN TOTAL'!AE549</f>
        <v>APAGADO</v>
      </c>
      <c r="Y436" s="70" t="str">
        <f>'RESUMEN TOTAL'!AF549</f>
        <v>APAGADO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3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 t="str">
        <f>'RESUMEN TOTAL'!M550</f>
        <v>APAGADO</v>
      </c>
      <c r="G437" s="70" t="str">
        <f>'RESUMEN TOTAL'!N550</f>
        <v>APAGADO</v>
      </c>
      <c r="H437" s="70" t="str">
        <f>'RESUMEN TOTAL'!O550</f>
        <v>APAGADO</v>
      </c>
      <c r="I437" s="70" t="str">
        <f>'RESUMEN TOTAL'!P550</f>
        <v>APAGADO</v>
      </c>
      <c r="J437" s="70" t="str">
        <f>'RESUMEN TOTAL'!Q550</f>
        <v>APAGADO</v>
      </c>
      <c r="K437" s="70">
        <f>'RESUMEN TOTAL'!R550</f>
        <v>0</v>
      </c>
      <c r="L437" s="70">
        <f>'RESUMEN TOTAL'!S550</f>
        <v>0</v>
      </c>
      <c r="M437" s="70">
        <f>'RESUMEN TOTAL'!T550</f>
        <v>0</v>
      </c>
      <c r="N437" s="70">
        <f>'RESUMEN TOTAL'!U550</f>
        <v>0</v>
      </c>
      <c r="O437" s="70">
        <f>'RESUMEN TOTAL'!V550</f>
        <v>0</v>
      </c>
      <c r="P437" s="70">
        <f>'RESUMEN TOTAL'!W550</f>
        <v>0</v>
      </c>
      <c r="Q437" s="70">
        <f>'RESUMEN TOTAL'!X550</f>
        <v>0</v>
      </c>
      <c r="R437" s="70">
        <f>'RESUMEN TOTAL'!Y550</f>
        <v>0</v>
      </c>
      <c r="S437" s="70">
        <f>'RESUMEN TOTAL'!Z550</f>
        <v>0</v>
      </c>
      <c r="T437" s="70">
        <f>'RESUMEN TOTAL'!AA550</f>
        <v>0</v>
      </c>
      <c r="U437" s="70">
        <f>'RESUMEN TOTAL'!AB550</f>
        <v>0</v>
      </c>
      <c r="V437" s="70">
        <f>'RESUMEN TOTAL'!AC550</f>
        <v>0</v>
      </c>
      <c r="W437" s="70">
        <f>'RESUMEN TOTAL'!AD550</f>
        <v>0</v>
      </c>
      <c r="X437" s="70">
        <f>'RESUMEN TOTAL'!AE550</f>
        <v>0</v>
      </c>
      <c r="Y437" s="70">
        <f>'RESUMEN TOTAL'!AF550</f>
        <v>0</v>
      </c>
      <c r="Z437" s="70">
        <f>'RESUMEN TOTAL'!AG550</f>
        <v>0</v>
      </c>
      <c r="AA437" s="70">
        <f>'RESUMEN TOTAL'!AH550</f>
        <v>0</v>
      </c>
      <c r="AB437" s="70">
        <f>'RESUMEN TOTAL'!AI550</f>
        <v>0</v>
      </c>
      <c r="AC437" s="70">
        <f>'RESUMEN TOTAL'!AJ550</f>
        <v>0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3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 t="str">
        <f>'RESUMEN TOTAL'!M551</f>
        <v>APAGADO</v>
      </c>
      <c r="G438" s="70" t="str">
        <f>'RESUMEN TOTAL'!N551</f>
        <v>APAGADO</v>
      </c>
      <c r="H438" s="70" t="str">
        <f>'RESUMEN TOTAL'!O551</f>
        <v>APAGADO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>
        <f>'RESUMEN TOTAL'!S551</f>
        <v>0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>
        <f>'RESUMEN TOTAL'!W551</f>
        <v>0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 t="str">
        <f>'RESUMEN TOTAL'!AB551</f>
        <v>APAGADO</v>
      </c>
      <c r="V438" s="70" t="str">
        <f>'RESUMEN TOTAL'!AC551</f>
        <v>APAGADO</v>
      </c>
      <c r="W438" s="70" t="str">
        <f>'RESUMEN TOTAL'!AD551</f>
        <v>APAGADO</v>
      </c>
      <c r="X438" s="70" t="str">
        <f>'RESUMEN TOTAL'!AE551</f>
        <v>APAGADO</v>
      </c>
      <c r="Y438" s="70" t="str">
        <f>'RESUMEN TOTAL'!AF551</f>
        <v>APAGADO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3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 t="str">
        <f>'RESUMEN TOTAL'!M552</f>
        <v>APAGADO</v>
      </c>
      <c r="G439" s="70" t="str">
        <f>'RESUMEN TOTAL'!N552</f>
        <v>APAGADO</v>
      </c>
      <c r="H439" s="70" t="str">
        <f>'RESUMEN TOTAL'!O552</f>
        <v>APAGADO</v>
      </c>
      <c r="I439" s="70" t="str">
        <f>'RESUMEN TOTAL'!P552</f>
        <v>APAGADO</v>
      </c>
      <c r="J439" s="70" t="str">
        <f>'RESUMEN TOTAL'!Q552</f>
        <v>APAGADO</v>
      </c>
      <c r="K439" s="70">
        <f>'RESUMEN TOTAL'!R552</f>
        <v>0</v>
      </c>
      <c r="L439" s="70">
        <f>'RESUMEN TOTAL'!S552</f>
        <v>0</v>
      </c>
      <c r="M439" s="70">
        <f>'RESUMEN TOTAL'!T552</f>
        <v>0</v>
      </c>
      <c r="N439" s="70">
        <f>'RESUMEN TOTAL'!U552</f>
        <v>0</v>
      </c>
      <c r="O439" s="70">
        <f>'RESUMEN TOTAL'!V552</f>
        <v>0</v>
      </c>
      <c r="P439" s="70">
        <f>'RESUMEN TOTAL'!W552</f>
        <v>0</v>
      </c>
      <c r="Q439" s="70">
        <f>'RESUMEN TOTAL'!X552</f>
        <v>0</v>
      </c>
      <c r="R439" s="70">
        <f>'RESUMEN TOTAL'!Y552</f>
        <v>0</v>
      </c>
      <c r="S439" s="70">
        <f>'RESUMEN TOTAL'!Z552</f>
        <v>0</v>
      </c>
      <c r="T439" s="70">
        <f>'RESUMEN TOTAL'!AA552</f>
        <v>0</v>
      </c>
      <c r="U439" s="70">
        <f>'RESUMEN TOTAL'!AB552</f>
        <v>0</v>
      </c>
      <c r="V439" s="70">
        <f>'RESUMEN TOTAL'!AC552</f>
        <v>0</v>
      </c>
      <c r="W439" s="70">
        <f>'RESUMEN TOTAL'!AD552</f>
        <v>0</v>
      </c>
      <c r="X439" s="70">
        <f>'RESUMEN TOTAL'!AE552</f>
        <v>0</v>
      </c>
      <c r="Y439" s="70">
        <f>'RESUMEN TOTAL'!AF552</f>
        <v>0</v>
      </c>
      <c r="Z439" s="70">
        <f>'RESUMEN TOTAL'!AG552</f>
        <v>0</v>
      </c>
      <c r="AA439" s="70">
        <f>'RESUMEN TOTAL'!AH552</f>
        <v>0</v>
      </c>
      <c r="AB439" s="70">
        <f>'RESUMEN TOTAL'!AI552</f>
        <v>0</v>
      </c>
      <c r="AC439" s="70">
        <f>'RESUMEN TOTAL'!AJ552</f>
        <v>0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3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 t="str">
        <f>'RESUMEN TOTAL'!M553</f>
        <v>APAGADO</v>
      </c>
      <c r="G440" s="70">
        <f>'RESUMEN TOTAL'!N553</f>
        <v>0</v>
      </c>
      <c r="H440" s="70">
        <f>'RESUMEN TOTAL'!O553</f>
        <v>0</v>
      </c>
      <c r="I440" s="70">
        <f>'RESUMEN TOTAL'!P553</f>
        <v>0</v>
      </c>
      <c r="J440" s="70">
        <f>'RESUMEN TOTAL'!Q553</f>
        <v>0</v>
      </c>
      <c r="K440" s="70">
        <f>'RESUMEN TOTAL'!R553</f>
        <v>0</v>
      </c>
      <c r="L440" s="70">
        <f>'RESUMEN TOTAL'!S553</f>
        <v>0</v>
      </c>
      <c r="M440" s="70">
        <f>'RESUMEN TOTAL'!T553</f>
        <v>0</v>
      </c>
      <c r="N440" s="70">
        <f>'RESUMEN TOTAL'!U553</f>
        <v>0</v>
      </c>
      <c r="O440" s="70">
        <f>'RESUMEN TOTAL'!V553</f>
        <v>0</v>
      </c>
      <c r="P440" s="70">
        <f>'RESUMEN TOTAL'!W553</f>
        <v>0</v>
      </c>
      <c r="Q440" s="70">
        <f>'RESUMEN TOTAL'!X553</f>
        <v>0</v>
      </c>
      <c r="R440" s="70">
        <f>'RESUMEN TOTAL'!Y553</f>
        <v>0</v>
      </c>
      <c r="S440" s="70">
        <f>'RESUMEN TOTAL'!Z553</f>
        <v>0</v>
      </c>
      <c r="T440" s="70">
        <f>'RESUMEN TOTAL'!AA553</f>
        <v>0</v>
      </c>
      <c r="U440" s="70">
        <f>'RESUMEN TOTAL'!AB553</f>
        <v>0</v>
      </c>
      <c r="V440" s="70">
        <f>'RESUMEN TOTAL'!AC553</f>
        <v>0</v>
      </c>
      <c r="W440" s="70">
        <f>'RESUMEN TOTAL'!AD553</f>
        <v>0</v>
      </c>
      <c r="X440" s="70">
        <f>'RESUMEN TOTAL'!AE553</f>
        <v>0</v>
      </c>
      <c r="Y440" s="70">
        <f>'RESUMEN TOTAL'!AF553</f>
        <v>0</v>
      </c>
      <c r="Z440" s="70">
        <f>'RESUMEN TOTAL'!AG553</f>
        <v>0</v>
      </c>
      <c r="AA440" s="70">
        <f>'RESUMEN TOTAL'!AH553</f>
        <v>0</v>
      </c>
      <c r="AB440" s="70">
        <f>'RESUMEN TOTAL'!AI553</f>
        <v>0</v>
      </c>
      <c r="AC440" s="70">
        <f>'RESUMEN TOTAL'!AJ553</f>
        <v>0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3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>
        <f>'RESUMEN TOTAL'!V555</f>
        <v>0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3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3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3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3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>
        <f>'RESUMEN TOTAL'!W559</f>
        <v>0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>
        <f>'RESUMEN TOTAL'!AG559</f>
        <v>0</v>
      </c>
      <c r="AA445" s="70">
        <f>'RESUMEN TOTAL'!AH559</f>
        <v>0</v>
      </c>
      <c r="AB445" s="70">
        <f>'RESUMEN TOTAL'!AI559</f>
        <v>0</v>
      </c>
      <c r="AC445" s="70">
        <f>'RESUMEN TOTAL'!AJ559</f>
        <v>0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3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 t="str">
        <f>'RESUMEN TOTAL'!V560</f>
        <v>APAGADO</v>
      </c>
      <c r="P446" s="70">
        <f>'RESUMEN TOTAL'!W560</f>
        <v>0</v>
      </c>
      <c r="Q446" s="70" t="str">
        <f>'RESUMEN TOTAL'!X560</f>
        <v>APAGADO</v>
      </c>
      <c r="R446" s="70" t="str">
        <f>'RESUMEN TOTAL'!Y560</f>
        <v>APAGADO</v>
      </c>
      <c r="S446" s="70" t="str">
        <f>'RESUMEN TOTAL'!Z560</f>
        <v>APAGADO</v>
      </c>
      <c r="T446" s="70" t="str">
        <f>'RESUMEN TOTAL'!AA560</f>
        <v>APAGADO</v>
      </c>
      <c r="U446" s="70" t="str">
        <f>'RESUMEN TOTAL'!AB560</f>
        <v>APAGADO</v>
      </c>
      <c r="V446" s="70" t="str">
        <f>'RESUMEN TOTAL'!AC560</f>
        <v>APAGADO</v>
      </c>
      <c r="W446" s="70" t="str">
        <f>'RESUMEN TOTAL'!AD560</f>
        <v>APAGADO</v>
      </c>
      <c r="X446" s="70" t="str">
        <f>'RESUMEN TOTAL'!AE560</f>
        <v>APAGADO</v>
      </c>
      <c r="Y446" s="70" t="str">
        <f>'RESUMEN TOTAL'!AF560</f>
        <v>APAGADO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3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 t="str">
        <f>'RESUMEN TOTAL'!V561</f>
        <v>APAGADO</v>
      </c>
      <c r="P447" s="70">
        <f>'RESUMEN TOTAL'!W561</f>
        <v>0</v>
      </c>
      <c r="Q447" s="70" t="str">
        <f>'RESUMEN TOTAL'!X561</f>
        <v>APAGADO</v>
      </c>
      <c r="R447" s="70" t="str">
        <f>'RESUMEN TOTAL'!Y561</f>
        <v>APAGADO</v>
      </c>
      <c r="S447" s="70" t="str">
        <f>'RESUMEN TOTAL'!Z561</f>
        <v>APAGADO</v>
      </c>
      <c r="T447" s="70" t="str">
        <f>'RESUMEN TOTAL'!AA561</f>
        <v>APAGADO</v>
      </c>
      <c r="U447" s="70" t="str">
        <f>'RESUMEN TOTAL'!AB561</f>
        <v>APAGADO</v>
      </c>
      <c r="V447" s="70" t="str">
        <f>'RESUMEN TOTAL'!AC561</f>
        <v>APAGADO</v>
      </c>
      <c r="W447" s="70" t="str">
        <f>'RESUMEN TOTAL'!AD561</f>
        <v>APAGADO</v>
      </c>
      <c r="X447" s="70" t="str">
        <f>'RESUMEN TOTAL'!AE561</f>
        <v>APAGADO</v>
      </c>
      <c r="Y447" s="70" t="str">
        <f>'RESUMEN TOTAL'!AF561</f>
        <v>APAGADO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3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>
        <f>'RESUMEN TOTAL'!N562</f>
        <v>0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 t="str">
        <f>'RESUMEN TOTAL'!V562</f>
        <v>APAGADO</v>
      </c>
      <c r="P448" s="70">
        <f>'RESUMEN TOTAL'!W562</f>
        <v>0</v>
      </c>
      <c r="Q448" s="70" t="str">
        <f>'RESUMEN TOTAL'!X562</f>
        <v>APAGADO</v>
      </c>
      <c r="R448" s="70" t="str">
        <f>'RESUMEN TOTAL'!Y562</f>
        <v>APAGADO</v>
      </c>
      <c r="S448" s="70" t="str">
        <f>'RESUMEN TOTAL'!Z562</f>
        <v>APAGADO</v>
      </c>
      <c r="T448" s="70" t="str">
        <f>'RESUMEN TOTAL'!AA562</f>
        <v>APAGADO</v>
      </c>
      <c r="U448" s="70" t="str">
        <f>'RESUMEN TOTAL'!AB562</f>
        <v>APAGADO</v>
      </c>
      <c r="V448" s="70" t="str">
        <f>'RESUMEN TOTAL'!AC562</f>
        <v>APAGADO</v>
      </c>
      <c r="W448" s="70" t="str">
        <f>'RESUMEN TOTAL'!AD562</f>
        <v>APAGADO</v>
      </c>
      <c r="X448" s="70" t="str">
        <f>'RESUMEN TOTAL'!AE562</f>
        <v>APAGADO</v>
      </c>
      <c r="Y448" s="70" t="str">
        <f>'RESUMEN TOTAL'!AF562</f>
        <v>APAGADO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3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>
        <f>'RESUMEN TOTAL'!N563</f>
        <v>0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 t="str">
        <f>'RESUMEN TOTAL'!V563</f>
        <v>APAGADO</v>
      </c>
      <c r="P449" s="70">
        <f>'RESUMEN TOTAL'!W563</f>
        <v>0</v>
      </c>
      <c r="Q449" s="70" t="str">
        <f>'RESUMEN TOTAL'!X563</f>
        <v>APAGADO</v>
      </c>
      <c r="R449" s="70" t="str">
        <f>'RESUMEN TOTAL'!Y563</f>
        <v>APAGADO</v>
      </c>
      <c r="S449" s="70" t="str">
        <f>'RESUMEN TOTAL'!Z563</f>
        <v>APAGADO</v>
      </c>
      <c r="T449" s="70" t="str">
        <f>'RESUMEN TOTAL'!AA563</f>
        <v>APAGADO</v>
      </c>
      <c r="U449" s="70" t="str">
        <f>'RESUMEN TOTAL'!AB563</f>
        <v>APAGADO</v>
      </c>
      <c r="V449" s="70" t="str">
        <f>'RESUMEN TOTAL'!AC563</f>
        <v>APAGADO</v>
      </c>
      <c r="W449" s="70" t="str">
        <f>'RESUMEN TOTAL'!AD563</f>
        <v>APAGADO</v>
      </c>
      <c r="X449" s="70" t="str">
        <f>'RESUMEN TOTAL'!AE563</f>
        <v>APAGADO</v>
      </c>
      <c r="Y449" s="70" t="str">
        <f>'RESUMEN TOTAL'!AF563</f>
        <v>APAGADO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3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>
        <f>'RESUMEN TOTAL'!M564</f>
        <v>0</v>
      </c>
      <c r="G450" s="70">
        <f>'RESUMEN TOTAL'!N564</f>
        <v>0</v>
      </c>
      <c r="H450" s="70">
        <f>'RESUMEN TOTAL'!O564</f>
        <v>0</v>
      </c>
      <c r="I450" s="70">
        <f>'RESUMEN TOTAL'!P564</f>
        <v>0</v>
      </c>
      <c r="J450" s="70">
        <f>'RESUMEN TOTAL'!Q564</f>
        <v>0</v>
      </c>
      <c r="K450" s="70">
        <f>'RESUMEN TOTAL'!R564</f>
        <v>0</v>
      </c>
      <c r="L450" s="70">
        <f>'RESUMEN TOTAL'!S564</f>
        <v>0</v>
      </c>
      <c r="M450" s="70">
        <f>'RESUMEN TOTAL'!T564</f>
        <v>0</v>
      </c>
      <c r="N450" s="70">
        <f>'RESUMEN TOTAL'!U564</f>
        <v>0</v>
      </c>
      <c r="O450" s="70">
        <f>'RESUMEN TOTAL'!V564</f>
        <v>0</v>
      </c>
      <c r="P450" s="70">
        <f>'RESUMEN TOTAL'!W564</f>
        <v>0</v>
      </c>
      <c r="Q450" s="70" t="str">
        <f>'RESUMEN TOTAL'!X564</f>
        <v>APAGADO</v>
      </c>
      <c r="R450" s="70" t="str">
        <f>'RESUMEN TOTAL'!Y564</f>
        <v>APAGADO</v>
      </c>
      <c r="S450" s="70">
        <f>'RESUMEN TOTAL'!Z564</f>
        <v>0</v>
      </c>
      <c r="T450" s="70">
        <f>'RESUMEN TOTAL'!AA564</f>
        <v>0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3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3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3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3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 t="str">
        <f>'RESUMEN TOTAL'!AC570</f>
        <v>APAGADO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3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 t="str">
        <f>'RESUMEN TOTAL'!AC571</f>
        <v>APAGADO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3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 t="str">
        <f>'RESUMEN TOTAL'!AC572</f>
        <v>APAGADO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3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3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3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3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>
        <f>'RESUMEN TOTAL'!W577</f>
        <v>0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>
        <f>'RESUMEN TOTAL'!AG577</f>
        <v>0</v>
      </c>
      <c r="AA460" s="70">
        <f>'RESUMEN TOTAL'!AH577</f>
        <v>0</v>
      </c>
      <c r="AB460" s="70">
        <f>'RESUMEN TOTAL'!AI577</f>
        <v>0</v>
      </c>
      <c r="AC460" s="70">
        <f>'RESUMEN TOTAL'!AJ577</f>
        <v>0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3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3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3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3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3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3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3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3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3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3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3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3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3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3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3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3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3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3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3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3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3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3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3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3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3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3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3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3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3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3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3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3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3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3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3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3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3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3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3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3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3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3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3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3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3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3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3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3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3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3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3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3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3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3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3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3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3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3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3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3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3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3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3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3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3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3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3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3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3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3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3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3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3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3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3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3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3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3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3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3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3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3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3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3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3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3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3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3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3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3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3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3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3">
      <c r="A642" t="s">
        <v>1301</v>
      </c>
      <c r="B642" t="s">
        <v>1337</v>
      </c>
      <c r="C642" t="s">
        <v>1336</v>
      </c>
      <c r="D642" s="30" t="s">
        <v>1306</v>
      </c>
      <c r="E642" s="30" t="s">
        <v>1300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3">
      <c r="A643" t="s">
        <v>1301</v>
      </c>
      <c r="B643" t="s">
        <v>1338</v>
      </c>
      <c r="C643" t="s">
        <v>1336</v>
      </c>
      <c r="D643" t="s">
        <v>1299</v>
      </c>
      <c r="E643" s="30" t="s">
        <v>1300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E1" zoomScale="90" zoomScaleNormal="90" workbookViewId="0">
      <selection activeCell="D20" sqref="D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1069</v>
      </c>
      <c r="C1" s="36">
        <v>45992</v>
      </c>
    </row>
    <row r="2" spans="1:36" ht="15.6" thickTop="1" thickBot="1" x14ac:dyDescent="0.35">
      <c r="A2" s="49" t="s">
        <v>1061</v>
      </c>
      <c r="B2" s="41">
        <f>COUNTIFS('RESUMEN TOTAL'!C8:C580,"=BONOMO")</f>
        <v>303</v>
      </c>
      <c r="C2" s="46">
        <v>0</v>
      </c>
      <c r="F2" s="36">
        <v>46023</v>
      </c>
      <c r="G2" s="36">
        <v>46024</v>
      </c>
      <c r="H2" s="36">
        <v>46025</v>
      </c>
      <c r="I2" s="36">
        <v>46026</v>
      </c>
      <c r="J2" s="36">
        <v>46027</v>
      </c>
      <c r="K2" s="36">
        <v>46028</v>
      </c>
      <c r="L2" s="36">
        <v>46029</v>
      </c>
      <c r="M2" s="36">
        <v>46030</v>
      </c>
      <c r="N2" s="36">
        <v>46031</v>
      </c>
      <c r="O2" s="36">
        <v>46032</v>
      </c>
      <c r="P2" s="36">
        <v>46033</v>
      </c>
      <c r="Q2" s="36">
        <v>46034</v>
      </c>
      <c r="R2" s="36">
        <v>46035</v>
      </c>
      <c r="S2" s="36">
        <v>46036</v>
      </c>
      <c r="T2" s="36">
        <v>46037</v>
      </c>
      <c r="U2" s="36">
        <v>46038</v>
      </c>
      <c r="V2" s="36">
        <v>46039</v>
      </c>
      <c r="W2" s="36">
        <v>46040</v>
      </c>
      <c r="X2" s="36">
        <v>46041</v>
      </c>
      <c r="Y2" s="36">
        <v>46042</v>
      </c>
      <c r="Z2" s="36">
        <v>46043</v>
      </c>
      <c r="AA2" s="36">
        <v>46044</v>
      </c>
      <c r="AB2" s="36">
        <v>46045</v>
      </c>
      <c r="AC2" s="36">
        <v>46046</v>
      </c>
      <c r="AD2" s="36">
        <v>46047</v>
      </c>
      <c r="AE2" s="36">
        <v>46048</v>
      </c>
      <c r="AF2" s="36">
        <v>46049</v>
      </c>
      <c r="AG2" s="36">
        <v>46050</v>
      </c>
      <c r="AH2" s="36">
        <v>46051</v>
      </c>
      <c r="AI2" s="36">
        <v>46052</v>
      </c>
      <c r="AJ2" s="36">
        <v>46053</v>
      </c>
    </row>
    <row r="3" spans="1:36" ht="15.6" thickTop="1" thickBot="1" x14ac:dyDescent="0.35">
      <c r="A3" s="42"/>
      <c r="B3" s="43"/>
      <c r="C3" s="50">
        <v>0</v>
      </c>
      <c r="D3" s="38" t="s">
        <v>1061</v>
      </c>
      <c r="E3" s="45" t="s">
        <v>1070</v>
      </c>
      <c r="F3" s="46">
        <v>0</v>
      </c>
      <c r="G3" s="46">
        <v>50</v>
      </c>
      <c r="H3" s="46">
        <v>0</v>
      </c>
      <c r="I3" s="46">
        <v>0</v>
      </c>
      <c r="J3" s="46">
        <v>34</v>
      </c>
      <c r="K3" s="46">
        <f>COUNTIFS('RESUMEN TOTAL'!R8:R689,"=APAGADO",'RESUMEN TOTAL'!C8:C689,"=BONOMO")</f>
        <v>58</v>
      </c>
      <c r="L3" s="46">
        <v>56</v>
      </c>
      <c r="M3" s="46">
        <v>51</v>
      </c>
      <c r="N3" s="46">
        <f>COUNTIFS('RESUMEN TOTAL'!U8:U689,"=APAGADO",'RESUMEN TOTAL'!C8:C689,"=BONOMO")</f>
        <v>38</v>
      </c>
      <c r="O3" s="46">
        <v>0</v>
      </c>
      <c r="P3" s="46">
        <f>COUNTIFS('RESUMEN TOTAL'!W8:W689,"=APAGADO",'RESUMEN TOTAL'!C8:C689,"=BONOMO")</f>
        <v>0</v>
      </c>
      <c r="Q3" s="46">
        <f>COUNTIFS('RESUMEN TOTAL'!X8:X689,"=APAGADO",'RESUMEN TOTAL'!C8:C689,"=BONOMO")</f>
        <v>41</v>
      </c>
      <c r="R3" s="46">
        <f>COUNTIFS('RESUMEN TOTAL'!Y8:Y689,"=APAGADO",'RESUMEN TOTAL'!C8:C689,"=BONOMO")</f>
        <v>31</v>
      </c>
      <c r="S3" s="46">
        <f>COUNTIFS('RESUMEN TOTAL'!Z8:Z689,"=APAGADO",'RESUMEN TOTAL'!C8:C689,"=BONOMO")</f>
        <v>34</v>
      </c>
      <c r="T3" s="46">
        <f>COUNTIFS('RESUMEN TOTAL'!AA8:AA689,"=APAGADO",'RESUMEN TOTAL'!C8:C689,"=BONOMO")</f>
        <v>41</v>
      </c>
      <c r="U3" s="46">
        <f>COUNTIFS('RESUMEN TOTAL'!AB8:AB689,"=APAGADO",'RESUMEN TOTAL'!C8:C689,"=BONOMO")</f>
        <v>40</v>
      </c>
      <c r="V3" s="46">
        <f>COUNTIFS('RESUMEN TOTAL'!AC8:AC689,"=APAGADO",'RESUMEN TOTAL'!C8:C689,"=BONOMO")</f>
        <v>97</v>
      </c>
      <c r="W3" s="46">
        <v>0</v>
      </c>
      <c r="X3" s="46">
        <f>COUNTIFS('RESUMEN TOTAL'!AE8:AE689,"=APAGADO",'RESUMEN TOTAL'!C8:C689,"=BONOMO")</f>
        <v>53</v>
      </c>
      <c r="Y3" s="46">
        <f>COUNTIFS('RESUMEN TOTAL'!AF8:AF689,"=APAGADO",'RESUMEN TOTAL'!C8:C689,"=BONOMO")</f>
        <v>39</v>
      </c>
      <c r="Z3" s="46">
        <f>COUNTIFS('RESUMEN TOTAL'!AG8:AG689,"=APAGADO",'RESUMEN TOTAL'!C8:C689,"=BONOMO")</f>
        <v>0</v>
      </c>
      <c r="AA3" s="46">
        <f>COUNTIFS('RESUMEN TOTAL'!AH8:AH689,"=APAGADO",'RESUMEN TOTAL'!C8:C689,"=BONOMO")</f>
        <v>0</v>
      </c>
      <c r="AB3" s="46">
        <f>COUNTIFS('RESUMEN TOTAL'!AI8:AI689,"=APAGADO",'RESUMEN TOTAL'!C8:C689,"=BONOMO")</f>
        <v>0</v>
      </c>
      <c r="AC3" s="46">
        <f>COUNTIFS('RESUMEN TOTAL'!AJ8:AJ689,"=APAGADO",'RESUMEN TOTAL'!C8:C689,"=BONOMO")</f>
        <v>0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1062</v>
      </c>
      <c r="B4" s="41">
        <f>COUNTIFS('RESUMEN TOTAL'!C8:C580,"=COSEIDI")</f>
        <v>270</v>
      </c>
      <c r="C4" s="46">
        <v>0</v>
      </c>
      <c r="D4" s="39"/>
      <c r="E4" s="37" t="s">
        <v>1072</v>
      </c>
      <c r="F4" s="50">
        <v>0</v>
      </c>
      <c r="G4" s="50">
        <f t="shared" ref="G4:AH4" si="0">G3/BONOMOcam</f>
        <v>0.16501650165016502</v>
      </c>
      <c r="H4" s="50">
        <f t="shared" si="0"/>
        <v>0</v>
      </c>
      <c r="I4" s="50">
        <v>0</v>
      </c>
      <c r="J4" s="50">
        <v>0.11</v>
      </c>
      <c r="K4" s="50">
        <f t="shared" si="0"/>
        <v>0.19141914191419143</v>
      </c>
      <c r="L4" s="50">
        <f t="shared" si="0"/>
        <v>0.18481848184818481</v>
      </c>
      <c r="M4" s="50">
        <v>0.17</v>
      </c>
      <c r="N4" s="50">
        <f t="shared" si="0"/>
        <v>0.1254125412541254</v>
      </c>
      <c r="O4" s="50">
        <v>0</v>
      </c>
      <c r="P4" s="50">
        <f t="shared" si="0"/>
        <v>0</v>
      </c>
      <c r="Q4" s="50">
        <f t="shared" si="0"/>
        <v>0.13531353135313531</v>
      </c>
      <c r="R4" s="50">
        <f t="shared" si="0"/>
        <v>0.10231023102310231</v>
      </c>
      <c r="S4" s="50">
        <f t="shared" si="0"/>
        <v>0.11221122112211221</v>
      </c>
      <c r="T4" s="50">
        <f t="shared" si="0"/>
        <v>0.13531353135313531</v>
      </c>
      <c r="U4" s="50">
        <f t="shared" si="0"/>
        <v>0.132013201320132</v>
      </c>
      <c r="V4" s="50">
        <f t="shared" si="0"/>
        <v>0.32013201320132012</v>
      </c>
      <c r="W4" s="50">
        <v>0</v>
      </c>
      <c r="X4" s="50">
        <f t="shared" si="0"/>
        <v>0.17491749174917492</v>
      </c>
      <c r="Y4" s="50">
        <f t="shared" si="0"/>
        <v>0.12871287128712872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</v>
      </c>
      <c r="D5" s="38" t="s">
        <v>1062</v>
      </c>
      <c r="E5" s="47" t="s">
        <v>1071</v>
      </c>
      <c r="F5" s="46">
        <v>0</v>
      </c>
      <c r="G5" s="46">
        <v>38</v>
      </c>
      <c r="H5" s="46">
        <v>0</v>
      </c>
      <c r="I5" s="46">
        <v>0</v>
      </c>
      <c r="J5" s="46">
        <f>COUNTIFS('RESUMEN TOTAL'!Q10:Q691,"=APAGADO",'RESUMEN TOTAL'!C10:C691,"=COSEIDI")</f>
        <v>63</v>
      </c>
      <c r="K5" s="46">
        <f>COUNTIFS('RESUMEN TOTAL'!R10:R691,"=APAGADO",'RESUMEN TOTAL'!C10:C691,"=COSEIDI")</f>
        <v>63</v>
      </c>
      <c r="L5" s="46">
        <f>COUNTIFS('RESUMEN TOTAL'!S10:S691,"=APAGADO",'RESUMEN TOTAL'!C10:C691,"=COSEIDI")</f>
        <v>47</v>
      </c>
      <c r="M5" s="46">
        <v>38</v>
      </c>
      <c r="N5" s="46">
        <f>COUNTIFS('RESUMEN TOTAL'!U10:U691,"=APAGADO",'RESUMEN TOTAL'!C10:C691,"=COSEIDI")</f>
        <v>29</v>
      </c>
      <c r="O5" s="46">
        <v>0</v>
      </c>
      <c r="P5" s="46">
        <f>COUNTIFS('RESUMEN TOTAL'!W10:W691,"=APAGADO",'RESUMEN TOTAL'!C10:C691,"=COSEIDI")</f>
        <v>0</v>
      </c>
      <c r="Q5" s="46">
        <f>COUNTIFS('RESUMEN TOTAL'!X10:X691,"=APAGADO",'RESUMEN TOTAL'!C10:C691,"=COSEIDI")</f>
        <v>57</v>
      </c>
      <c r="R5" s="46">
        <f>COUNTIFS('RESUMEN TOTAL'!Y10:Y691,"=APAGADO",'RESUMEN TOTAL'!C10:C691,"=COSEIDI")</f>
        <v>64</v>
      </c>
      <c r="S5" s="46">
        <f>COUNTIFS('RESUMEN TOTAL'!Z10:Z691,"=APAGADO",'RESUMEN TOTAL'!C10:C691,"=COSEIDI")</f>
        <v>50</v>
      </c>
      <c r="T5" s="46">
        <v>51</v>
      </c>
      <c r="U5" s="46">
        <v>0</v>
      </c>
      <c r="V5" s="46">
        <f>COUNTIFS('RESUMEN TOTAL'!AC10:AC691,"=APAGADO",'RESUMEN TOTAL'!C10:C691,"=COSEIDI")</f>
        <v>71</v>
      </c>
      <c r="W5" s="46">
        <f>COUNTIFS('RESUMEN TOTAL'!AD10:AD691,"=APAGADO",'RESUMEN TOTAL'!C10:C691,"=COSEIDI")</f>
        <v>54</v>
      </c>
      <c r="X5" s="46">
        <f>COUNTIFS('RESUMEN TOTAL'!AE10:AE691,"=APAGADO",'RESUMEN TOTAL'!C10:C691,"=COSEIDI")</f>
        <v>58</v>
      </c>
      <c r="Y5" s="46">
        <f>COUNTIFS('RESUMEN TOTAL'!AF10:AF691,"=APAGADO",'RESUMEN TOTAL'!C10:C691,"=COSEIDI")</f>
        <v>55</v>
      </c>
      <c r="Z5" s="46">
        <f>COUNTIFS('RESUMEN TOTAL'!AG10:AG691,"=APAGADO",'RESUMEN TOTAL'!C10:C691,"=COSEIDI")</f>
        <v>0</v>
      </c>
      <c r="AA5" s="46">
        <f>COUNTIFS('RESUMEN TOTAL'!AH10:AH691,"=APAGADO",'RESUMEN TOTAL'!C10:C691,"=COSEIDI")</f>
        <v>0</v>
      </c>
      <c r="AB5" s="46">
        <f>COUNTIFS('RESUMEN TOTAL'!AI10:AI691,"=APAGADO",'RESUMEN TOTAL'!C10:C691,"=COSEIDI")</f>
        <v>0</v>
      </c>
      <c r="AC5" s="46">
        <f>COUNTIFS('RESUMEN TOTAL'!AJ10:AJ691,"=APAGADO",'RESUMEN TOTAL'!C10:C691,"=COSEIDI")</f>
        <v>0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5.6" thickTop="1" thickBot="1" x14ac:dyDescent="0.35">
      <c r="D6" s="39"/>
      <c r="E6" s="37" t="s">
        <v>1073</v>
      </c>
      <c r="F6" s="50">
        <v>0</v>
      </c>
      <c r="G6" s="50">
        <f>G5/COSEIDIcam</f>
        <v>0.14074074074074075</v>
      </c>
      <c r="H6" s="50">
        <v>0</v>
      </c>
      <c r="I6" s="50">
        <v>0</v>
      </c>
      <c r="J6" s="50">
        <v>0.23</v>
      </c>
      <c r="K6" s="50">
        <f t="shared" ref="K6:AH6" si="1">K5/COSEIDIcam</f>
        <v>0.23333333333333334</v>
      </c>
      <c r="L6" s="50">
        <f t="shared" si="1"/>
        <v>0.17407407407407408</v>
      </c>
      <c r="M6" s="50">
        <v>0.14000000000000001</v>
      </c>
      <c r="N6" s="50">
        <f t="shared" si="1"/>
        <v>0.10740740740740741</v>
      </c>
      <c r="O6" s="50">
        <v>0</v>
      </c>
      <c r="P6" s="50">
        <v>0</v>
      </c>
      <c r="Q6" s="50">
        <f t="shared" si="1"/>
        <v>0.21111111111111111</v>
      </c>
      <c r="R6" s="50">
        <f t="shared" si="1"/>
        <v>0.23703703703703705</v>
      </c>
      <c r="S6" s="50">
        <f t="shared" si="1"/>
        <v>0.18518518518518517</v>
      </c>
      <c r="T6" s="50">
        <v>0.19</v>
      </c>
      <c r="U6" s="50">
        <v>0</v>
      </c>
      <c r="V6" s="50">
        <v>0</v>
      </c>
      <c r="W6" s="50">
        <f t="shared" si="1"/>
        <v>0.2</v>
      </c>
      <c r="X6" s="50">
        <f t="shared" si="1"/>
        <v>0.21481481481481482</v>
      </c>
      <c r="Y6" s="50">
        <f t="shared" si="1"/>
        <v>0.20370370370370369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6" spans="1:36" x14ac:dyDescent="0.3">
      <c r="B16" s="8"/>
      <c r="C16" s="8"/>
      <c r="D16" s="8"/>
      <c r="E16" s="8"/>
      <c r="M16"/>
      <c r="N16"/>
      <c r="O16"/>
      <c r="P16"/>
    </row>
    <row r="17" spans="2:16" x14ac:dyDescent="0.3">
      <c r="B17" s="8"/>
      <c r="C17" s="8"/>
      <c r="D17" s="8"/>
      <c r="E17" s="8"/>
      <c r="M17"/>
      <c r="N17"/>
      <c r="O17"/>
      <c r="P17"/>
    </row>
    <row r="18" spans="2:16" x14ac:dyDescent="0.3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184" zoomScale="84" zoomScaleNormal="84" workbookViewId="0">
      <selection activeCell="B210" sqref="B210:F219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07" t="s">
        <v>911</v>
      </c>
      <c r="D1" s="108" t="s">
        <v>1463</v>
      </c>
      <c r="E1" s="109" t="s">
        <v>912</v>
      </c>
    </row>
    <row r="2" spans="1:6" ht="15.6" customHeight="1" thickTop="1" x14ac:dyDescent="0.3">
      <c r="A2" s="75"/>
      <c r="B2" s="52" t="s">
        <v>1241</v>
      </c>
      <c r="C2" s="100">
        <f>CANTIDAD_DE_CAMARAS</f>
        <v>574</v>
      </c>
      <c r="D2" s="101"/>
      <c r="E2" s="106"/>
      <c r="F2" s="154">
        <v>46023</v>
      </c>
    </row>
    <row r="3" spans="1:6" ht="15" customHeight="1" x14ac:dyDescent="0.3">
      <c r="A3" s="76" t="s">
        <v>1475</v>
      </c>
      <c r="B3" s="53" t="s">
        <v>6</v>
      </c>
      <c r="C3" s="66">
        <f>'RESUMEN TOTAL'!M3</f>
        <v>108</v>
      </c>
      <c r="D3" s="54"/>
      <c r="E3" s="55">
        <f>C3/C2</f>
        <v>0.18815331010452963</v>
      </c>
      <c r="F3" s="155"/>
    </row>
    <row r="4" spans="1:6" x14ac:dyDescent="0.3">
      <c r="A4" s="76"/>
      <c r="B4" s="53" t="s">
        <v>1242</v>
      </c>
      <c r="C4" s="67">
        <v>0</v>
      </c>
      <c r="D4" s="103">
        <v>0</v>
      </c>
      <c r="E4" s="55">
        <f>D4/C2</f>
        <v>0</v>
      </c>
      <c r="F4" s="155"/>
    </row>
    <row r="5" spans="1:6" x14ac:dyDescent="0.3">
      <c r="A5" s="76"/>
      <c r="B5" s="53" t="s">
        <v>1243</v>
      </c>
      <c r="C5" s="67">
        <v>0</v>
      </c>
      <c r="D5" s="103">
        <v>0</v>
      </c>
      <c r="E5" s="55">
        <f>D5/C2</f>
        <v>0</v>
      </c>
      <c r="F5" s="155"/>
    </row>
    <row r="6" spans="1:6" x14ac:dyDescent="0.3">
      <c r="A6" s="97" t="s">
        <v>1475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" thickBot="1" x14ac:dyDescent="0.35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5.6" thickTop="1" thickBot="1" x14ac:dyDescent="0.35">
      <c r="A8" s="95"/>
      <c r="B8" s="111"/>
      <c r="C8" s="110" t="s">
        <v>911</v>
      </c>
      <c r="D8" s="96" t="s">
        <v>1463</v>
      </c>
      <c r="E8" s="102" t="s">
        <v>912</v>
      </c>
      <c r="F8" s="155"/>
    </row>
    <row r="9" spans="1:6" ht="15" customHeight="1" thickTop="1" thickBot="1" x14ac:dyDescent="0.35">
      <c r="A9" s="35" t="s">
        <v>1477</v>
      </c>
      <c r="B9" s="98" t="s">
        <v>1061</v>
      </c>
      <c r="C9" s="99">
        <v>304</v>
      </c>
      <c r="D9" s="115"/>
      <c r="E9" s="105"/>
      <c r="F9" s="155"/>
    </row>
    <row r="10" spans="1:6" ht="15" thickBot="1" x14ac:dyDescent="0.35">
      <c r="A10" t="s">
        <v>1477</v>
      </c>
      <c r="B10" s="112" t="s">
        <v>1062</v>
      </c>
      <c r="C10" s="113">
        <f>COSEIDIcam</f>
        <v>270</v>
      </c>
      <c r="D10" s="113">
        <f>Hoja1!F5</f>
        <v>0</v>
      </c>
      <c r="E10" s="114"/>
      <c r="F10" s="156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07" t="s">
        <v>911</v>
      </c>
      <c r="D12" s="108" t="s">
        <v>1463</v>
      </c>
      <c r="E12" s="109" t="s">
        <v>912</v>
      </c>
    </row>
    <row r="13" spans="1:6" ht="15" customHeight="1" thickTop="1" x14ac:dyDescent="0.3">
      <c r="B13" s="52" t="s">
        <v>1241</v>
      </c>
      <c r="C13" s="100">
        <f>CANTIDAD_DE_CAMARAS</f>
        <v>574</v>
      </c>
      <c r="D13" s="101"/>
      <c r="E13" s="106"/>
      <c r="F13" s="154">
        <v>46024</v>
      </c>
    </row>
    <row r="14" spans="1:6" x14ac:dyDescent="0.3">
      <c r="A14" t="s">
        <v>1476</v>
      </c>
      <c r="B14" s="53" t="s">
        <v>6</v>
      </c>
      <c r="C14" s="66">
        <f>'RESUMEN TOTAL'!N3</f>
        <v>112</v>
      </c>
      <c r="D14" s="54"/>
      <c r="E14" s="55">
        <f>C14/C13</f>
        <v>0.1951219512195122</v>
      </c>
      <c r="F14" s="155"/>
    </row>
    <row r="15" spans="1:6" x14ac:dyDescent="0.3">
      <c r="B15" s="53" t="s">
        <v>1242</v>
      </c>
      <c r="C15" s="67">
        <v>7</v>
      </c>
      <c r="D15" s="103">
        <v>105</v>
      </c>
      <c r="E15" s="55">
        <f>D15/C13</f>
        <v>0.18292682926829268</v>
      </c>
      <c r="F15" s="155"/>
    </row>
    <row r="16" spans="1:6" x14ac:dyDescent="0.3">
      <c r="B16" s="53" t="s">
        <v>1243</v>
      </c>
      <c r="C16" s="67">
        <v>3</v>
      </c>
      <c r="D16" s="103">
        <f>D15-C16</f>
        <v>102</v>
      </c>
      <c r="E16" s="55">
        <f>D16/C13</f>
        <v>0.17770034843205576</v>
      </c>
      <c r="F16" s="155"/>
    </row>
    <row r="17" spans="1:6" x14ac:dyDescent="0.3">
      <c r="A17" t="s">
        <v>1476</v>
      </c>
      <c r="B17" s="53" t="s">
        <v>16</v>
      </c>
      <c r="C17" s="94">
        <f>'RESUMEN TOTAL'!N5</f>
        <v>5</v>
      </c>
      <c r="D17" s="103">
        <f>D16-C17</f>
        <v>97</v>
      </c>
      <c r="E17" s="55">
        <f>D17/C13</f>
        <v>0.16898954703832753</v>
      </c>
      <c r="F17" s="155"/>
    </row>
    <row r="18" spans="1:6" ht="15" thickBot="1" x14ac:dyDescent="0.35">
      <c r="B18" s="56"/>
      <c r="C18" s="131"/>
      <c r="D18" s="104">
        <v>0</v>
      </c>
      <c r="E18" s="74">
        <f>D18/C13</f>
        <v>0</v>
      </c>
      <c r="F18" s="155"/>
    </row>
    <row r="19" spans="1:6" ht="15.6" thickTop="1" thickBot="1" x14ac:dyDescent="0.35">
      <c r="B19" s="111"/>
      <c r="C19" s="110" t="s">
        <v>911</v>
      </c>
      <c r="D19" s="96" t="s">
        <v>1463</v>
      </c>
      <c r="E19" s="102" t="s">
        <v>912</v>
      </c>
      <c r="F19" s="155"/>
    </row>
    <row r="20" spans="1:6" ht="15.6" thickTop="1" thickBot="1" x14ac:dyDescent="0.35">
      <c r="A20" t="s">
        <v>1478</v>
      </c>
      <c r="B20" s="98" t="s">
        <v>1061</v>
      </c>
      <c r="C20" s="99">
        <v>304</v>
      </c>
      <c r="D20" s="115">
        <f>Hoja1!G3</f>
        <v>50</v>
      </c>
      <c r="E20" s="105">
        <f>D20/C20</f>
        <v>0.16447368421052633</v>
      </c>
      <c r="F20" s="155"/>
    </row>
    <row r="21" spans="1:6" ht="15" thickBot="1" x14ac:dyDescent="0.35">
      <c r="A21" t="s">
        <v>1478</v>
      </c>
      <c r="B21" s="112" t="s">
        <v>1062</v>
      </c>
      <c r="C21" s="113">
        <f>COSEIDIcam</f>
        <v>270</v>
      </c>
      <c r="D21" s="113">
        <f>Hoja1!G5</f>
        <v>38</v>
      </c>
      <c r="E21" s="114">
        <f>D21/C21</f>
        <v>0.14074074074074075</v>
      </c>
      <c r="F21" s="156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07" t="s">
        <v>911</v>
      </c>
      <c r="D23" s="108" t="s">
        <v>1463</v>
      </c>
      <c r="E23" s="109" t="s">
        <v>912</v>
      </c>
    </row>
    <row r="24" spans="1:6" ht="15" thickTop="1" x14ac:dyDescent="0.3">
      <c r="B24" s="52" t="s">
        <v>1241</v>
      </c>
      <c r="C24" s="100">
        <f>CANTIDAD_DE_CAMARAS</f>
        <v>574</v>
      </c>
      <c r="D24" s="101"/>
      <c r="E24" s="106"/>
      <c r="F24" s="154">
        <v>46025</v>
      </c>
    </row>
    <row r="25" spans="1:6" x14ac:dyDescent="0.3">
      <c r="A25" t="s">
        <v>1469</v>
      </c>
      <c r="B25" s="53" t="s">
        <v>6</v>
      </c>
      <c r="C25" s="66">
        <f>'RESUMEN TOTAL'!O3</f>
        <v>88</v>
      </c>
      <c r="D25" s="54"/>
      <c r="E25" s="55">
        <f>C25/C24</f>
        <v>0.15331010452961671</v>
      </c>
      <c r="F25" s="155"/>
    </row>
    <row r="26" spans="1:6" x14ac:dyDescent="0.3">
      <c r="B26" s="53" t="s">
        <v>1242</v>
      </c>
      <c r="C26" s="67">
        <v>0</v>
      </c>
      <c r="D26" s="103">
        <f>C25-C26</f>
        <v>88</v>
      </c>
      <c r="E26" s="55">
        <f>D26/C24</f>
        <v>0.15331010452961671</v>
      </c>
      <c r="F26" s="155"/>
    </row>
    <row r="27" spans="1:6" x14ac:dyDescent="0.3">
      <c r="B27" s="53" t="s">
        <v>1243</v>
      </c>
      <c r="C27" s="67">
        <v>0</v>
      </c>
      <c r="D27" s="103">
        <f>D26-C27</f>
        <v>88</v>
      </c>
      <c r="E27" s="55">
        <f>D27/C24</f>
        <v>0.15331010452961671</v>
      </c>
      <c r="F27" s="155"/>
    </row>
    <row r="28" spans="1:6" x14ac:dyDescent="0.3">
      <c r="A28" t="s">
        <v>1469</v>
      </c>
      <c r="B28" s="53" t="s">
        <v>16</v>
      </c>
      <c r="C28" s="94">
        <f>'RESUMEN TOTAL'!O5</f>
        <v>5</v>
      </c>
      <c r="D28" s="103">
        <f>D27-C28</f>
        <v>83</v>
      </c>
      <c r="E28" s="55">
        <f>D28/C24</f>
        <v>0.14459930313588851</v>
      </c>
      <c r="F28" s="155"/>
    </row>
    <row r="29" spans="1:6" ht="15" thickBot="1" x14ac:dyDescent="0.35">
      <c r="B29" s="56"/>
      <c r="C29" s="131">
        <v>0</v>
      </c>
      <c r="D29" s="104">
        <f>D28-C29</f>
        <v>83</v>
      </c>
      <c r="E29" s="74">
        <f>D29/C24</f>
        <v>0.14459930313588851</v>
      </c>
      <c r="F29" s="155"/>
    </row>
    <row r="30" spans="1:6" ht="15.6" thickTop="1" thickBot="1" x14ac:dyDescent="0.35">
      <c r="B30" s="111"/>
      <c r="C30" s="110" t="s">
        <v>911</v>
      </c>
      <c r="D30" s="96" t="s">
        <v>1463</v>
      </c>
      <c r="E30" s="102" t="s">
        <v>912</v>
      </c>
      <c r="F30" s="155"/>
    </row>
    <row r="31" spans="1:6" ht="15.6" thickTop="1" thickBot="1" x14ac:dyDescent="0.35">
      <c r="B31" s="98" t="s">
        <v>1061</v>
      </c>
      <c r="C31" s="99">
        <v>304</v>
      </c>
      <c r="D31" s="115">
        <v>0</v>
      </c>
      <c r="E31" s="105">
        <f>D31/C31</f>
        <v>0</v>
      </c>
      <c r="F31" s="155"/>
    </row>
    <row r="32" spans="1:6" ht="15" thickBot="1" x14ac:dyDescent="0.35">
      <c r="B32" s="112" t="s">
        <v>1062</v>
      </c>
      <c r="C32" s="113">
        <f>COSEIDIcam</f>
        <v>270</v>
      </c>
      <c r="D32" s="113">
        <v>0</v>
      </c>
      <c r="E32" s="114">
        <f>D32/C32</f>
        <v>0</v>
      </c>
      <c r="F32" s="156"/>
    </row>
    <row r="33" spans="1:6" ht="15.6" thickTop="1" thickBot="1" x14ac:dyDescent="0.35"/>
    <row r="34" spans="1:6" ht="15.6" thickTop="1" thickBot="1" x14ac:dyDescent="0.35">
      <c r="C34" s="107" t="s">
        <v>911</v>
      </c>
      <c r="D34" s="108" t="s">
        <v>1463</v>
      </c>
      <c r="E34" s="109" t="s">
        <v>912</v>
      </c>
    </row>
    <row r="35" spans="1:6" ht="15" thickTop="1" x14ac:dyDescent="0.3">
      <c r="B35" s="52" t="s">
        <v>1241</v>
      </c>
      <c r="C35" s="100">
        <f>CANTIDAD_DE_CAMARAS</f>
        <v>574</v>
      </c>
      <c r="D35" s="101"/>
      <c r="E35" s="106"/>
      <c r="F35" s="154">
        <v>46026</v>
      </c>
    </row>
    <row r="36" spans="1:6" x14ac:dyDescent="0.3">
      <c r="A36" t="s">
        <v>1468</v>
      </c>
      <c r="B36" s="53" t="s">
        <v>6</v>
      </c>
      <c r="C36" s="66">
        <f>'RESUMEN TOTAL'!P3</f>
        <v>85</v>
      </c>
      <c r="D36" s="54"/>
      <c r="E36" s="55">
        <f>C36/C35</f>
        <v>0.1480836236933798</v>
      </c>
      <c r="F36" s="155"/>
    </row>
    <row r="37" spans="1:6" x14ac:dyDescent="0.3">
      <c r="B37" s="53" t="s">
        <v>1242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3">
      <c r="B38" s="53" t="s">
        <v>1243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3">
      <c r="A39" t="s">
        <v>1468</v>
      </c>
      <c r="B39" s="53" t="s">
        <v>16</v>
      </c>
      <c r="C39" s="94">
        <v>0</v>
      </c>
      <c r="D39" s="103">
        <f>D38-C39</f>
        <v>0</v>
      </c>
      <c r="E39" s="55">
        <f>D39/C35</f>
        <v>0</v>
      </c>
      <c r="F39" s="155"/>
    </row>
    <row r="40" spans="1:6" ht="15" thickBot="1" x14ac:dyDescent="0.35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5.6" thickTop="1" thickBot="1" x14ac:dyDescent="0.35">
      <c r="B41" s="111"/>
      <c r="C41" s="110" t="s">
        <v>911</v>
      </c>
      <c r="D41" s="96" t="s">
        <v>1463</v>
      </c>
      <c r="E41" s="102" t="s">
        <v>912</v>
      </c>
      <c r="F41" s="155"/>
    </row>
    <row r="42" spans="1:6" ht="15.6" thickTop="1" thickBot="1" x14ac:dyDescent="0.35">
      <c r="B42" s="98" t="s">
        <v>1061</v>
      </c>
      <c r="C42" s="99">
        <v>304</v>
      </c>
      <c r="D42" s="115">
        <v>0</v>
      </c>
      <c r="E42" s="105">
        <f>D42/C42</f>
        <v>0</v>
      </c>
      <c r="F42" s="155"/>
    </row>
    <row r="43" spans="1:6" ht="15" thickBot="1" x14ac:dyDescent="0.35">
      <c r="B43" s="112" t="s">
        <v>1062</v>
      </c>
      <c r="C43" s="113">
        <f>COSEIDIcam</f>
        <v>270</v>
      </c>
      <c r="D43" s="113">
        <f>Hoja1!I5</f>
        <v>0</v>
      </c>
      <c r="E43" s="114">
        <v>0.24</v>
      </c>
      <c r="F43" s="156"/>
    </row>
    <row r="44" spans="1:6" ht="15.6" thickTop="1" thickBot="1" x14ac:dyDescent="0.35"/>
    <row r="45" spans="1:6" ht="15.6" thickTop="1" thickBot="1" x14ac:dyDescent="0.35">
      <c r="C45" s="107" t="s">
        <v>911</v>
      </c>
      <c r="D45" s="108" t="s">
        <v>1463</v>
      </c>
      <c r="E45" s="109" t="s">
        <v>912</v>
      </c>
    </row>
    <row r="46" spans="1:6" ht="15" thickTop="1" x14ac:dyDescent="0.3">
      <c r="B46" s="52" t="s">
        <v>1241</v>
      </c>
      <c r="C46" s="100">
        <f>CANTIDAD_DE_CAMARAS</f>
        <v>574</v>
      </c>
      <c r="D46" s="101"/>
      <c r="E46" s="106"/>
      <c r="F46" s="154">
        <v>46027</v>
      </c>
    </row>
    <row r="47" spans="1:6" x14ac:dyDescent="0.3">
      <c r="A47" t="s">
        <v>1470</v>
      </c>
      <c r="B47" s="53" t="s">
        <v>6</v>
      </c>
      <c r="C47" s="66">
        <f>'RESUMEN TOTAL'!Q3</f>
        <v>97</v>
      </c>
      <c r="D47" s="54"/>
      <c r="E47" s="55">
        <f>C47/C46</f>
        <v>0.16898954703832753</v>
      </c>
      <c r="F47" s="155"/>
    </row>
    <row r="48" spans="1:6" x14ac:dyDescent="0.3">
      <c r="B48" s="53" t="s">
        <v>1242</v>
      </c>
      <c r="C48" s="67">
        <v>5</v>
      </c>
      <c r="D48" s="103">
        <v>92</v>
      </c>
      <c r="E48" s="55">
        <f>D48/C46</f>
        <v>0.16027874564459929</v>
      </c>
      <c r="F48" s="155"/>
    </row>
    <row r="49" spans="1:6" x14ac:dyDescent="0.3">
      <c r="B49" s="53" t="s">
        <v>1243</v>
      </c>
      <c r="C49" s="67">
        <v>3</v>
      </c>
      <c r="D49" s="103">
        <v>89</v>
      </c>
      <c r="E49" s="55">
        <f>D49/C46</f>
        <v>0.15505226480836237</v>
      </c>
      <c r="F49" s="155"/>
    </row>
    <row r="50" spans="1:6" x14ac:dyDescent="0.3">
      <c r="A50" t="s">
        <v>1470</v>
      </c>
      <c r="B50" s="53" t="s">
        <v>16</v>
      </c>
      <c r="C50" s="94">
        <f>'RESUMEN TOTAL'!Q5</f>
        <v>6</v>
      </c>
      <c r="D50" s="103">
        <v>83</v>
      </c>
      <c r="E50" s="55">
        <f>D50/C46</f>
        <v>0.14459930313588851</v>
      </c>
      <c r="F50" s="155"/>
    </row>
    <row r="51" spans="1:6" ht="15" thickBot="1" x14ac:dyDescent="0.35">
      <c r="B51" s="56"/>
      <c r="C51" s="131"/>
      <c r="D51" s="104">
        <v>0</v>
      </c>
      <c r="E51" s="74">
        <f>D51/C46</f>
        <v>0</v>
      </c>
      <c r="F51" s="155"/>
    </row>
    <row r="52" spans="1:6" ht="15.6" thickTop="1" thickBot="1" x14ac:dyDescent="0.35">
      <c r="B52" s="111"/>
      <c r="C52" s="110" t="s">
        <v>911</v>
      </c>
      <c r="D52" s="96" t="s">
        <v>1463</v>
      </c>
      <c r="E52" s="102" t="s">
        <v>912</v>
      </c>
      <c r="F52" s="155"/>
    </row>
    <row r="53" spans="1:6" ht="15.6" thickTop="1" thickBot="1" x14ac:dyDescent="0.35">
      <c r="B53" s="98" t="s">
        <v>1061</v>
      </c>
      <c r="C53" s="99">
        <v>304</v>
      </c>
      <c r="D53" s="115">
        <f>Hoja1!J3</f>
        <v>34</v>
      </c>
      <c r="E53" s="105">
        <v>0.11</v>
      </c>
      <c r="F53" s="155"/>
    </row>
    <row r="54" spans="1:6" ht="15" thickBot="1" x14ac:dyDescent="0.35">
      <c r="B54" s="112" t="s">
        <v>1062</v>
      </c>
      <c r="C54" s="113">
        <f>COSEIDIcam</f>
        <v>270</v>
      </c>
      <c r="D54" s="113">
        <f>Hoja1!J5</f>
        <v>63</v>
      </c>
      <c r="E54" s="114">
        <v>0.23</v>
      </c>
      <c r="F54" s="156"/>
    </row>
    <row r="55" spans="1:6" ht="15.6" thickTop="1" thickBot="1" x14ac:dyDescent="0.35"/>
    <row r="56" spans="1:6" ht="15.6" thickTop="1" thickBot="1" x14ac:dyDescent="0.35">
      <c r="C56" s="107" t="s">
        <v>911</v>
      </c>
      <c r="D56" s="108" t="s">
        <v>1463</v>
      </c>
      <c r="E56" s="109" t="s">
        <v>912</v>
      </c>
    </row>
    <row r="57" spans="1:6" ht="15" thickTop="1" x14ac:dyDescent="0.3">
      <c r="B57" s="52" t="s">
        <v>1241</v>
      </c>
      <c r="C57" s="100">
        <f>CANTIDAD_DE_CAMARAS</f>
        <v>574</v>
      </c>
      <c r="D57" s="101"/>
      <c r="E57" s="106"/>
      <c r="F57" s="154">
        <v>46028</v>
      </c>
    </row>
    <row r="58" spans="1:6" x14ac:dyDescent="0.3">
      <c r="A58" t="s">
        <v>1471</v>
      </c>
      <c r="B58" s="53" t="s">
        <v>6</v>
      </c>
      <c r="C58" s="66">
        <f>'RESUMEN TOTAL'!R3</f>
        <v>121</v>
      </c>
      <c r="D58" s="54"/>
      <c r="E58" s="55">
        <f>C58/C57</f>
        <v>0.21080139372822299</v>
      </c>
      <c r="F58" s="155"/>
    </row>
    <row r="59" spans="1:6" x14ac:dyDescent="0.3">
      <c r="B59" s="53" t="s">
        <v>1242</v>
      </c>
      <c r="C59" s="67">
        <v>14</v>
      </c>
      <c r="D59" s="103">
        <v>107</v>
      </c>
      <c r="E59" s="55">
        <f>D59/C57</f>
        <v>0.18641114982578397</v>
      </c>
      <c r="F59" s="155"/>
    </row>
    <row r="60" spans="1:6" x14ac:dyDescent="0.3">
      <c r="B60" s="53" t="s">
        <v>1243</v>
      </c>
      <c r="C60" s="67">
        <v>3</v>
      </c>
      <c r="D60" s="103">
        <v>104</v>
      </c>
      <c r="E60" s="55">
        <f>D60/C57</f>
        <v>0.18118466898954705</v>
      </c>
      <c r="F60" s="155"/>
    </row>
    <row r="61" spans="1:6" x14ac:dyDescent="0.3">
      <c r="A61" t="s">
        <v>1471</v>
      </c>
      <c r="B61" s="53" t="s">
        <v>16</v>
      </c>
      <c r="C61" s="94">
        <f>'RESUMEN TOTAL'!R5</f>
        <v>14</v>
      </c>
      <c r="D61" s="103">
        <v>90</v>
      </c>
      <c r="E61" s="55">
        <f>D61/C57</f>
        <v>0.156794425087108</v>
      </c>
      <c r="F61" s="155"/>
    </row>
    <row r="62" spans="1:6" ht="15" thickBot="1" x14ac:dyDescent="0.35">
      <c r="B62" s="56"/>
      <c r="C62" s="131"/>
      <c r="D62" s="104"/>
      <c r="E62" s="74">
        <f>D62/C57</f>
        <v>0</v>
      </c>
      <c r="F62" s="155"/>
    </row>
    <row r="63" spans="1:6" ht="15.6" thickTop="1" thickBot="1" x14ac:dyDescent="0.35">
      <c r="B63" s="111"/>
      <c r="C63" s="110" t="s">
        <v>911</v>
      </c>
      <c r="D63" s="96" t="s">
        <v>1463</v>
      </c>
      <c r="E63" s="102" t="s">
        <v>912</v>
      </c>
      <c r="F63" s="155"/>
    </row>
    <row r="64" spans="1:6" ht="15.6" thickTop="1" thickBot="1" x14ac:dyDescent="0.35">
      <c r="B64" s="98" t="s">
        <v>1061</v>
      </c>
      <c r="C64" s="99">
        <v>304</v>
      </c>
      <c r="D64" s="115">
        <f>Hoja1!K3</f>
        <v>58</v>
      </c>
      <c r="E64" s="105">
        <f>D64/C64</f>
        <v>0.19078947368421054</v>
      </c>
      <c r="F64" s="155"/>
    </row>
    <row r="65" spans="1:6" ht="15" thickBot="1" x14ac:dyDescent="0.35">
      <c r="B65" s="112" t="s">
        <v>1062</v>
      </c>
      <c r="C65" s="113">
        <f>COSEIDIcam</f>
        <v>270</v>
      </c>
      <c r="D65" s="113">
        <f>Hoja1!K5</f>
        <v>63</v>
      </c>
      <c r="E65" s="114">
        <f>D65/C65</f>
        <v>0.23333333333333334</v>
      </c>
      <c r="F65" s="156"/>
    </row>
    <row r="66" spans="1:6" ht="15.6" thickTop="1" thickBot="1" x14ac:dyDescent="0.35"/>
    <row r="67" spans="1:6" ht="15.6" thickTop="1" thickBot="1" x14ac:dyDescent="0.35">
      <c r="C67" s="107" t="s">
        <v>911</v>
      </c>
      <c r="D67" s="108" t="s">
        <v>1463</v>
      </c>
      <c r="E67" s="109" t="s">
        <v>912</v>
      </c>
    </row>
    <row r="68" spans="1:6" ht="15" thickTop="1" x14ac:dyDescent="0.3">
      <c r="B68" s="52" t="s">
        <v>1241</v>
      </c>
      <c r="C68" s="100">
        <f>CANTIDAD_DE_CAMARAS</f>
        <v>574</v>
      </c>
      <c r="D68" s="101"/>
      <c r="E68" s="106"/>
      <c r="F68" s="154">
        <v>46029</v>
      </c>
    </row>
    <row r="69" spans="1:6" x14ac:dyDescent="0.3">
      <c r="A69" t="s">
        <v>1472</v>
      </c>
      <c r="B69" s="53" t="s">
        <v>6</v>
      </c>
      <c r="C69" s="66">
        <f>'RESUMEN TOTAL'!S3</f>
        <v>103</v>
      </c>
      <c r="D69" s="54"/>
      <c r="E69" s="55">
        <f>C69/C68</f>
        <v>0.17944250871080139</v>
      </c>
      <c r="F69" s="155"/>
    </row>
    <row r="70" spans="1:6" x14ac:dyDescent="0.3">
      <c r="B70" s="53" t="s">
        <v>1242</v>
      </c>
      <c r="C70" s="67">
        <v>4</v>
      </c>
      <c r="D70" s="103">
        <f>C69-C70</f>
        <v>99</v>
      </c>
      <c r="E70" s="55">
        <f>D70/C68</f>
        <v>0.17247386759581881</v>
      </c>
      <c r="F70" s="155"/>
    </row>
    <row r="71" spans="1:6" x14ac:dyDescent="0.3">
      <c r="B71" s="53" t="s">
        <v>1243</v>
      </c>
      <c r="C71" s="67">
        <v>3</v>
      </c>
      <c r="D71" s="103">
        <f>D70-C71</f>
        <v>96</v>
      </c>
      <c r="E71" s="55">
        <f>D71/C68</f>
        <v>0.1672473867595819</v>
      </c>
      <c r="F71" s="155"/>
    </row>
    <row r="72" spans="1:6" x14ac:dyDescent="0.3">
      <c r="A72" t="s">
        <v>1472</v>
      </c>
      <c r="B72" s="53" t="s">
        <v>16</v>
      </c>
      <c r="C72" s="94">
        <f>'RESUMEN TOTAL'!S5</f>
        <v>13</v>
      </c>
      <c r="D72" s="103">
        <f>D71-C72</f>
        <v>83</v>
      </c>
      <c r="E72" s="55">
        <f>D72/C68</f>
        <v>0.14459930313588851</v>
      </c>
      <c r="F72" s="155"/>
    </row>
    <row r="73" spans="1:6" ht="15" thickBot="1" x14ac:dyDescent="0.35">
      <c r="B73" s="56"/>
      <c r="C73" s="131">
        <v>0</v>
      </c>
      <c r="D73" s="104">
        <v>0</v>
      </c>
      <c r="E73" s="74">
        <f>D73/C68</f>
        <v>0</v>
      </c>
      <c r="F73" s="155"/>
    </row>
    <row r="74" spans="1:6" ht="15.6" thickTop="1" thickBot="1" x14ac:dyDescent="0.35">
      <c r="B74" s="111"/>
      <c r="C74" s="110" t="s">
        <v>911</v>
      </c>
      <c r="D74" s="96" t="s">
        <v>1463</v>
      </c>
      <c r="E74" s="102" t="s">
        <v>912</v>
      </c>
      <c r="F74" s="155"/>
    </row>
    <row r="75" spans="1:6" ht="15.6" thickTop="1" thickBot="1" x14ac:dyDescent="0.35">
      <c r="B75" s="98" t="s">
        <v>1061</v>
      </c>
      <c r="C75" s="99">
        <v>304</v>
      </c>
      <c r="D75" s="115">
        <v>56</v>
      </c>
      <c r="E75" s="105">
        <v>0.18</v>
      </c>
      <c r="F75" s="155"/>
    </row>
    <row r="76" spans="1:6" ht="15" thickBot="1" x14ac:dyDescent="0.35">
      <c r="B76" s="112" t="s">
        <v>1062</v>
      </c>
      <c r="C76" s="113">
        <f>COSEIDIcam</f>
        <v>270</v>
      </c>
      <c r="D76" s="113">
        <f>Hoja1!L5</f>
        <v>47</v>
      </c>
      <c r="E76" s="114">
        <f>D76/C76</f>
        <v>0.17407407407407408</v>
      </c>
      <c r="F76" s="156"/>
    </row>
    <row r="77" spans="1:6" ht="15.6" thickTop="1" thickBot="1" x14ac:dyDescent="0.35"/>
    <row r="78" spans="1:6" ht="15.6" thickTop="1" thickBot="1" x14ac:dyDescent="0.35">
      <c r="C78" s="107" t="s">
        <v>911</v>
      </c>
      <c r="D78" s="108" t="s">
        <v>1463</v>
      </c>
      <c r="E78" s="109" t="s">
        <v>912</v>
      </c>
    </row>
    <row r="79" spans="1:6" ht="15" thickTop="1" x14ac:dyDescent="0.3">
      <c r="B79" s="52" t="s">
        <v>1241</v>
      </c>
      <c r="C79" s="100">
        <f>CANTIDAD_DE_CAMARAS</f>
        <v>574</v>
      </c>
      <c r="D79" s="101"/>
      <c r="E79" s="106"/>
      <c r="F79" s="154">
        <v>46030</v>
      </c>
    </row>
    <row r="80" spans="1:6" x14ac:dyDescent="0.3">
      <c r="A80" t="s">
        <v>1467</v>
      </c>
      <c r="B80" s="53" t="s">
        <v>6</v>
      </c>
      <c r="C80" s="66">
        <v>89</v>
      </c>
      <c r="D80" s="54"/>
      <c r="E80" s="55">
        <f>C80/C79</f>
        <v>0.15505226480836237</v>
      </c>
      <c r="F80" s="155"/>
    </row>
    <row r="81" spans="1:6" x14ac:dyDescent="0.3">
      <c r="B81" s="53" t="s">
        <v>1242</v>
      </c>
      <c r="C81" s="67">
        <v>3</v>
      </c>
      <c r="D81" s="103">
        <v>86</v>
      </c>
      <c r="E81" s="55">
        <f>D81/C79</f>
        <v>0.14982578397212543</v>
      </c>
      <c r="F81" s="155"/>
    </row>
    <row r="82" spans="1:6" x14ac:dyDescent="0.3">
      <c r="B82" s="53" t="s">
        <v>1243</v>
      </c>
      <c r="C82" s="67">
        <v>3</v>
      </c>
      <c r="D82" s="103">
        <v>83</v>
      </c>
      <c r="E82" s="55">
        <f>D82/C79</f>
        <v>0.14459930313588851</v>
      </c>
      <c r="F82" s="155"/>
    </row>
    <row r="83" spans="1:6" x14ac:dyDescent="0.3">
      <c r="A83" t="s">
        <v>1467</v>
      </c>
      <c r="B83" s="53" t="s">
        <v>16</v>
      </c>
      <c r="C83" s="94">
        <v>5</v>
      </c>
      <c r="D83" s="103">
        <v>78</v>
      </c>
      <c r="E83" s="55">
        <f>D83/C79</f>
        <v>0.13588850174216027</v>
      </c>
      <c r="F83" s="155"/>
    </row>
    <row r="84" spans="1:6" ht="15" thickBot="1" x14ac:dyDescent="0.35">
      <c r="B84" s="56"/>
      <c r="C84" s="131"/>
      <c r="D84" s="104">
        <v>0</v>
      </c>
      <c r="E84" s="74">
        <f>D84/C79</f>
        <v>0</v>
      </c>
      <c r="F84" s="155"/>
    </row>
    <row r="85" spans="1:6" ht="15.6" thickTop="1" thickBot="1" x14ac:dyDescent="0.35">
      <c r="B85" s="111"/>
      <c r="C85" s="110" t="s">
        <v>911</v>
      </c>
      <c r="D85" s="96" t="s">
        <v>1463</v>
      </c>
      <c r="E85" s="102" t="s">
        <v>912</v>
      </c>
      <c r="F85" s="155"/>
    </row>
    <row r="86" spans="1:6" ht="15.6" thickTop="1" thickBot="1" x14ac:dyDescent="0.35">
      <c r="B86" s="98" t="s">
        <v>1061</v>
      </c>
      <c r="C86" s="99">
        <v>304</v>
      </c>
      <c r="D86" s="115">
        <v>51</v>
      </c>
      <c r="E86" s="105">
        <v>0.17</v>
      </c>
      <c r="F86" s="155"/>
    </row>
    <row r="87" spans="1:6" ht="15" thickBot="1" x14ac:dyDescent="0.35">
      <c r="B87" s="112" t="s">
        <v>1062</v>
      </c>
      <c r="C87" s="113">
        <f>COSEIDIcam</f>
        <v>270</v>
      </c>
      <c r="D87" s="113">
        <v>38</v>
      </c>
      <c r="E87" s="114">
        <v>0.14000000000000001</v>
      </c>
      <c r="F87" s="156"/>
    </row>
    <row r="88" spans="1:6" ht="15.6" thickTop="1" thickBot="1" x14ac:dyDescent="0.35"/>
    <row r="89" spans="1:6" ht="15.6" thickTop="1" thickBot="1" x14ac:dyDescent="0.35">
      <c r="C89" s="107" t="s">
        <v>911</v>
      </c>
      <c r="D89" s="108" t="s">
        <v>1463</v>
      </c>
      <c r="E89" s="109" t="s">
        <v>912</v>
      </c>
    </row>
    <row r="90" spans="1:6" ht="15" thickTop="1" x14ac:dyDescent="0.3">
      <c r="B90" s="52" t="s">
        <v>1241</v>
      </c>
      <c r="C90" s="100">
        <f>CANTIDAD_DE_CAMARAS</f>
        <v>574</v>
      </c>
      <c r="D90" s="101"/>
      <c r="E90" s="106"/>
      <c r="F90" s="154">
        <v>46031</v>
      </c>
    </row>
    <row r="91" spans="1:6" x14ac:dyDescent="0.3">
      <c r="A91" t="s">
        <v>1473</v>
      </c>
      <c r="B91" s="53" t="s">
        <v>6</v>
      </c>
      <c r="C91" s="66">
        <v>0</v>
      </c>
      <c r="D91" s="54"/>
      <c r="E91" s="55">
        <f>C91/C90</f>
        <v>0</v>
      </c>
      <c r="F91" s="155"/>
    </row>
    <row r="92" spans="1:6" x14ac:dyDescent="0.3">
      <c r="B92" s="53" t="s">
        <v>1242</v>
      </c>
      <c r="C92" s="67">
        <v>0</v>
      </c>
      <c r="D92" s="103">
        <v>0</v>
      </c>
      <c r="E92" s="55">
        <f>D92/C90</f>
        <v>0</v>
      </c>
      <c r="F92" s="155"/>
    </row>
    <row r="93" spans="1:6" x14ac:dyDescent="0.3">
      <c r="B93" s="53" t="s">
        <v>1243</v>
      </c>
      <c r="C93" s="67">
        <v>0</v>
      </c>
      <c r="D93" s="103">
        <v>0</v>
      </c>
      <c r="E93" s="55">
        <f>D93/C90</f>
        <v>0</v>
      </c>
      <c r="F93" s="155"/>
    </row>
    <row r="94" spans="1:6" x14ac:dyDescent="0.3">
      <c r="A94" t="s">
        <v>1473</v>
      </c>
      <c r="B94" s="53" t="s">
        <v>16</v>
      </c>
      <c r="C94" s="94">
        <v>0</v>
      </c>
      <c r="D94" s="103">
        <v>0</v>
      </c>
      <c r="E94" s="55">
        <f>D94/C90</f>
        <v>0</v>
      </c>
      <c r="F94" s="155"/>
    </row>
    <row r="95" spans="1:6" ht="15" thickBot="1" x14ac:dyDescent="0.35">
      <c r="B95" s="56"/>
      <c r="C95" s="131"/>
      <c r="D95" s="104"/>
      <c r="E95" s="74">
        <f>D95/C90</f>
        <v>0</v>
      </c>
      <c r="F95" s="155"/>
    </row>
    <row r="96" spans="1:6" ht="15.6" thickTop="1" thickBot="1" x14ac:dyDescent="0.35">
      <c r="B96" s="111"/>
      <c r="C96" s="110" t="s">
        <v>911</v>
      </c>
      <c r="D96" s="96" t="s">
        <v>1463</v>
      </c>
      <c r="E96" s="102" t="s">
        <v>912</v>
      </c>
      <c r="F96" s="155"/>
    </row>
    <row r="97" spans="1:6" ht="15.6" thickTop="1" thickBot="1" x14ac:dyDescent="0.35">
      <c r="B97" s="98" t="s">
        <v>1061</v>
      </c>
      <c r="C97" s="99">
        <v>304</v>
      </c>
      <c r="D97" s="115">
        <f>Hoja1!N3</f>
        <v>38</v>
      </c>
      <c r="E97" s="105">
        <f>D97/C97</f>
        <v>0.125</v>
      </c>
      <c r="F97" s="155"/>
    </row>
    <row r="98" spans="1:6" ht="15" thickBot="1" x14ac:dyDescent="0.35">
      <c r="B98" s="112" t="s">
        <v>1062</v>
      </c>
      <c r="C98" s="113">
        <f>COSEIDIcam</f>
        <v>270</v>
      </c>
      <c r="D98" s="113">
        <f>Hoja1!N5</f>
        <v>29</v>
      </c>
      <c r="E98" s="114">
        <v>0</v>
      </c>
      <c r="F98" s="156"/>
    </row>
    <row r="99" spans="1:6" ht="15.6" thickTop="1" thickBot="1" x14ac:dyDescent="0.35"/>
    <row r="100" spans="1:6" ht="15.6" thickTop="1" thickBot="1" x14ac:dyDescent="0.35">
      <c r="C100" s="107" t="s">
        <v>911</v>
      </c>
      <c r="D100" s="108" t="s">
        <v>1463</v>
      </c>
      <c r="E100" s="109" t="s">
        <v>912</v>
      </c>
    </row>
    <row r="101" spans="1:6" ht="15" thickTop="1" x14ac:dyDescent="0.3">
      <c r="B101" s="52" t="s">
        <v>1241</v>
      </c>
      <c r="C101" s="100">
        <f>CANTIDAD_DE_CAMARAS</f>
        <v>574</v>
      </c>
      <c r="D101" s="101"/>
      <c r="E101" s="106"/>
      <c r="F101" s="154">
        <v>46032</v>
      </c>
    </row>
    <row r="102" spans="1:6" x14ac:dyDescent="0.3">
      <c r="A102" t="s">
        <v>1474</v>
      </c>
      <c r="B102" s="53" t="s">
        <v>6</v>
      </c>
      <c r="C102" s="66">
        <f>'RESUMEN TOTAL'!V3</f>
        <v>74</v>
      </c>
      <c r="D102" s="54"/>
      <c r="E102" s="55">
        <f>C102/C101</f>
        <v>0.1289198606271777</v>
      </c>
      <c r="F102" s="155"/>
    </row>
    <row r="103" spans="1:6" x14ac:dyDescent="0.3">
      <c r="B103" s="53" t="s">
        <v>1242</v>
      </c>
      <c r="C103" s="67">
        <v>0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3">
      <c r="B104" s="53" t="s">
        <v>1243</v>
      </c>
      <c r="C104" s="67">
        <v>0</v>
      </c>
      <c r="D104" s="103">
        <f>D103-C104</f>
        <v>74</v>
      </c>
      <c r="E104" s="55">
        <f>D104/C101</f>
        <v>0.1289198606271777</v>
      </c>
      <c r="F104" s="155"/>
    </row>
    <row r="105" spans="1:6" x14ac:dyDescent="0.3">
      <c r="A105" t="s">
        <v>1474</v>
      </c>
      <c r="B105" s="53" t="s">
        <v>16</v>
      </c>
      <c r="C105" s="94">
        <f>'RESUMEN TOTAL'!V5</f>
        <v>3</v>
      </c>
      <c r="D105" s="103">
        <f>D104-C105</f>
        <v>71</v>
      </c>
      <c r="E105" s="55">
        <f>D105/C101</f>
        <v>0.12369337979094076</v>
      </c>
      <c r="F105" s="155"/>
    </row>
    <row r="106" spans="1:6" ht="15" thickBot="1" x14ac:dyDescent="0.35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5.6" thickTop="1" thickBot="1" x14ac:dyDescent="0.35">
      <c r="B107" s="111"/>
      <c r="C107" s="110" t="s">
        <v>911</v>
      </c>
      <c r="D107" s="96" t="s">
        <v>1463</v>
      </c>
      <c r="E107" s="102" t="s">
        <v>912</v>
      </c>
      <c r="F107" s="155"/>
    </row>
    <row r="108" spans="1:6" ht="15.6" thickTop="1" thickBot="1" x14ac:dyDescent="0.35">
      <c r="B108" s="98" t="s">
        <v>1061</v>
      </c>
      <c r="C108" s="99">
        <v>301</v>
      </c>
      <c r="D108" s="115">
        <f>Hoja1!O3</f>
        <v>0</v>
      </c>
      <c r="E108" s="105">
        <f>D108/C108</f>
        <v>0</v>
      </c>
      <c r="F108" s="155"/>
    </row>
    <row r="109" spans="1:6" ht="15" thickBot="1" x14ac:dyDescent="0.35">
      <c r="B109" s="112" t="s">
        <v>1062</v>
      </c>
      <c r="C109" s="113">
        <f>COSEIDIcam</f>
        <v>270</v>
      </c>
      <c r="D109" s="113">
        <v>0</v>
      </c>
      <c r="E109" s="114">
        <f>D109/C109</f>
        <v>0</v>
      </c>
      <c r="F109" s="156"/>
    </row>
    <row r="110" spans="1:6" ht="15.6" thickTop="1" thickBot="1" x14ac:dyDescent="0.35"/>
    <row r="111" spans="1:6" ht="15.6" thickTop="1" thickBot="1" x14ac:dyDescent="0.35">
      <c r="C111" s="107" t="s">
        <v>911</v>
      </c>
      <c r="D111" s="108" t="s">
        <v>1463</v>
      </c>
      <c r="E111" s="109" t="s">
        <v>912</v>
      </c>
    </row>
    <row r="112" spans="1:6" ht="15" thickTop="1" x14ac:dyDescent="0.3">
      <c r="B112" s="52" t="s">
        <v>1241</v>
      </c>
      <c r="C112" s="100">
        <f>CANTIDAD_DE_CAMARAS</f>
        <v>574</v>
      </c>
      <c r="D112" s="101"/>
      <c r="E112" s="106"/>
      <c r="F112" s="154">
        <v>46033</v>
      </c>
    </row>
    <row r="113" spans="2:6" x14ac:dyDescent="0.3">
      <c r="B113" s="53" t="s">
        <v>6</v>
      </c>
      <c r="C113" s="66">
        <f>'RESUMEN TOTAL'!W3</f>
        <v>0</v>
      </c>
      <c r="D113" s="54"/>
      <c r="E113" s="55">
        <f>C113/C112</f>
        <v>0</v>
      </c>
      <c r="F113" s="155"/>
    </row>
    <row r="114" spans="2:6" x14ac:dyDescent="0.3">
      <c r="B114" s="53" t="s">
        <v>1242</v>
      </c>
      <c r="C114" s="67">
        <v>0</v>
      </c>
      <c r="D114" s="103">
        <f>C113-C114</f>
        <v>0</v>
      </c>
      <c r="E114" s="55">
        <f>D114/C112</f>
        <v>0</v>
      </c>
      <c r="F114" s="155"/>
    </row>
    <row r="115" spans="2:6" x14ac:dyDescent="0.3">
      <c r="B115" s="53" t="s">
        <v>1243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3">
      <c r="B116" s="53" t="s">
        <v>16</v>
      </c>
      <c r="C116" s="94">
        <f>'RESUMEN TOTAL'!W5</f>
        <v>0</v>
      </c>
      <c r="D116" s="103">
        <v>0</v>
      </c>
      <c r="E116" s="55">
        <f>D116/C112</f>
        <v>0</v>
      </c>
      <c r="F116" s="155"/>
    </row>
    <row r="117" spans="2:6" ht="15" thickBot="1" x14ac:dyDescent="0.35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5.6" thickTop="1" thickBot="1" x14ac:dyDescent="0.35">
      <c r="B118" s="111"/>
      <c r="C118" s="110" t="s">
        <v>911</v>
      </c>
      <c r="D118" s="96" t="s">
        <v>1463</v>
      </c>
      <c r="E118" s="102" t="s">
        <v>912</v>
      </c>
      <c r="F118" s="155"/>
    </row>
    <row r="119" spans="2:6" ht="15.6" thickTop="1" thickBot="1" x14ac:dyDescent="0.35">
      <c r="B119" s="98" t="s">
        <v>1061</v>
      </c>
      <c r="C119" s="99">
        <v>304</v>
      </c>
      <c r="D119" s="115">
        <f>Hoja1!P3</f>
        <v>0</v>
      </c>
      <c r="E119" s="105">
        <f>D119/C119</f>
        <v>0</v>
      </c>
      <c r="F119" s="155"/>
    </row>
    <row r="120" spans="2:6" ht="15" thickBot="1" x14ac:dyDescent="0.35">
      <c r="B120" s="112" t="s">
        <v>1062</v>
      </c>
      <c r="C120" s="113">
        <f>COSEIDIcam</f>
        <v>270</v>
      </c>
      <c r="D120" s="113">
        <f>Hoja1!P5</f>
        <v>0</v>
      </c>
      <c r="E120" s="114">
        <v>0</v>
      </c>
      <c r="F120" s="156"/>
    </row>
    <row r="121" spans="2:6" ht="15.6" thickTop="1" thickBot="1" x14ac:dyDescent="0.35"/>
    <row r="122" spans="2:6" ht="15.6" thickTop="1" thickBot="1" x14ac:dyDescent="0.35">
      <c r="C122" s="107" t="s">
        <v>911</v>
      </c>
      <c r="D122" s="108" t="s">
        <v>1463</v>
      </c>
      <c r="E122" s="109" t="s">
        <v>912</v>
      </c>
    </row>
    <row r="123" spans="2:6" ht="15" thickTop="1" x14ac:dyDescent="0.3">
      <c r="B123" s="52" t="s">
        <v>1241</v>
      </c>
      <c r="C123" s="100">
        <f>CANTIDAD_DE_CAMARAS</f>
        <v>574</v>
      </c>
      <c r="D123" s="101"/>
      <c r="E123" s="106"/>
      <c r="F123" s="154">
        <v>46034</v>
      </c>
    </row>
    <row r="124" spans="2:6" x14ac:dyDescent="0.3">
      <c r="B124" s="53" t="s">
        <v>6</v>
      </c>
      <c r="C124" s="66">
        <f>'RESUMEN TOTAL'!X3</f>
        <v>98</v>
      </c>
      <c r="D124" s="54"/>
      <c r="E124" s="55">
        <f>C124/C123</f>
        <v>0.17073170731707318</v>
      </c>
      <c r="F124" s="155"/>
    </row>
    <row r="125" spans="2:6" x14ac:dyDescent="0.3">
      <c r="B125" s="53" t="s">
        <v>1242</v>
      </c>
      <c r="C125" s="67">
        <v>4</v>
      </c>
      <c r="D125" s="103">
        <f>C124-C125</f>
        <v>94</v>
      </c>
      <c r="E125" s="55">
        <f>D125/C123</f>
        <v>0.16376306620209058</v>
      </c>
      <c r="F125" s="155"/>
    </row>
    <row r="126" spans="2:6" x14ac:dyDescent="0.3">
      <c r="B126" s="53" t="s">
        <v>1243</v>
      </c>
      <c r="C126" s="67">
        <v>3</v>
      </c>
      <c r="D126" s="103">
        <f>D125-C126</f>
        <v>91</v>
      </c>
      <c r="E126" s="55">
        <f>D126/C123</f>
        <v>0.15853658536585366</v>
      </c>
      <c r="F126" s="155"/>
    </row>
    <row r="127" spans="2:6" x14ac:dyDescent="0.3">
      <c r="B127" s="53" t="s">
        <v>16</v>
      </c>
      <c r="C127" s="94">
        <v>4</v>
      </c>
      <c r="D127" s="103">
        <f>D126-C127</f>
        <v>87</v>
      </c>
      <c r="E127" s="55">
        <f>D127/C123</f>
        <v>0.15156794425087108</v>
      </c>
      <c r="F127" s="155"/>
    </row>
    <row r="128" spans="2:6" ht="15" thickBot="1" x14ac:dyDescent="0.35">
      <c r="B128" s="56"/>
      <c r="C128" s="131">
        <v>0</v>
      </c>
      <c r="D128" s="104">
        <f>D127-C128</f>
        <v>87</v>
      </c>
      <c r="E128" s="74">
        <f>D128/C123</f>
        <v>0.15156794425087108</v>
      </c>
      <c r="F128" s="155"/>
    </row>
    <row r="129" spans="2:6" ht="15.6" thickTop="1" thickBot="1" x14ac:dyDescent="0.35">
      <c r="B129" s="111"/>
      <c r="C129" s="110" t="s">
        <v>911</v>
      </c>
      <c r="D129" s="96" t="s">
        <v>1463</v>
      </c>
      <c r="E129" s="102" t="s">
        <v>912</v>
      </c>
      <c r="F129" s="155"/>
    </row>
    <row r="130" spans="2:6" ht="15.6" thickTop="1" thickBot="1" x14ac:dyDescent="0.35">
      <c r="B130" s="98" t="s">
        <v>1061</v>
      </c>
      <c r="C130" s="99">
        <v>304</v>
      </c>
      <c r="D130" s="115">
        <f>Hoja1!Q3</f>
        <v>41</v>
      </c>
      <c r="E130" s="105">
        <f>D130/C130</f>
        <v>0.13486842105263158</v>
      </c>
      <c r="F130" s="155"/>
    </row>
    <row r="131" spans="2:6" ht="15" thickBot="1" x14ac:dyDescent="0.35">
      <c r="B131" s="112" t="s">
        <v>1062</v>
      </c>
      <c r="C131" s="113">
        <f>COSEIDIcam</f>
        <v>270</v>
      </c>
      <c r="D131" s="113">
        <f>Hoja1!Q5</f>
        <v>57</v>
      </c>
      <c r="E131" s="114">
        <v>0.21</v>
      </c>
      <c r="F131" s="156"/>
    </row>
    <row r="132" spans="2:6" ht="15.6" thickTop="1" thickBot="1" x14ac:dyDescent="0.35"/>
    <row r="133" spans="2:6" ht="15.6" thickTop="1" thickBot="1" x14ac:dyDescent="0.35">
      <c r="C133" s="107" t="s">
        <v>911</v>
      </c>
      <c r="D133" s="108" t="s">
        <v>1463</v>
      </c>
      <c r="E133" s="109" t="s">
        <v>912</v>
      </c>
    </row>
    <row r="134" spans="2:6" ht="15" thickTop="1" x14ac:dyDescent="0.3">
      <c r="B134" s="52" t="s">
        <v>1241</v>
      </c>
      <c r="C134" s="100">
        <f>CANTIDAD_DE_CAMARAS</f>
        <v>574</v>
      </c>
      <c r="D134" s="101"/>
      <c r="E134" s="106"/>
      <c r="F134" s="154">
        <v>46035</v>
      </c>
    </row>
    <row r="135" spans="2:6" x14ac:dyDescent="0.3">
      <c r="B135" s="53" t="s">
        <v>6</v>
      </c>
      <c r="C135" s="66">
        <f>'RESUMEN TOTAL'!Y3</f>
        <v>95</v>
      </c>
      <c r="D135" s="54"/>
      <c r="E135" s="55">
        <f>C135/C134</f>
        <v>0.16550522648083624</v>
      </c>
      <c r="F135" s="155"/>
    </row>
    <row r="136" spans="2:6" x14ac:dyDescent="0.3">
      <c r="B136" s="53" t="s">
        <v>1242</v>
      </c>
      <c r="C136" s="67">
        <v>4</v>
      </c>
      <c r="D136" s="103">
        <v>91</v>
      </c>
      <c r="E136" s="55">
        <f>D136/C134</f>
        <v>0.15853658536585366</v>
      </c>
      <c r="F136" s="155"/>
    </row>
    <row r="137" spans="2:6" x14ac:dyDescent="0.3">
      <c r="B137" s="53" t="s">
        <v>1243</v>
      </c>
      <c r="C137" s="67">
        <v>3</v>
      </c>
      <c r="D137" s="103">
        <f>D136-C137</f>
        <v>88</v>
      </c>
      <c r="E137" s="55">
        <f>D137/C134</f>
        <v>0.15331010452961671</v>
      </c>
      <c r="F137" s="155"/>
    </row>
    <row r="138" spans="2:6" x14ac:dyDescent="0.3">
      <c r="B138" s="53" t="s">
        <v>16</v>
      </c>
      <c r="C138" s="94">
        <v>3</v>
      </c>
      <c r="D138" s="103">
        <f>D137-C138</f>
        <v>85</v>
      </c>
      <c r="E138" s="55">
        <f>D138/C134</f>
        <v>0.1480836236933798</v>
      </c>
      <c r="F138" s="155"/>
    </row>
    <row r="139" spans="2:6" ht="15" thickBot="1" x14ac:dyDescent="0.35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5.6" thickTop="1" thickBot="1" x14ac:dyDescent="0.35">
      <c r="B140" s="111"/>
      <c r="C140" s="110" t="s">
        <v>911</v>
      </c>
      <c r="D140" s="96" t="s">
        <v>1463</v>
      </c>
      <c r="E140" s="102" t="s">
        <v>912</v>
      </c>
      <c r="F140" s="155"/>
    </row>
    <row r="141" spans="2:6" ht="15.6" thickTop="1" thickBot="1" x14ac:dyDescent="0.35">
      <c r="B141" s="98" t="s">
        <v>1061</v>
      </c>
      <c r="C141" s="99">
        <v>304</v>
      </c>
      <c r="D141" s="115">
        <v>31</v>
      </c>
      <c r="E141" s="105">
        <f>D141/C141</f>
        <v>0.10197368421052631</v>
      </c>
      <c r="F141" s="155"/>
    </row>
    <row r="142" spans="2:6" ht="15" thickBot="1" x14ac:dyDescent="0.35">
      <c r="B142" s="112" t="s">
        <v>1062</v>
      </c>
      <c r="C142" s="113">
        <f>COSEIDIcam</f>
        <v>270</v>
      </c>
      <c r="D142" s="113">
        <v>64</v>
      </c>
      <c r="E142" s="114">
        <f>D142/C142</f>
        <v>0.23703703703703705</v>
      </c>
      <c r="F142" s="156"/>
    </row>
    <row r="143" spans="2:6" ht="15.6" thickTop="1" thickBot="1" x14ac:dyDescent="0.35"/>
    <row r="144" spans="2:6" ht="15.6" thickTop="1" thickBot="1" x14ac:dyDescent="0.35">
      <c r="C144" s="107" t="s">
        <v>911</v>
      </c>
      <c r="D144" s="108" t="s">
        <v>1463</v>
      </c>
      <c r="E144" s="109" t="s">
        <v>912</v>
      </c>
    </row>
    <row r="145" spans="2:6" ht="15" thickTop="1" x14ac:dyDescent="0.3">
      <c r="B145" s="52" t="s">
        <v>1241</v>
      </c>
      <c r="C145" s="100">
        <f>CANTIDAD_DE_CAMARAS</f>
        <v>574</v>
      </c>
      <c r="D145" s="101"/>
      <c r="E145" s="106"/>
      <c r="F145" s="154">
        <v>46036</v>
      </c>
    </row>
    <row r="146" spans="2:6" x14ac:dyDescent="0.3">
      <c r="B146" s="53" t="s">
        <v>6</v>
      </c>
      <c r="C146" s="66">
        <f>'RESUMEN TOTAL'!Z3</f>
        <v>84</v>
      </c>
      <c r="D146" s="54"/>
      <c r="E146" s="55">
        <f>C146/C145</f>
        <v>0.14634146341463414</v>
      </c>
      <c r="F146" s="155"/>
    </row>
    <row r="147" spans="2:6" x14ac:dyDescent="0.3">
      <c r="B147" s="53" t="s">
        <v>1242</v>
      </c>
      <c r="C147" s="67">
        <v>3</v>
      </c>
      <c r="D147" s="103">
        <f>C146-C147</f>
        <v>81</v>
      </c>
      <c r="E147" s="55">
        <f>D147/C145</f>
        <v>0.14111498257839722</v>
      </c>
      <c r="F147" s="155"/>
    </row>
    <row r="148" spans="2:6" x14ac:dyDescent="0.3">
      <c r="B148" s="53" t="s">
        <v>1243</v>
      </c>
      <c r="C148" s="67">
        <v>3</v>
      </c>
      <c r="D148" s="103">
        <f>D147-C148</f>
        <v>78</v>
      </c>
      <c r="E148" s="55">
        <f>D148/C145</f>
        <v>0.13588850174216027</v>
      </c>
      <c r="F148" s="155"/>
    </row>
    <row r="149" spans="2:6" x14ac:dyDescent="0.3">
      <c r="B149" s="53" t="s">
        <v>16</v>
      </c>
      <c r="C149" s="94">
        <v>3</v>
      </c>
      <c r="D149" s="103">
        <f>D148-C149</f>
        <v>75</v>
      </c>
      <c r="E149" s="55">
        <f>D149/C145</f>
        <v>0.13066202090592335</v>
      </c>
      <c r="F149" s="155"/>
    </row>
    <row r="150" spans="2:6" ht="15" thickBot="1" x14ac:dyDescent="0.35">
      <c r="B150" s="56"/>
      <c r="C150" s="131">
        <v>0</v>
      </c>
      <c r="D150" s="104">
        <f>D149-C150</f>
        <v>75</v>
      </c>
      <c r="E150" s="74">
        <f>D150/C145</f>
        <v>0.13066202090592335</v>
      </c>
      <c r="F150" s="155"/>
    </row>
    <row r="151" spans="2:6" ht="15.6" thickTop="1" thickBot="1" x14ac:dyDescent="0.35">
      <c r="B151" s="111"/>
      <c r="C151" s="110" t="s">
        <v>911</v>
      </c>
      <c r="D151" s="96" t="s">
        <v>1463</v>
      </c>
      <c r="E151" s="102" t="s">
        <v>912</v>
      </c>
      <c r="F151" s="155"/>
    </row>
    <row r="152" spans="2:6" ht="15.6" thickTop="1" thickBot="1" x14ac:dyDescent="0.35">
      <c r="B152" s="98" t="s">
        <v>1061</v>
      </c>
      <c r="C152" s="99">
        <v>304</v>
      </c>
      <c r="D152" s="115">
        <v>34</v>
      </c>
      <c r="E152" s="105">
        <v>0.11</v>
      </c>
      <c r="F152" s="155"/>
    </row>
    <row r="153" spans="2:6" ht="15" thickBot="1" x14ac:dyDescent="0.35">
      <c r="B153" s="112" t="s">
        <v>1062</v>
      </c>
      <c r="C153" s="113">
        <f>COSEIDIcam</f>
        <v>270</v>
      </c>
      <c r="D153" s="113">
        <v>50</v>
      </c>
      <c r="E153" s="114">
        <v>0.19</v>
      </c>
      <c r="F153" s="156"/>
    </row>
    <row r="154" spans="2:6" ht="15" customHeight="1" thickTop="1" thickBot="1" x14ac:dyDescent="0.35"/>
    <row r="155" spans="2:6" ht="15.6" thickTop="1" thickBot="1" x14ac:dyDescent="0.35">
      <c r="C155" s="107" t="s">
        <v>911</v>
      </c>
      <c r="D155" s="108" t="s">
        <v>1463</v>
      </c>
      <c r="E155" s="109" t="s">
        <v>912</v>
      </c>
    </row>
    <row r="156" spans="2:6" ht="15" thickTop="1" x14ac:dyDescent="0.3">
      <c r="B156" s="52" t="s">
        <v>1241</v>
      </c>
      <c r="C156" s="100">
        <f>CANTIDAD_DE_CAMARAS</f>
        <v>574</v>
      </c>
      <c r="D156" s="101"/>
      <c r="E156" s="106"/>
      <c r="F156" s="154">
        <v>46037</v>
      </c>
    </row>
    <row r="157" spans="2:6" x14ac:dyDescent="0.3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3">
      <c r="B158" s="53" t="s">
        <v>1242</v>
      </c>
      <c r="C158" s="67">
        <v>7</v>
      </c>
      <c r="D158" s="103">
        <f>C157-C158</f>
        <v>85</v>
      </c>
      <c r="E158" s="55">
        <f>D158/C156</f>
        <v>0.1480836236933798</v>
      </c>
      <c r="F158" s="155"/>
    </row>
    <row r="159" spans="2:6" x14ac:dyDescent="0.3">
      <c r="B159" s="53" t="s">
        <v>1243</v>
      </c>
      <c r="C159" s="67">
        <v>3</v>
      </c>
      <c r="D159" s="103">
        <f>D158-C159</f>
        <v>82</v>
      </c>
      <c r="E159" s="55">
        <f>D159/C156</f>
        <v>0.14285714285714285</v>
      </c>
      <c r="F159" s="155"/>
    </row>
    <row r="160" spans="2:6" x14ac:dyDescent="0.3">
      <c r="B160" s="53" t="s">
        <v>16</v>
      </c>
      <c r="C160" s="94">
        <f>'RESUMEN TOTAL'!AA5</f>
        <v>4</v>
      </c>
      <c r="D160" s="103">
        <f>D159-C160</f>
        <v>78</v>
      </c>
      <c r="E160" s="55">
        <f>D160/C156</f>
        <v>0.13588850174216027</v>
      </c>
      <c r="F160" s="155"/>
    </row>
    <row r="161" spans="2:6" ht="15" thickBot="1" x14ac:dyDescent="0.35">
      <c r="B161" s="56"/>
      <c r="C161" s="131">
        <v>0</v>
      </c>
      <c r="D161" s="104">
        <v>0</v>
      </c>
      <c r="E161" s="74">
        <f>D161/C156</f>
        <v>0</v>
      </c>
      <c r="F161" s="155"/>
    </row>
    <row r="162" spans="2:6" ht="15.6" thickTop="1" thickBot="1" x14ac:dyDescent="0.35">
      <c r="B162" s="111"/>
      <c r="C162" s="110" t="s">
        <v>911</v>
      </c>
      <c r="D162" s="96" t="s">
        <v>1463</v>
      </c>
      <c r="E162" s="102" t="s">
        <v>912</v>
      </c>
      <c r="F162" s="155"/>
    </row>
    <row r="163" spans="2:6" ht="15.6" thickTop="1" thickBot="1" x14ac:dyDescent="0.35">
      <c r="B163" s="98" t="s">
        <v>1061</v>
      </c>
      <c r="C163" s="99">
        <v>304</v>
      </c>
      <c r="D163" s="115">
        <f>Hoja1!T3</f>
        <v>41</v>
      </c>
      <c r="E163" s="105">
        <f>D163/C163</f>
        <v>0.13486842105263158</v>
      </c>
      <c r="F163" s="155"/>
    </row>
    <row r="164" spans="2:6" ht="15" thickBot="1" x14ac:dyDescent="0.35">
      <c r="B164" s="112" t="s">
        <v>1062</v>
      </c>
      <c r="C164" s="113">
        <f>COSEIDIcam</f>
        <v>270</v>
      </c>
      <c r="D164" s="113">
        <v>51</v>
      </c>
      <c r="E164" s="114">
        <f>D164/C164</f>
        <v>0.18888888888888888</v>
      </c>
      <c r="F164" s="156"/>
    </row>
    <row r="165" spans="2:6" ht="15.6" thickTop="1" thickBot="1" x14ac:dyDescent="0.35"/>
    <row r="166" spans="2:6" ht="15.6" thickTop="1" thickBot="1" x14ac:dyDescent="0.35">
      <c r="C166" s="107" t="s">
        <v>911</v>
      </c>
      <c r="D166" s="108" t="s">
        <v>1463</v>
      </c>
      <c r="E166" s="109" t="s">
        <v>912</v>
      </c>
    </row>
    <row r="167" spans="2:6" ht="15" thickTop="1" x14ac:dyDescent="0.3">
      <c r="B167" s="52" t="s">
        <v>1241</v>
      </c>
      <c r="C167" s="100">
        <f>CANTIDAD_DE_CAMARAS</f>
        <v>574</v>
      </c>
      <c r="D167" s="101"/>
      <c r="E167" s="106"/>
      <c r="F167" s="154">
        <v>46038</v>
      </c>
    </row>
    <row r="168" spans="2:6" x14ac:dyDescent="0.3">
      <c r="B168" s="53" t="s">
        <v>6</v>
      </c>
      <c r="C168" s="66">
        <f>'RESUMEN TOTAL'!AB3</f>
        <v>100</v>
      </c>
      <c r="D168" s="54"/>
      <c r="E168" s="55">
        <f>C168/C167</f>
        <v>0.17421602787456447</v>
      </c>
      <c r="F168" s="155"/>
    </row>
    <row r="169" spans="2:6" x14ac:dyDescent="0.3">
      <c r="B169" s="53" t="s">
        <v>1242</v>
      </c>
      <c r="C169" s="67">
        <v>0</v>
      </c>
      <c r="D169" s="103">
        <f>C168-C169</f>
        <v>100</v>
      </c>
      <c r="E169" s="55">
        <f>D169/C167</f>
        <v>0.17421602787456447</v>
      </c>
      <c r="F169" s="155"/>
    </row>
    <row r="170" spans="2:6" x14ac:dyDescent="0.3">
      <c r="B170" s="53" t="s">
        <v>1243</v>
      </c>
      <c r="C170" s="67">
        <v>0</v>
      </c>
      <c r="D170" s="103">
        <f>D169-C170</f>
        <v>100</v>
      </c>
      <c r="E170" s="55">
        <f>D170/C167</f>
        <v>0.17421602787456447</v>
      </c>
      <c r="F170" s="155"/>
    </row>
    <row r="171" spans="2:6" x14ac:dyDescent="0.3">
      <c r="B171" s="53" t="s">
        <v>16</v>
      </c>
      <c r="C171" s="94">
        <v>0</v>
      </c>
      <c r="D171" s="103">
        <f>D170-C171</f>
        <v>100</v>
      </c>
      <c r="E171" s="55">
        <f>D171/C167</f>
        <v>0.17421602787456447</v>
      </c>
      <c r="F171" s="155"/>
    </row>
    <row r="172" spans="2:6" ht="15" thickBot="1" x14ac:dyDescent="0.35">
      <c r="B172" s="56"/>
      <c r="C172" s="131"/>
      <c r="D172" s="104">
        <f>D171-C172</f>
        <v>100</v>
      </c>
      <c r="E172" s="74">
        <f>D172/C167</f>
        <v>0.17421602787456447</v>
      </c>
      <c r="F172" s="155"/>
    </row>
    <row r="173" spans="2:6" ht="15.6" thickTop="1" thickBot="1" x14ac:dyDescent="0.35">
      <c r="B173" s="111"/>
      <c r="C173" s="110" t="s">
        <v>911</v>
      </c>
      <c r="D173" s="96" t="s">
        <v>1463</v>
      </c>
      <c r="E173" s="102" t="s">
        <v>912</v>
      </c>
      <c r="F173" s="155"/>
    </row>
    <row r="174" spans="2:6" ht="15.6" thickTop="1" thickBot="1" x14ac:dyDescent="0.35">
      <c r="B174" s="98" t="s">
        <v>1061</v>
      </c>
      <c r="C174" s="99">
        <v>304</v>
      </c>
      <c r="D174" s="115">
        <v>0</v>
      </c>
      <c r="E174" s="105">
        <f>D174/C174</f>
        <v>0</v>
      </c>
      <c r="F174" s="155"/>
    </row>
    <row r="175" spans="2:6" ht="15" thickBot="1" x14ac:dyDescent="0.35">
      <c r="B175" s="112" t="s">
        <v>1062</v>
      </c>
      <c r="C175" s="113">
        <f>COSEIDIcam</f>
        <v>270</v>
      </c>
      <c r="D175" s="113">
        <v>0</v>
      </c>
      <c r="E175" s="114">
        <f>D175/C175</f>
        <v>0</v>
      </c>
      <c r="F175" s="156"/>
    </row>
    <row r="176" spans="2:6" ht="15.6" thickTop="1" thickBot="1" x14ac:dyDescent="0.35"/>
    <row r="177" spans="2:12" ht="15.6" thickTop="1" thickBot="1" x14ac:dyDescent="0.35">
      <c r="C177" s="107" t="s">
        <v>911</v>
      </c>
      <c r="D177" s="108" t="s">
        <v>1463</v>
      </c>
      <c r="E177" s="109" t="s">
        <v>912</v>
      </c>
    </row>
    <row r="178" spans="2:12" ht="15" thickTop="1" x14ac:dyDescent="0.3">
      <c r="B178" s="52" t="s">
        <v>1241</v>
      </c>
      <c r="C178" s="100">
        <f>CANTIDAD_DE_CAMARAS</f>
        <v>574</v>
      </c>
      <c r="D178" s="101"/>
      <c r="E178" s="106"/>
      <c r="F178" s="154">
        <v>46039</v>
      </c>
    </row>
    <row r="179" spans="2:12" x14ac:dyDescent="0.3">
      <c r="B179" s="53" t="s">
        <v>6</v>
      </c>
      <c r="C179" s="66">
        <f>'RESUMEN TOTAL'!AC3</f>
        <v>168</v>
      </c>
      <c r="D179" s="54"/>
      <c r="E179" s="55">
        <f>C179/C178</f>
        <v>0.29268292682926828</v>
      </c>
      <c r="F179" s="155"/>
    </row>
    <row r="180" spans="2:12" x14ac:dyDescent="0.3">
      <c r="B180" s="53" t="s">
        <v>1242</v>
      </c>
      <c r="C180" s="67">
        <v>0</v>
      </c>
      <c r="D180" s="103">
        <f>C179-C180</f>
        <v>168</v>
      </c>
      <c r="E180" s="55">
        <f>D180/C178</f>
        <v>0.29268292682926828</v>
      </c>
      <c r="F180" s="155"/>
    </row>
    <row r="181" spans="2:12" x14ac:dyDescent="0.3">
      <c r="B181" s="53" t="s">
        <v>1243</v>
      </c>
      <c r="C181" s="67">
        <v>0</v>
      </c>
      <c r="D181" s="103">
        <f>D180-C181</f>
        <v>168</v>
      </c>
      <c r="E181" s="55">
        <f>D181/C178</f>
        <v>0.29268292682926828</v>
      </c>
      <c r="F181" s="155"/>
    </row>
    <row r="182" spans="2:12" x14ac:dyDescent="0.3">
      <c r="B182" s="53" t="s">
        <v>16</v>
      </c>
      <c r="C182" s="94">
        <v>0</v>
      </c>
      <c r="D182" s="103">
        <f>D181-C182</f>
        <v>168</v>
      </c>
      <c r="E182" s="55">
        <f>D182/C178</f>
        <v>0.29268292682926828</v>
      </c>
      <c r="F182" s="155"/>
    </row>
    <row r="183" spans="2:12" ht="15" thickBot="1" x14ac:dyDescent="0.35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5.6" thickTop="1" thickBot="1" x14ac:dyDescent="0.35">
      <c r="B184" s="111"/>
      <c r="C184" s="110" t="s">
        <v>911</v>
      </c>
      <c r="D184" s="96" t="s">
        <v>1463</v>
      </c>
      <c r="E184" s="102" t="s">
        <v>912</v>
      </c>
      <c r="F184" s="155"/>
    </row>
    <row r="185" spans="2:12" ht="15.6" thickTop="1" thickBot="1" x14ac:dyDescent="0.35">
      <c r="B185" s="98" t="s">
        <v>1061</v>
      </c>
      <c r="C185" s="99">
        <v>304</v>
      </c>
      <c r="D185" s="115">
        <f>Hoja1!V3</f>
        <v>97</v>
      </c>
      <c r="E185" s="105">
        <v>0</v>
      </c>
      <c r="F185" s="155"/>
    </row>
    <row r="186" spans="2:12" ht="15" thickBot="1" x14ac:dyDescent="0.35">
      <c r="B186" s="112" t="s">
        <v>1062</v>
      </c>
      <c r="C186" s="113">
        <f>COSEIDIcam</f>
        <v>270</v>
      </c>
      <c r="D186" s="113">
        <f>Hoja1!V5</f>
        <v>71</v>
      </c>
      <c r="E186" s="114">
        <v>0</v>
      </c>
      <c r="F186" s="156"/>
    </row>
    <row r="187" spans="2:12" ht="15.6" thickTop="1" thickBot="1" x14ac:dyDescent="0.35"/>
    <row r="188" spans="2:12" ht="15.6" thickTop="1" thickBot="1" x14ac:dyDescent="0.35">
      <c r="C188" s="107" t="s">
        <v>911</v>
      </c>
      <c r="D188" s="108" t="s">
        <v>1463</v>
      </c>
      <c r="E188" s="109" t="s">
        <v>912</v>
      </c>
      <c r="I188" s="107" t="s">
        <v>911</v>
      </c>
      <c r="J188" s="108" t="s">
        <v>1463</v>
      </c>
      <c r="K188" s="109" t="s">
        <v>912</v>
      </c>
    </row>
    <row r="189" spans="2:12" ht="15" thickTop="1" x14ac:dyDescent="0.3">
      <c r="B189" s="52" t="s">
        <v>1241</v>
      </c>
      <c r="C189" s="100">
        <f>CANTIDAD_DE_CAMARAS</f>
        <v>574</v>
      </c>
      <c r="D189" s="101"/>
      <c r="E189" s="106"/>
      <c r="F189" s="154">
        <v>46040</v>
      </c>
      <c r="H189" s="52"/>
      <c r="I189" s="100"/>
      <c r="J189" s="101"/>
      <c r="K189" s="106"/>
      <c r="L189" s="154"/>
    </row>
    <row r="190" spans="2:12" x14ac:dyDescent="0.3">
      <c r="B190" s="53" t="s">
        <v>6</v>
      </c>
      <c r="C190" s="66">
        <v>0</v>
      </c>
      <c r="D190" s="54"/>
      <c r="E190" s="55">
        <f>C190/C189</f>
        <v>0</v>
      </c>
      <c r="F190" s="155"/>
      <c r="H190" s="53"/>
      <c r="I190" s="66"/>
      <c r="J190" s="54"/>
      <c r="K190" s="55"/>
      <c r="L190" s="155"/>
    </row>
    <row r="191" spans="2:12" x14ac:dyDescent="0.3">
      <c r="B191" s="53" t="s">
        <v>1242</v>
      </c>
      <c r="C191" s="67">
        <v>0</v>
      </c>
      <c r="D191" s="103">
        <f>C190-C191</f>
        <v>0</v>
      </c>
      <c r="E191" s="55">
        <f>D191/C189</f>
        <v>0</v>
      </c>
      <c r="F191" s="155"/>
      <c r="H191" s="53"/>
      <c r="I191" s="67"/>
      <c r="J191" s="103"/>
      <c r="K191" s="55"/>
      <c r="L191" s="155"/>
    </row>
    <row r="192" spans="2:12" x14ac:dyDescent="0.3">
      <c r="B192" s="53" t="s">
        <v>1243</v>
      </c>
      <c r="C192" s="67">
        <v>0</v>
      </c>
      <c r="D192" s="103">
        <f>D191-C192</f>
        <v>0</v>
      </c>
      <c r="E192" s="55">
        <f>D192/C189</f>
        <v>0</v>
      </c>
      <c r="F192" s="155"/>
      <c r="H192" s="53"/>
      <c r="I192" s="67"/>
      <c r="J192" s="103"/>
      <c r="K192" s="55"/>
      <c r="L192" s="155"/>
    </row>
    <row r="193" spans="2:12" x14ac:dyDescent="0.3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  <c r="H193" s="53"/>
      <c r="I193" s="94"/>
      <c r="J193" s="103"/>
      <c r="K193" s="55"/>
      <c r="L193" s="155"/>
    </row>
    <row r="194" spans="2:12" ht="15" thickBot="1" x14ac:dyDescent="0.35">
      <c r="B194" s="56"/>
      <c r="C194" s="131">
        <v>0</v>
      </c>
      <c r="D194" s="104"/>
      <c r="E194" s="74">
        <f>D194/C189</f>
        <v>0</v>
      </c>
      <c r="F194" s="155"/>
      <c r="H194" s="56"/>
      <c r="I194" s="131"/>
      <c r="J194" s="104"/>
      <c r="K194" s="74"/>
      <c r="L194" s="155"/>
    </row>
    <row r="195" spans="2:12" ht="15.6" thickTop="1" thickBot="1" x14ac:dyDescent="0.35">
      <c r="B195" s="111"/>
      <c r="C195" s="110" t="s">
        <v>911</v>
      </c>
      <c r="D195" s="96" t="s">
        <v>1463</v>
      </c>
      <c r="E195" s="102" t="s">
        <v>912</v>
      </c>
      <c r="F195" s="155"/>
      <c r="H195" s="111"/>
      <c r="I195" s="110"/>
      <c r="J195" s="96"/>
      <c r="K195" s="102"/>
      <c r="L195" s="155"/>
    </row>
    <row r="196" spans="2:12" ht="15.6" thickTop="1" thickBot="1" x14ac:dyDescent="0.35">
      <c r="B196" s="98" t="s">
        <v>1061</v>
      </c>
      <c r="C196" s="99">
        <v>304</v>
      </c>
      <c r="D196" s="115">
        <v>0</v>
      </c>
      <c r="E196" s="105">
        <v>0</v>
      </c>
      <c r="F196" s="155"/>
      <c r="H196" s="98"/>
      <c r="I196" s="99"/>
      <c r="J196" s="115"/>
      <c r="K196" s="105"/>
      <c r="L196" s="155"/>
    </row>
    <row r="197" spans="2:12" ht="15" thickBot="1" x14ac:dyDescent="0.35">
      <c r="B197" s="112" t="s">
        <v>1062</v>
      </c>
      <c r="C197" s="113">
        <f>COSEIDIcam</f>
        <v>270</v>
      </c>
      <c r="D197" s="113">
        <v>0</v>
      </c>
      <c r="E197" s="114">
        <v>0</v>
      </c>
      <c r="F197" s="156"/>
      <c r="H197" s="112"/>
      <c r="I197" s="113"/>
      <c r="J197" s="113"/>
      <c r="K197" s="114"/>
      <c r="L197" s="156"/>
    </row>
    <row r="198" spans="2:12" ht="15.6" thickTop="1" thickBot="1" x14ac:dyDescent="0.35"/>
    <row r="199" spans="2:12" ht="15.6" thickTop="1" thickBot="1" x14ac:dyDescent="0.35">
      <c r="C199" s="107" t="s">
        <v>911</v>
      </c>
      <c r="D199" s="108" t="s">
        <v>1463</v>
      </c>
      <c r="E199" s="109" t="s">
        <v>912</v>
      </c>
    </row>
    <row r="200" spans="2:12" ht="15" thickTop="1" x14ac:dyDescent="0.3">
      <c r="B200" s="52" t="s">
        <v>1241</v>
      </c>
      <c r="C200" s="100">
        <f>CANTIDAD_DE_CAMARAS</f>
        <v>574</v>
      </c>
      <c r="D200" s="101"/>
      <c r="E200" s="106"/>
      <c r="F200" s="154">
        <v>46041</v>
      </c>
    </row>
    <row r="201" spans="2:12" x14ac:dyDescent="0.3">
      <c r="B201" s="53" t="s">
        <v>6</v>
      </c>
      <c r="C201" s="66">
        <f>'RESUMEN TOTAL'!AE3</f>
        <v>111</v>
      </c>
      <c r="D201" s="54"/>
      <c r="E201" s="55">
        <f>C201/C200</f>
        <v>0.19337979094076654</v>
      </c>
      <c r="F201" s="155"/>
    </row>
    <row r="202" spans="2:12" x14ac:dyDescent="0.3">
      <c r="B202" s="53" t="s">
        <v>1242</v>
      </c>
      <c r="C202" s="67">
        <v>4</v>
      </c>
      <c r="D202" s="103">
        <f>C201-C202</f>
        <v>107</v>
      </c>
      <c r="E202" s="55">
        <f>D202/C200</f>
        <v>0.18641114982578397</v>
      </c>
      <c r="F202" s="155"/>
    </row>
    <row r="203" spans="2:12" x14ac:dyDescent="0.3">
      <c r="B203" s="53" t="s">
        <v>1243</v>
      </c>
      <c r="C203" s="67">
        <v>3</v>
      </c>
      <c r="D203" s="103">
        <f>D202-C203</f>
        <v>104</v>
      </c>
      <c r="E203" s="55">
        <f>D203/C200</f>
        <v>0.18118466898954705</v>
      </c>
      <c r="F203" s="155"/>
    </row>
    <row r="204" spans="2:12" x14ac:dyDescent="0.3">
      <c r="B204" s="53" t="s">
        <v>16</v>
      </c>
      <c r="C204" s="94">
        <v>4</v>
      </c>
      <c r="D204" s="103">
        <f>D203-C204</f>
        <v>100</v>
      </c>
      <c r="E204" s="55">
        <f>D204/C200</f>
        <v>0.17421602787456447</v>
      </c>
      <c r="F204" s="155"/>
    </row>
    <row r="205" spans="2:12" ht="15" thickBot="1" x14ac:dyDescent="0.35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5.6" thickTop="1" thickBot="1" x14ac:dyDescent="0.35">
      <c r="B206" s="111"/>
      <c r="C206" s="110" t="s">
        <v>911</v>
      </c>
      <c r="D206" s="96" t="s">
        <v>1463</v>
      </c>
      <c r="E206" s="102" t="s">
        <v>912</v>
      </c>
      <c r="F206" s="155"/>
    </row>
    <row r="207" spans="2:12" ht="15.6" thickTop="1" thickBot="1" x14ac:dyDescent="0.35">
      <c r="B207" s="98" t="s">
        <v>1061</v>
      </c>
      <c r="C207" s="99">
        <v>304</v>
      </c>
      <c r="D207" s="115">
        <v>53</v>
      </c>
      <c r="E207" s="105">
        <f>D207/C207</f>
        <v>0.17434210526315788</v>
      </c>
      <c r="F207" s="155"/>
    </row>
    <row r="208" spans="2:12" ht="15" thickBot="1" x14ac:dyDescent="0.35">
      <c r="B208" s="112" t="s">
        <v>1062</v>
      </c>
      <c r="C208" s="113">
        <f>COSEIDIcam</f>
        <v>270</v>
      </c>
      <c r="D208" s="113">
        <v>58</v>
      </c>
      <c r="E208" s="114">
        <f>D208/C208</f>
        <v>0.21481481481481482</v>
      </c>
      <c r="F208" s="156"/>
    </row>
    <row r="209" spans="2:6" ht="15.6" thickTop="1" thickBot="1" x14ac:dyDescent="0.35"/>
    <row r="210" spans="2:6" ht="15.6" thickTop="1" thickBot="1" x14ac:dyDescent="0.35">
      <c r="C210" s="107" t="s">
        <v>911</v>
      </c>
      <c r="D210" s="108" t="s">
        <v>1463</v>
      </c>
      <c r="E210" s="109" t="s">
        <v>912</v>
      </c>
    </row>
    <row r="211" spans="2:6" ht="15" thickTop="1" x14ac:dyDescent="0.3">
      <c r="B211" s="52" t="s">
        <v>1241</v>
      </c>
      <c r="C211" s="100">
        <f>CANTIDAD_DE_CAMARAS</f>
        <v>574</v>
      </c>
      <c r="D211" s="101"/>
      <c r="E211" s="106"/>
      <c r="F211" s="154">
        <v>46042</v>
      </c>
    </row>
    <row r="212" spans="2:6" x14ac:dyDescent="0.3">
      <c r="B212" s="53" t="s">
        <v>6</v>
      </c>
      <c r="C212" s="66">
        <v>94</v>
      </c>
      <c r="D212" s="54"/>
      <c r="E212" s="55">
        <f>C212/C211</f>
        <v>0.16376306620209058</v>
      </c>
      <c r="F212" s="155"/>
    </row>
    <row r="213" spans="2:6" x14ac:dyDescent="0.3">
      <c r="B213" s="53" t="s">
        <v>1242</v>
      </c>
      <c r="C213" s="67">
        <v>3</v>
      </c>
      <c r="D213" s="103">
        <f>C212-C213</f>
        <v>91</v>
      </c>
      <c r="E213" s="55">
        <f>D213/C211</f>
        <v>0.15853658536585366</v>
      </c>
      <c r="F213" s="155"/>
    </row>
    <row r="214" spans="2:6" x14ac:dyDescent="0.3">
      <c r="B214" s="53" t="s">
        <v>1243</v>
      </c>
      <c r="C214" s="67">
        <v>3</v>
      </c>
      <c r="D214" s="103">
        <f>D213-C214</f>
        <v>88</v>
      </c>
      <c r="E214" s="55">
        <f>D214/C211</f>
        <v>0.15331010452961671</v>
      </c>
      <c r="F214" s="155"/>
    </row>
    <row r="215" spans="2:6" x14ac:dyDescent="0.3">
      <c r="B215" s="53" t="s">
        <v>16</v>
      </c>
      <c r="C215" s="94">
        <v>3</v>
      </c>
      <c r="D215" s="103">
        <f>D214-C215</f>
        <v>85</v>
      </c>
      <c r="E215" s="55">
        <f>D215/C211</f>
        <v>0.1480836236933798</v>
      </c>
      <c r="F215" s="155"/>
    </row>
    <row r="216" spans="2:6" ht="15" thickBot="1" x14ac:dyDescent="0.35">
      <c r="B216" s="56"/>
      <c r="C216" s="131">
        <v>0</v>
      </c>
      <c r="D216" s="104">
        <v>0</v>
      </c>
      <c r="E216" s="74">
        <f>D216/C211</f>
        <v>0</v>
      </c>
      <c r="F216" s="155"/>
    </row>
    <row r="217" spans="2:6" ht="15.6" thickTop="1" thickBot="1" x14ac:dyDescent="0.35">
      <c r="B217" s="111"/>
      <c r="C217" s="110" t="s">
        <v>911</v>
      </c>
      <c r="D217" s="96" t="s">
        <v>1463</v>
      </c>
      <c r="E217" s="102" t="s">
        <v>912</v>
      </c>
      <c r="F217" s="155"/>
    </row>
    <row r="218" spans="2:6" ht="15.6" thickTop="1" thickBot="1" x14ac:dyDescent="0.35">
      <c r="B218" s="98" t="s">
        <v>1061</v>
      </c>
      <c r="C218" s="99">
        <v>304</v>
      </c>
      <c r="D218" s="115">
        <v>39</v>
      </c>
      <c r="E218" s="105">
        <f>D218/C218</f>
        <v>0.12828947368421054</v>
      </c>
      <c r="F218" s="155"/>
    </row>
    <row r="219" spans="2:6" ht="15" thickBot="1" x14ac:dyDescent="0.35">
      <c r="B219" s="112" t="s">
        <v>1062</v>
      </c>
      <c r="C219" s="113">
        <f>COSEIDIcam</f>
        <v>270</v>
      </c>
      <c r="D219" s="113">
        <v>55</v>
      </c>
      <c r="E219" s="114">
        <f>D219/C219</f>
        <v>0.20370370370370369</v>
      </c>
      <c r="F219" s="156"/>
    </row>
    <row r="220" spans="2:6" ht="15" thickTop="1" x14ac:dyDescent="0.3"/>
    <row r="221" spans="2:6" ht="15" thickBot="1" x14ac:dyDescent="0.35"/>
    <row r="222" spans="2:6" ht="15.6" thickTop="1" thickBot="1" x14ac:dyDescent="0.35">
      <c r="C222" s="107" t="s">
        <v>911</v>
      </c>
      <c r="D222" s="108" t="s">
        <v>1463</v>
      </c>
      <c r="E222" s="109" t="s">
        <v>912</v>
      </c>
    </row>
    <row r="223" spans="2:6" ht="15" thickTop="1" x14ac:dyDescent="0.3">
      <c r="B223" s="52" t="s">
        <v>1241</v>
      </c>
      <c r="C223" s="100">
        <f>CANTIDAD_DE_CAMARAS</f>
        <v>574</v>
      </c>
      <c r="D223" s="101"/>
      <c r="E223" s="106"/>
      <c r="F223" s="154">
        <v>46043</v>
      </c>
    </row>
    <row r="224" spans="2:6" x14ac:dyDescent="0.3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3">
      <c r="B225" s="53" t="s">
        <v>1242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3">
      <c r="B226" s="53" t="s">
        <v>1243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3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" thickBot="1" x14ac:dyDescent="0.35">
      <c r="B228" s="56"/>
      <c r="C228" s="131">
        <v>0</v>
      </c>
      <c r="D228" s="104">
        <v>0</v>
      </c>
      <c r="E228" s="74">
        <v>0</v>
      </c>
      <c r="F228" s="155"/>
    </row>
    <row r="229" spans="2:6" ht="15.6" thickTop="1" thickBot="1" x14ac:dyDescent="0.35">
      <c r="B229" s="111"/>
      <c r="C229" s="110" t="s">
        <v>911</v>
      </c>
      <c r="D229" s="96" t="s">
        <v>1463</v>
      </c>
      <c r="E229" s="102" t="s">
        <v>912</v>
      </c>
      <c r="F229" s="155"/>
    </row>
    <row r="230" spans="2:6" ht="15.6" thickTop="1" thickBot="1" x14ac:dyDescent="0.35">
      <c r="B230" s="98" t="s">
        <v>1061</v>
      </c>
      <c r="C230" s="99">
        <v>304</v>
      </c>
      <c r="D230" s="115">
        <f>Hoja1!Z3</f>
        <v>0</v>
      </c>
      <c r="E230" s="105">
        <f>D230/C230</f>
        <v>0</v>
      </c>
      <c r="F230" s="155"/>
    </row>
    <row r="231" spans="2:6" ht="15" thickBot="1" x14ac:dyDescent="0.35">
      <c r="B231" s="112" t="s">
        <v>1062</v>
      </c>
      <c r="C231" s="113">
        <f>COSEIDIcam</f>
        <v>270</v>
      </c>
      <c r="D231" s="113">
        <f>Hoja1!Z5</f>
        <v>0</v>
      </c>
      <c r="E231" s="114">
        <f>D231/C231</f>
        <v>0</v>
      </c>
      <c r="F231" s="156"/>
    </row>
    <row r="232" spans="2:6" ht="15" thickTop="1" x14ac:dyDescent="0.3"/>
    <row r="233" spans="2:6" ht="15" thickBot="1" x14ac:dyDescent="0.35"/>
    <row r="234" spans="2:6" ht="15.6" thickTop="1" thickBot="1" x14ac:dyDescent="0.35">
      <c r="C234" s="107" t="s">
        <v>911</v>
      </c>
      <c r="D234" s="108" t="s">
        <v>1463</v>
      </c>
      <c r="E234" s="109" t="s">
        <v>912</v>
      </c>
    </row>
    <row r="235" spans="2:6" ht="15" thickTop="1" x14ac:dyDescent="0.3">
      <c r="B235" s="52" t="s">
        <v>1241</v>
      </c>
      <c r="C235" s="100">
        <f>CANTIDAD_DE_CAMARAS</f>
        <v>574</v>
      </c>
      <c r="D235" s="101"/>
      <c r="E235" s="106"/>
      <c r="F235" s="154">
        <v>46044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3">
      <c r="B237" s="53" t="s">
        <v>1242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3">
      <c r="B238" s="53" t="s">
        <v>1243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3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" thickBot="1" x14ac:dyDescent="0.35">
      <c r="B240" s="56"/>
      <c r="C240" s="131">
        <v>0</v>
      </c>
      <c r="D240" s="104">
        <v>0</v>
      </c>
      <c r="E240" s="74">
        <v>0</v>
      </c>
      <c r="F240" s="155"/>
    </row>
    <row r="241" spans="2:6" ht="15.6" thickTop="1" thickBot="1" x14ac:dyDescent="0.35">
      <c r="B241" s="111"/>
      <c r="C241" s="110" t="s">
        <v>911</v>
      </c>
      <c r="D241" s="96" t="s">
        <v>1463</v>
      </c>
      <c r="E241" s="102" t="s">
        <v>912</v>
      </c>
      <c r="F241" s="155"/>
    </row>
    <row r="242" spans="2:6" ht="15.6" thickTop="1" thickBot="1" x14ac:dyDescent="0.35">
      <c r="B242" s="98" t="s">
        <v>1061</v>
      </c>
      <c r="C242" s="99">
        <v>304</v>
      </c>
      <c r="D242" s="115">
        <v>0</v>
      </c>
      <c r="E242" s="105">
        <f>D242/C242</f>
        <v>0</v>
      </c>
      <c r="F242" s="155"/>
    </row>
    <row r="243" spans="2:6" ht="15" thickBot="1" x14ac:dyDescent="0.35">
      <c r="B243" s="112" t="s">
        <v>1062</v>
      </c>
      <c r="C243" s="113">
        <f>COSEIDIcam</f>
        <v>270</v>
      </c>
      <c r="D243" s="113">
        <v>0</v>
      </c>
      <c r="E243" s="114">
        <v>0</v>
      </c>
      <c r="F243" s="156"/>
    </row>
    <row r="244" spans="2:6" ht="15" thickTop="1" x14ac:dyDescent="0.3"/>
    <row r="245" spans="2:6" ht="15" thickBot="1" x14ac:dyDescent="0.35"/>
    <row r="246" spans="2:6" ht="15.6" thickTop="1" thickBot="1" x14ac:dyDescent="0.35">
      <c r="C246" s="107" t="s">
        <v>911</v>
      </c>
      <c r="D246" s="108" t="s">
        <v>1463</v>
      </c>
      <c r="E246" s="109" t="s">
        <v>912</v>
      </c>
    </row>
    <row r="247" spans="2:6" ht="15" thickTop="1" x14ac:dyDescent="0.3">
      <c r="B247" s="52" t="s">
        <v>1241</v>
      </c>
      <c r="C247" s="100">
        <f>CANTIDAD_DE_CAMARAS</f>
        <v>574</v>
      </c>
      <c r="D247" s="101"/>
      <c r="E247" s="106"/>
      <c r="F247" s="154">
        <v>46045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3">
      <c r="B249" s="53" t="s">
        <v>1242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3">
      <c r="B250" s="53" t="s">
        <v>1243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3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" thickBot="1" x14ac:dyDescent="0.35">
      <c r="B252" s="56"/>
      <c r="C252" s="131">
        <v>0</v>
      </c>
      <c r="D252" s="104">
        <v>0</v>
      </c>
      <c r="E252" s="74">
        <v>0</v>
      </c>
      <c r="F252" s="155"/>
    </row>
    <row r="253" spans="2:6" ht="15.6" thickTop="1" thickBot="1" x14ac:dyDescent="0.35">
      <c r="B253" s="111"/>
      <c r="C253" s="110" t="s">
        <v>911</v>
      </c>
      <c r="D253" s="96">
        <v>0</v>
      </c>
      <c r="E253" s="102" t="s">
        <v>912</v>
      </c>
      <c r="F253" s="155"/>
    </row>
    <row r="254" spans="2:6" ht="15.6" thickTop="1" thickBot="1" x14ac:dyDescent="0.35">
      <c r="B254" s="98" t="s">
        <v>1061</v>
      </c>
      <c r="C254" s="99">
        <v>304</v>
      </c>
      <c r="D254" s="115">
        <v>0</v>
      </c>
      <c r="E254" s="105">
        <f>D254/C254</f>
        <v>0</v>
      </c>
      <c r="F254" s="155"/>
    </row>
    <row r="255" spans="2:6" ht="15" thickBot="1" x14ac:dyDescent="0.35">
      <c r="B255" s="112" t="s">
        <v>1062</v>
      </c>
      <c r="C255" s="113">
        <f>COSEIDIcam</f>
        <v>270</v>
      </c>
      <c r="D255" s="113">
        <v>0</v>
      </c>
      <c r="E255" s="114">
        <f>D255/C255</f>
        <v>0</v>
      </c>
      <c r="F255" s="156"/>
    </row>
    <row r="256" spans="2:6" ht="15" thickTop="1" x14ac:dyDescent="0.3"/>
    <row r="257" spans="2:6" ht="15" thickBot="1" x14ac:dyDescent="0.35"/>
    <row r="258" spans="2:6" ht="15.6" thickTop="1" thickBot="1" x14ac:dyDescent="0.35">
      <c r="C258" s="107" t="s">
        <v>911</v>
      </c>
      <c r="D258" s="108" t="s">
        <v>1463</v>
      </c>
      <c r="E258" s="109" t="s">
        <v>912</v>
      </c>
    </row>
    <row r="259" spans="2:6" ht="15" thickTop="1" x14ac:dyDescent="0.3">
      <c r="B259" s="52" t="s">
        <v>1241</v>
      </c>
      <c r="C259" s="100">
        <f>CANTIDAD_DE_CAMARAS</f>
        <v>574</v>
      </c>
      <c r="D259" s="101"/>
      <c r="E259" s="106"/>
      <c r="F259" s="154">
        <v>46046</v>
      </c>
    </row>
    <row r="260" spans="2:6" x14ac:dyDescent="0.3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3">
      <c r="B261" s="53" t="s">
        <v>1242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3">
      <c r="B262" s="53" t="s">
        <v>1243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3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" thickBot="1" x14ac:dyDescent="0.35">
      <c r="B264" s="56"/>
      <c r="C264" s="131">
        <v>0</v>
      </c>
      <c r="D264" s="104">
        <v>0</v>
      </c>
      <c r="E264" s="74">
        <v>0</v>
      </c>
      <c r="F264" s="155"/>
    </row>
    <row r="265" spans="2:6" ht="15.6" thickTop="1" thickBot="1" x14ac:dyDescent="0.35">
      <c r="B265" s="111"/>
      <c r="C265" s="110" t="s">
        <v>911</v>
      </c>
      <c r="D265" s="96" t="s">
        <v>1463</v>
      </c>
      <c r="E265" s="102" t="s">
        <v>912</v>
      </c>
      <c r="F265" s="155"/>
    </row>
    <row r="266" spans="2:6" ht="15.6" thickTop="1" thickBot="1" x14ac:dyDescent="0.35">
      <c r="B266" s="98" t="s">
        <v>1061</v>
      </c>
      <c r="C266" s="99">
        <v>304</v>
      </c>
      <c r="D266" s="115">
        <v>0</v>
      </c>
      <c r="E266" s="105">
        <v>0</v>
      </c>
      <c r="F266" s="155"/>
    </row>
    <row r="267" spans="2:6" ht="15" thickBot="1" x14ac:dyDescent="0.35">
      <c r="B267" s="112" t="s">
        <v>1062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5.6" thickTop="1" thickBot="1" x14ac:dyDescent="0.35"/>
    <row r="269" spans="2:6" ht="15.6" thickTop="1" thickBot="1" x14ac:dyDescent="0.35">
      <c r="C269" s="107" t="s">
        <v>911</v>
      </c>
      <c r="D269" s="108" t="s">
        <v>1463</v>
      </c>
      <c r="E269" s="109" t="s">
        <v>912</v>
      </c>
    </row>
    <row r="270" spans="2:6" ht="15" thickTop="1" x14ac:dyDescent="0.3">
      <c r="B270" s="52" t="s">
        <v>1241</v>
      </c>
      <c r="C270" s="100">
        <f>CANTIDAD_DE_CAMARAS</f>
        <v>574</v>
      </c>
      <c r="D270" s="101"/>
      <c r="E270" s="106"/>
      <c r="F270" s="154">
        <v>46047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3">
      <c r="B272" s="53" t="s">
        <v>1242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3">
      <c r="B273" s="53" t="s">
        <v>1243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3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" thickBot="1" x14ac:dyDescent="0.35">
      <c r="B275" s="56"/>
      <c r="C275" s="131">
        <v>0</v>
      </c>
      <c r="D275" s="104">
        <v>0</v>
      </c>
      <c r="E275" s="74">
        <v>0</v>
      </c>
      <c r="F275" s="155"/>
    </row>
    <row r="276" spans="2:6" ht="15.6" thickTop="1" thickBot="1" x14ac:dyDescent="0.35">
      <c r="B276" s="111"/>
      <c r="C276" s="110" t="s">
        <v>911</v>
      </c>
      <c r="D276" s="96" t="s">
        <v>1463</v>
      </c>
      <c r="E276" s="102" t="s">
        <v>912</v>
      </c>
      <c r="F276" s="155"/>
    </row>
    <row r="277" spans="2:6" ht="15.6" thickTop="1" thickBot="1" x14ac:dyDescent="0.35">
      <c r="B277" s="98" t="s">
        <v>1061</v>
      </c>
      <c r="C277" s="99">
        <v>304</v>
      </c>
      <c r="D277" s="115">
        <v>0</v>
      </c>
      <c r="E277" s="105">
        <f>D277/C277</f>
        <v>0</v>
      </c>
      <c r="F277" s="155"/>
    </row>
    <row r="278" spans="2:6" ht="15" thickBot="1" x14ac:dyDescent="0.35">
      <c r="B278" s="112" t="s">
        <v>1062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5.6" thickTop="1" thickBot="1" x14ac:dyDescent="0.35"/>
    <row r="280" spans="2:6" ht="15.6" thickTop="1" thickBot="1" x14ac:dyDescent="0.35">
      <c r="C280" s="107" t="s">
        <v>911</v>
      </c>
      <c r="D280" s="108" t="s">
        <v>1463</v>
      </c>
      <c r="E280" s="109" t="s">
        <v>912</v>
      </c>
    </row>
    <row r="281" spans="2:6" ht="15" thickTop="1" x14ac:dyDescent="0.3">
      <c r="B281" s="52" t="s">
        <v>1241</v>
      </c>
      <c r="C281" s="100">
        <f>CANTIDAD_DE_CAMARAS</f>
        <v>574</v>
      </c>
      <c r="D281" s="101"/>
      <c r="E281" s="106"/>
      <c r="F281" s="154">
        <v>46048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3">
      <c r="B283" s="53" t="s">
        <v>1242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3">
      <c r="B284" s="53" t="s">
        <v>1243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3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" thickBot="1" x14ac:dyDescent="0.35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5.6" thickTop="1" thickBot="1" x14ac:dyDescent="0.35">
      <c r="B287" s="111"/>
      <c r="C287" s="110" t="s">
        <v>911</v>
      </c>
      <c r="D287" s="96" t="s">
        <v>1463</v>
      </c>
      <c r="E287" s="102" t="s">
        <v>912</v>
      </c>
      <c r="F287" s="155"/>
    </row>
    <row r="288" spans="2:6" ht="15.6" thickTop="1" thickBot="1" x14ac:dyDescent="0.35">
      <c r="B288" s="98" t="s">
        <v>1061</v>
      </c>
      <c r="C288" s="99">
        <v>304</v>
      </c>
      <c r="D288" s="115">
        <v>0</v>
      </c>
      <c r="E288" s="105">
        <v>0</v>
      </c>
      <c r="F288" s="155"/>
    </row>
    <row r="289" spans="2:6" ht="15" thickBot="1" x14ac:dyDescent="0.35">
      <c r="B289" s="112" t="s">
        <v>1062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5.6" thickTop="1" thickBot="1" x14ac:dyDescent="0.35"/>
    <row r="291" spans="2:6" ht="15.6" thickTop="1" thickBot="1" x14ac:dyDescent="0.35">
      <c r="C291" s="107" t="s">
        <v>911</v>
      </c>
      <c r="D291" s="108" t="s">
        <v>1463</v>
      </c>
      <c r="E291" s="109" t="s">
        <v>912</v>
      </c>
    </row>
    <row r="292" spans="2:6" ht="15" thickTop="1" x14ac:dyDescent="0.3">
      <c r="B292" s="52" t="s">
        <v>1241</v>
      </c>
      <c r="C292" s="100">
        <f>CANTIDAD_DE_CAMARAS</f>
        <v>574</v>
      </c>
      <c r="D292" s="101"/>
      <c r="E292" s="106"/>
      <c r="F292" s="154">
        <v>46049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3">
      <c r="B294" s="53" t="s">
        <v>1242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3">
      <c r="B295" s="53" t="s">
        <v>1243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3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" thickBot="1" x14ac:dyDescent="0.35">
      <c r="B297" s="56"/>
      <c r="C297" s="131">
        <v>0</v>
      </c>
      <c r="D297" s="104">
        <v>0</v>
      </c>
      <c r="E297" s="74">
        <v>0</v>
      </c>
      <c r="F297" s="155"/>
    </row>
    <row r="298" spans="2:6" ht="15.6" thickTop="1" thickBot="1" x14ac:dyDescent="0.35">
      <c r="B298" s="111"/>
      <c r="C298" s="110" t="s">
        <v>911</v>
      </c>
      <c r="D298" s="96" t="s">
        <v>1463</v>
      </c>
      <c r="E298" s="102" t="s">
        <v>912</v>
      </c>
      <c r="F298" s="155"/>
    </row>
    <row r="299" spans="2:6" ht="15.6" thickTop="1" thickBot="1" x14ac:dyDescent="0.35">
      <c r="B299" s="98" t="s">
        <v>1061</v>
      </c>
      <c r="C299" s="99">
        <v>304</v>
      </c>
      <c r="D299" s="115">
        <v>0</v>
      </c>
      <c r="E299" s="105">
        <f>D299/C299</f>
        <v>0</v>
      </c>
      <c r="F299" s="155"/>
    </row>
    <row r="300" spans="2:6" ht="15" thickBot="1" x14ac:dyDescent="0.35">
      <c r="B300" s="112" t="s">
        <v>1062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5.6" thickTop="1" thickBot="1" x14ac:dyDescent="0.35"/>
    <row r="302" spans="2:6" ht="15.6" thickTop="1" thickBot="1" x14ac:dyDescent="0.35">
      <c r="C302" s="107" t="s">
        <v>911</v>
      </c>
      <c r="D302" s="108" t="s">
        <v>1463</v>
      </c>
      <c r="E302" s="109" t="s">
        <v>912</v>
      </c>
    </row>
    <row r="303" spans="2:6" ht="15" thickTop="1" x14ac:dyDescent="0.3">
      <c r="B303" s="52" t="s">
        <v>1241</v>
      </c>
      <c r="C303" s="100">
        <f>CANTIDAD_DE_CAMARAS</f>
        <v>574</v>
      </c>
      <c r="D303" s="101"/>
      <c r="E303" s="106"/>
      <c r="F303" s="154">
        <v>46050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3">
      <c r="B305" s="53" t="s">
        <v>1242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3">
      <c r="B306" s="53" t="s">
        <v>1243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3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" thickBot="1" x14ac:dyDescent="0.35">
      <c r="B308" s="56"/>
      <c r="C308" s="131">
        <v>0</v>
      </c>
      <c r="D308" s="104">
        <v>0</v>
      </c>
      <c r="E308" s="74">
        <v>0</v>
      </c>
      <c r="F308" s="155"/>
    </row>
    <row r="309" spans="2:6" ht="15.6" thickTop="1" thickBot="1" x14ac:dyDescent="0.35">
      <c r="B309" s="111"/>
      <c r="C309" s="110" t="s">
        <v>911</v>
      </c>
      <c r="D309" s="96" t="s">
        <v>1463</v>
      </c>
      <c r="E309" s="102" t="s">
        <v>912</v>
      </c>
      <c r="F309" s="155"/>
    </row>
    <row r="310" spans="2:6" ht="15.6" thickTop="1" thickBot="1" x14ac:dyDescent="0.35">
      <c r="B310" s="98" t="s">
        <v>1061</v>
      </c>
      <c r="C310" s="99">
        <v>304</v>
      </c>
      <c r="D310" s="115">
        <v>0</v>
      </c>
      <c r="E310" s="105">
        <v>0</v>
      </c>
      <c r="F310" s="155"/>
    </row>
    <row r="311" spans="2:6" ht="15" thickBot="1" x14ac:dyDescent="0.35">
      <c r="B311" s="112" t="s">
        <v>1062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5.6" thickTop="1" thickBot="1" x14ac:dyDescent="0.35"/>
    <row r="313" spans="2:6" ht="15.6" thickTop="1" thickBot="1" x14ac:dyDescent="0.35">
      <c r="C313" s="107" t="s">
        <v>911</v>
      </c>
      <c r="D313" s="108" t="s">
        <v>1463</v>
      </c>
      <c r="E313" s="109" t="s">
        <v>912</v>
      </c>
    </row>
    <row r="314" spans="2:6" ht="15" thickTop="1" x14ac:dyDescent="0.3">
      <c r="B314" s="52" t="s">
        <v>1241</v>
      </c>
      <c r="C314" s="100">
        <f>CANTIDAD_DE_CAMARAS</f>
        <v>574</v>
      </c>
      <c r="D314" s="101"/>
      <c r="E314" s="106"/>
      <c r="F314" s="154">
        <v>46051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3">
      <c r="B316" s="53" t="s">
        <v>1242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3">
      <c r="B317" s="53" t="s">
        <v>1243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3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" thickBot="1" x14ac:dyDescent="0.35">
      <c r="B319" s="56"/>
      <c r="C319" s="131">
        <v>0</v>
      </c>
      <c r="D319" s="104">
        <v>0</v>
      </c>
      <c r="E319" s="74">
        <v>0</v>
      </c>
      <c r="F319" s="155"/>
    </row>
    <row r="320" spans="2:6" ht="15.6" thickTop="1" thickBot="1" x14ac:dyDescent="0.35">
      <c r="B320" s="111"/>
      <c r="C320" s="110" t="s">
        <v>911</v>
      </c>
      <c r="D320" s="96" t="s">
        <v>1463</v>
      </c>
      <c r="E320" s="102" t="s">
        <v>912</v>
      </c>
      <c r="F320" s="155"/>
    </row>
    <row r="321" spans="2:6" ht="15.6" thickTop="1" thickBot="1" x14ac:dyDescent="0.35">
      <c r="B321" s="98" t="s">
        <v>1061</v>
      </c>
      <c r="C321" s="99">
        <v>304</v>
      </c>
      <c r="D321" s="115">
        <v>0</v>
      </c>
      <c r="E321" s="105">
        <v>0</v>
      </c>
      <c r="F321" s="155"/>
    </row>
    <row r="322" spans="2:6" ht="15" thickBot="1" x14ac:dyDescent="0.35">
      <c r="B322" s="112" t="s">
        <v>1062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5.6" thickTop="1" thickBot="1" x14ac:dyDescent="0.35"/>
    <row r="324" spans="2:6" ht="15.6" thickTop="1" thickBot="1" x14ac:dyDescent="0.35">
      <c r="C324" s="107" t="s">
        <v>911</v>
      </c>
      <c r="D324" s="108" t="s">
        <v>1463</v>
      </c>
      <c r="E324" s="109" t="s">
        <v>912</v>
      </c>
    </row>
    <row r="325" spans="2:6" ht="15" thickTop="1" x14ac:dyDescent="0.3">
      <c r="B325" s="52" t="s">
        <v>1241</v>
      </c>
      <c r="C325" s="100">
        <f>CANTIDAD_DE_CAMARAS</f>
        <v>574</v>
      </c>
      <c r="D325" s="101"/>
      <c r="E325" s="106"/>
      <c r="F325" s="154">
        <v>46052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3">
      <c r="B327" s="53" t="s">
        <v>1242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3">
      <c r="B328" s="53" t="s">
        <v>1243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3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" thickBot="1" x14ac:dyDescent="0.35">
      <c r="B330" s="56"/>
      <c r="C330" s="131">
        <v>0</v>
      </c>
      <c r="D330" s="104">
        <v>0</v>
      </c>
      <c r="E330" s="74">
        <v>0</v>
      </c>
      <c r="F330" s="155"/>
    </row>
    <row r="331" spans="2:6" ht="15.6" thickTop="1" thickBot="1" x14ac:dyDescent="0.35">
      <c r="B331" s="111"/>
      <c r="C331" s="110" t="s">
        <v>911</v>
      </c>
      <c r="D331" s="96" t="s">
        <v>1463</v>
      </c>
      <c r="E331" s="102" t="s">
        <v>912</v>
      </c>
      <c r="F331" s="155"/>
    </row>
    <row r="332" spans="2:6" ht="15.6" thickTop="1" thickBot="1" x14ac:dyDescent="0.35">
      <c r="B332" s="98" t="s">
        <v>1061</v>
      </c>
      <c r="C332" s="99">
        <v>304</v>
      </c>
      <c r="D332" s="115">
        <v>0</v>
      </c>
      <c r="E332" s="105">
        <v>0</v>
      </c>
      <c r="F332" s="155"/>
    </row>
    <row r="333" spans="2:6" ht="15" thickBot="1" x14ac:dyDescent="0.35">
      <c r="B333" s="112" t="s">
        <v>1062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" thickTop="1" x14ac:dyDescent="0.3"/>
    <row r="335" spans="2:6" ht="15" thickBot="1" x14ac:dyDescent="0.35">
      <c r="C335"/>
      <c r="D335"/>
      <c r="E335"/>
    </row>
    <row r="336" spans="2:6" ht="15.6" thickTop="1" thickBot="1" x14ac:dyDescent="0.35">
      <c r="C336" s="107" t="s">
        <v>911</v>
      </c>
      <c r="D336" s="108" t="s">
        <v>1463</v>
      </c>
      <c r="E336" s="109" t="s">
        <v>912</v>
      </c>
    </row>
    <row r="337" spans="2:6" ht="15" thickTop="1" x14ac:dyDescent="0.3">
      <c r="B337" s="52" t="s">
        <v>1241</v>
      </c>
      <c r="C337" s="100">
        <f>CANTIDAD_DE_CAMARAS</f>
        <v>574</v>
      </c>
      <c r="D337" s="101"/>
      <c r="E337" s="106"/>
      <c r="F337" s="154">
        <v>46053</v>
      </c>
    </row>
    <row r="338" spans="2:6" x14ac:dyDescent="0.3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3">
      <c r="B339" s="53" t="s">
        <v>1242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3">
      <c r="B340" s="53" t="s">
        <v>1243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3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" thickBot="1" x14ac:dyDescent="0.35">
      <c r="B342" s="56"/>
      <c r="C342" s="131">
        <v>0</v>
      </c>
      <c r="D342" s="104">
        <v>0</v>
      </c>
      <c r="E342" s="74">
        <v>0</v>
      </c>
      <c r="F342" s="155"/>
    </row>
    <row r="343" spans="2:6" ht="15.6" thickTop="1" thickBot="1" x14ac:dyDescent="0.35">
      <c r="B343" s="111"/>
      <c r="C343" s="110" t="s">
        <v>911</v>
      </c>
      <c r="D343" s="96" t="s">
        <v>1463</v>
      </c>
      <c r="E343" s="102" t="s">
        <v>912</v>
      </c>
      <c r="F343" s="155"/>
    </row>
    <row r="344" spans="2:6" ht="15.6" thickTop="1" thickBot="1" x14ac:dyDescent="0.35">
      <c r="B344" s="98" t="s">
        <v>1061</v>
      </c>
      <c r="C344" s="99">
        <v>340</v>
      </c>
      <c r="D344" s="115">
        <v>0</v>
      </c>
      <c r="E344" s="105">
        <v>0</v>
      </c>
      <c r="F344" s="155"/>
    </row>
    <row r="345" spans="2:6" ht="15" thickBot="1" x14ac:dyDescent="0.35">
      <c r="B345" s="112" t="s">
        <v>1062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" thickTop="1" x14ac:dyDescent="0.3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 Informaticas</cp:lastModifiedBy>
  <cp:lastPrinted>2025-10-13T15:00:43Z</cp:lastPrinted>
  <dcterms:created xsi:type="dcterms:W3CDTF">2022-01-21T13:32:57Z</dcterms:created>
  <dcterms:modified xsi:type="dcterms:W3CDTF">2026-01-20T11:13:34Z</dcterms:modified>
</cp:coreProperties>
</file>