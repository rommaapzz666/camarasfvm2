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24E6B2A1-DEB3-47AD-9F21-F9C35B4BE86C}" xr6:coauthVersionLast="47" xr6:coauthVersionMax="47" xr10:uidLastSave="{00000000-0000-0000-0000-000000000000}"/>
  <bookViews>
    <workbookView xWindow="-120" yWindow="-120" windowWidth="20730" windowHeight="11160" tabRatio="602" activeTab="3" xr2:uid="{00000000-000D-0000-FFFF-FFFF00000000}"/>
  </bookViews>
  <sheets>
    <sheet name="RESUMEN TOTAL" sheetId="2" r:id="rId1"/>
    <sheet name="AUXILIAR" sheetId="14" r:id="rId2"/>
    <sheet name="paradas" sheetId="26" r:id="rId3"/>
    <sheet name="informe" sheetId="24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<sst xmlns="http://schemas.openxmlformats.org/spreadsheetml/2006/main" count="5642" uniqueCount="2289">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</sst>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63</c:v>
                </c:pt>
                <c:pt idx="5">
                  <c:v>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63</c:v>
                </c:pt>
                <c:pt idx="5">
                  <c:v>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55" zoomScaleNormal="55" workbookViewId="0">
      <pane xSplit="12" ySplit="7" topLeftCell="R457" activePane="bottomRight" state="frozen"/>
      <selection pane="topRight" activeCell="M1" sqref="M1"/>
      <selection pane="bottomLeft" activeCell="A5" sqref="A5"/>
      <selection pane="bottomRight" activeCell="C481" sqref="C48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0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0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0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22</v>
      </c>
      <c r="J8" s="147" t="s">
        <v>1667</v>
      </c>
      <c r="K8" s="31">
        <f t="shared" ref="K8:K85" si="6">COUNTIF(M8:AN8,"APAGADO")</f>
        <v>6</v>
      </c>
      <c r="L8" s="32">
        <f t="shared" ref="L8:L85" si="7">(I8)/(K8+I8)</f>
        <v>0.7857142857142857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22</v>
      </c>
      <c r="J9" s="147" t="s">
        <v>1668</v>
      </c>
      <c r="K9" s="31">
        <f t="shared" si="6"/>
        <v>6</v>
      </c>
      <c r="L9" s="32">
        <f t="shared" si="7"/>
        <v>0.7857142857142857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22</v>
      </c>
      <c r="J14" s="147" t="s">
        <v>1673</v>
      </c>
      <c r="K14" s="31">
        <f t="shared" si="6"/>
        <v>6</v>
      </c>
      <c r="L14" s="32">
        <f t="shared" si="7"/>
        <v>0.7857142857142857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22</v>
      </c>
      <c r="J19" s="147" t="s">
        <v>1677</v>
      </c>
      <c r="K19" s="31">
        <f t="shared" si="6"/>
        <v>6</v>
      </c>
      <c r="L19" s="32">
        <f t="shared" si="7"/>
        <v>0.7857142857142857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22</v>
      </c>
      <c r="J20" s="147" t="s">
        <v>1678</v>
      </c>
      <c r="K20" s="31">
        <f t="shared" si="6"/>
        <v>6</v>
      </c>
      <c r="L20" s="32">
        <f t="shared" si="7"/>
        <v>0.7857142857142857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22</v>
      </c>
      <c r="J34" s="147" t="s">
        <v>1689</v>
      </c>
      <c r="K34" s="134">
        <f t="shared" si="6"/>
        <v>6</v>
      </c>
      <c r="L34" s="135">
        <f t="shared" si="7"/>
        <v>0.7857142857142857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22</v>
      </c>
      <c r="J36" s="87" t="s">
        <v>2157</v>
      </c>
      <c r="K36" s="142">
        <f t="shared" si="6"/>
        <v>6</v>
      </c>
      <c r="L36" s="143">
        <f t="shared" si="7"/>
        <v>0.7857142857142857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22</v>
      </c>
      <c r="J89" s="147" t="s">
        <v>1733</v>
      </c>
      <c r="K89" s="31">
        <f t="shared" si="9"/>
        <v>6</v>
      </c>
      <c r="L89" s="32">
        <f t="shared" si="10"/>
        <v>0.7857142857142857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22</v>
      </c>
      <c r="J99" s="147" t="s">
        <v>1743</v>
      </c>
      <c r="K99" s="142">
        <f t="shared" si="9"/>
        <v>6</v>
      </c>
      <c r="L99" s="143">
        <f t="shared" si="10"/>
        <v>0.7857142857142857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22</v>
      </c>
      <c r="J112" s="147" t="s">
        <v>1756</v>
      </c>
      <c r="K112" s="142">
        <f t="shared" si="9"/>
        <v>6</v>
      </c>
      <c r="L112" s="143">
        <f t="shared" si="10"/>
        <v>0.7857142857142857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22</v>
      </c>
      <c r="J113" s="147" t="s">
        <v>1755</v>
      </c>
      <c r="K113" s="142">
        <f t="shared" si="9"/>
        <v>6</v>
      </c>
      <c r="L113" s="143">
        <f t="shared" si="10"/>
        <v>0.7857142857142857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22</v>
      </c>
      <c r="J120" s="147" t="s">
        <v>1763</v>
      </c>
      <c r="K120" s="142">
        <f t="shared" si="9"/>
        <v>6</v>
      </c>
      <c r="L120" s="143">
        <f t="shared" si="10"/>
        <v>0.7857142857142857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24</v>
      </c>
      <c r="J130" s="147" t="s">
        <v>1773</v>
      </c>
      <c r="K130" s="31">
        <f t="shared" si="9"/>
        <v>4</v>
      </c>
      <c r="L130" s="32">
        <f t="shared" si="10"/>
        <v>0.8571428571428571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27</v>
      </c>
      <c r="J131" s="147" t="s">
        <v>1774</v>
      </c>
      <c r="K131" s="31">
        <f t="shared" si="9"/>
        <v>1</v>
      </c>
      <c r="L131" s="32">
        <f t="shared" si="10"/>
        <v>0.9642857142857143</v>
      </c>
      <c r="M131" s="70" t="s">
        <v>2288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23</v>
      </c>
      <c r="J156" s="87"/>
      <c r="K156" s="31">
        <f t="shared" si="9"/>
        <v>5</v>
      </c>
      <c r="L156" s="32">
        <f t="shared" si="10"/>
        <v>0.8214285714285714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23</v>
      </c>
      <c r="J157" s="87"/>
      <c r="K157" s="31">
        <f t="shared" si="9"/>
        <v>5</v>
      </c>
      <c r="L157" s="32">
        <f t="shared" si="10"/>
        <v>0.8214285714285714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24</v>
      </c>
      <c r="J168" s="147" t="s">
        <v>1801</v>
      </c>
      <c r="K168" s="31">
        <f t="shared" si="12"/>
        <v>4</v>
      </c>
      <c r="L168" s="32">
        <f t="shared" si="13"/>
        <v>0.8571428571428571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22</v>
      </c>
      <c r="J169" s="147" t="s">
        <v>1802</v>
      </c>
      <c r="K169" s="31">
        <f t="shared" si="12"/>
        <v>6</v>
      </c>
      <c r="L169" s="32">
        <f t="shared" si="13"/>
        <v>0.7857142857142857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22</v>
      </c>
      <c r="J187" s="147" t="s">
        <v>1818</v>
      </c>
      <c r="K187" s="31">
        <f t="shared" si="12"/>
        <v>6</v>
      </c>
      <c r="L187" s="32">
        <f t="shared" si="13"/>
        <v>0.7857142857142857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22</v>
      </c>
      <c r="J193" s="87"/>
      <c r="K193" s="138">
        <f t="shared" si="12"/>
        <v>6</v>
      </c>
      <c r="L193" s="139">
        <f t="shared" si="13"/>
        <v>0.7857142857142857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22</v>
      </c>
      <c r="J194" s="147" t="s">
        <v>1822</v>
      </c>
      <c r="K194" s="142">
        <f t="shared" si="12"/>
        <v>6</v>
      </c>
      <c r="L194" s="143">
        <f t="shared" si="13"/>
        <v>0.7857142857142857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22</v>
      </c>
      <c r="J195" s="147" t="s">
        <v>1823</v>
      </c>
      <c r="K195" s="142">
        <f t="shared" si="12"/>
        <v>6</v>
      </c>
      <c r="L195" s="143">
        <f t="shared" si="13"/>
        <v>0.7857142857142857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23</v>
      </c>
      <c r="J200" s="147" t="s">
        <v>1827</v>
      </c>
      <c r="K200" s="142">
        <f t="shared" si="12"/>
        <v>5</v>
      </c>
      <c r="L200" s="143">
        <f t="shared" si="13"/>
        <v>0.8214285714285714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22</v>
      </c>
      <c r="J211" s="147" t="s">
        <v>1837</v>
      </c>
      <c r="K211" s="142">
        <f t="shared" si="12"/>
        <v>6</v>
      </c>
      <c r="L211" s="143">
        <f t="shared" si="13"/>
        <v>0.7857142857142857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22</v>
      </c>
      <c r="J218" s="151" t="s">
        <v>2276</v>
      </c>
      <c r="K218" s="142">
        <f t="shared" si="12"/>
        <v>6</v>
      </c>
      <c r="L218" s="143">
        <f t="shared" si="13"/>
        <v>0.7857142857142857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22</v>
      </c>
      <c r="J219" s="87"/>
      <c r="K219" s="31">
        <f t="shared" si="12"/>
        <v>6</v>
      </c>
      <c r="L219" s="32">
        <f t="shared" si="13"/>
        <v>0.7857142857142857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22</v>
      </c>
      <c r="J220" s="87"/>
      <c r="K220" s="31">
        <f t="shared" si="12"/>
        <v>6</v>
      </c>
      <c r="L220" s="32">
        <f t="shared" si="13"/>
        <v>0.7857142857142857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22</v>
      </c>
      <c r="J232" s="147" t="s">
        <v>1852</v>
      </c>
      <c r="K232" s="31">
        <f t="shared" si="12"/>
        <v>6</v>
      </c>
      <c r="L232" s="32">
        <f t="shared" si="13"/>
        <v>0.7857142857142857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27</v>
      </c>
      <c r="J233" s="147" t="s">
        <v>1853</v>
      </c>
      <c r="K233" s="31">
        <f t="shared" si="12"/>
        <v>1</v>
      </c>
      <c r="L233" s="32">
        <f t="shared" si="13"/>
        <v>0.9642857142857143</v>
      </c>
      <c r="M233" s="70"/>
      <c r="N233" s="70"/>
      <c r="O233" s="70"/>
      <c r="P233" s="70"/>
      <c r="Q233" s="70"/>
      <c r="R233" s="70" t="s">
        <v>2288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22</v>
      </c>
      <c r="J234" s="147" t="s">
        <v>1854</v>
      </c>
      <c r="K234" s="31">
        <f t="shared" si="12"/>
        <v>6</v>
      </c>
      <c r="L234" s="32">
        <f t="shared" si="13"/>
        <v>0.7857142857142857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27</v>
      </c>
      <c r="J235" s="147" t="s">
        <v>1855</v>
      </c>
      <c r="K235" s="31">
        <f t="shared" si="12"/>
        <v>1</v>
      </c>
      <c r="L235" s="32">
        <f t="shared" si="13"/>
        <v>0.9642857142857143</v>
      </c>
      <c r="M235" s="70"/>
      <c r="N235" s="70"/>
      <c r="O235" s="70"/>
      <c r="P235" s="70"/>
      <c r="Q235" s="70"/>
      <c r="R235" s="70" t="s">
        <v>2288</v>
      </c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27</v>
      </c>
      <c r="J236" s="147" t="s">
        <v>1856</v>
      </c>
      <c r="K236" s="31">
        <f t="shared" si="12"/>
        <v>1</v>
      </c>
      <c r="L236" s="32">
        <f t="shared" si="13"/>
        <v>0.9642857142857143</v>
      </c>
      <c r="M236" s="70"/>
      <c r="N236" s="70"/>
      <c r="O236" s="70"/>
      <c r="P236" s="70"/>
      <c r="Q236" s="70"/>
      <c r="R236" s="70" t="s">
        <v>2288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24</v>
      </c>
      <c r="J241" s="147" t="s">
        <v>1861</v>
      </c>
      <c r="K241" s="31">
        <f t="shared" si="15"/>
        <v>4</v>
      </c>
      <c r="L241" s="32">
        <f t="shared" si="16"/>
        <v>0.8571428571428571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27</v>
      </c>
      <c r="J242" s="147" t="s">
        <v>1862</v>
      </c>
      <c r="K242" s="31">
        <f t="shared" si="15"/>
        <v>1</v>
      </c>
      <c r="L242" s="32">
        <f t="shared" si="16"/>
        <v>0.9642857142857143</v>
      </c>
      <c r="M242" s="70"/>
      <c r="N242" s="70"/>
      <c r="O242" s="70"/>
      <c r="P242" s="70"/>
      <c r="Q242" s="70"/>
      <c r="R242" s="70" t="s">
        <v>2288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27</v>
      </c>
      <c r="J243" s="147" t="s">
        <v>1863</v>
      </c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2288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28</v>
      </c>
      <c r="J244" s="147" t="s">
        <v>1864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27</v>
      </c>
      <c r="J245" s="147" t="s">
        <v>1865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 t="s">
        <v>2288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24</v>
      </c>
      <c r="J246" s="147" t="s">
        <v>1866</v>
      </c>
      <c r="K246" s="31">
        <f t="shared" si="15"/>
        <v>4</v>
      </c>
      <c r="L246" s="32">
        <f t="shared" si="16"/>
        <v>0.8571428571428571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28</v>
      </c>
      <c r="J257" s="147" t="s">
        <v>1873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27</v>
      </c>
      <c r="J260" s="147" t="s">
        <v>1876</v>
      </c>
      <c r="K260" s="31">
        <f t="shared" si="15"/>
        <v>1</v>
      </c>
      <c r="L260" s="32">
        <f t="shared" si="16"/>
        <v>0.9642857142857143</v>
      </c>
      <c r="M260" s="70"/>
      <c r="N260" s="70"/>
      <c r="O260" s="70"/>
      <c r="P260" s="70"/>
      <c r="Q260" s="70"/>
      <c r="R260" s="70" t="s">
        <v>2288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27</v>
      </c>
      <c r="J262" s="147" t="s">
        <v>1864</v>
      </c>
      <c r="K262" s="31">
        <f t="shared" si="15"/>
        <v>1</v>
      </c>
      <c r="L262" s="32">
        <f t="shared" si="16"/>
        <v>0.9642857142857143</v>
      </c>
      <c r="M262" s="70"/>
      <c r="N262" s="70"/>
      <c r="O262" s="70"/>
      <c r="P262" s="70"/>
      <c r="Q262" s="70"/>
      <c r="R262" s="70" t="s">
        <v>2288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22</v>
      </c>
      <c r="J264" s="147" t="s">
        <v>1879</v>
      </c>
      <c r="K264" s="31">
        <f t="shared" si="15"/>
        <v>6</v>
      </c>
      <c r="L264" s="32">
        <f t="shared" si="16"/>
        <v>0.7857142857142857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27</v>
      </c>
      <c r="J266" s="147" t="s">
        <v>1881</v>
      </c>
      <c r="K266" s="31">
        <f t="shared" si="15"/>
        <v>1</v>
      </c>
      <c r="L266" s="32">
        <f t="shared" si="16"/>
        <v>0.9642857142857143</v>
      </c>
      <c r="M266" s="70"/>
      <c r="N266" s="70"/>
      <c r="O266" s="70"/>
      <c r="P266" s="70"/>
      <c r="Q266" s="70"/>
      <c r="R266" s="70" t="s">
        <v>2288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22</v>
      </c>
      <c r="J281" s="147" t="s">
        <v>1893</v>
      </c>
      <c r="K281" s="31">
        <f t="shared" si="15"/>
        <v>6</v>
      </c>
      <c r="L281" s="32">
        <f t="shared" si="16"/>
        <v>0.7857142857142857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27</v>
      </c>
      <c r="J284" s="147" t="s">
        <v>1896</v>
      </c>
      <c r="K284" s="142">
        <f t="shared" si="15"/>
        <v>1</v>
      </c>
      <c r="L284" s="143">
        <f t="shared" si="16"/>
        <v>0.9642857142857143</v>
      </c>
      <c r="M284" s="70"/>
      <c r="N284" s="70"/>
      <c r="O284" s="70"/>
      <c r="P284" s="70"/>
      <c r="Q284" s="70"/>
      <c r="R284" s="70" t="s">
        <v>2288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22</v>
      </c>
      <c r="J296" s="147" t="s">
        <v>1907</v>
      </c>
      <c r="K296" s="31">
        <f t="shared" si="15"/>
        <v>6</v>
      </c>
      <c r="L296" s="32">
        <f t="shared" si="16"/>
        <v>0.7857142857142857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22</v>
      </c>
      <c r="J308" s="147" t="s">
        <v>1918</v>
      </c>
      <c r="K308" s="142">
        <f t="shared" si="15"/>
        <v>6</v>
      </c>
      <c r="L308" s="143">
        <f t="shared" si="16"/>
        <v>0.7857142857142857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22</v>
      </c>
      <c r="J310" s="147" t="s">
        <v>1919</v>
      </c>
      <c r="K310" s="31">
        <f t="shared" ref="K310:K380" si="18">COUNTIF(M310:AN310,"APAGADO")</f>
        <v>6</v>
      </c>
      <c r="L310" s="32">
        <f t="shared" ref="L310:L380" si="19">(I310)/(K310+I310)</f>
        <v>0.7857142857142857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23</v>
      </c>
      <c r="J311" s="147" t="s">
        <v>1920</v>
      </c>
      <c r="K311" s="142">
        <f t="shared" si="18"/>
        <v>5</v>
      </c>
      <c r="L311" s="143">
        <f t="shared" si="19"/>
        <v>0.8214285714285714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23</v>
      </c>
      <c r="J312" s="87" t="s">
        <v>2197</v>
      </c>
      <c r="K312" s="142">
        <f t="shared" si="18"/>
        <v>5</v>
      </c>
      <c r="L312" s="143">
        <f t="shared" si="19"/>
        <v>0.8214285714285714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23</v>
      </c>
      <c r="J313" s="147" t="s">
        <v>1921</v>
      </c>
      <c r="K313" s="142">
        <f t="shared" si="18"/>
        <v>5</v>
      </c>
      <c r="L313" s="143">
        <f t="shared" si="19"/>
        <v>0.8214285714285714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22</v>
      </c>
      <c r="J314" s="147" t="s">
        <v>1922</v>
      </c>
      <c r="K314" s="31">
        <f t="shared" si="18"/>
        <v>6</v>
      </c>
      <c r="L314" s="32">
        <f t="shared" si="19"/>
        <v>0.7857142857142857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23</v>
      </c>
      <c r="J315" s="147" t="s">
        <v>1923</v>
      </c>
      <c r="K315" s="31">
        <f t="shared" si="18"/>
        <v>5</v>
      </c>
      <c r="L315" s="32">
        <f t="shared" si="19"/>
        <v>0.8214285714285714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23</v>
      </c>
      <c r="J316" s="147" t="s">
        <v>1924</v>
      </c>
      <c r="K316" s="31">
        <f t="shared" si="18"/>
        <v>5</v>
      </c>
      <c r="L316" s="32">
        <f t="shared" si="19"/>
        <v>0.8214285714285714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27</v>
      </c>
      <c r="J350" s="147" t="s">
        <v>1952</v>
      </c>
      <c r="K350" s="31">
        <f t="shared" si="18"/>
        <v>1</v>
      </c>
      <c r="L350" s="32">
        <f t="shared" si="19"/>
        <v>0.9642857142857143</v>
      </c>
      <c r="M350" s="70"/>
      <c r="N350" s="70"/>
      <c r="O350" s="70"/>
      <c r="P350" s="70"/>
      <c r="Q350" s="70"/>
      <c r="R350" s="70" t="s">
        <v>2288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22</v>
      </c>
      <c r="J375" s="73"/>
      <c r="K375" s="31">
        <f t="shared" si="18"/>
        <v>6</v>
      </c>
      <c r="L375" s="32">
        <f t="shared" si="19"/>
        <v>0.7857142857142857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25</v>
      </c>
      <c r="J378" s="147" t="s">
        <v>1975</v>
      </c>
      <c r="K378" s="31">
        <f t="shared" si="18"/>
        <v>3</v>
      </c>
      <c r="L378" s="32">
        <f t="shared" si="19"/>
        <v>0.8928571428571429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25</v>
      </c>
      <c r="J379" s="147" t="s">
        <v>1976</v>
      </c>
      <c r="K379" s="31">
        <f t="shared" si="18"/>
        <v>3</v>
      </c>
      <c r="L379" s="32">
        <f t="shared" si="19"/>
        <v>0.8928571428571429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25</v>
      </c>
      <c r="J380" s="147" t="s">
        <v>1977</v>
      </c>
      <c r="K380" s="31">
        <f t="shared" si="18"/>
        <v>3</v>
      </c>
      <c r="L380" s="32">
        <f t="shared" si="19"/>
        <v>0.8928571428571429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25</v>
      </c>
      <c r="J383" s="147" t="s">
        <v>1980</v>
      </c>
      <c r="K383" s="31">
        <f t="shared" si="21"/>
        <v>3</v>
      </c>
      <c r="L383" s="32">
        <f t="shared" si="22"/>
        <v>0.8928571428571429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25</v>
      </c>
      <c r="J384" s="147" t="s">
        <v>1981</v>
      </c>
      <c r="K384" s="31">
        <f t="shared" si="21"/>
        <v>3</v>
      </c>
      <c r="L384" s="32">
        <f t="shared" si="22"/>
        <v>0.8928571428571429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22</v>
      </c>
      <c r="J388" s="147" t="s">
        <v>1985</v>
      </c>
      <c r="K388" s="31">
        <f t="shared" si="21"/>
        <v>6</v>
      </c>
      <c r="L388" s="32">
        <f t="shared" si="22"/>
        <v>0.7857142857142857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22</v>
      </c>
      <c r="J389" s="147" t="s">
        <v>1986</v>
      </c>
      <c r="K389" s="31">
        <f t="shared" si="21"/>
        <v>6</v>
      </c>
      <c r="L389" s="32">
        <f t="shared" si="22"/>
        <v>0.7857142857142857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23</v>
      </c>
      <c r="J393" s="87"/>
      <c r="K393" s="31">
        <f t="shared" si="21"/>
        <v>5</v>
      </c>
      <c r="L393" s="32">
        <f t="shared" si="22"/>
        <v>0.8214285714285714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24</v>
      </c>
      <c r="J395" s="87"/>
      <c r="K395" s="31">
        <f t="shared" si="21"/>
        <v>4</v>
      </c>
      <c r="L395" s="32">
        <f t="shared" si="22"/>
        <v>0.8571428571428571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27</v>
      </c>
      <c r="J397" s="87"/>
      <c r="K397" s="31">
        <f t="shared" si="21"/>
        <v>1</v>
      </c>
      <c r="L397" s="32">
        <f t="shared" si="22"/>
        <v>0.9642857142857143</v>
      </c>
      <c r="M397" s="70"/>
      <c r="N397" s="70"/>
      <c r="O397" s="70"/>
      <c r="P397" s="70"/>
      <c r="Q397" s="70"/>
      <c r="R397" s="70" t="s">
        <v>2288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27</v>
      </c>
      <c r="J398" s="87"/>
      <c r="K398" s="31">
        <f t="shared" si="21"/>
        <v>1</v>
      </c>
      <c r="L398" s="32">
        <f t="shared" si="22"/>
        <v>0.9642857142857143</v>
      </c>
      <c r="M398" s="70"/>
      <c r="N398" s="70"/>
      <c r="O398" s="70"/>
      <c r="P398" s="70"/>
      <c r="Q398" s="70"/>
      <c r="R398" s="70" t="s">
        <v>2288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22</v>
      </c>
      <c r="J399" s="147" t="s">
        <v>1991</v>
      </c>
      <c r="K399" s="87">
        <f t="shared" si="21"/>
        <v>6</v>
      </c>
      <c r="L399" s="88">
        <f t="shared" si="22"/>
        <v>0.7857142857142857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26</v>
      </c>
      <c r="J400" s="87"/>
      <c r="K400" s="31">
        <f t="shared" si="21"/>
        <v>2</v>
      </c>
      <c r="L400" s="32">
        <f t="shared" si="22"/>
        <v>0.9285714285714286</v>
      </c>
      <c r="M400" s="70"/>
      <c r="N400" s="70"/>
      <c r="O400" s="70" t="s">
        <v>2288</v>
      </c>
      <c r="P400" s="70"/>
      <c r="Q400" s="70"/>
      <c r="R400" s="70" t="s">
        <v>2288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22</v>
      </c>
      <c r="J401" s="147" t="s">
        <v>1992</v>
      </c>
      <c r="K401" s="31">
        <f t="shared" si="21"/>
        <v>6</v>
      </c>
      <c r="L401" s="32">
        <f t="shared" si="22"/>
        <v>0.7857142857142857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22</v>
      </c>
      <c r="J402" s="147" t="s">
        <v>1993</v>
      </c>
      <c r="K402" s="31">
        <f t="shared" si="21"/>
        <v>6</v>
      </c>
      <c r="L402" s="32">
        <f t="shared" si="22"/>
        <v>0.7857142857142857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22</v>
      </c>
      <c r="J415" s="87"/>
      <c r="K415" s="31">
        <f t="shared" si="21"/>
        <v>6</v>
      </c>
      <c r="L415" s="32">
        <f t="shared" si="22"/>
        <v>0.7857142857142857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23</v>
      </c>
      <c r="J429" s="147" t="s">
        <v>2011</v>
      </c>
      <c r="K429" s="31">
        <f t="shared" si="21"/>
        <v>5</v>
      </c>
      <c r="L429" s="32">
        <f t="shared" si="22"/>
        <v>0.8214285714285714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23</v>
      </c>
      <c r="J430" s="147" t="s">
        <v>2012</v>
      </c>
      <c r="K430" s="31">
        <f t="shared" si="21"/>
        <v>5</v>
      </c>
      <c r="L430" s="32">
        <f t="shared" si="22"/>
        <v>0.8214285714285714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22</v>
      </c>
      <c r="J434" s="147" t="s">
        <v>2015</v>
      </c>
      <c r="K434" s="31">
        <f t="shared" si="21"/>
        <v>6</v>
      </c>
      <c r="L434" s="32">
        <f t="shared" si="22"/>
        <v>0.7857142857142857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22</v>
      </c>
      <c r="J436" s="147" t="s">
        <v>2017</v>
      </c>
      <c r="K436" s="31">
        <f t="shared" si="21"/>
        <v>6</v>
      </c>
      <c r="L436" s="32">
        <f t="shared" si="22"/>
        <v>0.7857142857142857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22</v>
      </c>
      <c r="J441" s="147" t="s">
        <v>2018</v>
      </c>
      <c r="K441" s="31">
        <f t="shared" si="21"/>
        <v>6</v>
      </c>
      <c r="L441" s="32">
        <f t="shared" si="22"/>
        <v>0.7857142857142857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22</v>
      </c>
      <c r="J442" s="147" t="s">
        <v>2019</v>
      </c>
      <c r="K442" s="31">
        <f t="shared" si="21"/>
        <v>6</v>
      </c>
      <c r="L442" s="32">
        <f t="shared" si="22"/>
        <v>0.7857142857142857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23</v>
      </c>
      <c r="J446" s="147" t="s">
        <v>2023</v>
      </c>
      <c r="K446" s="31">
        <f t="shared" si="21"/>
        <v>5</v>
      </c>
      <c r="L446" s="32">
        <f t="shared" si="22"/>
        <v>0.8214285714285714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23</v>
      </c>
      <c r="J447" s="147" t="s">
        <v>2024</v>
      </c>
      <c r="K447" s="31">
        <f t="shared" si="21"/>
        <v>5</v>
      </c>
      <c r="L447" s="32">
        <f t="shared" si="22"/>
        <v>0.8214285714285714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22</v>
      </c>
      <c r="J448" s="147" t="s">
        <v>2025</v>
      </c>
      <c r="K448" s="31">
        <f t="shared" si="21"/>
        <v>6</v>
      </c>
      <c r="L448" s="32">
        <f t="shared" si="22"/>
        <v>0.7857142857142857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22</v>
      </c>
      <c r="J456" s="147" t="s">
        <v>2027</v>
      </c>
      <c r="K456" s="142">
        <f t="shared" si="21"/>
        <v>6</v>
      </c>
      <c r="L456" s="143">
        <f t="shared" si="22"/>
        <v>0.7857142857142857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22</v>
      </c>
      <c r="J457" s="147" t="s">
        <v>2028</v>
      </c>
      <c r="K457" s="142">
        <f t="shared" si="21"/>
        <v>6</v>
      </c>
      <c r="L457" s="143">
        <f t="shared" si="22"/>
        <v>0.7857142857142857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22</v>
      </c>
      <c r="J458" s="87"/>
      <c r="K458" s="142">
        <f t="shared" si="21"/>
        <v>6</v>
      </c>
      <c r="L458" s="143">
        <f t="shared" si="22"/>
        <v>0.7857142857142857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22</v>
      </c>
      <c r="J459" s="153" t="s">
        <v>2146</v>
      </c>
      <c r="K459" s="142">
        <f t="shared" si="21"/>
        <v>6</v>
      </c>
      <c r="L459" s="143">
        <f t="shared" si="22"/>
        <v>0.7857142857142857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22</v>
      </c>
      <c r="J460" s="153"/>
      <c r="K460" s="142">
        <f t="shared" si="21"/>
        <v>6</v>
      </c>
      <c r="L460" s="143">
        <f t="shared" si="22"/>
        <v>0.7857142857142857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27</v>
      </c>
      <c r="J461" s="147" t="s">
        <v>2029</v>
      </c>
      <c r="K461" s="31">
        <f t="shared" si="21"/>
        <v>1</v>
      </c>
      <c r="L461" s="32">
        <f t="shared" si="22"/>
        <v>0.9642857142857143</v>
      </c>
      <c r="M461" s="70"/>
      <c r="N461" s="70"/>
      <c r="O461" s="70"/>
      <c r="P461" s="70"/>
      <c r="Q461" s="70"/>
      <c r="R461" s="70" t="s">
        <v>2288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27</v>
      </c>
      <c r="J462" s="147" t="s">
        <v>2030</v>
      </c>
      <c r="K462" s="31">
        <f t="shared" si="21"/>
        <v>1</v>
      </c>
      <c r="L462" s="32">
        <f t="shared" si="22"/>
        <v>0.9642857142857143</v>
      </c>
      <c r="M462" s="70"/>
      <c r="N462" s="70"/>
      <c r="O462" s="70"/>
      <c r="P462" s="70"/>
      <c r="Q462" s="70"/>
      <c r="R462" s="70" t="s">
        <v>2288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27</v>
      </c>
      <c r="J481" s="87"/>
      <c r="K481" s="31">
        <f t="shared" si="24"/>
        <v>1</v>
      </c>
      <c r="L481" s="32">
        <f t="shared" si="25"/>
        <v>0.9642857142857143</v>
      </c>
      <c r="M481" s="70"/>
      <c r="N481" s="70"/>
      <c r="O481" s="70"/>
      <c r="P481" s="70"/>
      <c r="Q481" s="70"/>
      <c r="R481" s="70" t="s">
        <v>2288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27</v>
      </c>
      <c r="J482" s="87"/>
      <c r="K482" s="31">
        <f t="shared" si="24"/>
        <v>1</v>
      </c>
      <c r="L482" s="32">
        <f t="shared" si="25"/>
        <v>0.9642857142857143</v>
      </c>
      <c r="M482" s="70"/>
      <c r="N482" s="70"/>
      <c r="O482" s="70"/>
      <c r="P482" s="70"/>
      <c r="Q482" s="70"/>
      <c r="R482" s="70" t="s">
        <v>2288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27</v>
      </c>
      <c r="J483" s="87"/>
      <c r="K483" s="31">
        <f t="shared" si="24"/>
        <v>1</v>
      </c>
      <c r="L483" s="32">
        <f t="shared" si="25"/>
        <v>0.9642857142857143</v>
      </c>
      <c r="M483" s="70"/>
      <c r="N483" s="70"/>
      <c r="O483" s="70"/>
      <c r="P483" s="70"/>
      <c r="Q483" s="70"/>
      <c r="R483" s="70" t="s">
        <v>2288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27</v>
      </c>
      <c r="J484" s="87"/>
      <c r="K484" s="31">
        <f t="shared" si="24"/>
        <v>1</v>
      </c>
      <c r="L484" s="32">
        <f t="shared" si="25"/>
        <v>0.9642857142857143</v>
      </c>
      <c r="M484" s="70"/>
      <c r="N484" s="70"/>
      <c r="O484" s="70"/>
      <c r="P484" s="70"/>
      <c r="Q484" s="70"/>
      <c r="R484" s="70" t="s">
        <v>2288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27</v>
      </c>
      <c r="J485" s="87"/>
      <c r="K485" s="31">
        <f t="shared" si="24"/>
        <v>1</v>
      </c>
      <c r="L485" s="32">
        <f t="shared" si="25"/>
        <v>0.9642857142857143</v>
      </c>
      <c r="M485" s="70"/>
      <c r="N485" s="70"/>
      <c r="O485" s="70"/>
      <c r="P485" s="70"/>
      <c r="Q485" s="70"/>
      <c r="R485" s="70" t="s">
        <v>2288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24</v>
      </c>
      <c r="J496" s="147" t="s">
        <v>2055</v>
      </c>
      <c r="K496" s="31">
        <f t="shared" si="24"/>
        <v>4</v>
      </c>
      <c r="L496" s="32">
        <f t="shared" si="25"/>
        <v>0.8571428571428571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24</v>
      </c>
      <c r="J503" s="147" t="s">
        <v>2062</v>
      </c>
      <c r="K503" s="31">
        <f t="shared" si="24"/>
        <v>4</v>
      </c>
      <c r="L503" s="32">
        <f t="shared" si="25"/>
        <v>0.8571428571428571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24</v>
      </c>
      <c r="J508" s="147" t="s">
        <v>2067</v>
      </c>
      <c r="K508" s="31">
        <f t="shared" si="24"/>
        <v>4</v>
      </c>
      <c r="L508" s="32">
        <f t="shared" si="25"/>
        <v>0.8571428571428571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22</v>
      </c>
      <c r="J510" s="147" t="s">
        <v>2069</v>
      </c>
      <c r="K510" s="31">
        <f t="shared" si="24"/>
        <v>6</v>
      </c>
      <c r="L510" s="32">
        <f t="shared" si="25"/>
        <v>0.7857142857142857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24</v>
      </c>
      <c r="J511" s="147" t="s">
        <v>2070</v>
      </c>
      <c r="K511" s="31">
        <f t="shared" si="24"/>
        <v>4</v>
      </c>
      <c r="L511" s="32">
        <f t="shared" si="25"/>
        <v>0.8571428571428571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24</v>
      </c>
      <c r="J514" s="147" t="s">
        <v>2072</v>
      </c>
      <c r="K514" s="31">
        <f t="shared" si="24"/>
        <v>4</v>
      </c>
      <c r="L514" s="32">
        <f t="shared" si="25"/>
        <v>0.8571428571428571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25</v>
      </c>
      <c r="J515" s="147" t="s">
        <v>2073</v>
      </c>
      <c r="K515" s="31">
        <f t="shared" si="24"/>
        <v>3</v>
      </c>
      <c r="L515" s="32">
        <f t="shared" si="25"/>
        <v>0.8928571428571429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22</v>
      </c>
      <c r="J520" s="147" t="s">
        <v>2078</v>
      </c>
      <c r="K520" s="142">
        <f t="shared" si="24"/>
        <v>6</v>
      </c>
      <c r="L520" s="143">
        <f t="shared" si="25"/>
        <v>0.7857142857142857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22</v>
      </c>
      <c r="J540" s="147" t="s">
        <v>2200</v>
      </c>
      <c r="K540" s="31">
        <f t="shared" si="27"/>
        <v>6</v>
      </c>
      <c r="L540" s="32">
        <f t="shared" si="28"/>
        <v>0.7857142857142857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22</v>
      </c>
      <c r="J547" s="87"/>
      <c r="K547" s="142">
        <f t="shared" si="27"/>
        <v>6</v>
      </c>
      <c r="L547" s="143">
        <f t="shared" si="28"/>
        <v>0.7857142857142857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22</v>
      </c>
      <c r="J548" s="87" t="s">
        <v>2189</v>
      </c>
      <c r="K548" s="142">
        <f t="shared" si="27"/>
        <v>6</v>
      </c>
      <c r="L548" s="143">
        <f t="shared" si="28"/>
        <v>0.7857142857142857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22</v>
      </c>
      <c r="J549" s="87" t="s">
        <v>2185</v>
      </c>
      <c r="K549" s="31">
        <f t="shared" si="27"/>
        <v>6</v>
      </c>
      <c r="L549" s="32">
        <f t="shared" si="28"/>
        <v>0.7857142857142857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22</v>
      </c>
      <c r="J551" s="87" t="s">
        <v>2186</v>
      </c>
      <c r="K551" s="31">
        <f t="shared" si="27"/>
        <v>6</v>
      </c>
      <c r="L551" s="32">
        <f t="shared" si="28"/>
        <v>0.7857142857142857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22</v>
      </c>
      <c r="J559" s="147" t="s">
        <v>2105</v>
      </c>
      <c r="K559" s="31">
        <f t="shared" si="27"/>
        <v>6</v>
      </c>
      <c r="L559" s="32">
        <f t="shared" si="28"/>
        <v>0.7857142857142857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22</v>
      </c>
      <c r="J577" s="147" t="s">
        <v>2116</v>
      </c>
      <c r="K577" s="142">
        <f t="shared" si="27"/>
        <v>6</v>
      </c>
      <c r="L577" s="143">
        <f t="shared" si="28"/>
        <v>0.7857142857142857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>
        <f>'RESUMEN TOTAL'!S234</f>
        <v>0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>
        <f>'RESUMEN TOTAL'!S257</f>
        <v>0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>
        <f>'RESUMEN TOTAL'!S281</f>
        <v>0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>
        <f>'RESUMEN TOTAL'!S296</f>
        <v>0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>
        <f>'RESUMEN TOTAL'!S308</f>
        <v>0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>
        <f>'RESUMEN TOTAL'!S310</f>
        <v>0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>
        <f>'RESUMEN TOTAL'!S311</f>
        <v>0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>
        <f>'RESUMEN TOTAL'!S312</f>
        <v>0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>
        <f>'RESUMEN TOTAL'!S313</f>
        <v>0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>
        <f>'RESUMEN TOTAL'!S314</f>
        <v>0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>
        <f>'RESUMEN TOTAL'!S375</f>
        <v>0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>
        <f>'RESUMEN TOTAL'!S383</f>
        <v>0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>
        <f>'RESUMEN TOTAL'!S384</f>
        <v>0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>
        <f>'RESUMEN TOTAL'!S388</f>
        <v>0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>
        <f>'RESUMEN TOTAL'!S389</f>
        <v>0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>
        <f>'RESUMEN TOTAL'!S395</f>
        <v>0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>
        <f>'RESUMEN TOTAL'!S397</f>
        <v>0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>
        <f>'RESUMEN TOTAL'!S398</f>
        <v>0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>
        <f>'RESUMEN TOTAL'!S399</f>
        <v>0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>
        <f>'RESUMEN TOTAL'!S400</f>
        <v>0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>
        <f>'RESUMEN TOTAL'!S401</f>
        <v>0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>
        <f>'RESUMEN TOTAL'!S402</f>
        <v>0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>
        <f>'RESUMEN TOTAL'!S415</f>
        <v>0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>
        <f>'RESUMEN TOTAL'!S434</f>
        <v>0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>
        <f>'RESUMEN TOTAL'!S436</f>
        <v>0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>
        <f>'RESUMEN TOTAL'!S441</f>
        <v>0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>
        <f>'RESUMEN TOTAL'!S442</f>
        <v>0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>
        <f>'RESUMEN TOTAL'!S448</f>
        <v>0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>
        <f>'RESUMEN TOTAL'!S456</f>
        <v>0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>
        <f>'RESUMEN TOTAL'!S457</f>
        <v>0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>
        <f>'RESUMEN TOTAL'!S458</f>
        <v>0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>
        <f>'RESUMEN TOTAL'!S481</f>
        <v>0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>
        <f>'RESUMEN TOTAL'!S482</f>
        <v>0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>
        <f>'RESUMEN TOTAL'!S483</f>
        <v>0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>
        <f>'RESUMEN TOTAL'!S484</f>
        <v>0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>
        <f>'RESUMEN TOTAL'!S485</f>
        <v>0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>
        <f>'RESUMEN TOTAL'!S510</f>
        <v>0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>
        <f>'RESUMEN TOTAL'!S520</f>
        <v>0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>
        <f>'RESUMEN TOTAL'!S559</f>
        <v>0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>
        <f>'RESUMEN TOTAL'!S577</f>
        <v>0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46" zoomScale="84" zoomScaleNormal="84" workbookViewId="0">
      <selection activeCell="I63" sqref="I6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61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25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62</v>
      </c>
      <c r="E21" s="114">
        <f>D21/C21</f>
        <v>0.22962962962962963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.75" thickBot="1" x14ac:dyDescent="0.3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54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25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25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25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25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1244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f>COUNTIFS('RESUMEN TOTAL'!Q8:Q689,"=APAGADO",'RESUMEN TOTAL'!C8:C689,"=BONOMO")</f>
        <v>34</v>
      </c>
      <c r="K3" s="46">
        <f>COUNTIFS('RESUMEN TOTAL'!R8:R689,"=APAGADO",'RESUMEN TOTAL'!C8:C689,"=BONOMO")</f>
        <v>58</v>
      </c>
      <c r="L3" s="46">
        <v>0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f t="shared" si="0"/>
        <v>0</v>
      </c>
      <c r="J4" s="50">
        <v>0.11</v>
      </c>
      <c r="K4" s="50">
        <f t="shared" si="0"/>
        <v>0.19141914191419143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61</v>
      </c>
      <c r="G5" s="46">
        <v>62</v>
      </c>
      <c r="H5" s="46">
        <v>0</v>
      </c>
      <c r="I5" s="46">
        <f>COUNTIFS('RESUMEN TOTAL'!P10:P691,"=APAGADO",'RESUMEN TOTAL'!C10:C691,"=COSEIDI")</f>
        <v>54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0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0.22962962962962963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informe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2026-01-06T12:27:39Z</dcterms:modified>
</cp:coreProperties>
</file>