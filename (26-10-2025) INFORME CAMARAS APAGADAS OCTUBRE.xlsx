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8_{B0EDDA03-17DA-4E34-BCF2-32D78E6733DB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TOTAL'!$A$7:$D$474</definedName>
    <definedName name="_25_de_agosto_3" localSheetId="0">'RESUMEN TOTAL'!$A$7:$D$486</definedName>
    <definedName name="_30_mar">#REF!</definedName>
    <definedName name="_xlnm._FilterDatabase" localSheetId="3" hidden="1">paradas!$4:$4</definedName>
    <definedName name="_xlnm._FilterDatabase" localSheetId="0" hidden="1">'RESUMEN TOTAL'!$A$7:$AQ$562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8" i="2" l="1"/>
  <c r="I208" i="2"/>
  <c r="L208" i="2" l="1"/>
  <c r="K554" i="2"/>
  <c r="I554" i="2"/>
  <c r="K357" i="2"/>
  <c r="I357" i="2"/>
  <c r="K441" i="2"/>
  <c r="I441" i="2"/>
  <c r="K184" i="2"/>
  <c r="I184" i="2"/>
  <c r="L357" i="2" l="1"/>
  <c r="L554" i="2"/>
  <c r="L441" i="2"/>
  <c r="L184" i="2"/>
  <c r="K36" i="2" l="1"/>
  <c r="I36" i="2"/>
  <c r="K395" i="2"/>
  <c r="K396" i="2"/>
  <c r="I395" i="2"/>
  <c r="I396" i="2"/>
  <c r="K445" i="2"/>
  <c r="I445" i="2"/>
  <c r="K537" i="2"/>
  <c r="I537" i="2"/>
  <c r="K524" i="2"/>
  <c r="I524" i="2"/>
  <c r="K140" i="2"/>
  <c r="I140" i="2"/>
  <c r="K530" i="2"/>
  <c r="I530" i="2"/>
  <c r="K157" i="2"/>
  <c r="I157" i="2"/>
  <c r="K529" i="2"/>
  <c r="K531" i="2"/>
  <c r="I529" i="2"/>
  <c r="I531" i="2"/>
  <c r="K506" i="2"/>
  <c r="K507" i="2"/>
  <c r="K508" i="2"/>
  <c r="I506" i="2"/>
  <c r="I507" i="2"/>
  <c r="I508" i="2"/>
  <c r="K461" i="2"/>
  <c r="K462" i="2"/>
  <c r="K463" i="2"/>
  <c r="K464" i="2"/>
  <c r="I461" i="2"/>
  <c r="I462" i="2"/>
  <c r="I463" i="2"/>
  <c r="I464" i="2"/>
  <c r="K436" i="2"/>
  <c r="K437" i="2"/>
  <c r="K438" i="2"/>
  <c r="K439" i="2"/>
  <c r="K440" i="2"/>
  <c r="I436" i="2"/>
  <c r="I437" i="2"/>
  <c r="I438" i="2"/>
  <c r="I439" i="2"/>
  <c r="I440" i="2"/>
  <c r="K409" i="2"/>
  <c r="K410" i="2"/>
  <c r="I409" i="2"/>
  <c r="I410" i="2"/>
  <c r="K350" i="2"/>
  <c r="K351" i="2"/>
  <c r="K352" i="2"/>
  <c r="K353" i="2"/>
  <c r="I350" i="2"/>
  <c r="I351" i="2"/>
  <c r="I352" i="2"/>
  <c r="I353" i="2"/>
  <c r="K276" i="2"/>
  <c r="K277" i="2"/>
  <c r="I276" i="2"/>
  <c r="I277" i="2"/>
  <c r="K264" i="2"/>
  <c r="K265" i="2"/>
  <c r="I264" i="2"/>
  <c r="I265" i="2"/>
  <c r="K221" i="2"/>
  <c r="I221" i="2"/>
  <c r="K212" i="2"/>
  <c r="I212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2" i="2"/>
  <c r="I382" i="2"/>
  <c r="G5" i="25"/>
  <c r="F5" i="25"/>
  <c r="D10" i="24" s="1"/>
  <c r="K562" i="2"/>
  <c r="I562" i="2"/>
  <c r="AJ5" i="25"/>
  <c r="AQ3" i="2"/>
  <c r="AQ4" i="2"/>
  <c r="AQ5" i="2"/>
  <c r="AQ6" i="2"/>
  <c r="I22" i="2"/>
  <c r="B4" i="25"/>
  <c r="C345" i="24" s="1"/>
  <c r="B2" i="25"/>
  <c r="C344" i="24" s="1"/>
  <c r="K165" i="2"/>
  <c r="K164" i="2"/>
  <c r="I165" i="2"/>
  <c r="I164" i="2"/>
  <c r="K394" i="2"/>
  <c r="I394" i="2"/>
  <c r="K393" i="2"/>
  <c r="I39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0" i="2" l="1"/>
  <c r="L353" i="2"/>
  <c r="L462" i="2"/>
  <c r="L41" i="2"/>
  <c r="L351" i="2"/>
  <c r="L36" i="2"/>
  <c r="L396" i="2"/>
  <c r="L395" i="2"/>
  <c r="L463" i="2"/>
  <c r="L445" i="2"/>
  <c r="L464" i="2"/>
  <c r="L43" i="2"/>
  <c r="L461" i="2"/>
  <c r="L436" i="2"/>
  <c r="L140" i="2"/>
  <c r="L537" i="2"/>
  <c r="L524" i="2"/>
  <c r="L137" i="2"/>
  <c r="L133" i="2"/>
  <c r="L439" i="2"/>
  <c r="L264" i="2"/>
  <c r="L276" i="2"/>
  <c r="L409" i="2"/>
  <c r="L136" i="2"/>
  <c r="L33" i="2"/>
  <c r="L507" i="2"/>
  <c r="L32" i="2"/>
  <c r="L212" i="2"/>
  <c r="L185" i="2"/>
  <c r="L438" i="2"/>
  <c r="L440" i="2"/>
  <c r="L183" i="2"/>
  <c r="L221" i="2"/>
  <c r="L530" i="2"/>
  <c r="L40" i="2"/>
  <c r="L138" i="2"/>
  <c r="L134" i="2"/>
  <c r="L31" i="2"/>
  <c r="L437" i="2"/>
  <c r="L506" i="2"/>
  <c r="L132" i="2"/>
  <c r="L42" i="2"/>
  <c r="L352" i="2"/>
  <c r="L531" i="2"/>
  <c r="L382" i="2"/>
  <c r="L156" i="2"/>
  <c r="L21" i="2"/>
  <c r="L182" i="2"/>
  <c r="L265" i="2"/>
  <c r="L277" i="2"/>
  <c r="L410" i="2"/>
  <c r="L508" i="2"/>
  <c r="L529" i="2"/>
  <c r="L157" i="2"/>
  <c r="L20" i="2"/>
  <c r="L139" i="2"/>
  <c r="L135" i="2"/>
  <c r="L207" i="2"/>
  <c r="L37" i="2"/>
  <c r="G6" i="25"/>
  <c r="AB6" i="25"/>
  <c r="W6" i="25"/>
  <c r="L562" i="2"/>
  <c r="L164" i="2"/>
  <c r="L165" i="2"/>
  <c r="L393" i="2"/>
  <c r="L39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9" i="2"/>
  <c r="K560" i="2"/>
  <c r="K561" i="2"/>
  <c r="I559" i="2"/>
  <c r="I560" i="2"/>
  <c r="I561" i="2"/>
  <c r="K399" i="2"/>
  <c r="I399" i="2"/>
  <c r="K220" i="2"/>
  <c r="I220" i="2"/>
  <c r="K131" i="2"/>
  <c r="I131" i="2"/>
  <c r="K39" i="2"/>
  <c r="K38" i="2"/>
  <c r="I39" i="2"/>
  <c r="I38" i="2"/>
  <c r="K35" i="2"/>
  <c r="I35" i="2"/>
  <c r="K380" i="2"/>
  <c r="K379" i="2"/>
  <c r="K381" i="2"/>
  <c r="I379" i="2"/>
  <c r="I380" i="2"/>
  <c r="I381" i="2"/>
  <c r="K334" i="2"/>
  <c r="K335" i="2"/>
  <c r="K336" i="2"/>
  <c r="I334" i="2"/>
  <c r="I335" i="2"/>
  <c r="I336" i="2"/>
  <c r="D203" i="24" l="1"/>
  <c r="D204" i="24" s="1"/>
  <c r="D214" i="24"/>
  <c r="D194" i="24"/>
  <c r="D183" i="24"/>
  <c r="D171" i="24"/>
  <c r="D159" i="24"/>
  <c r="D149" i="24"/>
  <c r="D138" i="24"/>
  <c r="L38" i="2"/>
  <c r="L399" i="2"/>
  <c r="L559" i="2"/>
  <c r="L560" i="2"/>
  <c r="L561" i="2"/>
  <c r="L131" i="2"/>
  <c r="L220" i="2"/>
  <c r="L39" i="2"/>
  <c r="L381" i="2"/>
  <c r="L380" i="2"/>
  <c r="L334" i="2"/>
  <c r="L379" i="2"/>
  <c r="L35" i="2"/>
  <c r="L336" i="2"/>
  <c r="L335" i="2"/>
  <c r="K318" i="2"/>
  <c r="K319" i="2"/>
  <c r="K320" i="2"/>
  <c r="I320" i="2"/>
  <c r="I319" i="2"/>
  <c r="I318" i="2"/>
  <c r="S3" i="2"/>
  <c r="C69" i="24" s="1"/>
  <c r="R3" i="2"/>
  <c r="C58" i="24" s="1"/>
  <c r="K398" i="2"/>
  <c r="I398" i="2"/>
  <c r="K460" i="2"/>
  <c r="I460" i="2"/>
  <c r="K34" i="2"/>
  <c r="I34" i="2"/>
  <c r="K30" i="2"/>
  <c r="I30" i="2"/>
  <c r="D215" i="24" l="1"/>
  <c r="D205" i="24"/>
  <c r="D172" i="24"/>
  <c r="D160" i="24"/>
  <c r="D150" i="24"/>
  <c r="D70" i="24"/>
  <c r="L319" i="2"/>
  <c r="L320" i="2"/>
  <c r="L318" i="2"/>
  <c r="L398" i="2"/>
  <c r="L460" i="2"/>
  <c r="L34" i="2"/>
  <c r="L30" i="2"/>
  <c r="K517" i="2"/>
  <c r="I517" i="2"/>
  <c r="K275" i="2"/>
  <c r="I275" i="2"/>
  <c r="K459" i="2"/>
  <c r="I45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7" i="2"/>
  <c r="I317" i="2"/>
  <c r="I321" i="2"/>
  <c r="K321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7" i="2"/>
  <c r="L275" i="2"/>
  <c r="L459" i="2"/>
  <c r="L317" i="2"/>
  <c r="L321" i="2"/>
  <c r="L159" i="2"/>
  <c r="D279" i="26"/>
  <c r="A461" i="26"/>
  <c r="I219" i="2"/>
  <c r="K219" i="2"/>
  <c r="K130" i="2"/>
  <c r="I130" i="2"/>
  <c r="D72" i="24" l="1"/>
  <c r="L130" i="2"/>
  <c r="L219" i="2"/>
  <c r="K158" i="2"/>
  <c r="I158" i="2"/>
  <c r="K251" i="2"/>
  <c r="I25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3" i="2"/>
  <c r="K363" i="2"/>
  <c r="I523" i="2"/>
  <c r="K523" i="2"/>
  <c r="D73" i="24" l="1"/>
  <c r="AI2" i="26"/>
  <c r="L158" i="2"/>
  <c r="L251" i="2"/>
  <c r="L363" i="2"/>
  <c r="L523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3" i="2"/>
  <c r="I333" i="2"/>
  <c r="I471" i="2"/>
  <c r="K309" i="2"/>
  <c r="I309" i="2"/>
  <c r="I310" i="2"/>
  <c r="K310" i="2"/>
  <c r="I435" i="2"/>
  <c r="K435" i="2"/>
  <c r="I434" i="2"/>
  <c r="K434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3" i="2"/>
  <c r="L309" i="2"/>
  <c r="L310" i="2"/>
  <c r="L434" i="2"/>
  <c r="L435" i="2"/>
  <c r="K259" i="2" l="1"/>
  <c r="I259" i="2"/>
  <c r="K23" i="2"/>
  <c r="I23" i="2"/>
  <c r="K362" i="2"/>
  <c r="I362" i="2"/>
  <c r="I258" i="2"/>
  <c r="K258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6" i="2"/>
  <c r="K266" i="2"/>
  <c r="I274" i="2"/>
  <c r="K274" i="2"/>
  <c r="I285" i="2"/>
  <c r="K285" i="2"/>
  <c r="I356" i="2"/>
  <c r="K356" i="2"/>
  <c r="I364" i="2"/>
  <c r="K364" i="2"/>
  <c r="I448" i="2"/>
  <c r="K448" i="2"/>
  <c r="I521" i="2"/>
  <c r="K521" i="2"/>
  <c r="I522" i="2"/>
  <c r="K522" i="2"/>
  <c r="L259" i="2" l="1"/>
  <c r="L23" i="2"/>
  <c r="L362" i="2"/>
  <c r="L258" i="2"/>
  <c r="L198" i="2"/>
  <c r="L155" i="2"/>
  <c r="L151" i="2"/>
  <c r="L199" i="2"/>
  <c r="L285" i="2"/>
  <c r="L364" i="2"/>
  <c r="L266" i="2"/>
  <c r="L204" i="2"/>
  <c r="L200" i="2"/>
  <c r="L448" i="2"/>
  <c r="L356" i="2"/>
  <c r="L197" i="2"/>
  <c r="L191" i="2"/>
  <c r="L154" i="2"/>
  <c r="L152" i="2"/>
  <c r="L203" i="2"/>
  <c r="L196" i="2"/>
  <c r="L150" i="2"/>
  <c r="L205" i="2"/>
  <c r="L521" i="2"/>
  <c r="L274" i="2"/>
  <c r="L206" i="2"/>
  <c r="L201" i="2"/>
  <c r="L153" i="2"/>
  <c r="L522" i="2"/>
  <c r="L202" i="2"/>
  <c r="L141" i="2"/>
  <c r="I457" i="2" l="1"/>
  <c r="I458" i="2"/>
  <c r="K457" i="2"/>
  <c r="K458" i="2"/>
  <c r="I348" i="2"/>
  <c r="I349" i="2"/>
  <c r="K348" i="2"/>
  <c r="K349" i="2"/>
  <c r="I250" i="2"/>
  <c r="K250" i="2"/>
  <c r="K148" i="2"/>
  <c r="I148" i="2"/>
  <c r="K127" i="2"/>
  <c r="K128" i="2"/>
  <c r="I127" i="2"/>
  <c r="I128" i="2"/>
  <c r="L457" i="2" l="1"/>
  <c r="L148" i="2"/>
  <c r="L458" i="2"/>
  <c r="L349" i="2"/>
  <c r="L348" i="2"/>
  <c r="L250" i="2"/>
  <c r="L128" i="2"/>
  <c r="L127" i="2"/>
  <c r="AO1" i="2" l="1"/>
  <c r="O1" i="2"/>
  <c r="AN1" i="2"/>
  <c r="I505" i="2"/>
  <c r="K505" i="2"/>
  <c r="I239" i="2"/>
  <c r="K239" i="2"/>
  <c r="I553" i="2"/>
  <c r="K553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9" i="2"/>
  <c r="I210" i="2"/>
  <c r="I211" i="2"/>
  <c r="I213" i="2"/>
  <c r="I214" i="2"/>
  <c r="I215" i="2"/>
  <c r="I216" i="2"/>
  <c r="I217" i="2"/>
  <c r="I218" i="2"/>
  <c r="I222" i="2"/>
  <c r="I223" i="2"/>
  <c r="I224" i="2"/>
  <c r="I225" i="2"/>
  <c r="I226" i="2"/>
  <c r="I227" i="2"/>
  <c r="I228" i="2"/>
  <c r="I229" i="2"/>
  <c r="I230" i="2"/>
  <c r="I232" i="2"/>
  <c r="I233" i="2"/>
  <c r="I234" i="2"/>
  <c r="I235" i="2"/>
  <c r="I236" i="2"/>
  <c r="I237" i="2"/>
  <c r="I238" i="2"/>
  <c r="I240" i="2"/>
  <c r="I241" i="2"/>
  <c r="I242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60" i="2"/>
  <c r="I261" i="2"/>
  <c r="I262" i="2"/>
  <c r="I263" i="2"/>
  <c r="I267" i="2"/>
  <c r="I268" i="2"/>
  <c r="I269" i="2"/>
  <c r="I270" i="2"/>
  <c r="I271" i="2"/>
  <c r="I272" i="2"/>
  <c r="I273" i="2"/>
  <c r="I278" i="2"/>
  <c r="I279" i="2"/>
  <c r="I280" i="2"/>
  <c r="I281" i="2"/>
  <c r="I282" i="2"/>
  <c r="I283" i="2"/>
  <c r="I284" i="2"/>
  <c r="I286" i="2"/>
  <c r="I287" i="2"/>
  <c r="I289" i="2"/>
  <c r="I290" i="2"/>
  <c r="I292" i="2"/>
  <c r="I295" i="2"/>
  <c r="I296" i="2"/>
  <c r="I298" i="2"/>
  <c r="I299" i="2"/>
  <c r="I300" i="2"/>
  <c r="I302" i="2"/>
  <c r="I303" i="2"/>
  <c r="I305" i="2"/>
  <c r="I306" i="2"/>
  <c r="I288" i="2"/>
  <c r="I291" i="2"/>
  <c r="I293" i="2"/>
  <c r="I294" i="2"/>
  <c r="I297" i="2"/>
  <c r="I301" i="2"/>
  <c r="I304" i="2"/>
  <c r="I307" i="2"/>
  <c r="I308" i="2"/>
  <c r="I311" i="2"/>
  <c r="I312" i="2"/>
  <c r="I313" i="2"/>
  <c r="I314" i="2"/>
  <c r="I315" i="2"/>
  <c r="I322" i="2"/>
  <c r="I323" i="2"/>
  <c r="I324" i="2"/>
  <c r="I325" i="2"/>
  <c r="I326" i="2"/>
  <c r="I327" i="2"/>
  <c r="I328" i="2"/>
  <c r="I329" i="2"/>
  <c r="I330" i="2"/>
  <c r="I331" i="2"/>
  <c r="I332" i="2"/>
  <c r="I337" i="2"/>
  <c r="I338" i="2"/>
  <c r="I339" i="2"/>
  <c r="I340" i="2"/>
  <c r="I341" i="2"/>
  <c r="I342" i="2"/>
  <c r="I343" i="2"/>
  <c r="I344" i="2"/>
  <c r="I345" i="2"/>
  <c r="I346" i="2"/>
  <c r="I347" i="2"/>
  <c r="I354" i="2"/>
  <c r="I355" i="2"/>
  <c r="I358" i="2"/>
  <c r="I359" i="2"/>
  <c r="I360" i="2"/>
  <c r="I361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4" i="2"/>
  <c r="I385" i="2"/>
  <c r="I386" i="2"/>
  <c r="I387" i="2"/>
  <c r="I388" i="2"/>
  <c r="I390" i="2"/>
  <c r="I391" i="2"/>
  <c r="I392" i="2"/>
  <c r="I397" i="2"/>
  <c r="I400" i="2"/>
  <c r="I401" i="2"/>
  <c r="I402" i="2"/>
  <c r="I403" i="2"/>
  <c r="I404" i="2"/>
  <c r="I405" i="2"/>
  <c r="I406" i="2"/>
  <c r="I407" i="2"/>
  <c r="I408" i="2"/>
  <c r="I411" i="2"/>
  <c r="I412" i="2"/>
  <c r="I413" i="2"/>
  <c r="I418" i="2"/>
  <c r="I422" i="2"/>
  <c r="I425" i="2"/>
  <c r="I427" i="2"/>
  <c r="I428" i="2"/>
  <c r="I432" i="2"/>
  <c r="I433" i="2"/>
  <c r="I415" i="2"/>
  <c r="I416" i="2"/>
  <c r="I417" i="2"/>
  <c r="I419" i="2"/>
  <c r="I420" i="2"/>
  <c r="I421" i="2"/>
  <c r="I423" i="2"/>
  <c r="I424" i="2"/>
  <c r="I426" i="2"/>
  <c r="I429" i="2"/>
  <c r="I430" i="2"/>
  <c r="I431" i="2"/>
  <c r="I442" i="2"/>
  <c r="I443" i="2"/>
  <c r="I444" i="2"/>
  <c r="I446" i="2"/>
  <c r="I447" i="2"/>
  <c r="I449" i="2"/>
  <c r="I450" i="2"/>
  <c r="I451" i="2"/>
  <c r="I452" i="2"/>
  <c r="I453" i="2"/>
  <c r="I454" i="2"/>
  <c r="I455" i="2"/>
  <c r="I456" i="2"/>
  <c r="I465" i="2"/>
  <c r="I466" i="2"/>
  <c r="I467" i="2"/>
  <c r="I468" i="2"/>
  <c r="I469" i="2"/>
  <c r="I470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9" i="2"/>
  <c r="I510" i="2"/>
  <c r="I511" i="2"/>
  <c r="I512" i="2"/>
  <c r="I513" i="2"/>
  <c r="I514" i="2"/>
  <c r="I515" i="2"/>
  <c r="I516" i="2"/>
  <c r="I518" i="2"/>
  <c r="I519" i="2"/>
  <c r="I520" i="2"/>
  <c r="I525" i="2"/>
  <c r="I526" i="2"/>
  <c r="I527" i="2"/>
  <c r="I528" i="2"/>
  <c r="I532" i="2"/>
  <c r="I533" i="2"/>
  <c r="I534" i="2"/>
  <c r="I535" i="2"/>
  <c r="I536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5" i="2"/>
  <c r="I556" i="2"/>
  <c r="I557" i="2"/>
  <c r="I558" i="2"/>
  <c r="I9" i="2"/>
  <c r="I10" i="2"/>
  <c r="I11" i="2"/>
  <c r="I12" i="2"/>
  <c r="I13" i="2"/>
  <c r="I14" i="2"/>
  <c r="I15" i="2"/>
  <c r="I8" i="2"/>
  <c r="K558" i="2"/>
  <c r="K557" i="2"/>
  <c r="K556" i="2"/>
  <c r="K555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6" i="2"/>
  <c r="K535" i="2"/>
  <c r="K534" i="2"/>
  <c r="K533" i="2"/>
  <c r="K532" i="2"/>
  <c r="K528" i="2"/>
  <c r="K527" i="2"/>
  <c r="K526" i="2"/>
  <c r="K525" i="2"/>
  <c r="K520" i="2"/>
  <c r="K519" i="2"/>
  <c r="K518" i="2"/>
  <c r="K516" i="2"/>
  <c r="K515" i="2"/>
  <c r="K514" i="2"/>
  <c r="K513" i="2"/>
  <c r="K512" i="2"/>
  <c r="K511" i="2"/>
  <c r="K510" i="2"/>
  <c r="K509" i="2"/>
  <c r="K504" i="2"/>
  <c r="K503" i="2"/>
  <c r="K502" i="2"/>
  <c r="K501" i="2"/>
  <c r="K500" i="2"/>
  <c r="K499" i="2"/>
  <c r="K498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56" i="2"/>
  <c r="K455" i="2"/>
  <c r="K454" i="2"/>
  <c r="K453" i="2"/>
  <c r="K452" i="2"/>
  <c r="K451" i="2"/>
  <c r="K450" i="2"/>
  <c r="K449" i="2"/>
  <c r="K447" i="2"/>
  <c r="K446" i="2"/>
  <c r="K444" i="2"/>
  <c r="K443" i="2"/>
  <c r="K442" i="2"/>
  <c r="K431" i="2"/>
  <c r="K430" i="2"/>
  <c r="K429" i="2"/>
  <c r="K426" i="2"/>
  <c r="K424" i="2"/>
  <c r="K423" i="2"/>
  <c r="K421" i="2"/>
  <c r="K420" i="2"/>
  <c r="K419" i="2"/>
  <c r="K417" i="2"/>
  <c r="K416" i="2"/>
  <c r="K415" i="2"/>
  <c r="K433" i="2"/>
  <c r="K432" i="2"/>
  <c r="K428" i="2"/>
  <c r="K427" i="2"/>
  <c r="K425" i="2"/>
  <c r="K422" i="2"/>
  <c r="K418" i="2"/>
  <c r="K413" i="2"/>
  <c r="K412" i="2"/>
  <c r="K411" i="2"/>
  <c r="K408" i="2"/>
  <c r="K407" i="2"/>
  <c r="K406" i="2"/>
  <c r="K405" i="2"/>
  <c r="K404" i="2"/>
  <c r="K403" i="2"/>
  <c r="K402" i="2"/>
  <c r="K401" i="2"/>
  <c r="K400" i="2"/>
  <c r="K397" i="2"/>
  <c r="K392" i="2"/>
  <c r="K391" i="2"/>
  <c r="K390" i="2"/>
  <c r="K388" i="2"/>
  <c r="K387" i="2"/>
  <c r="K386" i="2"/>
  <c r="K385" i="2"/>
  <c r="K384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1" i="2"/>
  <c r="K360" i="2"/>
  <c r="K359" i="2"/>
  <c r="K358" i="2"/>
  <c r="K355" i="2"/>
  <c r="K354" i="2"/>
  <c r="K347" i="2"/>
  <c r="K346" i="2"/>
  <c r="K345" i="2"/>
  <c r="K344" i="2"/>
  <c r="K343" i="2"/>
  <c r="K342" i="2"/>
  <c r="K341" i="2"/>
  <c r="K340" i="2"/>
  <c r="K339" i="2"/>
  <c r="K338" i="2"/>
  <c r="K337" i="2"/>
  <c r="K331" i="2"/>
  <c r="K330" i="2"/>
  <c r="K329" i="2"/>
  <c r="K328" i="2"/>
  <c r="K327" i="2"/>
  <c r="K326" i="2"/>
  <c r="K325" i="2"/>
  <c r="K324" i="2"/>
  <c r="K323" i="2"/>
  <c r="K322" i="2"/>
  <c r="K315" i="2"/>
  <c r="K314" i="2"/>
  <c r="K313" i="2"/>
  <c r="K312" i="2"/>
  <c r="K311" i="2"/>
  <c r="K308" i="2"/>
  <c r="K307" i="2"/>
  <c r="K304" i="2"/>
  <c r="K301" i="2"/>
  <c r="K297" i="2"/>
  <c r="K294" i="2"/>
  <c r="K293" i="2"/>
  <c r="K291" i="2"/>
  <c r="K288" i="2"/>
  <c r="K306" i="2"/>
  <c r="K305" i="2"/>
  <c r="K303" i="2"/>
  <c r="K302" i="2"/>
  <c r="K300" i="2"/>
  <c r="K299" i="2"/>
  <c r="K298" i="2"/>
  <c r="K296" i="2"/>
  <c r="K295" i="2"/>
  <c r="K292" i="2"/>
  <c r="K290" i="2"/>
  <c r="K289" i="2"/>
  <c r="K287" i="2"/>
  <c r="K286" i="2"/>
  <c r="K284" i="2"/>
  <c r="K283" i="2"/>
  <c r="K282" i="2"/>
  <c r="K281" i="2"/>
  <c r="K280" i="2"/>
  <c r="K279" i="2"/>
  <c r="K278" i="2"/>
  <c r="K273" i="2"/>
  <c r="K272" i="2"/>
  <c r="K271" i="2"/>
  <c r="K270" i="2"/>
  <c r="K269" i="2"/>
  <c r="K268" i="2"/>
  <c r="K267" i="2"/>
  <c r="K263" i="2"/>
  <c r="K262" i="2"/>
  <c r="K261" i="2"/>
  <c r="K260" i="2"/>
  <c r="K257" i="2"/>
  <c r="K256" i="2"/>
  <c r="K255" i="2"/>
  <c r="K254" i="2"/>
  <c r="K253" i="2"/>
  <c r="K252" i="2"/>
  <c r="K249" i="2"/>
  <c r="K248" i="2"/>
  <c r="K247" i="2"/>
  <c r="K246" i="2"/>
  <c r="K245" i="2"/>
  <c r="K244" i="2"/>
  <c r="K242" i="2"/>
  <c r="K241" i="2"/>
  <c r="K240" i="2"/>
  <c r="K238" i="2"/>
  <c r="K237" i="2"/>
  <c r="K236" i="2"/>
  <c r="K235" i="2"/>
  <c r="K234" i="2"/>
  <c r="K233" i="2"/>
  <c r="K232" i="2"/>
  <c r="K230" i="2"/>
  <c r="K229" i="2"/>
  <c r="K228" i="2"/>
  <c r="K227" i="2"/>
  <c r="K226" i="2"/>
  <c r="K225" i="2"/>
  <c r="K224" i="2"/>
  <c r="K223" i="2"/>
  <c r="K222" i="2"/>
  <c r="K218" i="2"/>
  <c r="K217" i="2"/>
  <c r="K216" i="2"/>
  <c r="K215" i="2"/>
  <c r="K214" i="2"/>
  <c r="K213" i="2"/>
  <c r="K211" i="2"/>
  <c r="K210" i="2"/>
  <c r="K209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3" i="2" l="1"/>
  <c r="L505" i="2"/>
  <c r="L239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7" i="2"/>
  <c r="L547" i="2"/>
  <c r="L178" i="2"/>
  <c r="L229" i="2"/>
  <c r="L246" i="2"/>
  <c r="L470" i="2"/>
  <c r="L76" i="2"/>
  <c r="L96" i="2"/>
  <c r="L104" i="2"/>
  <c r="L108" i="2"/>
  <c r="L112" i="2"/>
  <c r="L116" i="2"/>
  <c r="L124" i="2"/>
  <c r="L144" i="2"/>
  <c r="L170" i="2"/>
  <c r="L175" i="2"/>
  <c r="L247" i="2"/>
  <c r="L257" i="2"/>
  <c r="L263" i="2"/>
  <c r="L290" i="2"/>
  <c r="L455" i="2"/>
  <c r="L475" i="2"/>
  <c r="L503" i="2"/>
  <c r="L538" i="2"/>
  <c r="L50" i="2"/>
  <c r="L54" i="2"/>
  <c r="L163" i="2"/>
  <c r="L168" i="2"/>
  <c r="L193" i="2"/>
  <c r="L540" i="2"/>
  <c r="L544" i="2"/>
  <c r="L498" i="2"/>
  <c r="L502" i="2"/>
  <c r="L532" i="2"/>
  <c r="L545" i="2"/>
  <c r="L300" i="2"/>
  <c r="L293" i="2"/>
  <c r="L345" i="2"/>
  <c r="L420" i="2"/>
  <c r="L296" i="2"/>
  <c r="L342" i="2"/>
  <c r="L361" i="2"/>
  <c r="L412" i="2"/>
  <c r="L299" i="2"/>
  <c r="L291" i="2"/>
  <c r="L344" i="2"/>
  <c r="L433" i="2"/>
  <c r="L424" i="2"/>
  <c r="L446" i="2"/>
  <c r="L489" i="2"/>
  <c r="L509" i="2"/>
  <c r="L549" i="2"/>
  <c r="L555" i="2"/>
  <c r="L107" i="2"/>
  <c r="L111" i="2"/>
  <c r="L347" i="2"/>
  <c r="L372" i="2"/>
  <c r="L384" i="2"/>
  <c r="L422" i="2"/>
  <c r="L417" i="2"/>
  <c r="L449" i="2"/>
  <c r="L546" i="2"/>
  <c r="L56" i="2"/>
  <c r="L60" i="2"/>
  <c r="L354" i="2"/>
  <c r="L359" i="2"/>
  <c r="L365" i="2"/>
  <c r="L369" i="2"/>
  <c r="L373" i="2"/>
  <c r="L377" i="2"/>
  <c r="L397" i="2"/>
  <c r="L403" i="2"/>
  <c r="L272" i="2"/>
  <c r="L283" i="2"/>
  <c r="L8" i="2"/>
  <c r="L28" i="2"/>
  <c r="L73" i="2"/>
  <c r="L97" i="2"/>
  <c r="L101" i="2"/>
  <c r="L117" i="2"/>
  <c r="L280" i="2"/>
  <c r="L360" i="2"/>
  <c r="L366" i="2"/>
  <c r="L370" i="2"/>
  <c r="L374" i="2"/>
  <c r="L378" i="2"/>
  <c r="L386" i="2"/>
  <c r="L404" i="2"/>
  <c r="L427" i="2"/>
  <c r="L528" i="2"/>
  <c r="L467" i="2"/>
  <c r="L474" i="2"/>
  <c r="L494" i="2"/>
  <c r="L514" i="2"/>
  <c r="L82" i="2"/>
  <c r="L86" i="2"/>
  <c r="L102" i="2"/>
  <c r="L106" i="2"/>
  <c r="L110" i="2"/>
  <c r="L171" i="2"/>
  <c r="L179" i="2"/>
  <c r="L187" i="2"/>
  <c r="L210" i="2"/>
  <c r="L222" i="2"/>
  <c r="L226" i="2"/>
  <c r="L234" i="2"/>
  <c r="L368" i="2"/>
  <c r="L392" i="2"/>
  <c r="L11" i="2"/>
  <c r="L15" i="2"/>
  <c r="L27" i="2"/>
  <c r="L44" i="2"/>
  <c r="L67" i="2"/>
  <c r="L71" i="2"/>
  <c r="L180" i="2"/>
  <c r="L188" i="2"/>
  <c r="L227" i="2"/>
  <c r="L235" i="2"/>
  <c r="L253" i="2"/>
  <c r="L482" i="2"/>
  <c r="L490" i="2"/>
  <c r="L556" i="2"/>
  <c r="L146" i="2"/>
  <c r="L160" i="2"/>
  <c r="L169" i="2"/>
  <c r="L487" i="2"/>
  <c r="L491" i="2"/>
  <c r="L390" i="2"/>
  <c r="L495" i="2"/>
  <c r="L510" i="2"/>
  <c r="L88" i="2"/>
  <c r="L89" i="2"/>
  <c r="L161" i="2"/>
  <c r="L249" i="2"/>
  <c r="L419" i="2"/>
  <c r="L450" i="2"/>
  <c r="L519" i="2"/>
  <c r="L536" i="2"/>
  <c r="L548" i="2"/>
  <c r="L552" i="2"/>
  <c r="L66" i="2"/>
  <c r="L194" i="2"/>
  <c r="L209" i="2"/>
  <c r="L303" i="2"/>
  <c r="L308" i="2"/>
  <c r="L405" i="2"/>
  <c r="L447" i="2"/>
  <c r="L515" i="2"/>
  <c r="L286" i="2"/>
  <c r="L479" i="2"/>
  <c r="L483" i="2"/>
  <c r="L501" i="2"/>
  <c r="L504" i="2"/>
  <c r="L550" i="2"/>
  <c r="L100" i="2"/>
  <c r="L233" i="2"/>
  <c r="L242" i="2"/>
  <c r="L261" i="2"/>
  <c r="L385" i="2"/>
  <c r="L402" i="2"/>
  <c r="L418" i="2"/>
  <c r="L415" i="2"/>
  <c r="L431" i="2"/>
  <c r="L465" i="2"/>
  <c r="L476" i="2"/>
  <c r="L533" i="2"/>
  <c r="L51" i="2"/>
  <c r="L55" i="2"/>
  <c r="L173" i="2"/>
  <c r="L215" i="2"/>
  <c r="L513" i="2"/>
  <c r="L516" i="2"/>
  <c r="L48" i="2"/>
  <c r="L52" i="2"/>
  <c r="L94" i="2"/>
  <c r="L113" i="2"/>
  <c r="L120" i="2"/>
  <c r="L211" i="2"/>
  <c r="L223" i="2"/>
  <c r="L238" i="2"/>
  <c r="L262" i="2"/>
  <c r="L268" i="2"/>
  <c r="L289" i="2"/>
  <c r="L314" i="2"/>
  <c r="L326" i="2"/>
  <c r="L358" i="2"/>
  <c r="L371" i="2"/>
  <c r="L406" i="2"/>
  <c r="L473" i="2"/>
  <c r="L499" i="2"/>
  <c r="L541" i="2"/>
  <c r="L557" i="2"/>
  <c r="L19" i="2"/>
  <c r="L421" i="2"/>
  <c r="L493" i="2"/>
  <c r="L496" i="2"/>
  <c r="L26" i="2"/>
  <c r="L25" i="2"/>
  <c r="L45" i="2"/>
  <c r="L64" i="2"/>
  <c r="L68" i="2"/>
  <c r="L83" i="2"/>
  <c r="L87" i="2"/>
  <c r="L147" i="2"/>
  <c r="L248" i="2"/>
  <c r="L269" i="2"/>
  <c r="L273" i="2"/>
  <c r="L284" i="2"/>
  <c r="L292" i="2"/>
  <c r="L305" i="2"/>
  <c r="L301" i="2"/>
  <c r="L327" i="2"/>
  <c r="L340" i="2"/>
  <c r="L376" i="2"/>
  <c r="L407" i="2"/>
  <c r="L413" i="2"/>
  <c r="L478" i="2"/>
  <c r="L535" i="2"/>
  <c r="L539" i="2"/>
  <c r="L57" i="2"/>
  <c r="L80" i="2"/>
  <c r="L84" i="2"/>
  <c r="L295" i="2"/>
  <c r="L306" i="2"/>
  <c r="L304" i="2"/>
  <c r="L337" i="2"/>
  <c r="L341" i="2"/>
  <c r="L388" i="2"/>
  <c r="L391" i="2"/>
  <c r="L408" i="2"/>
  <c r="L456" i="2"/>
  <c r="L511" i="2"/>
  <c r="L245" i="2"/>
  <c r="L311" i="2"/>
  <c r="L328" i="2"/>
  <c r="L329" i="2"/>
  <c r="L323" i="2"/>
  <c r="L442" i="2"/>
  <c r="L331" i="2"/>
  <c r="L324" i="2"/>
  <c r="L322" i="2"/>
  <c r="L312" i="2"/>
  <c r="L313" i="2"/>
  <c r="L526" i="2"/>
  <c r="L525" i="2"/>
  <c r="L518" i="2"/>
  <c r="L454" i="2"/>
  <c r="L256" i="2"/>
  <c r="L218" i="2"/>
  <c r="L123" i="2"/>
  <c r="L72" i="2"/>
  <c r="L542" i="2"/>
  <c r="L471" i="2"/>
  <c r="L453" i="2"/>
  <c r="L451" i="2"/>
  <c r="L237" i="2"/>
  <c r="L232" i="2"/>
  <c r="L217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5" i="2"/>
  <c r="L241" i="2"/>
  <c r="L10" i="2"/>
  <c r="L332" i="2"/>
  <c r="L59" i="2"/>
  <c r="L75" i="2"/>
  <c r="L91" i="2"/>
  <c r="L95" i="2"/>
  <c r="L115" i="2"/>
  <c r="L260" i="2"/>
  <c r="L282" i="2"/>
  <c r="L297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30" i="2"/>
  <c r="L255" i="2"/>
  <c r="L279" i="2"/>
  <c r="L325" i="2"/>
  <c r="L355" i="2"/>
  <c r="L400" i="2"/>
  <c r="L426" i="2"/>
  <c r="L486" i="2"/>
  <c r="L520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4" i="2"/>
  <c r="L216" i="2"/>
  <c r="L224" i="2"/>
  <c r="L236" i="2"/>
  <c r="L240" i="2"/>
  <c r="L252" i="2"/>
  <c r="L254" i="2"/>
  <c r="L271" i="2"/>
  <c r="L278" i="2"/>
  <c r="L281" i="2"/>
  <c r="L287" i="2"/>
  <c r="L298" i="2"/>
  <c r="L302" i="2"/>
  <c r="L288" i="2"/>
  <c r="L294" i="2"/>
  <c r="L315" i="2"/>
  <c r="L339" i="2"/>
  <c r="L343" i="2"/>
  <c r="L346" i="2"/>
  <c r="L425" i="2"/>
  <c r="L428" i="2"/>
  <c r="L430" i="2"/>
  <c r="L444" i="2"/>
  <c r="L466" i="2"/>
  <c r="L468" i="2"/>
  <c r="L481" i="2"/>
  <c r="L485" i="2"/>
  <c r="L488" i="2"/>
  <c r="L118" i="2"/>
  <c r="L145" i="2"/>
  <c r="L167" i="2"/>
  <c r="L172" i="2"/>
  <c r="L195" i="2"/>
  <c r="L213" i="2"/>
  <c r="L228" i="2"/>
  <c r="L244" i="2"/>
  <c r="L267" i="2"/>
  <c r="L270" i="2"/>
  <c r="L307" i="2"/>
  <c r="L330" i="2"/>
  <c r="L338" i="2"/>
  <c r="L367" i="2"/>
  <c r="L375" i="2"/>
  <c r="L387" i="2"/>
  <c r="L401" i="2"/>
  <c r="L411" i="2"/>
  <c r="L423" i="2"/>
  <c r="L429" i="2"/>
  <c r="L452" i="2"/>
  <c r="L477" i="2"/>
  <c r="L480" i="2"/>
  <c r="L492" i="2"/>
  <c r="L500" i="2"/>
  <c r="L512" i="2"/>
  <c r="L534" i="2"/>
  <c r="L543" i="2"/>
  <c r="L551" i="2"/>
  <c r="L558" i="2"/>
  <c r="L432" i="2"/>
  <c r="L416" i="2"/>
  <c r="L443" i="2"/>
  <c r="L469" i="2"/>
  <c r="L472" i="2"/>
  <c r="L484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7" i="2"/>
  <c r="L497" i="2" l="1"/>
  <c r="K316" i="2" l="1"/>
  <c r="I316" i="2"/>
  <c r="L316" i="2" l="1"/>
  <c r="I231" i="2" l="1"/>
  <c r="K231" i="2"/>
  <c r="L231" i="2" l="1"/>
  <c r="K414" i="2"/>
  <c r="I414" i="2"/>
  <c r="L414" i="2" l="1"/>
  <c r="AA1" i="2"/>
  <c r="I243" i="2" l="1"/>
  <c r="K243" i="2"/>
  <c r="L243" i="2" l="1"/>
  <c r="AD1" i="2" l="1"/>
  <c r="I389" i="2"/>
  <c r="K389" i="2"/>
  <c r="L389" i="2" l="1"/>
  <c r="AE1" i="2"/>
  <c r="I17" i="2"/>
  <c r="K17" i="2"/>
  <c r="L17" i="2" l="1"/>
  <c r="N3" i="2" l="1"/>
  <c r="C14" i="24" s="1"/>
  <c r="D15" i="24" s="1"/>
  <c r="D16" i="24" s="1"/>
  <c r="M3" i="2"/>
  <c r="I383" i="2"/>
  <c r="G316" i="26"/>
  <c r="G2" i="26" s="1"/>
  <c r="K383" i="2"/>
  <c r="F316" i="26"/>
  <c r="F2" i="26" s="1"/>
  <c r="M1" i="2" l="1"/>
  <c r="C3" i="24"/>
  <c r="N1" i="2"/>
  <c r="F3" i="26"/>
  <c r="G3" i="26"/>
  <c r="L38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<sst xmlns="http://schemas.openxmlformats.org/spreadsheetml/2006/main" count="6196" uniqueCount="2218">
  <si>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</si>
  <si>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</si>
  <si>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</si>
  <si>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</si>
  <si>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</si>
  <si>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</si>
  <si>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</si>
  <si>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</si>
  <si>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</si>
  <si>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</si>
  <si>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</si>
  <si>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</si>
  <si>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</si>
  <si>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</si>
  <si>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</si>
  <si>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</si>
  <si>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</si>
  <si>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</si>
  <si>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</si>
  <si>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</si>
  <si>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</si>
  <si>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</si>
  <si>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</si>
  <si>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</si>
  <si>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</si>
  <si>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</si>
  <si>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</si>
  <si>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</si>
  <si>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</si>
  <si>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</si>
  <si>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</si>
  <si>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</si>
  <si>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</si>
  <si>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</si>
  <si>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</si>
  <si>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</si>
  <si>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</si>
  <si>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</si>
  <si>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</si>
  <si>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</si>
  <si>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</si>
  <si>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</si>
  <si>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</si>
  <si>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</si>
  <si>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</si>
  <si>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</si>
  <si>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</si>
  <si>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</si>
  <si>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</si>
  <si>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</si>
  <si>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</si>
  <si>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</si>
  <si>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</si>
  <si>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</si>
  <si>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</si>
  <si>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</si>
  <si>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</si>
  <si>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</si>
  <si>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</si>
  <si>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</si>
  <si>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</si>
  <si>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</si>
  <si>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</si>
  <si>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</si>
  <si>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</si>
  <si>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</si>
  <si>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</si>
  <si>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</si>
  <si>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</si>
  <si>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</si>
  <si>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</si>
  <si>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</si>
  <si>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</si>
  <si>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</si>
  <si>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</si>
  <si>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</si>
  <si>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</si>
  <si>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</si>
  <si>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</si>
  <si>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</si>
  <si>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</si>
  <si>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</si>
  <si>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</si>
  <si>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</si>
  <si>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</si>
  <si>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</si>
  <si>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</si>
  <si>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</si>
  <si>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</si>
  <si>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</si>
  <si>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</si>
  <si>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</si>
  <si>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</si>
  <si>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</si>
  <si>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</si>
  <si>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</si>
  <si>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</si>
  <si>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</si>
  <si>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</si>
  <si>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</si>
  <si>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</si>
  <si>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</si>
  <si>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</si>
  <si>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</si>
  <si>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</si>
  <si>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</si>
  <si>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</si>
  <si>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</si>
  <si>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</si>
  <si>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</si>
  <si>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</si>
  <si>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</si>
  <si>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</si>
  <si>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</si>
  <si>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</si>
  <si>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</si>
  <si>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</si>
  <si>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</si>
  <si>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</si>
  <si>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</si>
  <si>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</si>
  <si>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</si>
  <si>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</si>
  <si>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</si>
  <si>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</si>
  <si>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</si>
  <si>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</si>
  <si>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</si>
  <si>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</si>
  <si>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</si>
  <si>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</si>
  <si>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</si>
  <si>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</si>
  <si>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</si>
  <si>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</si>
  <si>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</si>
  <si>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</si>
  <si>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</si>
  <si>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</si>
  <si>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</si>
  <si>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</si>
  <si>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</si>
  <si>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</si>
  <si>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</si>
  <si>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</si>
  <si>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</si>
  <si>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</si>
  <si>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</si>
  <si>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</si>
  <si>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</si>
  <si>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</si>
  <si>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</si>
  <si>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</si>
  <si>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</si>
  <si>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</si>
  <si>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</si>
  <si>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</si>
  <si>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</si>
  <si>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</si>
  <si>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</si>
  <si>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</si>
  <si>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</si>
  <si>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</si>
  <si>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</si>
  <si>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</si>
  <si>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</si>
  <si>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</si>
  <si>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</si>
  <si>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</si>
  <si>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</si>
  <si>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</si>
  <si>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</si>
  <si>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</si>
  <si>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</si>
  <si>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</si>
  <si>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</si>
  <si>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</si>
  <si>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</si>
  <si>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</si>
  <si>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</si>
  <si>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</si>
  <si>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</si>
  <si>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</si>
  <si>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</si>
  <si>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</si>
  <si>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</si>
  <si>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</si>
  <si>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</si>
  <si>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</si>
  <si>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</si>
  <si>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</si>
  <si>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</si>
  <si>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</si>
  <si>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</si>
  <si>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</si>
  <si>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</si>
  <si>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</si>
  <si>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</si>
  <si>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</si>
  <si>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</si>
  <si>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</si>
  <si>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</si>
  <si>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</si>
  <si>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</si>
  <si>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</si>
  <si>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</si>
  <si>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</si>
  <si>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</si>
  <si>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</si>
  <si>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</si>
  <si>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</si>
  <si>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</si>
  <si>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</si>
  <si>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</si>
  <si>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</si>
  <si>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</si>
  <si>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</si>
  <si>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</si>
  <si>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</si>
  <si>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</si>
  <si>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</si>
  <si>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</si>
  <si>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</si>
  <si>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</si>
  <si>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</si>
  <si>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</si>
  <si>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</si>
  <si>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</si>
  <si>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</si>
  <si>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</si>
  <si>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</si>
  <si>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</si>
  <si>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</si>
  <si>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</si>
  <si>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</si>
  <si>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</si>
  <si>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</si>
  <si>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</si>
  <si>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</si>
  <si>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</si>
  <si>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</si>
  <si>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</si>
  <si>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</si>
  <si>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</si>
  <si>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</si>
  <si>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</si>
  <si>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</si>
  <si>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</si>
  <si>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</si>
  <si>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</si>
  <si>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</si>
  <si>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</si>
  <si>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</si>
  <si>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</si>
  <si>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</si>
  <si>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</si>
  <si>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</si>
  <si>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</si>
  <si>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</si>
  <si>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</si>
  <si>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</si>
  <si>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</si>
  <si>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</si>
  <si>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</si>
  <si>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</si>
  <si>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</si>
  <si>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</si>
  <si>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</si>
  <si>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</si>
  <si>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</si>
  <si>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</si>
  <si>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</si>
  <si>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</si>
  <si>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</si>
  <si>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</si>
  <si>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</si>
  <si>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</si>
  <si>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</si>
  <si>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</si>
  <si>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</si>
  <si>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</si>
  <si>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</si>
  <si>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</si>
  <si>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</si>
  <si>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</si>
  <si>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</si>
  <si>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</si>
  <si>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</si>
  <si>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</si>
  <si>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</si>
  <si>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</si>
  <si>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</si>
  <si>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</si>
  <si>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</si>
  <si>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</si>
  <si>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</si>
  <si>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</si>
  <si>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</si>
  <si>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</si>
  <si>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</si>
  <si>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</si>
  <si>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</si>
  <si>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</si>
  <si>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</si>
  <si>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</si>
  <si>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</si>
  <si>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</si>
  <si>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</si>
  <si>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</si>
  <si>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</si>
  <si>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</si>
  <si>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</si>
  <si>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</si>
  <si>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</si>
  <si>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</si>
  <si>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</si>
  <si>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</si>
  <si>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</si>
  <si>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</si>
  <si>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</si>
  <si>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</si>
  <si>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</si>
  <si>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</si>
  <si>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</si>
  <si>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</si>
  <si>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</si>
  <si>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</si>
  <si>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</si>
  <si>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</si>
  <si>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</si>
  <si>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</si>
  <si>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</si>
  <si>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</si>
  <si>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</si>
  <si>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</si>
  <si>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</si>
  <si>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</si>
  <si>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</si>
  <si>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</si>
  <si>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</si>
  <si>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</si>
  <si>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</si>
  <si>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</si>
  <si>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</si>
  <si>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</si>
  <si>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</si>
  <si>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</si>
  <si>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</si>
  <si>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</si>
  <si>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</si>
  <si>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</si>
  <si>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</si>
  <si>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</si>
  <si>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</si>
  <si>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</si>
  <si>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</si>
  <si>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</si>
  <si>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</si>
  <si>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</si>
  <si>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</si>
  <si>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</si>
  <si>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</si>
  <si>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</si>
  <si>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</si>
  <si>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</si>
  <si>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</si>
  <si>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</si>
  <si>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</si>
  <si>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</si>
  <si>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</si>
  <si>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</si>
  <si>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</si>
  <si>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</si>
  <si>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</si>
  <si>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</si>
  <si>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</si>
  <si>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</si>
  <si>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</si>
  <si>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</si>
  <si>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</si>
  <si>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</si>
  <si>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</si>
  <si>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</si>
  <si>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</si>
  <si>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</si>
  <si>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</si>
  <si>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</si>
  <si>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</si>
  <si>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</si>
  <si>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</si>
  <si>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</si>
  <si>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</si>
  <si>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</si>
  <si>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</si>
  <si>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</si>
  <si>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</si>
  <si>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</si>
  <si>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</si>
  <si>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</si>
  <si>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</si>
  <si>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</si>
  <si>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</si>
  <si>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</si>
  <si>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</si>
  <si>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</si>
  <si>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</si>
  <si>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</si>
  <si>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</si>
  <si>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</si>
  <si>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</si>
  <si>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</si>
  <si>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</si>
  <si>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</si>
  <si>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</si>
  <si>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</si>
  <si>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</si>
  <si>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</si>
  <si>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</si>
  <si>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</si>
  <si>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</si>
  <si>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</si>
  <si>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</si>
  <si>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</si>
  <si>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</si>
  <si>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</si>
  <si>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</si>
  <si>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</si>
  <si>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</si>
  <si>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</si>
  <si>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</si>
  <si>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</si>
  <si>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</si>
  <si>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</si>
  <si>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</si>
  <si>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</si>
  <si>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</si>
  <si>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</si>
  <si>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</si>
  <si>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</si>
  <si>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</si>
  <si>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</si>
  <si>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</si>
  <si>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</si>
  <si>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</si>
  <si>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</si>
  <si>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</si>
  <si>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</si>
  <si>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</si>
  <si>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</si>
  <si>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</si>
  <si>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</si>
  <si>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</si>
  <si>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</si>
  <si>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</si>
  <si>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</si>
  <si>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</si>
  <si>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</si>
  <si>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</si>
  <si>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</si>
  <si>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</si>
  <si>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</si>
  <si>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</si>
  <si>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</si>
  <si>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</si>
  <si>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</si>
  <si>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</si>
  <si>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</si>
  <si>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</si>
  <si>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</si>
  <si>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</si>
  <si>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</si>
  <si>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</si>
  <si>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</si>
  <si>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</si>
  <si>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</si>
  <si>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</si>
  <si>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</si>
  <si>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</si>
  <si>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</si>
  <si>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</si>
  <si>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</si>
  <si>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</si>
  <si>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</si>
  <si>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</si>
  <si>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</si>
  <si>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</si>
  <si>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</si>
  <si>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</si>
  <si>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</si>
  <si>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</si>
  <si>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</si>
  <si>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</si>
  <si>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</si>
  <si>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</si>
  <si>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</si>
  <si>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</si>
  <si>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</si>
  <si>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</si>
  <si>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</si>
  <si>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</si>
  <si>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</si>
  <si>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</si>
  <si>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</si>
  <si>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</si>
  <si>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</si>
  <si>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</si>
  <si>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</si>
  <si>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</si>
  <si>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</si>
  <si>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</si>
  <si>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</si>
  <si>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</si>
  <si>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</si>
  <si>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</si>
  <si>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</si>
  <si>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</si>
  <si>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</si>
  <si>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</si>
  <si>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</si>
  <si>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</si>
  <si>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</si>
  <si>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</si>
  <si>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</si>
  <si>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</si>
  <si>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</si>
  <si>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</si>
  <si>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</si>
  <si>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</si>
  <si>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</si>
  <si>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</si>
  <si>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</si>
  <si>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</si>
  <si>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</si>
  <si>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</si>
  <si>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</si>
  <si>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</si>
  <si>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</si>
  <si>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</si>
  <si>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</si>
  <si>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</si>
  <si>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</si>
  <si>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</si>
  <si>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</si>
  <si>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</si>
  <si>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</si>
  <si>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</si>
  <si>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</si>
  <si>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</si>
  <si>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</si>
  <si>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</si>
  <si>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</si>
  <si>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</si>
  <si>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</si>
  <si>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</si>
  <si>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</si>
  <si>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</si>
  <si>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</si>
  <si>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</si>
  <si>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</si>
  <si>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</si>
  <si>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</si>
  <si>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</si>
  <si>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</si>
  <si>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</si>
  <si>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</si>
  <si>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</si>
  <si>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</si>
  <si>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</si>
  <si>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</si>
  <si>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</si>
  <si>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</si>
  <si>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</si>
  <si>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</si>
  <si>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</si>
  <si>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</si>
  <si>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</si>
  <si>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</si>
  <si>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</si>
  <si>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</si>
  <si>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</si>
  <si>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</si>
  <si>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</si>
  <si>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</si>
  <si>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</si>
  <si>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</si>
  <si>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</si>
  <si>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</si>
  <si>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</si>
  <si>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</si>
  <si>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</si>
  <si>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</si>
  <si>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</si>
  <si>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</si>
  <si>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</si>
  <si>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</si>
  <si>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</si>
  <si>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</si>
  <si>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</si>
  <si>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</si>
  <si>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</si>
  <si>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</si>
  <si>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</si>
  <si>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</si>
  <si>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</si>
  <si>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</si>
  <si>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</si>
  <si>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</si>
  <si>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</si>
  <si>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</si>
  <si>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</si>
  <si>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</si>
  <si>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</si>
  <si>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</si>
  <si>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</si>
  <si>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</si>
  <si>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</si>
  <si>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</si>
  <si>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</si>
  <si>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</si>
  <si>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</si>
  <si>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</si>
  <si>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</si>
  <si>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</si>
  <si>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</si>
  <si>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</si>
  <si>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</si>
  <si>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</si>
  <si>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</si>
  <si>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</si>
  <si>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</si>
  <si>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</si>
  <si>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</si>
  <si>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</si>
  <si>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</si>
  <si>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</si>
  <si>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</si>
  <si>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</si>
  <si>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</si>
  <si>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</si>
  <si>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</si>
  <si>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</si>
  <si>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</si>
  <si>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</si>
  <si>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</si>
  <si>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</si>
  <si>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</si>
  <si>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</si>
  <si>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</si>
  <si>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</si>
  <si>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</si>
  <si>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</si>
  <si>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</si>
  <si>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</si>
  <si>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</si>
  <si>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</si>
  <si>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</si>
  <si>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</si>
  <si>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</si>
  <si>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</si>
  <si>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</si>
  <si>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</si>
  <si>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</si>
  <si>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</si>
  <si>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</si>
  <si>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</si>
  <si>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</si>
  <si>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</si>
  <si>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</si>
  <si>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</si>
  <si>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</si>
  <si>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</si>
  <si>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</si>
  <si>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</si>
  <si>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</si>
  <si>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</si>
  <si>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</si>
  <si>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</si>
  <si>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</si>
  <si>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</si>
  <si>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</si>
  <si>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</si>
  <si>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</si>
  <si>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</si>
  <si>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</si>
  <si>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</si>
  <si>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</si>
  <si>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</si>
  <si>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</si>
  <si>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</si>
  <si>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</si>
  <si>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</si>
  <si>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</si>
  <si>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</si>
  <si>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</si>
  <si>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</si>
  <si>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</si>
  <si>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</si>
  <si>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</si>
  <si>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</si>
  <si>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</si>
  <si>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</si>
  <si>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</si>
  <si>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</si>
  <si>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</si>
  <si>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</si>
  <si>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</si>
  <si>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</si>
  <si>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</si>
  <si>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</si>
  <si>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</si>
  <si>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</si>
  <si>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</si>
  <si>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</si>
  <si>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</si>
  <si>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</si>
  <si>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</si>
  <si>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</si>
  <si>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</si>
  <si>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</si>
  <si>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</si>
  <si>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</si>
  <si>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</si>
  <si>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</si>
  <si>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</si>
  <si>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</si>
  <si>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</si>
  <si>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</si>
  <si>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</si>
  <si>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</si>
  <si>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</si>
  <si>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</si>
  <si>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</si>
  <si>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</si>
  <si>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</si>
  <si>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</si>
  <si>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</si>
  <si>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</si>
  <si>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</si>
  <si>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</si>
  <si>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</si>
  <si>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</si>
  <si>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</si>
  <si>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</si>
  <si>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</si>
  <si>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</si>
  <si>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</si>
  <si>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</si>
  <si>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</si>
  <si>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</si>
  <si>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</si>
  <si>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</si>
  <si>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</si>
  <si>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</si>
  <si>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</si>
  <si>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</si>
  <si>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</si>
  <si>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</si>
  <si>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</si>
  <si>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</si>
  <si>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</si>
  <si>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</si>
  <si>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</si>
  <si>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</si>
  <si>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</si>
  <si>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</si>
  <si>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</si>
  <si>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</si>
  <si>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</si>
  <si>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</si>
  <si>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</si>
  <si>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</si>
  <si>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</si>
  <si>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</si>
  <si>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</si>
  <si>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</si>
  <si>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</si>
  <si>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</si>
  <si>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</si>
  <si>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</si>
  <si>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</si>
  <si>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</si>
  <si>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</si>
  <si>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</si>
  <si>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</si>
  <si>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</si>
  <si>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</si>
  <si>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</si>
  <si>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</si>
  <si>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</si>
  <si>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</si>
  <si>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</si>
  <si>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</si>
  <si>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</si>
  <si>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</si>
  <si>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</si>
  <si>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</si>
  <si>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</si>
  <si>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</si>
  <si>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</si>
  <si>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</si>
  <si>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</si>
  <si>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</si>
  <si>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</si>
  <si>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</si>
  <si>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</si>
  <si>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</si>
  <si>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</si>
  <si>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</si>
  <si>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</si>
  <si>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</si>
  <si>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</si>
  <si>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</si>
  <si>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</si>
  <si>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</si>
  <si>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</si>
  <si>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</si>
  <si>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</si>
  <si>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</si>
  <si>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</si>
  <si>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</si>
  <si>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</si>
  <si>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</si>
  <si>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</si>
  <si>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</si>
  <si>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</si>
  <si>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</si>
  <si>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</si>
  <si>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</si>
  <si>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</si>
  <si>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</si>
  <si>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</si>
  <si>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</si>
  <si>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</si>
  <si>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</si>
  <si>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</si>
  <si>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</si>
  <si>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</si>
  <si>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</si>
  <si>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</si>
  <si>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</si>
  <si>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</si>
  <si>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</si>
  <si>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</si>
  <si>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</si>
  <si>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</si>
  <si>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</si>
  <si>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</si>
  <si>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</si>
  <si>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</si>
  <si>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</si>
  <si>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</si>
  <si>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</si>
  <si>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</si>
  <si>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</si>
  <si>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</si>
  <si>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</si>
  <si>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</si>
  <si>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</si>
  <si>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</si>
  <si>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</si>
  <si>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</si>
  <si>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</si>
  <si>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</si>
  <si>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</si>
  <si>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</si>
  <si>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</si>
  <si>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</si>
  <si>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</si>
  <si>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</si>
  <si>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</si>
  <si>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</si>
  <si>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</si>
  <si>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</si>
  <si>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</si>
  <si>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</si>
  <si>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</si>
  <si>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</si>
  <si>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</si>
  <si>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</si>
  <si>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</si>
  <si>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</si>
  <si>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</si>
  <si>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</si>
  <si>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</si>
  <si>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</si>
  <si>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</si>
  <si>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</si>
  <si>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</si>
  <si>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</si>
  <si>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</si>
  <si>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</si>
  <si>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</si>
  <si>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</si>
  <si>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</si>
  <si>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</si>
  <si>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</si>
  <si>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</si>
  <si>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</si>
  <si>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</si>
  <si>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</si>
  <si>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</si>
  <si>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</si>
  <si>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</si>
  <si>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</si>
  <si>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</si>
  <si>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</si>
  <si>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</si>
  <si>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</si>
  <si>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</si>
  <si>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</si>
  <si>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</si>
  <si>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</si>
  <si>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</si>
  <si>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</si>
  <si>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</si>
  <si>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</si>
  <si>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</si>
  <si>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</si>
  <si>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</si>
  <si>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</si>
  <si>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</si>
  <si>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</si>
  <si>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</si>
  <si>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</si>
  <si>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</si>
  <si>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</si>
  <si>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</si>
  <si>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</si>
  <si>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</si>
  <si>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</si>
  <si>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</si>
  <si>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</si>
  <si>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</si>
  <si>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</si>
  <si>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</si>
  <si>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</si>
  <si>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</si>
  <si>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</si>
  <si>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</si>
  <si>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</si>
  <si>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</si>
  <si>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</si>
  <si>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</si>
  <si>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</si>
  <si>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</si>
  <si>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</si>
  <si>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</si>
  <si>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</si>
  <si>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</si>
  <si>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</si>
  <si>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</si>
  <si>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</si>
  <si>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</si>
  <si>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</si>
  <si>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</si>
  <si>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</si>
  <si>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</si>
  <si>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</si>
  <si>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</si>
  <si>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</si>
  <si>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</si>
  <si>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</si>
  <si>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</si>
  <si>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</si>
  <si>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</si>
  <si>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</si>
  <si>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</si>
  <si>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</si>
  <si>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</si>
  <si>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</si>
  <si>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</si>
  <si>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</si>
  <si>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</si>
  <si>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</si>
  <si>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</si>
  <si>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</si>
  <si>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</si>
  <si>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</si>
  <si>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</si>
  <si>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</si>
  <si>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</si>
  <si>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</si>
  <si>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</si>
  <si>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</si>
  <si>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</si>
  <si>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</si>
  <si>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</si>
  <si>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</si>
  <si>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</si>
  <si>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</si>
  <si>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</si>
  <si>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</si>
  <si>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</si>
  <si>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</si>
  <si>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</si>
  <si>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</si>
  <si>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</si>
  <si>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</si>
  <si>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</si>
  <si>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</si>
  <si>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</si>
  <si>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</si>
  <si>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</si>
  <si>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</si>
  <si>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</si>
  <si>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</si>
  <si>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</si>
  <si>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</si>
  <si>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</si>
  <si>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</si>
  <si>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</si>
  <si>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</si>
  <si>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</si>
  <si>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</si>
  <si>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</si>
  <si>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</si>
  <si>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</si>
  <si>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</si>
  <si>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</si>
  <si>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</si>
  <si>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</si>
  <si>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</si>
  <si>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</si>
  <si>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</si>
  <si>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</si>
  <si>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</si>
  <si>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</si>
  <si>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</si>
  <si>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</si>
  <si>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</si>
  <si>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</si>
  <si>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</si>
  <si>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</si>
  <si>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</si>
  <si>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</si>
  <si>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</si>
  <si>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</si>
  <si>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</si>
  <si>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</si>
  <si>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</si>
  <si>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</si>
  <si>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</si>
  <si>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</si>
  <si>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</si>
  <si>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</si>
  <si>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</si>
  <si>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</si>
  <si>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</si>
  <si>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</si>
  <si>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</si>
  <si>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</si>
  <si>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</si>
  <si>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</si>
  <si>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</si>
  <si>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</si>
  <si>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</si>
  <si>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</si>
  <si>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</si>
  <si>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</si>
  <si>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</si>
  <si>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</si>
  <si>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</si>
  <si>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</si>
  <si>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</si>
  <si>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</si>
  <si>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</si>
  <si>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</si>
  <si>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</si>
  <si>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</si>
  <si>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</si>
  <si>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</si>
  <si>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</si>
  <si>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</si>
  <si>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</si>
  <si>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</si>
  <si>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</si>
  <si>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</si>
  <si>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</si>
  <si>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</si>
  <si>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</si>
  <si>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</si>
  <si>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</si>
  <si>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</si>
  <si>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</si>
  <si>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</si>
  <si>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</si>
  <si>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</si>
  <si>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</si>
  <si>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</si>
  <si>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</si>
  <si>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</si>
  <si>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</si>
  <si>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</si>
  <si>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</si>
  <si>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</si>
  <si>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</si>
  <si>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</si>
  <si>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</si>
  <si>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</si>
  <si>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</si>
  <si>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</si>
  <si>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</si>
  <si>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</si>
  <si>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</si>
  <si>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</si>
  <si>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</si>
  <si>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</si>
  <si>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</si>
  <si>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</si>
  <si>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</si>
  <si>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</si>
  <si>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</si>
  <si>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</si>
  <si>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</si>
  <si>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</si>
  <si>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</si>
  <si>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</si>
  <si>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</si>
  <si>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</si>
  <si>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</si>
  <si>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</si>
  <si>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</si>
  <si>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</si>
  <si>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</si>
  <si>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</si>
  <si>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</si>
  <si>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</si>
  <si>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</si>
  <si>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</si>
  <si>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</si>
  <si>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</si>
  <si>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</si>
  <si>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</si>
  <si>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</si>
  <si>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</si>
  <si>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</si>
  <si>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</si>
  <si>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</si>
  <si>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</si>
  <si>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</si>
  <si>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</si>
  <si>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</si>
  <si>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</si>
  <si>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</si>
  <si>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</si>
  <si>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</si>
  <si>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</si>
  <si>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</si>
  <si>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</si>
  <si>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</si>
  <si>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</si>
  <si>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</si>
  <si>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</si>
  <si>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</si>
  <si>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</si>
  <si>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</si>
  <si>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</si>
  <si>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</si>
  <si>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</si>
  <si>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</si>
  <si>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</si>
  <si>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</si>
  <si>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</si>
  <si>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</si>
  <si>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</si>
  <si>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</si>
  <si>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</si>
  <si>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</si>
  <si>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</si>
  <si>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</si>
  <si>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</si>
  <si>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</si>
  <si>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</si>
  <si>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</si>
  <si>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</si>
  <si>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</si>
  <si>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</si>
  <si>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</si>
  <si>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</si>
  <si>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</si>
  <si>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</si>
  <si>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</si>
  <si>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</si>
  <si>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</si>
  <si>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</si>
  <si>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</si>
  <si>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</si>
  <si>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</si>
  <si>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</si>
  <si>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</si>
  <si>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</si>
  <si>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</si>
  <si>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</si>
  <si>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</si>
  <si>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</si>
  <si>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</si>
  <si>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</si>
  <si>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</si>
  <si>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</si>
  <si>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</si>
  <si>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</si>
  <si>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</si>
  <si>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</si>
  <si>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</si>
  <si>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</si>
  <si>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</si>
  <si>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</si>
  <si>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</si>
  <si>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</si>
  <si>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</si>
  <si>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</si>
  <si>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</si>
  <si>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</si>
  <si>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</si>
  <si>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</si>
  <si>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</si>
  <si>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</si>
  <si>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</si>
  <si>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</si>
  <si>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</si>
  <si>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</si>
  <si>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</si>
  <si>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</si>
  <si>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</si>
  <si>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</si>
  <si>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</si>
  <si>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</si>
  <si>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</si>
  <si>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</si>
  <si>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</si>
  <si>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</si>
  <si>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</si>
  <si>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</si>
  <si>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</si>
  <si>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</si>
  <si>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</si>
  <si>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</si>
  <si>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</si>
  <si>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</si>
  <si>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</si>
  <si>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</si>
  <si>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</si>
  <si>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</si>
  <si>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</si>
  <si>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</si>
  <si>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</si>
  <si>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</si>
  <si>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</si>
  <si>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</si>
  <si>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</si>
  <si>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</si>
  <si>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</si>
  <si>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</si>
  <si>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</si>
  <si>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</si>
  <si>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</si>
  <si>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</si>
  <si>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</si>
  <si>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</si>
  <si>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</si>
  <si>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</si>
  <si>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</si>
  <si>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</si>
  <si>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</si>
  <si>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</si>
  <si>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</si>
  <si>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</si>
  <si>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</si>
  <si>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</si>
  <si>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</si>
  <si>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</si>
  <si>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</si>
  <si>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</si>
  <si>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</si>
  <si>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</si>
  <si>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</si>
  <si>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</si>
  <si>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</si>
  <si>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</si>
  <si>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</si>
  <si>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</si>
  <si>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</si>
  <si>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</si>
  <si>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</si>
  <si>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</si>
  <si>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</si>
  <si>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</si>
  <si>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</si>
  <si>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</si>
  <si>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</si>
  <si>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</si>
  <si>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</si>
  <si>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</si>
  <si>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</si>
  <si>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</si>
  <si>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</si>
  <si>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</si>
  <si>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</si>
  <si>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</si>
  <si>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</si>
  <si>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</si>
  <si>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</si>
  <si>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</si>
  <si>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</si>
  <si>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</si>
  <si>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</si>
  <si>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</si>
  <si>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</si>
  <si>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</si>
  <si>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</si>
  <si>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</si>
  <si>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</si>
  <si>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</si>
  <si>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</si>
  <si>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</si>
  <si>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</si>
  <si>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</si>
  <si>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</si>
  <si>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</si>
  <si>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</si>
  <si>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</si>
  <si>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</si>
  <si>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</si>
  <si>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</si>
  <si>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</si>
  <si>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</si>
  <si>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</si>
  <si>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</si>
  <si>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</si>
  <si>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</si>
  <si>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</si>
  <si>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</si>
  <si>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</si>
  <si>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</si>
  <si>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</si>
  <si>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</si>
  <si>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</si>
  <si>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</si>
  <si>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</si>
  <si>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</si>
  <si>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</si>
  <si>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</si>
  <si>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</si>
  <si>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</si>
  <si>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</si>
  <si>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</si>
  <si>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</si>
  <si>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</si>
  <si>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</si>
  <si>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</si>
  <si>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</si>
  <si>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</si>
  <si>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</si>
  <si>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</si>
  <si>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</si>
  <si>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</si>
  <si>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</si>
  <si>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</si>
  <si>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</si>
  <si>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</si>
  <si>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</si>
  <si>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</si>
  <si>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</si>
  <si>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</si>
  <si>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</si>
  <si>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</si>
  <si>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</si>
  <si>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</si>
  <si>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</si>
  <si>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</si>
  <si>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</si>
  <si>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</si>
  <si>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</si>
  <si>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</si>
  <si>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</si>
  <si>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</si>
  <si>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</si>
  <si>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</si>
  <si>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</si>
  <si>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</si>
  <si>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</si>
  <si>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</si>
  <si>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</si>
  <si>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</si>
  <si>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</si>
  <si>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</si>
  <si>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</si>
  <si>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</si>
  <si>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</si>
  <si>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</si>
  <si>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</si>
  <si>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</si>
  <si>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</si>
  <si>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</si>
  <si>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</si>
  <si>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</si>
  <si>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</si>
  <si>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</si>
  <si>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</si>
  <si>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</si>
  <si>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</si>
  <si>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</si>
  <si>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</si>
  <si>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</si>
  <si>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</si>
  <si>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</si>
  <si>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</si>
  <si>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</si>
  <si>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</si>
  <si>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</si>
  <si>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</si>
  <si>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</si>
  <si>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</si>
  <si>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</si>
  <si>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</si>
  <si>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</si>
  <si>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</si>
  <si>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</si>
  <si>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</si>
  <si>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</si>
  <si>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</si>
  <si>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</si>
  <si>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</si>
  <si>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</si>
  <si>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</si>
  <si>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</si>
  <si>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</si>
  <si>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</si>
  <si>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</si>
  <si>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</si>
  <si>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</si>
  <si>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</si>
  <si>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</si>
  <si>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</si>
  <si>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</si>
  <si>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</si>
  <si>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</si>
  <si>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</si>
  <si>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</si>
  <si>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</si>
  <si>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</si>
  <si>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</si>
  <si>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</si>
  <si>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</si>
  <si>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</si>
  <si>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</si>
  <si>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</si>
  <si>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</si>
  <si>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</si>
  <si>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</si>
  <si>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</si>
  <si>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</si>
  <si>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</si>
  <si>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</si>
  <si>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</si>
  <si>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</si>
  <si>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</si>
  <si>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</si>
  <si>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</si>
  <si>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</si>
  <si>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</si>
  <si>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</si>
  <si>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</si>
  <si>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</si>
  <si>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</si>
  <si>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</si>
  <si>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</si>
  <si>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</si>
  <si>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</si>
  <si>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</si>
  <si>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</si>
  <si>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</si>
  <si>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</si>
  <si>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</si>
  <si>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</si>
  <si>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</si>
  <si>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</si>
  <si>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</si>
  <si>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</si>
  <si>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</si>
  <si>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</si>
  <si>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</si>
  <si>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</si>
  <si>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</si>
  <si>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</si>
  <si>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</si>
  <si>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</si>
  <si>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</si>
  <si>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</si>
  <si>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</si>
  <si>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</si>
  <si>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</si>
  <si>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</si>
  <si>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</si>
  <si>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</si>
  <si>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</si>
  <si>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</si>
  <si>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</si>
  <si>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</si>
  <si>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</si>
  <si>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</si>
  <si>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</si>
  <si>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</si>
  <si>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</si>
  <si>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</si>
  <si>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</si>
  <si>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</si>
  <si>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</si>
  <si>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</si>
  <si>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</si>
  <si>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</si>
  <si>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</si>
  <si>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</si>
  <si>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</si>
  <si>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</si>
  <si>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</si>
  <si>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</si>
  <si>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</si>
  <si>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</si>
  <si>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</si>
  <si>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</si>
  <si>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</si>
  <si>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</si>
  <si>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</si>
  <si>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</si>
  <si>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</si>
  <si>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</si>
  <si>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</si>
  <si>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</si>
  <si>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</si>
  <si>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</si>
  <si>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</si>
  <si>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</si>
  <si>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</si>
  <si>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</si>
  <si>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</si>
  <si>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</si>
  <si>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</si>
  <si>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</si>
  <si>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</si>
  <si>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</si>
  <si>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</si>
  <si>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</si>
  <si>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</si>
  <si>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</si>
  <si>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</si>
  <si>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</si>
  <si>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</si>
  <si>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</si>
  <si>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</si>
  <si>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</si>
  <si>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</si>
  <si>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</si>
  <si>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</si>
  <si>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</si>
  <si>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</si>
  <si>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</si>
  <si>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</si>
  <si>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</si>
  <si>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</si>
  <si>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</si>
  <si>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</si>
  <si>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</si>
  <si>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</si>
  <si>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</si>
  <si>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</si>
  <si>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</si>
  <si>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</si>
  <si>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</si>
  <si>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</si>
  <si>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</si>
  <si>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</si>
  <si>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</si>
  <si>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</si>
  <si>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</si>
  <si>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</si>
  <si>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</si>
  <si>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</si>
  <si>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</si>
  <si>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</si>
  <si>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</si>
  <si>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</si>
  <si>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</si>
  <si>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</si>
  <si>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</si>
  <si>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</si>
  <si>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</si>
  <si>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</si>
  <si>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</si>
  <si>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</si>
  <si>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</si>
  <si>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</si>
  <si>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</si>
  <si>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</si>
  <si>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</si>
  <si>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</si>
  <si>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</si>
  <si>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</si>
  <si>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</si>
  <si>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</si>
  <si>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</si>
  <si>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</si>
  <si>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</si>
  <si>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</si>
  <si>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</si>
  <si>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</si>
  <si>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</si>
  <si>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</si>
  <si>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</si>
  <si>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</si>
  <si>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</si>
  <si>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</si>
  <si>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</si>
  <si>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</si>
  <si>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</si>
  <si>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</si>
  <si>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</si>
  <si>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</si>
  <si>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</si>
  <si>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</si>
  <si>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</si>
  <si>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</si>
  <si>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</si>
  <si>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</si>
  <si>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</si>
  <si>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</si>
  <si>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</si>
  <si>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</si>
  <si>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</si>
  <si>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</si>
  <si>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</si>
  <si>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</si>
  <si>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</si>
  <si>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</si>
  <si>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</si>
  <si>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</si>
  <si>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</si>
  <si>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</si>
  <si>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</si>
  <si>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</si>
  <si>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</si>
  <si>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</si>
  <si>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</si>
  <si>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</si>
  <si>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</si>
  <si>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</si>
  <si>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</si>
  <si>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</si>
  <si>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</si>
  <si>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</si>
  <si>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</si>
  <si>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</si>
  <si>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</si>
  <si>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</si>
  <si>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</si>
  <si>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</si>
  <si>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</si>
  <si>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</si>
  <si>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</si>
  <si>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</si>
  <si>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</si>
  <si>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</si>
  <si>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</si>
  <si>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</si>
  <si>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</si>
  <si>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</si>
  <si>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</si>
  <si>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</si>
  <si>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</si>
  <si>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</si>
  <si>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</si>
  <si>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</si>
  <si>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</si>
  <si>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</si>
  <si>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</si>
  <si>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</si>
  <si>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</si>
  <si>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</si>
  <si>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</si>
  <si>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</si>
  <si>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</si>
  <si>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</si>
  <si>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</si>
  <si>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</si>
  <si>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</si>
  <si>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</si>
  <si>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</si>
  <si>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</si>
  <si>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</si>
  <si>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</si>
  <si>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</si>
  <si>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</si>
  <si>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</si>
  <si>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</si>
  <si>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</si>
  <si>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</si>
  <si>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</si>
  <si>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</si>
  <si>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</si>
  <si>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</si>
  <si>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</si>
  <si>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</si>
  <si>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</si>
  <si>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</si>
  <si>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</si>
  <si>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</si>
  <si>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</si>
  <si>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</si>
  <si>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</si>
  <si>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</si>
  <si>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</si>
  <si>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</si>
  <si>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</si>
  <si>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</si>
  <si>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</si>
  <si>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</si>
  <si>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</si>
  <si>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</si>
  <si>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</si>
  <si>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</si>
  <si>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</si>
  <si>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</si>
  <si>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</si>
  <si>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</si>
  <si>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</si>
  <si>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</si>
  <si>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</si>
  <si>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</si>
  <si>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</si>
  <si>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</si>
  <si>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</si>
  <si>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</si>
  <si>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</si>
  <si>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</si>
  <si>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</si>
  <si>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</si>
  <si>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</si>
  <si>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</si>
  <si>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</si>
  <si>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</si>
  <si>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</si>
  <si>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</si>
  <si>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</si>
  <si>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</si>
  <si>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</si>
  <si>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</si>
  <si>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</si>
  <si>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</si>
  <si>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</si>
  <si>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</si>
  <si>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</si>
  <si>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</si>
  <si>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</si>
  <si>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</si>
  <si>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</si>
  <si>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</si>
  <si>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</si>
  <si>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</si>
  <si>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</si>
  <si>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</si>
  <si>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</si>
  <si>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</si>
  <si>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</si>
  <si>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</si>
  <si>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</si>
  <si>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</si>
  <si>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</si>
  <si>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</si>
  <si>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</si>
  <si>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</si>
  <si>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</si>
  <si>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</si>
  <si>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</si>
  <si>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</si>
  <si>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</si>
  <si>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</si>
  <si>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</si>
  <si>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</si>
  <si>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</si>
  <si>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</si>
  <si>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</si>
  <si>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</si>
  <si>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</si>
  <si>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</si>
  <si>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</si>
  <si>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</si>
  <si>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</si>
  <si>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</si>
  <si>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</si>
  <si>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</si>
  <si>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</si>
  <si>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</si>
  <si>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</si>
  <si>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</si>
  <si>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</si>
  <si>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</si>
  <si>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</si>
  <si>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</si>
  <si>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</si>
  <si>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</si>
  <si>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</si>
  <si>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</si>
  <si>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</si>
  <si>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</si>
  <si>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</si>
  <si>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</si>
  <si>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</si>
  <si>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</si>
  <si>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</si>
  <si>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</si>
  <si>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</si>
  <si>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</si>
  <si>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</si>
  <si>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</si>
  <si>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</si>
  <si>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</si>
  <si>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</si>
  <si>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</si>
  <si>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</si>
  <si>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</si>
  <si>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</si>
  <si>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</si>
  <si>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</si>
  <si>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</si>
  <si>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</si>
  <si>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</si>
  <si>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</si>
  <si>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</si>
  <si>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</si>
  <si>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</si>
  <si>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</si>
  <si>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</si>
  <si>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</si>
  <si>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</si>
  <si>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</si>
  <si>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</si>
  <si>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</si>
  <si>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</si>
  <si>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</si>
  <si>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</si>
  <si>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</si>
  <si>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</si>
  <si>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</si>
  <si>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</si>
  <si>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</si>
  <si>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</si>
  <si>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</si>
  <si>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</si>
  <si>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</si>
  <si>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</si>
  <si>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</si>
  <si>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</si>
  <si>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</si>
  <si>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</si>
  <si>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</si>
  <si>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</si>
  <si>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</si>
  <si>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</si>
  <si>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</si>
  <si>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</si>
  <si>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</si>
  <si>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</si>
  <si>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</si>
  <si>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</si>
  <si>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</si>
  <si>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</si>
  <si>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</si>
  <si>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</si>
  <si>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</si>
  <si>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</si>
  <si>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</si>
  <si>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</si>
  <si>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</si>
  <si>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</si>
  <si>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</si>
  <si>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</si>
  <si>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</si>
  <si>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</si>
  <si>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</si>
  <si>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</si>
  <si>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</si>
  <si>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</si>
  <si>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</si>
  <si>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</si>
  <si>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</si>
  <si>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</si>
  <si>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</si>
  <si>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</si>
  <si>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</si>
  <si>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</si>
  <si>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</si>
  <si>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</si>
  <si>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</si>
  <si>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</si>
  <si>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</si>
  <si>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</si>
  <si>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</si>
  <si>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</si>
  <si>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</si>
  <si>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</si>
  <si>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</si>
  <si>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</si>
  <si>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</si>
  <si>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</si>
  <si>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</si>
  <si>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</si>
  <si>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</si>
  <si>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</si>
  <si>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</si>
  <si>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</si>
  <si>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</si>
  <si>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</si>
  <si>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</si>
  <si>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</si>
  <si>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</si>
  <si>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</si>
  <si>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</si>
  <si>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</si>
  <si>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</si>
  <si>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</si>
  <si>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</si>
  <si>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</si>
  <si>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</si>
  <si>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</si>
  <si>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</si>
  <si>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</si>
  <si>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</si>
  <si>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</si>
  <si>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</si>
  <si>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</si>
  <si>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</si>
  <si>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</si>
  <si>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</si>
  <si>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</si>
  <si>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</si>
  <si>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</si>
  <si>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</si>
  <si>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</si>
  <si>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</si>
  <si>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</si>
  <si>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</si>
  <si>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</si>
  <si>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</si>
  <si>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</si>
  <si>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</si>
  <si>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</si>
  <si>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</si>
  <si>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</si>
  <si>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</si>
  <si>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</si>
  <si>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</si>
  <si>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</si>
  <si>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</si>
  <si>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</si>
  <si>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</si>
  <si>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</si>
  <si>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</si>
  <si>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</si>
  <si>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</si>
  <si>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</si>
  <si>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</si>
  <si>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</si>
  <si>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</si>
  <si>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</si>
  <si>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</si>
  <si>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</si>
  <si>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</si>
  <si>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</si>
  <si>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</si>
  <si>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</si>
  <si>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</si>
  <si>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</si>
  <si>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</si>
  <si>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</si>
  <si>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</si>
  <si>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</si>
  <si>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</si>
  <si>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</si>
  <si>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</si>
  <si>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</si>
  <si>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</si>
  <si>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</si>
  <si>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</si>
  <si>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</si>
  <si>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</si>
  <si>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</si>
  <si>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</si>
  <si>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</si>
  <si>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</si>
  <si>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</si>
  <si>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</si>
  <si>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</si>
  <si>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</si>
  <si>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</si>
  <si>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</si>
  <si>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</si>
  <si>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</si>
  <si>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</si>
  <si>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</si>
  <si>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</si>
  <si>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</si>
  <si>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</si>
  <si>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</si>
  <si>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</si>
  <si>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</si>
  <si>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</si>
  <si>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</si>
  <si>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</si>
  <si>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</si>
  <si>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</si>
  <si>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</si>
  <si>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</si>
  <si>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</si>
  <si>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</si>
  <si>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</si>
  <si>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</si>
  <si>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</si>
  <si>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</si>
  <si>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</si>
  <si>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</si>
  <si>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</si>
  <si>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</si>
  <si>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</si>
  <si>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</si>
  <si>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</si>
  <si>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</si>
  <si>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</si>
  <si>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</si>
  <si>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</si>
  <si>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</si>
  <si>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</si>
  <si>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</si>
  <si>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</si>
  <si>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</si>
  <si>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</si>
  <si>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</si>
  <si>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</si>
  <si>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</si>
  <si>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</si>
  <si>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</si>
  <si>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</si>
  <si>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</si>
  <si>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</si>
  <si>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</si>
  <si>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</si>
  <si>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</si>
  <si>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</si>
  <si>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</si>
  <si>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</si>
  <si>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</si>
  <si>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</si>
  <si>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</si>
  <si>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</si>
  <si>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</si>
  <si>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</si>
  <si>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</si>
  <si>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</si>
  <si>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</si>
  <si>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</si>
  <si>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</si>
  <si>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</si>
  <si>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</si>
  <si>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</si>
  <si>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</si>
  <si>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</si>
  <si>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</si>
  <si>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</si>
  <si>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</si>
  <si>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</si>
  <si>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</si>
  <si>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</si>
  <si>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</si>
  <si>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</si>
  <si>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</si>
  <si>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</si>
  <si>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</si>
  <si>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</si>
  <si>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</si>
  <si>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</si>
  <si>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</si>
  <si>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</si>
  <si>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</si>
  <si>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</si>
  <si>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</si>
  <si>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</si>
  <si>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</si>
  <si>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</si>
  <si>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</si>
  <si>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</si>
  <si>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</si>
  <si>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</si>
  <si>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</si>
  <si>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</si>
  <si>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</si>
  <si>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</si>
  <si>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</si>
  <si>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</si>
  <si>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</si>
  <si>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</si>
  <si>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</si>
  <si>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</si>
  <si>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</si>
  <si>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</si>
  <si>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</si>
  <si>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</si>
  <si>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</si>
  <si>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</si>
  <si>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</si>
  <si>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</si>
  <si>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</si>
  <si>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</si>
  <si>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</si>
  <si>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</si>
  <si>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</si>
  <si>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</si>
  <si>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</si>
  <si>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</si>
  <si>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</si>
  <si>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</si>
  <si>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</si>
  <si>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</si>
  <si>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</si>
  <si>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</si>
  <si>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</si>
  <si>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</si>
  <si>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</si>
  <si>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</si>
  <si>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</si>
  <si>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</si>
  <si>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</si>
  <si>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</si>
  <si>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</si>
  <si>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</si>
  <si>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</si>
  <si>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</si>
  <si>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</si>
  <si>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</si>
  <si>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</si>
  <si>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</si>
  <si>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</si>
  <si>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</si>
  <si>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</si>
  <si>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</si>
  <si>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</si>
  <si>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</si>
  <si>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</si>
  <si>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</si>
  <si>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</si>
  <si>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</si>
  <si>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</si>
  <si>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</si>
  <si>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</si>
  <si>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</si>
  <si>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</si>
  <si>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</si>
  <si>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</si>
  <si>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</si>
  <si>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</si>
  <si>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</si>
  <si>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</si>
  <si>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</si>
  <si>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</si>
  <si>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</si>
  <si>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</si>
  <si>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</si>
  <si>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</si>
  <si>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</si>
  <si>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</si>
  <si>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</si>
  <si>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</si>
  <si>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</si>
  <si>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</si>
  <si>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</si>
  <si>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</si>
  <si>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</si>
  <si>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</si>
  <si>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</si>
  <si>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</si>
  <si>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</si>
  <si>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</si>
  <si>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</si>
  <si>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</si>
  <si>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</si>
  <si>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</si>
  <si>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</si>
  <si>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</si>
  <si>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</si>
  <si>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</si>
  <si>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</si>
  <si>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</si>
  <si>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</si>
  <si>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</si>
  <si>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</si>
  <si>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</si>
  <si>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</si>
  <si>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</si>
  <si>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</si>
  <si>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</si>
  <si>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</si>
  <si>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</si>
  <si>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</si>
  <si>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</si>
  <si>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</si>
  <si>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</si>
  <si>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</si>
  <si>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</si>
  <si>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</si>
  <si>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</si>
  <si>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</si>
  <si>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</si>
  <si>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</si>
  <si>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</si>
  <si>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</si>
  <si>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</si>
  <si>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</si>
  <si>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</si>
  <si>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</si>
  <si>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11.35%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</si>
</sst>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19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29</c:v>
                </c:pt>
                <c:pt idx="22">
                  <c:v>31</c:v>
                </c:pt>
                <c:pt idx="23">
                  <c:v>58</c:v>
                </c:pt>
                <c:pt idx="24">
                  <c:v>22</c:v>
                </c:pt>
                <c:pt idx="25">
                  <c:v>30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5.0335570469798654E-2</c:v>
                      </c:pt>
                      <c:pt idx="22">
                        <c:v>5.0335570469798654E-2</c:v>
                      </c:pt>
                      <c:pt idx="23">
                        <c:v>0.05</c:v>
                      </c:pt>
                      <c:pt idx="24">
                        <c:v>6.3758389261744972E-2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0.11328125</c:v>
                      </c:pt>
                      <c:pt idx="22">
                        <c:v>0.12109375</c:v>
                      </c:pt>
                      <c:pt idx="23">
                        <c:v>0.23</c:v>
                      </c:pt>
                      <c:pt idx="24">
                        <c:v>8.59375E-2</c:v>
                      </c:pt>
                      <c:pt idx="25">
                        <c:v>0.1171875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5.0335570469798654E-2</c:v>
                </c:pt>
                <c:pt idx="22">
                  <c:v>5.0335570469798654E-2</c:v>
                </c:pt>
                <c:pt idx="23">
                  <c:v>0.05</c:v>
                </c:pt>
                <c:pt idx="24">
                  <c:v>6.3758389261744972E-2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0.11328125</c:v>
                </c:pt>
                <c:pt idx="22">
                  <c:v>0.12109375</c:v>
                </c:pt>
                <c:pt idx="23">
                  <c:v>0.23</c:v>
                </c:pt>
                <c:pt idx="24">
                  <c:v>8.59375E-2</c:v>
                </c:pt>
                <c:pt idx="25">
                  <c:v>0.1171875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16</c:v>
                      </c:pt>
                      <c:pt idx="24">
                        <c:v>19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29</c:v>
                      </c:pt>
                      <c:pt idx="22">
                        <c:v>31</c:v>
                      </c:pt>
                      <c:pt idx="23">
                        <c:v>58</c:v>
                      </c:pt>
                      <c:pt idx="24">
                        <c:v>22</c:v>
                      </c:pt>
                      <c:pt idx="25">
                        <c:v>30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19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29</c:v>
                </c:pt>
                <c:pt idx="22">
                  <c:v>31</c:v>
                </c:pt>
                <c:pt idx="23">
                  <c:v>58</c:v>
                </c:pt>
                <c:pt idx="24">
                  <c:v>22</c:v>
                </c:pt>
                <c:pt idx="25">
                  <c:v>30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5.0335570469798654E-2</c:v>
                      </c:pt>
                      <c:pt idx="22">
                        <c:v>5.0335570469798654E-2</c:v>
                      </c:pt>
                      <c:pt idx="23">
                        <c:v>0.05</c:v>
                      </c:pt>
                      <c:pt idx="24">
                        <c:v>6.3758389261744972E-2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0.11328125</c:v>
                      </c:pt>
                      <c:pt idx="22">
                        <c:v>0.12109375</c:v>
                      </c:pt>
                      <c:pt idx="23">
                        <c:v>0.23</c:v>
                      </c:pt>
                      <c:pt idx="24">
                        <c:v>8.59375E-2</c:v>
                      </c:pt>
                      <c:pt idx="25">
                        <c:v>0.1171875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5.0335570469798654E-2</c:v>
                </c:pt>
                <c:pt idx="22">
                  <c:v>5.0335570469798654E-2</c:v>
                </c:pt>
                <c:pt idx="23">
                  <c:v>0.05</c:v>
                </c:pt>
                <c:pt idx="24">
                  <c:v>6.3758389261744972E-2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0.11328125</c:v>
                </c:pt>
                <c:pt idx="22">
                  <c:v>0.12109375</c:v>
                </c:pt>
                <c:pt idx="23">
                  <c:v>0.23</c:v>
                </c:pt>
                <c:pt idx="24">
                  <c:v>8.59375E-2</c:v>
                </c:pt>
                <c:pt idx="25">
                  <c:v>0.1171875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16</c:v>
                      </c:pt>
                      <c:pt idx="24">
                        <c:v>19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29</c:v>
                      </c:pt>
                      <c:pt idx="22">
                        <c:v>31</c:v>
                      </c:pt>
                      <c:pt idx="23">
                        <c:v>58</c:v>
                      </c:pt>
                      <c:pt idx="24">
                        <c:v>22</c:v>
                      </c:pt>
                      <c:pt idx="25">
                        <c:v>30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64"/>
  <sheetViews>
    <sheetView tabSelected="1" zoomScale="55" zoomScaleNormal="55" workbookViewId="0">
      <pane xSplit="12" ySplit="7" topLeftCell="AK278" activePane="bottomRight" state="frozen"/>
      <selection pane="topRight" activeCell="M1" sqref="M1"/>
      <selection pane="bottomLeft" activeCell="A5" sqref="A5"/>
      <selection pane="bottomRight" activeCell="AL306" sqref="AL306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COUNTA(B8:B716)</f>
        <v>555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7.8073089700996676E-2</v>
      </c>
      <c r="N1" s="3">
        <f t="shared" si="0"/>
        <v>8.2644628099173556E-2</v>
      </c>
      <c r="O1" s="3">
        <f t="shared" si="0"/>
        <v>7.6539101497504161E-2</v>
      </c>
      <c r="P1" s="3">
        <f t="shared" si="0"/>
        <v>7.8073089700996676E-2</v>
      </c>
      <c r="Q1" s="3">
        <f t="shared" si="0"/>
        <v>9.0163934426229511E-2</v>
      </c>
      <c r="R1" s="3">
        <f t="shared" si="0"/>
        <v>0.10339256865912763</v>
      </c>
      <c r="S1" s="3">
        <f t="shared" si="0"/>
        <v>7.8073089700996676E-2</v>
      </c>
      <c r="T1" s="3">
        <f t="shared" si="0"/>
        <v>8.1125827814569534E-2</v>
      </c>
      <c r="U1" s="3">
        <f t="shared" si="0"/>
        <v>7.6539101497504161E-2</v>
      </c>
      <c r="V1" s="3">
        <f t="shared" si="0"/>
        <v>7.0351758793969849E-2</v>
      </c>
      <c r="W1" s="3">
        <f t="shared" si="0"/>
        <v>6.879194630872483E-2</v>
      </c>
      <c r="X1" s="3">
        <f t="shared" si="0"/>
        <v>8.5667215815486003E-2</v>
      </c>
      <c r="Y1" s="3">
        <f t="shared" si="0"/>
        <v>8.7171052631578941E-2</v>
      </c>
      <c r="Z1" s="3"/>
      <c r="AA1" s="3">
        <f t="shared" ref="AA1:AP1" si="1">(AA3)/(AA2+AA3)</f>
        <v>0.12735849056603774</v>
      </c>
      <c r="AB1" s="3">
        <f t="shared" si="1"/>
        <v>7.4999999999999997E-2</v>
      </c>
      <c r="AC1" s="3">
        <f t="shared" si="1"/>
        <v>7.9601990049751242E-2</v>
      </c>
      <c r="AD1" s="3">
        <f t="shared" si="1"/>
        <v>6.5656565656565663E-2</v>
      </c>
      <c r="AE1" s="3">
        <f t="shared" si="1"/>
        <v>7.9601990049751242E-2</v>
      </c>
      <c r="AF1" s="3">
        <f t="shared" si="1"/>
        <v>7.8073089700996676E-2</v>
      </c>
      <c r="AG1" s="3">
        <f t="shared" si="1"/>
        <v>7.0351758793969849E-2</v>
      </c>
      <c r="AH1" s="3">
        <f t="shared" si="1"/>
        <v>7.3455759599332218E-2</v>
      </c>
      <c r="AI1" s="3">
        <f t="shared" si="1"/>
        <v>7.6539101497504161E-2</v>
      </c>
      <c r="AJ1" s="3">
        <f t="shared" si="1"/>
        <v>0.11764705882352941</v>
      </c>
      <c r="AK1" s="3">
        <f t="shared" si="1"/>
        <v>6.879194630872483E-2</v>
      </c>
      <c r="AL1" s="3">
        <f t="shared" si="1"/>
        <v>9.3137254901960786E-2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555</v>
      </c>
      <c r="N2" s="7">
        <f t="shared" si="3"/>
        <v>555</v>
      </c>
      <c r="O2" s="7">
        <f t="shared" si="3"/>
        <v>555</v>
      </c>
      <c r="P2" s="7">
        <f t="shared" si="3"/>
        <v>555</v>
      </c>
      <c r="Q2" s="7">
        <f t="shared" si="3"/>
        <v>555</v>
      </c>
      <c r="R2" s="7">
        <f t="shared" si="3"/>
        <v>555</v>
      </c>
      <c r="S2" s="7">
        <f t="shared" si="3"/>
        <v>555</v>
      </c>
      <c r="T2" s="7">
        <f t="shared" si="3"/>
        <v>555</v>
      </c>
      <c r="U2" s="7">
        <f t="shared" si="3"/>
        <v>555</v>
      </c>
      <c r="V2" s="7">
        <f t="shared" si="3"/>
        <v>555</v>
      </c>
      <c r="W2" s="7">
        <f t="shared" si="3"/>
        <v>555</v>
      </c>
      <c r="X2" s="7">
        <f t="shared" si="3"/>
        <v>555</v>
      </c>
      <c r="Y2" s="7">
        <f t="shared" si="3"/>
        <v>555</v>
      </c>
      <c r="Z2" s="7">
        <f t="shared" si="3"/>
        <v>555</v>
      </c>
      <c r="AA2" s="7">
        <f t="shared" si="3"/>
        <v>555</v>
      </c>
      <c r="AB2" s="7">
        <f t="shared" si="3"/>
        <v>555</v>
      </c>
      <c r="AC2" s="7">
        <f t="shared" si="3"/>
        <v>555</v>
      </c>
      <c r="AD2" s="7">
        <f t="shared" si="3"/>
        <v>555</v>
      </c>
      <c r="AE2" s="7">
        <f t="shared" si="3"/>
        <v>555</v>
      </c>
      <c r="AF2" s="7">
        <f t="shared" si="3"/>
        <v>555</v>
      </c>
      <c r="AG2" s="7">
        <f t="shared" si="3"/>
        <v>555</v>
      </c>
      <c r="AH2" s="7">
        <f t="shared" si="3"/>
        <v>555</v>
      </c>
      <c r="AI2" s="7">
        <f t="shared" si="3"/>
        <v>555</v>
      </c>
      <c r="AJ2" s="7">
        <f t="shared" si="3"/>
        <v>555</v>
      </c>
      <c r="AK2" s="7">
        <f t="shared" si="3"/>
        <v>555</v>
      </c>
      <c r="AL2" s="7">
        <f t="shared" si="3"/>
        <v>555</v>
      </c>
      <c r="AM2" s="7">
        <f t="shared" si="3"/>
        <v>555</v>
      </c>
      <c r="AN2" s="7">
        <f t="shared" si="3"/>
        <v>555</v>
      </c>
      <c r="AO2" s="7">
        <f t="shared" si="3"/>
        <v>555</v>
      </c>
      <c r="AP2" s="7">
        <f t="shared" si="3"/>
        <v>555</v>
      </c>
      <c r="AQ2" s="7">
        <f t="shared" si="3"/>
        <v>555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COUNTIF(M7:M716,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49</v>
      </c>
      <c r="U3" s="126">
        <f t="shared" si="4"/>
        <v>46</v>
      </c>
      <c r="V3" s="126">
        <f t="shared" si="4"/>
        <v>42</v>
      </c>
      <c r="W3" s="126">
        <f t="shared" si="4"/>
        <v>41</v>
      </c>
      <c r="X3" s="126">
        <f t="shared" si="4"/>
        <v>52</v>
      </c>
      <c r="Y3" s="126">
        <f t="shared" si="4"/>
        <v>53</v>
      </c>
      <c r="Z3" s="126">
        <f t="shared" si="4"/>
        <v>47</v>
      </c>
      <c r="AA3" s="126">
        <f t="shared" si="4"/>
        <v>81</v>
      </c>
      <c r="AB3" s="126">
        <f t="shared" si="4"/>
        <v>45</v>
      </c>
      <c r="AC3" s="126">
        <f t="shared" si="4"/>
        <v>48</v>
      </c>
      <c r="AD3" s="126">
        <f t="shared" si="4"/>
        <v>39</v>
      </c>
      <c r="AE3" s="126">
        <f t="shared" si="4"/>
        <v>48</v>
      </c>
      <c r="AF3" s="126">
        <f t="shared" si="4"/>
        <v>47</v>
      </c>
      <c r="AG3" s="126">
        <f t="shared" si="4"/>
        <v>42</v>
      </c>
      <c r="AH3" s="126">
        <f t="shared" si="4"/>
        <v>44</v>
      </c>
      <c r="AI3" s="126">
        <f t="shared" si="4"/>
        <v>46</v>
      </c>
      <c r="AJ3" s="126">
        <f t="shared" si="4"/>
        <v>74</v>
      </c>
      <c r="AK3" s="126">
        <f t="shared" si="4"/>
        <v>41</v>
      </c>
      <c r="AL3" s="126">
        <f t="shared" si="4"/>
        <v>57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1468</v>
      </c>
      <c r="E4" s="64"/>
      <c r="F4" s="64"/>
      <c r="G4" s="64"/>
      <c r="H4" s="64"/>
      <c r="I4" s="21"/>
      <c r="J4" s="21"/>
      <c r="K4" s="21"/>
      <c r="L4" s="27"/>
      <c r="M4" s="10">
        <f>COUNTIFS(M8:M670, "=APAGADO",F8:F670,"=Fibra Optica")</f>
        <v>20</v>
      </c>
      <c r="N4" s="10">
        <f>COUNTIFS(N8:N670, "=APAGADO",F8:F670,"=Fibra Optica")</f>
        <v>23</v>
      </c>
      <c r="O4" s="10">
        <f>COUNTIFS(O8:O670, "=APAGADO",F8:F670,"=Fibra Optica")</f>
        <v>22</v>
      </c>
      <c r="P4" s="10">
        <f>COUNTIFS(P8:P670, "=APAGADO",F8:F670,"=Fibra Optica")</f>
        <v>24</v>
      </c>
      <c r="Q4" s="10">
        <f>COUNTIFS(Q8:Q670, "=APAGADO",F8:F670,"=Fibra Optica")</f>
        <v>27</v>
      </c>
      <c r="R4" s="10">
        <f>COUNTIFS(R8:R670, "=APAGADO",F8:F670,"=Fibra Optica")</f>
        <v>31</v>
      </c>
      <c r="S4" s="10">
        <f>COUNTIFS(S8:S670, "=APAGADO",F8:F670,"=Fibra Optica")</f>
        <v>19</v>
      </c>
      <c r="T4" s="10">
        <f>COUNTIFS(T8:T670, "=APAGADO",F8:F670,"=Fibra Optica")</f>
        <v>17</v>
      </c>
      <c r="U4" s="10">
        <f>COUNTIFS(U8:U670, "=APAGADO",F8:F670,"=Fibra Optica")</f>
        <v>16</v>
      </c>
      <c r="V4" s="10">
        <f>COUNTIFS(V8:V670, "=APAGADO",F8:F670,"=Fibra Optica")</f>
        <v>18</v>
      </c>
      <c r="W4" s="10">
        <f>COUNTIFS(W8:W670, "=APAGADO",F8:F670,"=Fibra Optica")</f>
        <v>20</v>
      </c>
      <c r="X4" s="10">
        <f>COUNTIFS(X8:X670, "=APAGADO",F8:F670,"=Fibra Optica")</f>
        <v>22</v>
      </c>
      <c r="Y4" s="10">
        <f>COUNTIFS(Y8:Y670, "=APAGADO",F8:F670,"=Fibra Optica")</f>
        <v>27</v>
      </c>
      <c r="Z4" s="10">
        <f>COUNTIFS(Z8:Z670, "=APAGADO",F8:F670,"=Fibra Optica")</f>
        <v>26</v>
      </c>
      <c r="AA4" s="10">
        <f>COUNTIFS(AA8:AA670, "=APAGADO",F8:F670,"=Fibra Optica")</f>
        <v>53</v>
      </c>
      <c r="AB4" s="10">
        <f>COUNTIFS(AB8:AB670, "=APAGADO",F8:F670,"=Fibra Optica")</f>
        <v>23</v>
      </c>
      <c r="AC4" s="10">
        <f>COUNTIFS(AC8:AC670, "=APAGADO",F8:F670,"=Fibra Optica")</f>
        <v>25</v>
      </c>
      <c r="AD4" s="10">
        <f>COUNTIFS(AD8:AD670, "=APAGADO",F8:F670,"=Fibra Optica")</f>
        <v>22</v>
      </c>
      <c r="AE4" s="10">
        <f>COUNTIFS(AE8:AE670, "=APAGADO",F8:F670,"=Fibra Optica")</f>
        <v>25</v>
      </c>
      <c r="AF4" s="10">
        <f>COUNTIFS(AF8:AF670, "=APAGADO",F8:F670,"=Fibra Optica")</f>
        <v>24</v>
      </c>
      <c r="AG4" s="10">
        <f>COUNTIFS(AG8:AG670, "=APAGADO",F8:F670,"=Fibra Optica")</f>
        <v>21</v>
      </c>
      <c r="AH4" s="10">
        <f>COUNTIFS(AH8:AH670, "=APAGADO",F8:F670,"=Fibra Optica")</f>
        <v>21</v>
      </c>
      <c r="AI4" s="10">
        <f>COUNTIFS(AI8:AI670, "=APAGADO",F8:F670,"=Fibra Optica")</f>
        <v>20</v>
      </c>
      <c r="AJ4" s="10">
        <f>COUNTIFS(AJ8:AJ670, "=APAGADO",F8:F670,"=Fibra Optica")</f>
        <v>36</v>
      </c>
      <c r="AK4" s="10">
        <f>COUNTIFS(AK8:AK670, "=APAGADO",F8:F670,"=Fibra Optica")</f>
        <v>17</v>
      </c>
      <c r="AL4" s="10">
        <f>COUNTIFS(AL8:AL670, "=APAGADO",F8:F670,"=Fibra Optica")</f>
        <v>24</v>
      </c>
      <c r="AM4" s="10">
        <f>COUNTIFS(AM8:AM670, "=APAGADO",F8:F670,"=Fibra Optica")</f>
        <v>0</v>
      </c>
      <c r="AN4" s="10">
        <f>COUNTIFS(AN8:AN670, "=APAGADO",F8:F670,"=Fibra Optica")</f>
        <v>0</v>
      </c>
      <c r="AO4" s="10">
        <f>COUNTIFS(AO8:AO670, "=APAGADO",F8:F670,"=Fibra Optica")</f>
        <v>0</v>
      </c>
      <c r="AP4" s="10">
        <f>COUNTIFS(AP8:AP670, "=APAGADO",F8:F670,"=Fibra Optica")</f>
        <v>0</v>
      </c>
      <c r="AQ4" s="10">
        <f>COUNTIFS(AQ8:AQ670, "=APAGADO",G8:G670,"=Fibra Optica")</f>
        <v>0</v>
      </c>
    </row>
    <row r="5" spans="1:43" s="8" customFormat="1" x14ac:dyDescent="0.25">
      <c r="A5" s="116"/>
      <c r="B5" s="58"/>
      <c r="C5" s="58"/>
      <c r="D5" s="127" t="s">
        <v>1469</v>
      </c>
      <c r="E5" s="128"/>
      <c r="F5" s="128"/>
      <c r="G5" s="64"/>
      <c r="H5" s="128"/>
      <c r="I5" s="127"/>
      <c r="J5" s="127"/>
      <c r="K5" s="127"/>
      <c r="L5" s="129"/>
      <c r="M5" s="130">
        <f>COUNTIFS(M8:M670, "=APAGADO",F8:F670,"=RADIO")</f>
        <v>9</v>
      </c>
      <c r="N5" s="130">
        <f>COUNTIFS(N8:N670, "=APAGADO",F8:F670,"=RADIO")</f>
        <v>5</v>
      </c>
      <c r="O5" s="130">
        <f>COUNTIFS(O8:O670, "=APAGADO",F8:F670,"=RADIO")</f>
        <v>5</v>
      </c>
      <c r="P5" s="130">
        <f>COUNTIFS(P8:P670, "=APAGADO",F8:F670,"=RADIO")</f>
        <v>8</v>
      </c>
      <c r="Q5" s="130">
        <f>COUNTIFS(Q8:Q670, "=APAGADO",F8:F670,"=RADIO")</f>
        <v>8</v>
      </c>
      <c r="R5" s="130">
        <f>COUNTIFS(R8:R670, "=APAGADO",F8:F670,"=RADIO")</f>
        <v>8</v>
      </c>
      <c r="S5" s="130">
        <f>COUNTIFS(S8:S670, "=APAGADO",F8:F670,"=RADIO")</f>
        <v>4</v>
      </c>
      <c r="T5" s="130">
        <f>COUNTIFS(T8:T670, "=APAGADO",F8:F670,"=RADIO")</f>
        <v>5</v>
      </c>
      <c r="U5" s="130">
        <f>COUNTIFS(U8:U670, "=APAGADO",F8:F670,"=RADIO")</f>
        <v>5</v>
      </c>
      <c r="V5" s="130">
        <f>COUNTIFS(V8:V670, "=APAGADO",F8:F670,"=RADIO")</f>
        <v>5</v>
      </c>
      <c r="W5" s="130">
        <f>COUNTIFS(W8:W670, "=APAGADO",F8:F670,"=RADIO")</f>
        <v>5</v>
      </c>
      <c r="X5" s="130">
        <f>COUNTIFS(X8:X670, "=APAGADO",F8:F670,"=RADIO")</f>
        <v>5</v>
      </c>
      <c r="Y5" s="130">
        <f>COUNTIFS(Y8:Y670, "=APAGADO",F8:F670,"=RADIO")</f>
        <v>5</v>
      </c>
      <c r="Z5" s="130">
        <f>COUNTIFS(Z8:Z670, "=APAGADO",F8:F670,"=RADIO")</f>
        <v>5</v>
      </c>
      <c r="AA5" s="130">
        <f>COUNTIFS(AA8:AA670, "=APAGADO",F8:F670,"=RADIO")</f>
        <v>5</v>
      </c>
      <c r="AB5" s="130">
        <f>COUNTIFS(AB8:AB670, "=APAGADO",F8:F670,"=RADIO")</f>
        <v>8</v>
      </c>
      <c r="AC5" s="130">
        <f>COUNTIFS(AC8:AC670, "=APAGADO",F8:F670,"=RADIO")</f>
        <v>9</v>
      </c>
      <c r="AD5" s="130">
        <f>COUNTIFS(AD8:AD670, "=APAGADO",F8:F670,"=RADIO")</f>
        <v>6</v>
      </c>
      <c r="AE5" s="130">
        <f>COUNTIFS(AE8:AE670, "=APAGADO",F8:F670,"=RADIO")</f>
        <v>8</v>
      </c>
      <c r="AF5" s="130">
        <f>COUNTIFS(AF8:AF670, "=APAGADO",F8:F670,"=RADIO")</f>
        <v>9</v>
      </c>
      <c r="AG5" s="130">
        <f>COUNTIFS(AG8:AG670, "=APAGADO",F8:F670,"=RADIO")</f>
        <v>7</v>
      </c>
      <c r="AH5" s="130">
        <f>COUNTIFS(AH8:AH670, "=APAGADO",F8:F670,"=RADIO")</f>
        <v>7</v>
      </c>
      <c r="AI5" s="130">
        <f>COUNTIFS(AI8:AI670, "=APAGADO",F8:F670,"=RADIO")</f>
        <v>7</v>
      </c>
      <c r="AJ5" s="130">
        <f>COUNTIFS(AJ8:AJ670, "=APAGADO",F8:F670,"=RADIO")</f>
        <v>6</v>
      </c>
      <c r="AK5" s="130">
        <f>COUNTIFS(AK8:AK670, "=APAGADO",F8:F670,"=RADIO")</f>
        <v>4</v>
      </c>
      <c r="AL5" s="130">
        <f>COUNTIFS(AL8:AL670, "=APAGADO",F8:F670,"=RADIO")</f>
        <v>5</v>
      </c>
      <c r="AM5" s="130">
        <f>COUNTIFS(AM8:AM670, "=APAGADO",F8:F670,"=RADIO")</f>
        <v>0</v>
      </c>
      <c r="AN5" s="130">
        <f>COUNTIFS(AN8:AN670, "=APAGADO",F8:F670,"=RADIO")</f>
        <v>0</v>
      </c>
      <c r="AO5" s="130">
        <f>COUNTIFS(AO8:AO670, "=APAGADO",F8:F670,"=RADIO")</f>
        <v>0</v>
      </c>
      <c r="AP5" s="130">
        <f>COUNTIFS(AP8:AP670, "=APAGADO",F8:F670,"=RADIO")</f>
        <v>0</v>
      </c>
      <c r="AQ5" s="130">
        <f>COUNTIFS(AQ8:AQ670, "=APAGADO",G8:G670,"=RADIO")</f>
        <v>0</v>
      </c>
    </row>
    <row r="6" spans="1:43" s="8" customFormat="1" ht="15.75" thickBot="1" x14ac:dyDescent="0.3">
      <c r="A6" s="116"/>
      <c r="B6" s="58"/>
      <c r="C6" s="58"/>
      <c r="D6" s="21" t="s">
        <v>1470</v>
      </c>
      <c r="E6" s="64"/>
      <c r="F6" s="64"/>
      <c r="G6" s="64"/>
      <c r="H6" s="64"/>
      <c r="I6" s="21"/>
      <c r="J6" s="21"/>
      <c r="K6" s="21"/>
      <c r="L6" s="27"/>
      <c r="M6" s="10">
        <f>COUNTIFS(M8:M670, "=APAGADO",F8:F670,"=PTO A FO")</f>
        <v>2</v>
      </c>
      <c r="N6" s="10">
        <f>COUNTIFS(N8:N670, "=APAGADO",F8:F670,"=PTO A FO")</f>
        <v>2</v>
      </c>
      <c r="O6" s="10">
        <f>COUNTIFS(O8:O670, "=APAGADO",F8:F670,"=PTO A FO")</f>
        <v>2</v>
      </c>
      <c r="P6" s="10">
        <f>COUNTIFS(P8:P670, "=APAGADO",F8:F670,"=PTO A FO")</f>
        <v>1</v>
      </c>
      <c r="Q6" s="10">
        <f>COUNTIFS(Q8:Q670, "=APAGADO",F8:F670,"=PTO A FO")</f>
        <v>5</v>
      </c>
      <c r="R6" s="10">
        <f>COUNTIFS(R8:R670, "=APAGADO",F8:F670,"=PTO A FO")</f>
        <v>10</v>
      </c>
      <c r="S6" s="10">
        <f>COUNTIFS(S8:S670, "=APAGADO",F8:F670,"=PTO A FO")</f>
        <v>7</v>
      </c>
      <c r="T6" s="10">
        <f>COUNTIFS(T8:T670, "=APAGADO",F8:F670,"=PTO A FO")</f>
        <v>7</v>
      </c>
      <c r="U6" s="10">
        <f>COUNTIFS(U8:U670, "=APAGADO",F8:F670,"=PTO A FO")</f>
        <v>6</v>
      </c>
      <c r="V6" s="10">
        <f>COUNTIFS(V8:V670, "=APAGADO",F8:F670,"=PTO A FO")</f>
        <v>3</v>
      </c>
      <c r="W6" s="10">
        <f>COUNTIFS(W8:W670, "=APAGADO",F8:F670,"=PTO A FO")</f>
        <v>5</v>
      </c>
      <c r="X6" s="10">
        <f>COUNTIFS(X8:X670, "=APAGADO",F8:F670,"=PTO A FO")</f>
        <v>7</v>
      </c>
      <c r="Y6" s="10">
        <f>COUNTIFS(Y8:Y670, "=APAGADO",F8:F670,"=PTO A FO")</f>
        <v>8</v>
      </c>
      <c r="Z6" s="10">
        <f>COUNTIFS(Z8:Z670, "=APAGADO",F8:F670,"=PTO A FO")</f>
        <v>5</v>
      </c>
      <c r="AA6" s="10">
        <f>COUNTIFS(AA8:AA670, "=APAGADO",F8:F670,"=PTO A FO")</f>
        <v>9</v>
      </c>
      <c r="AB6" s="10">
        <f>COUNTIFS(AB8:AB670, "=APAGADO",F8:F670,"=PTO A FO")</f>
        <v>3</v>
      </c>
      <c r="AC6" s="10">
        <f>COUNTIFS(AC8:AC670, "=APAGADO",F8:F670,"=PTO A FO")</f>
        <v>3</v>
      </c>
      <c r="AD6" s="10">
        <f>COUNTIFS(AD8:AD670, "=APAGADO",F8:F670,"=PTO A FO")</f>
        <v>3</v>
      </c>
      <c r="AE6" s="10">
        <f>COUNTIFS(AE8:AE670, "=APAGADO",F8:F670,"=PTO A FO")</f>
        <v>3</v>
      </c>
      <c r="AF6" s="10">
        <f>COUNTIFS(AF8:AF670, "=APAGADO",F8:F670,"=PTO A FO")</f>
        <v>3</v>
      </c>
      <c r="AG6" s="10">
        <f>COUNTIFS(AG8:AG670, "=APAGADO",F8:F670,"=PTO A FO")</f>
        <v>3</v>
      </c>
      <c r="AH6" s="10">
        <f>COUNTIFS(AH8:AH670, "=APAGADO",F8:F670,"=PTO A FO")</f>
        <v>2</v>
      </c>
      <c r="AI6" s="10">
        <f>COUNTIFS(AI8:AI670, "=APAGADO",F8:F670,"=PTO A FO")</f>
        <v>2</v>
      </c>
      <c r="AJ6" s="10">
        <f>COUNTIFS(AJ8:AJ670, "=APAGADO",F8:F670,"=PTO A FO")</f>
        <v>12</v>
      </c>
      <c r="AK6" s="10">
        <f>COUNTIFS(AK8:AK670, "=APAGADO",F8:F670,"=PTO A FO")</f>
        <v>3</v>
      </c>
      <c r="AL6" s="10">
        <f>COUNTIFS(AL8:AL670, "=APAGADO",F8:F670,"=PTO A FO")</f>
        <v>5</v>
      </c>
      <c r="AM6" s="10">
        <f>COUNTIFS(AM8:AM670, "=APAGADO",F8:F670,"=PTO A FO")</f>
        <v>0</v>
      </c>
      <c r="AN6" s="10">
        <f>COUNTIFS(AN8:AN670, "=APAGADO",F8:F670,"=PTO A FO")</f>
        <v>0</v>
      </c>
      <c r="AO6" s="10">
        <f>COUNTIFS(AO8:AO670, "=APAGADO",F8:F670,"=PTO A FO")</f>
        <v>0</v>
      </c>
      <c r="AP6" s="10">
        <f>COUNTIFS(AP8:AP670, "=APAGADO",F8:F670,"=PTO A FO")</f>
        <v>0</v>
      </c>
      <c r="AQ6" s="10">
        <f>COUNTIFS(AQ8:AQ670, "=APAGADO",G8:G670,"=PTO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1670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5">COUNTIF(M8:AN8,"")</f>
        <v>27</v>
      </c>
      <c r="J8" s="147" t="s">
        <v>1671</v>
      </c>
      <c r="K8" s="31">
        <f t="shared" ref="K8:K83" si="6">COUNTIF(M8:AN8,"APAGADO")</f>
        <v>1</v>
      </c>
      <c r="L8" s="32">
        <f t="shared" ref="L8:L83" si="7">(I8)/(K8+I8)</f>
        <v>0.9642857142857143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 t="s">
        <v>2124</v>
      </c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5"/>
        <v>27</v>
      </c>
      <c r="J9" s="147" t="s">
        <v>1672</v>
      </c>
      <c r="K9" s="31">
        <f t="shared" si="6"/>
        <v>1</v>
      </c>
      <c r="L9" s="32">
        <f t="shared" si="7"/>
        <v>0.9642857142857143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 t="s">
        <v>2124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5"/>
        <v>28</v>
      </c>
      <c r="J10" s="147" t="s">
        <v>1673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5"/>
        <v>28</v>
      </c>
      <c r="J11" s="147" t="s">
        <v>1674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5"/>
        <v>28</v>
      </c>
      <c r="J12" s="149" t="s">
        <v>1675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5"/>
        <v>28</v>
      </c>
      <c r="J13" s="147" t="s">
        <v>1676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5"/>
        <v>27</v>
      </c>
      <c r="J14" s="147" t="s">
        <v>1677</v>
      </c>
      <c r="K14" s="31">
        <f t="shared" si="6"/>
        <v>1</v>
      </c>
      <c r="L14" s="32">
        <f t="shared" si="7"/>
        <v>0.9642857142857143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 t="s">
        <v>2124</v>
      </c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1678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1679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5"/>
        <v>28</v>
      </c>
      <c r="J17" s="150" t="s">
        <v>1680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1532</v>
      </c>
      <c r="C18" t="s">
        <v>1064</v>
      </c>
      <c r="D18" s="68" t="s">
        <v>1533</v>
      </c>
      <c r="E18" s="30" t="s">
        <v>73</v>
      </c>
      <c r="F18" s="85" t="s">
        <v>1303</v>
      </c>
      <c r="G18" s="30"/>
      <c r="H18" s="30" t="s">
        <v>1534</v>
      </c>
      <c r="I18" s="31">
        <f t="shared" si="5"/>
        <v>28</v>
      </c>
      <c r="J18" s="87" t="s">
        <v>2164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1681</v>
      </c>
      <c r="K19" s="31">
        <f t="shared" si="6"/>
        <v>7</v>
      </c>
      <c r="L19" s="32">
        <f t="shared" si="7"/>
        <v>0.75</v>
      </c>
      <c r="M19" s="70"/>
      <c r="N19" s="70" t="s">
        <v>2124</v>
      </c>
      <c r="O19" s="70" t="s">
        <v>2124</v>
      </c>
      <c r="P19" s="70" t="s">
        <v>2124</v>
      </c>
      <c r="Q19" s="70" t="s">
        <v>2124</v>
      </c>
      <c r="R19" s="70" t="s">
        <v>2124</v>
      </c>
      <c r="S19" s="70" t="s">
        <v>2124</v>
      </c>
      <c r="T19" s="70" t="s">
        <v>2124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1547</v>
      </c>
      <c r="C20" s="73" t="s">
        <v>1064</v>
      </c>
      <c r="D20" s="73" t="s">
        <v>1548</v>
      </c>
      <c r="E20" s="85" t="s">
        <v>73</v>
      </c>
      <c r="F20" s="85" t="s">
        <v>1303</v>
      </c>
      <c r="G20" s="85"/>
      <c r="H20" s="85" t="s">
        <v>1549</v>
      </c>
      <c r="I20" s="31">
        <f t="shared" si="5"/>
        <v>21</v>
      </c>
      <c r="J20" s="147" t="s">
        <v>1682</v>
      </c>
      <c r="K20" s="31">
        <f t="shared" si="6"/>
        <v>7</v>
      </c>
      <c r="L20" s="32">
        <f t="shared" si="7"/>
        <v>0.75</v>
      </c>
      <c r="M20" s="70"/>
      <c r="N20" s="70" t="s">
        <v>2124</v>
      </c>
      <c r="O20" s="70" t="s">
        <v>2124</v>
      </c>
      <c r="P20" s="70" t="s">
        <v>2124</v>
      </c>
      <c r="Q20" s="70" t="s">
        <v>2124</v>
      </c>
      <c r="R20" s="70" t="s">
        <v>2124</v>
      </c>
      <c r="S20" s="70" t="s">
        <v>2124</v>
      </c>
      <c r="T20" s="70" t="s">
        <v>2124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1576</v>
      </c>
      <c r="C21" s="73" t="s">
        <v>1064</v>
      </c>
      <c r="D21" s="73" t="s">
        <v>1577</v>
      </c>
      <c r="E21" s="85" t="s">
        <v>73</v>
      </c>
      <c r="F21" s="85" t="s">
        <v>1303</v>
      </c>
      <c r="G21" s="85"/>
      <c r="H21" s="85" t="s">
        <v>1578</v>
      </c>
      <c r="I21" s="31">
        <f t="shared" si="5"/>
        <v>28</v>
      </c>
      <c r="J21" s="147" t="s">
        <v>1683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1684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5"/>
        <v>28</v>
      </c>
      <c r="J23" s="147" t="s">
        <v>1685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5"/>
        <v>27</v>
      </c>
      <c r="J24" s="147" t="s">
        <v>1686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 t="s">
        <v>2124</v>
      </c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5"/>
        <v>27</v>
      </c>
      <c r="J25" s="147" t="s">
        <v>1687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 t="s">
        <v>2124</v>
      </c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5"/>
        <v>27</v>
      </c>
      <c r="J26" s="147" t="s">
        <v>1688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 t="s">
        <v>2124</v>
      </c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5"/>
        <v>27</v>
      </c>
      <c r="J27" s="147" t="s">
        <v>1689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 t="s">
        <v>2124</v>
      </c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5"/>
        <v>27</v>
      </c>
      <c r="J28" s="147" t="s">
        <v>1690</v>
      </c>
      <c r="K28" s="31">
        <f t="shared" si="6"/>
        <v>1</v>
      </c>
      <c r="L28" s="32">
        <f t="shared" si="7"/>
        <v>0.9642857142857143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 t="s">
        <v>2124</v>
      </c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5"/>
        <v>27</v>
      </c>
      <c r="J29" s="147" t="s">
        <v>1691</v>
      </c>
      <c r="K29" s="31">
        <f t="shared" si="6"/>
        <v>1</v>
      </c>
      <c r="L29" s="32">
        <f t="shared" si="7"/>
        <v>0.9642857142857143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 t="s">
        <v>2124</v>
      </c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5"/>
        <v>28</v>
      </c>
      <c r="J30" s="147" t="s">
        <v>1692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1196</v>
      </c>
      <c r="B31" s="85" t="s">
        <v>1601</v>
      </c>
      <c r="C31" s="85" t="s">
        <v>1065</v>
      </c>
      <c r="D31" s="73" t="s">
        <v>1604</v>
      </c>
      <c r="E31" s="85" t="s">
        <v>19</v>
      </c>
      <c r="F31" s="85" t="s">
        <v>1303</v>
      </c>
      <c r="G31" s="85"/>
      <c r="H31" s="85" t="s">
        <v>1605</v>
      </c>
      <c r="I31" s="142">
        <f t="shared" si="5"/>
        <v>28</v>
      </c>
      <c r="J31" s="87" t="s">
        <v>2165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1196</v>
      </c>
      <c r="B32" s="85" t="s">
        <v>1602</v>
      </c>
      <c r="C32" s="85" t="s">
        <v>1065</v>
      </c>
      <c r="D32" s="73" t="s">
        <v>1608</v>
      </c>
      <c r="E32" s="85" t="s">
        <v>73</v>
      </c>
      <c r="F32" s="85" t="s">
        <v>1303</v>
      </c>
      <c r="G32" s="85"/>
      <c r="H32" s="85" t="s">
        <v>1606</v>
      </c>
      <c r="I32" s="142">
        <f t="shared" si="5"/>
        <v>28</v>
      </c>
      <c r="J32" s="87" t="s">
        <v>2166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1196</v>
      </c>
      <c r="B33" s="85" t="s">
        <v>1603</v>
      </c>
      <c r="C33" s="85" t="s">
        <v>1065</v>
      </c>
      <c r="D33" s="73" t="s">
        <v>1608</v>
      </c>
      <c r="E33" s="85" t="s">
        <v>73</v>
      </c>
      <c r="F33" s="85" t="s">
        <v>1303</v>
      </c>
      <c r="G33" s="85"/>
      <c r="H33" s="85" t="s">
        <v>1607</v>
      </c>
      <c r="I33" s="142">
        <f t="shared" si="5"/>
        <v>28</v>
      </c>
      <c r="J33" s="87" t="s">
        <v>2167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2163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5"/>
        <v>4</v>
      </c>
      <c r="J34" s="147" t="s">
        <v>1693</v>
      </c>
      <c r="K34" s="134">
        <f t="shared" si="6"/>
        <v>24</v>
      </c>
      <c r="L34" s="135">
        <f t="shared" si="7"/>
        <v>0.14285714285714285</v>
      </c>
      <c r="M34" s="136" t="s">
        <v>2124</v>
      </c>
      <c r="N34" s="136"/>
      <c r="O34" s="136" t="s">
        <v>2124</v>
      </c>
      <c r="P34" s="136" t="s">
        <v>2124</v>
      </c>
      <c r="Q34" s="136" t="s">
        <v>2124</v>
      </c>
      <c r="R34" s="136"/>
      <c r="S34" s="136" t="s">
        <v>2124</v>
      </c>
      <c r="T34" s="136" t="s">
        <v>2124</v>
      </c>
      <c r="U34" s="136" t="s">
        <v>2124</v>
      </c>
      <c r="V34" s="136" t="s">
        <v>2124</v>
      </c>
      <c r="W34" s="136" t="s">
        <v>2124</v>
      </c>
      <c r="X34" s="136" t="s">
        <v>2124</v>
      </c>
      <c r="Y34" s="136" t="s">
        <v>2124</v>
      </c>
      <c r="Z34" s="136" t="s">
        <v>2124</v>
      </c>
      <c r="AA34" s="136" t="s">
        <v>2124</v>
      </c>
      <c r="AB34" s="136" t="s">
        <v>2124</v>
      </c>
      <c r="AC34" s="136" t="s">
        <v>2124</v>
      </c>
      <c r="AD34" s="136" t="s">
        <v>2124</v>
      </c>
      <c r="AE34" s="136" t="s">
        <v>2124</v>
      </c>
      <c r="AF34" s="136" t="s">
        <v>2124</v>
      </c>
      <c r="AG34" s="70" t="s">
        <v>2124</v>
      </c>
      <c r="AH34" s="136" t="s">
        <v>2124</v>
      </c>
      <c r="AI34" s="136" t="s">
        <v>2124</v>
      </c>
      <c r="AJ34" s="136" t="s">
        <v>2124</v>
      </c>
      <c r="AK34" s="136" t="s">
        <v>2124</v>
      </c>
      <c r="AL34" s="136" t="s">
        <v>2124</v>
      </c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2163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5"/>
        <v>20</v>
      </c>
      <c r="J35" s="87" t="s">
        <v>2168</v>
      </c>
      <c r="K35" s="142">
        <f t="shared" si="6"/>
        <v>8</v>
      </c>
      <c r="L35" s="143">
        <f t="shared" si="7"/>
        <v>0.7142857142857143</v>
      </c>
      <c r="M35" s="70" t="s">
        <v>2124</v>
      </c>
      <c r="N35" s="70" t="s">
        <v>2124</v>
      </c>
      <c r="O35" s="70" t="s">
        <v>2124</v>
      </c>
      <c r="P35" s="70" t="s">
        <v>2124</v>
      </c>
      <c r="Q35" s="70" t="s">
        <v>2124</v>
      </c>
      <c r="R35" s="70"/>
      <c r="S35" s="70" t="s">
        <v>2124</v>
      </c>
      <c r="T35" s="70" t="s">
        <v>2124</v>
      </c>
      <c r="U35" s="70" t="s">
        <v>2124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2163</v>
      </c>
      <c r="B36" s="85" t="s">
        <v>2159</v>
      </c>
      <c r="C36" s="73" t="s">
        <v>1065</v>
      </c>
      <c r="D36" s="73" t="s">
        <v>2160</v>
      </c>
      <c r="E36" s="85" t="s">
        <v>19</v>
      </c>
      <c r="F36" s="85" t="s">
        <v>1303</v>
      </c>
      <c r="G36" s="85"/>
      <c r="H36" s="85" t="s">
        <v>2161</v>
      </c>
      <c r="I36" s="142">
        <f t="shared" si="5"/>
        <v>25</v>
      </c>
      <c r="J36" s="87" t="s">
        <v>2162</v>
      </c>
      <c r="K36" s="142">
        <f t="shared" si="6"/>
        <v>3</v>
      </c>
      <c r="L36" s="143">
        <f t="shared" si="7"/>
        <v>0.8928571428571429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 t="s">
        <v>2124</v>
      </c>
      <c r="AK36" s="70" t="s">
        <v>2124</v>
      </c>
      <c r="AL36" s="70" t="s">
        <v>2124</v>
      </c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1196</v>
      </c>
      <c r="B37" s="85" t="s">
        <v>1514</v>
      </c>
      <c r="C37" s="73" t="s">
        <v>1065</v>
      </c>
      <c r="D37" s="73" t="s">
        <v>1515</v>
      </c>
      <c r="E37" s="85" t="s">
        <v>19</v>
      </c>
      <c r="F37" s="85" t="s">
        <v>1303</v>
      </c>
      <c r="G37" s="85"/>
      <c r="H37" s="85" t="s">
        <v>1516</v>
      </c>
      <c r="I37" s="142">
        <f t="shared" si="5"/>
        <v>28</v>
      </c>
      <c r="J37" s="87" t="s">
        <v>2169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5"/>
        <v>19</v>
      </c>
      <c r="J38" s="147" t="s">
        <v>1694</v>
      </c>
      <c r="K38" s="31">
        <f t="shared" si="6"/>
        <v>9</v>
      </c>
      <c r="L38" s="32">
        <f t="shared" si="7"/>
        <v>0.6785714285714286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 t="s">
        <v>2124</v>
      </c>
      <c r="AA38" s="70" t="s">
        <v>2124</v>
      </c>
      <c r="AB38" s="70" t="s">
        <v>2124</v>
      </c>
      <c r="AC38" s="70" t="s">
        <v>2124</v>
      </c>
      <c r="AD38" s="70" t="s">
        <v>2124</v>
      </c>
      <c r="AE38" s="70" t="s">
        <v>2124</v>
      </c>
      <c r="AF38" s="70" t="s">
        <v>2124</v>
      </c>
      <c r="AG38" s="70" t="s">
        <v>2124</v>
      </c>
      <c r="AH38" s="70" t="s">
        <v>2124</v>
      </c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5"/>
        <v>19</v>
      </c>
      <c r="J39" s="147" t="s">
        <v>1695</v>
      </c>
      <c r="K39" s="31">
        <f t="shared" si="6"/>
        <v>9</v>
      </c>
      <c r="L39" s="32">
        <f t="shared" si="7"/>
        <v>0.6785714285714286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 t="s">
        <v>2124</v>
      </c>
      <c r="AA39" s="70" t="s">
        <v>2124</v>
      </c>
      <c r="AB39" s="70" t="s">
        <v>2124</v>
      </c>
      <c r="AC39" s="70" t="s">
        <v>2124</v>
      </c>
      <c r="AD39" s="70" t="s">
        <v>2124</v>
      </c>
      <c r="AE39" s="70" t="s">
        <v>2124</v>
      </c>
      <c r="AF39" s="70" t="s">
        <v>2124</v>
      </c>
      <c r="AG39" s="70" t="s">
        <v>2124</v>
      </c>
      <c r="AH39" s="70" t="s">
        <v>2124</v>
      </c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1460</v>
      </c>
      <c r="B40" s="30" t="s">
        <v>1643</v>
      </c>
      <c r="C40" t="s">
        <v>1065</v>
      </c>
      <c r="D40" t="s">
        <v>1645</v>
      </c>
      <c r="E40" s="30" t="s">
        <v>73</v>
      </c>
      <c r="F40" s="30" t="s">
        <v>28</v>
      </c>
      <c r="G40" s="30"/>
      <c r="H40" s="85" t="s">
        <v>1646</v>
      </c>
      <c r="I40" s="31">
        <f t="shared" si="5"/>
        <v>28</v>
      </c>
      <c r="J40" s="87" t="s">
        <v>2170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1460</v>
      </c>
      <c r="B41" s="30" t="s">
        <v>1644</v>
      </c>
      <c r="C41" t="s">
        <v>1065</v>
      </c>
      <c r="D41" t="s">
        <v>1645</v>
      </c>
      <c r="E41" s="30" t="s">
        <v>73</v>
      </c>
      <c r="F41" s="30" t="s">
        <v>28</v>
      </c>
      <c r="G41" s="30"/>
      <c r="H41" s="85" t="s">
        <v>1647</v>
      </c>
      <c r="I41" s="31">
        <f t="shared" si="5"/>
        <v>28</v>
      </c>
      <c r="J41" s="87" t="s">
        <v>2195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1460</v>
      </c>
      <c r="B42" s="30" t="s">
        <v>1651</v>
      </c>
      <c r="C42" t="s">
        <v>1065</v>
      </c>
      <c r="D42" t="s">
        <v>1645</v>
      </c>
      <c r="E42" s="30" t="s">
        <v>19</v>
      </c>
      <c r="F42" s="30" t="s">
        <v>28</v>
      </c>
      <c r="G42" s="30"/>
      <c r="H42" s="85" t="s">
        <v>1649</v>
      </c>
      <c r="I42" s="31">
        <f t="shared" si="5"/>
        <v>28</v>
      </c>
      <c r="J42" s="87" t="s">
        <v>2196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1460</v>
      </c>
      <c r="B43" s="30" t="s">
        <v>1652</v>
      </c>
      <c r="C43" t="s">
        <v>1065</v>
      </c>
      <c r="D43" t="s">
        <v>1653</v>
      </c>
      <c r="E43" s="30" t="s">
        <v>19</v>
      </c>
      <c r="F43" s="30" t="s">
        <v>28</v>
      </c>
      <c r="G43" s="30"/>
      <c r="H43" s="85" t="s">
        <v>1654</v>
      </c>
      <c r="I43" s="31">
        <f t="shared" si="5"/>
        <v>19</v>
      </c>
      <c r="J43" s="87" t="s">
        <v>2197</v>
      </c>
      <c r="K43" s="31">
        <f t="shared" si="6"/>
        <v>9</v>
      </c>
      <c r="L43" s="32">
        <f t="shared" si="7"/>
        <v>0.6785714285714286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 t="s">
        <v>2124</v>
      </c>
      <c r="AA43" s="70" t="s">
        <v>2124</v>
      </c>
      <c r="AB43" s="70" t="s">
        <v>2124</v>
      </c>
      <c r="AC43" s="70" t="s">
        <v>2124</v>
      </c>
      <c r="AD43" s="70" t="s">
        <v>2124</v>
      </c>
      <c r="AE43" s="70" t="s">
        <v>2124</v>
      </c>
      <c r="AF43" s="70" t="s">
        <v>2124</v>
      </c>
      <c r="AG43" s="70" t="s">
        <v>2124</v>
      </c>
      <c r="AH43" s="70" t="s">
        <v>2124</v>
      </c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5"/>
        <v>28</v>
      </c>
      <c r="J44" s="147" t="s">
        <v>1696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5"/>
        <v>28</v>
      </c>
      <c r="J45" s="147" t="s">
        <v>1697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5"/>
        <v>28</v>
      </c>
      <c r="J46" s="147" t="s">
        <v>1698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5"/>
        <v>28</v>
      </c>
      <c r="J47" s="147" t="s">
        <v>1699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5"/>
        <v>28</v>
      </c>
      <c r="J48" s="147" t="s">
        <v>1700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5"/>
        <v>28</v>
      </c>
      <c r="J49" s="147"/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5"/>
        <v>28</v>
      </c>
      <c r="J50" s="147" t="s">
        <v>1701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5"/>
        <v>28</v>
      </c>
      <c r="J51" s="147" t="s">
        <v>1702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5"/>
        <v>28</v>
      </c>
      <c r="J52" s="147" t="s">
        <v>1703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5"/>
        <v>28</v>
      </c>
      <c r="J53" s="147" t="s">
        <v>1704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5"/>
        <v>28</v>
      </c>
      <c r="J54" s="147" t="s">
        <v>1705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5"/>
        <v>28</v>
      </c>
      <c r="J55" s="147" t="s">
        <v>1706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5"/>
        <v>28</v>
      </c>
      <c r="J56" s="147" t="s">
        <v>1707</v>
      </c>
      <c r="K56" s="142">
        <f t="shared" si="6"/>
        <v>0</v>
      </c>
      <c r="L56" s="143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  <c r="AQ56" s="89"/>
    </row>
    <row r="57" spans="1:43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5"/>
        <v>28</v>
      </c>
      <c r="J57" s="147" t="s">
        <v>1708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5"/>
        <v>28</v>
      </c>
      <c r="J58" s="147" t="s">
        <v>1709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5"/>
        <v>28</v>
      </c>
      <c r="J59" s="147" t="s">
        <v>1710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5"/>
        <v>28</v>
      </c>
      <c r="J60" s="147" t="s">
        <v>1711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5"/>
        <v>28</v>
      </c>
      <c r="J61" s="147" t="s">
        <v>1712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5"/>
        <v>28</v>
      </c>
      <c r="J62" s="147" t="s">
        <v>1713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5"/>
        <v>27</v>
      </c>
      <c r="J63" s="147" t="s">
        <v>1714</v>
      </c>
      <c r="K63" s="142">
        <f t="shared" si="6"/>
        <v>1</v>
      </c>
      <c r="L63" s="143">
        <f t="shared" si="7"/>
        <v>0.9642857142857143</v>
      </c>
      <c r="M63" s="70"/>
      <c r="N63" s="70"/>
      <c r="O63" s="70"/>
      <c r="P63" s="70"/>
      <c r="Q63" s="70"/>
      <c r="R63" s="70" t="s">
        <v>2124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  <c r="AQ63" s="89"/>
    </row>
    <row r="64" spans="1:43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5"/>
        <v>28</v>
      </c>
      <c r="J64" s="87"/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  <c r="AQ64" s="93"/>
    </row>
    <row r="65" spans="1:43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5"/>
        <v>28</v>
      </c>
      <c r="J65" s="147" t="s">
        <v>1715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5"/>
        <v>28</v>
      </c>
      <c r="J66" s="147" t="s">
        <v>1716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5"/>
        <v>28</v>
      </c>
      <c r="J67" s="147" t="s">
        <v>1717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5"/>
        <v>28</v>
      </c>
      <c r="J68" s="147" t="s">
        <v>1718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5"/>
        <v>28</v>
      </c>
      <c r="J69" s="147" t="s">
        <v>1719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1483</v>
      </c>
      <c r="I70" s="31">
        <f t="shared" si="5"/>
        <v>28</v>
      </c>
      <c r="J70" s="147" t="s">
        <v>1720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5"/>
        <v>28</v>
      </c>
      <c r="J71" s="147" t="s">
        <v>1721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5"/>
        <v>28</v>
      </c>
      <c r="J72" s="147" t="s">
        <v>1722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5"/>
        <v>28</v>
      </c>
      <c r="J73" s="147" t="s">
        <v>1723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5"/>
        <v>28</v>
      </c>
      <c r="J74" s="147" t="s">
        <v>1724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5"/>
        <v>28</v>
      </c>
      <c r="J75" s="147" t="s">
        <v>1725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5"/>
        <v>28</v>
      </c>
      <c r="J76" s="147" t="s">
        <v>1726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5"/>
        <v>28</v>
      </c>
      <c r="J77" s="147" t="s">
        <v>1727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5"/>
        <v>28</v>
      </c>
      <c r="J78" s="147" t="s">
        <v>1728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5"/>
        <v>28</v>
      </c>
      <c r="J79" s="147" t="s">
        <v>1729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5"/>
        <v>28</v>
      </c>
      <c r="J80" s="147" t="s">
        <v>1730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5"/>
        <v>28</v>
      </c>
      <c r="J81" s="147" t="s">
        <v>1731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5"/>
        <v>28</v>
      </c>
      <c r="J82" s="147" t="s">
        <v>1732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5"/>
        <v>28</v>
      </c>
      <c r="J83" s="147" t="s">
        <v>1733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8">COUNTIF(M84:AN84,"")</f>
        <v>28</v>
      </c>
      <c r="J84" s="147" t="s">
        <v>1734</v>
      </c>
      <c r="K84" s="31">
        <f t="shared" ref="K84:K158" si="9">COUNTIF(M84:AN84,"APAGADO")</f>
        <v>0</v>
      </c>
      <c r="L84" s="32">
        <f t="shared" ref="L84:L158" si="10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1525</v>
      </c>
      <c r="E85" s="85" t="s">
        <v>19</v>
      </c>
      <c r="F85" s="85" t="s">
        <v>1303</v>
      </c>
      <c r="G85" s="85"/>
      <c r="H85" s="85" t="s">
        <v>658</v>
      </c>
      <c r="I85" s="142">
        <f t="shared" si="8"/>
        <v>28</v>
      </c>
      <c r="J85" s="147" t="s">
        <v>1735</v>
      </c>
      <c r="K85" s="142">
        <f t="shared" si="9"/>
        <v>0</v>
      </c>
      <c r="L85" s="143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  <c r="AQ85" s="89"/>
    </row>
    <row r="86" spans="1:43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8"/>
        <v>27</v>
      </c>
      <c r="J86" s="147" t="s">
        <v>1736</v>
      </c>
      <c r="K86" s="31">
        <f t="shared" si="9"/>
        <v>1</v>
      </c>
      <c r="L86" s="32">
        <f t="shared" si="10"/>
        <v>0.9642857142857143</v>
      </c>
      <c r="M86" s="70"/>
      <c r="N86" s="70"/>
      <c r="O86" s="70"/>
      <c r="P86" s="70"/>
      <c r="Q86" s="70"/>
      <c r="R86" s="70"/>
      <c r="S86" s="70"/>
      <c r="T86" s="70"/>
      <c r="U86" s="70" t="s">
        <v>2124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8"/>
        <v>26</v>
      </c>
      <c r="J87" s="147" t="s">
        <v>1737</v>
      </c>
      <c r="K87" s="31">
        <f t="shared" si="9"/>
        <v>2</v>
      </c>
      <c r="L87" s="32">
        <f t="shared" si="10"/>
        <v>0.9285714285714286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 t="s">
        <v>2124</v>
      </c>
      <c r="AL87" s="70" t="s">
        <v>2124</v>
      </c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1484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8"/>
        <v>28</v>
      </c>
      <c r="J88" s="147" t="s">
        <v>1738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1485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8"/>
        <v>28</v>
      </c>
      <c r="J89" s="147" t="s">
        <v>1739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8"/>
        <v>28</v>
      </c>
      <c r="J90" s="147" t="s">
        <v>1740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8"/>
        <v>28</v>
      </c>
      <c r="J91" s="147" t="s">
        <v>1741</v>
      </c>
      <c r="K91" s="142">
        <f t="shared" si="9"/>
        <v>0</v>
      </c>
      <c r="L91" s="143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  <c r="AQ91" s="89"/>
    </row>
    <row r="92" spans="1:43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8"/>
        <v>28</v>
      </c>
      <c r="J92" s="150" t="s">
        <v>1742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8"/>
        <v>27</v>
      </c>
      <c r="J93" s="147" t="s">
        <v>1743</v>
      </c>
      <c r="K93" s="142">
        <f t="shared" si="9"/>
        <v>1</v>
      </c>
      <c r="L93" s="143">
        <f t="shared" si="10"/>
        <v>0.9642857142857143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 t="s">
        <v>2124</v>
      </c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8"/>
        <v>27</v>
      </c>
      <c r="J94" s="147" t="s">
        <v>1744</v>
      </c>
      <c r="K94" s="142">
        <f t="shared" si="9"/>
        <v>1</v>
      </c>
      <c r="L94" s="143">
        <f t="shared" si="10"/>
        <v>0.9642857142857143</v>
      </c>
      <c r="M94" s="70"/>
      <c r="N94" s="70"/>
      <c r="O94" s="70"/>
      <c r="P94" s="70"/>
      <c r="Q94" s="70"/>
      <c r="R94" s="70" t="s">
        <v>2124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8"/>
        <v>23</v>
      </c>
      <c r="J95" s="147" t="s">
        <v>1745</v>
      </c>
      <c r="K95" s="142">
        <f t="shared" si="9"/>
        <v>5</v>
      </c>
      <c r="L95" s="143">
        <f t="shared" si="10"/>
        <v>0.8214285714285714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 t="s">
        <v>2124</v>
      </c>
      <c r="AI95" s="70" t="s">
        <v>2124</v>
      </c>
      <c r="AJ95" s="70" t="s">
        <v>2124</v>
      </c>
      <c r="AK95" s="70" t="s">
        <v>2124</v>
      </c>
      <c r="AL95" s="70" t="s">
        <v>2124</v>
      </c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8"/>
        <v>28</v>
      </c>
      <c r="J96" s="147" t="s">
        <v>1746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8"/>
        <v>17</v>
      </c>
      <c r="J97" s="147" t="s">
        <v>1747</v>
      </c>
      <c r="K97" s="142">
        <f t="shared" si="9"/>
        <v>11</v>
      </c>
      <c r="L97" s="143">
        <f t="shared" si="10"/>
        <v>0.6071428571428571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 t="s">
        <v>2124</v>
      </c>
      <c r="AB97" s="70" t="s">
        <v>2124</v>
      </c>
      <c r="AC97" s="70" t="s">
        <v>2124</v>
      </c>
      <c r="AD97" s="70" t="s">
        <v>2124</v>
      </c>
      <c r="AE97" s="70" t="s">
        <v>2124</v>
      </c>
      <c r="AF97" s="70" t="s">
        <v>2124</v>
      </c>
      <c r="AG97" s="70" t="s">
        <v>2124</v>
      </c>
      <c r="AH97" s="70"/>
      <c r="AI97" s="70" t="s">
        <v>2124</v>
      </c>
      <c r="AJ97" s="70" t="s">
        <v>2124</v>
      </c>
      <c r="AK97" s="70" t="s">
        <v>2124</v>
      </c>
      <c r="AL97" s="70" t="s">
        <v>2124</v>
      </c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8"/>
        <v>28</v>
      </c>
      <c r="J98" s="147" t="s">
        <v>1748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8"/>
        <v>28</v>
      </c>
      <c r="J99" s="147" t="s">
        <v>1749</v>
      </c>
      <c r="K99" s="142">
        <f t="shared" si="9"/>
        <v>0</v>
      </c>
      <c r="L99" s="143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8"/>
        <v>28</v>
      </c>
      <c r="J100" s="147" t="s">
        <v>1750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8"/>
        <v>28</v>
      </c>
      <c r="J101" s="147" t="s">
        <v>1751</v>
      </c>
      <c r="K101" s="31">
        <f t="shared" si="9"/>
        <v>0</v>
      </c>
      <c r="L101" s="3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8"/>
        <v>23</v>
      </c>
      <c r="J102" s="147" t="s">
        <v>1752</v>
      </c>
      <c r="K102" s="142">
        <f t="shared" si="9"/>
        <v>5</v>
      </c>
      <c r="L102" s="143">
        <f t="shared" si="10"/>
        <v>0.8214285714285714</v>
      </c>
      <c r="M102" s="70"/>
      <c r="N102" s="70"/>
      <c r="O102" s="70"/>
      <c r="P102" s="70"/>
      <c r="Q102" s="70" t="s">
        <v>2124</v>
      </c>
      <c r="R102" s="70" t="s">
        <v>2124</v>
      </c>
      <c r="S102" s="70" t="s">
        <v>2124</v>
      </c>
      <c r="T102" s="70" t="s">
        <v>2124</v>
      </c>
      <c r="U102" s="70" t="s">
        <v>2124</v>
      </c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8"/>
        <v>28</v>
      </c>
      <c r="J103" s="147" t="s">
        <v>1753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8"/>
        <v>28</v>
      </c>
      <c r="J104" s="147" t="s">
        <v>1754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8"/>
        <v>28</v>
      </c>
      <c r="J105" s="147" t="s">
        <v>1755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8"/>
        <v>28</v>
      </c>
      <c r="J106" s="147" t="s">
        <v>1756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8"/>
        <v>28</v>
      </c>
      <c r="J107" s="147" t="s">
        <v>1757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8"/>
        <v>28</v>
      </c>
      <c r="J108" s="147" t="s">
        <v>1758</v>
      </c>
      <c r="K108" s="142">
        <f t="shared" si="9"/>
        <v>0</v>
      </c>
      <c r="L108" s="143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8"/>
        <v>28</v>
      </c>
      <c r="J109" s="147" t="s">
        <v>1758</v>
      </c>
      <c r="K109" s="142">
        <f t="shared" si="9"/>
        <v>0</v>
      </c>
      <c r="L109" s="143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8"/>
        <v>28</v>
      </c>
      <c r="J110" s="147" t="s">
        <v>1760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8"/>
        <v>28</v>
      </c>
      <c r="J111" s="147" t="s">
        <v>1759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8"/>
        <v>28</v>
      </c>
      <c r="J112" s="147" t="s">
        <v>1761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8"/>
        <v>28</v>
      </c>
      <c r="J113" s="147" t="s">
        <v>1762</v>
      </c>
      <c r="K113" s="31">
        <f t="shared" si="9"/>
        <v>0</v>
      </c>
      <c r="L113" s="32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8"/>
        <v>28</v>
      </c>
      <c r="J114" s="147" t="s">
        <v>1763</v>
      </c>
      <c r="K114" s="142">
        <f t="shared" si="9"/>
        <v>0</v>
      </c>
      <c r="L114" s="143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  <c r="AQ114" s="89"/>
    </row>
    <row r="115" spans="1:43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8"/>
        <v>28</v>
      </c>
      <c r="J115" s="147" t="s">
        <v>1764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8"/>
        <v>26</v>
      </c>
      <c r="J116" s="147" t="s">
        <v>1765</v>
      </c>
      <c r="K116" s="31">
        <f t="shared" si="9"/>
        <v>2</v>
      </c>
      <c r="L116" s="32">
        <f t="shared" si="10"/>
        <v>0.9285714285714286</v>
      </c>
      <c r="M116" s="70"/>
      <c r="N116" s="70"/>
      <c r="O116" s="70"/>
      <c r="P116" s="70"/>
      <c r="Q116" s="70"/>
      <c r="R116" s="70" t="s">
        <v>2124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 t="s">
        <v>2124</v>
      </c>
      <c r="AM116" s="70"/>
      <c r="AN116" s="70"/>
      <c r="AO116" s="70"/>
      <c r="AP116" s="70"/>
      <c r="AQ116" s="70"/>
    </row>
    <row r="117" spans="1:43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8"/>
        <v>28</v>
      </c>
      <c r="J117" s="147" t="s">
        <v>1766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8"/>
        <v>22</v>
      </c>
      <c r="J118" s="147" t="s">
        <v>1767</v>
      </c>
      <c r="K118" s="142">
        <f t="shared" si="9"/>
        <v>6</v>
      </c>
      <c r="L118" s="143">
        <f t="shared" si="10"/>
        <v>0.7857142857142857</v>
      </c>
      <c r="M118" s="70"/>
      <c r="N118" s="70" t="s">
        <v>2124</v>
      </c>
      <c r="O118" s="70" t="s">
        <v>2124</v>
      </c>
      <c r="P118" s="70"/>
      <c r="Q118" s="70"/>
      <c r="R118" s="70"/>
      <c r="S118" s="70"/>
      <c r="T118" s="70" t="s">
        <v>2124</v>
      </c>
      <c r="U118" s="70" t="s">
        <v>2124</v>
      </c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2124</v>
      </c>
      <c r="AF118" s="70"/>
      <c r="AG118" s="70"/>
      <c r="AH118" s="70"/>
      <c r="AI118" s="70"/>
      <c r="AJ118" s="70"/>
      <c r="AK118" s="70"/>
      <c r="AL118" s="70" t="s">
        <v>2124</v>
      </c>
      <c r="AM118" s="70"/>
      <c r="AN118" s="70"/>
      <c r="AO118" s="70"/>
      <c r="AP118" s="89"/>
      <c r="AQ118" s="89"/>
    </row>
    <row r="119" spans="1:43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1500</v>
      </c>
      <c r="I119" s="31">
        <f t="shared" si="8"/>
        <v>28</v>
      </c>
      <c r="J119" s="147" t="s">
        <v>1768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8"/>
        <v>28</v>
      </c>
      <c r="J120" s="147" t="s">
        <v>1769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8"/>
        <v>28</v>
      </c>
      <c r="J121" s="147" t="s">
        <v>1770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8"/>
        <v>28</v>
      </c>
      <c r="J122" s="147" t="s">
        <v>1771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8"/>
        <v>28</v>
      </c>
      <c r="J123" s="147" t="s">
        <v>1772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8"/>
        <v>28</v>
      </c>
      <c r="J124" s="147" t="s">
        <v>1773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8"/>
        <v>26</v>
      </c>
      <c r="J125" s="148" t="s">
        <v>1774</v>
      </c>
      <c r="K125" s="142">
        <f t="shared" si="9"/>
        <v>2</v>
      </c>
      <c r="L125" s="143">
        <f t="shared" si="10"/>
        <v>0.9285714285714286</v>
      </c>
      <c r="M125" s="70"/>
      <c r="N125" s="70"/>
      <c r="O125" s="70"/>
      <c r="P125" s="70"/>
      <c r="Q125" s="70"/>
      <c r="R125" s="70"/>
      <c r="S125" s="70"/>
      <c r="T125" s="70" t="s">
        <v>2124</v>
      </c>
      <c r="U125" s="70" t="s">
        <v>2124</v>
      </c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8"/>
        <v>28</v>
      </c>
      <c r="J126" s="147" t="s">
        <v>1775</v>
      </c>
      <c r="K126" s="142">
        <f t="shared" si="9"/>
        <v>0</v>
      </c>
      <c r="L126" s="143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8"/>
        <v>28</v>
      </c>
      <c r="J127" s="147" t="s">
        <v>1776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8"/>
        <v>19</v>
      </c>
      <c r="J128" s="147" t="s">
        <v>1777</v>
      </c>
      <c r="K128" s="31">
        <f t="shared" si="9"/>
        <v>9</v>
      </c>
      <c r="L128" s="32">
        <f t="shared" si="10"/>
        <v>0.6785714285714286</v>
      </c>
      <c r="M128" s="70"/>
      <c r="N128" s="70" t="s">
        <v>2124</v>
      </c>
      <c r="O128" s="70" t="s">
        <v>2124</v>
      </c>
      <c r="P128" s="70" t="s">
        <v>2124</v>
      </c>
      <c r="Q128" s="70"/>
      <c r="R128" s="70"/>
      <c r="S128" s="70"/>
      <c r="T128" s="70"/>
      <c r="U128" s="70"/>
      <c r="V128" s="70"/>
      <c r="W128" s="70" t="s">
        <v>2124</v>
      </c>
      <c r="X128" s="70"/>
      <c r="Y128" s="70" t="s">
        <v>2124</v>
      </c>
      <c r="Z128" s="70"/>
      <c r="AA128" s="70" t="s">
        <v>2124</v>
      </c>
      <c r="AB128" s="70" t="s">
        <v>2124</v>
      </c>
      <c r="AC128" s="70" t="s">
        <v>2124</v>
      </c>
      <c r="AD128" s="70"/>
      <c r="AE128" s="70" t="s">
        <v>2124</v>
      </c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8"/>
        <v>28</v>
      </c>
      <c r="J129" s="147" t="s">
        <v>1778</v>
      </c>
      <c r="K129" s="31">
        <f t="shared" si="9"/>
        <v>0</v>
      </c>
      <c r="L129" s="3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8"/>
        <v>28</v>
      </c>
      <c r="J130" s="147" t="s">
        <v>1779</v>
      </c>
      <c r="K130" s="142">
        <f t="shared" si="9"/>
        <v>0</v>
      </c>
      <c r="L130" s="143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1535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8"/>
        <v>28</v>
      </c>
      <c r="J131" s="147" t="s">
        <v>1780</v>
      </c>
      <c r="K131" s="142">
        <f t="shared" si="9"/>
        <v>0</v>
      </c>
      <c r="L131" s="143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s="73" customFormat="1" ht="18.75" customHeight="1" thickBot="1" x14ac:dyDescent="0.3">
      <c r="A132" s="73" t="s">
        <v>52</v>
      </c>
      <c r="B132" s="85" t="s">
        <v>1512</v>
      </c>
      <c r="C132" s="85" t="s">
        <v>1064</v>
      </c>
      <c r="D132" s="73" t="s">
        <v>1513</v>
      </c>
      <c r="E132" s="85" t="s">
        <v>19</v>
      </c>
      <c r="F132" s="85" t="s">
        <v>1303</v>
      </c>
      <c r="G132" s="85"/>
      <c r="H132" s="85" t="s">
        <v>1517</v>
      </c>
      <c r="I132" s="142">
        <f t="shared" si="8"/>
        <v>28</v>
      </c>
      <c r="J132" s="147" t="s">
        <v>1781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ht="15.75" thickBot="1" x14ac:dyDescent="0.3">
      <c r="A133" t="s">
        <v>52</v>
      </c>
      <c r="B133" s="30" t="s">
        <v>1491</v>
      </c>
      <c r="C133" s="30" t="s">
        <v>1064</v>
      </c>
      <c r="D133" t="s">
        <v>1490</v>
      </c>
      <c r="E133" s="85" t="s">
        <v>73</v>
      </c>
      <c r="F133" s="85" t="s">
        <v>28</v>
      </c>
      <c r="G133" s="85"/>
      <c r="H133" s="85" t="s">
        <v>1492</v>
      </c>
      <c r="I133" s="142">
        <f t="shared" si="8"/>
        <v>28</v>
      </c>
      <c r="J133" s="147" t="s">
        <v>1782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ht="15.75" thickBot="1" x14ac:dyDescent="0.3">
      <c r="A134" t="s">
        <v>52</v>
      </c>
      <c r="B134" s="30" t="s">
        <v>1494</v>
      </c>
      <c r="C134" s="30" t="s">
        <v>1064</v>
      </c>
      <c r="D134" t="s">
        <v>1493</v>
      </c>
      <c r="E134" s="85" t="s">
        <v>19</v>
      </c>
      <c r="F134" s="85" t="s">
        <v>28</v>
      </c>
      <c r="G134" s="85"/>
      <c r="H134" s="85" t="s">
        <v>1495</v>
      </c>
      <c r="I134" s="142">
        <f t="shared" si="8"/>
        <v>28</v>
      </c>
      <c r="J134" s="147" t="s">
        <v>1783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5.75" thickBot="1" x14ac:dyDescent="0.3">
      <c r="A135" s="73" t="s">
        <v>52</v>
      </c>
      <c r="B135" s="85" t="s">
        <v>1526</v>
      </c>
      <c r="C135" s="85" t="s">
        <v>1064</v>
      </c>
      <c r="D135" s="73" t="s">
        <v>1527</v>
      </c>
      <c r="E135" s="85" t="s">
        <v>19</v>
      </c>
      <c r="F135" s="85" t="s">
        <v>1303</v>
      </c>
      <c r="G135" s="85"/>
      <c r="H135" s="85" t="s">
        <v>1528</v>
      </c>
      <c r="I135" s="142">
        <f t="shared" si="8"/>
        <v>28</v>
      </c>
      <c r="J135" s="147" t="s">
        <v>1784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  <c r="AQ135" s="89"/>
    </row>
    <row r="136" spans="1:43" ht="15.75" thickBot="1" x14ac:dyDescent="0.3">
      <c r="A136" t="s">
        <v>52</v>
      </c>
      <c r="B136" s="30" t="s">
        <v>1529</v>
      </c>
      <c r="C136" s="30" t="s">
        <v>1064</v>
      </c>
      <c r="D136" t="s">
        <v>1530</v>
      </c>
      <c r="E136" s="85" t="s">
        <v>19</v>
      </c>
      <c r="F136" s="85" t="s">
        <v>28</v>
      </c>
      <c r="G136" s="85"/>
      <c r="H136" s="85" t="s">
        <v>1531</v>
      </c>
      <c r="I136" s="142">
        <f t="shared" si="8"/>
        <v>28</v>
      </c>
      <c r="J136" s="147" t="s">
        <v>1785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1656</v>
      </c>
      <c r="C137" s="30" t="s">
        <v>1064</v>
      </c>
      <c r="D137" t="s">
        <v>1657</v>
      </c>
      <c r="E137" s="85" t="s">
        <v>19</v>
      </c>
      <c r="F137" s="85" t="s">
        <v>28</v>
      </c>
      <c r="G137" s="85"/>
      <c r="H137" s="85" t="s">
        <v>2130</v>
      </c>
      <c r="I137" s="142">
        <f t="shared" si="8"/>
        <v>28</v>
      </c>
      <c r="J137" s="87" t="s">
        <v>2198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1570</v>
      </c>
      <c r="C138" s="85" t="s">
        <v>1064</v>
      </c>
      <c r="D138" s="73" t="s">
        <v>1572</v>
      </c>
      <c r="E138" s="85" t="s">
        <v>19</v>
      </c>
      <c r="F138" s="85" t="s">
        <v>1303</v>
      </c>
      <c r="G138" s="85"/>
      <c r="H138" s="85" t="s">
        <v>1574</v>
      </c>
      <c r="I138" s="142">
        <f t="shared" si="8"/>
        <v>28</v>
      </c>
      <c r="J138" s="147" t="s">
        <v>1786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s="73" customFormat="1" ht="15.75" thickBot="1" x14ac:dyDescent="0.3">
      <c r="A139" s="73" t="s">
        <v>52</v>
      </c>
      <c r="B139" s="85" t="s">
        <v>1571</v>
      </c>
      <c r="C139" s="85" t="s">
        <v>1064</v>
      </c>
      <c r="D139" s="73" t="s">
        <v>1573</v>
      </c>
      <c r="E139" s="85" t="s">
        <v>19</v>
      </c>
      <c r="F139" s="85" t="s">
        <v>1303</v>
      </c>
      <c r="G139" s="85"/>
      <c r="H139" s="85" t="s">
        <v>1575</v>
      </c>
      <c r="I139" s="142">
        <f t="shared" si="8"/>
        <v>28</v>
      </c>
      <c r="J139" s="147" t="s">
        <v>1787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  <c r="AQ139" s="89"/>
    </row>
    <row r="140" spans="1:43" s="73" customFormat="1" ht="15.75" thickBot="1" x14ac:dyDescent="0.3">
      <c r="A140" s="73" t="s">
        <v>52</v>
      </c>
      <c r="B140" s="85" t="s">
        <v>2137</v>
      </c>
      <c r="C140" s="85" t="s">
        <v>1064</v>
      </c>
      <c r="D140" s="73" t="s">
        <v>2138</v>
      </c>
      <c r="E140" s="85" t="s">
        <v>19</v>
      </c>
      <c r="F140" s="85" t="s">
        <v>1303</v>
      </c>
      <c r="G140" s="85"/>
      <c r="H140" s="85" t="s">
        <v>2199</v>
      </c>
      <c r="I140" s="142">
        <f t="shared" si="8"/>
        <v>28</v>
      </c>
      <c r="J140" s="147" t="s">
        <v>2200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ht="15.75" thickBot="1" x14ac:dyDescent="0.3">
      <c r="A141" t="s">
        <v>165</v>
      </c>
      <c r="B141" t="s">
        <v>166</v>
      </c>
      <c r="C141" t="s">
        <v>1064</v>
      </c>
      <c r="D141" t="s">
        <v>167</v>
      </c>
      <c r="E141" s="30" t="s">
        <v>19</v>
      </c>
      <c r="F141" s="30" t="s">
        <v>1058</v>
      </c>
      <c r="G141" s="30"/>
      <c r="H141" s="30" t="s">
        <v>1410</v>
      </c>
      <c r="I141" s="31">
        <f t="shared" si="8"/>
        <v>28</v>
      </c>
      <c r="J141" s="147" t="s">
        <v>1788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169</v>
      </c>
      <c r="C142" t="s">
        <v>1064</v>
      </c>
      <c r="D142" t="s">
        <v>170</v>
      </c>
      <c r="E142" s="30" t="s">
        <v>19</v>
      </c>
      <c r="F142" s="30" t="s">
        <v>1058</v>
      </c>
      <c r="G142" s="30"/>
      <c r="H142" s="30" t="s">
        <v>682</v>
      </c>
      <c r="I142" s="31">
        <f t="shared" si="8"/>
        <v>27</v>
      </c>
      <c r="J142" s="87"/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2124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168</v>
      </c>
      <c r="B143" t="s">
        <v>171</v>
      </c>
      <c r="C143" t="s">
        <v>1064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8"/>
        <v>28</v>
      </c>
      <c r="J143" s="147" t="s">
        <v>1789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168</v>
      </c>
      <c r="B144" t="s">
        <v>173</v>
      </c>
      <c r="C144" t="s">
        <v>1064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8"/>
        <v>27</v>
      </c>
      <c r="J144" s="147" t="s">
        <v>1790</v>
      </c>
      <c r="K144" s="31">
        <f t="shared" si="9"/>
        <v>1</v>
      </c>
      <c r="L144" s="32">
        <f t="shared" si="10"/>
        <v>0.9642857142857143</v>
      </c>
      <c r="M144" s="70"/>
      <c r="N144" s="70"/>
      <c r="O144" s="70"/>
      <c r="P144" s="70"/>
      <c r="Q144" s="70"/>
      <c r="R144" s="70" t="s">
        <v>2124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175</v>
      </c>
      <c r="B145" t="s">
        <v>176</v>
      </c>
      <c r="C145" t="s">
        <v>1065</v>
      </c>
      <c r="D145" t="s">
        <v>177</v>
      </c>
      <c r="E145" s="30" t="s">
        <v>19</v>
      </c>
      <c r="F145" s="30" t="s">
        <v>28</v>
      </c>
      <c r="G145" s="30"/>
      <c r="H145" s="30" t="s">
        <v>2216</v>
      </c>
      <c r="I145" s="31">
        <f t="shared" si="8"/>
        <v>28</v>
      </c>
      <c r="J145" s="147" t="s">
        <v>1791</v>
      </c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178</v>
      </c>
      <c r="B146" t="s">
        <v>179</v>
      </c>
      <c r="C146" t="s">
        <v>1065</v>
      </c>
      <c r="D146" t="s">
        <v>180</v>
      </c>
      <c r="E146" s="30" t="s">
        <v>19</v>
      </c>
      <c r="F146" s="30" t="s">
        <v>1058</v>
      </c>
      <c r="G146" s="30"/>
      <c r="H146" s="30" t="s">
        <v>1311</v>
      </c>
      <c r="I146" s="31">
        <f t="shared" si="8"/>
        <v>28</v>
      </c>
      <c r="J146" s="147" t="s">
        <v>1792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178</v>
      </c>
      <c r="B147" t="s">
        <v>938</v>
      </c>
      <c r="C147" t="s">
        <v>1065</v>
      </c>
      <c r="D147" t="s">
        <v>181</v>
      </c>
      <c r="E147" s="30" t="s">
        <v>15</v>
      </c>
      <c r="F147" s="30" t="s">
        <v>20</v>
      </c>
      <c r="G147" s="30"/>
      <c r="H147" s="30" t="s">
        <v>685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s="69" t="s">
        <v>178</v>
      </c>
      <c r="B148" t="s">
        <v>1229</v>
      </c>
      <c r="C148" t="s">
        <v>1065</v>
      </c>
      <c r="D148" t="s">
        <v>1230</v>
      </c>
      <c r="E148" t="s">
        <v>19</v>
      </c>
      <c r="F148" t="s">
        <v>28</v>
      </c>
      <c r="G148"/>
      <c r="H148" s="30" t="s">
        <v>1240</v>
      </c>
      <c r="I148" s="31">
        <f t="shared" si="8"/>
        <v>28</v>
      </c>
      <c r="J148" s="147" t="s">
        <v>1793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s="91" customFormat="1" ht="15.75" thickBot="1" x14ac:dyDescent="0.3">
      <c r="A149" s="73" t="s">
        <v>184</v>
      </c>
      <c r="B149" s="73" t="s">
        <v>182</v>
      </c>
      <c r="C149" s="91" t="s">
        <v>1064</v>
      </c>
      <c r="D149" s="73" t="s">
        <v>183</v>
      </c>
      <c r="E149" s="92" t="s">
        <v>19</v>
      </c>
      <c r="F149" s="85" t="s">
        <v>1303</v>
      </c>
      <c r="G149" s="85"/>
      <c r="H149" s="85" t="s">
        <v>686</v>
      </c>
      <c r="I149" s="87">
        <f t="shared" si="8"/>
        <v>20</v>
      </c>
      <c r="J149" s="87"/>
      <c r="K149" s="87">
        <f t="shared" si="9"/>
        <v>8</v>
      </c>
      <c r="L149" s="141">
        <f t="shared" si="10"/>
        <v>0.7142857142857143</v>
      </c>
      <c r="M149" s="93" t="s">
        <v>2124</v>
      </c>
      <c r="N149" s="93" t="s">
        <v>2124</v>
      </c>
      <c r="O149" s="93" t="s">
        <v>2124</v>
      </c>
      <c r="P149" s="93" t="s">
        <v>2124</v>
      </c>
      <c r="Q149" s="93" t="s">
        <v>2124</v>
      </c>
      <c r="R149" s="93" t="s">
        <v>2124</v>
      </c>
      <c r="S149" s="93" t="s">
        <v>2124</v>
      </c>
      <c r="T149" s="93" t="s">
        <v>2124</v>
      </c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</row>
    <row r="150" spans="1:43" ht="15.75" thickBot="1" x14ac:dyDescent="0.3">
      <c r="A150" t="s">
        <v>184</v>
      </c>
      <c r="B150" t="s">
        <v>939</v>
      </c>
      <c r="C150" t="s">
        <v>1064</v>
      </c>
      <c r="D150" t="s">
        <v>185</v>
      </c>
      <c r="E150" s="30" t="s">
        <v>73</v>
      </c>
      <c r="F150" s="30" t="s">
        <v>1058</v>
      </c>
      <c r="G150" s="30" t="s">
        <v>1251</v>
      </c>
      <c r="H150" s="30" t="s">
        <v>687</v>
      </c>
      <c r="I150" s="31">
        <f t="shared" si="8"/>
        <v>28</v>
      </c>
      <c r="J150" s="147" t="s">
        <v>1794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184</v>
      </c>
      <c r="B151" t="s">
        <v>940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688</v>
      </c>
      <c r="I151" s="31">
        <f t="shared" si="8"/>
        <v>28</v>
      </c>
      <c r="J151" s="147" t="s">
        <v>1795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s="91" customFormat="1" ht="15.75" thickBot="1" x14ac:dyDescent="0.3">
      <c r="A152" s="73" t="s">
        <v>184</v>
      </c>
      <c r="B152" s="73" t="s">
        <v>941</v>
      </c>
      <c r="C152" s="91" t="s">
        <v>1064</v>
      </c>
      <c r="D152" s="73" t="s">
        <v>942</v>
      </c>
      <c r="E152" s="92" t="s">
        <v>73</v>
      </c>
      <c r="F152" s="85" t="s">
        <v>1303</v>
      </c>
      <c r="G152" s="85" t="s">
        <v>1251</v>
      </c>
      <c r="H152" s="85" t="s">
        <v>1217</v>
      </c>
      <c r="I152" s="31">
        <f t="shared" si="8"/>
        <v>20</v>
      </c>
      <c r="J152" s="87"/>
      <c r="K152" s="31">
        <f t="shared" si="9"/>
        <v>8</v>
      </c>
      <c r="L152" s="32">
        <f t="shared" si="10"/>
        <v>0.7142857142857143</v>
      </c>
      <c r="M152" s="70" t="s">
        <v>2124</v>
      </c>
      <c r="N152" s="70" t="s">
        <v>2124</v>
      </c>
      <c r="O152" s="70" t="s">
        <v>2124</v>
      </c>
      <c r="P152" s="70" t="s">
        <v>2124</v>
      </c>
      <c r="Q152" s="70" t="s">
        <v>2124</v>
      </c>
      <c r="R152" s="70" t="s">
        <v>2124</v>
      </c>
      <c r="S152" s="70" t="s">
        <v>2124</v>
      </c>
      <c r="T152" s="70" t="s">
        <v>2124</v>
      </c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s="91" customFormat="1" ht="16.149999999999999" customHeight="1" thickBot="1" x14ac:dyDescent="0.3">
      <c r="A153" s="73" t="s">
        <v>184</v>
      </c>
      <c r="B153" s="73" t="s">
        <v>943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1218</v>
      </c>
      <c r="I153" s="31">
        <f t="shared" si="8"/>
        <v>20</v>
      </c>
      <c r="J153" s="87"/>
      <c r="K153" s="31">
        <f t="shared" si="9"/>
        <v>8</v>
      </c>
      <c r="L153" s="32">
        <f t="shared" si="10"/>
        <v>0.7142857142857143</v>
      </c>
      <c r="M153" s="70" t="s">
        <v>2124</v>
      </c>
      <c r="N153" s="70" t="s">
        <v>2124</v>
      </c>
      <c r="O153" s="70" t="s">
        <v>2124</v>
      </c>
      <c r="P153" s="70" t="s">
        <v>2124</v>
      </c>
      <c r="Q153" s="70" t="s">
        <v>2124</v>
      </c>
      <c r="R153" s="70" t="s">
        <v>2124</v>
      </c>
      <c r="S153" s="70" t="s">
        <v>2124</v>
      </c>
      <c r="T153" s="70" t="s">
        <v>2124</v>
      </c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1136</v>
      </c>
      <c r="C154" t="s">
        <v>1064</v>
      </c>
      <c r="D154" t="s">
        <v>1131</v>
      </c>
      <c r="E154" s="30" t="s">
        <v>73</v>
      </c>
      <c r="F154" s="30" t="s">
        <v>1058</v>
      </c>
      <c r="G154" s="30" t="s">
        <v>1251</v>
      </c>
      <c r="H154" s="30" t="s">
        <v>1144</v>
      </c>
      <c r="I154" s="31">
        <f t="shared" si="8"/>
        <v>28</v>
      </c>
      <c r="J154" s="147" t="s">
        <v>1796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1137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1145</v>
      </c>
      <c r="I155" s="31">
        <f t="shared" si="8"/>
        <v>28</v>
      </c>
      <c r="J155" s="147" t="s">
        <v>1797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73" customFormat="1" ht="15.75" thickBot="1" x14ac:dyDescent="0.3">
      <c r="A156" s="73" t="s">
        <v>184</v>
      </c>
      <c r="B156" s="73" t="s">
        <v>1561</v>
      </c>
      <c r="C156" s="73" t="s">
        <v>1064</v>
      </c>
      <c r="D156" s="73" t="s">
        <v>1562</v>
      </c>
      <c r="E156" s="85" t="s">
        <v>46</v>
      </c>
      <c r="F156" s="85" t="s">
        <v>1303</v>
      </c>
      <c r="G156" s="85"/>
      <c r="H156" s="85" t="s">
        <v>1563</v>
      </c>
      <c r="I156" s="31">
        <f t="shared" si="8"/>
        <v>28</v>
      </c>
      <c r="J156" s="147" t="s">
        <v>1798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s="73" customFormat="1" ht="15.75" thickBot="1" x14ac:dyDescent="0.3">
      <c r="A157" s="73" t="s">
        <v>184</v>
      </c>
      <c r="B157" s="73" t="s">
        <v>2131</v>
      </c>
      <c r="C157" s="73" t="s">
        <v>1064</v>
      </c>
      <c r="D157" s="73" t="s">
        <v>2132</v>
      </c>
      <c r="E157" s="85" t="s">
        <v>46</v>
      </c>
      <c r="F157" s="85" t="s">
        <v>1303</v>
      </c>
      <c r="G157" s="85"/>
      <c r="H157" s="85" t="s">
        <v>2135</v>
      </c>
      <c r="I157" s="31">
        <f t="shared" si="8"/>
        <v>15</v>
      </c>
      <c r="J157" s="147"/>
      <c r="K157" s="31">
        <f t="shared" si="9"/>
        <v>13</v>
      </c>
      <c r="L157" s="32">
        <f t="shared" si="10"/>
        <v>0.5357142857142857</v>
      </c>
      <c r="M157" s="70"/>
      <c r="N157" s="70"/>
      <c r="O157" s="70"/>
      <c r="P157" s="70"/>
      <c r="Q157" s="70"/>
      <c r="R157" s="70"/>
      <c r="S157" s="70"/>
      <c r="T157" s="70"/>
      <c r="U157" s="70" t="s">
        <v>2124</v>
      </c>
      <c r="V157" s="70" t="s">
        <v>2124</v>
      </c>
      <c r="W157" s="70" t="s">
        <v>2124</v>
      </c>
      <c r="X157" s="70" t="s">
        <v>2124</v>
      </c>
      <c r="Y157" s="70" t="s">
        <v>2124</v>
      </c>
      <c r="Z157" s="70" t="s">
        <v>2124</v>
      </c>
      <c r="AA157" s="70" t="s">
        <v>2124</v>
      </c>
      <c r="AB157" s="70" t="s">
        <v>2124</v>
      </c>
      <c r="AC157" s="70" t="s">
        <v>2124</v>
      </c>
      <c r="AD157" s="70" t="s">
        <v>2124</v>
      </c>
      <c r="AE157" s="70" t="s">
        <v>2124</v>
      </c>
      <c r="AF157" s="70" t="s">
        <v>2124</v>
      </c>
      <c r="AG157" s="70" t="s">
        <v>2124</v>
      </c>
      <c r="AH157" s="70"/>
      <c r="AI157" s="70"/>
      <c r="AJ157" s="70"/>
      <c r="AK157" s="70"/>
      <c r="AL157" s="70"/>
      <c r="AM157" s="70"/>
      <c r="AN157" s="70"/>
      <c r="AO157" s="70"/>
      <c r="AP157" s="89"/>
      <c r="AQ157" s="89"/>
    </row>
    <row r="158" spans="1:43" s="73" customFormat="1" ht="15.75" thickBot="1" x14ac:dyDescent="0.3">
      <c r="A158" s="73" t="s">
        <v>1331</v>
      </c>
      <c r="B158" s="73" t="s">
        <v>1319</v>
      </c>
      <c r="C158" s="73" t="s">
        <v>1065</v>
      </c>
      <c r="D158" s="73" t="s">
        <v>1320</v>
      </c>
      <c r="E158" s="85" t="s">
        <v>19</v>
      </c>
      <c r="F158" s="85" t="s">
        <v>1303</v>
      </c>
      <c r="G158" s="85"/>
      <c r="H158" s="85" t="s">
        <v>1334</v>
      </c>
      <c r="I158" s="142">
        <f t="shared" si="8"/>
        <v>27</v>
      </c>
      <c r="J158" s="147" t="s">
        <v>1799</v>
      </c>
      <c r="K158" s="142">
        <f t="shared" si="9"/>
        <v>1</v>
      </c>
      <c r="L158" s="143">
        <f t="shared" si="10"/>
        <v>0.9642857142857143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 t="s">
        <v>2124</v>
      </c>
      <c r="AM158" s="70"/>
      <c r="AN158" s="70"/>
      <c r="AO158" s="70"/>
      <c r="AP158" s="89"/>
      <c r="AQ158" s="89"/>
    </row>
    <row r="159" spans="1:43" s="73" customFormat="1" ht="15.75" thickBot="1" x14ac:dyDescent="0.3">
      <c r="A159" s="73" t="s">
        <v>1331</v>
      </c>
      <c r="B159" s="73" t="s">
        <v>1335</v>
      </c>
      <c r="C159" s="73" t="s">
        <v>1065</v>
      </c>
      <c r="D159" s="73" t="s">
        <v>1336</v>
      </c>
      <c r="E159" s="85" t="s">
        <v>15</v>
      </c>
      <c r="F159" s="85" t="s">
        <v>1303</v>
      </c>
      <c r="G159" s="85"/>
      <c r="H159" s="85" t="s">
        <v>1501</v>
      </c>
      <c r="I159" s="142">
        <f t="shared" ref="I159:I232" si="11">COUNTIF(M159:AN159,"")</f>
        <v>28</v>
      </c>
      <c r="J159" s="147" t="s">
        <v>1800</v>
      </c>
      <c r="K159" s="142">
        <f t="shared" ref="K159:K232" si="12">COUNTIF(M159:AN159,"APAGADO")</f>
        <v>0</v>
      </c>
      <c r="L159" s="143">
        <f t="shared" ref="L159:L232" si="13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  <c r="AQ159" s="89"/>
    </row>
    <row r="160" spans="1:43" ht="15.75" thickBot="1" x14ac:dyDescent="0.3">
      <c r="A160" t="s">
        <v>186</v>
      </c>
      <c r="B160" t="s">
        <v>944</v>
      </c>
      <c r="C160" t="s">
        <v>1065</v>
      </c>
      <c r="D160" t="s">
        <v>187</v>
      </c>
      <c r="E160" s="30" t="s">
        <v>15</v>
      </c>
      <c r="F160" s="30" t="s">
        <v>28</v>
      </c>
      <c r="G160" s="30"/>
      <c r="H160" s="30" t="s">
        <v>689</v>
      </c>
      <c r="I160" s="31">
        <f t="shared" si="11"/>
        <v>22</v>
      </c>
      <c r="J160" s="147" t="s">
        <v>1801</v>
      </c>
      <c r="K160" s="31">
        <f t="shared" si="12"/>
        <v>6</v>
      </c>
      <c r="L160" s="32">
        <f t="shared" si="13"/>
        <v>0.7857142857142857</v>
      </c>
      <c r="M160" s="70" t="s">
        <v>2124</v>
      </c>
      <c r="N160" s="70" t="s">
        <v>2124</v>
      </c>
      <c r="O160" s="70" t="s">
        <v>2124</v>
      </c>
      <c r="P160" s="70" t="s">
        <v>2124</v>
      </c>
      <c r="Q160" s="70" t="s">
        <v>2124</v>
      </c>
      <c r="R160" s="70" t="s">
        <v>2124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945</v>
      </c>
      <c r="C161" t="s">
        <v>1065</v>
      </c>
      <c r="D161" t="s">
        <v>188</v>
      </c>
      <c r="E161" s="30" t="s">
        <v>15</v>
      </c>
      <c r="F161" s="30" t="s">
        <v>28</v>
      </c>
      <c r="G161" s="30"/>
      <c r="H161" s="30" t="s">
        <v>690</v>
      </c>
      <c r="I161" s="31">
        <f t="shared" si="11"/>
        <v>22</v>
      </c>
      <c r="J161" s="147" t="s">
        <v>1802</v>
      </c>
      <c r="K161" s="31">
        <f t="shared" si="12"/>
        <v>6</v>
      </c>
      <c r="L161" s="32">
        <f t="shared" si="13"/>
        <v>0.7857142857142857</v>
      </c>
      <c r="M161" s="70" t="s">
        <v>2124</v>
      </c>
      <c r="N161" s="70" t="s">
        <v>2124</v>
      </c>
      <c r="O161" s="70" t="s">
        <v>2124</v>
      </c>
      <c r="P161" s="70" t="s">
        <v>2124</v>
      </c>
      <c r="Q161" s="70" t="s">
        <v>2124</v>
      </c>
      <c r="R161" s="70" t="s">
        <v>2124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946</v>
      </c>
      <c r="C162" t="s">
        <v>1065</v>
      </c>
      <c r="D162" t="s">
        <v>189</v>
      </c>
      <c r="E162" s="30" t="s">
        <v>19</v>
      </c>
      <c r="F162" s="30" t="s">
        <v>28</v>
      </c>
      <c r="G162" s="30"/>
      <c r="H162" s="30" t="s">
        <v>1312</v>
      </c>
      <c r="I162" s="31">
        <f t="shared" si="11"/>
        <v>26</v>
      </c>
      <c r="J162" s="147" t="s">
        <v>1803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2124</v>
      </c>
      <c r="R162" s="70" t="s">
        <v>2124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186</v>
      </c>
      <c r="B163" t="s">
        <v>947</v>
      </c>
      <c r="C163" t="s">
        <v>1065</v>
      </c>
      <c r="D163" t="s">
        <v>190</v>
      </c>
      <c r="E163" s="30" t="s">
        <v>15</v>
      </c>
      <c r="F163" s="30" t="s">
        <v>28</v>
      </c>
      <c r="G163" s="30"/>
      <c r="H163" s="30" t="s">
        <v>691</v>
      </c>
      <c r="I163" s="31">
        <f t="shared" si="11"/>
        <v>22</v>
      </c>
      <c r="J163" s="147" t="s">
        <v>1804</v>
      </c>
      <c r="K163" s="31">
        <f t="shared" si="12"/>
        <v>6</v>
      </c>
      <c r="L163" s="32">
        <f t="shared" si="13"/>
        <v>0.7857142857142857</v>
      </c>
      <c r="M163" s="70" t="s">
        <v>2124</v>
      </c>
      <c r="N163" s="70" t="s">
        <v>2124</v>
      </c>
      <c r="O163" s="70" t="s">
        <v>2124</v>
      </c>
      <c r="P163" s="70" t="s">
        <v>2124</v>
      </c>
      <c r="Q163" s="70" t="s">
        <v>2124</v>
      </c>
      <c r="R163" s="70" t="s">
        <v>2124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186</v>
      </c>
      <c r="B164" t="s">
        <v>1553</v>
      </c>
      <c r="C164" t="s">
        <v>1065</v>
      </c>
      <c r="D164" t="s">
        <v>979</v>
      </c>
      <c r="E164" s="30" t="s">
        <v>46</v>
      </c>
      <c r="F164" s="30" t="s">
        <v>28</v>
      </c>
      <c r="G164" s="30"/>
      <c r="H164" s="30" t="s">
        <v>1556</v>
      </c>
      <c r="I164" s="31">
        <f t="shared" si="11"/>
        <v>27</v>
      </c>
      <c r="J164" s="147" t="s">
        <v>1805</v>
      </c>
      <c r="K164" s="31">
        <f t="shared" si="12"/>
        <v>1</v>
      </c>
      <c r="L164" s="32">
        <f t="shared" si="13"/>
        <v>0.9642857142857143</v>
      </c>
      <c r="M164" s="70"/>
      <c r="N164" s="70"/>
      <c r="O164" s="70"/>
      <c r="P164" s="70"/>
      <c r="Q164" s="70"/>
      <c r="R164" s="70" t="s">
        <v>2124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1554</v>
      </c>
      <c r="C165" t="s">
        <v>1065</v>
      </c>
      <c r="D165" t="s">
        <v>1555</v>
      </c>
      <c r="E165" s="30" t="s">
        <v>15</v>
      </c>
      <c r="F165" s="30" t="s">
        <v>28</v>
      </c>
      <c r="G165" s="30"/>
      <c r="H165" s="30" t="s">
        <v>1557</v>
      </c>
      <c r="I165" s="31">
        <f t="shared" si="11"/>
        <v>26</v>
      </c>
      <c r="J165" s="147" t="s">
        <v>1806</v>
      </c>
      <c r="K165" s="31">
        <f t="shared" si="12"/>
        <v>2</v>
      </c>
      <c r="L165" s="32">
        <f t="shared" si="13"/>
        <v>0.9285714285714286</v>
      </c>
      <c r="M165" s="70"/>
      <c r="N165" s="70"/>
      <c r="O165" s="70"/>
      <c r="P165" s="70"/>
      <c r="Q165" s="70" t="s">
        <v>2124</v>
      </c>
      <c r="R165" s="70" t="s">
        <v>2124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194</v>
      </c>
      <c r="C166" t="s">
        <v>1065</v>
      </c>
      <c r="D166" t="s">
        <v>195</v>
      </c>
      <c r="E166" s="30" t="s">
        <v>19</v>
      </c>
      <c r="F166" s="30" t="s">
        <v>1058</v>
      </c>
      <c r="G166" s="30"/>
      <c r="H166" s="30" t="s">
        <v>1446</v>
      </c>
      <c r="I166" s="31">
        <f t="shared" si="11"/>
        <v>28</v>
      </c>
      <c r="J166" s="147" t="s">
        <v>1807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196</v>
      </c>
      <c r="B167" t="s">
        <v>197</v>
      </c>
      <c r="C167" t="s">
        <v>1065</v>
      </c>
      <c r="D167" t="s">
        <v>198</v>
      </c>
      <c r="E167" s="30" t="s">
        <v>19</v>
      </c>
      <c r="F167" s="30" t="s">
        <v>1058</v>
      </c>
      <c r="G167" s="30" t="s">
        <v>458</v>
      </c>
      <c r="H167" s="30" t="s">
        <v>692</v>
      </c>
      <c r="I167" s="31">
        <f t="shared" si="11"/>
        <v>28</v>
      </c>
      <c r="J167" s="147" t="s">
        <v>1808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196</v>
      </c>
      <c r="B168" t="s">
        <v>200</v>
      </c>
      <c r="C168" t="s">
        <v>1065</v>
      </c>
      <c r="D168" t="s">
        <v>201</v>
      </c>
      <c r="E168" s="30" t="s">
        <v>15</v>
      </c>
      <c r="F168" s="30" t="s">
        <v>1058</v>
      </c>
      <c r="G168" s="30" t="s">
        <v>458</v>
      </c>
      <c r="H168" s="30" t="s">
        <v>693</v>
      </c>
      <c r="I168" s="31">
        <f t="shared" si="11"/>
        <v>28</v>
      </c>
      <c r="J168" s="147" t="s">
        <v>1809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191</v>
      </c>
      <c r="B169" t="s">
        <v>202</v>
      </c>
      <c r="C169" t="s">
        <v>1065</v>
      </c>
      <c r="D169" t="s">
        <v>203</v>
      </c>
      <c r="E169" s="30" t="s">
        <v>19</v>
      </c>
      <c r="F169" s="30" t="s">
        <v>28</v>
      </c>
      <c r="G169" s="30"/>
      <c r="H169" s="30" t="s">
        <v>694</v>
      </c>
      <c r="I169" s="31">
        <f t="shared" si="11"/>
        <v>27</v>
      </c>
      <c r="J169" s="147" t="s">
        <v>1810</v>
      </c>
      <c r="K169" s="31">
        <f t="shared" si="12"/>
        <v>1</v>
      </c>
      <c r="L169" s="32">
        <f t="shared" si="13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 t="s">
        <v>2124</v>
      </c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204</v>
      </c>
      <c r="C170" t="s">
        <v>1065</v>
      </c>
      <c r="D170" t="s">
        <v>205</v>
      </c>
      <c r="E170" s="30" t="s">
        <v>19</v>
      </c>
      <c r="F170" s="30" t="s">
        <v>28</v>
      </c>
      <c r="G170" s="30"/>
      <c r="H170" s="30" t="s">
        <v>695</v>
      </c>
      <c r="I170" s="31">
        <f t="shared" si="11"/>
        <v>28</v>
      </c>
      <c r="J170" s="147" t="s">
        <v>1811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s="73" customFormat="1" ht="15.75" thickBot="1" x14ac:dyDescent="0.3">
      <c r="A171" s="73" t="s">
        <v>191</v>
      </c>
      <c r="B171" s="73" t="s">
        <v>206</v>
      </c>
      <c r="C171" s="73" t="s">
        <v>1065</v>
      </c>
      <c r="D171" s="73" t="s">
        <v>207</v>
      </c>
      <c r="E171" s="85" t="s">
        <v>19</v>
      </c>
      <c r="F171" s="85" t="s">
        <v>1303</v>
      </c>
      <c r="G171" s="85"/>
      <c r="H171" s="85" t="s">
        <v>1432</v>
      </c>
      <c r="I171" s="142">
        <f t="shared" si="11"/>
        <v>28</v>
      </c>
      <c r="J171" s="147" t="s">
        <v>1812</v>
      </c>
      <c r="K171" s="142">
        <f t="shared" si="12"/>
        <v>0</v>
      </c>
      <c r="L171" s="143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  <c r="AQ171" s="89"/>
    </row>
    <row r="172" spans="1:43" ht="15.75" thickBot="1" x14ac:dyDescent="0.3">
      <c r="A172" t="s">
        <v>191</v>
      </c>
      <c r="B172" t="s">
        <v>949</v>
      </c>
      <c r="C172" t="s">
        <v>1065</v>
      </c>
      <c r="D172" t="s">
        <v>192</v>
      </c>
      <c r="E172" s="30" t="s">
        <v>15</v>
      </c>
      <c r="F172" s="30" t="s">
        <v>1058</v>
      </c>
      <c r="G172" s="30" t="s">
        <v>458</v>
      </c>
      <c r="H172" s="30" t="s">
        <v>696</v>
      </c>
      <c r="I172" s="31">
        <f t="shared" si="11"/>
        <v>28</v>
      </c>
      <c r="J172" s="147" t="s">
        <v>1813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193</v>
      </c>
      <c r="C173" t="s">
        <v>1065</v>
      </c>
      <c r="D173" t="s">
        <v>948</v>
      </c>
      <c r="E173" s="30" t="s">
        <v>46</v>
      </c>
      <c r="F173" s="30" t="s">
        <v>20</v>
      </c>
      <c r="G173" s="30"/>
      <c r="H173" s="30" t="s">
        <v>697</v>
      </c>
      <c r="I173" s="31">
        <f t="shared" si="11"/>
        <v>28</v>
      </c>
      <c r="J173" s="87"/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208</v>
      </c>
      <c r="C174" t="s">
        <v>1065</v>
      </c>
      <c r="D174" t="s">
        <v>209</v>
      </c>
      <c r="E174" s="30" t="s">
        <v>73</v>
      </c>
      <c r="F174" s="30" t="s">
        <v>28</v>
      </c>
      <c r="G174" s="30"/>
      <c r="H174" s="30" t="s">
        <v>698</v>
      </c>
      <c r="I174" s="31">
        <f t="shared" si="11"/>
        <v>28</v>
      </c>
      <c r="J174" s="147" t="s">
        <v>1814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210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699</v>
      </c>
      <c r="I175" s="31">
        <f t="shared" si="11"/>
        <v>28</v>
      </c>
      <c r="J175" s="147" t="s">
        <v>1815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211</v>
      </c>
      <c r="C176" t="s">
        <v>1065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1"/>
        <v>28</v>
      </c>
      <c r="J176" s="147" t="s">
        <v>1816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213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1"/>
        <v>28</v>
      </c>
      <c r="J177" s="147" t="s">
        <v>1817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1172</v>
      </c>
      <c r="C178" s="30" t="s">
        <v>1065</v>
      </c>
      <c r="D178" t="s">
        <v>1155</v>
      </c>
      <c r="E178" s="30" t="s">
        <v>1116</v>
      </c>
      <c r="F178" s="30" t="s">
        <v>28</v>
      </c>
      <c r="G178" s="30"/>
      <c r="H178" s="30" t="s">
        <v>1156</v>
      </c>
      <c r="I178" s="31">
        <f t="shared" si="11"/>
        <v>28</v>
      </c>
      <c r="J178" s="147" t="s">
        <v>1818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1171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1157</v>
      </c>
      <c r="I179" s="31">
        <f t="shared" si="11"/>
        <v>28</v>
      </c>
      <c r="J179" s="147" t="s">
        <v>1819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s="30" t="s">
        <v>1174</v>
      </c>
      <c r="C180" s="30" t="s">
        <v>1065</v>
      </c>
      <c r="D180" t="s">
        <v>1152</v>
      </c>
      <c r="E180" s="30" t="s">
        <v>73</v>
      </c>
      <c r="F180" s="30" t="s">
        <v>28</v>
      </c>
      <c r="G180" s="30"/>
      <c r="H180" s="30" t="s">
        <v>1153</v>
      </c>
      <c r="I180" s="31">
        <f t="shared" si="11"/>
        <v>19</v>
      </c>
      <c r="J180" s="147" t="s">
        <v>1820</v>
      </c>
      <c r="K180" s="31">
        <f t="shared" si="12"/>
        <v>9</v>
      </c>
      <c r="L180" s="32">
        <f t="shared" si="13"/>
        <v>0.6785714285714286</v>
      </c>
      <c r="M180" s="70" t="s">
        <v>2124</v>
      </c>
      <c r="N180" s="70" t="s">
        <v>2124</v>
      </c>
      <c r="O180" s="70" t="s">
        <v>2124</v>
      </c>
      <c r="P180" s="70" t="s">
        <v>2124</v>
      </c>
      <c r="Q180" s="70" t="s">
        <v>2124</v>
      </c>
      <c r="R180" s="70" t="s">
        <v>2124</v>
      </c>
      <c r="S180" s="70" t="s">
        <v>2124</v>
      </c>
      <c r="T180" s="70" t="s">
        <v>2124</v>
      </c>
      <c r="U180" s="70" t="s">
        <v>2124</v>
      </c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s="30" t="s">
        <v>1175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1154</v>
      </c>
      <c r="I181" s="31">
        <f t="shared" si="11"/>
        <v>19</v>
      </c>
      <c r="J181" s="147" t="s">
        <v>1821</v>
      </c>
      <c r="K181" s="31">
        <f t="shared" si="12"/>
        <v>9</v>
      </c>
      <c r="L181" s="32">
        <f t="shared" si="13"/>
        <v>0.6785714285714286</v>
      </c>
      <c r="M181" s="70" t="s">
        <v>2124</v>
      </c>
      <c r="N181" s="70" t="s">
        <v>2124</v>
      </c>
      <c r="O181" s="70" t="s">
        <v>2124</v>
      </c>
      <c r="P181" s="70" t="s">
        <v>2124</v>
      </c>
      <c r="Q181" s="70" t="s">
        <v>2124</v>
      </c>
      <c r="R181" s="70" t="s">
        <v>2124</v>
      </c>
      <c r="S181" s="70" t="s">
        <v>2124</v>
      </c>
      <c r="T181" s="70" t="s">
        <v>2124</v>
      </c>
      <c r="U181" s="70" t="s">
        <v>2124</v>
      </c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1518</v>
      </c>
      <c r="C182" s="30" t="s">
        <v>1065</v>
      </c>
      <c r="D182" t="s">
        <v>1519</v>
      </c>
      <c r="E182" s="30" t="s">
        <v>19</v>
      </c>
      <c r="F182" s="30" t="s">
        <v>28</v>
      </c>
      <c r="G182" s="30"/>
      <c r="H182" s="30" t="s">
        <v>1520</v>
      </c>
      <c r="I182" s="31">
        <f t="shared" si="11"/>
        <v>28</v>
      </c>
      <c r="J182" s="87"/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s="73" customFormat="1" ht="15.75" thickBot="1" x14ac:dyDescent="0.3">
      <c r="A183" s="73" t="s">
        <v>191</v>
      </c>
      <c r="B183" s="85" t="s">
        <v>1558</v>
      </c>
      <c r="C183" s="85" t="s">
        <v>1065</v>
      </c>
      <c r="D183" s="73" t="s">
        <v>1559</v>
      </c>
      <c r="E183" s="85" t="s">
        <v>19</v>
      </c>
      <c r="F183" s="85" t="s">
        <v>1303</v>
      </c>
      <c r="G183" s="85"/>
      <c r="H183" s="85" t="s">
        <v>1560</v>
      </c>
      <c r="I183" s="31">
        <f t="shared" si="11"/>
        <v>27</v>
      </c>
      <c r="J183" s="147" t="s">
        <v>1822</v>
      </c>
      <c r="K183" s="31">
        <f t="shared" si="12"/>
        <v>1</v>
      </c>
      <c r="L183" s="32">
        <f t="shared" si="13"/>
        <v>0.9642857142857143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 t="s">
        <v>2124</v>
      </c>
      <c r="AK183" s="70"/>
      <c r="AL183" s="70"/>
      <c r="AM183" s="70"/>
      <c r="AN183" s="70"/>
      <c r="AO183" s="70"/>
      <c r="AP183" s="89"/>
      <c r="AQ183" s="89"/>
    </row>
    <row r="184" spans="1:43" s="73" customFormat="1" ht="15.75" thickBot="1" x14ac:dyDescent="0.3">
      <c r="A184" s="73" t="s">
        <v>191</v>
      </c>
      <c r="B184" s="85" t="s">
        <v>2175</v>
      </c>
      <c r="C184" s="85" t="s">
        <v>1065</v>
      </c>
      <c r="D184" s="73" t="s">
        <v>2176</v>
      </c>
      <c r="E184" s="85" t="s">
        <v>19</v>
      </c>
      <c r="F184" s="85" t="s">
        <v>1303</v>
      </c>
      <c r="G184" s="85"/>
      <c r="H184" s="85" t="s">
        <v>2177</v>
      </c>
      <c r="I184" s="31">
        <f t="shared" si="11"/>
        <v>28</v>
      </c>
      <c r="J184" s="147" t="s">
        <v>2178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  <c r="AQ184" s="89"/>
    </row>
    <row r="185" spans="1:43" s="73" customFormat="1" ht="15.75" thickBot="1" x14ac:dyDescent="0.3">
      <c r="B185" s="85" t="s">
        <v>1539</v>
      </c>
      <c r="C185" s="85" t="s">
        <v>1065</v>
      </c>
      <c r="D185" s="73" t="s">
        <v>1540</v>
      </c>
      <c r="E185" s="85" t="s">
        <v>1116</v>
      </c>
      <c r="F185" s="85" t="s">
        <v>1541</v>
      </c>
      <c r="G185" s="85"/>
      <c r="H185" s="85" t="s">
        <v>1542</v>
      </c>
      <c r="I185" s="31">
        <f t="shared" si="11"/>
        <v>28</v>
      </c>
      <c r="J185" s="147" t="s">
        <v>1823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ht="15.75" thickBot="1" x14ac:dyDescent="0.3">
      <c r="A186" t="s">
        <v>214</v>
      </c>
      <c r="B186" t="s">
        <v>950</v>
      </c>
      <c r="C186" t="s">
        <v>1065</v>
      </c>
      <c r="D186" t="s">
        <v>215</v>
      </c>
      <c r="E186" s="30" t="s">
        <v>15</v>
      </c>
      <c r="F186" s="30" t="s">
        <v>28</v>
      </c>
      <c r="G186" s="30"/>
      <c r="H186" s="30" t="s">
        <v>701</v>
      </c>
      <c r="I186" s="31">
        <f t="shared" si="11"/>
        <v>24</v>
      </c>
      <c r="J186" s="147" t="s">
        <v>1824</v>
      </c>
      <c r="K186" s="31">
        <f t="shared" si="12"/>
        <v>4</v>
      </c>
      <c r="L186" s="32">
        <f t="shared" si="13"/>
        <v>0.8571428571428571</v>
      </c>
      <c r="M186" s="70"/>
      <c r="N186" s="70" t="s">
        <v>2124</v>
      </c>
      <c r="O186" s="70" t="s">
        <v>2124</v>
      </c>
      <c r="P186" s="70"/>
      <c r="Q186" s="70" t="s">
        <v>2124</v>
      </c>
      <c r="R186" s="70" t="s">
        <v>2124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214</v>
      </c>
      <c r="B187" t="s">
        <v>951</v>
      </c>
      <c r="C187" t="s">
        <v>1065</v>
      </c>
      <c r="D187" t="s">
        <v>216</v>
      </c>
      <c r="E187" s="30" t="s">
        <v>15</v>
      </c>
      <c r="F187" s="30" t="s">
        <v>28</v>
      </c>
      <c r="G187" s="30"/>
      <c r="H187" s="30" t="s">
        <v>702</v>
      </c>
      <c r="I187" s="31">
        <f t="shared" si="11"/>
        <v>24</v>
      </c>
      <c r="J187" s="147" t="s">
        <v>1825</v>
      </c>
      <c r="K187" s="31">
        <f t="shared" si="12"/>
        <v>4</v>
      </c>
      <c r="L187" s="32">
        <f t="shared" si="13"/>
        <v>0.8571428571428571</v>
      </c>
      <c r="M187" s="70"/>
      <c r="N187" s="70" t="s">
        <v>2124</v>
      </c>
      <c r="O187" s="70" t="s">
        <v>2124</v>
      </c>
      <c r="P187" s="70"/>
      <c r="Q187" s="70" t="s">
        <v>2124</v>
      </c>
      <c r="R187" s="70" t="s">
        <v>2124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137" customFormat="1" ht="15.75" thickBot="1" x14ac:dyDescent="0.3">
      <c r="A188" s="137" t="s">
        <v>217</v>
      </c>
      <c r="B188" s="137" t="s">
        <v>952</v>
      </c>
      <c r="C188" s="137" t="s">
        <v>1065</v>
      </c>
      <c r="D188" s="137" t="s">
        <v>218</v>
      </c>
      <c r="E188" s="86" t="s">
        <v>19</v>
      </c>
      <c r="F188" s="86" t="s">
        <v>28</v>
      </c>
      <c r="G188" s="86"/>
      <c r="H188" s="86" t="s">
        <v>703</v>
      </c>
      <c r="I188" s="138">
        <f t="shared" si="11"/>
        <v>2</v>
      </c>
      <c r="J188" s="87"/>
      <c r="K188" s="138">
        <f t="shared" si="12"/>
        <v>26</v>
      </c>
      <c r="L188" s="139">
        <f t="shared" si="13"/>
        <v>7.1428571428571425E-2</v>
      </c>
      <c r="M188" s="140" t="s">
        <v>2124</v>
      </c>
      <c r="N188" s="140" t="s">
        <v>2124</v>
      </c>
      <c r="O188" s="140" t="s">
        <v>2124</v>
      </c>
      <c r="P188" s="140" t="s">
        <v>2124</v>
      </c>
      <c r="Q188" s="140" t="s">
        <v>2124</v>
      </c>
      <c r="R188" s="140" t="s">
        <v>2124</v>
      </c>
      <c r="S188" s="140" t="s">
        <v>2124</v>
      </c>
      <c r="T188" s="140" t="s">
        <v>2124</v>
      </c>
      <c r="U188" s="140" t="s">
        <v>2124</v>
      </c>
      <c r="V188" s="140" t="s">
        <v>2124</v>
      </c>
      <c r="W188" s="140" t="s">
        <v>2124</v>
      </c>
      <c r="X188" s="140" t="s">
        <v>2124</v>
      </c>
      <c r="Y188" s="140" t="s">
        <v>2124</v>
      </c>
      <c r="Z188" s="140" t="s">
        <v>2124</v>
      </c>
      <c r="AA188" s="140" t="s">
        <v>2124</v>
      </c>
      <c r="AB188" s="140" t="s">
        <v>2124</v>
      </c>
      <c r="AC188" s="140" t="s">
        <v>2124</v>
      </c>
      <c r="AD188" s="140" t="s">
        <v>2124</v>
      </c>
      <c r="AE188" s="140" t="s">
        <v>2124</v>
      </c>
      <c r="AF188" s="140" t="s">
        <v>2124</v>
      </c>
      <c r="AG188" s="70" t="s">
        <v>2124</v>
      </c>
      <c r="AH188" s="140" t="s">
        <v>2124</v>
      </c>
      <c r="AI188" s="140" t="s">
        <v>2124</v>
      </c>
      <c r="AJ188" s="140" t="s">
        <v>2124</v>
      </c>
      <c r="AK188" s="140" t="s">
        <v>2124</v>
      </c>
      <c r="AL188" s="140" t="s">
        <v>2124</v>
      </c>
      <c r="AM188" s="140"/>
      <c r="AN188" s="140"/>
      <c r="AO188" s="140"/>
      <c r="AP188" s="140"/>
      <c r="AQ188" s="140"/>
    </row>
    <row r="189" spans="1:43" s="73" customFormat="1" ht="15.75" thickBot="1" x14ac:dyDescent="0.3">
      <c r="A189" s="73" t="s">
        <v>229</v>
      </c>
      <c r="B189" s="73" t="s">
        <v>230</v>
      </c>
      <c r="C189" s="73" t="s">
        <v>1064</v>
      </c>
      <c r="D189" s="73" t="s">
        <v>231</v>
      </c>
      <c r="E189" s="85" t="s">
        <v>15</v>
      </c>
      <c r="F189" s="85" t="s">
        <v>1303</v>
      </c>
      <c r="G189" s="85"/>
      <c r="H189" s="85" t="s">
        <v>1394</v>
      </c>
      <c r="I189" s="142">
        <f t="shared" si="11"/>
        <v>28</v>
      </c>
      <c r="J189" s="147" t="s">
        <v>1826</v>
      </c>
      <c r="K189" s="142">
        <f t="shared" si="12"/>
        <v>0</v>
      </c>
      <c r="L189" s="143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A190" s="73" t="s">
        <v>168</v>
      </c>
      <c r="B190" s="73" t="s">
        <v>232</v>
      </c>
      <c r="C190" s="73" t="s">
        <v>1064</v>
      </c>
      <c r="D190" s="73" t="s">
        <v>233</v>
      </c>
      <c r="E190" s="85" t="s">
        <v>19</v>
      </c>
      <c r="F190" s="85" t="s">
        <v>1303</v>
      </c>
      <c r="G190" s="85"/>
      <c r="H190" s="85" t="s">
        <v>1429</v>
      </c>
      <c r="I190" s="142">
        <f t="shared" si="11"/>
        <v>26</v>
      </c>
      <c r="J190" s="147" t="s">
        <v>1827</v>
      </c>
      <c r="K190" s="142">
        <f t="shared" si="12"/>
        <v>2</v>
      </c>
      <c r="L190" s="143">
        <f t="shared" si="13"/>
        <v>0.9285714285714286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 t="s">
        <v>2124</v>
      </c>
      <c r="AK190" s="70" t="s">
        <v>2124</v>
      </c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219</v>
      </c>
      <c r="B191" t="s">
        <v>234</v>
      </c>
      <c r="C191" t="s">
        <v>1064</v>
      </c>
      <c r="D191" t="s">
        <v>235</v>
      </c>
      <c r="E191" s="30" t="s">
        <v>19</v>
      </c>
      <c r="F191" s="30" t="s">
        <v>1058</v>
      </c>
      <c r="G191" s="30"/>
      <c r="H191" s="30" t="s">
        <v>1411</v>
      </c>
      <c r="I191" s="31">
        <f t="shared" si="11"/>
        <v>28</v>
      </c>
      <c r="J191" s="147" t="s">
        <v>1828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219</v>
      </c>
      <c r="B192" t="s">
        <v>236</v>
      </c>
      <c r="C192" t="s">
        <v>1064</v>
      </c>
      <c r="D192" t="s">
        <v>237</v>
      </c>
      <c r="E192" s="30" t="s">
        <v>19</v>
      </c>
      <c r="F192" s="30" t="s">
        <v>1058</v>
      </c>
      <c r="G192" s="30"/>
      <c r="H192" s="30" t="s">
        <v>1437</v>
      </c>
      <c r="I192" s="31">
        <f t="shared" si="11"/>
        <v>27</v>
      </c>
      <c r="J192" s="147" t="s">
        <v>1829</v>
      </c>
      <c r="K192" s="31">
        <f t="shared" si="12"/>
        <v>1</v>
      </c>
      <c r="L192" s="32">
        <f t="shared" si="13"/>
        <v>0.9642857142857143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 t="s">
        <v>2124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238</v>
      </c>
      <c r="C193" t="s">
        <v>1064</v>
      </c>
      <c r="D193" t="s">
        <v>239</v>
      </c>
      <c r="E193" s="30" t="s">
        <v>19</v>
      </c>
      <c r="F193" s="30" t="s">
        <v>1058</v>
      </c>
      <c r="G193" s="30"/>
      <c r="H193" s="30" t="s">
        <v>1438</v>
      </c>
      <c r="I193" s="31">
        <f t="shared" si="11"/>
        <v>25</v>
      </c>
      <c r="J193" s="147" t="s">
        <v>1830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 t="s">
        <v>2124</v>
      </c>
      <c r="R193" s="70" t="s">
        <v>2124</v>
      </c>
      <c r="S193" s="70"/>
      <c r="T193" s="70"/>
      <c r="U193" s="70"/>
      <c r="V193" s="70"/>
      <c r="W193" s="70"/>
      <c r="X193" s="70"/>
      <c r="Y193" s="70" t="s">
        <v>2124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91" customFormat="1" ht="15.75" thickBot="1" x14ac:dyDescent="0.3">
      <c r="A194" s="91" t="s">
        <v>219</v>
      </c>
      <c r="B194" s="91" t="s">
        <v>240</v>
      </c>
      <c r="C194" s="91" t="s">
        <v>1064</v>
      </c>
      <c r="D194" s="91" t="s">
        <v>241</v>
      </c>
      <c r="E194" s="92" t="s">
        <v>15</v>
      </c>
      <c r="F194" s="92" t="s">
        <v>20</v>
      </c>
      <c r="G194" s="92"/>
      <c r="H194" s="92" t="s">
        <v>704</v>
      </c>
      <c r="I194" s="31">
        <f t="shared" si="11"/>
        <v>2</v>
      </c>
      <c r="J194" s="87"/>
      <c r="K194" s="31">
        <f t="shared" si="12"/>
        <v>26</v>
      </c>
      <c r="L194" s="32">
        <f t="shared" si="13"/>
        <v>7.1428571428571425E-2</v>
      </c>
      <c r="M194" s="70" t="s">
        <v>2124</v>
      </c>
      <c r="N194" s="70" t="s">
        <v>2124</v>
      </c>
      <c r="O194" s="70" t="s">
        <v>2124</v>
      </c>
      <c r="P194" s="70" t="s">
        <v>2124</v>
      </c>
      <c r="Q194" s="70" t="s">
        <v>2124</v>
      </c>
      <c r="R194" s="70" t="s">
        <v>2124</v>
      </c>
      <c r="S194" s="70" t="s">
        <v>2124</v>
      </c>
      <c r="T194" s="70" t="s">
        <v>2124</v>
      </c>
      <c r="U194" s="70" t="s">
        <v>2124</v>
      </c>
      <c r="V194" s="70" t="s">
        <v>2124</v>
      </c>
      <c r="W194" s="70" t="s">
        <v>2124</v>
      </c>
      <c r="X194" s="70" t="s">
        <v>2124</v>
      </c>
      <c r="Y194" s="70" t="s">
        <v>2124</v>
      </c>
      <c r="Z194" s="70" t="s">
        <v>2124</v>
      </c>
      <c r="AA194" s="70" t="s">
        <v>2124</v>
      </c>
      <c r="AB194" s="70" t="s">
        <v>2124</v>
      </c>
      <c r="AC194" s="70" t="s">
        <v>2124</v>
      </c>
      <c r="AD194" s="70" t="s">
        <v>2124</v>
      </c>
      <c r="AE194" s="93" t="s">
        <v>2124</v>
      </c>
      <c r="AF194" s="93" t="s">
        <v>2124</v>
      </c>
      <c r="AG194" s="70" t="s">
        <v>2124</v>
      </c>
      <c r="AH194" s="93" t="s">
        <v>2124</v>
      </c>
      <c r="AI194" s="93" t="s">
        <v>2124</v>
      </c>
      <c r="AJ194" s="93" t="s">
        <v>2124</v>
      </c>
      <c r="AK194" s="93" t="s">
        <v>2124</v>
      </c>
      <c r="AL194" s="93" t="s">
        <v>2124</v>
      </c>
      <c r="AM194" s="93"/>
      <c r="AN194" s="93"/>
      <c r="AO194" s="93"/>
      <c r="AP194" s="93"/>
      <c r="AQ194" s="93"/>
    </row>
    <row r="195" spans="1:43" s="73" customFormat="1" ht="15.75" thickBot="1" x14ac:dyDescent="0.3">
      <c r="A195" s="73" t="s">
        <v>219</v>
      </c>
      <c r="B195" s="73" t="s">
        <v>220</v>
      </c>
      <c r="C195" s="73" t="s">
        <v>1064</v>
      </c>
      <c r="D195" s="73" t="s">
        <v>221</v>
      </c>
      <c r="E195" s="85" t="s">
        <v>15</v>
      </c>
      <c r="F195" s="85" t="s">
        <v>1303</v>
      </c>
      <c r="G195" s="85"/>
      <c r="H195" s="85" t="s">
        <v>1597</v>
      </c>
      <c r="I195" s="142">
        <f t="shared" si="11"/>
        <v>13</v>
      </c>
      <c r="J195" s="147" t="s">
        <v>1831</v>
      </c>
      <c r="K195" s="142">
        <f t="shared" si="12"/>
        <v>15</v>
      </c>
      <c r="L195" s="143">
        <f t="shared" si="13"/>
        <v>0.4642857142857143</v>
      </c>
      <c r="M195" s="70" t="s">
        <v>2124</v>
      </c>
      <c r="N195" s="70" t="s">
        <v>2124</v>
      </c>
      <c r="O195" s="70" t="s">
        <v>2124</v>
      </c>
      <c r="P195" s="70"/>
      <c r="Q195" s="70"/>
      <c r="R195" s="70"/>
      <c r="S195" s="70"/>
      <c r="T195" s="70"/>
      <c r="U195" s="70"/>
      <c r="V195" s="70"/>
      <c r="W195" s="70" t="s">
        <v>2124</v>
      </c>
      <c r="X195" s="70"/>
      <c r="Y195" s="70" t="s">
        <v>2124</v>
      </c>
      <c r="Z195" s="70" t="s">
        <v>2124</v>
      </c>
      <c r="AA195" s="70" t="s">
        <v>2124</v>
      </c>
      <c r="AB195" s="70" t="s">
        <v>2124</v>
      </c>
      <c r="AC195" s="70" t="s">
        <v>2124</v>
      </c>
      <c r="AD195" s="70" t="s">
        <v>2124</v>
      </c>
      <c r="AE195" s="70"/>
      <c r="AF195" s="70"/>
      <c r="AG195" s="70" t="s">
        <v>2124</v>
      </c>
      <c r="AH195" s="70" t="s">
        <v>2124</v>
      </c>
      <c r="AI195" s="70" t="s">
        <v>2124</v>
      </c>
      <c r="AJ195" s="70" t="s">
        <v>2124</v>
      </c>
      <c r="AK195" s="70" t="s">
        <v>2124</v>
      </c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957</v>
      </c>
      <c r="C196" t="s">
        <v>1064</v>
      </c>
      <c r="D196" t="s">
        <v>222</v>
      </c>
      <c r="E196" s="30" t="s">
        <v>15</v>
      </c>
      <c r="F196" s="30" t="s">
        <v>1303</v>
      </c>
      <c r="G196" s="30"/>
      <c r="H196" s="30" t="s">
        <v>1409</v>
      </c>
      <c r="I196" s="31">
        <f t="shared" si="11"/>
        <v>8</v>
      </c>
      <c r="J196" s="147" t="s">
        <v>1832</v>
      </c>
      <c r="K196" s="31">
        <f t="shared" si="12"/>
        <v>20</v>
      </c>
      <c r="L196" s="32">
        <f t="shared" si="13"/>
        <v>0.2857142857142857</v>
      </c>
      <c r="M196" s="70" t="s">
        <v>2124</v>
      </c>
      <c r="N196" s="70" t="s">
        <v>2124</v>
      </c>
      <c r="O196" s="70" t="s">
        <v>2124</v>
      </c>
      <c r="P196" s="70" t="s">
        <v>2124</v>
      </c>
      <c r="Q196" s="70" t="s">
        <v>2124</v>
      </c>
      <c r="R196" s="70" t="s">
        <v>2124</v>
      </c>
      <c r="S196" s="70" t="s">
        <v>2124</v>
      </c>
      <c r="T196" s="70" t="s">
        <v>2124</v>
      </c>
      <c r="U196" s="70" t="s">
        <v>2124</v>
      </c>
      <c r="V196" s="70" t="s">
        <v>2124</v>
      </c>
      <c r="W196" s="70" t="s">
        <v>2124</v>
      </c>
      <c r="X196" s="70" t="s">
        <v>2124</v>
      </c>
      <c r="Y196" s="70" t="s">
        <v>2124</v>
      </c>
      <c r="Z196" s="70"/>
      <c r="AA196" s="70"/>
      <c r="AB196" s="70" t="s">
        <v>2124</v>
      </c>
      <c r="AC196" s="70" t="s">
        <v>2124</v>
      </c>
      <c r="AD196" s="70" t="s">
        <v>2124</v>
      </c>
      <c r="AE196" s="70" t="s">
        <v>2124</v>
      </c>
      <c r="AF196" s="70" t="s">
        <v>2124</v>
      </c>
      <c r="AG196" s="70" t="s">
        <v>2124</v>
      </c>
      <c r="AH196" s="70"/>
      <c r="AI196" s="70"/>
      <c r="AJ196" s="70"/>
      <c r="AK196" s="70"/>
      <c r="AL196" s="70" t="s">
        <v>2124</v>
      </c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958</v>
      </c>
      <c r="C197" t="s">
        <v>1064</v>
      </c>
      <c r="D197" t="s">
        <v>223</v>
      </c>
      <c r="E197" s="30" t="s">
        <v>15</v>
      </c>
      <c r="F197" s="30" t="s">
        <v>1058</v>
      </c>
      <c r="G197" s="30"/>
      <c r="H197" s="30" t="s">
        <v>1214</v>
      </c>
      <c r="I197" s="31">
        <f t="shared" si="11"/>
        <v>28</v>
      </c>
      <c r="J197" s="147" t="s">
        <v>1833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s="73" customFormat="1" ht="15.75" thickBot="1" x14ac:dyDescent="0.3">
      <c r="A198" s="73" t="s">
        <v>219</v>
      </c>
      <c r="B198" s="73" t="s">
        <v>224</v>
      </c>
      <c r="C198" s="73" t="s">
        <v>1064</v>
      </c>
      <c r="D198" s="73" t="s">
        <v>225</v>
      </c>
      <c r="E198" s="85" t="s">
        <v>15</v>
      </c>
      <c r="F198" s="85" t="s">
        <v>1303</v>
      </c>
      <c r="G198" s="85"/>
      <c r="H198" s="85" t="s">
        <v>1408</v>
      </c>
      <c r="I198" s="142">
        <f t="shared" si="11"/>
        <v>28</v>
      </c>
      <c r="J198" s="147" t="s">
        <v>1834</v>
      </c>
      <c r="K198" s="142">
        <f t="shared" si="12"/>
        <v>0</v>
      </c>
      <c r="L198" s="143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  <c r="AQ198" s="89"/>
    </row>
    <row r="199" spans="1:43" ht="15.75" thickBot="1" x14ac:dyDescent="0.3">
      <c r="A199" t="s">
        <v>219</v>
      </c>
      <c r="B199" t="s">
        <v>242</v>
      </c>
      <c r="C199" t="s">
        <v>1064</v>
      </c>
      <c r="D199" t="s">
        <v>243</v>
      </c>
      <c r="E199" s="30" t="s">
        <v>15</v>
      </c>
      <c r="F199" s="30" t="s">
        <v>28</v>
      </c>
      <c r="G199" s="30"/>
      <c r="H199" s="30" t="s">
        <v>705</v>
      </c>
      <c r="I199" s="31">
        <f t="shared" si="11"/>
        <v>28</v>
      </c>
      <c r="J199" s="147" t="s">
        <v>1835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226</v>
      </c>
      <c r="C200" t="s">
        <v>1064</v>
      </c>
      <c r="D200" t="s">
        <v>227</v>
      </c>
      <c r="E200" s="30" t="s">
        <v>73</v>
      </c>
      <c r="F200" s="30" t="s">
        <v>1058</v>
      </c>
      <c r="G200" s="30" t="s">
        <v>1251</v>
      </c>
      <c r="H200" s="30" t="s">
        <v>706</v>
      </c>
      <c r="I200" s="31">
        <f t="shared" si="11"/>
        <v>28</v>
      </c>
      <c r="J200" s="147" t="s">
        <v>1836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228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707</v>
      </c>
      <c r="I201" s="31">
        <f t="shared" si="11"/>
        <v>28</v>
      </c>
      <c r="J201" s="147" t="s">
        <v>1837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953</v>
      </c>
      <c r="C202" t="s">
        <v>1064</v>
      </c>
      <c r="D202" t="s">
        <v>244</v>
      </c>
      <c r="E202" s="30" t="s">
        <v>73</v>
      </c>
      <c r="F202" s="30" t="s">
        <v>1058</v>
      </c>
      <c r="G202" s="30" t="s">
        <v>1251</v>
      </c>
      <c r="H202" s="30" t="s">
        <v>708</v>
      </c>
      <c r="I202" s="31">
        <f t="shared" si="11"/>
        <v>28</v>
      </c>
      <c r="J202" s="147" t="s">
        <v>1838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954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709</v>
      </c>
      <c r="I203" s="31">
        <f t="shared" si="11"/>
        <v>28</v>
      </c>
      <c r="J203" s="147" t="s">
        <v>1839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.75" thickBot="1" x14ac:dyDescent="0.3">
      <c r="A204" t="s">
        <v>219</v>
      </c>
      <c r="B204" t="s">
        <v>955</v>
      </c>
      <c r="C204" t="s">
        <v>1064</v>
      </c>
      <c r="D204" t="s">
        <v>245</v>
      </c>
      <c r="E204" s="30" t="s">
        <v>73</v>
      </c>
      <c r="F204" s="30" t="s">
        <v>1058</v>
      </c>
      <c r="G204" s="30" t="s">
        <v>1251</v>
      </c>
      <c r="H204" s="30" t="s">
        <v>710</v>
      </c>
      <c r="I204" s="31">
        <f t="shared" si="11"/>
        <v>28</v>
      </c>
      <c r="J204" s="147" t="s">
        <v>1840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956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711</v>
      </c>
      <c r="I205" s="31">
        <f t="shared" si="11"/>
        <v>28</v>
      </c>
      <c r="J205" s="147" t="s">
        <v>1697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s="73" customFormat="1" ht="15.75" thickBot="1" x14ac:dyDescent="0.3">
      <c r="A206" s="73" t="s">
        <v>219</v>
      </c>
      <c r="B206" s="73" t="s">
        <v>1232</v>
      </c>
      <c r="C206" s="73" t="s">
        <v>1064</v>
      </c>
      <c r="D206" s="73" t="s">
        <v>1231</v>
      </c>
      <c r="E206" s="73" t="s">
        <v>19</v>
      </c>
      <c r="F206" s="73" t="s">
        <v>1303</v>
      </c>
      <c r="H206" s="85" t="s">
        <v>1241</v>
      </c>
      <c r="I206" s="142">
        <f t="shared" si="11"/>
        <v>22</v>
      </c>
      <c r="J206" s="147" t="s">
        <v>1841</v>
      </c>
      <c r="K206" s="142">
        <f t="shared" si="12"/>
        <v>6</v>
      </c>
      <c r="L206" s="143">
        <f t="shared" si="13"/>
        <v>0.7857142857142857</v>
      </c>
      <c r="M206" s="70"/>
      <c r="N206" s="70" t="s">
        <v>2124</v>
      </c>
      <c r="O206" s="70" t="s">
        <v>2124</v>
      </c>
      <c r="P206" s="70" t="s">
        <v>2124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 t="s">
        <v>2124</v>
      </c>
      <c r="AB206" s="70" t="s">
        <v>2124</v>
      </c>
      <c r="AC206" s="70"/>
      <c r="AD206" s="70"/>
      <c r="AE206" s="70"/>
      <c r="AF206" s="70"/>
      <c r="AG206" s="70"/>
      <c r="AH206" s="70" t="s">
        <v>2124</v>
      </c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s="73" customFormat="1" ht="15.75" thickBot="1" x14ac:dyDescent="0.3">
      <c r="A207" s="73" t="s">
        <v>219</v>
      </c>
      <c r="B207" s="73" t="s">
        <v>1594</v>
      </c>
      <c r="C207" s="73" t="s">
        <v>1064</v>
      </c>
      <c r="D207" s="73" t="s">
        <v>1595</v>
      </c>
      <c r="E207" s="85" t="s">
        <v>73</v>
      </c>
      <c r="F207" s="85" t="s">
        <v>1303</v>
      </c>
      <c r="H207" s="85" t="s">
        <v>1596</v>
      </c>
      <c r="I207" s="142">
        <f t="shared" si="11"/>
        <v>26</v>
      </c>
      <c r="J207" s="147" t="s">
        <v>1842</v>
      </c>
      <c r="K207" s="142">
        <f t="shared" si="12"/>
        <v>2</v>
      </c>
      <c r="L207" s="143">
        <f t="shared" si="13"/>
        <v>0.9285714285714286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 t="s">
        <v>2124</v>
      </c>
      <c r="Z207" s="70" t="s">
        <v>2124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  <c r="AQ207" s="89"/>
    </row>
    <row r="208" spans="1:43" s="73" customFormat="1" ht="15.75" thickBot="1" x14ac:dyDescent="0.3">
      <c r="A208" s="73" t="s">
        <v>219</v>
      </c>
      <c r="B208" s="73" t="s">
        <v>2212</v>
      </c>
      <c r="C208" s="73" t="s">
        <v>1064</v>
      </c>
      <c r="D208" s="73" t="s">
        <v>2213</v>
      </c>
      <c r="E208" s="85" t="s">
        <v>73</v>
      </c>
      <c r="F208" s="85" t="s">
        <v>1303</v>
      </c>
      <c r="H208" s="85" t="s">
        <v>2214</v>
      </c>
      <c r="I208" s="142">
        <f t="shared" si="11"/>
        <v>28</v>
      </c>
      <c r="J208" s="147" t="s">
        <v>2215</v>
      </c>
      <c r="K208" s="142">
        <f t="shared" si="12"/>
        <v>0</v>
      </c>
      <c r="L208" s="143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  <c r="AQ208" s="89"/>
    </row>
    <row r="209" spans="1:43" ht="15.75" thickBot="1" x14ac:dyDescent="0.3">
      <c r="A209" t="s">
        <v>101</v>
      </c>
      <c r="B209" t="s">
        <v>246</v>
      </c>
      <c r="C209" t="s">
        <v>1064</v>
      </c>
      <c r="D209" t="s">
        <v>247</v>
      </c>
      <c r="E209" s="30" t="s">
        <v>15</v>
      </c>
      <c r="F209" s="30" t="s">
        <v>1058</v>
      </c>
      <c r="G209" s="30" t="s">
        <v>45</v>
      </c>
      <c r="H209" s="30" t="s">
        <v>712</v>
      </c>
      <c r="I209" s="31">
        <f t="shared" si="11"/>
        <v>27</v>
      </c>
      <c r="J209" s="147" t="s">
        <v>1843</v>
      </c>
      <c r="K209" s="31">
        <f t="shared" si="12"/>
        <v>1</v>
      </c>
      <c r="L209" s="32">
        <f t="shared" si="13"/>
        <v>0.9642857142857143</v>
      </c>
      <c r="M209" s="70"/>
      <c r="N209" s="70"/>
      <c r="O209" s="70"/>
      <c r="P209" s="70"/>
      <c r="Q209" s="70"/>
      <c r="R209" s="70" t="s">
        <v>2124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s="73" customFormat="1" ht="15.75" thickBot="1" x14ac:dyDescent="0.3">
      <c r="A210" s="73" t="s">
        <v>101</v>
      </c>
      <c r="B210" s="73" t="s">
        <v>248</v>
      </c>
      <c r="C210" s="73" t="s">
        <v>1064</v>
      </c>
      <c r="D210" s="73" t="s">
        <v>249</v>
      </c>
      <c r="E210" s="85" t="s">
        <v>15</v>
      </c>
      <c r="F210" s="85" t="s">
        <v>1303</v>
      </c>
      <c r="G210" s="85" t="s">
        <v>45</v>
      </c>
      <c r="H210" s="85" t="s">
        <v>713</v>
      </c>
      <c r="I210" s="142">
        <f t="shared" si="11"/>
        <v>26</v>
      </c>
      <c r="J210" s="147" t="s">
        <v>1844</v>
      </c>
      <c r="K210" s="142">
        <f t="shared" si="12"/>
        <v>2</v>
      </c>
      <c r="L210" s="143">
        <f t="shared" si="13"/>
        <v>0.9285714285714286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 t="s">
        <v>2124</v>
      </c>
      <c r="AF210" s="70" t="s">
        <v>2124</v>
      </c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  <c r="AQ210" s="89"/>
    </row>
    <row r="211" spans="1:43" s="73" customFormat="1" ht="15.75" thickBot="1" x14ac:dyDescent="0.3">
      <c r="A211" s="73" t="s">
        <v>101</v>
      </c>
      <c r="B211" s="73" t="s">
        <v>250</v>
      </c>
      <c r="C211" s="73" t="s">
        <v>1064</v>
      </c>
      <c r="D211" s="73" t="s">
        <v>251</v>
      </c>
      <c r="E211" s="85" t="s">
        <v>15</v>
      </c>
      <c r="F211" s="85" t="s">
        <v>1303</v>
      </c>
      <c r="G211" s="85" t="s">
        <v>45</v>
      </c>
      <c r="H211" s="85" t="s">
        <v>714</v>
      </c>
      <c r="I211" s="142">
        <f t="shared" si="11"/>
        <v>26</v>
      </c>
      <c r="J211" s="147" t="s">
        <v>1845</v>
      </c>
      <c r="K211" s="142">
        <f t="shared" si="12"/>
        <v>2</v>
      </c>
      <c r="L211" s="143">
        <f t="shared" si="13"/>
        <v>0.9285714285714286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 t="s">
        <v>2124</v>
      </c>
      <c r="AF211" s="70" t="s">
        <v>2124</v>
      </c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101</v>
      </c>
      <c r="B212" t="s">
        <v>1522</v>
      </c>
      <c r="C212" t="s">
        <v>1064</v>
      </c>
      <c r="D212" t="s">
        <v>1523</v>
      </c>
      <c r="E212" s="30" t="s">
        <v>15</v>
      </c>
      <c r="F212" s="30" t="s">
        <v>28</v>
      </c>
      <c r="G212" s="30"/>
      <c r="H212" s="30" t="s">
        <v>1524</v>
      </c>
      <c r="I212" s="142">
        <f t="shared" si="11"/>
        <v>26</v>
      </c>
      <c r="J212" s="147" t="s">
        <v>1846</v>
      </c>
      <c r="K212" s="142">
        <f t="shared" si="12"/>
        <v>2</v>
      </c>
      <c r="L212" s="143">
        <f t="shared" si="13"/>
        <v>0.9285714285714286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 t="s">
        <v>2124</v>
      </c>
      <c r="AF212" s="70" t="s">
        <v>2124</v>
      </c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199</v>
      </c>
      <c r="B213" t="s">
        <v>1186</v>
      </c>
      <c r="C213" t="s">
        <v>1065</v>
      </c>
      <c r="D213" t="s">
        <v>1187</v>
      </c>
      <c r="E213" s="30" t="s">
        <v>73</v>
      </c>
      <c r="F213" s="30" t="s">
        <v>16</v>
      </c>
      <c r="G213" s="30"/>
      <c r="H213" s="30" t="s">
        <v>1272</v>
      </c>
      <c r="I213" s="31">
        <f t="shared" si="11"/>
        <v>16</v>
      </c>
      <c r="J213" s="87"/>
      <c r="K213" s="31">
        <f t="shared" si="12"/>
        <v>12</v>
      </c>
      <c r="L213" s="32">
        <f t="shared" si="13"/>
        <v>0.5714285714285714</v>
      </c>
      <c r="M213" s="70" t="s">
        <v>2124</v>
      </c>
      <c r="N213" s="70"/>
      <c r="O213" s="70"/>
      <c r="P213" s="70" t="s">
        <v>2124</v>
      </c>
      <c r="Q213" s="70" t="s">
        <v>2124</v>
      </c>
      <c r="R213" s="70" t="s">
        <v>2124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 t="s">
        <v>2124</v>
      </c>
      <c r="AC213" s="70" t="s">
        <v>2124</v>
      </c>
      <c r="AD213" s="70"/>
      <c r="AE213" s="70" t="s">
        <v>2124</v>
      </c>
      <c r="AF213" s="70" t="s">
        <v>2124</v>
      </c>
      <c r="AG213" s="70" t="s">
        <v>2124</v>
      </c>
      <c r="AH213" s="70" t="s">
        <v>2124</v>
      </c>
      <c r="AI213" s="70" t="s">
        <v>2124</v>
      </c>
      <c r="AJ213" s="70" t="s">
        <v>2124</v>
      </c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199</v>
      </c>
      <c r="B214" t="s">
        <v>1188</v>
      </c>
      <c r="C214" t="s">
        <v>1065</v>
      </c>
      <c r="D214" t="s">
        <v>1189</v>
      </c>
      <c r="E214" s="30" t="s">
        <v>73</v>
      </c>
      <c r="F214" s="30" t="s">
        <v>20</v>
      </c>
      <c r="G214" s="30"/>
      <c r="H214" s="30" t="s">
        <v>1273</v>
      </c>
      <c r="I214" s="31">
        <f t="shared" si="11"/>
        <v>16</v>
      </c>
      <c r="J214" s="87"/>
      <c r="K214" s="31">
        <f t="shared" si="12"/>
        <v>12</v>
      </c>
      <c r="L214" s="32">
        <f t="shared" si="13"/>
        <v>0.5714285714285714</v>
      </c>
      <c r="M214" s="70" t="s">
        <v>2124</v>
      </c>
      <c r="N214" s="70"/>
      <c r="O214" s="70"/>
      <c r="P214" s="70" t="s">
        <v>2124</v>
      </c>
      <c r="Q214" s="70" t="s">
        <v>2124</v>
      </c>
      <c r="R214" s="70" t="s">
        <v>2124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2124</v>
      </c>
      <c r="AC214" s="70" t="s">
        <v>2124</v>
      </c>
      <c r="AD214" s="70"/>
      <c r="AE214" s="70" t="s">
        <v>2124</v>
      </c>
      <c r="AF214" s="70" t="s">
        <v>2124</v>
      </c>
      <c r="AG214" s="70" t="s">
        <v>2124</v>
      </c>
      <c r="AH214" s="70" t="s">
        <v>2124</v>
      </c>
      <c r="AI214" s="70" t="s">
        <v>2124</v>
      </c>
      <c r="AJ214" s="70" t="s">
        <v>2124</v>
      </c>
      <c r="AK214" s="70"/>
      <c r="AL214" s="70"/>
      <c r="AM214" s="70"/>
      <c r="AN214" s="70"/>
      <c r="AO214" s="70"/>
      <c r="AP214" s="70"/>
      <c r="AQ214" s="70"/>
    </row>
    <row r="215" spans="1:43" ht="15.75" thickBot="1" x14ac:dyDescent="0.3">
      <c r="A215" t="s">
        <v>1447</v>
      </c>
      <c r="B215" t="s">
        <v>959</v>
      </c>
      <c r="C215" t="s">
        <v>1064</v>
      </c>
      <c r="D215" t="s">
        <v>1088</v>
      </c>
      <c r="E215" s="30" t="s">
        <v>19</v>
      </c>
      <c r="F215" s="30" t="s">
        <v>1058</v>
      </c>
      <c r="G215" s="30"/>
      <c r="H215" s="30" t="s">
        <v>1436</v>
      </c>
      <c r="I215" s="31">
        <f t="shared" si="11"/>
        <v>26</v>
      </c>
      <c r="J215" s="147" t="s">
        <v>1847</v>
      </c>
      <c r="K215" s="31">
        <f t="shared" si="12"/>
        <v>2</v>
      </c>
      <c r="L215" s="32">
        <f t="shared" si="13"/>
        <v>0.9285714285714286</v>
      </c>
      <c r="M215" s="70" t="s">
        <v>2124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 t="s">
        <v>2124</v>
      </c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168</v>
      </c>
      <c r="B216" s="73" t="s">
        <v>252</v>
      </c>
      <c r="C216" s="73" t="s">
        <v>1064</v>
      </c>
      <c r="D216" s="73" t="s">
        <v>253</v>
      </c>
      <c r="E216" s="85" t="s">
        <v>19</v>
      </c>
      <c r="F216" s="85" t="s">
        <v>1303</v>
      </c>
      <c r="G216" s="85"/>
      <c r="H216" s="85" t="s">
        <v>1418</v>
      </c>
      <c r="I216" s="142">
        <f t="shared" si="11"/>
        <v>28</v>
      </c>
      <c r="J216" s="147" t="s">
        <v>1848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254</v>
      </c>
      <c r="B217" t="s">
        <v>255</v>
      </c>
      <c r="C217" t="s">
        <v>1064</v>
      </c>
      <c r="D217" t="s">
        <v>256</v>
      </c>
      <c r="E217" s="30" t="s">
        <v>73</v>
      </c>
      <c r="F217" s="30" t="s">
        <v>28</v>
      </c>
      <c r="G217" s="30"/>
      <c r="H217" s="30" t="s">
        <v>715</v>
      </c>
      <c r="I217" s="31">
        <f t="shared" si="11"/>
        <v>26</v>
      </c>
      <c r="J217" s="147" t="s">
        <v>1849</v>
      </c>
      <c r="K217" s="31">
        <f t="shared" si="12"/>
        <v>2</v>
      </c>
      <c r="L217" s="32">
        <f t="shared" si="13"/>
        <v>0.9285714285714286</v>
      </c>
      <c r="M217" s="70" t="s">
        <v>2124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 t="s">
        <v>2124</v>
      </c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254</v>
      </c>
      <c r="B218" t="s">
        <v>257</v>
      </c>
      <c r="C218" t="s">
        <v>1064</v>
      </c>
      <c r="D218" t="s">
        <v>256</v>
      </c>
      <c r="E218" s="30" t="s">
        <v>46</v>
      </c>
      <c r="F218" s="30" t="s">
        <v>28</v>
      </c>
      <c r="G218" s="30"/>
      <c r="H218" s="30" t="s">
        <v>700</v>
      </c>
      <c r="I218" s="31">
        <f t="shared" si="11"/>
        <v>26</v>
      </c>
      <c r="J218" s="147" t="s">
        <v>1850</v>
      </c>
      <c r="K218" s="31">
        <f t="shared" si="12"/>
        <v>2</v>
      </c>
      <c r="L218" s="32">
        <f t="shared" si="13"/>
        <v>0.9285714285714286</v>
      </c>
      <c r="M218" s="70" t="s">
        <v>2124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 t="s">
        <v>2124</v>
      </c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254</v>
      </c>
      <c r="B219" s="73" t="s">
        <v>1325</v>
      </c>
      <c r="C219" s="73" t="s">
        <v>1064</v>
      </c>
      <c r="D219" s="73" t="s">
        <v>1329</v>
      </c>
      <c r="E219" s="85" t="s">
        <v>15</v>
      </c>
      <c r="F219" s="85" t="s">
        <v>1303</v>
      </c>
      <c r="G219" s="85"/>
      <c r="H219" s="85" t="s">
        <v>1330</v>
      </c>
      <c r="I219" s="142">
        <f t="shared" si="11"/>
        <v>28</v>
      </c>
      <c r="J219" s="147" t="s">
        <v>1851</v>
      </c>
      <c r="K219" s="142">
        <f t="shared" si="12"/>
        <v>0</v>
      </c>
      <c r="L219" s="143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s="73" customFormat="1" ht="15.75" thickBot="1" x14ac:dyDescent="0.3">
      <c r="A220" s="73" t="s">
        <v>254</v>
      </c>
      <c r="B220" s="73" t="s">
        <v>1421</v>
      </c>
      <c r="C220" s="73" t="s">
        <v>1064</v>
      </c>
      <c r="D220" s="73" t="s">
        <v>1422</v>
      </c>
      <c r="E220" s="85" t="s">
        <v>15</v>
      </c>
      <c r="F220" s="85" t="s">
        <v>1303</v>
      </c>
      <c r="G220" s="85"/>
      <c r="H220" s="85" t="s">
        <v>1423</v>
      </c>
      <c r="I220" s="142">
        <f t="shared" si="11"/>
        <v>28</v>
      </c>
      <c r="J220" s="147" t="s">
        <v>1852</v>
      </c>
      <c r="K220" s="142">
        <f t="shared" si="12"/>
        <v>0</v>
      </c>
      <c r="L220" s="143">
        <f t="shared" si="13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3" s="73" customFormat="1" ht="15.75" thickBot="1" x14ac:dyDescent="0.3">
      <c r="A221" s="73" t="s">
        <v>254</v>
      </c>
      <c r="B221" s="73" t="s">
        <v>1598</v>
      </c>
      <c r="C221" s="73" t="s">
        <v>1064</v>
      </c>
      <c r="D221" s="73" t="s">
        <v>1599</v>
      </c>
      <c r="E221" s="85" t="s">
        <v>15</v>
      </c>
      <c r="F221" s="85" t="s">
        <v>1303</v>
      </c>
      <c r="G221" s="85"/>
      <c r="H221" s="85" t="s">
        <v>1600</v>
      </c>
      <c r="I221" s="142">
        <f t="shared" si="11"/>
        <v>28</v>
      </c>
      <c r="J221" s="87"/>
      <c r="K221" s="142">
        <f t="shared" si="12"/>
        <v>0</v>
      </c>
      <c r="L221" s="143">
        <f t="shared" si="13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3" s="73" customFormat="1" ht="15.75" thickBot="1" x14ac:dyDescent="0.3">
      <c r="A222" s="73" t="s">
        <v>258</v>
      </c>
      <c r="B222" s="73" t="s">
        <v>960</v>
      </c>
      <c r="C222" s="73" t="s">
        <v>1065</v>
      </c>
      <c r="D222" s="73" t="s">
        <v>259</v>
      </c>
      <c r="E222" s="85" t="s">
        <v>15</v>
      </c>
      <c r="F222" s="85" t="s">
        <v>1303</v>
      </c>
      <c r="G222" s="85"/>
      <c r="H222" s="85" t="s">
        <v>716</v>
      </c>
      <c r="I222" s="142">
        <f t="shared" si="11"/>
        <v>28</v>
      </c>
      <c r="J222" s="147" t="s">
        <v>1853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s="73" customFormat="1" ht="15.75" thickBot="1" x14ac:dyDescent="0.3">
      <c r="A223" s="73" t="s">
        <v>258</v>
      </c>
      <c r="B223" s="73" t="s">
        <v>260</v>
      </c>
      <c r="C223" s="73" t="s">
        <v>1065</v>
      </c>
      <c r="D223" s="73" t="s">
        <v>261</v>
      </c>
      <c r="E223" s="85" t="s">
        <v>73</v>
      </c>
      <c r="F223" s="85" t="s">
        <v>1303</v>
      </c>
      <c r="G223" s="85"/>
      <c r="H223" s="85" t="s">
        <v>717</v>
      </c>
      <c r="I223" s="142">
        <f t="shared" si="11"/>
        <v>28</v>
      </c>
      <c r="J223" s="147" t="s">
        <v>1854</v>
      </c>
      <c r="K223" s="142">
        <f t="shared" si="12"/>
        <v>0</v>
      </c>
      <c r="L223" s="143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  <c r="AQ223" s="89"/>
    </row>
    <row r="224" spans="1:43" s="73" customFormat="1" ht="15.75" thickBot="1" x14ac:dyDescent="0.3">
      <c r="A224" s="73" t="s">
        <v>258</v>
      </c>
      <c r="B224" s="73" t="s">
        <v>262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718</v>
      </c>
      <c r="I224" s="142">
        <f t="shared" si="11"/>
        <v>28</v>
      </c>
      <c r="J224" s="147" t="s">
        <v>1855</v>
      </c>
      <c r="K224" s="142">
        <f t="shared" si="12"/>
        <v>0</v>
      </c>
      <c r="L224" s="143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  <c r="AQ224" s="89"/>
    </row>
    <row r="225" spans="1:43" ht="15.75" thickBot="1" x14ac:dyDescent="0.3">
      <c r="A225" t="s">
        <v>267</v>
      </c>
      <c r="B225" t="s">
        <v>961</v>
      </c>
      <c r="C225" t="s">
        <v>1064</v>
      </c>
      <c r="D225" t="s">
        <v>272</v>
      </c>
      <c r="E225" s="30" t="s">
        <v>73</v>
      </c>
      <c r="F225" s="30" t="s">
        <v>28</v>
      </c>
      <c r="G225" s="30"/>
      <c r="H225" s="30" t="s">
        <v>723</v>
      </c>
      <c r="I225" s="31">
        <f t="shared" si="11"/>
        <v>28</v>
      </c>
      <c r="J225" s="147" t="s">
        <v>1856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267</v>
      </c>
      <c r="B226" t="s">
        <v>962</v>
      </c>
      <c r="C226" t="s">
        <v>1064</v>
      </c>
      <c r="D226" t="s">
        <v>1089</v>
      </c>
      <c r="E226" s="30" t="s">
        <v>19</v>
      </c>
      <c r="F226" s="30" t="s">
        <v>28</v>
      </c>
      <c r="G226" s="30"/>
      <c r="H226" s="30" t="s">
        <v>725</v>
      </c>
      <c r="I226" s="31">
        <f t="shared" si="11"/>
        <v>27</v>
      </c>
      <c r="J226" s="147" t="s">
        <v>1857</v>
      </c>
      <c r="K226" s="31">
        <f t="shared" si="12"/>
        <v>1</v>
      </c>
      <c r="L226" s="32">
        <f t="shared" si="13"/>
        <v>0.9642857142857143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 t="s">
        <v>2124</v>
      </c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963</v>
      </c>
      <c r="C227" t="s">
        <v>1064</v>
      </c>
      <c r="D227" t="s">
        <v>279</v>
      </c>
      <c r="E227" s="30" t="s">
        <v>19</v>
      </c>
      <c r="F227" s="30" t="s">
        <v>28</v>
      </c>
      <c r="G227" s="30"/>
      <c r="H227" s="30" t="s">
        <v>1486</v>
      </c>
      <c r="I227" s="31">
        <f t="shared" si="11"/>
        <v>27</v>
      </c>
      <c r="J227" s="147" t="s">
        <v>1858</v>
      </c>
      <c r="K227" s="31">
        <f t="shared" si="12"/>
        <v>1</v>
      </c>
      <c r="L227" s="32">
        <f t="shared" si="13"/>
        <v>0.9642857142857143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 t="s">
        <v>2124</v>
      </c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964</v>
      </c>
      <c r="C228" t="s">
        <v>1064</v>
      </c>
      <c r="D228" t="s">
        <v>282</v>
      </c>
      <c r="E228" s="30" t="s">
        <v>73</v>
      </c>
      <c r="F228" s="30" t="s">
        <v>28</v>
      </c>
      <c r="G228" s="30"/>
      <c r="H228" s="30" t="s">
        <v>727</v>
      </c>
      <c r="I228" s="31">
        <f t="shared" si="11"/>
        <v>27</v>
      </c>
      <c r="J228" s="147" t="s">
        <v>1859</v>
      </c>
      <c r="K228" s="31">
        <f t="shared" si="12"/>
        <v>1</v>
      </c>
      <c r="L228" s="32">
        <f t="shared" si="13"/>
        <v>0.9642857142857143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2124</v>
      </c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267</v>
      </c>
      <c r="B229" t="s">
        <v>965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728</v>
      </c>
      <c r="I229" s="31">
        <f t="shared" si="11"/>
        <v>27</v>
      </c>
      <c r="J229" s="147" t="s">
        <v>1860</v>
      </c>
      <c r="K229" s="31">
        <f t="shared" si="12"/>
        <v>1</v>
      </c>
      <c r="L229" s="32">
        <f t="shared" si="13"/>
        <v>0.9642857142857143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 t="s">
        <v>2124</v>
      </c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966</v>
      </c>
      <c r="C230" t="s">
        <v>1064</v>
      </c>
      <c r="D230" t="s">
        <v>263</v>
      </c>
      <c r="E230" s="30" t="s">
        <v>46</v>
      </c>
      <c r="F230" s="30" t="s">
        <v>28</v>
      </c>
      <c r="G230" s="30"/>
      <c r="H230" s="30" t="s">
        <v>719</v>
      </c>
      <c r="I230" s="31">
        <f t="shared" si="11"/>
        <v>27</v>
      </c>
      <c r="J230" s="147" t="s">
        <v>1861</v>
      </c>
      <c r="K230" s="31">
        <f t="shared" si="12"/>
        <v>1</v>
      </c>
      <c r="L230" s="32">
        <f t="shared" si="13"/>
        <v>0.9642857142857143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 t="s">
        <v>2124</v>
      </c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264</v>
      </c>
      <c r="B231" t="s">
        <v>265</v>
      </c>
      <c r="C231" t="s">
        <v>1064</v>
      </c>
      <c r="D231" t="s">
        <v>266</v>
      </c>
      <c r="E231" s="30" t="s">
        <v>19</v>
      </c>
      <c r="F231" s="30" t="s">
        <v>28</v>
      </c>
      <c r="G231" s="30"/>
      <c r="H231" s="30" t="s">
        <v>720</v>
      </c>
      <c r="I231" s="31">
        <f t="shared" si="11"/>
        <v>27</v>
      </c>
      <c r="J231" s="147" t="s">
        <v>1862</v>
      </c>
      <c r="K231" s="31">
        <f t="shared" si="12"/>
        <v>1</v>
      </c>
      <c r="L231" s="32">
        <f t="shared" si="13"/>
        <v>0.9642857142857143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 t="s">
        <v>2124</v>
      </c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268</v>
      </c>
      <c r="C232" t="s">
        <v>1064</v>
      </c>
      <c r="D232" t="s">
        <v>269</v>
      </c>
      <c r="E232" s="30" t="s">
        <v>73</v>
      </c>
      <c r="F232" s="30" t="s">
        <v>28</v>
      </c>
      <c r="G232" s="30"/>
      <c r="H232" s="30" t="s">
        <v>721</v>
      </c>
      <c r="I232" s="31">
        <f t="shared" si="11"/>
        <v>27</v>
      </c>
      <c r="J232" s="147" t="s">
        <v>1863</v>
      </c>
      <c r="K232" s="31">
        <f t="shared" si="12"/>
        <v>1</v>
      </c>
      <c r="L232" s="32">
        <f t="shared" si="13"/>
        <v>0.9642857142857143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 t="s">
        <v>2124</v>
      </c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270</v>
      </c>
      <c r="C233" t="s">
        <v>1064</v>
      </c>
      <c r="D233" t="s">
        <v>271</v>
      </c>
      <c r="E233" s="30" t="s">
        <v>46</v>
      </c>
      <c r="F233" s="30" t="s">
        <v>28</v>
      </c>
      <c r="G233" s="30"/>
      <c r="H233" s="30" t="s">
        <v>722</v>
      </c>
      <c r="I233" s="31">
        <f t="shared" ref="I233:I300" si="14">COUNTIF(M233:AN233,"")</f>
        <v>27</v>
      </c>
      <c r="J233" s="147" t="s">
        <v>1864</v>
      </c>
      <c r="K233" s="31">
        <f t="shared" ref="K233:K300" si="15">COUNTIF(M233:AN233,"APAGADO")</f>
        <v>1</v>
      </c>
      <c r="L233" s="32">
        <f t="shared" ref="L233:L300" si="16">(I233)/(K233+I233)</f>
        <v>0.9642857142857143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 t="s">
        <v>2124</v>
      </c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264</v>
      </c>
      <c r="B234" t="s">
        <v>273</v>
      </c>
      <c r="C234" t="s">
        <v>1064</v>
      </c>
      <c r="D234" t="s">
        <v>274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4"/>
        <v>27</v>
      </c>
      <c r="J234" s="147" t="s">
        <v>1865</v>
      </c>
      <c r="K234" s="31">
        <f t="shared" si="15"/>
        <v>1</v>
      </c>
      <c r="L234" s="32">
        <f t="shared" si="16"/>
        <v>0.9642857142857143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 t="s">
        <v>2124</v>
      </c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275</v>
      </c>
      <c r="C235" t="s">
        <v>1064</v>
      </c>
      <c r="D235" t="s">
        <v>276</v>
      </c>
      <c r="E235" s="30" t="s">
        <v>19</v>
      </c>
      <c r="F235" s="30" t="s">
        <v>28</v>
      </c>
      <c r="G235" s="30"/>
      <c r="H235" s="30" t="s">
        <v>713</v>
      </c>
      <c r="I235" s="31">
        <f t="shared" si="14"/>
        <v>27</v>
      </c>
      <c r="J235" s="147" t="s">
        <v>1866</v>
      </c>
      <c r="K235" s="31">
        <f t="shared" si="15"/>
        <v>1</v>
      </c>
      <c r="L235" s="32">
        <f t="shared" si="16"/>
        <v>0.9642857142857143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 t="s">
        <v>2124</v>
      </c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277</v>
      </c>
      <c r="C236" t="s">
        <v>1064</v>
      </c>
      <c r="D236" t="s">
        <v>278</v>
      </c>
      <c r="E236" s="30" t="s">
        <v>19</v>
      </c>
      <c r="F236" s="30" t="s">
        <v>28</v>
      </c>
      <c r="G236" s="30"/>
      <c r="H236" s="30" t="s">
        <v>1445</v>
      </c>
      <c r="I236" s="31">
        <f t="shared" si="14"/>
        <v>26</v>
      </c>
      <c r="J236" s="147" t="s">
        <v>1867</v>
      </c>
      <c r="K236" s="31">
        <f t="shared" si="15"/>
        <v>2</v>
      </c>
      <c r="L236" s="32">
        <f t="shared" si="16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 t="s">
        <v>2124</v>
      </c>
      <c r="X236" s="70"/>
      <c r="Y236" s="70"/>
      <c r="Z236" s="70"/>
      <c r="AA236" s="70" t="s">
        <v>2124</v>
      </c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280</v>
      </c>
      <c r="C237" t="s">
        <v>1064</v>
      </c>
      <c r="D237" t="s">
        <v>281</v>
      </c>
      <c r="E237" s="30" t="s">
        <v>19</v>
      </c>
      <c r="F237" s="30" t="s">
        <v>28</v>
      </c>
      <c r="G237" s="30"/>
      <c r="H237" s="30" t="s">
        <v>726</v>
      </c>
      <c r="I237" s="31">
        <f t="shared" si="14"/>
        <v>27</v>
      </c>
      <c r="J237" s="147" t="s">
        <v>1868</v>
      </c>
      <c r="K237" s="31">
        <f t="shared" si="15"/>
        <v>1</v>
      </c>
      <c r="L237" s="32">
        <f t="shared" si="16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 t="s">
        <v>2124</v>
      </c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283</v>
      </c>
      <c r="C238" t="s">
        <v>1064</v>
      </c>
      <c r="D238" t="s">
        <v>284</v>
      </c>
      <c r="E238" s="30" t="s">
        <v>15</v>
      </c>
      <c r="F238" s="30" t="s">
        <v>28</v>
      </c>
      <c r="G238" s="30"/>
      <c r="H238" s="30" t="s">
        <v>729</v>
      </c>
      <c r="I238" s="31">
        <f t="shared" si="14"/>
        <v>27</v>
      </c>
      <c r="J238" s="147" t="s">
        <v>1869</v>
      </c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 t="s">
        <v>2124</v>
      </c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s="30" t="s">
        <v>1213</v>
      </c>
      <c r="C239" s="30" t="s">
        <v>1064</v>
      </c>
      <c r="D239" t="s">
        <v>1208</v>
      </c>
      <c r="E239" s="30" t="s">
        <v>15</v>
      </c>
      <c r="F239" s="30" t="s">
        <v>28</v>
      </c>
      <c r="G239" s="30"/>
      <c r="H239" s="30" t="s">
        <v>1209</v>
      </c>
      <c r="I239" s="31">
        <f t="shared" si="14"/>
        <v>27</v>
      </c>
      <c r="J239" s="147" t="s">
        <v>1870</v>
      </c>
      <c r="K239" s="31">
        <f t="shared" si="15"/>
        <v>1</v>
      </c>
      <c r="L239" s="32">
        <f t="shared" si="16"/>
        <v>0.9642857142857143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2124</v>
      </c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s="91" customFormat="1" ht="15.75" thickBot="1" x14ac:dyDescent="0.3">
      <c r="A240" s="91" t="s">
        <v>287</v>
      </c>
      <c r="B240" s="91" t="s">
        <v>967</v>
      </c>
      <c r="C240" s="91" t="s">
        <v>1065</v>
      </c>
      <c r="D240" s="91" t="s">
        <v>1090</v>
      </c>
      <c r="E240" s="92" t="s">
        <v>19</v>
      </c>
      <c r="F240" s="92" t="s">
        <v>20</v>
      </c>
      <c r="G240" s="92"/>
      <c r="H240" s="92" t="s">
        <v>730</v>
      </c>
      <c r="I240" s="31">
        <f t="shared" si="14"/>
        <v>2</v>
      </c>
      <c r="J240" s="87"/>
      <c r="K240" s="31">
        <f t="shared" si="15"/>
        <v>26</v>
      </c>
      <c r="L240" s="32">
        <f t="shared" si="16"/>
        <v>7.1428571428571425E-2</v>
      </c>
      <c r="M240" s="70" t="s">
        <v>2124</v>
      </c>
      <c r="N240" s="70" t="s">
        <v>2124</v>
      </c>
      <c r="O240" s="70" t="s">
        <v>2124</v>
      </c>
      <c r="P240" s="70" t="s">
        <v>2124</v>
      </c>
      <c r="Q240" s="70" t="s">
        <v>2124</v>
      </c>
      <c r="R240" s="70" t="s">
        <v>2124</v>
      </c>
      <c r="S240" s="70" t="s">
        <v>2124</v>
      </c>
      <c r="T240" s="70" t="s">
        <v>2124</v>
      </c>
      <c r="U240" s="70" t="s">
        <v>2124</v>
      </c>
      <c r="V240" s="70" t="s">
        <v>2124</v>
      </c>
      <c r="W240" s="70" t="s">
        <v>2124</v>
      </c>
      <c r="X240" s="70" t="s">
        <v>2124</v>
      </c>
      <c r="Y240" s="70" t="s">
        <v>2124</v>
      </c>
      <c r="Z240" s="70" t="s">
        <v>2124</v>
      </c>
      <c r="AA240" s="70" t="s">
        <v>2124</v>
      </c>
      <c r="AB240" s="70" t="s">
        <v>2124</v>
      </c>
      <c r="AC240" s="70" t="s">
        <v>2124</v>
      </c>
      <c r="AD240" s="70" t="s">
        <v>2124</v>
      </c>
      <c r="AE240" s="93" t="s">
        <v>2124</v>
      </c>
      <c r="AF240" s="93" t="s">
        <v>2124</v>
      </c>
      <c r="AG240" s="70" t="s">
        <v>2124</v>
      </c>
      <c r="AH240" s="93" t="s">
        <v>2124</v>
      </c>
      <c r="AI240" s="93" t="s">
        <v>2124</v>
      </c>
      <c r="AJ240" s="93" t="s">
        <v>2124</v>
      </c>
      <c r="AK240" s="93" t="s">
        <v>2124</v>
      </c>
      <c r="AL240" s="93" t="s">
        <v>2124</v>
      </c>
      <c r="AM240" s="93"/>
      <c r="AN240" s="93"/>
      <c r="AO240" s="93"/>
      <c r="AP240" s="93"/>
      <c r="AQ240" s="93"/>
    </row>
    <row r="241" spans="1:43" ht="15.75" thickBot="1" x14ac:dyDescent="0.3">
      <c r="A241" t="s">
        <v>229</v>
      </c>
      <c r="B241" t="s">
        <v>285</v>
      </c>
      <c r="C241" t="s">
        <v>1065</v>
      </c>
      <c r="D241" t="s">
        <v>286</v>
      </c>
      <c r="E241" s="30" t="s">
        <v>15</v>
      </c>
      <c r="F241" s="30" t="s">
        <v>1058</v>
      </c>
      <c r="G241" s="30"/>
      <c r="H241" s="30" t="s">
        <v>1066</v>
      </c>
      <c r="I241" s="31">
        <f t="shared" si="14"/>
        <v>27</v>
      </c>
      <c r="J241" s="147" t="s">
        <v>1826</v>
      </c>
      <c r="K241" s="31">
        <f t="shared" si="15"/>
        <v>1</v>
      </c>
      <c r="L241" s="32">
        <f t="shared" si="16"/>
        <v>0.9642857142857143</v>
      </c>
      <c r="M241" s="70"/>
      <c r="N241" s="70"/>
      <c r="O241" s="70"/>
      <c r="P241" s="70"/>
      <c r="Q241" s="70"/>
      <c r="R241" s="70"/>
      <c r="S241" s="71"/>
      <c r="T241" s="70"/>
      <c r="U241" s="70"/>
      <c r="V241" s="70"/>
      <c r="W241" s="70"/>
      <c r="X241" s="70"/>
      <c r="Y241" s="70" t="s">
        <v>2124</v>
      </c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287</v>
      </c>
      <c r="B242" t="s">
        <v>288</v>
      </c>
      <c r="C242" t="s">
        <v>1065</v>
      </c>
      <c r="D242" t="s">
        <v>289</v>
      </c>
      <c r="E242" s="30" t="s">
        <v>15</v>
      </c>
      <c r="F242" s="30" t="s">
        <v>28</v>
      </c>
      <c r="G242" s="30"/>
      <c r="H242" s="30" t="s">
        <v>731</v>
      </c>
      <c r="I242" s="31">
        <f t="shared" si="14"/>
        <v>25</v>
      </c>
      <c r="J242" s="147" t="s">
        <v>1871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 t="s">
        <v>2124</v>
      </c>
      <c r="T242" s="70" t="s">
        <v>2124</v>
      </c>
      <c r="U242" s="70"/>
      <c r="V242" s="70"/>
      <c r="W242" s="70"/>
      <c r="X242" s="70"/>
      <c r="Y242" s="70"/>
      <c r="Z242" s="70"/>
      <c r="AA242" s="70" t="s">
        <v>2124</v>
      </c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12</v>
      </c>
      <c r="B243" s="33" t="s">
        <v>13</v>
      </c>
      <c r="C243" t="s">
        <v>1065</v>
      </c>
      <c r="D243" t="s">
        <v>14</v>
      </c>
      <c r="E243" s="30" t="s">
        <v>15</v>
      </c>
      <c r="F243" s="30" t="s">
        <v>1058</v>
      </c>
      <c r="G243" s="30"/>
      <c r="H243" s="30" t="s">
        <v>732</v>
      </c>
      <c r="I243" s="31">
        <f t="shared" si="14"/>
        <v>26</v>
      </c>
      <c r="J243" s="87"/>
      <c r="K243" s="31">
        <f t="shared" si="15"/>
        <v>2</v>
      </c>
      <c r="L243" s="32">
        <f t="shared" si="16"/>
        <v>0.9285714285714286</v>
      </c>
      <c r="M243" s="70"/>
      <c r="N243" s="70"/>
      <c r="O243" s="70"/>
      <c r="P243" s="70"/>
      <c r="Q243" s="70"/>
      <c r="R243" s="70" t="s">
        <v>2124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 t="s">
        <v>2124</v>
      </c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375</v>
      </c>
      <c r="B244" t="s">
        <v>968</v>
      </c>
      <c r="C244" t="s">
        <v>1065</v>
      </c>
      <c r="D244" t="s">
        <v>969</v>
      </c>
      <c r="E244" s="30" t="s">
        <v>73</v>
      </c>
      <c r="F244" s="30" t="s">
        <v>28</v>
      </c>
      <c r="G244" s="30"/>
      <c r="H244" s="30" t="s">
        <v>1219</v>
      </c>
      <c r="I244" s="31">
        <f t="shared" si="14"/>
        <v>27</v>
      </c>
      <c r="J244" s="147" t="s">
        <v>1872</v>
      </c>
      <c r="K244" s="31">
        <f t="shared" si="15"/>
        <v>1</v>
      </c>
      <c r="L244" s="32">
        <f t="shared" si="16"/>
        <v>0.9642857142857143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 t="s">
        <v>2124</v>
      </c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970</v>
      </c>
      <c r="B245" t="s">
        <v>971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1220</v>
      </c>
      <c r="I245" s="31">
        <f t="shared" si="14"/>
        <v>27</v>
      </c>
      <c r="J245" s="147" t="s">
        <v>1873</v>
      </c>
      <c r="K245" s="31">
        <f t="shared" si="15"/>
        <v>1</v>
      </c>
      <c r="L245" s="32">
        <f t="shared" si="16"/>
        <v>0.9642857142857143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 t="s">
        <v>2124</v>
      </c>
      <c r="AK245" s="70"/>
      <c r="AL245" s="70"/>
      <c r="AM245" s="70"/>
      <c r="AN245" s="70"/>
      <c r="AO245" s="70"/>
      <c r="AP245" s="70"/>
      <c r="AQ245" s="70"/>
    </row>
    <row r="246" spans="1:43" s="73" customFormat="1" ht="15.75" thickBot="1" x14ac:dyDescent="0.3">
      <c r="A246" s="73" t="s">
        <v>17</v>
      </c>
      <c r="B246" s="144" t="s">
        <v>18</v>
      </c>
      <c r="C246" s="73" t="s">
        <v>1065</v>
      </c>
      <c r="D246" s="73" t="s">
        <v>1091</v>
      </c>
      <c r="E246" s="85" t="s">
        <v>19</v>
      </c>
      <c r="F246" s="85" t="s">
        <v>1303</v>
      </c>
      <c r="G246" s="85"/>
      <c r="H246" s="85" t="s">
        <v>1380</v>
      </c>
      <c r="I246" s="142">
        <f t="shared" si="14"/>
        <v>27</v>
      </c>
      <c r="J246" s="147" t="s">
        <v>1874</v>
      </c>
      <c r="K246" s="142">
        <f t="shared" si="15"/>
        <v>1</v>
      </c>
      <c r="L246" s="143">
        <f t="shared" si="16"/>
        <v>0.9642857142857143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 t="s">
        <v>2124</v>
      </c>
      <c r="AK246" s="70"/>
      <c r="AL246" s="70"/>
      <c r="AM246" s="70"/>
      <c r="AN246" s="70"/>
      <c r="AO246" s="70"/>
      <c r="AP246" s="89"/>
      <c r="AQ246" s="89"/>
    </row>
    <row r="247" spans="1:43" s="73" customFormat="1" ht="15.75" thickBot="1" x14ac:dyDescent="0.3">
      <c r="A247" s="73" t="s">
        <v>17</v>
      </c>
      <c r="B247" s="144" t="s">
        <v>21</v>
      </c>
      <c r="C247" s="73" t="s">
        <v>1065</v>
      </c>
      <c r="D247" s="73" t="s">
        <v>22</v>
      </c>
      <c r="E247" s="85" t="s">
        <v>19</v>
      </c>
      <c r="F247" s="85" t="s">
        <v>1303</v>
      </c>
      <c r="G247" s="85"/>
      <c r="H247" s="85" t="s">
        <v>1381</v>
      </c>
      <c r="I247" s="142">
        <f t="shared" si="14"/>
        <v>27</v>
      </c>
      <c r="J247" s="147" t="s">
        <v>1875</v>
      </c>
      <c r="K247" s="142">
        <f t="shared" si="15"/>
        <v>1</v>
      </c>
      <c r="L247" s="143">
        <f t="shared" si="16"/>
        <v>0.9642857142857143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 t="s">
        <v>2124</v>
      </c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17</v>
      </c>
      <c r="B248" s="33" t="s">
        <v>23</v>
      </c>
      <c r="C248" t="s">
        <v>1065</v>
      </c>
      <c r="D248" t="s">
        <v>609</v>
      </c>
      <c r="E248" s="30" t="s">
        <v>15</v>
      </c>
      <c r="F248" s="30" t="s">
        <v>1058</v>
      </c>
      <c r="G248" s="30" t="s">
        <v>1256</v>
      </c>
      <c r="H248" s="30" t="s">
        <v>733</v>
      </c>
      <c r="I248" s="31">
        <f t="shared" si="14"/>
        <v>23</v>
      </c>
      <c r="J248" s="147" t="s">
        <v>1876</v>
      </c>
      <c r="K248" s="31">
        <f t="shared" si="15"/>
        <v>5</v>
      </c>
      <c r="L248" s="32">
        <f t="shared" si="16"/>
        <v>0.8214285714285714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 t="s">
        <v>2124</v>
      </c>
      <c r="X248" s="70" t="s">
        <v>2124</v>
      </c>
      <c r="Y248" s="70" t="s">
        <v>2124</v>
      </c>
      <c r="Z248" s="70" t="s">
        <v>2124</v>
      </c>
      <c r="AA248" s="70" t="s">
        <v>2124</v>
      </c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3.5" customHeight="1" thickBot="1" x14ac:dyDescent="0.3">
      <c r="A249" t="s">
        <v>17</v>
      </c>
      <c r="B249" s="33" t="s">
        <v>24</v>
      </c>
      <c r="C249" t="s">
        <v>1065</v>
      </c>
      <c r="D249" t="s">
        <v>25</v>
      </c>
      <c r="E249" s="30" t="s">
        <v>15</v>
      </c>
      <c r="F249" s="30" t="s">
        <v>20</v>
      </c>
      <c r="G249" s="30"/>
      <c r="H249" s="30" t="s">
        <v>734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8" customHeight="1" thickBot="1" x14ac:dyDescent="0.3">
      <c r="A250" s="69"/>
      <c r="B250" t="s">
        <v>1233</v>
      </c>
      <c r="C250" t="s">
        <v>1064</v>
      </c>
      <c r="D250" t="s">
        <v>1234</v>
      </c>
      <c r="E250" t="s">
        <v>19</v>
      </c>
      <c r="F250" t="s">
        <v>28</v>
      </c>
      <c r="G250"/>
      <c r="H250" s="30" t="s">
        <v>1274</v>
      </c>
      <c r="I250" s="31">
        <f t="shared" si="14"/>
        <v>26</v>
      </c>
      <c r="J250" s="147" t="s">
        <v>1877</v>
      </c>
      <c r="K250" s="31">
        <f t="shared" si="15"/>
        <v>2</v>
      </c>
      <c r="L250" s="32">
        <f t="shared" si="16"/>
        <v>0.9285714285714286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 t="s">
        <v>2124</v>
      </c>
      <c r="AD250" s="70"/>
      <c r="AE250" s="70"/>
      <c r="AF250" s="70"/>
      <c r="AG250" s="70"/>
      <c r="AH250" s="70"/>
      <c r="AI250" s="70" t="s">
        <v>2124</v>
      </c>
      <c r="AJ250" s="70"/>
      <c r="AK250" s="70"/>
      <c r="AL250" s="70"/>
      <c r="AM250" s="70"/>
      <c r="AN250" s="70"/>
      <c r="AO250" s="70"/>
      <c r="AP250" s="70"/>
      <c r="AQ250" s="70"/>
    </row>
    <row r="251" spans="1:43" ht="15" customHeight="1" thickBot="1" x14ac:dyDescent="0.3">
      <c r="A251" s="69"/>
      <c r="B251" t="s">
        <v>1318</v>
      </c>
      <c r="C251" t="s">
        <v>1064</v>
      </c>
      <c r="D251" t="s">
        <v>1321</v>
      </c>
      <c r="E251" s="30" t="s">
        <v>15</v>
      </c>
      <c r="F251" s="30" t="s">
        <v>28</v>
      </c>
      <c r="G251"/>
      <c r="H251" s="30" t="s">
        <v>1333</v>
      </c>
      <c r="I251" s="31">
        <f t="shared" si="14"/>
        <v>28</v>
      </c>
      <c r="J251" s="147" t="s">
        <v>1878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290</v>
      </c>
      <c r="B252" s="73" t="s">
        <v>972</v>
      </c>
      <c r="C252" s="73" t="s">
        <v>1064</v>
      </c>
      <c r="D252" s="73" t="s">
        <v>291</v>
      </c>
      <c r="E252" s="85" t="s">
        <v>73</v>
      </c>
      <c r="F252" s="85" t="s">
        <v>1303</v>
      </c>
      <c r="G252" s="85"/>
      <c r="H252" s="85" t="s">
        <v>735</v>
      </c>
      <c r="I252" s="142">
        <f t="shared" si="14"/>
        <v>28</v>
      </c>
      <c r="J252" s="147" t="s">
        <v>1879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ht="15.75" thickBot="1" x14ac:dyDescent="0.3">
      <c r="A253" t="s">
        <v>267</v>
      </c>
      <c r="B253" t="s">
        <v>292</v>
      </c>
      <c r="C253" t="s">
        <v>1064</v>
      </c>
      <c r="D253" t="s">
        <v>293</v>
      </c>
      <c r="E253" s="30" t="s">
        <v>73</v>
      </c>
      <c r="F253" s="30" t="s">
        <v>28</v>
      </c>
      <c r="G253" s="30"/>
      <c r="H253" s="30" t="s">
        <v>1062</v>
      </c>
      <c r="I253" s="31">
        <f t="shared" si="14"/>
        <v>27</v>
      </c>
      <c r="J253" s="147" t="s">
        <v>1880</v>
      </c>
      <c r="K253" s="31">
        <f t="shared" si="15"/>
        <v>1</v>
      </c>
      <c r="L253" s="32">
        <f t="shared" si="16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 t="s">
        <v>2124</v>
      </c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t="s">
        <v>294</v>
      </c>
      <c r="B254" t="s">
        <v>973</v>
      </c>
      <c r="C254" t="s">
        <v>1064</v>
      </c>
      <c r="D254" t="s">
        <v>295</v>
      </c>
      <c r="E254" s="30" t="s">
        <v>19</v>
      </c>
      <c r="F254" s="30" t="s">
        <v>28</v>
      </c>
      <c r="G254" s="30"/>
      <c r="H254" s="30" t="s">
        <v>736</v>
      </c>
      <c r="I254" s="31">
        <f t="shared" si="14"/>
        <v>28</v>
      </c>
      <c r="J254" s="147" t="s">
        <v>1881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290</v>
      </c>
      <c r="B255" t="s">
        <v>296</v>
      </c>
      <c r="C255" t="s">
        <v>1064</v>
      </c>
      <c r="D255" t="s">
        <v>297</v>
      </c>
      <c r="E255" s="30" t="s">
        <v>19</v>
      </c>
      <c r="F255" s="30" t="s">
        <v>28</v>
      </c>
      <c r="G255" s="30"/>
      <c r="H255" s="30" t="s">
        <v>737</v>
      </c>
      <c r="I255" s="31">
        <f t="shared" si="14"/>
        <v>27</v>
      </c>
      <c r="J255" s="147" t="s">
        <v>1868</v>
      </c>
      <c r="K255" s="31">
        <f t="shared" si="15"/>
        <v>1</v>
      </c>
      <c r="L255" s="32">
        <f t="shared" si="16"/>
        <v>0.9642857142857143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 t="s">
        <v>2124</v>
      </c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294</v>
      </c>
      <c r="B256" t="s">
        <v>974</v>
      </c>
      <c r="C256" t="s">
        <v>1064</v>
      </c>
      <c r="D256" t="s">
        <v>298</v>
      </c>
      <c r="E256" s="30" t="s">
        <v>19</v>
      </c>
      <c r="F256" s="30" t="s">
        <v>28</v>
      </c>
      <c r="G256" s="30"/>
      <c r="H256" s="30" t="s">
        <v>738</v>
      </c>
      <c r="I256" s="31">
        <f t="shared" si="14"/>
        <v>28</v>
      </c>
      <c r="J256" s="147" t="s">
        <v>1882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294</v>
      </c>
      <c r="B257" t="s">
        <v>299</v>
      </c>
      <c r="C257" t="s">
        <v>1064</v>
      </c>
      <c r="D257" t="s">
        <v>300</v>
      </c>
      <c r="E257" s="30" t="s">
        <v>15</v>
      </c>
      <c r="F257" s="30" t="s">
        <v>1058</v>
      </c>
      <c r="G257" s="30"/>
      <c r="H257" s="30" t="s">
        <v>739</v>
      </c>
      <c r="I257" s="31">
        <f t="shared" si="14"/>
        <v>28</v>
      </c>
      <c r="J257" s="147" t="s">
        <v>1883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1247</v>
      </c>
      <c r="C258" s="73" t="s">
        <v>1064</v>
      </c>
      <c r="D258" s="73" t="s">
        <v>1248</v>
      </c>
      <c r="E258" s="85" t="s">
        <v>19</v>
      </c>
      <c r="F258" s="85" t="s">
        <v>1303</v>
      </c>
      <c r="G258" s="85"/>
      <c r="H258" s="85" t="s">
        <v>1249</v>
      </c>
      <c r="I258" s="142">
        <f t="shared" si="14"/>
        <v>27</v>
      </c>
      <c r="J258" s="147" t="s">
        <v>1884</v>
      </c>
      <c r="K258" s="142">
        <f t="shared" si="15"/>
        <v>1</v>
      </c>
      <c r="L258" s="143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 t="s">
        <v>2124</v>
      </c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290</v>
      </c>
      <c r="B259" t="s">
        <v>1286</v>
      </c>
      <c r="C259" t="s">
        <v>1064</v>
      </c>
      <c r="D259" t="s">
        <v>1287</v>
      </c>
      <c r="E259" s="30" t="s">
        <v>19</v>
      </c>
      <c r="F259" s="30" t="s">
        <v>1058</v>
      </c>
      <c r="G259" s="30"/>
      <c r="H259" s="30" t="s">
        <v>1362</v>
      </c>
      <c r="I259" s="31">
        <f t="shared" si="14"/>
        <v>27</v>
      </c>
      <c r="J259" s="147" t="s">
        <v>1885</v>
      </c>
      <c r="K259" s="31">
        <f t="shared" si="15"/>
        <v>1</v>
      </c>
      <c r="L259" s="32">
        <f t="shared" si="16"/>
        <v>0.9642857142857143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 t="s">
        <v>2124</v>
      </c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302</v>
      </c>
      <c r="C260" t="s">
        <v>1064</v>
      </c>
      <c r="D260" t="s">
        <v>303</v>
      </c>
      <c r="E260" s="30" t="s">
        <v>73</v>
      </c>
      <c r="F260" s="30" t="s">
        <v>28</v>
      </c>
      <c r="G260" s="30"/>
      <c r="H260" s="30" t="s">
        <v>740</v>
      </c>
      <c r="I260" s="31">
        <f t="shared" si="14"/>
        <v>28</v>
      </c>
      <c r="J260" s="147" t="s">
        <v>1886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301</v>
      </c>
      <c r="B261" t="s">
        <v>304</v>
      </c>
      <c r="C261" t="s">
        <v>1064</v>
      </c>
      <c r="D261" t="s">
        <v>305</v>
      </c>
      <c r="E261" s="30" t="s">
        <v>19</v>
      </c>
      <c r="F261" s="30" t="s">
        <v>28</v>
      </c>
      <c r="G261" s="30"/>
      <c r="H261" s="30" t="s">
        <v>741</v>
      </c>
      <c r="I261" s="31">
        <f t="shared" si="14"/>
        <v>27</v>
      </c>
      <c r="J261" s="150" t="s">
        <v>1887</v>
      </c>
      <c r="K261" s="31">
        <f t="shared" si="15"/>
        <v>1</v>
      </c>
      <c r="L261" s="32">
        <f t="shared" si="16"/>
        <v>0.9642857142857143</v>
      </c>
      <c r="M261" s="70"/>
      <c r="N261" s="70" t="s">
        <v>2124</v>
      </c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301</v>
      </c>
      <c r="B262" t="s">
        <v>306</v>
      </c>
      <c r="C262" t="s">
        <v>1064</v>
      </c>
      <c r="D262" t="s">
        <v>307</v>
      </c>
      <c r="E262" s="30" t="s">
        <v>19</v>
      </c>
      <c r="F262" s="30" t="s">
        <v>1058</v>
      </c>
      <c r="G262" s="30"/>
      <c r="H262" s="30" t="s">
        <v>1502</v>
      </c>
      <c r="I262" s="31">
        <f t="shared" si="14"/>
        <v>28</v>
      </c>
      <c r="J262" s="147" t="s">
        <v>1888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301</v>
      </c>
      <c r="B263" s="73" t="s">
        <v>308</v>
      </c>
      <c r="C263" s="73" t="s">
        <v>1064</v>
      </c>
      <c r="D263" s="73" t="s">
        <v>309</v>
      </c>
      <c r="E263" s="85" t="s">
        <v>19</v>
      </c>
      <c r="F263" s="85" t="s">
        <v>1303</v>
      </c>
      <c r="G263" s="85"/>
      <c r="H263" s="85" t="s">
        <v>1503</v>
      </c>
      <c r="I263" s="142">
        <f t="shared" si="14"/>
        <v>28</v>
      </c>
      <c r="J263" s="147" t="s">
        <v>1889</v>
      </c>
      <c r="K263" s="142">
        <f t="shared" si="15"/>
        <v>0</v>
      </c>
      <c r="L263" s="143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thickBot="1" x14ac:dyDescent="0.3">
      <c r="A264" t="s">
        <v>301</v>
      </c>
      <c r="B264" t="s">
        <v>1497</v>
      </c>
      <c r="C264" t="s">
        <v>1064</v>
      </c>
      <c r="D264" t="s">
        <v>1496</v>
      </c>
      <c r="E264" s="30" t="s">
        <v>73</v>
      </c>
      <c r="F264" s="30" t="s">
        <v>28</v>
      </c>
      <c r="G264" s="30"/>
      <c r="H264" s="30" t="s">
        <v>1498</v>
      </c>
      <c r="I264" s="142">
        <f t="shared" si="14"/>
        <v>28</v>
      </c>
      <c r="J264" s="147" t="s">
        <v>1890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1499</v>
      </c>
      <c r="C265" t="s">
        <v>1064</v>
      </c>
      <c r="D265" t="s">
        <v>1496</v>
      </c>
      <c r="E265" s="30" t="s">
        <v>73</v>
      </c>
      <c r="F265" s="30" t="s">
        <v>28</v>
      </c>
      <c r="G265" s="30"/>
      <c r="H265" s="30" t="s">
        <v>1504</v>
      </c>
      <c r="I265" s="142">
        <f t="shared" si="14"/>
        <v>28</v>
      </c>
      <c r="J265" s="147" t="s">
        <v>1891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310</v>
      </c>
      <c r="B266" t="s">
        <v>975</v>
      </c>
      <c r="C266" t="s">
        <v>1064</v>
      </c>
      <c r="D266" t="s">
        <v>313</v>
      </c>
      <c r="E266" s="30" t="s">
        <v>19</v>
      </c>
      <c r="F266" s="30" t="s">
        <v>28</v>
      </c>
      <c r="G266" s="30"/>
      <c r="H266" s="30" t="s">
        <v>742</v>
      </c>
      <c r="I266" s="31">
        <f t="shared" si="14"/>
        <v>28</v>
      </c>
      <c r="J266" s="147" t="s">
        <v>1892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310</v>
      </c>
      <c r="B267" s="73" t="s">
        <v>314</v>
      </c>
      <c r="C267" s="73" t="s">
        <v>1064</v>
      </c>
      <c r="D267" s="73" t="s">
        <v>315</v>
      </c>
      <c r="E267" s="85" t="s">
        <v>19</v>
      </c>
      <c r="F267" s="85" t="s">
        <v>1303</v>
      </c>
      <c r="G267" s="85"/>
      <c r="H267" s="85" t="s">
        <v>1375</v>
      </c>
      <c r="I267" s="142">
        <f t="shared" si="14"/>
        <v>28</v>
      </c>
      <c r="J267" s="147" t="s">
        <v>1893</v>
      </c>
      <c r="K267" s="142">
        <f t="shared" si="15"/>
        <v>0</v>
      </c>
      <c r="L267" s="143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  <c r="AQ267" s="89"/>
    </row>
    <row r="268" spans="1:43" ht="15.75" thickBot="1" x14ac:dyDescent="0.3">
      <c r="A268" t="s">
        <v>310</v>
      </c>
      <c r="B268" t="s">
        <v>316</v>
      </c>
      <c r="C268" t="s">
        <v>1064</v>
      </c>
      <c r="D268" t="s">
        <v>317</v>
      </c>
      <c r="E268" s="30" t="s">
        <v>19</v>
      </c>
      <c r="F268" s="30" t="s">
        <v>1058</v>
      </c>
      <c r="G268" s="30" t="s">
        <v>1257</v>
      </c>
      <c r="H268" s="30" t="s">
        <v>743</v>
      </c>
      <c r="I268" s="31">
        <f t="shared" si="14"/>
        <v>2</v>
      </c>
      <c r="J268" s="147" t="s">
        <v>1894</v>
      </c>
      <c r="K268" s="31">
        <f t="shared" si="15"/>
        <v>26</v>
      </c>
      <c r="L268" s="32">
        <f t="shared" si="16"/>
        <v>7.1428571428571425E-2</v>
      </c>
      <c r="M268" s="70" t="s">
        <v>2124</v>
      </c>
      <c r="N268" s="70" t="s">
        <v>2124</v>
      </c>
      <c r="O268" s="70" t="s">
        <v>2124</v>
      </c>
      <c r="P268" s="70" t="s">
        <v>2124</v>
      </c>
      <c r="Q268" s="70" t="s">
        <v>2124</v>
      </c>
      <c r="R268" s="70" t="s">
        <v>2124</v>
      </c>
      <c r="S268" s="70" t="s">
        <v>2124</v>
      </c>
      <c r="T268" s="70" t="s">
        <v>2124</v>
      </c>
      <c r="U268" s="70" t="s">
        <v>2124</v>
      </c>
      <c r="V268" s="70" t="s">
        <v>2124</v>
      </c>
      <c r="W268" s="70" t="s">
        <v>2124</v>
      </c>
      <c r="X268" s="70" t="s">
        <v>2124</v>
      </c>
      <c r="Y268" s="70" t="s">
        <v>2124</v>
      </c>
      <c r="Z268" s="70" t="s">
        <v>2124</v>
      </c>
      <c r="AA268" s="70" t="s">
        <v>2124</v>
      </c>
      <c r="AB268" s="70" t="s">
        <v>2124</v>
      </c>
      <c r="AC268" s="70" t="s">
        <v>2124</v>
      </c>
      <c r="AD268" s="70" t="s">
        <v>2124</v>
      </c>
      <c r="AE268" s="70" t="s">
        <v>2124</v>
      </c>
      <c r="AF268" s="70" t="s">
        <v>2124</v>
      </c>
      <c r="AG268" s="70" t="s">
        <v>2124</v>
      </c>
      <c r="AH268" s="70" t="s">
        <v>2124</v>
      </c>
      <c r="AI268" s="70" t="s">
        <v>2124</v>
      </c>
      <c r="AJ268" s="70" t="s">
        <v>2124</v>
      </c>
      <c r="AK268" s="70" t="s">
        <v>2124</v>
      </c>
      <c r="AL268" s="70" t="s">
        <v>2124</v>
      </c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310</v>
      </c>
      <c r="B269" s="73" t="s">
        <v>318</v>
      </c>
      <c r="C269" s="73" t="s">
        <v>1064</v>
      </c>
      <c r="D269" s="73" t="s">
        <v>319</v>
      </c>
      <c r="E269" s="85" t="s">
        <v>19</v>
      </c>
      <c r="F269" s="85" t="s">
        <v>1303</v>
      </c>
      <c r="G269" s="85"/>
      <c r="H269" s="85" t="s">
        <v>1365</v>
      </c>
      <c r="I269" s="142">
        <f t="shared" si="14"/>
        <v>23</v>
      </c>
      <c r="J269" s="147" t="s">
        <v>1895</v>
      </c>
      <c r="K269" s="142">
        <f t="shared" si="15"/>
        <v>5</v>
      </c>
      <c r="L269" s="143">
        <f t="shared" si="16"/>
        <v>0.8214285714285714</v>
      </c>
      <c r="M269" s="70" t="s">
        <v>2124</v>
      </c>
      <c r="N269" s="70" t="s">
        <v>2124</v>
      </c>
      <c r="O269" s="70" t="s">
        <v>2124</v>
      </c>
      <c r="P269" s="70" t="s">
        <v>2124</v>
      </c>
      <c r="Q269" s="70" t="s">
        <v>2124</v>
      </c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5.75" thickBot="1" x14ac:dyDescent="0.3">
      <c r="A270" s="73" t="s">
        <v>320</v>
      </c>
      <c r="B270" s="73" t="s">
        <v>321</v>
      </c>
      <c r="C270" s="73" t="s">
        <v>1064</v>
      </c>
      <c r="D270" s="73" t="s">
        <v>322</v>
      </c>
      <c r="E270" s="85" t="s">
        <v>19</v>
      </c>
      <c r="F270" s="85" t="s">
        <v>1303</v>
      </c>
      <c r="G270" s="85"/>
      <c r="H270" s="145" t="s">
        <v>1366</v>
      </c>
      <c r="I270" s="142">
        <f t="shared" si="14"/>
        <v>28</v>
      </c>
      <c r="J270" s="147" t="s">
        <v>1896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52</v>
      </c>
      <c r="B271" t="s">
        <v>323</v>
      </c>
      <c r="C271" t="s">
        <v>1064</v>
      </c>
      <c r="D271" t="s">
        <v>324</v>
      </c>
      <c r="E271" s="30" t="s">
        <v>19</v>
      </c>
      <c r="F271" s="30" t="s">
        <v>28</v>
      </c>
      <c r="G271" s="30"/>
      <c r="H271" s="30" t="s">
        <v>744</v>
      </c>
      <c r="I271" s="31">
        <f t="shared" si="14"/>
        <v>28</v>
      </c>
      <c r="J271" s="147" t="s">
        <v>1698</v>
      </c>
      <c r="K271" s="31">
        <f t="shared" si="15"/>
        <v>0</v>
      </c>
      <c r="L271" s="32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310</v>
      </c>
      <c r="B272" t="s">
        <v>325</v>
      </c>
      <c r="C272" t="s">
        <v>1064</v>
      </c>
      <c r="D272" t="s">
        <v>326</v>
      </c>
      <c r="E272" s="30" t="s">
        <v>19</v>
      </c>
      <c r="F272" s="30" t="s">
        <v>28</v>
      </c>
      <c r="G272" s="30"/>
      <c r="H272" s="30" t="s">
        <v>745</v>
      </c>
      <c r="I272" s="31">
        <f t="shared" si="14"/>
        <v>8</v>
      </c>
      <c r="J272" s="147" t="s">
        <v>1897</v>
      </c>
      <c r="K272" s="31">
        <f t="shared" si="15"/>
        <v>20</v>
      </c>
      <c r="L272" s="32">
        <f t="shared" si="16"/>
        <v>0.2857142857142857</v>
      </c>
      <c r="M272" s="70"/>
      <c r="N272" s="70"/>
      <c r="O272" s="70"/>
      <c r="P272" s="70"/>
      <c r="Q272" s="70" t="s">
        <v>2124</v>
      </c>
      <c r="R272" s="70"/>
      <c r="S272" s="70" t="s">
        <v>2124</v>
      </c>
      <c r="T272" s="70" t="s">
        <v>2124</v>
      </c>
      <c r="U272" s="70" t="s">
        <v>2124</v>
      </c>
      <c r="V272" s="70" t="s">
        <v>2124</v>
      </c>
      <c r="W272" s="70"/>
      <c r="X272" s="70" t="s">
        <v>2124</v>
      </c>
      <c r="Y272" s="70" t="s">
        <v>2124</v>
      </c>
      <c r="Z272" s="70" t="s">
        <v>2124</v>
      </c>
      <c r="AA272" s="70" t="s">
        <v>2124</v>
      </c>
      <c r="AB272" s="70" t="s">
        <v>2124</v>
      </c>
      <c r="AC272" s="70" t="s">
        <v>2124</v>
      </c>
      <c r="AD272" s="70" t="s">
        <v>2124</v>
      </c>
      <c r="AE272" s="70" t="s">
        <v>2124</v>
      </c>
      <c r="AF272" s="70" t="s">
        <v>2124</v>
      </c>
      <c r="AG272" s="70" t="s">
        <v>2124</v>
      </c>
      <c r="AH272" s="70" t="s">
        <v>2124</v>
      </c>
      <c r="AI272" s="70" t="s">
        <v>2124</v>
      </c>
      <c r="AJ272" s="70" t="s">
        <v>2124</v>
      </c>
      <c r="AK272" s="70" t="s">
        <v>2124</v>
      </c>
      <c r="AL272" s="70" t="s">
        <v>2124</v>
      </c>
      <c r="AM272" s="70"/>
      <c r="AN272" s="70"/>
      <c r="AO272" s="70"/>
      <c r="AP272" s="70"/>
      <c r="AQ272" s="70"/>
    </row>
    <row r="273" spans="1:43" s="73" customFormat="1" ht="15.75" thickBot="1" x14ac:dyDescent="0.3">
      <c r="A273" s="73" t="s">
        <v>310</v>
      </c>
      <c r="B273" s="73" t="s">
        <v>311</v>
      </c>
      <c r="C273" s="73" t="s">
        <v>1064</v>
      </c>
      <c r="D273" s="73" t="s">
        <v>312</v>
      </c>
      <c r="E273" s="85" t="s">
        <v>15</v>
      </c>
      <c r="F273" s="85" t="s">
        <v>1303</v>
      </c>
      <c r="G273" s="85"/>
      <c r="H273" s="85" t="s">
        <v>1374</v>
      </c>
      <c r="I273" s="142">
        <f t="shared" si="14"/>
        <v>8</v>
      </c>
      <c r="J273" s="147" t="s">
        <v>1898</v>
      </c>
      <c r="K273" s="142">
        <f t="shared" si="15"/>
        <v>20</v>
      </c>
      <c r="L273" s="143">
        <f t="shared" si="16"/>
        <v>0.2857142857142857</v>
      </c>
      <c r="M273" s="70"/>
      <c r="N273" s="70"/>
      <c r="O273" s="70"/>
      <c r="P273" s="70"/>
      <c r="Q273" s="70"/>
      <c r="R273" s="70"/>
      <c r="S273" s="70" t="s">
        <v>2124</v>
      </c>
      <c r="T273" s="70" t="s">
        <v>2124</v>
      </c>
      <c r="U273" s="70" t="s">
        <v>2124</v>
      </c>
      <c r="V273" s="70" t="s">
        <v>2124</v>
      </c>
      <c r="W273" s="70" t="s">
        <v>2124</v>
      </c>
      <c r="X273" s="70" t="s">
        <v>2124</v>
      </c>
      <c r="Y273" s="70" t="s">
        <v>2124</v>
      </c>
      <c r="Z273" s="70" t="s">
        <v>2124</v>
      </c>
      <c r="AA273" s="70" t="s">
        <v>2124</v>
      </c>
      <c r="AB273" s="70" t="s">
        <v>2124</v>
      </c>
      <c r="AC273" s="70" t="s">
        <v>2124</v>
      </c>
      <c r="AD273" s="70" t="s">
        <v>2124</v>
      </c>
      <c r="AE273" s="70" t="s">
        <v>2124</v>
      </c>
      <c r="AF273" s="70" t="s">
        <v>2124</v>
      </c>
      <c r="AG273" s="70" t="s">
        <v>2124</v>
      </c>
      <c r="AH273" s="70" t="s">
        <v>2124</v>
      </c>
      <c r="AI273" s="70" t="s">
        <v>2124</v>
      </c>
      <c r="AJ273" s="70" t="s">
        <v>2124</v>
      </c>
      <c r="AK273" s="70" t="s">
        <v>2124</v>
      </c>
      <c r="AL273" s="70" t="s">
        <v>2124</v>
      </c>
      <c r="AM273" s="70"/>
      <c r="AN273" s="70"/>
      <c r="AO273" s="70"/>
      <c r="AP273" s="89"/>
      <c r="AQ273" s="89"/>
    </row>
    <row r="274" spans="1:43" s="73" customFormat="1" ht="15.75" thickBot="1" x14ac:dyDescent="0.3">
      <c r="A274" s="73" t="s">
        <v>310</v>
      </c>
      <c r="B274" s="73" t="s">
        <v>327</v>
      </c>
      <c r="C274" s="73" t="s">
        <v>1064</v>
      </c>
      <c r="D274" s="73" t="s">
        <v>328</v>
      </c>
      <c r="E274" s="85" t="s">
        <v>15</v>
      </c>
      <c r="F274" s="85" t="s">
        <v>1303</v>
      </c>
      <c r="G274" s="85"/>
      <c r="H274" s="85" t="s">
        <v>746</v>
      </c>
      <c r="I274" s="142">
        <f t="shared" si="14"/>
        <v>28</v>
      </c>
      <c r="J274" s="147" t="s">
        <v>1899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  <c r="AQ274" s="89"/>
    </row>
    <row r="275" spans="1:43" s="73" customFormat="1" ht="14.25" customHeight="1" thickBot="1" x14ac:dyDescent="0.3">
      <c r="A275" s="73" t="s">
        <v>310</v>
      </c>
      <c r="B275" s="73" t="s">
        <v>1344</v>
      </c>
      <c r="C275" s="73" t="s">
        <v>1064</v>
      </c>
      <c r="D275" s="73" t="s">
        <v>1345</v>
      </c>
      <c r="E275" s="85" t="s">
        <v>15</v>
      </c>
      <c r="F275" s="85" t="s">
        <v>1303</v>
      </c>
      <c r="G275" s="85"/>
      <c r="H275" s="85" t="s">
        <v>1360</v>
      </c>
      <c r="I275" s="142">
        <f t="shared" si="14"/>
        <v>16</v>
      </c>
      <c r="J275" s="147" t="s">
        <v>1900</v>
      </c>
      <c r="K275" s="142">
        <f t="shared" si="15"/>
        <v>12</v>
      </c>
      <c r="L275" s="143">
        <f t="shared" si="16"/>
        <v>0.5714285714285714</v>
      </c>
      <c r="M275" s="70"/>
      <c r="N275" s="70"/>
      <c r="O275" s="70"/>
      <c r="P275" s="70"/>
      <c r="Q275" s="70" t="s">
        <v>2124</v>
      </c>
      <c r="R275" s="70"/>
      <c r="S275" s="70" t="s">
        <v>2124</v>
      </c>
      <c r="T275" s="70" t="s">
        <v>2124</v>
      </c>
      <c r="U275" s="70" t="s">
        <v>2124</v>
      </c>
      <c r="V275" s="70" t="s">
        <v>2124</v>
      </c>
      <c r="W275" s="70"/>
      <c r="X275" s="70" t="s">
        <v>2124</v>
      </c>
      <c r="Y275" s="70" t="s">
        <v>2124</v>
      </c>
      <c r="Z275" s="70" t="s">
        <v>2124</v>
      </c>
      <c r="AA275" s="70" t="s">
        <v>2124</v>
      </c>
      <c r="AB275" s="70" t="s">
        <v>2124</v>
      </c>
      <c r="AC275" s="70" t="s">
        <v>2124</v>
      </c>
      <c r="AD275" s="70"/>
      <c r="AE275" s="70"/>
      <c r="AF275" s="70"/>
      <c r="AG275" s="70"/>
      <c r="AH275" s="70"/>
      <c r="AI275" s="70"/>
      <c r="AJ275" s="70"/>
      <c r="AK275" s="70"/>
      <c r="AL275" s="70" t="s">
        <v>2124</v>
      </c>
      <c r="AM275" s="70"/>
      <c r="AN275" s="70"/>
      <c r="AO275" s="70"/>
      <c r="AP275" s="89"/>
      <c r="AQ275" s="89"/>
    </row>
    <row r="276" spans="1:43" s="73" customFormat="1" ht="15.75" thickBot="1" x14ac:dyDescent="0.3">
      <c r="A276" s="73" t="s">
        <v>1544</v>
      </c>
      <c r="B276" s="73" t="s">
        <v>1543</v>
      </c>
      <c r="C276" s="73" t="s">
        <v>1064</v>
      </c>
      <c r="D276" s="73" t="s">
        <v>1545</v>
      </c>
      <c r="E276" s="85" t="s">
        <v>19</v>
      </c>
      <c r="F276" s="85" t="s">
        <v>1303</v>
      </c>
      <c r="G276" s="85"/>
      <c r="H276" s="85" t="s">
        <v>1546</v>
      </c>
      <c r="I276" s="142">
        <f t="shared" si="14"/>
        <v>28</v>
      </c>
      <c r="J276" s="147" t="s">
        <v>1901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s="73" customFormat="1" ht="15.75" thickBot="1" x14ac:dyDescent="0.3">
      <c r="A277" s="73" t="s">
        <v>1544</v>
      </c>
      <c r="B277" s="73" t="s">
        <v>1658</v>
      </c>
      <c r="C277" s="73" t="s">
        <v>1064</v>
      </c>
      <c r="D277" s="73" t="s">
        <v>1659</v>
      </c>
      <c r="E277" s="85" t="s">
        <v>19</v>
      </c>
      <c r="F277" s="85" t="s">
        <v>28</v>
      </c>
      <c r="G277" s="85"/>
      <c r="H277" s="85" t="s">
        <v>1660</v>
      </c>
      <c r="I277" s="142">
        <f t="shared" si="14"/>
        <v>28</v>
      </c>
      <c r="J277" s="87" t="s">
        <v>2201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ht="15.75" thickBot="1" x14ac:dyDescent="0.3">
      <c r="A278" t="s">
        <v>331</v>
      </c>
      <c r="B278" t="s">
        <v>329</v>
      </c>
      <c r="C278" t="s">
        <v>1065</v>
      </c>
      <c r="D278" t="s">
        <v>330</v>
      </c>
      <c r="E278" s="30" t="s">
        <v>15</v>
      </c>
      <c r="F278" s="30" t="s">
        <v>28</v>
      </c>
      <c r="G278" s="30"/>
      <c r="H278" s="30" t="s">
        <v>747</v>
      </c>
      <c r="I278" s="31">
        <f t="shared" si="14"/>
        <v>28</v>
      </c>
      <c r="J278" s="147" t="s">
        <v>1902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331</v>
      </c>
      <c r="B279" t="s">
        <v>332</v>
      </c>
      <c r="C279" t="s">
        <v>1065</v>
      </c>
      <c r="D279" t="s">
        <v>333</v>
      </c>
      <c r="E279" s="30" t="s">
        <v>73</v>
      </c>
      <c r="F279" s="30" t="s">
        <v>28</v>
      </c>
      <c r="G279" s="30"/>
      <c r="H279" s="30" t="s">
        <v>748</v>
      </c>
      <c r="I279" s="31">
        <f t="shared" si="14"/>
        <v>28</v>
      </c>
      <c r="J279" s="147" t="s">
        <v>1903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331</v>
      </c>
      <c r="B280" t="s">
        <v>334</v>
      </c>
      <c r="C280" t="s">
        <v>1065</v>
      </c>
      <c r="D280" t="s">
        <v>333</v>
      </c>
      <c r="E280" s="30" t="s">
        <v>73</v>
      </c>
      <c r="F280" s="30" t="s">
        <v>28</v>
      </c>
      <c r="G280" s="30"/>
      <c r="H280" s="30" t="s">
        <v>749</v>
      </c>
      <c r="I280" s="31">
        <f t="shared" si="14"/>
        <v>28</v>
      </c>
      <c r="J280" s="147" t="s">
        <v>1904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331</v>
      </c>
      <c r="B281" t="s">
        <v>335</v>
      </c>
      <c r="C281" t="s">
        <v>1065</v>
      </c>
      <c r="D281" t="s">
        <v>336</v>
      </c>
      <c r="E281" s="30" t="s">
        <v>73</v>
      </c>
      <c r="F281" s="30" t="s">
        <v>28</v>
      </c>
      <c r="G281" s="30"/>
      <c r="H281" s="30" t="s">
        <v>750</v>
      </c>
      <c r="I281" s="31">
        <f t="shared" si="14"/>
        <v>28</v>
      </c>
      <c r="J281" s="147" t="s">
        <v>1905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331</v>
      </c>
      <c r="B282" t="s">
        <v>337</v>
      </c>
      <c r="C282" t="s">
        <v>1065</v>
      </c>
      <c r="D282" t="s">
        <v>336</v>
      </c>
      <c r="E282" s="30" t="s">
        <v>73</v>
      </c>
      <c r="F282" s="30" t="s">
        <v>28</v>
      </c>
      <c r="G282" s="30"/>
      <c r="H282" s="30" t="s">
        <v>751</v>
      </c>
      <c r="I282" s="31">
        <f t="shared" si="14"/>
        <v>28</v>
      </c>
      <c r="J282" s="147" t="s">
        <v>1906</v>
      </c>
      <c r="K282" s="31">
        <f t="shared" si="15"/>
        <v>0</v>
      </c>
      <c r="L282" s="32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41</v>
      </c>
      <c r="B283" t="s">
        <v>339</v>
      </c>
      <c r="C283" t="s">
        <v>1064</v>
      </c>
      <c r="D283" t="s">
        <v>340</v>
      </c>
      <c r="E283" s="30" t="s">
        <v>15</v>
      </c>
      <c r="F283" s="30" t="s">
        <v>28</v>
      </c>
      <c r="G283" s="30"/>
      <c r="H283" s="30" t="s">
        <v>754</v>
      </c>
      <c r="I283" s="31">
        <f t="shared" si="14"/>
        <v>28</v>
      </c>
      <c r="J283" s="147" t="s">
        <v>1907</v>
      </c>
      <c r="K283" s="31">
        <f t="shared" si="15"/>
        <v>0</v>
      </c>
      <c r="L283" s="3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41</v>
      </c>
      <c r="B284" t="s">
        <v>341</v>
      </c>
      <c r="C284" t="s">
        <v>1064</v>
      </c>
      <c r="D284" t="s">
        <v>340</v>
      </c>
      <c r="E284" s="30" t="s">
        <v>73</v>
      </c>
      <c r="F284" s="30" t="s">
        <v>28</v>
      </c>
      <c r="G284" s="30"/>
      <c r="H284" s="30" t="s">
        <v>755</v>
      </c>
      <c r="I284" s="31">
        <f t="shared" si="14"/>
        <v>28</v>
      </c>
      <c r="J284" s="147" t="s">
        <v>1908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41</v>
      </c>
      <c r="B285" t="s">
        <v>977</v>
      </c>
      <c r="C285" t="s">
        <v>1064</v>
      </c>
      <c r="D285" t="s">
        <v>978</v>
      </c>
      <c r="E285" s="30" t="s">
        <v>73</v>
      </c>
      <c r="F285" s="30" t="s">
        <v>28</v>
      </c>
      <c r="G285" s="30"/>
      <c r="H285" s="30" t="s">
        <v>1275</v>
      </c>
      <c r="I285" s="31">
        <f t="shared" si="14"/>
        <v>28</v>
      </c>
      <c r="J285" s="147" t="s">
        <v>1909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186</v>
      </c>
      <c r="B286" t="s">
        <v>342</v>
      </c>
      <c r="C286" t="s">
        <v>1065</v>
      </c>
      <c r="D286" t="s">
        <v>343</v>
      </c>
      <c r="E286" s="30" t="s">
        <v>15</v>
      </c>
      <c r="F286" s="30" t="s">
        <v>28</v>
      </c>
      <c r="G286" s="30"/>
      <c r="H286" s="30" t="s">
        <v>756</v>
      </c>
      <c r="I286" s="31">
        <f t="shared" si="14"/>
        <v>26</v>
      </c>
      <c r="J286" s="147" t="s">
        <v>1910</v>
      </c>
      <c r="K286" s="31">
        <f t="shared" si="15"/>
        <v>2</v>
      </c>
      <c r="L286" s="32">
        <f t="shared" si="16"/>
        <v>0.9285714285714286</v>
      </c>
      <c r="M286" s="70"/>
      <c r="N286" s="70"/>
      <c r="O286" s="70"/>
      <c r="P286" s="70" t="s">
        <v>2124</v>
      </c>
      <c r="Q286" s="70" t="s">
        <v>2124</v>
      </c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21" customHeight="1" thickBot="1" x14ac:dyDescent="0.3">
      <c r="A287" t="s">
        <v>186</v>
      </c>
      <c r="B287" t="s">
        <v>344</v>
      </c>
      <c r="C287" t="s">
        <v>1065</v>
      </c>
      <c r="D287" t="s">
        <v>343</v>
      </c>
      <c r="E287" s="30" t="s">
        <v>73</v>
      </c>
      <c r="F287" s="30" t="s">
        <v>28</v>
      </c>
      <c r="G287" s="30"/>
      <c r="H287" s="30" t="s">
        <v>757</v>
      </c>
      <c r="I287" s="31">
        <f t="shared" si="14"/>
        <v>2</v>
      </c>
      <c r="J287" s="147" t="s">
        <v>1911</v>
      </c>
      <c r="K287" s="31">
        <f t="shared" si="15"/>
        <v>26</v>
      </c>
      <c r="L287" s="32">
        <f t="shared" si="16"/>
        <v>7.1428571428571425E-2</v>
      </c>
      <c r="M287" s="70" t="s">
        <v>2124</v>
      </c>
      <c r="N287" s="70" t="s">
        <v>2124</v>
      </c>
      <c r="O287" s="70" t="s">
        <v>2124</v>
      </c>
      <c r="P287" s="70" t="s">
        <v>2124</v>
      </c>
      <c r="Q287" s="70" t="s">
        <v>2124</v>
      </c>
      <c r="R287" s="70" t="s">
        <v>2124</v>
      </c>
      <c r="S287" s="70" t="s">
        <v>2124</v>
      </c>
      <c r="T287" s="70" t="s">
        <v>2124</v>
      </c>
      <c r="U287" s="70" t="s">
        <v>2124</v>
      </c>
      <c r="V287" s="70" t="s">
        <v>2124</v>
      </c>
      <c r="W287" s="70" t="s">
        <v>2124</v>
      </c>
      <c r="X287" s="70" t="s">
        <v>2124</v>
      </c>
      <c r="Y287" s="70" t="s">
        <v>2124</v>
      </c>
      <c r="Z287" s="70" t="s">
        <v>2124</v>
      </c>
      <c r="AA287" s="70" t="s">
        <v>2124</v>
      </c>
      <c r="AB287" s="70" t="s">
        <v>2124</v>
      </c>
      <c r="AC287" s="70" t="s">
        <v>2124</v>
      </c>
      <c r="AD287" s="70" t="s">
        <v>2124</v>
      </c>
      <c r="AE287" s="70" t="s">
        <v>2124</v>
      </c>
      <c r="AF287" s="70" t="s">
        <v>2124</v>
      </c>
      <c r="AG287" s="70" t="s">
        <v>2124</v>
      </c>
      <c r="AH287" s="70" t="s">
        <v>2124</v>
      </c>
      <c r="AI287" s="70" t="s">
        <v>2124</v>
      </c>
      <c r="AJ287" s="70" t="s">
        <v>2124</v>
      </c>
      <c r="AK287" s="70" t="s">
        <v>2124</v>
      </c>
      <c r="AL287" s="70" t="s">
        <v>2124</v>
      </c>
      <c r="AM287" s="70"/>
      <c r="AN287" s="70"/>
      <c r="AO287" s="70"/>
      <c r="AP287" s="70"/>
      <c r="AQ287" s="70"/>
    </row>
    <row r="288" spans="1:43" ht="15.75" thickBot="1" x14ac:dyDescent="0.3">
      <c r="A288" t="s">
        <v>186</v>
      </c>
      <c r="B288" t="s">
        <v>1297</v>
      </c>
      <c r="C288" t="s">
        <v>1065</v>
      </c>
      <c r="D288" t="s">
        <v>979</v>
      </c>
      <c r="E288" s="30" t="s">
        <v>73</v>
      </c>
      <c r="F288" s="30" t="s">
        <v>28</v>
      </c>
      <c r="G288" s="30"/>
      <c r="H288" s="30" t="s">
        <v>1276</v>
      </c>
      <c r="I288" s="31">
        <f t="shared" si="14"/>
        <v>3</v>
      </c>
      <c r="J288" s="147" t="s">
        <v>1912</v>
      </c>
      <c r="K288" s="31">
        <f t="shared" si="15"/>
        <v>25</v>
      </c>
      <c r="L288" s="32">
        <f t="shared" si="16"/>
        <v>0.10714285714285714</v>
      </c>
      <c r="M288" s="70" t="s">
        <v>2124</v>
      </c>
      <c r="N288" s="70" t="s">
        <v>2124</v>
      </c>
      <c r="O288" s="70" t="s">
        <v>2124</v>
      </c>
      <c r="P288" s="70" t="s">
        <v>2124</v>
      </c>
      <c r="Q288" s="70" t="s">
        <v>2124</v>
      </c>
      <c r="R288" s="70" t="s">
        <v>2124</v>
      </c>
      <c r="S288" s="70" t="s">
        <v>2124</v>
      </c>
      <c r="T288" s="70" t="s">
        <v>2124</v>
      </c>
      <c r="U288" s="70" t="s">
        <v>2124</v>
      </c>
      <c r="V288" s="70" t="s">
        <v>2124</v>
      </c>
      <c r="W288" s="70" t="s">
        <v>2124</v>
      </c>
      <c r="X288" s="70" t="s">
        <v>2124</v>
      </c>
      <c r="Y288" s="70" t="s">
        <v>2124</v>
      </c>
      <c r="Z288" s="70" t="s">
        <v>2124</v>
      </c>
      <c r="AA288" s="70" t="s">
        <v>2124</v>
      </c>
      <c r="AB288" s="70" t="s">
        <v>2124</v>
      </c>
      <c r="AC288" s="70" t="s">
        <v>2124</v>
      </c>
      <c r="AD288" s="70" t="s">
        <v>2124</v>
      </c>
      <c r="AE288" s="70" t="s">
        <v>2124</v>
      </c>
      <c r="AF288" s="70" t="s">
        <v>2124</v>
      </c>
      <c r="AG288" s="70"/>
      <c r="AH288" s="70" t="s">
        <v>2124</v>
      </c>
      <c r="AI288" s="70" t="s">
        <v>2124</v>
      </c>
      <c r="AJ288" s="70" t="s">
        <v>2124</v>
      </c>
      <c r="AK288" s="70" t="s">
        <v>2124</v>
      </c>
      <c r="AL288" s="70" t="s">
        <v>2124</v>
      </c>
      <c r="AM288" s="70"/>
      <c r="AN288" s="70"/>
      <c r="AO288" s="70"/>
      <c r="AP288" s="70"/>
      <c r="AQ288" s="70"/>
    </row>
    <row r="289" spans="1:43" ht="15.75" thickBot="1" x14ac:dyDescent="0.3">
      <c r="A289" t="s">
        <v>214</v>
      </c>
      <c r="B289" t="s">
        <v>345</v>
      </c>
      <c r="C289" t="s">
        <v>1065</v>
      </c>
      <c r="D289" t="s">
        <v>346</v>
      </c>
      <c r="E289" s="30" t="s">
        <v>15</v>
      </c>
      <c r="F289" s="30" t="s">
        <v>28</v>
      </c>
      <c r="G289" s="30"/>
      <c r="H289" s="30" t="s">
        <v>758</v>
      </c>
      <c r="I289" s="31">
        <f t="shared" si="14"/>
        <v>24</v>
      </c>
      <c r="J289" s="147" t="s">
        <v>1913</v>
      </c>
      <c r="K289" s="31">
        <f t="shared" si="15"/>
        <v>4</v>
      </c>
      <c r="L289" s="32">
        <f t="shared" si="16"/>
        <v>0.8571428571428571</v>
      </c>
      <c r="M289" s="70"/>
      <c r="N289" s="70"/>
      <c r="O289" s="70"/>
      <c r="P289" s="70" t="s">
        <v>2124</v>
      </c>
      <c r="Q289" s="70" t="s">
        <v>2124</v>
      </c>
      <c r="R289" s="70" t="s">
        <v>2124</v>
      </c>
      <c r="S289" s="70" t="s">
        <v>2124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214</v>
      </c>
      <c r="B290" t="s">
        <v>347</v>
      </c>
      <c r="C290" t="s">
        <v>1065</v>
      </c>
      <c r="D290" t="s">
        <v>346</v>
      </c>
      <c r="E290" s="30" t="s">
        <v>73</v>
      </c>
      <c r="F290" s="30" t="s">
        <v>28</v>
      </c>
      <c r="G290" s="30"/>
      <c r="H290" s="30" t="s">
        <v>759</v>
      </c>
      <c r="I290" s="31">
        <f t="shared" si="14"/>
        <v>20</v>
      </c>
      <c r="J290" s="147" t="s">
        <v>1914</v>
      </c>
      <c r="K290" s="31">
        <f t="shared" si="15"/>
        <v>8</v>
      </c>
      <c r="L290" s="32">
        <f t="shared" si="16"/>
        <v>0.7142857142857143</v>
      </c>
      <c r="M290" s="70"/>
      <c r="N290" s="70"/>
      <c r="O290" s="70"/>
      <c r="P290" s="70" t="s">
        <v>2124</v>
      </c>
      <c r="Q290" s="70" t="s">
        <v>2124</v>
      </c>
      <c r="R290" s="70" t="s">
        <v>2124</v>
      </c>
      <c r="S290" s="70" t="s">
        <v>2124</v>
      </c>
      <c r="T290" s="70" t="s">
        <v>2124</v>
      </c>
      <c r="U290" s="70" t="s">
        <v>2124</v>
      </c>
      <c r="V290" s="70" t="s">
        <v>2124</v>
      </c>
      <c r="W290" s="70"/>
      <c r="X290" s="70" t="s">
        <v>2124</v>
      </c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214</v>
      </c>
      <c r="B291" t="s">
        <v>1296</v>
      </c>
      <c r="C291" t="s">
        <v>1065</v>
      </c>
      <c r="D291" t="s">
        <v>980</v>
      </c>
      <c r="E291" s="30" t="s">
        <v>19</v>
      </c>
      <c r="F291" s="30" t="s">
        <v>28</v>
      </c>
      <c r="G291" s="30"/>
      <c r="H291" s="30" t="s">
        <v>1277</v>
      </c>
      <c r="I291" s="31">
        <f t="shared" si="14"/>
        <v>27</v>
      </c>
      <c r="J291" s="147" t="s">
        <v>1915</v>
      </c>
      <c r="K291" s="31">
        <f t="shared" si="15"/>
        <v>1</v>
      </c>
      <c r="L291" s="32">
        <f t="shared" si="16"/>
        <v>0.9642857142857143</v>
      </c>
      <c r="M291" s="70"/>
      <c r="N291" s="70"/>
      <c r="O291" s="70"/>
      <c r="P291" s="70" t="s">
        <v>2124</v>
      </c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287</v>
      </c>
      <c r="B292" t="s">
        <v>348</v>
      </c>
      <c r="C292" t="s">
        <v>1065</v>
      </c>
      <c r="D292" t="s">
        <v>349</v>
      </c>
      <c r="E292" s="30" t="s">
        <v>73</v>
      </c>
      <c r="F292" s="30" t="s">
        <v>28</v>
      </c>
      <c r="G292" s="30"/>
      <c r="H292" s="30" t="s">
        <v>761</v>
      </c>
      <c r="I292" s="31">
        <f t="shared" si="14"/>
        <v>28</v>
      </c>
      <c r="J292" s="147" t="s">
        <v>1916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287</v>
      </c>
      <c r="B293" t="s">
        <v>364</v>
      </c>
      <c r="C293" t="s">
        <v>1065</v>
      </c>
      <c r="D293" t="s">
        <v>349</v>
      </c>
      <c r="E293" s="30" t="s">
        <v>15</v>
      </c>
      <c r="F293" s="30" t="s">
        <v>28</v>
      </c>
      <c r="G293" s="30"/>
      <c r="H293" s="30" t="s">
        <v>762</v>
      </c>
      <c r="I293" s="31">
        <f t="shared" si="14"/>
        <v>28</v>
      </c>
      <c r="J293" s="147" t="s">
        <v>1917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287</v>
      </c>
      <c r="B294" t="s">
        <v>981</v>
      </c>
      <c r="C294" t="s">
        <v>1065</v>
      </c>
      <c r="D294" t="s">
        <v>982</v>
      </c>
      <c r="E294" s="30" t="s">
        <v>73</v>
      </c>
      <c r="F294" s="30" t="s">
        <v>28</v>
      </c>
      <c r="G294" s="30"/>
      <c r="H294" s="30" t="s">
        <v>1278</v>
      </c>
      <c r="I294" s="31">
        <f t="shared" si="14"/>
        <v>28</v>
      </c>
      <c r="J294" s="147" t="s">
        <v>1918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350</v>
      </c>
      <c r="B295" t="s">
        <v>351</v>
      </c>
      <c r="C295" t="s">
        <v>1065</v>
      </c>
      <c r="D295" t="s">
        <v>352</v>
      </c>
      <c r="E295" s="30" t="s">
        <v>15</v>
      </c>
      <c r="F295" s="30" t="s">
        <v>28</v>
      </c>
      <c r="G295" s="30"/>
      <c r="H295" s="30" t="s">
        <v>763</v>
      </c>
      <c r="I295" s="31">
        <f t="shared" si="14"/>
        <v>28</v>
      </c>
      <c r="J295" s="147" t="s">
        <v>1919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350</v>
      </c>
      <c r="B296" t="s">
        <v>353</v>
      </c>
      <c r="C296" t="s">
        <v>1065</v>
      </c>
      <c r="D296" t="s">
        <v>352</v>
      </c>
      <c r="E296" s="30" t="s">
        <v>73</v>
      </c>
      <c r="F296" s="30" t="s">
        <v>28</v>
      </c>
      <c r="G296" s="30"/>
      <c r="H296" s="30" t="s">
        <v>764</v>
      </c>
      <c r="I296" s="31">
        <f t="shared" si="14"/>
        <v>28</v>
      </c>
      <c r="J296" s="147" t="s">
        <v>1920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350</v>
      </c>
      <c r="B297" t="s">
        <v>983</v>
      </c>
      <c r="C297" t="s">
        <v>1065</v>
      </c>
      <c r="D297" t="s">
        <v>352</v>
      </c>
      <c r="E297" s="30" t="s">
        <v>19</v>
      </c>
      <c r="F297" s="30" t="s">
        <v>28</v>
      </c>
      <c r="G297" s="30"/>
      <c r="H297" s="30" t="s">
        <v>1279</v>
      </c>
      <c r="I297" s="31">
        <f t="shared" si="14"/>
        <v>28</v>
      </c>
      <c r="J297" s="147" t="s">
        <v>1921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354</v>
      </c>
      <c r="B298" t="s">
        <v>976</v>
      </c>
      <c r="C298" t="s">
        <v>1065</v>
      </c>
      <c r="D298" t="s">
        <v>355</v>
      </c>
      <c r="E298" s="30" t="s">
        <v>15</v>
      </c>
      <c r="F298" s="30" t="s">
        <v>28</v>
      </c>
      <c r="G298" s="30"/>
      <c r="H298" s="30" t="s">
        <v>769</v>
      </c>
      <c r="I298" s="31">
        <f t="shared" si="14"/>
        <v>28</v>
      </c>
      <c r="J298" s="87"/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s="73" customFormat="1" ht="15.75" thickBot="1" x14ac:dyDescent="0.3">
      <c r="A299" s="73" t="s">
        <v>196</v>
      </c>
      <c r="B299" s="73" t="s">
        <v>356</v>
      </c>
      <c r="C299" s="73" t="s">
        <v>1065</v>
      </c>
      <c r="D299" s="73" t="s">
        <v>357</v>
      </c>
      <c r="E299" s="85" t="s">
        <v>15</v>
      </c>
      <c r="F299" s="85" t="s">
        <v>1303</v>
      </c>
      <c r="G299" s="85"/>
      <c r="H299" s="85" t="s">
        <v>765</v>
      </c>
      <c r="I299" s="142">
        <f t="shared" si="14"/>
        <v>3</v>
      </c>
      <c r="J299" s="147" t="s">
        <v>1922</v>
      </c>
      <c r="K299" s="142">
        <f t="shared" si="15"/>
        <v>25</v>
      </c>
      <c r="L299" s="143">
        <f t="shared" si="16"/>
        <v>0.10714285714285714</v>
      </c>
      <c r="M299" s="70" t="s">
        <v>2124</v>
      </c>
      <c r="N299" s="70" t="s">
        <v>2124</v>
      </c>
      <c r="O299" s="70" t="s">
        <v>2124</v>
      </c>
      <c r="P299" s="70" t="s">
        <v>2124</v>
      </c>
      <c r="Q299" s="70" t="s">
        <v>2124</v>
      </c>
      <c r="R299" s="70" t="s">
        <v>2124</v>
      </c>
      <c r="S299" s="70"/>
      <c r="T299" s="70" t="s">
        <v>2124</v>
      </c>
      <c r="U299" s="70" t="s">
        <v>2124</v>
      </c>
      <c r="V299" s="70" t="s">
        <v>2124</v>
      </c>
      <c r="W299" s="70" t="s">
        <v>2124</v>
      </c>
      <c r="X299" s="70" t="s">
        <v>2124</v>
      </c>
      <c r="Y299" s="70" t="s">
        <v>2124</v>
      </c>
      <c r="Z299" s="70" t="s">
        <v>2124</v>
      </c>
      <c r="AA299" s="70" t="s">
        <v>2124</v>
      </c>
      <c r="AB299" s="70" t="s">
        <v>2124</v>
      </c>
      <c r="AC299" s="70" t="s">
        <v>2124</v>
      </c>
      <c r="AD299" s="70" t="s">
        <v>2124</v>
      </c>
      <c r="AE299" s="70" t="s">
        <v>2124</v>
      </c>
      <c r="AF299" s="70" t="s">
        <v>2124</v>
      </c>
      <c r="AG299" s="70" t="s">
        <v>2124</v>
      </c>
      <c r="AH299" s="70" t="s">
        <v>2124</v>
      </c>
      <c r="AI299" s="70" t="s">
        <v>2124</v>
      </c>
      <c r="AJ299" s="70" t="s">
        <v>2124</v>
      </c>
      <c r="AK299" s="70" t="s">
        <v>2124</v>
      </c>
      <c r="AL299" s="70" t="s">
        <v>2124</v>
      </c>
      <c r="AM299" s="70"/>
      <c r="AN299" s="70"/>
      <c r="AO299" s="70"/>
      <c r="AP299" s="89"/>
      <c r="AQ299" s="89"/>
    </row>
    <row r="300" spans="1:43" s="73" customFormat="1" ht="15.75" thickBot="1" x14ac:dyDescent="0.3">
      <c r="A300" s="73" t="s">
        <v>196</v>
      </c>
      <c r="B300" s="73" t="s">
        <v>358</v>
      </c>
      <c r="C300" s="73" t="s">
        <v>1065</v>
      </c>
      <c r="D300" s="73" t="s">
        <v>357</v>
      </c>
      <c r="E300" s="85" t="s">
        <v>73</v>
      </c>
      <c r="F300" s="85" t="s">
        <v>1303</v>
      </c>
      <c r="G300" s="85"/>
      <c r="H300" s="85" t="s">
        <v>1636</v>
      </c>
      <c r="I300" s="142">
        <f t="shared" si="14"/>
        <v>28</v>
      </c>
      <c r="J300" s="147" t="s">
        <v>2158</v>
      </c>
      <c r="K300" s="142">
        <f t="shared" si="15"/>
        <v>0</v>
      </c>
      <c r="L300" s="143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  <c r="AQ300" s="89"/>
    </row>
    <row r="301" spans="1:43" s="73" customFormat="1" ht="15.75" thickBot="1" x14ac:dyDescent="0.3">
      <c r="A301" s="73" t="s">
        <v>196</v>
      </c>
      <c r="B301" s="73" t="s">
        <v>984</v>
      </c>
      <c r="C301" s="73" t="s">
        <v>1065</v>
      </c>
      <c r="D301" s="73" t="s">
        <v>985</v>
      </c>
      <c r="E301" s="85" t="s">
        <v>73</v>
      </c>
      <c r="F301" s="85" t="s">
        <v>1303</v>
      </c>
      <c r="G301" s="85"/>
      <c r="H301" s="85" t="s">
        <v>1280</v>
      </c>
      <c r="I301" s="31">
        <f t="shared" ref="I301:I369" si="17">COUNTIF(M301:AN301,"")</f>
        <v>4</v>
      </c>
      <c r="J301" s="147" t="s">
        <v>1923</v>
      </c>
      <c r="K301" s="31">
        <f t="shared" ref="K301:K369" si="18">COUNTIF(M301:AN301,"APAGADO")</f>
        <v>24</v>
      </c>
      <c r="L301" s="32">
        <f t="shared" ref="L301:L369" si="19">(I301)/(K301+I301)</f>
        <v>0.14285714285714285</v>
      </c>
      <c r="M301" s="70" t="s">
        <v>2124</v>
      </c>
      <c r="N301" s="70" t="s">
        <v>2124</v>
      </c>
      <c r="O301" s="70" t="s">
        <v>2124</v>
      </c>
      <c r="P301" s="70" t="s">
        <v>2124</v>
      </c>
      <c r="Q301" s="70" t="s">
        <v>2124</v>
      </c>
      <c r="R301" s="70" t="s">
        <v>2124</v>
      </c>
      <c r="S301" s="70" t="s">
        <v>2124</v>
      </c>
      <c r="T301" s="70" t="s">
        <v>2124</v>
      </c>
      <c r="U301" s="70" t="s">
        <v>2124</v>
      </c>
      <c r="V301" s="70" t="s">
        <v>2124</v>
      </c>
      <c r="W301" s="70" t="s">
        <v>2124</v>
      </c>
      <c r="X301" s="70" t="s">
        <v>2124</v>
      </c>
      <c r="Y301" s="70" t="s">
        <v>2124</v>
      </c>
      <c r="Z301" s="70" t="s">
        <v>2124</v>
      </c>
      <c r="AA301" s="70" t="s">
        <v>2124</v>
      </c>
      <c r="AB301" s="70"/>
      <c r="AC301" s="70" t="s">
        <v>2124</v>
      </c>
      <c r="AD301" s="70" t="s">
        <v>2124</v>
      </c>
      <c r="AE301" s="70" t="s">
        <v>2124</v>
      </c>
      <c r="AF301" s="70" t="s">
        <v>2124</v>
      </c>
      <c r="AG301" s="70" t="s">
        <v>2124</v>
      </c>
      <c r="AH301" s="70" t="s">
        <v>2124</v>
      </c>
      <c r="AI301" s="70" t="s">
        <v>2124</v>
      </c>
      <c r="AJ301" s="70"/>
      <c r="AK301" s="70" t="s">
        <v>2124</v>
      </c>
      <c r="AL301" s="70" t="s">
        <v>2124</v>
      </c>
      <c r="AM301" s="70"/>
      <c r="AN301" s="70"/>
      <c r="AO301" s="70"/>
      <c r="AP301" s="89"/>
      <c r="AQ301" s="89"/>
    </row>
    <row r="302" spans="1:43" s="73" customFormat="1" ht="15.75" thickBot="1" x14ac:dyDescent="0.3">
      <c r="A302" s="73" t="s">
        <v>359</v>
      </c>
      <c r="B302" s="73" t="s">
        <v>1211</v>
      </c>
      <c r="C302" s="73" t="s">
        <v>1065</v>
      </c>
      <c r="D302" s="73" t="s">
        <v>1212</v>
      </c>
      <c r="E302" s="85" t="s">
        <v>15</v>
      </c>
      <c r="F302" s="85" t="s">
        <v>1303</v>
      </c>
      <c r="G302" s="85"/>
      <c r="H302" s="85" t="s">
        <v>770</v>
      </c>
      <c r="I302" s="142">
        <f t="shared" si="17"/>
        <v>28</v>
      </c>
      <c r="J302" s="147" t="s">
        <v>1924</v>
      </c>
      <c r="K302" s="142">
        <f t="shared" si="18"/>
        <v>0</v>
      </c>
      <c r="L302" s="143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  <c r="AQ302" s="89"/>
    </row>
    <row r="303" spans="1:43" s="73" customFormat="1" ht="15.75" thickBot="1" x14ac:dyDescent="0.3">
      <c r="A303" s="73" t="s">
        <v>359</v>
      </c>
      <c r="B303" s="73" t="s">
        <v>360</v>
      </c>
      <c r="C303" s="73" t="s">
        <v>1065</v>
      </c>
      <c r="D303" s="73" t="s">
        <v>1212</v>
      </c>
      <c r="E303" s="85" t="s">
        <v>73</v>
      </c>
      <c r="F303" s="85" t="s">
        <v>1303</v>
      </c>
      <c r="G303" s="85"/>
      <c r="H303" s="85" t="s">
        <v>771</v>
      </c>
      <c r="I303" s="142">
        <f t="shared" si="17"/>
        <v>28</v>
      </c>
      <c r="J303" s="87" t="s">
        <v>2202</v>
      </c>
      <c r="K303" s="142">
        <f t="shared" si="18"/>
        <v>0</v>
      </c>
      <c r="L303" s="143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  <c r="AQ303" s="89"/>
    </row>
    <row r="304" spans="1:43" s="73" customFormat="1" ht="15.75" thickBot="1" x14ac:dyDescent="0.3">
      <c r="A304" s="73" t="s">
        <v>359</v>
      </c>
      <c r="B304" s="73" t="s">
        <v>986</v>
      </c>
      <c r="C304" s="73" t="s">
        <v>1065</v>
      </c>
      <c r="D304" s="73" t="s">
        <v>987</v>
      </c>
      <c r="E304" s="85" t="s">
        <v>19</v>
      </c>
      <c r="F304" s="85" t="s">
        <v>1303</v>
      </c>
      <c r="G304" s="85"/>
      <c r="H304" s="85" t="s">
        <v>1281</v>
      </c>
      <c r="I304" s="142">
        <f t="shared" si="17"/>
        <v>28</v>
      </c>
      <c r="J304" s="147" t="s">
        <v>1925</v>
      </c>
      <c r="K304" s="142">
        <f t="shared" si="18"/>
        <v>0</v>
      </c>
      <c r="L304" s="143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  <c r="AQ304" s="89"/>
    </row>
    <row r="305" spans="1:43" ht="15.75" thickBot="1" x14ac:dyDescent="0.3">
      <c r="A305" t="s">
        <v>350</v>
      </c>
      <c r="B305" t="s">
        <v>361</v>
      </c>
      <c r="C305" t="s">
        <v>1065</v>
      </c>
      <c r="D305" t="s">
        <v>362</v>
      </c>
      <c r="E305" s="30" t="s">
        <v>15</v>
      </c>
      <c r="F305" s="30" t="s">
        <v>28</v>
      </c>
      <c r="G305" s="30"/>
      <c r="H305" s="30" t="s">
        <v>767</v>
      </c>
      <c r="I305" s="31">
        <f t="shared" si="17"/>
        <v>6</v>
      </c>
      <c r="J305" s="147" t="s">
        <v>1926</v>
      </c>
      <c r="K305" s="31">
        <f t="shared" si="18"/>
        <v>22</v>
      </c>
      <c r="L305" s="32">
        <f t="shared" si="19"/>
        <v>0.21428571428571427</v>
      </c>
      <c r="M305" s="70"/>
      <c r="N305" s="70" t="s">
        <v>2124</v>
      </c>
      <c r="O305" s="70"/>
      <c r="P305" s="70" t="s">
        <v>2124</v>
      </c>
      <c r="Q305" s="70" t="s">
        <v>2124</v>
      </c>
      <c r="R305" s="70" t="s">
        <v>2124</v>
      </c>
      <c r="S305" s="70" t="s">
        <v>2124</v>
      </c>
      <c r="T305" s="70" t="s">
        <v>2124</v>
      </c>
      <c r="U305" s="70" t="s">
        <v>2124</v>
      </c>
      <c r="V305" s="70" t="s">
        <v>2124</v>
      </c>
      <c r="W305" s="70" t="s">
        <v>2124</v>
      </c>
      <c r="X305" s="70" t="s">
        <v>2124</v>
      </c>
      <c r="Y305" s="70" t="s">
        <v>2124</v>
      </c>
      <c r="Z305" s="70" t="s">
        <v>2124</v>
      </c>
      <c r="AA305" s="70" t="s">
        <v>2124</v>
      </c>
      <c r="AB305" s="70" t="s">
        <v>2124</v>
      </c>
      <c r="AC305" s="70" t="s">
        <v>2124</v>
      </c>
      <c r="AD305" s="70" t="s">
        <v>2124</v>
      </c>
      <c r="AE305" s="70" t="s">
        <v>2124</v>
      </c>
      <c r="AF305" s="70"/>
      <c r="AG305" s="70"/>
      <c r="AH305" s="70" t="s">
        <v>2124</v>
      </c>
      <c r="AI305" s="70" t="s">
        <v>2124</v>
      </c>
      <c r="AJ305" s="70" t="s">
        <v>2124</v>
      </c>
      <c r="AK305" s="70" t="s">
        <v>2124</v>
      </c>
      <c r="AL305" s="70" t="s">
        <v>2124</v>
      </c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363</v>
      </c>
      <c r="C306" t="s">
        <v>1065</v>
      </c>
      <c r="D306" t="s">
        <v>362</v>
      </c>
      <c r="E306" s="30" t="s">
        <v>73</v>
      </c>
      <c r="F306" s="30" t="s">
        <v>28</v>
      </c>
      <c r="G306" s="30"/>
      <c r="H306" s="30" t="s">
        <v>766</v>
      </c>
      <c r="I306" s="31">
        <f t="shared" si="17"/>
        <v>28</v>
      </c>
      <c r="J306" s="147" t="s">
        <v>1927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350</v>
      </c>
      <c r="B307" t="s">
        <v>988</v>
      </c>
      <c r="C307" t="s">
        <v>1065</v>
      </c>
      <c r="D307" t="s">
        <v>989</v>
      </c>
      <c r="E307" s="30" t="s">
        <v>73</v>
      </c>
      <c r="F307" s="30" t="s">
        <v>28</v>
      </c>
      <c r="G307" s="30"/>
      <c r="H307" s="30" t="s">
        <v>1282</v>
      </c>
      <c r="I307" s="31">
        <f t="shared" si="17"/>
        <v>28</v>
      </c>
      <c r="J307" s="147" t="s">
        <v>1928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229</v>
      </c>
      <c r="B308" t="s">
        <v>1293</v>
      </c>
      <c r="C308" t="s">
        <v>1065</v>
      </c>
      <c r="D308" t="s">
        <v>991</v>
      </c>
      <c r="E308" s="30" t="s">
        <v>73</v>
      </c>
      <c r="F308" s="30" t="s">
        <v>28</v>
      </c>
      <c r="G308" s="30"/>
      <c r="H308" s="30" t="s">
        <v>768</v>
      </c>
      <c r="I308" s="31">
        <f t="shared" si="17"/>
        <v>27</v>
      </c>
      <c r="J308" s="147" t="s">
        <v>1929</v>
      </c>
      <c r="K308" s="31">
        <f t="shared" si="18"/>
        <v>1</v>
      </c>
      <c r="L308" s="32">
        <f t="shared" si="19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2124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229</v>
      </c>
      <c r="B309" t="s">
        <v>1294</v>
      </c>
      <c r="C309" t="s">
        <v>1065</v>
      </c>
      <c r="D309" t="s">
        <v>991</v>
      </c>
      <c r="E309" s="30" t="s">
        <v>73</v>
      </c>
      <c r="F309" s="30" t="s">
        <v>28</v>
      </c>
      <c r="G309" s="30"/>
      <c r="H309" s="30" t="s">
        <v>760</v>
      </c>
      <c r="I309" s="31">
        <f t="shared" si="17"/>
        <v>27</v>
      </c>
      <c r="J309" s="147" t="s">
        <v>1930</v>
      </c>
      <c r="K309" s="31">
        <f t="shared" si="18"/>
        <v>1</v>
      </c>
      <c r="L309" s="32">
        <f t="shared" si="19"/>
        <v>0.9642857142857143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2124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229</v>
      </c>
      <c r="B310" t="s">
        <v>990</v>
      </c>
      <c r="C310" t="s">
        <v>1065</v>
      </c>
      <c r="D310" t="s">
        <v>991</v>
      </c>
      <c r="E310" s="30" t="s">
        <v>73</v>
      </c>
      <c r="F310" s="30" t="s">
        <v>28</v>
      </c>
      <c r="G310" s="30"/>
      <c r="H310" s="30" t="s">
        <v>1295</v>
      </c>
      <c r="I310" s="31">
        <f t="shared" si="17"/>
        <v>27</v>
      </c>
      <c r="J310" s="147" t="s">
        <v>1931</v>
      </c>
      <c r="K310" s="31">
        <f t="shared" si="18"/>
        <v>1</v>
      </c>
      <c r="L310" s="32">
        <f t="shared" si="19"/>
        <v>0.9642857142857143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2124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366</v>
      </c>
      <c r="C311" t="s">
        <v>1065</v>
      </c>
      <c r="D311" t="s">
        <v>367</v>
      </c>
      <c r="E311" s="30" t="s">
        <v>15</v>
      </c>
      <c r="F311" s="30" t="s">
        <v>28</v>
      </c>
      <c r="G311" s="30"/>
      <c r="H311" s="30" t="s">
        <v>772</v>
      </c>
      <c r="I311" s="31">
        <f t="shared" si="17"/>
        <v>27</v>
      </c>
      <c r="J311" s="147" t="s">
        <v>1932</v>
      </c>
      <c r="K311" s="31">
        <f t="shared" si="18"/>
        <v>1</v>
      </c>
      <c r="L311" s="32">
        <f t="shared" si="19"/>
        <v>0.9642857142857143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 t="s">
        <v>2124</v>
      </c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992</v>
      </c>
      <c r="C312" t="s">
        <v>1065</v>
      </c>
      <c r="D312" t="s">
        <v>368</v>
      </c>
      <c r="E312" s="30" t="s">
        <v>15</v>
      </c>
      <c r="F312" s="30" t="s">
        <v>28</v>
      </c>
      <c r="G312" s="30"/>
      <c r="H312" s="30" t="s">
        <v>773</v>
      </c>
      <c r="I312" s="31">
        <f t="shared" si="17"/>
        <v>27</v>
      </c>
      <c r="J312" s="147" t="s">
        <v>1933</v>
      </c>
      <c r="K312" s="31">
        <f t="shared" si="18"/>
        <v>1</v>
      </c>
      <c r="L312" s="32">
        <f t="shared" si="19"/>
        <v>0.9642857142857143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 t="s">
        <v>2124</v>
      </c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369</v>
      </c>
      <c r="C313" t="s">
        <v>1065</v>
      </c>
      <c r="D313" t="s">
        <v>370</v>
      </c>
      <c r="E313" s="30" t="s">
        <v>73</v>
      </c>
      <c r="F313" s="30" t="s">
        <v>28</v>
      </c>
      <c r="G313" s="30"/>
      <c r="H313" s="30" t="s">
        <v>774</v>
      </c>
      <c r="I313" s="31">
        <f t="shared" si="17"/>
        <v>27</v>
      </c>
      <c r="J313" s="147" t="s">
        <v>1934</v>
      </c>
      <c r="K313" s="31">
        <f t="shared" si="18"/>
        <v>1</v>
      </c>
      <c r="L313" s="32">
        <f t="shared" si="19"/>
        <v>0.9642857142857143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 t="s">
        <v>2124</v>
      </c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371</v>
      </c>
      <c r="C314" t="s">
        <v>1065</v>
      </c>
      <c r="D314" t="s">
        <v>370</v>
      </c>
      <c r="E314" s="30" t="s">
        <v>73</v>
      </c>
      <c r="F314" s="30" t="s">
        <v>28</v>
      </c>
      <c r="G314" s="30"/>
      <c r="H314" s="30" t="s">
        <v>775</v>
      </c>
      <c r="I314" s="31">
        <f t="shared" si="17"/>
        <v>27</v>
      </c>
      <c r="J314" s="147" t="s">
        <v>1935</v>
      </c>
      <c r="K314" s="31">
        <f t="shared" si="18"/>
        <v>1</v>
      </c>
      <c r="L314" s="32">
        <f t="shared" si="19"/>
        <v>0.9642857142857143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 t="s">
        <v>2124</v>
      </c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372</v>
      </c>
      <c r="C315" t="s">
        <v>1065</v>
      </c>
      <c r="D315" t="s">
        <v>373</v>
      </c>
      <c r="E315" s="30" t="s">
        <v>73</v>
      </c>
      <c r="F315" s="30" t="s">
        <v>28</v>
      </c>
      <c r="G315" s="30"/>
      <c r="H315" s="30" t="s">
        <v>776</v>
      </c>
      <c r="I315" s="31">
        <f t="shared" si="17"/>
        <v>27</v>
      </c>
      <c r="J315" s="147" t="s">
        <v>1936</v>
      </c>
      <c r="K315" s="31">
        <f t="shared" si="18"/>
        <v>1</v>
      </c>
      <c r="L315" s="32">
        <f t="shared" si="19"/>
        <v>0.9642857142857143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 t="s">
        <v>2124</v>
      </c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365</v>
      </c>
      <c r="B316" t="s">
        <v>374</v>
      </c>
      <c r="C316" t="s">
        <v>1065</v>
      </c>
      <c r="D316" t="s">
        <v>373</v>
      </c>
      <c r="E316" s="30" t="s">
        <v>46</v>
      </c>
      <c r="F316" s="30" t="s">
        <v>28</v>
      </c>
      <c r="G316" s="30"/>
      <c r="H316" s="30" t="s">
        <v>777</v>
      </c>
      <c r="I316" s="31">
        <f t="shared" si="17"/>
        <v>27</v>
      </c>
      <c r="J316" s="147" t="s">
        <v>1937</v>
      </c>
      <c r="K316" s="31">
        <f t="shared" si="18"/>
        <v>1</v>
      </c>
      <c r="L316" s="32">
        <f t="shared" si="19"/>
        <v>0.9642857142857143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 t="s">
        <v>2124</v>
      </c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365</v>
      </c>
      <c r="B317" t="s">
        <v>1337</v>
      </c>
      <c r="C317" t="s">
        <v>1064</v>
      </c>
      <c r="D317" t="s">
        <v>1338</v>
      </c>
      <c r="E317" s="30"/>
      <c r="F317" s="30" t="s">
        <v>28</v>
      </c>
      <c r="G317" s="30"/>
      <c r="H317" s="30" t="s">
        <v>1348</v>
      </c>
      <c r="I317" s="31">
        <f t="shared" si="17"/>
        <v>16</v>
      </c>
      <c r="J317" s="147" t="s">
        <v>1938</v>
      </c>
      <c r="K317" s="31">
        <f t="shared" si="18"/>
        <v>12</v>
      </c>
      <c r="L317" s="32">
        <f t="shared" si="19"/>
        <v>0.5714285714285714</v>
      </c>
      <c r="M317" s="70"/>
      <c r="N317" s="70" t="s">
        <v>2124</v>
      </c>
      <c r="O317" s="70" t="s">
        <v>2124</v>
      </c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 t="s">
        <v>2124</v>
      </c>
      <c r="AA317" s="70" t="s">
        <v>2124</v>
      </c>
      <c r="AB317" s="70" t="s">
        <v>2124</v>
      </c>
      <c r="AC317" s="70" t="s">
        <v>2124</v>
      </c>
      <c r="AD317" s="70" t="s">
        <v>2124</v>
      </c>
      <c r="AE317" s="70" t="s">
        <v>2124</v>
      </c>
      <c r="AF317" s="70" t="s">
        <v>2124</v>
      </c>
      <c r="AG317" s="70" t="s">
        <v>2124</v>
      </c>
      <c r="AH317" s="70" t="s">
        <v>2124</v>
      </c>
      <c r="AI317" s="70"/>
      <c r="AJ317" s="70"/>
      <c r="AK317" s="70"/>
      <c r="AL317" s="70" t="s">
        <v>2124</v>
      </c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1382</v>
      </c>
      <c r="C318" t="s">
        <v>1065</v>
      </c>
      <c r="D318" s="68" t="s">
        <v>1385</v>
      </c>
      <c r="E318" s="30" t="s">
        <v>19</v>
      </c>
      <c r="F318" s="30" t="s">
        <v>28</v>
      </c>
      <c r="G318" s="30"/>
      <c r="H318" s="30" t="s">
        <v>1397</v>
      </c>
      <c r="I318" s="31">
        <f t="shared" si="17"/>
        <v>18</v>
      </c>
      <c r="J318" s="147" t="s">
        <v>1939</v>
      </c>
      <c r="K318" s="31">
        <f t="shared" si="18"/>
        <v>10</v>
      </c>
      <c r="L318" s="32">
        <f t="shared" si="19"/>
        <v>0.6428571428571429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 t="s">
        <v>2124</v>
      </c>
      <c r="AA318" s="70" t="s">
        <v>2124</v>
      </c>
      <c r="AB318" s="70" t="s">
        <v>2124</v>
      </c>
      <c r="AC318" s="70" t="s">
        <v>2124</v>
      </c>
      <c r="AD318" s="70" t="s">
        <v>2124</v>
      </c>
      <c r="AE318" s="70" t="s">
        <v>2124</v>
      </c>
      <c r="AF318" s="70" t="s">
        <v>2124</v>
      </c>
      <c r="AG318" s="70" t="s">
        <v>2124</v>
      </c>
      <c r="AH318" s="70" t="s">
        <v>2124</v>
      </c>
      <c r="AI318" s="70"/>
      <c r="AJ318" s="70"/>
      <c r="AK318" s="70"/>
      <c r="AL318" s="70" t="s">
        <v>2124</v>
      </c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1383</v>
      </c>
      <c r="C319" t="s">
        <v>1065</v>
      </c>
      <c r="D319" s="68" t="s">
        <v>1386</v>
      </c>
      <c r="E319" s="30" t="s">
        <v>73</v>
      </c>
      <c r="F319" s="30" t="s">
        <v>28</v>
      </c>
      <c r="G319" s="30"/>
      <c r="H319" s="30" t="s">
        <v>1398</v>
      </c>
      <c r="I319" s="31">
        <f t="shared" si="17"/>
        <v>8</v>
      </c>
      <c r="J319" s="147" t="s">
        <v>1940</v>
      </c>
      <c r="K319" s="31">
        <f t="shared" si="18"/>
        <v>20</v>
      </c>
      <c r="L319" s="32">
        <f t="shared" si="19"/>
        <v>0.2857142857142857</v>
      </c>
      <c r="M319" s="70"/>
      <c r="N319" s="70"/>
      <c r="O319" s="70"/>
      <c r="P319" s="70"/>
      <c r="Q319" s="70" t="s">
        <v>2124</v>
      </c>
      <c r="R319" s="70" t="s">
        <v>2124</v>
      </c>
      <c r="S319" s="70" t="s">
        <v>2124</v>
      </c>
      <c r="T319" s="70" t="s">
        <v>2124</v>
      </c>
      <c r="U319" s="70" t="s">
        <v>2124</v>
      </c>
      <c r="V319" s="70" t="s">
        <v>2124</v>
      </c>
      <c r="W319" s="70" t="s">
        <v>2124</v>
      </c>
      <c r="X319" s="70" t="s">
        <v>2124</v>
      </c>
      <c r="Y319" s="70" t="s">
        <v>2124</v>
      </c>
      <c r="Z319" s="70" t="s">
        <v>2124</v>
      </c>
      <c r="AA319" s="70" t="s">
        <v>2124</v>
      </c>
      <c r="AB319" s="70" t="s">
        <v>2124</v>
      </c>
      <c r="AC319" s="70" t="s">
        <v>2124</v>
      </c>
      <c r="AD319" s="70" t="s">
        <v>2124</v>
      </c>
      <c r="AE319" s="70" t="s">
        <v>2124</v>
      </c>
      <c r="AF319" s="70" t="s">
        <v>2124</v>
      </c>
      <c r="AG319" s="70" t="s">
        <v>2124</v>
      </c>
      <c r="AH319" s="70" t="s">
        <v>2124</v>
      </c>
      <c r="AI319" s="70" t="s">
        <v>2124</v>
      </c>
      <c r="AJ319" s="70"/>
      <c r="AK319" s="70"/>
      <c r="AL319" s="70" t="s">
        <v>2124</v>
      </c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1384</v>
      </c>
      <c r="C320" t="s">
        <v>1065</v>
      </c>
      <c r="D320" s="68" t="s">
        <v>1387</v>
      </c>
      <c r="E320" s="30" t="s">
        <v>73</v>
      </c>
      <c r="F320" s="30" t="s">
        <v>28</v>
      </c>
      <c r="G320" s="30"/>
      <c r="H320" s="30" t="s">
        <v>1399</v>
      </c>
      <c r="I320" s="31">
        <f t="shared" si="17"/>
        <v>16</v>
      </c>
      <c r="J320" s="147" t="s">
        <v>1941</v>
      </c>
      <c r="K320" s="31">
        <f t="shared" si="18"/>
        <v>12</v>
      </c>
      <c r="L320" s="32">
        <f t="shared" si="19"/>
        <v>0.5714285714285714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2124</v>
      </c>
      <c r="Z320" s="70" t="s">
        <v>2124</v>
      </c>
      <c r="AA320" s="70" t="s">
        <v>2124</v>
      </c>
      <c r="AB320" s="70" t="s">
        <v>2124</v>
      </c>
      <c r="AC320" s="70" t="s">
        <v>2124</v>
      </c>
      <c r="AD320" s="70" t="s">
        <v>2124</v>
      </c>
      <c r="AE320" s="70" t="s">
        <v>2124</v>
      </c>
      <c r="AF320" s="70" t="s">
        <v>2124</v>
      </c>
      <c r="AG320" s="70" t="s">
        <v>2124</v>
      </c>
      <c r="AH320" s="70" t="s">
        <v>2124</v>
      </c>
      <c r="AI320" s="70" t="s">
        <v>2124</v>
      </c>
      <c r="AJ320" s="70"/>
      <c r="AK320" s="70"/>
      <c r="AL320" s="70" t="s">
        <v>2124</v>
      </c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375</v>
      </c>
      <c r="B321" s="73" t="s">
        <v>1002</v>
      </c>
      <c r="C321" s="73" t="s">
        <v>1065</v>
      </c>
      <c r="D321" s="73" t="s">
        <v>376</v>
      </c>
      <c r="E321" s="85" t="s">
        <v>15</v>
      </c>
      <c r="F321" s="85" t="s">
        <v>28</v>
      </c>
      <c r="G321" s="85"/>
      <c r="H321" s="85" t="s">
        <v>778</v>
      </c>
      <c r="I321" s="87">
        <f t="shared" si="17"/>
        <v>27</v>
      </c>
      <c r="J321" s="147" t="s">
        <v>1942</v>
      </c>
      <c r="K321" s="87">
        <f t="shared" si="18"/>
        <v>1</v>
      </c>
      <c r="L321" s="88">
        <f t="shared" si="19"/>
        <v>0.9642857142857143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 t="s">
        <v>2124</v>
      </c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1003</v>
      </c>
      <c r="C322" t="s">
        <v>1065</v>
      </c>
      <c r="D322" t="s">
        <v>377</v>
      </c>
      <c r="E322" s="30" t="s">
        <v>15</v>
      </c>
      <c r="F322" s="30" t="s">
        <v>28</v>
      </c>
      <c r="G322" s="30"/>
      <c r="H322" s="30" t="s">
        <v>781</v>
      </c>
      <c r="I322" s="31">
        <f t="shared" si="17"/>
        <v>27</v>
      </c>
      <c r="J322" s="147" t="s">
        <v>1943</v>
      </c>
      <c r="K322" s="31">
        <f t="shared" si="18"/>
        <v>1</v>
      </c>
      <c r="L322" s="32">
        <f t="shared" si="19"/>
        <v>0.9642857142857143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 t="s">
        <v>2124</v>
      </c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378</v>
      </c>
      <c r="C323" t="s">
        <v>1065</v>
      </c>
      <c r="D323" t="s">
        <v>379</v>
      </c>
      <c r="E323" s="30" t="s">
        <v>73</v>
      </c>
      <c r="F323" s="30" t="s">
        <v>28</v>
      </c>
      <c r="G323" s="30"/>
      <c r="H323" s="30" t="s">
        <v>779</v>
      </c>
      <c r="I323" s="31">
        <f t="shared" si="17"/>
        <v>27</v>
      </c>
      <c r="J323" s="147" t="s">
        <v>1944</v>
      </c>
      <c r="K323" s="31">
        <f t="shared" si="18"/>
        <v>1</v>
      </c>
      <c r="L323" s="32">
        <f t="shared" si="19"/>
        <v>0.9642857142857143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 t="s">
        <v>2124</v>
      </c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380</v>
      </c>
      <c r="C324" t="s">
        <v>1065</v>
      </c>
      <c r="D324" t="s">
        <v>379</v>
      </c>
      <c r="E324" s="30" t="s">
        <v>73</v>
      </c>
      <c r="F324" s="30" t="s">
        <v>28</v>
      </c>
      <c r="G324" s="30"/>
      <c r="H324" s="30" t="s">
        <v>780</v>
      </c>
      <c r="I324" s="31">
        <f t="shared" si="17"/>
        <v>27</v>
      </c>
      <c r="J324" s="147" t="s">
        <v>1945</v>
      </c>
      <c r="K324" s="31">
        <f t="shared" si="18"/>
        <v>1</v>
      </c>
      <c r="L324" s="32">
        <f t="shared" si="19"/>
        <v>0.9642857142857143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 t="s">
        <v>2124</v>
      </c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993</v>
      </c>
      <c r="C325" t="s">
        <v>1065</v>
      </c>
      <c r="D325" t="s">
        <v>381</v>
      </c>
      <c r="E325" s="30" t="s">
        <v>15</v>
      </c>
      <c r="F325" s="30" t="s">
        <v>28</v>
      </c>
      <c r="G325" s="30"/>
      <c r="H325" s="30" t="s">
        <v>782</v>
      </c>
      <c r="I325" s="31">
        <f t="shared" si="17"/>
        <v>27</v>
      </c>
      <c r="J325" s="147" t="s">
        <v>1946</v>
      </c>
      <c r="K325" s="31">
        <f t="shared" si="18"/>
        <v>1</v>
      </c>
      <c r="L325" s="32">
        <f t="shared" si="19"/>
        <v>0.9642857142857143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 t="s">
        <v>2124</v>
      </c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994</v>
      </c>
      <c r="C326" t="s">
        <v>1065</v>
      </c>
      <c r="D326" t="s">
        <v>995</v>
      </c>
      <c r="E326" s="30" t="s">
        <v>19</v>
      </c>
      <c r="F326" s="30" t="s">
        <v>28</v>
      </c>
      <c r="G326" s="30"/>
      <c r="H326" s="30" t="s">
        <v>907</v>
      </c>
      <c r="I326" s="31">
        <f t="shared" si="17"/>
        <v>27</v>
      </c>
      <c r="J326" s="147" t="s">
        <v>1947</v>
      </c>
      <c r="K326" s="31">
        <f t="shared" si="18"/>
        <v>1</v>
      </c>
      <c r="L326" s="32">
        <f t="shared" si="19"/>
        <v>0.9642857142857143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 t="s">
        <v>2124</v>
      </c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996</v>
      </c>
      <c r="C327" t="s">
        <v>1065</v>
      </c>
      <c r="D327" t="s">
        <v>997</v>
      </c>
      <c r="E327" s="30" t="s">
        <v>19</v>
      </c>
      <c r="F327" s="30" t="s">
        <v>28</v>
      </c>
      <c r="G327" s="30"/>
      <c r="H327" s="30" t="s">
        <v>908</v>
      </c>
      <c r="I327" s="31">
        <f t="shared" si="17"/>
        <v>27</v>
      </c>
      <c r="J327" s="147" t="s">
        <v>1948</v>
      </c>
      <c r="K327" s="31">
        <f t="shared" si="18"/>
        <v>1</v>
      </c>
      <c r="L327" s="32">
        <f t="shared" si="19"/>
        <v>0.9642857142857143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 t="s">
        <v>2124</v>
      </c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998</v>
      </c>
      <c r="C328" t="s">
        <v>1065</v>
      </c>
      <c r="D328" t="s">
        <v>999</v>
      </c>
      <c r="E328" s="30" t="s">
        <v>19</v>
      </c>
      <c r="F328" s="30" t="s">
        <v>28</v>
      </c>
      <c r="G328" s="30"/>
      <c r="H328" s="30" t="s">
        <v>909</v>
      </c>
      <c r="I328" s="31">
        <f t="shared" si="17"/>
        <v>27</v>
      </c>
      <c r="J328" s="147" t="s">
        <v>1949</v>
      </c>
      <c r="K328" s="31">
        <f t="shared" si="18"/>
        <v>1</v>
      </c>
      <c r="L328" s="32">
        <f t="shared" si="19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D328" s="70"/>
      <c r="AE328" s="70"/>
      <c r="AF328" s="70"/>
      <c r="AG328" s="70"/>
      <c r="AH328" s="70"/>
      <c r="AI328" s="70"/>
      <c r="AJ328" s="70" t="s">
        <v>2124</v>
      </c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1000</v>
      </c>
      <c r="C329" t="s">
        <v>1065</v>
      </c>
      <c r="D329" t="s">
        <v>1001</v>
      </c>
      <c r="E329" s="30" t="s">
        <v>19</v>
      </c>
      <c r="F329" s="30" t="s">
        <v>28</v>
      </c>
      <c r="G329" s="30"/>
      <c r="H329" s="30" t="s">
        <v>910</v>
      </c>
      <c r="I329" s="31">
        <f t="shared" si="17"/>
        <v>27</v>
      </c>
      <c r="J329" s="147" t="s">
        <v>1950</v>
      </c>
      <c r="K329" s="31">
        <f t="shared" si="18"/>
        <v>1</v>
      </c>
      <c r="L329" s="32">
        <f t="shared" si="19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 t="s">
        <v>2124</v>
      </c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1176</v>
      </c>
      <c r="C330" t="s">
        <v>1065</v>
      </c>
      <c r="D330" t="s">
        <v>1159</v>
      </c>
      <c r="E330" s="30" t="s">
        <v>19</v>
      </c>
      <c r="F330" s="30" t="s">
        <v>28</v>
      </c>
      <c r="G330" s="30"/>
      <c r="H330" s="30" t="s">
        <v>1161</v>
      </c>
      <c r="I330" s="31">
        <f t="shared" si="17"/>
        <v>27</v>
      </c>
      <c r="J330" s="147" t="s">
        <v>1951</v>
      </c>
      <c r="K330" s="31">
        <f t="shared" si="18"/>
        <v>1</v>
      </c>
      <c r="L330" s="32">
        <f t="shared" si="19"/>
        <v>0.9642857142857143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 t="s">
        <v>2124</v>
      </c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1177</v>
      </c>
      <c r="C331" t="s">
        <v>1065</v>
      </c>
      <c r="D331" t="s">
        <v>1159</v>
      </c>
      <c r="E331" s="30" t="s">
        <v>19</v>
      </c>
      <c r="F331" s="30" t="s">
        <v>28</v>
      </c>
      <c r="G331" s="30"/>
      <c r="H331" s="30" t="s">
        <v>1162</v>
      </c>
      <c r="I331" s="31">
        <f t="shared" si="17"/>
        <v>27</v>
      </c>
      <c r="J331" s="147" t="s">
        <v>1952</v>
      </c>
      <c r="K331" s="31">
        <f t="shared" si="18"/>
        <v>1</v>
      </c>
      <c r="L331" s="32">
        <f t="shared" si="19"/>
        <v>0.9642857142857143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 t="s">
        <v>2124</v>
      </c>
      <c r="AK331" s="83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1195</v>
      </c>
      <c r="C332" t="s">
        <v>1065</v>
      </c>
      <c r="D332" t="s">
        <v>1158</v>
      </c>
      <c r="E332" s="30" t="s">
        <v>15</v>
      </c>
      <c r="F332" s="30" t="s">
        <v>28</v>
      </c>
      <c r="G332" s="30"/>
      <c r="H332" s="30" t="s">
        <v>1160</v>
      </c>
      <c r="I332" s="31">
        <f t="shared" si="17"/>
        <v>27</v>
      </c>
      <c r="J332" s="147" t="s">
        <v>1953</v>
      </c>
      <c r="K332" s="31">
        <f t="shared" si="18"/>
        <v>1</v>
      </c>
      <c r="L332" s="32">
        <f t="shared" si="19"/>
        <v>0.9642857142857143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 t="s">
        <v>2124</v>
      </c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1298</v>
      </c>
      <c r="C333" t="s">
        <v>1065</v>
      </c>
      <c r="D333" t="s">
        <v>1299</v>
      </c>
      <c r="E333" s="30" t="s">
        <v>73</v>
      </c>
      <c r="F333" s="30" t="s">
        <v>28</v>
      </c>
      <c r="G333" s="30"/>
      <c r="H333" s="30" t="s">
        <v>1489</v>
      </c>
      <c r="I333" s="31">
        <f t="shared" si="17"/>
        <v>27</v>
      </c>
      <c r="J333" s="147" t="s">
        <v>1954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 t="s">
        <v>2124</v>
      </c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1388</v>
      </c>
      <c r="C334" t="s">
        <v>1065</v>
      </c>
      <c r="D334" s="68" t="s">
        <v>1391</v>
      </c>
      <c r="E334" s="30" t="s">
        <v>15</v>
      </c>
      <c r="F334" s="30" t="s">
        <v>1058</v>
      </c>
      <c r="G334" s="30"/>
      <c r="H334" s="30" t="s">
        <v>1395</v>
      </c>
      <c r="I334" s="31">
        <f t="shared" si="17"/>
        <v>22</v>
      </c>
      <c r="J334" s="87"/>
      <c r="K334" s="31">
        <f t="shared" si="18"/>
        <v>6</v>
      </c>
      <c r="L334" s="32">
        <f t="shared" si="19"/>
        <v>0.7857142857142857</v>
      </c>
      <c r="M334" s="70"/>
      <c r="N334" s="70"/>
      <c r="O334" s="70"/>
      <c r="P334" s="70"/>
      <c r="Q334" s="70"/>
      <c r="R334" s="70" t="s">
        <v>2124</v>
      </c>
      <c r="S334" s="70" t="s">
        <v>2124</v>
      </c>
      <c r="T334" s="70" t="s">
        <v>2124</v>
      </c>
      <c r="U334" s="70" t="s">
        <v>2124</v>
      </c>
      <c r="V334" s="70"/>
      <c r="W334" s="70"/>
      <c r="X334" s="70" t="s">
        <v>2124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 t="s">
        <v>2124</v>
      </c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1389</v>
      </c>
      <c r="C335" t="s">
        <v>1065</v>
      </c>
      <c r="D335" s="68" t="s">
        <v>1392</v>
      </c>
      <c r="E335" s="30" t="s">
        <v>73</v>
      </c>
      <c r="F335" s="30" t="s">
        <v>1058</v>
      </c>
      <c r="G335" s="30"/>
      <c r="H335" s="30" t="s">
        <v>1396</v>
      </c>
      <c r="I335" s="31">
        <f t="shared" si="17"/>
        <v>22</v>
      </c>
      <c r="J335" s="87"/>
      <c r="K335" s="31">
        <f t="shared" si="18"/>
        <v>6</v>
      </c>
      <c r="L335" s="32">
        <f t="shared" si="19"/>
        <v>0.7857142857142857</v>
      </c>
      <c r="M335" s="70"/>
      <c r="N335" s="70"/>
      <c r="O335" s="70"/>
      <c r="P335" s="70"/>
      <c r="Q335" s="70"/>
      <c r="R335" s="70" t="s">
        <v>2124</v>
      </c>
      <c r="S335" s="70" t="s">
        <v>2124</v>
      </c>
      <c r="T335" s="70" t="s">
        <v>2124</v>
      </c>
      <c r="U335" s="70" t="s">
        <v>2124</v>
      </c>
      <c r="V335" s="70"/>
      <c r="W335" s="70"/>
      <c r="X335" s="70" t="s">
        <v>2124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 t="s">
        <v>2124</v>
      </c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1390</v>
      </c>
      <c r="C336" t="s">
        <v>1065</v>
      </c>
      <c r="D336" s="68" t="s">
        <v>1393</v>
      </c>
      <c r="E336" s="30" t="s">
        <v>15</v>
      </c>
      <c r="F336" s="30" t="s">
        <v>28</v>
      </c>
      <c r="G336" s="30"/>
      <c r="H336" s="30" t="s">
        <v>1506</v>
      </c>
      <c r="I336" s="31">
        <f t="shared" si="17"/>
        <v>25</v>
      </c>
      <c r="J336" s="147" t="s">
        <v>1955</v>
      </c>
      <c r="K336" s="31">
        <f t="shared" si="18"/>
        <v>3</v>
      </c>
      <c r="L336" s="32">
        <f t="shared" si="19"/>
        <v>0.8928571428571429</v>
      </c>
      <c r="M336" s="70"/>
      <c r="N336" s="70"/>
      <c r="O336" s="70"/>
      <c r="P336" s="70"/>
      <c r="Q336" s="70"/>
      <c r="R336" s="70"/>
      <c r="S336" s="70"/>
      <c r="T336" s="70" t="s">
        <v>2124</v>
      </c>
      <c r="U336" s="70"/>
      <c r="V336" s="70"/>
      <c r="W336" s="70"/>
      <c r="X336" s="70" t="s">
        <v>2124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 t="s">
        <v>2124</v>
      </c>
      <c r="AK336" s="70"/>
      <c r="AL336" s="70"/>
      <c r="AM336" s="70"/>
      <c r="AN336" s="70"/>
      <c r="AO336" s="70"/>
      <c r="AP336" s="70"/>
      <c r="AQ336" s="70"/>
    </row>
    <row r="337" spans="1:43" s="73" customFormat="1" ht="15.75" thickBot="1" x14ac:dyDescent="0.3">
      <c r="A337" s="73" t="s">
        <v>900</v>
      </c>
      <c r="B337" s="73" t="s">
        <v>1004</v>
      </c>
      <c r="C337" s="73" t="s">
        <v>1065</v>
      </c>
      <c r="D337" s="73" t="s">
        <v>1005</v>
      </c>
      <c r="E337" s="85" t="s">
        <v>1059</v>
      </c>
      <c r="F337" s="85" t="s">
        <v>1303</v>
      </c>
      <c r="G337" s="85"/>
      <c r="H337" s="85" t="s">
        <v>902</v>
      </c>
      <c r="I337" s="142">
        <f t="shared" si="17"/>
        <v>28</v>
      </c>
      <c r="J337" s="87"/>
      <c r="K337" s="142">
        <f t="shared" si="18"/>
        <v>0</v>
      </c>
      <c r="L337" s="143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  <c r="AQ337" s="89"/>
    </row>
    <row r="338" spans="1:43" s="73" customFormat="1" ht="15.75" thickBot="1" x14ac:dyDescent="0.3">
      <c r="A338" s="73" t="s">
        <v>900</v>
      </c>
      <c r="B338" s="73" t="s">
        <v>899</v>
      </c>
      <c r="C338" s="73" t="s">
        <v>1065</v>
      </c>
      <c r="D338" s="73" t="s">
        <v>1005</v>
      </c>
      <c r="E338" s="85" t="s">
        <v>1060</v>
      </c>
      <c r="F338" s="85" t="s">
        <v>1303</v>
      </c>
      <c r="G338" s="85"/>
      <c r="H338" s="85" t="s">
        <v>901</v>
      </c>
      <c r="I338" s="142">
        <f t="shared" si="17"/>
        <v>28</v>
      </c>
      <c r="J338" s="87"/>
      <c r="K338" s="142">
        <f t="shared" si="18"/>
        <v>0</v>
      </c>
      <c r="L338" s="143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89"/>
      <c r="AQ338" s="89"/>
    </row>
    <row r="339" spans="1:43" ht="15.75" thickBot="1" x14ac:dyDescent="0.3">
      <c r="A339" t="s">
        <v>264</v>
      </c>
      <c r="B339" t="s">
        <v>382</v>
      </c>
      <c r="C339" t="s">
        <v>1064</v>
      </c>
      <c r="D339" t="s">
        <v>383</v>
      </c>
      <c r="E339" s="30" t="s">
        <v>19</v>
      </c>
      <c r="F339" s="30" t="s">
        <v>28</v>
      </c>
      <c r="G339" s="30"/>
      <c r="H339" s="30" t="s">
        <v>783</v>
      </c>
      <c r="I339" s="31">
        <f t="shared" si="17"/>
        <v>27</v>
      </c>
      <c r="J339" s="147" t="s">
        <v>1956</v>
      </c>
      <c r="K339" s="31">
        <f t="shared" si="18"/>
        <v>1</v>
      </c>
      <c r="L339" s="32">
        <f t="shared" si="19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2124</v>
      </c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264</v>
      </c>
      <c r="B340" s="73" t="s">
        <v>1006</v>
      </c>
      <c r="C340" s="73" t="s">
        <v>1064</v>
      </c>
      <c r="D340" s="73" t="s">
        <v>338</v>
      </c>
      <c r="E340" s="85" t="s">
        <v>73</v>
      </c>
      <c r="F340" s="85" t="s">
        <v>1303</v>
      </c>
      <c r="G340" s="85"/>
      <c r="H340" s="85" t="s">
        <v>752</v>
      </c>
      <c r="I340" s="142">
        <f t="shared" si="17"/>
        <v>19</v>
      </c>
      <c r="J340" s="147" t="s">
        <v>1957</v>
      </c>
      <c r="K340" s="142">
        <f t="shared" si="18"/>
        <v>9</v>
      </c>
      <c r="L340" s="143">
        <f t="shared" si="19"/>
        <v>0.6785714285714286</v>
      </c>
      <c r="M340" s="70"/>
      <c r="N340" s="70" t="s">
        <v>2124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 t="s">
        <v>2124</v>
      </c>
      <c r="Y340" s="70"/>
      <c r="Z340" s="70"/>
      <c r="AA340" s="70" t="s">
        <v>2124</v>
      </c>
      <c r="AB340" s="70"/>
      <c r="AC340" s="70"/>
      <c r="AD340" s="70"/>
      <c r="AE340" s="70"/>
      <c r="AF340" s="70"/>
      <c r="AG340" s="70" t="s">
        <v>2124</v>
      </c>
      <c r="AH340" s="70" t="s">
        <v>2124</v>
      </c>
      <c r="AI340" s="70" t="s">
        <v>2124</v>
      </c>
      <c r="AJ340" s="70" t="s">
        <v>2124</v>
      </c>
      <c r="AK340" s="70" t="s">
        <v>2124</v>
      </c>
      <c r="AL340" s="70" t="s">
        <v>2124</v>
      </c>
      <c r="AM340" s="70"/>
      <c r="AN340" s="70"/>
      <c r="AO340" s="70"/>
      <c r="AP340" s="89"/>
      <c r="AQ340" s="89"/>
    </row>
    <row r="341" spans="1:43" s="73" customFormat="1" ht="15.75" thickBot="1" x14ac:dyDescent="0.3">
      <c r="A341" s="73" t="s">
        <v>264</v>
      </c>
      <c r="B341" s="73" t="s">
        <v>1007</v>
      </c>
      <c r="C341" s="73" t="s">
        <v>1064</v>
      </c>
      <c r="D341" s="73" t="s">
        <v>338</v>
      </c>
      <c r="E341" s="85" t="s">
        <v>73</v>
      </c>
      <c r="F341" s="85" t="s">
        <v>1303</v>
      </c>
      <c r="G341" s="85"/>
      <c r="H341" s="85" t="s">
        <v>753</v>
      </c>
      <c r="I341" s="142">
        <f t="shared" si="17"/>
        <v>21</v>
      </c>
      <c r="J341" s="147" t="s">
        <v>1958</v>
      </c>
      <c r="K341" s="142">
        <f t="shared" si="18"/>
        <v>7</v>
      </c>
      <c r="L341" s="143">
        <f t="shared" si="19"/>
        <v>0.75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 t="s">
        <v>2124</v>
      </c>
      <c r="Y341" s="70"/>
      <c r="Z341" s="70"/>
      <c r="AA341" s="70" t="s">
        <v>2124</v>
      </c>
      <c r="AB341" s="70"/>
      <c r="AC341" s="70"/>
      <c r="AD341" s="70"/>
      <c r="AE341" s="70"/>
      <c r="AF341" s="70"/>
      <c r="AG341" s="70"/>
      <c r="AH341" s="70" t="s">
        <v>2124</v>
      </c>
      <c r="AI341" s="70" t="s">
        <v>2124</v>
      </c>
      <c r="AJ341" s="70" t="s">
        <v>2124</v>
      </c>
      <c r="AK341" s="70" t="s">
        <v>2124</v>
      </c>
      <c r="AL341" s="70" t="s">
        <v>2124</v>
      </c>
      <c r="AM341" s="70"/>
      <c r="AN341" s="70"/>
      <c r="AO341" s="70"/>
      <c r="AP341" s="89"/>
      <c r="AQ341" s="89"/>
    </row>
    <row r="342" spans="1:43" ht="15.75" thickBot="1" x14ac:dyDescent="0.3">
      <c r="A342" t="s">
        <v>264</v>
      </c>
      <c r="B342" t="s">
        <v>1008</v>
      </c>
      <c r="C342" t="s">
        <v>1064</v>
      </c>
      <c r="D342" t="s">
        <v>1009</v>
      </c>
      <c r="E342" s="30" t="s">
        <v>19</v>
      </c>
      <c r="F342" s="30" t="s">
        <v>28</v>
      </c>
      <c r="G342" s="30"/>
      <c r="H342" s="30" t="s">
        <v>1487</v>
      </c>
      <c r="I342" s="31">
        <f t="shared" si="17"/>
        <v>26</v>
      </c>
      <c r="J342" s="147" t="s">
        <v>1959</v>
      </c>
      <c r="K342" s="31">
        <f t="shared" si="18"/>
        <v>2</v>
      </c>
      <c r="L342" s="32">
        <f t="shared" si="19"/>
        <v>0.9285714285714286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 t="s">
        <v>2124</v>
      </c>
      <c r="AB342" s="70"/>
      <c r="AC342" s="70"/>
      <c r="AD342" s="70"/>
      <c r="AE342" s="70"/>
      <c r="AF342" s="70"/>
      <c r="AG342" s="70" t="s">
        <v>2124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264</v>
      </c>
      <c r="B343" t="s">
        <v>1010</v>
      </c>
      <c r="C343" t="s">
        <v>1064</v>
      </c>
      <c r="D343" t="s">
        <v>1011</v>
      </c>
      <c r="E343" s="30" t="s">
        <v>19</v>
      </c>
      <c r="F343" s="30" t="s">
        <v>28</v>
      </c>
      <c r="G343" s="30"/>
      <c r="H343" s="30"/>
      <c r="I343" s="31">
        <f t="shared" si="17"/>
        <v>15</v>
      </c>
      <c r="J343" s="147" t="s">
        <v>1960</v>
      </c>
      <c r="K343" s="31">
        <f t="shared" si="18"/>
        <v>13</v>
      </c>
      <c r="L343" s="32">
        <f t="shared" si="19"/>
        <v>0.5357142857142857</v>
      </c>
      <c r="M343" s="70"/>
      <c r="N343" s="70"/>
      <c r="O343" s="70"/>
      <c r="P343" s="70" t="s">
        <v>2124</v>
      </c>
      <c r="Q343" s="70"/>
      <c r="R343" s="70"/>
      <c r="S343" s="70"/>
      <c r="T343" s="70"/>
      <c r="U343" s="70" t="s">
        <v>2124</v>
      </c>
      <c r="V343" s="70" t="s">
        <v>2124</v>
      </c>
      <c r="W343" s="70"/>
      <c r="X343" s="70" t="s">
        <v>2124</v>
      </c>
      <c r="Y343" s="70" t="s">
        <v>2124</v>
      </c>
      <c r="Z343" s="70" t="s">
        <v>2124</v>
      </c>
      <c r="AA343" s="70" t="s">
        <v>2124</v>
      </c>
      <c r="AB343" s="70"/>
      <c r="AC343" s="70" t="s">
        <v>2124</v>
      </c>
      <c r="AD343" s="70"/>
      <c r="AE343" s="70"/>
      <c r="AF343" s="70" t="s">
        <v>2124</v>
      </c>
      <c r="AG343" s="70"/>
      <c r="AH343" s="70"/>
      <c r="AI343" s="70" t="s">
        <v>2124</v>
      </c>
      <c r="AJ343" s="70" t="s">
        <v>2124</v>
      </c>
      <c r="AK343" s="70" t="s">
        <v>2124</v>
      </c>
      <c r="AL343" s="70" t="s">
        <v>2124</v>
      </c>
      <c r="AM343" s="70"/>
      <c r="AN343" s="70"/>
      <c r="AO343" s="70"/>
      <c r="AP343" s="70"/>
      <c r="AQ343" s="70"/>
    </row>
    <row r="344" spans="1:43" ht="15.75" thickBot="1" x14ac:dyDescent="0.3">
      <c r="A344" t="s">
        <v>264</v>
      </c>
      <c r="B344" t="s">
        <v>1132</v>
      </c>
      <c r="C344" t="s">
        <v>1064</v>
      </c>
      <c r="D344" t="s">
        <v>1129</v>
      </c>
      <c r="E344" s="30" t="s">
        <v>73</v>
      </c>
      <c r="F344" s="30" t="s">
        <v>28</v>
      </c>
      <c r="G344" s="30"/>
      <c r="H344" s="30" t="s">
        <v>1138</v>
      </c>
      <c r="I344" s="31">
        <f t="shared" si="17"/>
        <v>27</v>
      </c>
      <c r="J344" s="147" t="s">
        <v>1961</v>
      </c>
      <c r="K344" s="31">
        <f t="shared" si="18"/>
        <v>1</v>
      </c>
      <c r="L344" s="32">
        <f t="shared" si="19"/>
        <v>0.9642857142857143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2124</v>
      </c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264</v>
      </c>
      <c r="B345" t="s">
        <v>1133</v>
      </c>
      <c r="C345" t="s">
        <v>1064</v>
      </c>
      <c r="D345" t="s">
        <v>1129</v>
      </c>
      <c r="E345" s="30" t="s">
        <v>73</v>
      </c>
      <c r="F345" s="30" t="s">
        <v>28</v>
      </c>
      <c r="G345" s="30"/>
      <c r="H345" s="30" t="s">
        <v>1139</v>
      </c>
      <c r="I345" s="31">
        <f t="shared" si="17"/>
        <v>27</v>
      </c>
      <c r="J345" s="147" t="s">
        <v>1962</v>
      </c>
      <c r="K345" s="31">
        <f t="shared" si="18"/>
        <v>1</v>
      </c>
      <c r="L345" s="32">
        <f t="shared" si="19"/>
        <v>0.9642857142857143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2124</v>
      </c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264</v>
      </c>
      <c r="B346" t="s">
        <v>1134</v>
      </c>
      <c r="C346" t="s">
        <v>1064</v>
      </c>
      <c r="D346" t="s">
        <v>1130</v>
      </c>
      <c r="E346" s="30" t="s">
        <v>73</v>
      </c>
      <c r="F346" s="30" t="s">
        <v>28</v>
      </c>
      <c r="G346" s="30"/>
      <c r="H346" s="30" t="s">
        <v>1140</v>
      </c>
      <c r="I346" s="31">
        <f t="shared" si="17"/>
        <v>27</v>
      </c>
      <c r="J346" s="147" t="s">
        <v>1963</v>
      </c>
      <c r="K346" s="31">
        <f t="shared" si="18"/>
        <v>1</v>
      </c>
      <c r="L346" s="32">
        <f t="shared" si="19"/>
        <v>0.9642857142857143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2124</v>
      </c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264</v>
      </c>
      <c r="B347" t="s">
        <v>1135</v>
      </c>
      <c r="C347" t="s">
        <v>1064</v>
      </c>
      <c r="D347" t="s">
        <v>1130</v>
      </c>
      <c r="E347" s="30" t="s">
        <v>73</v>
      </c>
      <c r="F347" s="30" t="s">
        <v>28</v>
      </c>
      <c r="G347" s="30"/>
      <c r="H347" s="30" t="s">
        <v>1141</v>
      </c>
      <c r="I347" s="31">
        <f t="shared" si="17"/>
        <v>27</v>
      </c>
      <c r="J347" s="147" t="s">
        <v>1964</v>
      </c>
      <c r="K347" s="31">
        <f t="shared" si="18"/>
        <v>1</v>
      </c>
      <c r="L347" s="32">
        <f t="shared" si="19"/>
        <v>0.9642857142857143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2124</v>
      </c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s="73" t="s">
        <v>1322</v>
      </c>
      <c r="B348" t="s">
        <v>1235</v>
      </c>
      <c r="C348" t="s">
        <v>1064</v>
      </c>
      <c r="D348" t="s">
        <v>1236</v>
      </c>
      <c r="E348" t="s">
        <v>19</v>
      </c>
      <c r="F348" t="s">
        <v>28</v>
      </c>
      <c r="G348"/>
      <c r="H348" s="30" t="s">
        <v>1242</v>
      </c>
      <c r="I348" s="31">
        <f t="shared" si="17"/>
        <v>28</v>
      </c>
      <c r="J348" s="147" t="s">
        <v>1965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s="73" t="s">
        <v>1322</v>
      </c>
      <c r="B349" t="s">
        <v>1237</v>
      </c>
      <c r="C349" t="s">
        <v>1064</v>
      </c>
      <c r="D349" t="s">
        <v>1238</v>
      </c>
      <c r="E349" t="s">
        <v>19</v>
      </c>
      <c r="F349" t="s">
        <v>28</v>
      </c>
      <c r="G349"/>
      <c r="H349" s="30" t="s">
        <v>1243</v>
      </c>
      <c r="I349" s="31">
        <f t="shared" si="17"/>
        <v>28</v>
      </c>
      <c r="J349" s="147" t="s">
        <v>1966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1322</v>
      </c>
      <c r="B350" s="73" t="s">
        <v>1579</v>
      </c>
      <c r="C350" s="73" t="s">
        <v>1064</v>
      </c>
      <c r="D350" s="73" t="s">
        <v>1582</v>
      </c>
      <c r="E350" s="85" t="s">
        <v>73</v>
      </c>
      <c r="F350" s="85" t="s">
        <v>1303</v>
      </c>
      <c r="H350" s="85" t="s">
        <v>1583</v>
      </c>
      <c r="I350" s="31">
        <f t="shared" si="17"/>
        <v>28</v>
      </c>
      <c r="J350" s="147" t="s">
        <v>1967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1322</v>
      </c>
      <c r="B351" s="73" t="s">
        <v>1580</v>
      </c>
      <c r="C351" s="73" t="s">
        <v>1064</v>
      </c>
      <c r="D351" s="73" t="s">
        <v>1584</v>
      </c>
      <c r="E351" s="73" t="s">
        <v>73</v>
      </c>
      <c r="F351" s="85" t="s">
        <v>1303</v>
      </c>
      <c r="H351" s="85" t="s">
        <v>1585</v>
      </c>
      <c r="I351" s="31">
        <f t="shared" si="17"/>
        <v>28</v>
      </c>
      <c r="J351" s="147" t="s">
        <v>1968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1322</v>
      </c>
      <c r="B352" s="73" t="s">
        <v>1581</v>
      </c>
      <c r="C352" s="73" t="s">
        <v>1064</v>
      </c>
      <c r="D352" s="73" t="s">
        <v>1586</v>
      </c>
      <c r="E352" s="73" t="s">
        <v>73</v>
      </c>
      <c r="F352" s="85" t="s">
        <v>1303</v>
      </c>
      <c r="H352" s="85" t="s">
        <v>1587</v>
      </c>
      <c r="I352" s="31">
        <f t="shared" si="17"/>
        <v>28</v>
      </c>
      <c r="J352" s="147" t="s">
        <v>1969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s="73" customFormat="1" ht="15.75" thickBot="1" x14ac:dyDescent="0.3">
      <c r="A353" s="73" t="s">
        <v>1322</v>
      </c>
      <c r="B353" s="73" t="s">
        <v>1640</v>
      </c>
      <c r="C353" s="73" t="s">
        <v>1064</v>
      </c>
      <c r="D353" s="73" t="s">
        <v>1641</v>
      </c>
      <c r="E353" s="73" t="s">
        <v>19</v>
      </c>
      <c r="F353" s="85" t="s">
        <v>1303</v>
      </c>
      <c r="H353" s="85" t="s">
        <v>1642</v>
      </c>
      <c r="I353" s="31">
        <f t="shared" si="17"/>
        <v>28</v>
      </c>
      <c r="J353" s="147" t="s">
        <v>2152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  <c r="AQ353" s="89"/>
    </row>
    <row r="354" spans="1:43" ht="15.75" thickBot="1" x14ac:dyDescent="0.3">
      <c r="A354" t="s">
        <v>384</v>
      </c>
      <c r="B354" t="s">
        <v>385</v>
      </c>
      <c r="C354" t="s">
        <v>1064</v>
      </c>
      <c r="D354" t="s">
        <v>386</v>
      </c>
      <c r="E354" s="30" t="s">
        <v>19</v>
      </c>
      <c r="F354" s="30" t="s">
        <v>28</v>
      </c>
      <c r="G354" s="30"/>
      <c r="H354" s="30" t="s">
        <v>784</v>
      </c>
      <c r="I354" s="31">
        <f t="shared" si="17"/>
        <v>28</v>
      </c>
      <c r="J354" s="147" t="s">
        <v>1970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384</v>
      </c>
      <c r="B355" t="s">
        <v>387</v>
      </c>
      <c r="C355" t="s">
        <v>1064</v>
      </c>
      <c r="D355" t="s">
        <v>388</v>
      </c>
      <c r="E355" s="30" t="s">
        <v>19</v>
      </c>
      <c r="F355" s="30" t="s">
        <v>28</v>
      </c>
      <c r="G355" s="30"/>
      <c r="H355" s="30" t="s">
        <v>785</v>
      </c>
      <c r="I355" s="31">
        <f t="shared" si="17"/>
        <v>28</v>
      </c>
      <c r="J355" s="147" t="s">
        <v>1971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389</v>
      </c>
      <c r="B356" s="73" t="s">
        <v>390</v>
      </c>
      <c r="C356" s="73" t="s">
        <v>1064</v>
      </c>
      <c r="D356" s="73" t="s">
        <v>391</v>
      </c>
      <c r="E356" s="85" t="s">
        <v>19</v>
      </c>
      <c r="F356" s="85" t="s">
        <v>1303</v>
      </c>
      <c r="G356" s="85"/>
      <c r="H356" s="85" t="s">
        <v>1488</v>
      </c>
      <c r="I356" s="142">
        <f t="shared" si="17"/>
        <v>28</v>
      </c>
      <c r="J356" s="87"/>
      <c r="K356" s="142">
        <f t="shared" si="18"/>
        <v>0</v>
      </c>
      <c r="L356" s="143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  <c r="AQ356" s="89"/>
    </row>
    <row r="357" spans="1:43" s="73" customFormat="1" ht="15.75" thickBot="1" x14ac:dyDescent="0.3">
      <c r="A357" s="73" t="s">
        <v>384</v>
      </c>
      <c r="B357" s="73" t="s">
        <v>2182</v>
      </c>
      <c r="C357" s="73" t="s">
        <v>1064</v>
      </c>
      <c r="D357" s="73" t="s">
        <v>2183</v>
      </c>
      <c r="E357" s="85" t="s">
        <v>73</v>
      </c>
      <c r="F357" s="30" t="s">
        <v>28</v>
      </c>
      <c r="G357" s="85"/>
      <c r="H357" s="85" t="s">
        <v>2184</v>
      </c>
      <c r="I357" s="142">
        <f t="shared" si="17"/>
        <v>28</v>
      </c>
      <c r="J357" s="153" t="s">
        <v>2185</v>
      </c>
      <c r="K357" s="142">
        <f t="shared" si="18"/>
        <v>0</v>
      </c>
      <c r="L357" s="143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ht="15.75" thickBot="1" x14ac:dyDescent="0.3">
      <c r="A358" t="s">
        <v>294</v>
      </c>
      <c r="B358" t="s">
        <v>392</v>
      </c>
      <c r="C358" t="s">
        <v>1064</v>
      </c>
      <c r="D358" t="s">
        <v>393</v>
      </c>
      <c r="E358" s="30" t="s">
        <v>19</v>
      </c>
      <c r="F358" s="30" t="s">
        <v>28</v>
      </c>
      <c r="G358" s="30"/>
      <c r="H358" s="30" t="s">
        <v>788</v>
      </c>
      <c r="I358" s="31">
        <f t="shared" si="17"/>
        <v>28</v>
      </c>
      <c r="J358" s="147" t="s">
        <v>1972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t="s">
        <v>294</v>
      </c>
      <c r="B359" t="s">
        <v>1012</v>
      </c>
      <c r="C359" t="s">
        <v>1064</v>
      </c>
      <c r="D359" t="s">
        <v>394</v>
      </c>
      <c r="E359" s="30" t="s">
        <v>19</v>
      </c>
      <c r="F359" s="30" t="s">
        <v>28</v>
      </c>
      <c r="G359" s="30"/>
      <c r="H359" s="30" t="s">
        <v>789</v>
      </c>
      <c r="I359" s="31">
        <f t="shared" si="17"/>
        <v>28</v>
      </c>
      <c r="J359" s="87"/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294</v>
      </c>
      <c r="B360" t="s">
        <v>395</v>
      </c>
      <c r="C360" t="s">
        <v>1064</v>
      </c>
      <c r="D360" t="s">
        <v>396</v>
      </c>
      <c r="E360" s="30" t="s">
        <v>73</v>
      </c>
      <c r="F360" s="30" t="s">
        <v>28</v>
      </c>
      <c r="G360" s="30"/>
      <c r="H360" s="30" t="s">
        <v>786</v>
      </c>
      <c r="I360" s="31">
        <f t="shared" si="17"/>
        <v>28</v>
      </c>
      <c r="J360" s="147" t="s">
        <v>1973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294</v>
      </c>
      <c r="B361" t="s">
        <v>397</v>
      </c>
      <c r="C361" t="s">
        <v>1064</v>
      </c>
      <c r="D361" t="s">
        <v>396</v>
      </c>
      <c r="E361" s="30" t="s">
        <v>73</v>
      </c>
      <c r="F361" s="30" t="s">
        <v>28</v>
      </c>
      <c r="G361" s="30"/>
      <c r="H361" s="30" t="s">
        <v>787</v>
      </c>
      <c r="I361" s="31">
        <f t="shared" si="17"/>
        <v>28</v>
      </c>
      <c r="J361" s="147" t="s">
        <v>1974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294</v>
      </c>
      <c r="B362" t="s">
        <v>1266</v>
      </c>
      <c r="C362" t="s">
        <v>1064</v>
      </c>
      <c r="D362" t="s">
        <v>1267</v>
      </c>
      <c r="E362" s="30" t="s">
        <v>15</v>
      </c>
      <c r="F362" s="30" t="s">
        <v>1058</v>
      </c>
      <c r="G362" s="30" t="s">
        <v>1269</v>
      </c>
      <c r="H362" s="30" t="s">
        <v>1268</v>
      </c>
      <c r="I362" s="31">
        <f t="shared" si="17"/>
        <v>28</v>
      </c>
      <c r="J362" s="147" t="s">
        <v>1975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s="73" customFormat="1" ht="15.75" thickBot="1" x14ac:dyDescent="0.3">
      <c r="A363" s="73" t="s">
        <v>294</v>
      </c>
      <c r="B363" s="73" t="s">
        <v>1315</v>
      </c>
      <c r="C363" s="73" t="s">
        <v>1065</v>
      </c>
      <c r="D363" s="73" t="s">
        <v>1316</v>
      </c>
      <c r="E363" s="85" t="s">
        <v>15</v>
      </c>
      <c r="F363" s="85" t="s">
        <v>1303</v>
      </c>
      <c r="G363" s="85"/>
      <c r="H363" s="85" t="s">
        <v>1317</v>
      </c>
      <c r="I363" s="31">
        <f t="shared" si="17"/>
        <v>22</v>
      </c>
      <c r="J363" s="147" t="s">
        <v>1976</v>
      </c>
      <c r="K363" s="31">
        <f t="shared" si="18"/>
        <v>6</v>
      </c>
      <c r="L363" s="32">
        <f t="shared" si="19"/>
        <v>0.7857142857142857</v>
      </c>
      <c r="M363" s="70"/>
      <c r="N363" s="70"/>
      <c r="O363" s="70"/>
      <c r="P363" s="70"/>
      <c r="Q363" s="70"/>
      <c r="R363" s="70"/>
      <c r="S363" s="70" t="s">
        <v>2124</v>
      </c>
      <c r="T363" s="70" t="s">
        <v>2124</v>
      </c>
      <c r="U363" s="70" t="s">
        <v>2124</v>
      </c>
      <c r="V363" s="70" t="s">
        <v>2124</v>
      </c>
      <c r="W363" s="70"/>
      <c r="X363" s="70" t="s">
        <v>2124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 t="s">
        <v>2124</v>
      </c>
      <c r="AM363" s="70"/>
      <c r="AN363" s="70"/>
      <c r="AO363" s="70"/>
      <c r="AP363" s="89"/>
      <c r="AQ363" s="89"/>
    </row>
    <row r="364" spans="1:43" s="91" customFormat="1" ht="15.75" thickBot="1" x14ac:dyDescent="0.3">
      <c r="A364" s="91" t="s">
        <v>402</v>
      </c>
      <c r="B364" s="91" t="s">
        <v>407</v>
      </c>
      <c r="C364" s="91" t="s">
        <v>1064</v>
      </c>
      <c r="D364" s="91" t="s">
        <v>408</v>
      </c>
      <c r="E364" s="92" t="s">
        <v>15</v>
      </c>
      <c r="F364" s="92" t="s">
        <v>20</v>
      </c>
      <c r="G364" s="92"/>
      <c r="H364" s="92" t="s">
        <v>790</v>
      </c>
      <c r="I364" s="31">
        <f t="shared" si="17"/>
        <v>4</v>
      </c>
      <c r="J364" s="73"/>
      <c r="K364" s="31">
        <f t="shared" si="18"/>
        <v>24</v>
      </c>
      <c r="L364" s="32">
        <f t="shared" si="19"/>
        <v>0.14285714285714285</v>
      </c>
      <c r="M364" s="70" t="s">
        <v>2124</v>
      </c>
      <c r="N364" s="70" t="s">
        <v>2124</v>
      </c>
      <c r="O364" s="70" t="s">
        <v>2124</v>
      </c>
      <c r="P364" s="70" t="s">
        <v>2124</v>
      </c>
      <c r="Q364" s="70" t="s">
        <v>2124</v>
      </c>
      <c r="R364" s="70" t="s">
        <v>2124</v>
      </c>
      <c r="S364" s="70"/>
      <c r="T364" s="70" t="s">
        <v>2124</v>
      </c>
      <c r="U364" s="70" t="s">
        <v>2124</v>
      </c>
      <c r="V364" s="70" t="s">
        <v>2124</v>
      </c>
      <c r="W364" s="70" t="s">
        <v>2124</v>
      </c>
      <c r="X364" s="70" t="s">
        <v>2124</v>
      </c>
      <c r="Y364" s="70" t="s">
        <v>2124</v>
      </c>
      <c r="Z364" s="70" t="s">
        <v>2124</v>
      </c>
      <c r="AA364" s="70" t="s">
        <v>2124</v>
      </c>
      <c r="AB364" s="70" t="s">
        <v>2124</v>
      </c>
      <c r="AC364" s="70" t="s">
        <v>2124</v>
      </c>
      <c r="AD364" s="70" t="s">
        <v>2124</v>
      </c>
      <c r="AE364" s="93" t="s">
        <v>2124</v>
      </c>
      <c r="AF364" s="93" t="s">
        <v>2124</v>
      </c>
      <c r="AG364" s="70"/>
      <c r="AH364" s="93" t="s">
        <v>2124</v>
      </c>
      <c r="AI364" s="93" t="s">
        <v>2124</v>
      </c>
      <c r="AJ364" s="93" t="s">
        <v>2124</v>
      </c>
      <c r="AK364" s="93" t="s">
        <v>2124</v>
      </c>
      <c r="AL364" s="93" t="s">
        <v>2124</v>
      </c>
      <c r="AM364" s="93"/>
      <c r="AN364" s="93"/>
      <c r="AO364" s="93"/>
      <c r="AP364" s="93"/>
      <c r="AQ364" s="93"/>
    </row>
    <row r="365" spans="1:43" s="73" customFormat="1" ht="15.75" thickBot="1" x14ac:dyDescent="0.3">
      <c r="A365" s="73" t="s">
        <v>384</v>
      </c>
      <c r="B365" s="73" t="s">
        <v>398</v>
      </c>
      <c r="C365" s="73" t="s">
        <v>1064</v>
      </c>
      <c r="D365" s="73" t="s">
        <v>399</v>
      </c>
      <c r="E365" s="85" t="s">
        <v>19</v>
      </c>
      <c r="F365" s="85" t="s">
        <v>1303</v>
      </c>
      <c r="G365" s="85"/>
      <c r="H365" s="85" t="s">
        <v>2129</v>
      </c>
      <c r="I365" s="142">
        <f t="shared" si="17"/>
        <v>26</v>
      </c>
      <c r="J365" s="147" t="s">
        <v>1977</v>
      </c>
      <c r="K365" s="142">
        <f t="shared" si="18"/>
        <v>2</v>
      </c>
      <c r="L365" s="143">
        <f t="shared" si="19"/>
        <v>0.9285714285714286</v>
      </c>
      <c r="M365" s="70" t="s">
        <v>2124</v>
      </c>
      <c r="N365" s="70" t="s">
        <v>2124</v>
      </c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s="73" customFormat="1" ht="15.75" thickBot="1" x14ac:dyDescent="0.3">
      <c r="A366" s="73" t="s">
        <v>384</v>
      </c>
      <c r="B366" s="73" t="s">
        <v>400</v>
      </c>
      <c r="C366" s="73" t="s">
        <v>1064</v>
      </c>
      <c r="D366" s="73" t="s">
        <v>401</v>
      </c>
      <c r="E366" s="85" t="s">
        <v>15</v>
      </c>
      <c r="F366" s="85" t="s">
        <v>28</v>
      </c>
      <c r="G366" s="85"/>
      <c r="H366" s="85" t="s">
        <v>1521</v>
      </c>
      <c r="I366" s="87">
        <f t="shared" si="17"/>
        <v>28</v>
      </c>
      <c r="J366" s="147" t="s">
        <v>1978</v>
      </c>
      <c r="K366" s="87">
        <f t="shared" si="18"/>
        <v>0</v>
      </c>
      <c r="L366" s="88">
        <f t="shared" si="19"/>
        <v>1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</row>
    <row r="367" spans="1:43" ht="15.75" thickBot="1" x14ac:dyDescent="0.3">
      <c r="A367" t="s">
        <v>402</v>
      </c>
      <c r="B367" t="s">
        <v>403</v>
      </c>
      <c r="C367" t="s">
        <v>1064</v>
      </c>
      <c r="D367" t="s">
        <v>404</v>
      </c>
      <c r="E367" s="30" t="s">
        <v>19</v>
      </c>
      <c r="F367" s="30" t="s">
        <v>28</v>
      </c>
      <c r="G367" s="30"/>
      <c r="H367" s="30" t="s">
        <v>791</v>
      </c>
      <c r="I367" s="31">
        <f t="shared" si="17"/>
        <v>28</v>
      </c>
      <c r="J367" s="147" t="s">
        <v>1979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405</v>
      </c>
      <c r="C368" t="s">
        <v>1064</v>
      </c>
      <c r="D368" t="s">
        <v>404</v>
      </c>
      <c r="E368" s="30" t="s">
        <v>73</v>
      </c>
      <c r="F368" s="30" t="s">
        <v>28</v>
      </c>
      <c r="G368" s="30"/>
      <c r="H368" s="30" t="s">
        <v>792</v>
      </c>
      <c r="I368" s="31">
        <f t="shared" si="17"/>
        <v>28</v>
      </c>
      <c r="J368" s="147" t="s">
        <v>1980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406</v>
      </c>
      <c r="C369" t="s">
        <v>1064</v>
      </c>
      <c r="D369" t="s">
        <v>404</v>
      </c>
      <c r="E369" s="30" t="s">
        <v>73</v>
      </c>
      <c r="F369" s="30" t="s">
        <v>28</v>
      </c>
      <c r="G369" s="30"/>
      <c r="H369" s="30" t="s">
        <v>793</v>
      </c>
      <c r="I369" s="31">
        <f t="shared" si="17"/>
        <v>28</v>
      </c>
      <c r="J369" s="147" t="s">
        <v>1981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410</v>
      </c>
      <c r="C370" t="s">
        <v>1064</v>
      </c>
      <c r="D370" t="s">
        <v>411</v>
      </c>
      <c r="E370" s="30" t="s">
        <v>73</v>
      </c>
      <c r="F370" s="30" t="s">
        <v>28</v>
      </c>
      <c r="G370" s="30"/>
      <c r="H370" s="30" t="s">
        <v>794</v>
      </c>
      <c r="I370" s="31">
        <f t="shared" ref="I370:I447" si="20">COUNTIF(M370:AN370,"")</f>
        <v>28</v>
      </c>
      <c r="J370" s="147" t="s">
        <v>1982</v>
      </c>
      <c r="K370" s="31">
        <f t="shared" ref="K370:K447" si="21">COUNTIF(M370:AN370,"APAGADO")</f>
        <v>0</v>
      </c>
      <c r="L370" s="32">
        <f t="shared" ref="L370:L447" si="22">(I370)/(K370+I370)</f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409</v>
      </c>
      <c r="B371" t="s">
        <v>412</v>
      </c>
      <c r="C371" t="s">
        <v>1064</v>
      </c>
      <c r="D371" t="s">
        <v>411</v>
      </c>
      <c r="E371" s="30" t="s">
        <v>73</v>
      </c>
      <c r="F371" s="30" t="s">
        <v>28</v>
      </c>
      <c r="G371" s="30"/>
      <c r="H371" s="30" t="s">
        <v>795</v>
      </c>
      <c r="I371" s="31">
        <f t="shared" si="20"/>
        <v>28</v>
      </c>
      <c r="J371" s="147" t="s">
        <v>1983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413</v>
      </c>
      <c r="C372" t="s">
        <v>1064</v>
      </c>
      <c r="D372" t="s">
        <v>414</v>
      </c>
      <c r="E372" s="30" t="s">
        <v>73</v>
      </c>
      <c r="F372" s="30" t="s">
        <v>28</v>
      </c>
      <c r="G372" s="30"/>
      <c r="H372" s="30" t="s">
        <v>796</v>
      </c>
      <c r="I372" s="31">
        <f t="shared" si="20"/>
        <v>28</v>
      </c>
      <c r="J372" s="147" t="s">
        <v>1984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402</v>
      </c>
      <c r="B373" t="s">
        <v>415</v>
      </c>
      <c r="C373" t="s">
        <v>1064</v>
      </c>
      <c r="D373" t="s">
        <v>414</v>
      </c>
      <c r="E373" s="30" t="s">
        <v>73</v>
      </c>
      <c r="F373" s="30" t="s">
        <v>28</v>
      </c>
      <c r="G373" s="30"/>
      <c r="H373" s="30" t="s">
        <v>797</v>
      </c>
      <c r="I373" s="31">
        <f t="shared" si="20"/>
        <v>28</v>
      </c>
      <c r="J373" s="147" t="s">
        <v>1985</v>
      </c>
      <c r="K373" s="31">
        <f t="shared" si="21"/>
        <v>0</v>
      </c>
      <c r="L373" s="32">
        <f t="shared" si="22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402</v>
      </c>
      <c r="B374" t="s">
        <v>416</v>
      </c>
      <c r="C374" t="s">
        <v>1064</v>
      </c>
      <c r="D374" t="s">
        <v>417</v>
      </c>
      <c r="E374" s="30" t="s">
        <v>73</v>
      </c>
      <c r="F374" s="30" t="s">
        <v>28</v>
      </c>
      <c r="G374" s="30"/>
      <c r="H374" s="30" t="s">
        <v>798</v>
      </c>
      <c r="I374" s="31">
        <f t="shared" si="20"/>
        <v>28</v>
      </c>
      <c r="J374" s="147" t="s">
        <v>1986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402</v>
      </c>
      <c r="B375" t="s">
        <v>418</v>
      </c>
      <c r="C375" t="s">
        <v>1064</v>
      </c>
      <c r="D375" t="s">
        <v>417</v>
      </c>
      <c r="E375" s="30" t="s">
        <v>73</v>
      </c>
      <c r="F375" s="30" t="s">
        <v>28</v>
      </c>
      <c r="G375" s="30"/>
      <c r="H375" s="30" t="s">
        <v>799</v>
      </c>
      <c r="I375" s="31">
        <f t="shared" si="20"/>
        <v>28</v>
      </c>
      <c r="J375" s="147" t="s">
        <v>1987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409</v>
      </c>
      <c r="B376" t="s">
        <v>903</v>
      </c>
      <c r="C376" t="s">
        <v>1064</v>
      </c>
      <c r="D376" t="s">
        <v>904</v>
      </c>
      <c r="E376" s="30" t="s">
        <v>19</v>
      </c>
      <c r="F376" s="30" t="s">
        <v>28</v>
      </c>
      <c r="G376" s="30"/>
      <c r="H376" s="30" t="s">
        <v>911</v>
      </c>
      <c r="I376" s="31">
        <f t="shared" si="20"/>
        <v>28</v>
      </c>
      <c r="J376" s="147" t="s">
        <v>1988</v>
      </c>
      <c r="K376" s="31">
        <f t="shared" si="21"/>
        <v>0</v>
      </c>
      <c r="L376" s="32">
        <f t="shared" si="22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905</v>
      </c>
      <c r="C377" t="s">
        <v>1064</v>
      </c>
      <c r="D377" t="s">
        <v>906</v>
      </c>
      <c r="E377" s="30" t="s">
        <v>19</v>
      </c>
      <c r="F377" s="30" t="s">
        <v>28</v>
      </c>
      <c r="G377" s="30"/>
      <c r="H377" s="30" t="s">
        <v>912</v>
      </c>
      <c r="I377" s="31">
        <f t="shared" si="20"/>
        <v>16</v>
      </c>
      <c r="J377" s="147" t="s">
        <v>1989</v>
      </c>
      <c r="K377" s="31">
        <f t="shared" si="21"/>
        <v>12</v>
      </c>
      <c r="L377" s="32">
        <f t="shared" si="22"/>
        <v>0.5714285714285714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 t="s">
        <v>2124</v>
      </c>
      <c r="AB377" s="70" t="s">
        <v>2124</v>
      </c>
      <c r="AC377" s="70" t="s">
        <v>2124</v>
      </c>
      <c r="AD377" s="70" t="s">
        <v>2124</v>
      </c>
      <c r="AE377" s="70" t="s">
        <v>2124</v>
      </c>
      <c r="AF377" s="70" t="s">
        <v>2124</v>
      </c>
      <c r="AG377" s="70" t="s">
        <v>2124</v>
      </c>
      <c r="AH377" s="70" t="s">
        <v>2124</v>
      </c>
      <c r="AI377" s="70" t="s">
        <v>2124</v>
      </c>
      <c r="AJ377" s="70" t="s">
        <v>2124</v>
      </c>
      <c r="AK377" s="70" t="s">
        <v>2124</v>
      </c>
      <c r="AL377" s="70" t="s">
        <v>2124</v>
      </c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1013</v>
      </c>
      <c r="C378" t="s">
        <v>1064</v>
      </c>
      <c r="D378" t="s">
        <v>1014</v>
      </c>
      <c r="E378" s="30" t="s">
        <v>19</v>
      </c>
      <c r="F378" s="30" t="s">
        <v>28</v>
      </c>
      <c r="G378" s="30"/>
      <c r="H378" s="30" t="s">
        <v>1221</v>
      </c>
      <c r="I378" s="31">
        <f t="shared" si="20"/>
        <v>26</v>
      </c>
      <c r="J378" s="147" t="s">
        <v>1990</v>
      </c>
      <c r="K378" s="31">
        <f t="shared" si="21"/>
        <v>2</v>
      </c>
      <c r="L378" s="32">
        <f t="shared" si="22"/>
        <v>0.9285714285714286</v>
      </c>
      <c r="M378" s="70" t="s">
        <v>2124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 t="s">
        <v>2124</v>
      </c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402</v>
      </c>
      <c r="B379" s="73" t="s">
        <v>1439</v>
      </c>
      <c r="C379" s="73" t="s">
        <v>1064</v>
      </c>
      <c r="D379" s="73" t="s">
        <v>1442</v>
      </c>
      <c r="E379" s="30" t="s">
        <v>19</v>
      </c>
      <c r="F379" s="85" t="s">
        <v>1303</v>
      </c>
      <c r="G379" s="85"/>
      <c r="H379" s="85" t="s">
        <v>1443</v>
      </c>
      <c r="I379" s="142">
        <f t="shared" si="20"/>
        <v>28</v>
      </c>
      <c r="J379" s="147" t="s">
        <v>1991</v>
      </c>
      <c r="K379" s="142">
        <f t="shared" si="21"/>
        <v>0</v>
      </c>
      <c r="L379" s="143">
        <f t="shared" si="22"/>
        <v>1</v>
      </c>
      <c r="M379" s="70"/>
      <c r="N379" s="70"/>
      <c r="O379" s="70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</row>
    <row r="380" spans="1:43" ht="15.75" thickBot="1" x14ac:dyDescent="0.3">
      <c r="A380" t="s">
        <v>402</v>
      </c>
      <c r="B380" t="s">
        <v>1440</v>
      </c>
      <c r="C380" t="s">
        <v>1064</v>
      </c>
      <c r="D380" t="s">
        <v>1442</v>
      </c>
      <c r="E380" s="30" t="s">
        <v>73</v>
      </c>
      <c r="F380" s="30" t="s">
        <v>28</v>
      </c>
      <c r="G380" s="30"/>
      <c r="H380" s="85" t="s">
        <v>1507</v>
      </c>
      <c r="I380" s="31">
        <f t="shared" si="20"/>
        <v>28</v>
      </c>
      <c r="J380" s="147" t="s">
        <v>1992</v>
      </c>
      <c r="K380" s="31">
        <f t="shared" si="21"/>
        <v>0</v>
      </c>
      <c r="L380" s="32">
        <f t="shared" si="22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  <c r="AQ380" s="90"/>
    </row>
    <row r="381" spans="1:43" ht="15.75" thickBot="1" x14ac:dyDescent="0.3">
      <c r="A381" t="s">
        <v>402</v>
      </c>
      <c r="B381" t="s">
        <v>1441</v>
      </c>
      <c r="C381" t="s">
        <v>1064</v>
      </c>
      <c r="D381" t="s">
        <v>1442</v>
      </c>
      <c r="E381" s="30" t="s">
        <v>73</v>
      </c>
      <c r="F381" s="30" t="s">
        <v>28</v>
      </c>
      <c r="G381" s="30"/>
      <c r="H381" s="85" t="s">
        <v>1505</v>
      </c>
      <c r="I381" s="31">
        <f t="shared" si="20"/>
        <v>28</v>
      </c>
      <c r="J381" s="147" t="s">
        <v>1993</v>
      </c>
      <c r="K381" s="31">
        <f t="shared" si="21"/>
        <v>0</v>
      </c>
      <c r="L381" s="32">
        <f t="shared" si="22"/>
        <v>1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  <c r="AQ381" s="90"/>
    </row>
    <row r="382" spans="1:43" ht="15.75" thickBot="1" x14ac:dyDescent="0.3">
      <c r="A382" t="s">
        <v>402</v>
      </c>
      <c r="B382" t="s">
        <v>1637</v>
      </c>
      <c r="C382" t="s">
        <v>1064</v>
      </c>
      <c r="D382" t="s">
        <v>1638</v>
      </c>
      <c r="E382" s="30" t="s">
        <v>19</v>
      </c>
      <c r="F382" s="30" t="s">
        <v>28</v>
      </c>
      <c r="G382" s="30"/>
      <c r="H382" s="85" t="s">
        <v>1639</v>
      </c>
      <c r="I382" s="31">
        <f t="shared" si="20"/>
        <v>16</v>
      </c>
      <c r="J382" s="87"/>
      <c r="K382" s="31">
        <f t="shared" si="21"/>
        <v>12</v>
      </c>
      <c r="L382" s="32">
        <f t="shared" si="22"/>
        <v>0.5714285714285714</v>
      </c>
      <c r="M382" s="70"/>
      <c r="N382" s="70"/>
      <c r="O382" s="70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 t="s">
        <v>2124</v>
      </c>
      <c r="AB382" s="84" t="s">
        <v>2124</v>
      </c>
      <c r="AC382" s="84" t="s">
        <v>2124</v>
      </c>
      <c r="AD382" s="84" t="s">
        <v>2124</v>
      </c>
      <c r="AE382" s="84" t="s">
        <v>2124</v>
      </c>
      <c r="AF382" s="84" t="s">
        <v>2124</v>
      </c>
      <c r="AG382" s="84" t="s">
        <v>2124</v>
      </c>
      <c r="AH382" s="84" t="s">
        <v>2124</v>
      </c>
      <c r="AI382" s="84" t="s">
        <v>2124</v>
      </c>
      <c r="AJ382" s="84" t="s">
        <v>2124</v>
      </c>
      <c r="AK382" s="84" t="s">
        <v>2124</v>
      </c>
      <c r="AL382" s="84" t="s">
        <v>2124</v>
      </c>
      <c r="AM382" s="84"/>
      <c r="AN382" s="84"/>
      <c r="AO382" s="84"/>
      <c r="AP382" s="90"/>
      <c r="AQ382" s="90"/>
    </row>
    <row r="383" spans="1:43" ht="15.75" thickBot="1" x14ac:dyDescent="0.3">
      <c r="A383" t="s">
        <v>196</v>
      </c>
      <c r="B383" t="s">
        <v>419</v>
      </c>
      <c r="C383" t="s">
        <v>1065</v>
      </c>
      <c r="D383" t="s">
        <v>420</v>
      </c>
      <c r="E383" s="30" t="s">
        <v>15</v>
      </c>
      <c r="F383" s="30" t="s">
        <v>20</v>
      </c>
      <c r="G383" s="30"/>
      <c r="H383" s="30" t="s">
        <v>801</v>
      </c>
      <c r="I383" s="31">
        <f t="shared" si="20"/>
        <v>15</v>
      </c>
      <c r="J383" s="87"/>
      <c r="K383" s="31">
        <f t="shared" si="21"/>
        <v>13</v>
      </c>
      <c r="L383" s="32">
        <f t="shared" si="22"/>
        <v>0.5357142857142857</v>
      </c>
      <c r="M383" s="70" t="s">
        <v>2124</v>
      </c>
      <c r="N383" s="70"/>
      <c r="O383" s="70"/>
      <c r="P383" s="70" t="s">
        <v>2124</v>
      </c>
      <c r="Q383" s="70" t="s">
        <v>2124</v>
      </c>
      <c r="R383" s="70" t="s">
        <v>2124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 t="s">
        <v>2124</v>
      </c>
      <c r="AC383" s="70" t="s">
        <v>2124</v>
      </c>
      <c r="AD383" s="70" t="s">
        <v>2124</v>
      </c>
      <c r="AE383" s="70" t="s">
        <v>2124</v>
      </c>
      <c r="AF383" s="70" t="s">
        <v>2124</v>
      </c>
      <c r="AG383" s="70" t="s">
        <v>2124</v>
      </c>
      <c r="AH383" s="70" t="s">
        <v>2124</v>
      </c>
      <c r="AI383" s="70" t="s">
        <v>2124</v>
      </c>
      <c r="AJ383" s="70" t="s">
        <v>2124</v>
      </c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196</v>
      </c>
      <c r="B384" s="73" t="s">
        <v>421</v>
      </c>
      <c r="C384" s="73" t="s">
        <v>1065</v>
      </c>
      <c r="D384" s="73" t="s">
        <v>422</v>
      </c>
      <c r="E384" s="85" t="s">
        <v>15</v>
      </c>
      <c r="F384" s="85" t="s">
        <v>1303</v>
      </c>
      <c r="G384" s="85"/>
      <c r="H384" s="85" t="s">
        <v>1433</v>
      </c>
      <c r="I384" s="142">
        <f t="shared" si="20"/>
        <v>28</v>
      </c>
      <c r="J384" s="147" t="s">
        <v>1994</v>
      </c>
      <c r="K384" s="142">
        <f t="shared" si="21"/>
        <v>0</v>
      </c>
      <c r="L384" s="143">
        <f t="shared" si="22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89"/>
      <c r="AQ384" s="89"/>
    </row>
    <row r="385" spans="1:43" ht="15.75" thickBot="1" x14ac:dyDescent="0.3">
      <c r="A385" t="s">
        <v>196</v>
      </c>
      <c r="B385" t="s">
        <v>1015</v>
      </c>
      <c r="C385" t="s">
        <v>1065</v>
      </c>
      <c r="D385" t="s">
        <v>1016</v>
      </c>
      <c r="E385" s="30" t="s">
        <v>73</v>
      </c>
      <c r="F385" s="30" t="s">
        <v>20</v>
      </c>
      <c r="G385" s="30"/>
      <c r="H385" s="30" t="s">
        <v>1283</v>
      </c>
      <c r="I385" s="31">
        <f t="shared" si="20"/>
        <v>28</v>
      </c>
      <c r="J385" s="87"/>
      <c r="K385" s="31">
        <f t="shared" si="21"/>
        <v>0</v>
      </c>
      <c r="L385" s="32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196</v>
      </c>
      <c r="B386" t="s">
        <v>1017</v>
      </c>
      <c r="C386" t="s">
        <v>1065</v>
      </c>
      <c r="D386" t="s">
        <v>1016</v>
      </c>
      <c r="E386" s="30" t="s">
        <v>73</v>
      </c>
      <c r="F386" s="30" t="s">
        <v>20</v>
      </c>
      <c r="G386" s="30"/>
      <c r="H386" s="30" t="s">
        <v>1401</v>
      </c>
      <c r="I386" s="31">
        <f t="shared" si="20"/>
        <v>28</v>
      </c>
      <c r="J386" s="87"/>
      <c r="K386" s="31">
        <f t="shared" si="21"/>
        <v>0</v>
      </c>
      <c r="L386" s="32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196</v>
      </c>
      <c r="B387" s="73" t="s">
        <v>423</v>
      </c>
      <c r="C387" s="73" t="s">
        <v>1065</v>
      </c>
      <c r="D387" s="73" t="s">
        <v>424</v>
      </c>
      <c r="E387" s="85" t="s">
        <v>19</v>
      </c>
      <c r="F387" s="30" t="s">
        <v>1058</v>
      </c>
      <c r="G387" s="85"/>
      <c r="H387" s="85" t="s">
        <v>1434</v>
      </c>
      <c r="I387" s="87">
        <f t="shared" si="20"/>
        <v>27</v>
      </c>
      <c r="J387" s="147" t="s">
        <v>1995</v>
      </c>
      <c r="K387" s="87">
        <f t="shared" si="21"/>
        <v>1</v>
      </c>
      <c r="L387" s="88">
        <f t="shared" si="22"/>
        <v>0.9642857142857143</v>
      </c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 t="s">
        <v>2124</v>
      </c>
      <c r="AM387" s="89"/>
      <c r="AN387" s="89"/>
      <c r="AO387" s="89"/>
      <c r="AP387" s="89"/>
      <c r="AQ387" s="89"/>
    </row>
    <row r="388" spans="1:43" ht="15.75" thickBot="1" x14ac:dyDescent="0.3">
      <c r="A388" t="s">
        <v>196</v>
      </c>
      <c r="B388" t="s">
        <v>425</v>
      </c>
      <c r="C388" t="s">
        <v>1065</v>
      </c>
      <c r="D388" t="s">
        <v>426</v>
      </c>
      <c r="E388" s="30" t="s">
        <v>19</v>
      </c>
      <c r="F388" s="30" t="s">
        <v>20</v>
      </c>
      <c r="G388" s="30"/>
      <c r="H388" s="30" t="s">
        <v>800</v>
      </c>
      <c r="I388" s="31">
        <f t="shared" si="20"/>
        <v>28</v>
      </c>
      <c r="J388" s="87"/>
      <c r="K388" s="31">
        <f t="shared" si="21"/>
        <v>0</v>
      </c>
      <c r="L388" s="32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196</v>
      </c>
      <c r="B389" t="s">
        <v>427</v>
      </c>
      <c r="C389" t="s">
        <v>1065</v>
      </c>
      <c r="D389" t="s">
        <v>428</v>
      </c>
      <c r="E389" s="30" t="s">
        <v>73</v>
      </c>
      <c r="F389" s="30" t="s">
        <v>28</v>
      </c>
      <c r="G389" s="30"/>
      <c r="H389" s="30" t="s">
        <v>803</v>
      </c>
      <c r="I389" s="31">
        <f t="shared" si="20"/>
        <v>2</v>
      </c>
      <c r="J389" s="147" t="s">
        <v>1996</v>
      </c>
      <c r="K389" s="31">
        <f t="shared" si="21"/>
        <v>26</v>
      </c>
      <c r="L389" s="32">
        <f t="shared" si="22"/>
        <v>7.1428571428571425E-2</v>
      </c>
      <c r="M389" s="70" t="s">
        <v>2124</v>
      </c>
      <c r="N389" s="70" t="s">
        <v>2124</v>
      </c>
      <c r="O389" s="70" t="s">
        <v>2124</v>
      </c>
      <c r="P389" s="70" t="s">
        <v>2124</v>
      </c>
      <c r="Q389" s="70" t="s">
        <v>2124</v>
      </c>
      <c r="R389" s="70" t="s">
        <v>2124</v>
      </c>
      <c r="S389" s="70" t="s">
        <v>2124</v>
      </c>
      <c r="T389" s="70" t="s">
        <v>2124</v>
      </c>
      <c r="U389" s="70" t="s">
        <v>2124</v>
      </c>
      <c r="V389" s="70" t="s">
        <v>2124</v>
      </c>
      <c r="W389" s="70" t="s">
        <v>2124</v>
      </c>
      <c r="X389" s="70" t="s">
        <v>2124</v>
      </c>
      <c r="Y389" s="70" t="s">
        <v>2124</v>
      </c>
      <c r="Z389" s="70" t="s">
        <v>2124</v>
      </c>
      <c r="AA389" s="70" t="s">
        <v>2124</v>
      </c>
      <c r="AB389" s="70" t="s">
        <v>2124</v>
      </c>
      <c r="AC389" s="70" t="s">
        <v>2124</v>
      </c>
      <c r="AD389" s="70" t="s">
        <v>2124</v>
      </c>
      <c r="AE389" s="70" t="s">
        <v>2124</v>
      </c>
      <c r="AF389" s="70" t="s">
        <v>2124</v>
      </c>
      <c r="AG389" s="70" t="s">
        <v>2124</v>
      </c>
      <c r="AH389" s="70" t="s">
        <v>2124</v>
      </c>
      <c r="AI389" s="70" t="s">
        <v>2124</v>
      </c>
      <c r="AJ389" s="70" t="s">
        <v>2124</v>
      </c>
      <c r="AK389" s="70" t="s">
        <v>2124</v>
      </c>
      <c r="AL389" s="70" t="s">
        <v>2124</v>
      </c>
      <c r="AM389" s="70"/>
      <c r="AN389" s="70"/>
      <c r="AO389" s="70"/>
      <c r="AP389" s="70"/>
      <c r="AQ389" s="70"/>
    </row>
    <row r="390" spans="1:43" ht="15.75" thickBot="1" x14ac:dyDescent="0.3">
      <c r="A390" t="s">
        <v>196</v>
      </c>
      <c r="B390" t="s">
        <v>429</v>
      </c>
      <c r="C390" t="s">
        <v>1065</v>
      </c>
      <c r="D390" t="s">
        <v>428</v>
      </c>
      <c r="E390" s="30" t="s">
        <v>73</v>
      </c>
      <c r="F390" s="30" t="s">
        <v>28</v>
      </c>
      <c r="G390" s="30"/>
      <c r="H390" s="30" t="s">
        <v>804</v>
      </c>
      <c r="I390" s="31">
        <f t="shared" si="20"/>
        <v>2</v>
      </c>
      <c r="J390" s="147" t="s">
        <v>1997</v>
      </c>
      <c r="K390" s="31">
        <f t="shared" si="21"/>
        <v>26</v>
      </c>
      <c r="L390" s="32">
        <f t="shared" si="22"/>
        <v>7.1428571428571425E-2</v>
      </c>
      <c r="M390" s="70" t="s">
        <v>2124</v>
      </c>
      <c r="N390" s="70" t="s">
        <v>2124</v>
      </c>
      <c r="O390" s="70" t="s">
        <v>2124</v>
      </c>
      <c r="P390" s="70" t="s">
        <v>2124</v>
      </c>
      <c r="Q390" s="70" t="s">
        <v>2124</v>
      </c>
      <c r="R390" s="70" t="s">
        <v>2124</v>
      </c>
      <c r="S390" s="70" t="s">
        <v>2124</v>
      </c>
      <c r="T390" s="70" t="s">
        <v>2124</v>
      </c>
      <c r="U390" s="70" t="s">
        <v>2124</v>
      </c>
      <c r="V390" s="70" t="s">
        <v>2124</v>
      </c>
      <c r="W390" s="70" t="s">
        <v>2124</v>
      </c>
      <c r="X390" s="70" t="s">
        <v>2124</v>
      </c>
      <c r="Y390" s="70" t="s">
        <v>2124</v>
      </c>
      <c r="Z390" s="70" t="s">
        <v>2124</v>
      </c>
      <c r="AA390" s="70" t="s">
        <v>2124</v>
      </c>
      <c r="AB390" s="70" t="s">
        <v>2124</v>
      </c>
      <c r="AC390" s="70" t="s">
        <v>2124</v>
      </c>
      <c r="AD390" s="70" t="s">
        <v>2124</v>
      </c>
      <c r="AE390" s="70" t="s">
        <v>2124</v>
      </c>
      <c r="AF390" s="70" t="s">
        <v>2124</v>
      </c>
      <c r="AG390" s="70" t="s">
        <v>2124</v>
      </c>
      <c r="AH390" s="70" t="s">
        <v>2124</v>
      </c>
      <c r="AI390" s="70" t="s">
        <v>2124</v>
      </c>
      <c r="AJ390" s="70" t="s">
        <v>2124</v>
      </c>
      <c r="AK390" s="70" t="s">
        <v>2124</v>
      </c>
      <c r="AL390" s="70" t="s">
        <v>2124</v>
      </c>
      <c r="AM390" s="70"/>
      <c r="AN390" s="70"/>
      <c r="AO390" s="70"/>
      <c r="AP390" s="70"/>
      <c r="AQ390" s="70"/>
    </row>
    <row r="391" spans="1:43" s="73" customFormat="1" ht="15.75" thickBot="1" x14ac:dyDescent="0.3">
      <c r="A391" s="73" t="s">
        <v>196</v>
      </c>
      <c r="B391" s="73" t="s">
        <v>430</v>
      </c>
      <c r="C391" s="73" t="s">
        <v>1065</v>
      </c>
      <c r="D391" s="73" t="s">
        <v>431</v>
      </c>
      <c r="E391" s="85" t="s">
        <v>73</v>
      </c>
      <c r="F391" s="85" t="s">
        <v>1303</v>
      </c>
      <c r="G391" s="85"/>
      <c r="H391" s="85" t="s">
        <v>805</v>
      </c>
      <c r="I391" s="142">
        <f t="shared" si="20"/>
        <v>28</v>
      </c>
      <c r="J391" s="147" t="s">
        <v>1998</v>
      </c>
      <c r="K391" s="142">
        <f t="shared" si="21"/>
        <v>0</v>
      </c>
      <c r="L391" s="143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7.25" customHeight="1" thickBot="1" x14ac:dyDescent="0.3">
      <c r="A392" s="73" t="s">
        <v>196</v>
      </c>
      <c r="B392" s="73" t="s">
        <v>432</v>
      </c>
      <c r="C392" s="73" t="s">
        <v>1065</v>
      </c>
      <c r="D392" s="73" t="s">
        <v>431</v>
      </c>
      <c r="E392" s="85" t="s">
        <v>73</v>
      </c>
      <c r="F392" s="85" t="s">
        <v>1303</v>
      </c>
      <c r="G392" s="85"/>
      <c r="H392" s="85" t="s">
        <v>806</v>
      </c>
      <c r="I392" s="142">
        <f t="shared" si="20"/>
        <v>28</v>
      </c>
      <c r="J392" s="147" t="s">
        <v>1999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s="73" customFormat="1" ht="15.75" thickBot="1" x14ac:dyDescent="0.3">
      <c r="A393" s="73" t="s">
        <v>196</v>
      </c>
      <c r="B393" s="73" t="s">
        <v>1550</v>
      </c>
      <c r="C393" s="73" t="s">
        <v>1065</v>
      </c>
      <c r="D393" s="73" t="s">
        <v>1551</v>
      </c>
      <c r="E393" s="85" t="s">
        <v>73</v>
      </c>
      <c r="F393" s="85" t="s">
        <v>1303</v>
      </c>
      <c r="G393" s="85"/>
      <c r="H393" s="85"/>
      <c r="I393" s="142">
        <f t="shared" si="20"/>
        <v>28</v>
      </c>
      <c r="J393" s="87"/>
      <c r="K393" s="142">
        <f t="shared" si="21"/>
        <v>0</v>
      </c>
      <c r="L393" s="143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196</v>
      </c>
      <c r="B394" s="73" t="s">
        <v>1552</v>
      </c>
      <c r="C394" s="73" t="s">
        <v>1065</v>
      </c>
      <c r="D394" s="73" t="s">
        <v>1551</v>
      </c>
      <c r="E394" s="85" t="s">
        <v>73</v>
      </c>
      <c r="F394" s="85" t="s">
        <v>1303</v>
      </c>
      <c r="G394" s="85"/>
      <c r="H394" s="85"/>
      <c r="I394" s="142">
        <f t="shared" si="20"/>
        <v>28</v>
      </c>
      <c r="J394" s="87"/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73" customFormat="1" ht="15.75" thickBot="1" x14ac:dyDescent="0.3">
      <c r="A395" s="73" t="s">
        <v>196</v>
      </c>
      <c r="B395" s="73" t="s">
        <v>1633</v>
      </c>
      <c r="C395" s="73" t="s">
        <v>1065</v>
      </c>
      <c r="D395" s="73" t="s">
        <v>1634</v>
      </c>
      <c r="E395" s="85" t="s">
        <v>73</v>
      </c>
      <c r="F395" s="85" t="s">
        <v>1303</v>
      </c>
      <c r="G395" s="85"/>
      <c r="H395" s="85" t="s">
        <v>1635</v>
      </c>
      <c r="I395" s="142">
        <f t="shared" si="20"/>
        <v>28</v>
      </c>
      <c r="J395" s="87" t="s">
        <v>2157</v>
      </c>
      <c r="K395" s="142">
        <f t="shared" si="21"/>
        <v>0</v>
      </c>
      <c r="L395" s="143">
        <f t="shared" si="22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  <c r="AQ395" s="89"/>
    </row>
    <row r="396" spans="1:43" s="73" customFormat="1" ht="15.75" thickBot="1" x14ac:dyDescent="0.3">
      <c r="A396" s="73" t="s">
        <v>196</v>
      </c>
      <c r="B396" s="73" t="s">
        <v>2153</v>
      </c>
      <c r="C396" s="73" t="s">
        <v>1065</v>
      </c>
      <c r="D396" s="73" t="s">
        <v>2154</v>
      </c>
      <c r="E396" s="92" t="s">
        <v>19</v>
      </c>
      <c r="F396" s="85" t="s">
        <v>1303</v>
      </c>
      <c r="G396" s="85"/>
      <c r="H396" s="85" t="s">
        <v>2155</v>
      </c>
      <c r="I396" s="142">
        <f t="shared" si="20"/>
        <v>21</v>
      </c>
      <c r="J396" s="87" t="s">
        <v>2156</v>
      </c>
      <c r="K396" s="142">
        <f t="shared" si="21"/>
        <v>7</v>
      </c>
      <c r="L396" s="143">
        <f t="shared" si="22"/>
        <v>0.75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 t="s">
        <v>2124</v>
      </c>
      <c r="AF396" s="70" t="s">
        <v>2124</v>
      </c>
      <c r="AG396" s="70" t="s">
        <v>2124</v>
      </c>
      <c r="AH396" s="70" t="s">
        <v>2124</v>
      </c>
      <c r="AI396" s="70" t="s">
        <v>2124</v>
      </c>
      <c r="AJ396" s="70"/>
      <c r="AK396" s="70" t="s">
        <v>2124</v>
      </c>
      <c r="AL396" s="70" t="s">
        <v>2124</v>
      </c>
      <c r="AM396" s="70"/>
      <c r="AN396" s="70"/>
      <c r="AO396" s="70"/>
      <c r="AP396" s="89"/>
      <c r="AQ396" s="89"/>
    </row>
    <row r="397" spans="1:43" s="91" customFormat="1" ht="15.75" thickBot="1" x14ac:dyDescent="0.3">
      <c r="A397" s="73" t="s">
        <v>433</v>
      </c>
      <c r="B397" s="73" t="s">
        <v>434</v>
      </c>
      <c r="C397" s="91" t="s">
        <v>1065</v>
      </c>
      <c r="D397" s="73" t="s">
        <v>435</v>
      </c>
      <c r="E397" s="92" t="s">
        <v>19</v>
      </c>
      <c r="F397" s="85" t="s">
        <v>1303</v>
      </c>
      <c r="G397" s="85"/>
      <c r="H397" s="85" t="s">
        <v>2206</v>
      </c>
      <c r="I397" s="31">
        <f t="shared" si="20"/>
        <v>22</v>
      </c>
      <c r="J397" s="87" t="s">
        <v>2207</v>
      </c>
      <c r="K397" s="31">
        <f t="shared" si="21"/>
        <v>6</v>
      </c>
      <c r="L397" s="32">
        <f t="shared" si="22"/>
        <v>0.7857142857142857</v>
      </c>
      <c r="M397" s="70" t="s">
        <v>2124</v>
      </c>
      <c r="N397" s="70" t="s">
        <v>2124</v>
      </c>
      <c r="O397" s="70" t="s">
        <v>2124</v>
      </c>
      <c r="P397" s="70" t="s">
        <v>2124</v>
      </c>
      <c r="Q397" s="70" t="s">
        <v>2124</v>
      </c>
      <c r="R397" s="70" t="s">
        <v>2124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93"/>
      <c r="AF397" s="93"/>
      <c r="AG397" s="70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spans="1:43" s="73" customFormat="1" ht="15.75" thickBot="1" x14ac:dyDescent="0.3">
      <c r="A398" s="73" t="s">
        <v>433</v>
      </c>
      <c r="B398" s="73" t="s">
        <v>1355</v>
      </c>
      <c r="C398" s="73" t="s">
        <v>1065</v>
      </c>
      <c r="D398" s="73" t="s">
        <v>1356</v>
      </c>
      <c r="E398" s="92" t="s">
        <v>19</v>
      </c>
      <c r="F398" s="85" t="s">
        <v>1303</v>
      </c>
      <c r="G398" s="85"/>
      <c r="H398" s="85" t="s">
        <v>1417</v>
      </c>
      <c r="I398" s="142">
        <f t="shared" si="20"/>
        <v>28</v>
      </c>
      <c r="J398" s="147" t="s">
        <v>2000</v>
      </c>
      <c r="K398" s="142">
        <f t="shared" si="21"/>
        <v>0</v>
      </c>
      <c r="L398" s="143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  <c r="AQ398" s="89"/>
    </row>
    <row r="399" spans="1:43" s="73" customFormat="1" ht="15.75" thickBot="1" x14ac:dyDescent="0.3">
      <c r="A399" s="73" t="s">
        <v>433</v>
      </c>
      <c r="B399" s="73" t="s">
        <v>1405</v>
      </c>
      <c r="C399" s="73" t="s">
        <v>1065</v>
      </c>
      <c r="D399" s="73" t="s">
        <v>1406</v>
      </c>
      <c r="E399" s="92" t="s">
        <v>19</v>
      </c>
      <c r="F399" s="85" t="s">
        <v>1303</v>
      </c>
      <c r="G399" s="85"/>
      <c r="H399" s="85" t="s">
        <v>1407</v>
      </c>
      <c r="I399" s="142">
        <f t="shared" si="20"/>
        <v>28</v>
      </c>
      <c r="J399" s="147" t="s">
        <v>2001</v>
      </c>
      <c r="K399" s="142">
        <f t="shared" si="21"/>
        <v>0</v>
      </c>
      <c r="L399" s="143">
        <f t="shared" si="22"/>
        <v>1</v>
      </c>
      <c r="M399" s="70"/>
      <c r="N399" s="70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</row>
    <row r="400" spans="1:43" s="73" customFormat="1" ht="15.75" thickBot="1" x14ac:dyDescent="0.3">
      <c r="A400" s="73" t="s">
        <v>438</v>
      </c>
      <c r="B400" s="73" t="s">
        <v>445</v>
      </c>
      <c r="C400" s="73" t="s">
        <v>1065</v>
      </c>
      <c r="D400" s="73" t="s">
        <v>446</v>
      </c>
      <c r="E400" s="85" t="s">
        <v>15</v>
      </c>
      <c r="F400" s="85" t="s">
        <v>1303</v>
      </c>
      <c r="G400" s="85"/>
      <c r="H400" s="85" t="s">
        <v>1376</v>
      </c>
      <c r="I400" s="142">
        <f t="shared" si="20"/>
        <v>23</v>
      </c>
      <c r="J400" s="147" t="s">
        <v>2002</v>
      </c>
      <c r="K400" s="142">
        <f t="shared" si="21"/>
        <v>5</v>
      </c>
      <c r="L400" s="143">
        <f t="shared" si="22"/>
        <v>0.8214285714285714</v>
      </c>
      <c r="M400" s="70"/>
      <c r="N400" s="70"/>
      <c r="O400" s="70"/>
      <c r="P400" s="70"/>
      <c r="Q400" s="70"/>
      <c r="R400" s="70"/>
      <c r="S400" s="70"/>
      <c r="T400" s="70"/>
      <c r="U400" s="70" t="s">
        <v>2124</v>
      </c>
      <c r="V400" s="70" t="s">
        <v>2124</v>
      </c>
      <c r="W400" s="70" t="s">
        <v>2124</v>
      </c>
      <c r="X400" s="70" t="s">
        <v>2124</v>
      </c>
      <c r="Y400" s="70" t="s">
        <v>2124</v>
      </c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438</v>
      </c>
      <c r="B401" s="73" t="s">
        <v>447</v>
      </c>
      <c r="C401" s="73" t="s">
        <v>1065</v>
      </c>
      <c r="D401" s="73" t="s">
        <v>448</v>
      </c>
      <c r="E401" s="85" t="s">
        <v>19</v>
      </c>
      <c r="F401" s="85" t="s">
        <v>1303</v>
      </c>
      <c r="G401" s="85"/>
      <c r="H401" s="85" t="s">
        <v>1426</v>
      </c>
      <c r="I401" s="142">
        <f t="shared" si="20"/>
        <v>27</v>
      </c>
      <c r="J401" s="147" t="s">
        <v>2003</v>
      </c>
      <c r="K401" s="142">
        <f t="shared" si="21"/>
        <v>1</v>
      </c>
      <c r="L401" s="143">
        <f t="shared" si="22"/>
        <v>0.9642857142857143</v>
      </c>
      <c r="M401" s="70" t="s">
        <v>2124</v>
      </c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91" customFormat="1" ht="15.75" thickBot="1" x14ac:dyDescent="0.3">
      <c r="A402" s="91" t="s">
        <v>438</v>
      </c>
      <c r="B402" s="91" t="s">
        <v>436</v>
      </c>
      <c r="C402" s="91" t="s">
        <v>1065</v>
      </c>
      <c r="D402" s="91" t="s">
        <v>437</v>
      </c>
      <c r="E402" s="92" t="s">
        <v>19</v>
      </c>
      <c r="F402" s="92" t="s">
        <v>20</v>
      </c>
      <c r="G402" s="92"/>
      <c r="H402" s="92" t="s">
        <v>807</v>
      </c>
      <c r="I402" s="31">
        <f t="shared" si="20"/>
        <v>3</v>
      </c>
      <c r="J402" s="87"/>
      <c r="K402" s="31">
        <f t="shared" si="21"/>
        <v>25</v>
      </c>
      <c r="L402" s="32">
        <f t="shared" si="22"/>
        <v>0.10714285714285714</v>
      </c>
      <c r="M402" s="70" t="s">
        <v>2124</v>
      </c>
      <c r="N402" s="70" t="s">
        <v>2124</v>
      </c>
      <c r="O402" s="70" t="s">
        <v>2124</v>
      </c>
      <c r="P402" s="70" t="s">
        <v>2124</v>
      </c>
      <c r="Q402" s="70" t="s">
        <v>2124</v>
      </c>
      <c r="R402" s="70" t="s">
        <v>2124</v>
      </c>
      <c r="S402" s="70" t="s">
        <v>2124</v>
      </c>
      <c r="T402" s="70" t="s">
        <v>2124</v>
      </c>
      <c r="U402" s="70" t="s">
        <v>2124</v>
      </c>
      <c r="V402" s="70" t="s">
        <v>2124</v>
      </c>
      <c r="W402" s="70" t="s">
        <v>2124</v>
      </c>
      <c r="X402" s="70" t="s">
        <v>2124</v>
      </c>
      <c r="Y402" s="70" t="s">
        <v>2124</v>
      </c>
      <c r="Z402" s="70" t="s">
        <v>2124</v>
      </c>
      <c r="AA402" s="70" t="s">
        <v>2124</v>
      </c>
      <c r="AB402" s="70" t="s">
        <v>2124</v>
      </c>
      <c r="AC402" s="70" t="s">
        <v>2124</v>
      </c>
      <c r="AD402" s="70" t="s">
        <v>2124</v>
      </c>
      <c r="AE402" s="93" t="s">
        <v>2124</v>
      </c>
      <c r="AF402" s="93" t="s">
        <v>2124</v>
      </c>
      <c r="AG402" s="70" t="s">
        <v>2124</v>
      </c>
      <c r="AH402" s="93" t="s">
        <v>2124</v>
      </c>
      <c r="AI402" s="93" t="s">
        <v>2124</v>
      </c>
      <c r="AJ402" s="93"/>
      <c r="AK402" s="93" t="s">
        <v>2124</v>
      </c>
      <c r="AL402" s="93" t="s">
        <v>2124</v>
      </c>
      <c r="AM402" s="93"/>
      <c r="AN402" s="93"/>
      <c r="AO402" s="93"/>
      <c r="AP402" s="93"/>
      <c r="AQ402" s="93"/>
    </row>
    <row r="403" spans="1:43" s="73" customFormat="1" ht="15.75" thickBot="1" x14ac:dyDescent="0.3">
      <c r="A403" s="73" t="s">
        <v>438</v>
      </c>
      <c r="B403" s="73" t="s">
        <v>439</v>
      </c>
      <c r="C403" s="73" t="s">
        <v>1065</v>
      </c>
      <c r="D403" s="73" t="s">
        <v>440</v>
      </c>
      <c r="E403" s="85" t="s">
        <v>46</v>
      </c>
      <c r="F403" s="85" t="s">
        <v>1303</v>
      </c>
      <c r="G403" s="85"/>
      <c r="H403" s="85" t="s">
        <v>1377</v>
      </c>
      <c r="I403" s="142">
        <f t="shared" si="20"/>
        <v>24</v>
      </c>
      <c r="J403" s="147" t="s">
        <v>2004</v>
      </c>
      <c r="K403" s="142">
        <f t="shared" si="21"/>
        <v>4</v>
      </c>
      <c r="L403" s="143">
        <f t="shared" si="22"/>
        <v>0.8571428571428571</v>
      </c>
      <c r="M403" s="70"/>
      <c r="N403" s="70"/>
      <c r="O403" s="70"/>
      <c r="P403" s="70"/>
      <c r="Q403" s="70"/>
      <c r="R403" s="70"/>
      <c r="S403" s="70"/>
      <c r="T403" s="70"/>
      <c r="U403" s="70" t="s">
        <v>2124</v>
      </c>
      <c r="V403" s="70" t="s">
        <v>2124</v>
      </c>
      <c r="W403" s="70" t="s">
        <v>2124</v>
      </c>
      <c r="X403" s="70" t="s">
        <v>2124</v>
      </c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438</v>
      </c>
      <c r="B404" t="s">
        <v>449</v>
      </c>
      <c r="C404" t="s">
        <v>1065</v>
      </c>
      <c r="D404" t="s">
        <v>450</v>
      </c>
      <c r="E404" s="30" t="s">
        <v>15</v>
      </c>
      <c r="F404" s="30" t="s">
        <v>1058</v>
      </c>
      <c r="G404" s="30" t="s">
        <v>1258</v>
      </c>
      <c r="H404" s="30" t="s">
        <v>808</v>
      </c>
      <c r="I404" s="31">
        <f t="shared" si="20"/>
        <v>28</v>
      </c>
      <c r="J404" s="147" t="s">
        <v>2005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438</v>
      </c>
      <c r="B405" t="s">
        <v>441</v>
      </c>
      <c r="C405" t="s">
        <v>1065</v>
      </c>
      <c r="D405" t="s">
        <v>442</v>
      </c>
      <c r="E405" s="30" t="s">
        <v>15</v>
      </c>
      <c r="F405" s="30" t="s">
        <v>28</v>
      </c>
      <c r="G405" s="30"/>
      <c r="H405" s="30" t="s">
        <v>809</v>
      </c>
      <c r="I405" s="31">
        <f t="shared" si="20"/>
        <v>28</v>
      </c>
      <c r="J405" s="87"/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s="73" customFormat="1" ht="15.75" thickBot="1" x14ac:dyDescent="0.3">
      <c r="A406" s="73" t="s">
        <v>438</v>
      </c>
      <c r="B406" s="73" t="s">
        <v>443</v>
      </c>
      <c r="C406" s="73" t="s">
        <v>1065</v>
      </c>
      <c r="D406" s="73" t="s">
        <v>444</v>
      </c>
      <c r="E406" s="85" t="s">
        <v>15</v>
      </c>
      <c r="F406" s="85" t="s">
        <v>1303</v>
      </c>
      <c r="G406" s="85"/>
      <c r="H406" s="85" t="s">
        <v>810</v>
      </c>
      <c r="I406" s="142">
        <f t="shared" si="20"/>
        <v>28</v>
      </c>
      <c r="J406" s="73" t="s">
        <v>2006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ht="15.75" thickBot="1" x14ac:dyDescent="0.3">
      <c r="A407" t="s">
        <v>1126</v>
      </c>
      <c r="B407" t="s">
        <v>1127</v>
      </c>
      <c r="C407" t="s">
        <v>1065</v>
      </c>
      <c r="D407" t="s">
        <v>1128</v>
      </c>
      <c r="E407" s="30" t="s">
        <v>1116</v>
      </c>
      <c r="F407" s="30" t="s">
        <v>28</v>
      </c>
      <c r="G407" s="30"/>
      <c r="H407" s="30" t="s">
        <v>1142</v>
      </c>
      <c r="I407" s="31">
        <f t="shared" si="20"/>
        <v>28</v>
      </c>
      <c r="J407" s="147" t="s">
        <v>2007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6.899999999999999" customHeight="1" thickBot="1" x14ac:dyDescent="0.3">
      <c r="A408" t="s">
        <v>1126</v>
      </c>
      <c r="B408" t="s">
        <v>1146</v>
      </c>
      <c r="C408" t="s">
        <v>1065</v>
      </c>
      <c r="D408" t="s">
        <v>1128</v>
      </c>
      <c r="E408" s="30" t="s">
        <v>1116</v>
      </c>
      <c r="F408" s="30" t="s">
        <v>28</v>
      </c>
      <c r="G408" s="30"/>
      <c r="H408" s="30" t="s">
        <v>1143</v>
      </c>
      <c r="I408" s="31">
        <f t="shared" si="20"/>
        <v>28</v>
      </c>
      <c r="J408" s="147" t="s">
        <v>2008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6.899999999999999" customHeight="1" thickBot="1" x14ac:dyDescent="0.3">
      <c r="A409" t="s">
        <v>1126</v>
      </c>
      <c r="B409" s="73" t="s">
        <v>1565</v>
      </c>
      <c r="C409" s="73" t="s">
        <v>1065</v>
      </c>
      <c r="D409" s="73" t="s">
        <v>1566</v>
      </c>
      <c r="E409" s="85" t="s">
        <v>1116</v>
      </c>
      <c r="F409" s="85" t="s">
        <v>1303</v>
      </c>
      <c r="G409" s="85"/>
      <c r="H409" s="85" t="s">
        <v>1568</v>
      </c>
      <c r="I409" s="31">
        <f t="shared" si="20"/>
        <v>28</v>
      </c>
      <c r="J409" s="147" t="s">
        <v>2009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73" customFormat="1" ht="16.899999999999999" customHeight="1" thickBot="1" x14ac:dyDescent="0.3">
      <c r="A410" t="s">
        <v>1126</v>
      </c>
      <c r="B410" s="73" t="s">
        <v>1564</v>
      </c>
      <c r="C410" s="73" t="s">
        <v>1065</v>
      </c>
      <c r="D410" s="73" t="s">
        <v>1567</v>
      </c>
      <c r="E410" s="85" t="s">
        <v>1116</v>
      </c>
      <c r="F410" s="85" t="s">
        <v>1303</v>
      </c>
      <c r="G410" s="85"/>
      <c r="H410" s="85" t="s">
        <v>1569</v>
      </c>
      <c r="I410" s="31">
        <f t="shared" si="20"/>
        <v>28</v>
      </c>
      <c r="J410" s="147" t="s">
        <v>2010</v>
      </c>
      <c r="K410" s="31">
        <f t="shared" si="21"/>
        <v>0</v>
      </c>
      <c r="L410" s="32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ht="15.75" thickBot="1" x14ac:dyDescent="0.3">
      <c r="A411" t="s">
        <v>165</v>
      </c>
      <c r="B411" t="s">
        <v>451</v>
      </c>
      <c r="C411" t="s">
        <v>1064</v>
      </c>
      <c r="D411" t="s">
        <v>452</v>
      </c>
      <c r="E411" s="30" t="s">
        <v>73</v>
      </c>
      <c r="F411" s="30" t="s">
        <v>28</v>
      </c>
      <c r="G411" s="30"/>
      <c r="H411" s="30" t="s">
        <v>811</v>
      </c>
      <c r="I411" s="31">
        <f t="shared" si="20"/>
        <v>27</v>
      </c>
      <c r="J411" s="147" t="s">
        <v>2011</v>
      </c>
      <c r="K411" s="31">
        <f t="shared" si="21"/>
        <v>1</v>
      </c>
      <c r="L411" s="32">
        <f t="shared" si="22"/>
        <v>0.9642857142857143</v>
      </c>
      <c r="M411" s="70"/>
      <c r="N411" s="70"/>
      <c r="O411" s="70"/>
      <c r="P411" s="70"/>
      <c r="Q411" s="70"/>
      <c r="R411" s="70" t="s">
        <v>2124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165</v>
      </c>
      <c r="B412" t="s">
        <v>453</v>
      </c>
      <c r="C412" t="s">
        <v>1064</v>
      </c>
      <c r="D412" t="s">
        <v>452</v>
      </c>
      <c r="E412" s="30" t="s">
        <v>73</v>
      </c>
      <c r="F412" s="30" t="s">
        <v>28</v>
      </c>
      <c r="G412" s="30"/>
      <c r="H412" s="30" t="s">
        <v>812</v>
      </c>
      <c r="I412" s="31">
        <f t="shared" si="20"/>
        <v>27</v>
      </c>
      <c r="J412" s="147" t="s">
        <v>2012</v>
      </c>
      <c r="K412" s="31">
        <f t="shared" si="21"/>
        <v>1</v>
      </c>
      <c r="L412" s="32">
        <f t="shared" si="22"/>
        <v>0.9642857142857143</v>
      </c>
      <c r="M412" s="70"/>
      <c r="N412" s="70"/>
      <c r="O412" s="70"/>
      <c r="P412" s="70"/>
      <c r="Q412" s="70"/>
      <c r="R412" s="70" t="s">
        <v>2124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165</v>
      </c>
      <c r="B413" t="s">
        <v>1018</v>
      </c>
      <c r="C413" t="s">
        <v>1064</v>
      </c>
      <c r="D413" t="s">
        <v>454</v>
      </c>
      <c r="E413" s="30" t="s">
        <v>73</v>
      </c>
      <c r="F413" s="30" t="s">
        <v>28</v>
      </c>
      <c r="G413" s="30"/>
      <c r="H413" s="30" t="s">
        <v>813</v>
      </c>
      <c r="I413" s="31">
        <f t="shared" si="20"/>
        <v>16</v>
      </c>
      <c r="J413" s="147" t="s">
        <v>2013</v>
      </c>
      <c r="K413" s="31">
        <f t="shared" si="21"/>
        <v>12</v>
      </c>
      <c r="L413" s="32">
        <f t="shared" si="22"/>
        <v>0.5714285714285714</v>
      </c>
      <c r="M413" s="70"/>
      <c r="N413" s="70"/>
      <c r="O413" s="70"/>
      <c r="P413" s="70"/>
      <c r="Q413" s="70"/>
      <c r="R413" s="70" t="s">
        <v>2124</v>
      </c>
      <c r="S413" s="70"/>
      <c r="T413" s="70"/>
      <c r="U413" s="70"/>
      <c r="V413" s="70"/>
      <c r="W413" s="70" t="s">
        <v>2124</v>
      </c>
      <c r="X413" s="70" t="s">
        <v>2124</v>
      </c>
      <c r="Y413" s="70" t="s">
        <v>2124</v>
      </c>
      <c r="Z413" s="70" t="s">
        <v>2124</v>
      </c>
      <c r="AA413" s="70" t="s">
        <v>2124</v>
      </c>
      <c r="AB413" s="70" t="s">
        <v>2124</v>
      </c>
      <c r="AC413" s="70" t="s">
        <v>2124</v>
      </c>
      <c r="AD413" s="70" t="s">
        <v>2124</v>
      </c>
      <c r="AE413" s="70" t="s">
        <v>2124</v>
      </c>
      <c r="AF413" s="70" t="s">
        <v>2124</v>
      </c>
      <c r="AG413" s="70" t="s">
        <v>2124</v>
      </c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165</v>
      </c>
      <c r="B414" t="s">
        <v>1019</v>
      </c>
      <c r="C414" t="s">
        <v>1064</v>
      </c>
      <c r="D414" t="s">
        <v>454</v>
      </c>
      <c r="E414" s="30" t="s">
        <v>73</v>
      </c>
      <c r="F414" s="30" t="s">
        <v>28</v>
      </c>
      <c r="G414" s="30"/>
      <c r="H414" s="30" t="s">
        <v>814</v>
      </c>
      <c r="I414" s="31">
        <f t="shared" si="20"/>
        <v>16</v>
      </c>
      <c r="J414" s="147" t="s">
        <v>2014</v>
      </c>
      <c r="K414" s="31">
        <f t="shared" si="21"/>
        <v>12</v>
      </c>
      <c r="L414" s="32">
        <f t="shared" si="22"/>
        <v>0.5714285714285714</v>
      </c>
      <c r="M414" s="70"/>
      <c r="N414" s="70"/>
      <c r="O414" s="70"/>
      <c r="P414" s="70"/>
      <c r="Q414" s="70"/>
      <c r="R414" s="70" t="s">
        <v>2124</v>
      </c>
      <c r="S414" s="70"/>
      <c r="T414" s="70"/>
      <c r="U414" s="70"/>
      <c r="V414" s="70"/>
      <c r="W414" s="70" t="s">
        <v>2124</v>
      </c>
      <c r="X414" s="70" t="s">
        <v>2124</v>
      </c>
      <c r="Y414" s="70" t="s">
        <v>2124</v>
      </c>
      <c r="Z414" s="70" t="s">
        <v>2124</v>
      </c>
      <c r="AA414" s="70" t="s">
        <v>2124</v>
      </c>
      <c r="AB414" s="70" t="s">
        <v>2124</v>
      </c>
      <c r="AC414" s="70" t="s">
        <v>2124</v>
      </c>
      <c r="AD414" s="70" t="s">
        <v>2124</v>
      </c>
      <c r="AE414" s="70" t="s">
        <v>2124</v>
      </c>
      <c r="AF414" s="70" t="s">
        <v>2124</v>
      </c>
      <c r="AG414" s="70" t="s">
        <v>2124</v>
      </c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464</v>
      </c>
      <c r="C415" t="s">
        <v>1065</v>
      </c>
      <c r="D415" t="s">
        <v>1026</v>
      </c>
      <c r="E415" s="30" t="s">
        <v>19</v>
      </c>
      <c r="F415" s="30" t="s">
        <v>1058</v>
      </c>
      <c r="G415" s="30"/>
      <c r="H415" s="30" t="s">
        <v>1413</v>
      </c>
      <c r="I415" s="31">
        <f t="shared" si="20"/>
        <v>28</v>
      </c>
      <c r="J415" s="147" t="s">
        <v>2015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350</v>
      </c>
      <c r="B416" t="s">
        <v>465</v>
      </c>
      <c r="C416" t="s">
        <v>1065</v>
      </c>
      <c r="D416" t="s">
        <v>1323</v>
      </c>
      <c r="E416" s="30" t="s">
        <v>19</v>
      </c>
      <c r="F416" s="30" t="s">
        <v>1058</v>
      </c>
      <c r="G416" s="30"/>
      <c r="H416" s="30" t="s">
        <v>1414</v>
      </c>
      <c r="I416" s="31">
        <f t="shared" si="20"/>
        <v>28</v>
      </c>
      <c r="J416" s="147" t="s">
        <v>2016</v>
      </c>
      <c r="K416" s="31">
        <f t="shared" si="21"/>
        <v>0</v>
      </c>
      <c r="L416" s="3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455</v>
      </c>
      <c r="B417" s="73" t="s">
        <v>466</v>
      </c>
      <c r="C417" s="73" t="s">
        <v>1065</v>
      </c>
      <c r="D417" s="73" t="s">
        <v>467</v>
      </c>
      <c r="E417" s="85" t="s">
        <v>19</v>
      </c>
      <c r="F417" s="85" t="s">
        <v>1303</v>
      </c>
      <c r="G417" s="85"/>
      <c r="H417" s="85" t="s">
        <v>1425</v>
      </c>
      <c r="I417" s="142">
        <f t="shared" si="20"/>
        <v>27</v>
      </c>
      <c r="J417" s="147" t="s">
        <v>2017</v>
      </c>
      <c r="K417" s="142">
        <f t="shared" si="21"/>
        <v>1</v>
      </c>
      <c r="L417" s="143">
        <f t="shared" si="22"/>
        <v>0.9642857142857143</v>
      </c>
      <c r="M417" s="70"/>
      <c r="N417" s="70" t="s">
        <v>2124</v>
      </c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5.75" thickBot="1" x14ac:dyDescent="0.3">
      <c r="A418" s="73" t="s">
        <v>455</v>
      </c>
      <c r="B418" s="73" t="s">
        <v>1020</v>
      </c>
      <c r="C418" s="73" t="s">
        <v>1065</v>
      </c>
      <c r="D418" s="73" t="s">
        <v>468</v>
      </c>
      <c r="E418" s="85" t="s">
        <v>19</v>
      </c>
      <c r="F418" s="85" t="s">
        <v>1303</v>
      </c>
      <c r="G418" s="85"/>
      <c r="H418" s="85" t="s">
        <v>1330</v>
      </c>
      <c r="I418" s="142">
        <f t="shared" si="20"/>
        <v>28</v>
      </c>
      <c r="J418" s="147" t="s">
        <v>2018</v>
      </c>
      <c r="K418" s="142">
        <f t="shared" si="21"/>
        <v>0</v>
      </c>
      <c r="L418" s="143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ht="15.75" thickBot="1" x14ac:dyDescent="0.3">
      <c r="A419" t="s">
        <v>455</v>
      </c>
      <c r="B419" t="s">
        <v>1027</v>
      </c>
      <c r="C419" t="s">
        <v>1065</v>
      </c>
      <c r="D419" t="s">
        <v>456</v>
      </c>
      <c r="E419" s="30" t="s">
        <v>15</v>
      </c>
      <c r="F419" s="30" t="s">
        <v>20</v>
      </c>
      <c r="G419" s="30"/>
      <c r="H419" s="30" t="s">
        <v>817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455</v>
      </c>
      <c r="B420" t="s">
        <v>1028</v>
      </c>
      <c r="C420" t="s">
        <v>1065</v>
      </c>
      <c r="D420" t="s">
        <v>457</v>
      </c>
      <c r="E420" s="30" t="s">
        <v>19</v>
      </c>
      <c r="F420" s="30" t="s">
        <v>28</v>
      </c>
      <c r="G420" s="30"/>
      <c r="H420" s="30" t="s">
        <v>818</v>
      </c>
      <c r="I420" s="31">
        <f t="shared" si="20"/>
        <v>27</v>
      </c>
      <c r="J420" s="147" t="s">
        <v>2019</v>
      </c>
      <c r="K420" s="31">
        <f t="shared" si="21"/>
        <v>1</v>
      </c>
      <c r="L420" s="32">
        <f t="shared" si="22"/>
        <v>0.9642857142857143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 t="s">
        <v>2124</v>
      </c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455</v>
      </c>
      <c r="B421" t="s">
        <v>1029</v>
      </c>
      <c r="C421" t="s">
        <v>1065</v>
      </c>
      <c r="D421" t="s">
        <v>458</v>
      </c>
      <c r="E421" s="30" t="s">
        <v>19</v>
      </c>
      <c r="F421" s="30" t="s">
        <v>28</v>
      </c>
      <c r="G421" s="30"/>
      <c r="H421" s="30" t="s">
        <v>819</v>
      </c>
      <c r="I421" s="31">
        <f t="shared" si="20"/>
        <v>28</v>
      </c>
      <c r="J421" s="147" t="s">
        <v>2020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455</v>
      </c>
      <c r="B422" t="s">
        <v>459</v>
      </c>
      <c r="C422" t="s">
        <v>1065</v>
      </c>
      <c r="D422" t="s">
        <v>460</v>
      </c>
      <c r="E422" s="30" t="s">
        <v>19</v>
      </c>
      <c r="F422" s="30" t="s">
        <v>28</v>
      </c>
      <c r="G422" s="30"/>
      <c r="H422" s="30" t="s">
        <v>820</v>
      </c>
      <c r="I422" s="31">
        <f t="shared" si="20"/>
        <v>27</v>
      </c>
      <c r="J422" s="147" t="s">
        <v>2021</v>
      </c>
      <c r="K422" s="31">
        <f t="shared" si="21"/>
        <v>1</v>
      </c>
      <c r="L422" s="32">
        <f t="shared" si="22"/>
        <v>0.9642857142857143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 t="s">
        <v>2124</v>
      </c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455</v>
      </c>
      <c r="B423" t="s">
        <v>1030</v>
      </c>
      <c r="C423" t="s">
        <v>1065</v>
      </c>
      <c r="D423" t="s">
        <v>461</v>
      </c>
      <c r="E423" s="30" t="s">
        <v>15</v>
      </c>
      <c r="F423" s="30" t="s">
        <v>20</v>
      </c>
      <c r="G423" s="30"/>
      <c r="H423" s="30" t="s">
        <v>802</v>
      </c>
      <c r="I423" s="31">
        <f t="shared" si="20"/>
        <v>6</v>
      </c>
      <c r="J423" s="87"/>
      <c r="K423" s="31">
        <f t="shared" si="21"/>
        <v>22</v>
      </c>
      <c r="L423" s="32">
        <f t="shared" si="22"/>
        <v>0.21428571428571427</v>
      </c>
      <c r="M423" s="70" t="s">
        <v>2124</v>
      </c>
      <c r="N423" s="70" t="s">
        <v>2124</v>
      </c>
      <c r="O423" s="70" t="s">
        <v>2124</v>
      </c>
      <c r="P423" s="70" t="s">
        <v>2124</v>
      </c>
      <c r="Q423" s="70" t="s">
        <v>2124</v>
      </c>
      <c r="R423" s="70" t="s">
        <v>2124</v>
      </c>
      <c r="S423" s="70" t="s">
        <v>2124</v>
      </c>
      <c r="T423" s="70" t="s">
        <v>2124</v>
      </c>
      <c r="U423" s="70" t="s">
        <v>2124</v>
      </c>
      <c r="V423" s="70" t="s">
        <v>2124</v>
      </c>
      <c r="W423" s="70" t="s">
        <v>2124</v>
      </c>
      <c r="X423" s="70" t="s">
        <v>2124</v>
      </c>
      <c r="Y423" s="70" t="s">
        <v>2124</v>
      </c>
      <c r="Z423" s="70" t="s">
        <v>2124</v>
      </c>
      <c r="AA423" s="70" t="s">
        <v>2124</v>
      </c>
      <c r="AB423" s="70" t="s">
        <v>2124</v>
      </c>
      <c r="AC423" s="70" t="s">
        <v>2124</v>
      </c>
      <c r="AD423" s="70" t="s">
        <v>2124</v>
      </c>
      <c r="AE423" s="70" t="s">
        <v>2124</v>
      </c>
      <c r="AF423" s="70" t="s">
        <v>2124</v>
      </c>
      <c r="AG423" s="70" t="s">
        <v>2124</v>
      </c>
      <c r="AH423" s="70"/>
      <c r="AI423" s="70"/>
      <c r="AJ423" s="70"/>
      <c r="AK423" s="70"/>
      <c r="AL423" s="70" t="s">
        <v>2124</v>
      </c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1031</v>
      </c>
      <c r="C424" t="s">
        <v>1065</v>
      </c>
      <c r="D424" t="s">
        <v>462</v>
      </c>
      <c r="E424" s="30" t="s">
        <v>15</v>
      </c>
      <c r="F424" s="30" t="s">
        <v>20</v>
      </c>
      <c r="G424" s="30"/>
      <c r="H424" s="30" t="s">
        <v>821</v>
      </c>
      <c r="I424" s="31">
        <f t="shared" si="20"/>
        <v>28</v>
      </c>
      <c r="J424" s="8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455</v>
      </c>
      <c r="B425" t="s">
        <v>1021</v>
      </c>
      <c r="C425" t="s">
        <v>1065</v>
      </c>
      <c r="D425" t="s">
        <v>469</v>
      </c>
      <c r="E425" s="30" t="s">
        <v>15</v>
      </c>
      <c r="F425" s="30" t="s">
        <v>20</v>
      </c>
      <c r="G425" s="30"/>
      <c r="H425" s="30" t="s">
        <v>815</v>
      </c>
      <c r="I425" s="31">
        <f t="shared" si="20"/>
        <v>28</v>
      </c>
      <c r="J425" s="87"/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470</v>
      </c>
      <c r="C426" t="s">
        <v>1065</v>
      </c>
      <c r="D426" t="s">
        <v>471</v>
      </c>
      <c r="E426" s="30" t="s">
        <v>15</v>
      </c>
      <c r="F426" s="30" t="s">
        <v>20</v>
      </c>
      <c r="G426" s="30"/>
      <c r="H426" s="30" t="s">
        <v>816</v>
      </c>
      <c r="I426" s="31">
        <f t="shared" si="20"/>
        <v>28</v>
      </c>
      <c r="J426" s="87"/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350</v>
      </c>
      <c r="B427" t="s">
        <v>1022</v>
      </c>
      <c r="C427" t="s">
        <v>1065</v>
      </c>
      <c r="D427" t="s">
        <v>472</v>
      </c>
      <c r="E427" s="30" t="s">
        <v>73</v>
      </c>
      <c r="F427" s="30" t="s">
        <v>1058</v>
      </c>
      <c r="G427" s="30"/>
      <c r="H427" s="30" t="s">
        <v>1415</v>
      </c>
      <c r="I427" s="31">
        <f t="shared" si="20"/>
        <v>28</v>
      </c>
      <c r="J427" s="147" t="s">
        <v>2022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1023</v>
      </c>
      <c r="C428" t="s">
        <v>1065</v>
      </c>
      <c r="D428" t="s">
        <v>472</v>
      </c>
      <c r="E428" s="30" t="s">
        <v>73</v>
      </c>
      <c r="F428" s="30" t="s">
        <v>1058</v>
      </c>
      <c r="G428" s="30"/>
      <c r="H428" s="30" t="s">
        <v>1416</v>
      </c>
      <c r="I428" s="31">
        <f t="shared" si="20"/>
        <v>14</v>
      </c>
      <c r="J428" s="147" t="s">
        <v>2023</v>
      </c>
      <c r="K428" s="31">
        <f t="shared" si="21"/>
        <v>14</v>
      </c>
      <c r="L428" s="32">
        <f t="shared" si="22"/>
        <v>0.5</v>
      </c>
      <c r="M428" s="70"/>
      <c r="N428" s="70" t="s">
        <v>2124</v>
      </c>
      <c r="O428" s="70" t="s">
        <v>2124</v>
      </c>
      <c r="P428" s="70"/>
      <c r="Q428" s="70"/>
      <c r="R428" s="70"/>
      <c r="S428" s="70" t="s">
        <v>2124</v>
      </c>
      <c r="T428" s="70" t="s">
        <v>2124</v>
      </c>
      <c r="U428" s="70"/>
      <c r="V428" s="70"/>
      <c r="W428" s="70" t="s">
        <v>2124</v>
      </c>
      <c r="X428" s="70" t="s">
        <v>2124</v>
      </c>
      <c r="Y428" s="70" t="s">
        <v>2124</v>
      </c>
      <c r="Z428" s="70" t="s">
        <v>2124</v>
      </c>
      <c r="AA428" s="70"/>
      <c r="AB428" s="70" t="s">
        <v>2124</v>
      </c>
      <c r="AC428" s="70" t="s">
        <v>2124</v>
      </c>
      <c r="AD428" s="70" t="s">
        <v>2124</v>
      </c>
      <c r="AE428" s="70" t="s">
        <v>2124</v>
      </c>
      <c r="AF428" s="70" t="s">
        <v>2124</v>
      </c>
      <c r="AG428" s="70" t="s">
        <v>2124</v>
      </c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473</v>
      </c>
      <c r="C429" s="73" t="s">
        <v>1065</v>
      </c>
      <c r="D429" s="73" t="s">
        <v>474</v>
      </c>
      <c r="E429" s="85" t="s">
        <v>15</v>
      </c>
      <c r="F429" s="85" t="s">
        <v>1303</v>
      </c>
      <c r="G429" s="85"/>
      <c r="H429" s="85" t="s">
        <v>822</v>
      </c>
      <c r="I429" s="142">
        <f t="shared" si="20"/>
        <v>24</v>
      </c>
      <c r="J429" s="147" t="s">
        <v>2024</v>
      </c>
      <c r="K429" s="142">
        <f t="shared" si="21"/>
        <v>4</v>
      </c>
      <c r="L429" s="143">
        <f t="shared" si="22"/>
        <v>0.8571428571428571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 t="s">
        <v>2124</v>
      </c>
      <c r="AJ429" s="70" t="s">
        <v>2124</v>
      </c>
      <c r="AK429" s="70" t="s">
        <v>2124</v>
      </c>
      <c r="AL429" s="70" t="s">
        <v>2124</v>
      </c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1032</v>
      </c>
      <c r="C430" s="73" t="s">
        <v>1065</v>
      </c>
      <c r="D430" s="73" t="s">
        <v>463</v>
      </c>
      <c r="E430" s="85" t="s">
        <v>73</v>
      </c>
      <c r="F430" s="85" t="s">
        <v>1303</v>
      </c>
      <c r="G430" s="85"/>
      <c r="H430" s="85" t="s">
        <v>823</v>
      </c>
      <c r="I430" s="142">
        <f t="shared" si="20"/>
        <v>28</v>
      </c>
      <c r="J430" s="147" t="s">
        <v>2025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455</v>
      </c>
      <c r="B431" s="73" t="s">
        <v>1033</v>
      </c>
      <c r="C431" s="73" t="s">
        <v>1065</v>
      </c>
      <c r="D431" s="73" t="s">
        <v>463</v>
      </c>
      <c r="E431" s="85" t="s">
        <v>73</v>
      </c>
      <c r="F431" s="85" t="s">
        <v>1303</v>
      </c>
      <c r="G431" s="85"/>
      <c r="H431" s="85" t="s">
        <v>824</v>
      </c>
      <c r="I431" s="142">
        <f t="shared" si="20"/>
        <v>28</v>
      </c>
      <c r="J431" s="147" t="s">
        <v>2026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ht="15.75" thickBot="1" x14ac:dyDescent="0.3">
      <c r="A432" t="s">
        <v>455</v>
      </c>
      <c r="B432" t="s">
        <v>1024</v>
      </c>
      <c r="C432" t="s">
        <v>1065</v>
      </c>
      <c r="D432" t="s">
        <v>475</v>
      </c>
      <c r="E432" s="30" t="s">
        <v>73</v>
      </c>
      <c r="F432" s="30" t="s">
        <v>28</v>
      </c>
      <c r="G432" s="30"/>
      <c r="H432" s="30" t="s">
        <v>825</v>
      </c>
      <c r="I432" s="31">
        <f t="shared" si="20"/>
        <v>28</v>
      </c>
      <c r="J432" s="147" t="s">
        <v>2027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1025</v>
      </c>
      <c r="C433" t="s">
        <v>1065</v>
      </c>
      <c r="D433" t="s">
        <v>475</v>
      </c>
      <c r="E433" s="30" t="s">
        <v>73</v>
      </c>
      <c r="F433" s="30" t="s">
        <v>28</v>
      </c>
      <c r="G433" s="30"/>
      <c r="H433" s="30" t="s">
        <v>826</v>
      </c>
      <c r="I433" s="31">
        <f t="shared" si="20"/>
        <v>28</v>
      </c>
      <c r="J433" s="147" t="s">
        <v>2028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s="30" t="s">
        <v>1290</v>
      </c>
      <c r="C434" t="s">
        <v>1065</v>
      </c>
      <c r="D434" s="68" t="s">
        <v>1289</v>
      </c>
      <c r="E434" s="30" t="s">
        <v>73</v>
      </c>
      <c r="F434" s="30" t="s">
        <v>28</v>
      </c>
      <c r="G434" s="30"/>
      <c r="H434" s="30" t="s">
        <v>1291</v>
      </c>
      <c r="I434" s="31">
        <f t="shared" si="20"/>
        <v>27</v>
      </c>
      <c r="J434" s="147" t="s">
        <v>2029</v>
      </c>
      <c r="K434" s="31">
        <f t="shared" si="21"/>
        <v>1</v>
      </c>
      <c r="L434" s="32">
        <f t="shared" si="22"/>
        <v>0.9642857142857143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 t="s">
        <v>2124</v>
      </c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1288</v>
      </c>
      <c r="C435" t="s">
        <v>1065</v>
      </c>
      <c r="D435" s="68" t="s">
        <v>1289</v>
      </c>
      <c r="E435" s="30" t="s">
        <v>73</v>
      </c>
      <c r="F435" s="30" t="s">
        <v>28</v>
      </c>
      <c r="G435" s="30"/>
      <c r="H435" s="30" t="s">
        <v>1292</v>
      </c>
      <c r="I435" s="31">
        <f t="shared" si="20"/>
        <v>2</v>
      </c>
      <c r="J435" s="147" t="s">
        <v>2030</v>
      </c>
      <c r="K435" s="31">
        <f t="shared" si="21"/>
        <v>26</v>
      </c>
      <c r="L435" s="32">
        <f t="shared" si="22"/>
        <v>7.1428571428571425E-2</v>
      </c>
      <c r="M435" s="70" t="s">
        <v>2124</v>
      </c>
      <c r="N435" s="70" t="s">
        <v>2124</v>
      </c>
      <c r="O435" s="70" t="s">
        <v>2124</v>
      </c>
      <c r="P435" s="70" t="s">
        <v>2124</v>
      </c>
      <c r="Q435" s="70" t="s">
        <v>2124</v>
      </c>
      <c r="R435" s="70" t="s">
        <v>2124</v>
      </c>
      <c r="S435" s="70" t="s">
        <v>2124</v>
      </c>
      <c r="T435" s="70" t="s">
        <v>2124</v>
      </c>
      <c r="U435" s="70" t="s">
        <v>2124</v>
      </c>
      <c r="V435" s="70" t="s">
        <v>2124</v>
      </c>
      <c r="W435" s="70" t="s">
        <v>2124</v>
      </c>
      <c r="X435" s="70" t="s">
        <v>2124</v>
      </c>
      <c r="Y435" s="70" t="s">
        <v>2124</v>
      </c>
      <c r="Z435" s="70" t="s">
        <v>2124</v>
      </c>
      <c r="AA435" s="70" t="s">
        <v>2124</v>
      </c>
      <c r="AB435" s="70" t="s">
        <v>2124</v>
      </c>
      <c r="AC435" s="70" t="s">
        <v>2124</v>
      </c>
      <c r="AD435" s="70" t="s">
        <v>2124</v>
      </c>
      <c r="AE435" s="70" t="s">
        <v>2124</v>
      </c>
      <c r="AF435" s="70" t="s">
        <v>2124</v>
      </c>
      <c r="AG435" s="70" t="s">
        <v>2124</v>
      </c>
      <c r="AH435" s="70" t="s">
        <v>2124</v>
      </c>
      <c r="AI435" s="70" t="s">
        <v>2124</v>
      </c>
      <c r="AJ435" s="70" t="s">
        <v>2124</v>
      </c>
      <c r="AK435" s="70" t="s">
        <v>2124</v>
      </c>
      <c r="AL435" s="70" t="s">
        <v>2124</v>
      </c>
      <c r="AM435" s="70"/>
      <c r="AN435" s="70"/>
      <c r="AO435" s="70"/>
      <c r="AP435" s="70"/>
      <c r="AQ435" s="70"/>
    </row>
    <row r="436" spans="1:43" s="73" customFormat="1" ht="15.75" thickBot="1" x14ac:dyDescent="0.3">
      <c r="A436" s="73" t="s">
        <v>1609</v>
      </c>
      <c r="B436" s="73" t="s">
        <v>1610</v>
      </c>
      <c r="C436" s="73" t="s">
        <v>1065</v>
      </c>
      <c r="D436" s="146" t="s">
        <v>1611</v>
      </c>
      <c r="E436" s="85" t="s">
        <v>15</v>
      </c>
      <c r="F436" s="85" t="s">
        <v>1303</v>
      </c>
      <c r="G436" s="85"/>
      <c r="H436" s="85" t="s">
        <v>1612</v>
      </c>
      <c r="I436" s="31">
        <f t="shared" si="20"/>
        <v>22</v>
      </c>
      <c r="J436" s="87"/>
      <c r="K436" s="31">
        <f t="shared" si="21"/>
        <v>6</v>
      </c>
      <c r="L436" s="32">
        <f t="shared" si="22"/>
        <v>0.7857142857142857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 t="s">
        <v>2124</v>
      </c>
      <c r="AB436" s="70" t="s">
        <v>2124</v>
      </c>
      <c r="AC436" s="70" t="s">
        <v>2124</v>
      </c>
      <c r="AD436" s="70" t="s">
        <v>2124</v>
      </c>
      <c r="AE436" s="70" t="s">
        <v>2124</v>
      </c>
      <c r="AF436" s="70" t="s">
        <v>2124</v>
      </c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s="73" customFormat="1" ht="15.75" thickBot="1" x14ac:dyDescent="0.3">
      <c r="A437" s="73" t="s">
        <v>1609</v>
      </c>
      <c r="B437" s="73" t="s">
        <v>1621</v>
      </c>
      <c r="C437" s="73" t="s">
        <v>1065</v>
      </c>
      <c r="D437" s="146" t="s">
        <v>1622</v>
      </c>
      <c r="E437" s="85" t="s">
        <v>19</v>
      </c>
      <c r="F437" s="85" t="s">
        <v>1303</v>
      </c>
      <c r="G437" s="85"/>
      <c r="H437" s="85" t="s">
        <v>1623</v>
      </c>
      <c r="I437" s="31">
        <f t="shared" si="20"/>
        <v>23</v>
      </c>
      <c r="J437" s="87"/>
      <c r="K437" s="31">
        <f t="shared" si="21"/>
        <v>5</v>
      </c>
      <c r="L437" s="32">
        <f t="shared" si="22"/>
        <v>0.8214285714285714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 t="s">
        <v>2124</v>
      </c>
      <c r="AI437" s="70" t="s">
        <v>2124</v>
      </c>
      <c r="AJ437" s="70" t="s">
        <v>2124</v>
      </c>
      <c r="AK437" s="70" t="s">
        <v>2124</v>
      </c>
      <c r="AL437" s="70" t="s">
        <v>2124</v>
      </c>
      <c r="AM437" s="70"/>
      <c r="AN437" s="70"/>
      <c r="AO437" s="70"/>
      <c r="AP437" s="89"/>
      <c r="AQ437" s="89"/>
    </row>
    <row r="438" spans="1:43" s="73" customFormat="1" ht="15.75" thickBot="1" x14ac:dyDescent="0.3">
      <c r="A438" s="73" t="s">
        <v>1615</v>
      </c>
      <c r="B438" s="73" t="s">
        <v>1614</v>
      </c>
      <c r="C438" s="73" t="s">
        <v>1065</v>
      </c>
      <c r="D438" s="146" t="s">
        <v>1616</v>
      </c>
      <c r="E438" s="85" t="s">
        <v>73</v>
      </c>
      <c r="F438" s="85" t="s">
        <v>1303</v>
      </c>
      <c r="G438" s="85"/>
      <c r="H438" s="85" t="s">
        <v>1617</v>
      </c>
      <c r="I438" s="31">
        <f t="shared" si="20"/>
        <v>23</v>
      </c>
      <c r="J438" s="87"/>
      <c r="K438" s="31">
        <f t="shared" si="21"/>
        <v>5</v>
      </c>
      <c r="L438" s="32">
        <f t="shared" si="22"/>
        <v>0.8214285714285714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 t="s">
        <v>2124</v>
      </c>
      <c r="AI438" s="70" t="s">
        <v>2124</v>
      </c>
      <c r="AJ438" s="70" t="s">
        <v>2124</v>
      </c>
      <c r="AK438" s="70" t="s">
        <v>2124</v>
      </c>
      <c r="AL438" s="70" t="s">
        <v>2124</v>
      </c>
      <c r="AM438" s="70"/>
      <c r="AN438" s="70"/>
      <c r="AO438" s="70"/>
      <c r="AP438" s="89"/>
      <c r="AQ438" s="89"/>
    </row>
    <row r="439" spans="1:43" s="73" customFormat="1" ht="15.75" thickBot="1" x14ac:dyDescent="0.3">
      <c r="A439" s="73" t="s">
        <v>1609</v>
      </c>
      <c r="B439" s="73" t="s">
        <v>1666</v>
      </c>
      <c r="C439" s="73" t="s">
        <v>1065</v>
      </c>
      <c r="D439" s="146" t="s">
        <v>1664</v>
      </c>
      <c r="E439" s="85" t="s">
        <v>73</v>
      </c>
      <c r="F439" s="85" t="s">
        <v>1303</v>
      </c>
      <c r="G439" s="85"/>
      <c r="H439" s="85" t="s">
        <v>1668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1609</v>
      </c>
      <c r="B440" s="73" t="s">
        <v>1667</v>
      </c>
      <c r="C440" s="73" t="s">
        <v>1065</v>
      </c>
      <c r="D440" s="146" t="s">
        <v>1665</v>
      </c>
      <c r="E440" s="85" t="s">
        <v>73</v>
      </c>
      <c r="F440" s="85" t="s">
        <v>1303</v>
      </c>
      <c r="G440" s="85"/>
      <c r="H440" s="85" t="s">
        <v>1669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s="73" customFormat="1" ht="15.75" thickBot="1" x14ac:dyDescent="0.3">
      <c r="A441" s="73" t="s">
        <v>1609</v>
      </c>
      <c r="B441" s="73" t="s">
        <v>2179</v>
      </c>
      <c r="C441" s="73" t="s">
        <v>1065</v>
      </c>
      <c r="D441" s="146" t="s">
        <v>2180</v>
      </c>
      <c r="E441" s="85"/>
      <c r="F441" s="85" t="s">
        <v>1303</v>
      </c>
      <c r="G441" s="85"/>
      <c r="H441" s="85" t="s">
        <v>2181</v>
      </c>
      <c r="I441" s="31">
        <f t="shared" si="20"/>
        <v>27</v>
      </c>
      <c r="J441" s="153"/>
      <c r="K441" s="31">
        <f t="shared" si="21"/>
        <v>1</v>
      </c>
      <c r="L441" s="32">
        <f t="shared" si="22"/>
        <v>0.9642857142857143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 t="s">
        <v>2124</v>
      </c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359</v>
      </c>
      <c r="B442" s="73" t="s">
        <v>476</v>
      </c>
      <c r="C442" s="73" t="s">
        <v>1065</v>
      </c>
      <c r="D442" s="73" t="s">
        <v>477</v>
      </c>
      <c r="E442" s="85" t="s">
        <v>73</v>
      </c>
      <c r="F442" s="85" t="s">
        <v>1303</v>
      </c>
      <c r="G442" s="85"/>
      <c r="H442" s="85" t="s">
        <v>827</v>
      </c>
      <c r="I442" s="142">
        <f t="shared" si="20"/>
        <v>28</v>
      </c>
      <c r="J442" s="147" t="s">
        <v>2031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359</v>
      </c>
      <c r="B443" s="73" t="s">
        <v>478</v>
      </c>
      <c r="C443" s="73" t="s">
        <v>1065</v>
      </c>
      <c r="D443" s="73" t="s">
        <v>477</v>
      </c>
      <c r="E443" s="85" t="s">
        <v>73</v>
      </c>
      <c r="F443" s="85" t="s">
        <v>1303</v>
      </c>
      <c r="G443" s="85"/>
      <c r="H443" s="85" t="s">
        <v>828</v>
      </c>
      <c r="I443" s="142">
        <f t="shared" si="20"/>
        <v>28</v>
      </c>
      <c r="J443" s="147" t="s">
        <v>2032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359</v>
      </c>
      <c r="B444" s="85" t="s">
        <v>1107</v>
      </c>
      <c r="C444" s="85" t="s">
        <v>1065</v>
      </c>
      <c r="D444" s="73" t="s">
        <v>1106</v>
      </c>
      <c r="E444" s="85" t="s">
        <v>15</v>
      </c>
      <c r="F444" s="85" t="s">
        <v>1303</v>
      </c>
      <c r="G444" s="85"/>
      <c r="H444" s="85" t="s">
        <v>1108</v>
      </c>
      <c r="I444" s="142">
        <f t="shared" si="20"/>
        <v>12</v>
      </c>
      <c r="J444" s="87"/>
      <c r="K444" s="142">
        <f t="shared" si="21"/>
        <v>16</v>
      </c>
      <c r="L444" s="143">
        <f t="shared" si="22"/>
        <v>0.42857142857142855</v>
      </c>
      <c r="M444" s="70" t="s">
        <v>2124</v>
      </c>
      <c r="N444" s="70" t="s">
        <v>2124</v>
      </c>
      <c r="O444" s="70" t="s">
        <v>2124</v>
      </c>
      <c r="P444" s="70" t="s">
        <v>2124</v>
      </c>
      <c r="Q444" s="70" t="s">
        <v>2124</v>
      </c>
      <c r="R444" s="70"/>
      <c r="S444" s="70" t="s">
        <v>2124</v>
      </c>
      <c r="T444" s="70" t="s">
        <v>2124</v>
      </c>
      <c r="U444" s="70" t="s">
        <v>2124</v>
      </c>
      <c r="V444" s="70" t="s">
        <v>2124</v>
      </c>
      <c r="W444" s="70"/>
      <c r="X444" s="70" t="s">
        <v>2124</v>
      </c>
      <c r="Y444" s="70" t="s">
        <v>2124</v>
      </c>
      <c r="Z444" s="70" t="s">
        <v>2124</v>
      </c>
      <c r="AA444" s="70" t="s">
        <v>2124</v>
      </c>
      <c r="AB444" s="70" t="s">
        <v>2124</v>
      </c>
      <c r="AC444" s="70" t="s">
        <v>2124</v>
      </c>
      <c r="AD444" s="70"/>
      <c r="AE444" s="70"/>
      <c r="AF444" s="70"/>
      <c r="AG444" s="70"/>
      <c r="AH444" s="70"/>
      <c r="AI444" s="70" t="s">
        <v>2124</v>
      </c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433</v>
      </c>
      <c r="B445" s="85" t="s">
        <v>2148</v>
      </c>
      <c r="C445" t="s">
        <v>1064</v>
      </c>
      <c r="D445" s="73" t="s">
        <v>2149</v>
      </c>
      <c r="E445" s="85" t="s">
        <v>15</v>
      </c>
      <c r="F445" s="85" t="s">
        <v>1303</v>
      </c>
      <c r="G445" s="85"/>
      <c r="H445" s="85" t="s">
        <v>2150</v>
      </c>
      <c r="I445" s="142">
        <f t="shared" si="20"/>
        <v>28</v>
      </c>
      <c r="J445" s="153" t="s">
        <v>2151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264</v>
      </c>
      <c r="B446" t="s">
        <v>1034</v>
      </c>
      <c r="C446" t="s">
        <v>1064</v>
      </c>
      <c r="D446" t="s">
        <v>496</v>
      </c>
      <c r="E446" s="30" t="s">
        <v>19</v>
      </c>
      <c r="F446" s="30" t="s">
        <v>1058</v>
      </c>
      <c r="G446" s="30" t="s">
        <v>1259</v>
      </c>
      <c r="H446" s="30" t="s">
        <v>837</v>
      </c>
      <c r="I446" s="31">
        <f t="shared" si="20"/>
        <v>22</v>
      </c>
      <c r="J446" s="147" t="s">
        <v>2033</v>
      </c>
      <c r="K446" s="31">
        <f t="shared" si="21"/>
        <v>6</v>
      </c>
      <c r="L446" s="32">
        <f t="shared" si="22"/>
        <v>0.7857142857142857</v>
      </c>
      <c r="M446" s="70"/>
      <c r="N446" s="70"/>
      <c r="O446" s="70"/>
      <c r="P446" s="70"/>
      <c r="Q446" s="70" t="s">
        <v>2124</v>
      </c>
      <c r="R446" s="70" t="s">
        <v>2124</v>
      </c>
      <c r="S446" s="70" t="s">
        <v>2124</v>
      </c>
      <c r="T446" s="70" t="s">
        <v>2124</v>
      </c>
      <c r="U446" s="70" t="s">
        <v>2124</v>
      </c>
      <c r="V446" s="70"/>
      <c r="W446" s="70"/>
      <c r="X446" s="70"/>
      <c r="Y446" s="70"/>
      <c r="Z446" s="70"/>
      <c r="AA446" s="70" t="s">
        <v>2124</v>
      </c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479</v>
      </c>
      <c r="B447" t="s">
        <v>480</v>
      </c>
      <c r="C447" t="s">
        <v>1064</v>
      </c>
      <c r="D447" t="s">
        <v>1619</v>
      </c>
      <c r="E447" s="30" t="s">
        <v>19</v>
      </c>
      <c r="F447" s="30" t="s">
        <v>1058</v>
      </c>
      <c r="G447" s="30" t="s">
        <v>1259</v>
      </c>
      <c r="H447" s="30" t="s">
        <v>829</v>
      </c>
      <c r="I447" s="31">
        <f t="shared" si="20"/>
        <v>22</v>
      </c>
      <c r="J447" s="147" t="s">
        <v>2034</v>
      </c>
      <c r="K447" s="31">
        <f t="shared" si="21"/>
        <v>6</v>
      </c>
      <c r="L447" s="32">
        <f t="shared" si="22"/>
        <v>0.7857142857142857</v>
      </c>
      <c r="M447" s="70"/>
      <c r="N447" s="70"/>
      <c r="O447" s="70"/>
      <c r="P447" s="70"/>
      <c r="Q447" s="70" t="s">
        <v>2124</v>
      </c>
      <c r="R447" s="70" t="s">
        <v>2124</v>
      </c>
      <c r="S447" s="70" t="s">
        <v>2124</v>
      </c>
      <c r="T447" s="70" t="s">
        <v>2124</v>
      </c>
      <c r="U447" s="70" t="s">
        <v>2124</v>
      </c>
      <c r="V447" s="70"/>
      <c r="W447" s="70"/>
      <c r="X447" s="70"/>
      <c r="Y447" s="70"/>
      <c r="Z447" s="70"/>
      <c r="AA447" s="70" t="s">
        <v>2124</v>
      </c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479</v>
      </c>
      <c r="B448" t="s">
        <v>481</v>
      </c>
      <c r="C448" t="s">
        <v>1064</v>
      </c>
      <c r="D448" t="s">
        <v>482</v>
      </c>
      <c r="E448" s="30" t="s">
        <v>19</v>
      </c>
      <c r="F448" s="30" t="s">
        <v>28</v>
      </c>
      <c r="G448" s="30"/>
      <c r="H448" s="30" t="s">
        <v>830</v>
      </c>
      <c r="I448" s="31">
        <f t="shared" ref="I448:I518" si="23">COUNTIF(M448:AN448,"")</f>
        <v>27</v>
      </c>
      <c r="J448" s="147" t="s">
        <v>2035</v>
      </c>
      <c r="K448" s="31">
        <f t="shared" ref="K448:K518" si="24">COUNTIF(M448:AN448,"APAGADO")</f>
        <v>1</v>
      </c>
      <c r="L448" s="32">
        <f t="shared" ref="L448:L518" si="25">(I448)/(K448+I448)</f>
        <v>0.9642857142857143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 t="s">
        <v>2124</v>
      </c>
      <c r="AM448" s="70"/>
      <c r="AN448" s="70"/>
      <c r="AO448" s="70"/>
      <c r="AP448" s="70"/>
      <c r="AQ448" s="70"/>
    </row>
    <row r="449" spans="1:43" ht="15.75" thickBot="1" x14ac:dyDescent="0.3">
      <c r="A449" t="s">
        <v>483</v>
      </c>
      <c r="B449" t="s">
        <v>484</v>
      </c>
      <c r="C449" t="s">
        <v>1064</v>
      </c>
      <c r="D449" t="s">
        <v>485</v>
      </c>
      <c r="E449" s="30" t="s">
        <v>19</v>
      </c>
      <c r="F449" s="30" t="s">
        <v>28</v>
      </c>
      <c r="G449" s="30"/>
      <c r="H449" s="30" t="s">
        <v>831</v>
      </c>
      <c r="I449" s="31">
        <f t="shared" si="23"/>
        <v>27</v>
      </c>
      <c r="J449" s="147" t="s">
        <v>2036</v>
      </c>
      <c r="K449" s="31">
        <f t="shared" si="24"/>
        <v>1</v>
      </c>
      <c r="L449" s="32">
        <f t="shared" si="25"/>
        <v>0.9642857142857143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 t="s">
        <v>2124</v>
      </c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486</v>
      </c>
      <c r="C450" t="s">
        <v>1064</v>
      </c>
      <c r="D450" t="s">
        <v>487</v>
      </c>
      <c r="E450" s="30" t="s">
        <v>15</v>
      </c>
      <c r="F450" s="30" t="s">
        <v>28</v>
      </c>
      <c r="G450" s="30"/>
      <c r="H450" s="30" t="s">
        <v>832</v>
      </c>
      <c r="I450" s="31">
        <f t="shared" si="23"/>
        <v>27</v>
      </c>
      <c r="J450" s="147" t="s">
        <v>2037</v>
      </c>
      <c r="K450" s="31">
        <f t="shared" si="24"/>
        <v>1</v>
      </c>
      <c r="L450" s="32">
        <f t="shared" si="25"/>
        <v>0.9642857142857143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 t="s">
        <v>2124</v>
      </c>
      <c r="AM450" s="70"/>
      <c r="AN450" s="70"/>
      <c r="AO450" s="70"/>
      <c r="AP450" s="70"/>
      <c r="AQ450" s="70"/>
    </row>
    <row r="451" spans="1:43" ht="15.75" thickBot="1" x14ac:dyDescent="0.3">
      <c r="A451" t="s">
        <v>479</v>
      </c>
      <c r="B451" t="s">
        <v>488</v>
      </c>
      <c r="C451" t="s">
        <v>1064</v>
      </c>
      <c r="D451" t="s">
        <v>489</v>
      </c>
      <c r="E451" s="30" t="s">
        <v>19</v>
      </c>
      <c r="F451" s="30" t="s">
        <v>28</v>
      </c>
      <c r="G451" s="30"/>
      <c r="H451" s="30" t="s">
        <v>833</v>
      </c>
      <c r="I451" s="31">
        <f t="shared" si="23"/>
        <v>28</v>
      </c>
      <c r="J451" s="147" t="s">
        <v>2038</v>
      </c>
      <c r="K451" s="31">
        <f t="shared" si="24"/>
        <v>0</v>
      </c>
      <c r="L451" s="32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479</v>
      </c>
      <c r="B452" s="73" t="s">
        <v>490</v>
      </c>
      <c r="C452" s="73" t="s">
        <v>1064</v>
      </c>
      <c r="D452" s="73" t="s">
        <v>491</v>
      </c>
      <c r="E452" s="85" t="s">
        <v>15</v>
      </c>
      <c r="F452" s="85" t="s">
        <v>1303</v>
      </c>
      <c r="G452" s="85"/>
      <c r="H452" s="85" t="s">
        <v>834</v>
      </c>
      <c r="I452" s="142">
        <f t="shared" si="23"/>
        <v>28</v>
      </c>
      <c r="J452" s="147" t="s">
        <v>2039</v>
      </c>
      <c r="K452" s="142">
        <f t="shared" si="24"/>
        <v>0</v>
      </c>
      <c r="L452" s="143">
        <f t="shared" si="25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479</v>
      </c>
      <c r="B453" s="73" t="s">
        <v>492</v>
      </c>
      <c r="C453" s="73" t="s">
        <v>1064</v>
      </c>
      <c r="D453" s="73" t="s">
        <v>493</v>
      </c>
      <c r="E453" s="85" t="s">
        <v>19</v>
      </c>
      <c r="F453" s="85" t="s">
        <v>1303</v>
      </c>
      <c r="G453" s="85"/>
      <c r="H453" s="85" t="s">
        <v>835</v>
      </c>
      <c r="I453" s="31">
        <f t="shared" si="23"/>
        <v>27</v>
      </c>
      <c r="J453" s="147" t="s">
        <v>2040</v>
      </c>
      <c r="K453" s="31">
        <f t="shared" si="24"/>
        <v>1</v>
      </c>
      <c r="L453" s="32">
        <f t="shared" si="25"/>
        <v>0.9642857142857143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 t="s">
        <v>2124</v>
      </c>
      <c r="AM453" s="70"/>
      <c r="AN453" s="70"/>
      <c r="AO453" s="70"/>
      <c r="AP453" s="89"/>
      <c r="AQ453" s="89"/>
    </row>
    <row r="454" spans="1:43" ht="15.75" thickBot="1" x14ac:dyDescent="0.3">
      <c r="A454" t="s">
        <v>479</v>
      </c>
      <c r="B454" t="s">
        <v>494</v>
      </c>
      <c r="C454" t="s">
        <v>1064</v>
      </c>
      <c r="D454" t="s">
        <v>495</v>
      </c>
      <c r="E454" s="30" t="s">
        <v>19</v>
      </c>
      <c r="F454" s="30" t="s">
        <v>1058</v>
      </c>
      <c r="G454" s="30" t="s">
        <v>1260</v>
      </c>
      <c r="H454" s="30" t="s">
        <v>836</v>
      </c>
      <c r="I454" s="31">
        <f t="shared" si="23"/>
        <v>27</v>
      </c>
      <c r="J454" s="147" t="s">
        <v>2041</v>
      </c>
      <c r="K454" s="31">
        <f t="shared" si="24"/>
        <v>1</v>
      </c>
      <c r="L454" s="32">
        <f t="shared" si="25"/>
        <v>0.9642857142857143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 t="s">
        <v>2124</v>
      </c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479</v>
      </c>
      <c r="B455" s="73" t="s">
        <v>1190</v>
      </c>
      <c r="C455" s="73" t="s">
        <v>1064</v>
      </c>
      <c r="D455" s="73" t="s">
        <v>1191</v>
      </c>
      <c r="E455" s="85" t="s">
        <v>1116</v>
      </c>
      <c r="F455" s="85" t="s">
        <v>1303</v>
      </c>
      <c r="G455" s="85"/>
      <c r="H455" s="85" t="s">
        <v>1192</v>
      </c>
      <c r="I455" s="142">
        <f t="shared" si="23"/>
        <v>28</v>
      </c>
      <c r="J455" s="147" t="s">
        <v>2042</v>
      </c>
      <c r="K455" s="142">
        <f t="shared" si="24"/>
        <v>0</v>
      </c>
      <c r="L455" s="143">
        <f t="shared" si="25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479</v>
      </c>
      <c r="B456" s="73" t="s">
        <v>1193</v>
      </c>
      <c r="C456" s="73" t="s">
        <v>1064</v>
      </c>
      <c r="D456" s="73" t="s">
        <v>1191</v>
      </c>
      <c r="E456" s="85" t="s">
        <v>1116</v>
      </c>
      <c r="F456" s="85" t="s">
        <v>28</v>
      </c>
      <c r="G456" s="85"/>
      <c r="H456" s="85" t="s">
        <v>1194</v>
      </c>
      <c r="I456" s="87">
        <f t="shared" si="23"/>
        <v>28</v>
      </c>
      <c r="J456" s="147" t="s">
        <v>2043</v>
      </c>
      <c r="K456" s="87">
        <f t="shared" si="24"/>
        <v>0</v>
      </c>
      <c r="L456" s="88">
        <f t="shared" si="25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</row>
    <row r="457" spans="1:43" ht="15.75" thickBot="1" x14ac:dyDescent="0.3">
      <c r="A457" t="s">
        <v>479</v>
      </c>
      <c r="B457" t="s">
        <v>1223</v>
      </c>
      <c r="C457" t="s">
        <v>1064</v>
      </c>
      <c r="D457" t="s">
        <v>1239</v>
      </c>
      <c r="E457" t="s">
        <v>73</v>
      </c>
      <c r="F457" t="s">
        <v>28</v>
      </c>
      <c r="G457"/>
      <c r="H457" s="30" t="s">
        <v>1284</v>
      </c>
      <c r="I457" s="31">
        <f t="shared" si="23"/>
        <v>28</v>
      </c>
      <c r="J457" s="147" t="s">
        <v>2044</v>
      </c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479</v>
      </c>
      <c r="B458" t="s">
        <v>1224</v>
      </c>
      <c r="C458" t="s">
        <v>1064</v>
      </c>
      <c r="D458" t="s">
        <v>1239</v>
      </c>
      <c r="E458" t="s">
        <v>73</v>
      </c>
      <c r="F458" t="s">
        <v>28</v>
      </c>
      <c r="G458"/>
      <c r="H458" s="30" t="s">
        <v>1285</v>
      </c>
      <c r="I458" s="31">
        <f t="shared" si="23"/>
        <v>28</v>
      </c>
      <c r="J458" s="147" t="s">
        <v>2045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1342</v>
      </c>
      <c r="C459" t="s">
        <v>1064</v>
      </c>
      <c r="D459" s="68" t="s">
        <v>1343</v>
      </c>
      <c r="E459" t="s">
        <v>73</v>
      </c>
      <c r="F459"/>
      <c r="G459"/>
      <c r="H459" s="30" t="s">
        <v>1332</v>
      </c>
      <c r="I459" s="31">
        <f t="shared" si="23"/>
        <v>27</v>
      </c>
      <c r="J459" s="147" t="s">
        <v>2046</v>
      </c>
      <c r="K459" s="31">
        <f t="shared" si="24"/>
        <v>1</v>
      </c>
      <c r="L459" s="32">
        <f t="shared" si="25"/>
        <v>0.9642857142857143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 t="s">
        <v>2124</v>
      </c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479</v>
      </c>
      <c r="B460" s="73" t="s">
        <v>1354</v>
      </c>
      <c r="C460" s="73" t="s">
        <v>1064</v>
      </c>
      <c r="D460" s="146" t="s">
        <v>1361</v>
      </c>
      <c r="E460" s="73" t="s">
        <v>15</v>
      </c>
      <c r="F460" s="73" t="s">
        <v>1303</v>
      </c>
      <c r="H460" s="85" t="s">
        <v>1424</v>
      </c>
      <c r="I460" s="87">
        <f t="shared" si="23"/>
        <v>28</v>
      </c>
      <c r="J460" s="147" t="s">
        <v>2047</v>
      </c>
      <c r="K460" s="87">
        <f t="shared" si="24"/>
        <v>0</v>
      </c>
      <c r="L460" s="88">
        <f t="shared" si="25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</row>
    <row r="461" spans="1:43" s="73" customFormat="1" ht="15.75" thickBot="1" x14ac:dyDescent="0.3">
      <c r="A461" s="73" t="s">
        <v>479</v>
      </c>
      <c r="B461" s="73" t="s">
        <v>1613</v>
      </c>
      <c r="C461" s="73" t="s">
        <v>1064</v>
      </c>
      <c r="D461" s="146" t="s">
        <v>1618</v>
      </c>
      <c r="E461" s="73" t="s">
        <v>15</v>
      </c>
      <c r="F461" s="73" t="s">
        <v>1303</v>
      </c>
      <c r="H461" s="85" t="s">
        <v>1620</v>
      </c>
      <c r="I461" s="87">
        <f t="shared" si="23"/>
        <v>28</v>
      </c>
      <c r="J461" s="87" t="s">
        <v>2171</v>
      </c>
      <c r="K461" s="87">
        <f t="shared" si="24"/>
        <v>0</v>
      </c>
      <c r="L461" s="88">
        <f t="shared" si="25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</row>
    <row r="462" spans="1:43" s="73" customFormat="1" ht="15.75" thickBot="1" x14ac:dyDescent="0.3">
      <c r="A462" s="73" t="s">
        <v>479</v>
      </c>
      <c r="B462" s="73" t="s">
        <v>1631</v>
      </c>
      <c r="C462" s="73" t="s">
        <v>1064</v>
      </c>
      <c r="D462" s="146" t="s">
        <v>1624</v>
      </c>
      <c r="E462" s="73" t="s">
        <v>19</v>
      </c>
      <c r="F462" s="73" t="s">
        <v>1303</v>
      </c>
      <c r="H462" s="85" t="s">
        <v>1632</v>
      </c>
      <c r="I462" s="87">
        <f t="shared" si="23"/>
        <v>28</v>
      </c>
      <c r="J462" s="87" t="s">
        <v>2172</v>
      </c>
      <c r="K462" s="87">
        <f t="shared" si="24"/>
        <v>0</v>
      </c>
      <c r="L462" s="88">
        <f t="shared" si="25"/>
        <v>1</v>
      </c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</row>
    <row r="463" spans="1:43" s="73" customFormat="1" ht="15.75" thickBot="1" x14ac:dyDescent="0.3">
      <c r="A463" s="73" t="s">
        <v>479</v>
      </c>
      <c r="B463" s="73" t="s">
        <v>1626</v>
      </c>
      <c r="C463" s="73" t="s">
        <v>1064</v>
      </c>
      <c r="D463" s="146" t="s">
        <v>1625</v>
      </c>
      <c r="E463" s="73" t="s">
        <v>1116</v>
      </c>
      <c r="F463" s="73" t="s">
        <v>1303</v>
      </c>
      <c r="H463" s="85" t="s">
        <v>1630</v>
      </c>
      <c r="I463" s="87">
        <f t="shared" si="23"/>
        <v>28</v>
      </c>
      <c r="J463" s="87" t="s">
        <v>2173</v>
      </c>
      <c r="K463" s="87">
        <f t="shared" si="24"/>
        <v>0</v>
      </c>
      <c r="L463" s="88">
        <f t="shared" si="25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</row>
    <row r="464" spans="1:43" s="73" customFormat="1" ht="15.75" thickBot="1" x14ac:dyDescent="0.3">
      <c r="A464" s="73" t="s">
        <v>479</v>
      </c>
      <c r="B464" s="73" t="s">
        <v>1627</v>
      </c>
      <c r="C464" s="73" t="s">
        <v>1064</v>
      </c>
      <c r="D464" s="146" t="s">
        <v>1628</v>
      </c>
      <c r="E464" s="73" t="s">
        <v>1116</v>
      </c>
      <c r="F464" s="73" t="s">
        <v>1303</v>
      </c>
      <c r="H464" s="85" t="s">
        <v>1629</v>
      </c>
      <c r="I464" s="87">
        <f t="shared" si="23"/>
        <v>28</v>
      </c>
      <c r="J464" s="87" t="s">
        <v>2174</v>
      </c>
      <c r="K464" s="87">
        <f t="shared" si="24"/>
        <v>0</v>
      </c>
      <c r="L464" s="88">
        <f t="shared" si="25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</row>
    <row r="465" spans="1:43" s="73" customFormat="1" ht="15.75" thickBot="1" x14ac:dyDescent="0.3">
      <c r="A465" s="73" t="s">
        <v>229</v>
      </c>
      <c r="B465" s="73" t="s">
        <v>497</v>
      </c>
      <c r="C465" s="73" t="s">
        <v>1065</v>
      </c>
      <c r="D465" s="73" t="s">
        <v>498</v>
      </c>
      <c r="E465" s="85" t="s">
        <v>19</v>
      </c>
      <c r="F465" s="85" t="s">
        <v>1303</v>
      </c>
      <c r="G465" s="85"/>
      <c r="H465" s="85" t="s">
        <v>838</v>
      </c>
      <c r="I465" s="142">
        <f t="shared" si="23"/>
        <v>28</v>
      </c>
      <c r="J465" s="147" t="s">
        <v>2048</v>
      </c>
      <c r="K465" s="142">
        <f t="shared" si="24"/>
        <v>0</v>
      </c>
      <c r="L465" s="143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229</v>
      </c>
      <c r="B466" t="s">
        <v>499</v>
      </c>
      <c r="C466" t="s">
        <v>1065</v>
      </c>
      <c r="D466" t="s">
        <v>500</v>
      </c>
      <c r="E466" s="30" t="s">
        <v>15</v>
      </c>
      <c r="F466" s="30" t="s">
        <v>20</v>
      </c>
      <c r="G466" s="30"/>
      <c r="H466" s="30" t="s">
        <v>839</v>
      </c>
      <c r="I466" s="31">
        <f t="shared" si="23"/>
        <v>28</v>
      </c>
      <c r="J466" s="87"/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t="s">
        <v>501</v>
      </c>
      <c r="C467" t="s">
        <v>1065</v>
      </c>
      <c r="D467" t="s">
        <v>502</v>
      </c>
      <c r="E467" s="30" t="s">
        <v>73</v>
      </c>
      <c r="F467" s="30" t="s">
        <v>20</v>
      </c>
      <c r="G467" s="30"/>
      <c r="H467" s="30" t="s">
        <v>840</v>
      </c>
      <c r="I467" s="31">
        <f t="shared" si="23"/>
        <v>28</v>
      </c>
      <c r="J467" s="87"/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t="s">
        <v>503</v>
      </c>
      <c r="C468" t="s">
        <v>1065</v>
      </c>
      <c r="D468" t="s">
        <v>502</v>
      </c>
      <c r="E468" s="30" t="s">
        <v>73</v>
      </c>
      <c r="F468" s="30" t="s">
        <v>20</v>
      </c>
      <c r="G468" s="30"/>
      <c r="H468" s="30" t="s">
        <v>841</v>
      </c>
      <c r="I468" s="31">
        <f t="shared" si="23"/>
        <v>28</v>
      </c>
      <c r="J468" s="87"/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t="s">
        <v>504</v>
      </c>
      <c r="C469" t="s">
        <v>1065</v>
      </c>
      <c r="D469" t="s">
        <v>505</v>
      </c>
      <c r="E469" s="30" t="s">
        <v>73</v>
      </c>
      <c r="F469" s="30" t="s">
        <v>20</v>
      </c>
      <c r="G469" s="30"/>
      <c r="H469" s="30" t="s">
        <v>842</v>
      </c>
      <c r="I469" s="31">
        <f t="shared" si="23"/>
        <v>28</v>
      </c>
      <c r="J469" s="87"/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229</v>
      </c>
      <c r="B470" t="s">
        <v>506</v>
      </c>
      <c r="C470" t="s">
        <v>1065</v>
      </c>
      <c r="D470" t="s">
        <v>505</v>
      </c>
      <c r="E470" s="30" t="s">
        <v>73</v>
      </c>
      <c r="F470" s="30" t="s">
        <v>20</v>
      </c>
      <c r="G470" s="30"/>
      <c r="H470" s="30" t="s">
        <v>843</v>
      </c>
      <c r="I470" s="31">
        <f t="shared" si="23"/>
        <v>26</v>
      </c>
      <c r="J470" s="87"/>
      <c r="K470" s="31">
        <f t="shared" si="24"/>
        <v>2</v>
      </c>
      <c r="L470" s="32">
        <f t="shared" si="25"/>
        <v>0.9285714285714286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 t="s">
        <v>2124</v>
      </c>
      <c r="AD470" s="70"/>
      <c r="AE470" s="70"/>
      <c r="AF470" s="70" t="s">
        <v>2124</v>
      </c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229</v>
      </c>
      <c r="B471" t="s">
        <v>507</v>
      </c>
      <c r="C471" t="s">
        <v>1065</v>
      </c>
      <c r="D471" t="s">
        <v>508</v>
      </c>
      <c r="E471" s="30" t="s">
        <v>15</v>
      </c>
      <c r="F471" s="30" t="s">
        <v>28</v>
      </c>
      <c r="G471" s="30"/>
      <c r="H471" s="30" t="s">
        <v>844</v>
      </c>
      <c r="I471" s="31">
        <f t="shared" si="23"/>
        <v>27</v>
      </c>
      <c r="J471" s="147" t="s">
        <v>2049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 t="s">
        <v>2124</v>
      </c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229</v>
      </c>
      <c r="B472" t="s">
        <v>1035</v>
      </c>
      <c r="C472" t="s">
        <v>1065</v>
      </c>
      <c r="D472" t="s">
        <v>509</v>
      </c>
      <c r="E472" s="30" t="s">
        <v>73</v>
      </c>
      <c r="F472" s="30" t="s">
        <v>28</v>
      </c>
      <c r="G472" s="30"/>
      <c r="H472" s="30" t="s">
        <v>845</v>
      </c>
      <c r="I472" s="31">
        <f t="shared" si="23"/>
        <v>28</v>
      </c>
      <c r="J472" s="147" t="s">
        <v>2050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229</v>
      </c>
      <c r="B473" t="s">
        <v>1036</v>
      </c>
      <c r="C473" t="s">
        <v>1065</v>
      </c>
      <c r="D473" t="s">
        <v>509</v>
      </c>
      <c r="E473" s="30" t="s">
        <v>73</v>
      </c>
      <c r="F473" s="30" t="s">
        <v>28</v>
      </c>
      <c r="G473" s="30"/>
      <c r="H473" s="30" t="s">
        <v>846</v>
      </c>
      <c r="I473" s="31">
        <f t="shared" si="23"/>
        <v>28</v>
      </c>
      <c r="J473" s="147" t="s">
        <v>2051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229</v>
      </c>
      <c r="B474" t="s">
        <v>510</v>
      </c>
      <c r="C474" t="s">
        <v>1065</v>
      </c>
      <c r="D474" t="s">
        <v>511</v>
      </c>
      <c r="E474" s="30" t="s">
        <v>73</v>
      </c>
      <c r="F474" s="30" t="s">
        <v>28</v>
      </c>
      <c r="G474" s="30"/>
      <c r="H474" s="30" t="s">
        <v>847</v>
      </c>
      <c r="I474" s="31">
        <f t="shared" si="23"/>
        <v>28</v>
      </c>
      <c r="J474" s="147" t="s">
        <v>2052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229</v>
      </c>
      <c r="B475" t="s">
        <v>512</v>
      </c>
      <c r="C475" t="s">
        <v>1065</v>
      </c>
      <c r="D475" t="s">
        <v>511</v>
      </c>
      <c r="E475" s="30" t="s">
        <v>73</v>
      </c>
      <c r="F475" s="30" t="s">
        <v>28</v>
      </c>
      <c r="G475" s="30"/>
      <c r="H475" s="30" t="s">
        <v>848</v>
      </c>
      <c r="I475" s="31">
        <f t="shared" si="23"/>
        <v>28</v>
      </c>
      <c r="J475" s="147" t="s">
        <v>2053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s="30" t="s">
        <v>1097</v>
      </c>
      <c r="C476" s="30" t="s">
        <v>1065</v>
      </c>
      <c r="D476" t="s">
        <v>1098</v>
      </c>
      <c r="E476" s="30" t="s">
        <v>19</v>
      </c>
      <c r="F476" s="30" t="s">
        <v>28</v>
      </c>
      <c r="G476" s="30"/>
      <c r="H476" s="30" t="s">
        <v>1099</v>
      </c>
      <c r="I476" s="31">
        <f t="shared" si="23"/>
        <v>28</v>
      </c>
      <c r="J476" s="147" t="s">
        <v>2054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s="30" t="s">
        <v>1102</v>
      </c>
      <c r="C477" s="30" t="s">
        <v>1065</v>
      </c>
      <c r="D477" t="s">
        <v>1100</v>
      </c>
      <c r="E477" s="30" t="s">
        <v>19</v>
      </c>
      <c r="F477" s="30" t="s">
        <v>28</v>
      </c>
      <c r="G477" s="30"/>
      <c r="H477" s="30" t="s">
        <v>1101</v>
      </c>
      <c r="I477" s="31">
        <f t="shared" si="23"/>
        <v>28</v>
      </c>
      <c r="J477" s="147" t="s">
        <v>2055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s="30" t="s">
        <v>1103</v>
      </c>
      <c r="C478" s="30" t="s">
        <v>1065</v>
      </c>
      <c r="D478" t="s">
        <v>1104</v>
      </c>
      <c r="E478" s="30" t="s">
        <v>19</v>
      </c>
      <c r="F478" s="30" t="s">
        <v>28</v>
      </c>
      <c r="G478" s="30"/>
      <c r="H478" s="30" t="s">
        <v>1105</v>
      </c>
      <c r="I478" s="31">
        <f t="shared" si="23"/>
        <v>27</v>
      </c>
      <c r="J478" s="147" t="s">
        <v>2056</v>
      </c>
      <c r="K478" s="31">
        <f t="shared" si="24"/>
        <v>1</v>
      </c>
      <c r="L478" s="32">
        <f t="shared" si="25"/>
        <v>0.9642857142857143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 t="s">
        <v>2124</v>
      </c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518</v>
      </c>
      <c r="B479" t="s">
        <v>526</v>
      </c>
      <c r="C479" t="s">
        <v>1065</v>
      </c>
      <c r="D479" t="s">
        <v>1041</v>
      </c>
      <c r="E479" s="30" t="s">
        <v>19</v>
      </c>
      <c r="F479" s="30" t="s">
        <v>28</v>
      </c>
      <c r="G479" s="30"/>
      <c r="H479" s="30" t="s">
        <v>849</v>
      </c>
      <c r="I479" s="31">
        <f t="shared" si="23"/>
        <v>22</v>
      </c>
      <c r="J479" s="147" t="s">
        <v>2057</v>
      </c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 t="s">
        <v>2124</v>
      </c>
      <c r="W479" s="70" t="s">
        <v>2124</v>
      </c>
      <c r="X479" s="70" t="s">
        <v>2124</v>
      </c>
      <c r="Y479" s="70" t="s">
        <v>2124</v>
      </c>
      <c r="Z479" s="70" t="s">
        <v>2124</v>
      </c>
      <c r="AA479" s="70" t="s">
        <v>2124</v>
      </c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514</v>
      </c>
      <c r="B480" t="s">
        <v>527</v>
      </c>
      <c r="C480" t="s">
        <v>1065</v>
      </c>
      <c r="D480" t="s">
        <v>1093</v>
      </c>
      <c r="E480" s="30" t="s">
        <v>19</v>
      </c>
      <c r="F480" s="30" t="s">
        <v>28</v>
      </c>
      <c r="G480" s="30"/>
      <c r="H480" s="30" t="s">
        <v>850</v>
      </c>
      <c r="I480" s="31">
        <f t="shared" si="23"/>
        <v>28</v>
      </c>
      <c r="J480" s="147" t="s">
        <v>2058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514</v>
      </c>
      <c r="B481" t="s">
        <v>528</v>
      </c>
      <c r="C481" t="s">
        <v>1065</v>
      </c>
      <c r="D481" t="s">
        <v>529</v>
      </c>
      <c r="E481" s="30" t="s">
        <v>19</v>
      </c>
      <c r="F481" s="30" t="s">
        <v>28</v>
      </c>
      <c r="G481" s="30"/>
      <c r="H481" s="30" t="s">
        <v>851</v>
      </c>
      <c r="I481" s="31">
        <f t="shared" si="23"/>
        <v>28</v>
      </c>
      <c r="J481" s="147" t="s">
        <v>2059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s="73" t="s">
        <v>514</v>
      </c>
      <c r="B482" s="73" t="s">
        <v>530</v>
      </c>
      <c r="C482" s="73" t="s">
        <v>1065</v>
      </c>
      <c r="D482" s="73" t="s">
        <v>531</v>
      </c>
      <c r="E482" s="85" t="s">
        <v>19</v>
      </c>
      <c r="F482" s="85" t="s">
        <v>28</v>
      </c>
      <c r="G482" s="85"/>
      <c r="H482" s="85" t="s">
        <v>852</v>
      </c>
      <c r="I482" s="31">
        <f t="shared" si="23"/>
        <v>28</v>
      </c>
      <c r="J482" s="147" t="s">
        <v>2060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514</v>
      </c>
      <c r="B483" s="73" t="s">
        <v>532</v>
      </c>
      <c r="C483" s="73" t="s">
        <v>1065</v>
      </c>
      <c r="D483" s="73" t="s">
        <v>533</v>
      </c>
      <c r="E483" s="85" t="s">
        <v>19</v>
      </c>
      <c r="F483" s="85" t="s">
        <v>1303</v>
      </c>
      <c r="G483" s="85"/>
      <c r="H483" s="85" t="s">
        <v>1508</v>
      </c>
      <c r="I483" s="142">
        <f t="shared" si="23"/>
        <v>28</v>
      </c>
      <c r="J483" s="147" t="s">
        <v>2061</v>
      </c>
      <c r="K483" s="142">
        <f t="shared" si="24"/>
        <v>0</v>
      </c>
      <c r="L483" s="143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89"/>
      <c r="AQ483" s="89"/>
    </row>
    <row r="484" spans="1:43" ht="15.75" thickBot="1" x14ac:dyDescent="0.3">
      <c r="A484" t="s">
        <v>514</v>
      </c>
      <c r="B484" t="s">
        <v>534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853</v>
      </c>
      <c r="I484" s="31">
        <f t="shared" si="23"/>
        <v>28</v>
      </c>
      <c r="J484" s="147" t="s">
        <v>2062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514</v>
      </c>
      <c r="B485" t="s">
        <v>535</v>
      </c>
      <c r="C485" t="s">
        <v>1064</v>
      </c>
      <c r="D485" t="s">
        <v>1070</v>
      </c>
      <c r="E485" s="30" t="s">
        <v>19</v>
      </c>
      <c r="F485" s="30" t="s">
        <v>28</v>
      </c>
      <c r="G485" s="30"/>
      <c r="H485" s="30" t="s">
        <v>854</v>
      </c>
      <c r="I485" s="31">
        <f t="shared" si="23"/>
        <v>28</v>
      </c>
      <c r="J485" s="147" t="s">
        <v>2063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518</v>
      </c>
      <c r="B486" s="73" t="s">
        <v>536</v>
      </c>
      <c r="C486" s="73" t="s">
        <v>1065</v>
      </c>
      <c r="D486" s="73" t="s">
        <v>537</v>
      </c>
      <c r="E486" s="85" t="s">
        <v>19</v>
      </c>
      <c r="F486" s="85" t="s">
        <v>1303</v>
      </c>
      <c r="G486" s="85"/>
      <c r="H486" s="85" t="s">
        <v>855</v>
      </c>
      <c r="I486" s="142">
        <f t="shared" si="23"/>
        <v>28</v>
      </c>
      <c r="J486" s="147" t="s">
        <v>2064</v>
      </c>
      <c r="K486" s="142">
        <f t="shared" si="24"/>
        <v>0</v>
      </c>
      <c r="L486" s="143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  <c r="AQ486" s="89"/>
    </row>
    <row r="487" spans="1:43" ht="15.75" thickBot="1" x14ac:dyDescent="0.3">
      <c r="A487" t="s">
        <v>518</v>
      </c>
      <c r="B487" t="s">
        <v>538</v>
      </c>
      <c r="C487" t="s">
        <v>1065</v>
      </c>
      <c r="D487" t="s">
        <v>539</v>
      </c>
      <c r="E487" s="30" t="s">
        <v>19</v>
      </c>
      <c r="F487" s="30" t="s">
        <v>28</v>
      </c>
      <c r="G487" s="30"/>
      <c r="H487" s="30" t="s">
        <v>856</v>
      </c>
      <c r="I487" s="31">
        <f t="shared" si="23"/>
        <v>28</v>
      </c>
      <c r="J487" s="147" t="s">
        <v>2065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1037</v>
      </c>
      <c r="C488" t="s">
        <v>1065</v>
      </c>
      <c r="D488" t="s">
        <v>540</v>
      </c>
      <c r="E488" s="30" t="s">
        <v>19</v>
      </c>
      <c r="F488" s="30" t="s">
        <v>28</v>
      </c>
      <c r="G488" s="30"/>
      <c r="H488" s="30" t="s">
        <v>857</v>
      </c>
      <c r="I488" s="31">
        <f t="shared" si="23"/>
        <v>28</v>
      </c>
      <c r="J488" s="147" t="s">
        <v>2066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518</v>
      </c>
      <c r="B489" t="s">
        <v>541</v>
      </c>
      <c r="C489" t="s">
        <v>1065</v>
      </c>
      <c r="D489" t="s">
        <v>542</v>
      </c>
      <c r="E489" s="30" t="s">
        <v>19</v>
      </c>
      <c r="F489" s="85" t="s">
        <v>1303</v>
      </c>
      <c r="G489" s="30"/>
      <c r="H489" s="30" t="s">
        <v>858</v>
      </c>
      <c r="I489" s="31">
        <f t="shared" si="23"/>
        <v>22</v>
      </c>
      <c r="J489" s="147" t="s">
        <v>2067</v>
      </c>
      <c r="K489" s="31">
        <f t="shared" si="24"/>
        <v>6</v>
      </c>
      <c r="L489" s="32">
        <f t="shared" si="25"/>
        <v>0.7857142857142857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 t="s">
        <v>2124</v>
      </c>
      <c r="W489" s="70" t="s">
        <v>2124</v>
      </c>
      <c r="X489" s="70" t="s">
        <v>2124</v>
      </c>
      <c r="Y489" s="70" t="s">
        <v>2124</v>
      </c>
      <c r="Z489" s="70" t="s">
        <v>2124</v>
      </c>
      <c r="AA489" s="70" t="s">
        <v>2124</v>
      </c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518</v>
      </c>
      <c r="B490" t="s">
        <v>1042</v>
      </c>
      <c r="C490" t="s">
        <v>1065</v>
      </c>
      <c r="D490" t="s">
        <v>513</v>
      </c>
      <c r="E490" s="30" t="s">
        <v>15</v>
      </c>
      <c r="F490" s="30" t="s">
        <v>1058</v>
      </c>
      <c r="G490" s="30" t="s">
        <v>1261</v>
      </c>
      <c r="H490" s="30" t="s">
        <v>859</v>
      </c>
      <c r="I490" s="31">
        <f t="shared" si="23"/>
        <v>6</v>
      </c>
      <c r="J490" s="147" t="s">
        <v>2068</v>
      </c>
      <c r="K490" s="31">
        <f t="shared" si="24"/>
        <v>22</v>
      </c>
      <c r="L490" s="32">
        <f t="shared" si="25"/>
        <v>0.21428571428571427</v>
      </c>
      <c r="M490" s="70"/>
      <c r="N490" s="70"/>
      <c r="O490" s="70"/>
      <c r="P490" s="70"/>
      <c r="Q490" s="70" t="s">
        <v>2124</v>
      </c>
      <c r="R490" s="70" t="s">
        <v>2124</v>
      </c>
      <c r="S490" s="70" t="s">
        <v>2124</v>
      </c>
      <c r="T490" s="70" t="s">
        <v>2124</v>
      </c>
      <c r="U490" s="70" t="s">
        <v>2124</v>
      </c>
      <c r="V490" s="70" t="s">
        <v>2124</v>
      </c>
      <c r="W490" s="70" t="s">
        <v>2124</v>
      </c>
      <c r="X490" s="70" t="s">
        <v>2124</v>
      </c>
      <c r="Y490" s="70" t="s">
        <v>2124</v>
      </c>
      <c r="Z490" s="70" t="s">
        <v>2124</v>
      </c>
      <c r="AA490" s="70" t="s">
        <v>2124</v>
      </c>
      <c r="AB490" s="70" t="s">
        <v>2124</v>
      </c>
      <c r="AC490" s="70" t="s">
        <v>2124</v>
      </c>
      <c r="AD490" s="70" t="s">
        <v>2124</v>
      </c>
      <c r="AE490" s="70" t="s">
        <v>2124</v>
      </c>
      <c r="AF490" s="70" t="s">
        <v>2124</v>
      </c>
      <c r="AG490" s="70" t="s">
        <v>2124</v>
      </c>
      <c r="AH490" s="70" t="s">
        <v>2124</v>
      </c>
      <c r="AI490" s="70" t="s">
        <v>2124</v>
      </c>
      <c r="AJ490" s="70" t="s">
        <v>2124</v>
      </c>
      <c r="AK490" s="70" t="s">
        <v>2124</v>
      </c>
      <c r="AL490" s="70" t="s">
        <v>2124</v>
      </c>
      <c r="AM490" s="70"/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1043</v>
      </c>
      <c r="C491" t="s">
        <v>1065</v>
      </c>
      <c r="D491" t="s">
        <v>515</v>
      </c>
      <c r="E491" s="30" t="s">
        <v>19</v>
      </c>
      <c r="F491" s="30" t="s">
        <v>28</v>
      </c>
      <c r="G491" s="30"/>
      <c r="H491" s="30" t="s">
        <v>860</v>
      </c>
      <c r="I491" s="31">
        <f t="shared" si="23"/>
        <v>11</v>
      </c>
      <c r="J491" s="147" t="s">
        <v>2069</v>
      </c>
      <c r="K491" s="31">
        <f t="shared" si="24"/>
        <v>17</v>
      </c>
      <c r="L491" s="32">
        <f t="shared" si="25"/>
        <v>0.39285714285714285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 t="s">
        <v>2124</v>
      </c>
      <c r="W491" s="70" t="s">
        <v>2124</v>
      </c>
      <c r="X491" s="70" t="s">
        <v>2124</v>
      </c>
      <c r="Y491" s="70" t="s">
        <v>2124</v>
      </c>
      <c r="Z491" s="70" t="s">
        <v>2124</v>
      </c>
      <c r="AA491" s="70" t="s">
        <v>2124</v>
      </c>
      <c r="AB491" s="70" t="s">
        <v>2124</v>
      </c>
      <c r="AC491" s="70" t="s">
        <v>2124</v>
      </c>
      <c r="AD491" s="70" t="s">
        <v>2124</v>
      </c>
      <c r="AE491" s="70" t="s">
        <v>2124</v>
      </c>
      <c r="AF491" s="70" t="s">
        <v>2124</v>
      </c>
      <c r="AG491" s="70" t="s">
        <v>2124</v>
      </c>
      <c r="AH491" s="70" t="s">
        <v>2124</v>
      </c>
      <c r="AI491" s="70" t="s">
        <v>2124</v>
      </c>
      <c r="AJ491" s="70" t="s">
        <v>2124</v>
      </c>
      <c r="AK491" s="70" t="s">
        <v>2124</v>
      </c>
      <c r="AL491" s="70" t="s">
        <v>2124</v>
      </c>
      <c r="AM491" s="70"/>
      <c r="AN491" s="70"/>
      <c r="AO491" s="70"/>
      <c r="AP491" s="70"/>
      <c r="AQ491" s="70"/>
    </row>
    <row r="492" spans="1:43" ht="15.75" thickBot="1" x14ac:dyDescent="0.3">
      <c r="A492" t="s">
        <v>518</v>
      </c>
      <c r="B492" t="s">
        <v>1038</v>
      </c>
      <c r="C492" t="s">
        <v>1065</v>
      </c>
      <c r="D492" t="s">
        <v>543</v>
      </c>
      <c r="E492" s="30" t="s">
        <v>15</v>
      </c>
      <c r="F492" s="30" t="s">
        <v>28</v>
      </c>
      <c r="G492" s="30"/>
      <c r="H492" s="30" t="s">
        <v>861</v>
      </c>
      <c r="I492" s="31">
        <f t="shared" si="23"/>
        <v>22</v>
      </c>
      <c r="J492" s="147" t="s">
        <v>2070</v>
      </c>
      <c r="K492" s="31">
        <f t="shared" si="24"/>
        <v>6</v>
      </c>
      <c r="L492" s="32">
        <f t="shared" si="25"/>
        <v>0.7857142857142857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 t="s">
        <v>2124</v>
      </c>
      <c r="W492" s="70" t="s">
        <v>2124</v>
      </c>
      <c r="X492" s="70" t="s">
        <v>2124</v>
      </c>
      <c r="Y492" s="70" t="s">
        <v>2124</v>
      </c>
      <c r="Z492" s="70" t="s">
        <v>2124</v>
      </c>
      <c r="AA492" s="70" t="s">
        <v>2124</v>
      </c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516</v>
      </c>
      <c r="C493" t="s">
        <v>1065</v>
      </c>
      <c r="D493" t="s">
        <v>517</v>
      </c>
      <c r="E493" s="30" t="s">
        <v>15</v>
      </c>
      <c r="F493" s="30" t="s">
        <v>1058</v>
      </c>
      <c r="G493" s="30" t="s">
        <v>1262</v>
      </c>
      <c r="H493" s="30" t="s">
        <v>862</v>
      </c>
      <c r="I493" s="31">
        <f t="shared" si="23"/>
        <v>28</v>
      </c>
      <c r="J493" s="147" t="s">
        <v>2071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519</v>
      </c>
      <c r="C494" t="s">
        <v>1065</v>
      </c>
      <c r="D494" t="s">
        <v>520</v>
      </c>
      <c r="E494" s="30" t="s">
        <v>15</v>
      </c>
      <c r="F494" s="30" t="s">
        <v>1058</v>
      </c>
      <c r="G494" s="30" t="s">
        <v>1258</v>
      </c>
      <c r="H494" s="30" t="s">
        <v>863</v>
      </c>
      <c r="I494" s="31">
        <f t="shared" si="23"/>
        <v>28</v>
      </c>
      <c r="J494" s="147" t="s">
        <v>2072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518</v>
      </c>
      <c r="B495" t="s">
        <v>521</v>
      </c>
      <c r="C495" t="s">
        <v>1065</v>
      </c>
      <c r="D495" t="s">
        <v>1092</v>
      </c>
      <c r="E495" s="30" t="s">
        <v>15</v>
      </c>
      <c r="F495" s="30" t="s">
        <v>1058</v>
      </c>
      <c r="G495" s="30" t="s">
        <v>1263</v>
      </c>
      <c r="H495" s="30" t="s">
        <v>864</v>
      </c>
      <c r="I495" s="31">
        <f t="shared" si="23"/>
        <v>21</v>
      </c>
      <c r="J495" s="147" t="s">
        <v>2073</v>
      </c>
      <c r="K495" s="31">
        <f t="shared" si="24"/>
        <v>7</v>
      </c>
      <c r="L495" s="32">
        <f t="shared" si="25"/>
        <v>0.75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 t="s">
        <v>2124</v>
      </c>
      <c r="W495" s="70" t="s">
        <v>2124</v>
      </c>
      <c r="X495" s="70" t="s">
        <v>2124</v>
      </c>
      <c r="Y495" s="70" t="s">
        <v>2124</v>
      </c>
      <c r="Z495" s="70" t="s">
        <v>2124</v>
      </c>
      <c r="AA495" s="70" t="s">
        <v>2124</v>
      </c>
      <c r="AB495" s="70"/>
      <c r="AC495" s="70"/>
      <c r="AD495" s="70"/>
      <c r="AE495" s="70"/>
      <c r="AF495" s="70"/>
      <c r="AG495" s="70"/>
      <c r="AH495" s="70"/>
      <c r="AI495" s="70"/>
      <c r="AJ495" s="70" t="s">
        <v>2124</v>
      </c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1044</v>
      </c>
      <c r="C496" t="s">
        <v>1065</v>
      </c>
      <c r="D496" t="s">
        <v>522</v>
      </c>
      <c r="E496" s="30" t="s">
        <v>15</v>
      </c>
      <c r="F496" s="30" t="s">
        <v>1058</v>
      </c>
      <c r="G496" s="30" t="s">
        <v>1264</v>
      </c>
      <c r="H496" s="30" t="s">
        <v>865</v>
      </c>
      <c r="I496" s="31">
        <f t="shared" si="23"/>
        <v>28</v>
      </c>
      <c r="J496" s="147" t="s">
        <v>2074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1045</v>
      </c>
      <c r="C497" t="s">
        <v>1065</v>
      </c>
      <c r="D497" t="s">
        <v>523</v>
      </c>
      <c r="E497" s="30" t="s">
        <v>15</v>
      </c>
      <c r="F497" s="30" t="s">
        <v>20</v>
      </c>
      <c r="G497" s="30"/>
      <c r="H497" s="30" t="s">
        <v>866</v>
      </c>
      <c r="I497" s="31">
        <f t="shared" si="23"/>
        <v>27</v>
      </c>
      <c r="J497" s="73"/>
      <c r="K497" s="31">
        <f t="shared" si="24"/>
        <v>1</v>
      </c>
      <c r="L497" s="32">
        <f t="shared" si="25"/>
        <v>0.9642857142857143</v>
      </c>
      <c r="M497" s="70" t="s">
        <v>2124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524</v>
      </c>
      <c r="C498" s="73" t="s">
        <v>1065</v>
      </c>
      <c r="D498" s="73" t="s">
        <v>525</v>
      </c>
      <c r="E498" s="85" t="s">
        <v>46</v>
      </c>
      <c r="F498" s="85" t="s">
        <v>1303</v>
      </c>
      <c r="G498" s="85"/>
      <c r="H498" s="85" t="s">
        <v>1369</v>
      </c>
      <c r="I498" s="142">
        <f t="shared" si="23"/>
        <v>27</v>
      </c>
      <c r="J498" s="147" t="s">
        <v>2075</v>
      </c>
      <c r="K498" s="142">
        <f t="shared" si="24"/>
        <v>1</v>
      </c>
      <c r="L498" s="143">
        <f t="shared" si="25"/>
        <v>0.9642857142857143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 t="s">
        <v>2124</v>
      </c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1039</v>
      </c>
      <c r="C499" t="s">
        <v>1065</v>
      </c>
      <c r="D499" t="s">
        <v>544</v>
      </c>
      <c r="E499" s="30" t="s">
        <v>73</v>
      </c>
      <c r="F499" s="30" t="s">
        <v>28</v>
      </c>
      <c r="G499" s="30"/>
      <c r="H499" s="30" t="s">
        <v>867</v>
      </c>
      <c r="I499" s="31">
        <f t="shared" si="23"/>
        <v>28</v>
      </c>
      <c r="J499" s="147" t="s">
        <v>2076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1040</v>
      </c>
      <c r="C500" t="s">
        <v>1065</v>
      </c>
      <c r="D500" t="s">
        <v>544</v>
      </c>
      <c r="E500" s="30" t="s">
        <v>73</v>
      </c>
      <c r="F500" s="30" t="s">
        <v>28</v>
      </c>
      <c r="G500" s="30"/>
      <c r="H500" s="30" t="s">
        <v>868</v>
      </c>
      <c r="I500" s="31">
        <f t="shared" si="23"/>
        <v>28</v>
      </c>
      <c r="J500" s="147" t="s">
        <v>2077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514</v>
      </c>
      <c r="B501" t="s">
        <v>545</v>
      </c>
      <c r="C501" t="s">
        <v>1064</v>
      </c>
      <c r="D501" t="s">
        <v>546</v>
      </c>
      <c r="E501" s="30" t="s">
        <v>73</v>
      </c>
      <c r="F501" s="30" t="s">
        <v>28</v>
      </c>
      <c r="G501" s="30"/>
      <c r="H501" s="30" t="s">
        <v>671</v>
      </c>
      <c r="I501" s="31">
        <f t="shared" si="23"/>
        <v>28</v>
      </c>
      <c r="J501" s="147" t="s">
        <v>2078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547</v>
      </c>
      <c r="C502" t="s">
        <v>1064</v>
      </c>
      <c r="D502" t="s">
        <v>546</v>
      </c>
      <c r="E502" s="30" t="s">
        <v>73</v>
      </c>
      <c r="F502" s="30" t="s">
        <v>28</v>
      </c>
      <c r="G502" s="30"/>
      <c r="H502" s="30" t="s">
        <v>869</v>
      </c>
      <c r="I502" s="31">
        <f t="shared" si="23"/>
        <v>28</v>
      </c>
      <c r="J502" s="147" t="s">
        <v>2079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2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1147</v>
      </c>
      <c r="C503" t="s">
        <v>1065</v>
      </c>
      <c r="D503" t="s">
        <v>1149</v>
      </c>
      <c r="E503" s="30" t="s">
        <v>73</v>
      </c>
      <c r="F503" s="30" t="s">
        <v>28</v>
      </c>
      <c r="G503" s="30"/>
      <c r="H503" s="30" t="s">
        <v>1150</v>
      </c>
      <c r="I503" s="31">
        <f t="shared" si="23"/>
        <v>22</v>
      </c>
      <c r="J503" s="147" t="s">
        <v>2080</v>
      </c>
      <c r="K503" s="31">
        <f t="shared" si="24"/>
        <v>6</v>
      </c>
      <c r="L503" s="32">
        <f t="shared" si="25"/>
        <v>0.7857142857142857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 t="s">
        <v>2124</v>
      </c>
      <c r="W503" s="70" t="s">
        <v>2124</v>
      </c>
      <c r="X503" s="70" t="s">
        <v>2124</v>
      </c>
      <c r="Y503" s="70" t="s">
        <v>2124</v>
      </c>
      <c r="Z503" s="70" t="s">
        <v>2124</v>
      </c>
      <c r="AA503" s="70" t="s">
        <v>2124</v>
      </c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514</v>
      </c>
      <c r="B504" t="s">
        <v>1148</v>
      </c>
      <c r="C504" t="s">
        <v>1065</v>
      </c>
      <c r="D504" t="s">
        <v>1149</v>
      </c>
      <c r="E504" s="30" t="s">
        <v>1116</v>
      </c>
      <c r="F504" s="30" t="s">
        <v>28</v>
      </c>
      <c r="G504" s="30"/>
      <c r="H504" s="30" t="s">
        <v>1151</v>
      </c>
      <c r="I504" s="31">
        <f t="shared" si="23"/>
        <v>22</v>
      </c>
      <c r="J504" s="147" t="s">
        <v>2081</v>
      </c>
      <c r="K504" s="31">
        <f t="shared" si="24"/>
        <v>6</v>
      </c>
      <c r="L504" s="32">
        <f t="shared" si="25"/>
        <v>0.7857142857142857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 t="s">
        <v>2124</v>
      </c>
      <c r="W504" s="70" t="s">
        <v>2124</v>
      </c>
      <c r="X504" s="70" t="s">
        <v>2124</v>
      </c>
      <c r="Y504" s="70" t="s">
        <v>2124</v>
      </c>
      <c r="Z504" s="70" t="s">
        <v>2124</v>
      </c>
      <c r="AA504" s="70" t="s">
        <v>2124</v>
      </c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s="73" customFormat="1" ht="15.75" thickBot="1" x14ac:dyDescent="0.3">
      <c r="A505" s="73" t="s">
        <v>518</v>
      </c>
      <c r="B505" s="85" t="s">
        <v>1210</v>
      </c>
      <c r="C505" s="85" t="s">
        <v>1065</v>
      </c>
      <c r="D505" s="73" t="s">
        <v>1206</v>
      </c>
      <c r="E505" s="85" t="s">
        <v>15</v>
      </c>
      <c r="F505" s="85" t="s">
        <v>1303</v>
      </c>
      <c r="G505" s="85"/>
      <c r="H505" s="85" t="s">
        <v>1207</v>
      </c>
      <c r="I505" s="142">
        <f t="shared" si="23"/>
        <v>20</v>
      </c>
      <c r="J505" s="147" t="s">
        <v>2082</v>
      </c>
      <c r="K505" s="142">
        <f t="shared" si="24"/>
        <v>8</v>
      </c>
      <c r="L505" s="143">
        <f t="shared" si="25"/>
        <v>0.7142857142857143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 t="s">
        <v>2124</v>
      </c>
      <c r="AF505" s="70" t="s">
        <v>2124</v>
      </c>
      <c r="AG505" s="70" t="s">
        <v>2124</v>
      </c>
      <c r="AH505" s="70" t="s">
        <v>2124</v>
      </c>
      <c r="AI505" s="70" t="s">
        <v>2124</v>
      </c>
      <c r="AJ505" s="70" t="s">
        <v>2124</v>
      </c>
      <c r="AK505" s="70" t="s">
        <v>2124</v>
      </c>
      <c r="AL505" s="70" t="s">
        <v>2124</v>
      </c>
      <c r="AM505" s="70"/>
      <c r="AN505" s="70"/>
      <c r="AO505" s="70"/>
      <c r="AP505" s="89"/>
      <c r="AQ505" s="89"/>
    </row>
    <row r="506" spans="1:43" ht="15.75" thickBot="1" x14ac:dyDescent="0.3">
      <c r="A506" t="s">
        <v>518</v>
      </c>
      <c r="B506" s="30" t="s">
        <v>1536</v>
      </c>
      <c r="C506" s="30" t="s">
        <v>1065</v>
      </c>
      <c r="D506" t="s">
        <v>1537</v>
      </c>
      <c r="E506" s="30" t="s">
        <v>1116</v>
      </c>
      <c r="F506" s="30" t="s">
        <v>28</v>
      </c>
      <c r="G506" s="30"/>
      <c r="H506" s="30" t="s">
        <v>1538</v>
      </c>
      <c r="I506" s="142">
        <f t="shared" si="23"/>
        <v>23</v>
      </c>
      <c r="J506" s="147" t="s">
        <v>2083</v>
      </c>
      <c r="K506" s="142">
        <f t="shared" si="24"/>
        <v>5</v>
      </c>
      <c r="L506" s="143">
        <f t="shared" si="25"/>
        <v>0.8214285714285714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 t="s">
        <v>2124</v>
      </c>
      <c r="X506" s="70" t="s">
        <v>2124</v>
      </c>
      <c r="Y506" s="70" t="s">
        <v>2124</v>
      </c>
      <c r="Z506" s="70" t="s">
        <v>2124</v>
      </c>
      <c r="AA506" s="70" t="s">
        <v>2124</v>
      </c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85" t="s">
        <v>1588</v>
      </c>
      <c r="C507" s="85" t="s">
        <v>1065</v>
      </c>
      <c r="D507" s="73" t="s">
        <v>1589</v>
      </c>
      <c r="E507" s="85" t="s">
        <v>15</v>
      </c>
      <c r="F507" s="85" t="s">
        <v>1303</v>
      </c>
      <c r="G507" s="85"/>
      <c r="H507" s="85" t="s">
        <v>1590</v>
      </c>
      <c r="I507" s="142">
        <f t="shared" si="23"/>
        <v>28</v>
      </c>
      <c r="J507" s="147" t="s">
        <v>2084</v>
      </c>
      <c r="K507" s="142">
        <f t="shared" si="24"/>
        <v>0</v>
      </c>
      <c r="L507" s="143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s="73" customFormat="1" ht="15.75" thickBot="1" x14ac:dyDescent="0.3">
      <c r="A508" s="73" t="s">
        <v>518</v>
      </c>
      <c r="B508" s="85" t="s">
        <v>1591</v>
      </c>
      <c r="C508" s="85" t="s">
        <v>1065</v>
      </c>
      <c r="D508" s="73" t="s">
        <v>1592</v>
      </c>
      <c r="E508" s="85" t="s">
        <v>15</v>
      </c>
      <c r="F508" s="85" t="s">
        <v>1303</v>
      </c>
      <c r="G508" s="85"/>
      <c r="H508" s="85" t="s">
        <v>1593</v>
      </c>
      <c r="I508" s="142">
        <f t="shared" si="23"/>
        <v>28</v>
      </c>
      <c r="J508" s="147" t="s">
        <v>2085</v>
      </c>
      <c r="K508" s="142">
        <f t="shared" si="24"/>
        <v>0</v>
      </c>
      <c r="L508" s="143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409</v>
      </c>
      <c r="B509" t="s">
        <v>1046</v>
      </c>
      <c r="C509" t="s">
        <v>1064</v>
      </c>
      <c r="D509" t="s">
        <v>550</v>
      </c>
      <c r="E509" s="30" t="s">
        <v>19</v>
      </c>
      <c r="F509" s="30" t="s">
        <v>28</v>
      </c>
      <c r="G509" s="30"/>
      <c r="H509" s="30" t="s">
        <v>872</v>
      </c>
      <c r="I509" s="31">
        <f t="shared" si="23"/>
        <v>28</v>
      </c>
      <c r="J509" s="147" t="s">
        <v>2086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294</v>
      </c>
      <c r="B510" t="s">
        <v>1047</v>
      </c>
      <c r="C510" t="s">
        <v>1064</v>
      </c>
      <c r="D510" t="s">
        <v>551</v>
      </c>
      <c r="E510" s="30" t="s">
        <v>19</v>
      </c>
      <c r="F510" s="30" t="s">
        <v>28</v>
      </c>
      <c r="G510" s="30"/>
      <c r="H510" s="30" t="s">
        <v>873</v>
      </c>
      <c r="I510" s="31">
        <f t="shared" si="23"/>
        <v>28</v>
      </c>
      <c r="J510" s="147" t="s">
        <v>2087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409</v>
      </c>
      <c r="B511" t="s">
        <v>552</v>
      </c>
      <c r="C511" t="s">
        <v>1064</v>
      </c>
      <c r="D511" t="s">
        <v>553</v>
      </c>
      <c r="E511" s="30" t="s">
        <v>73</v>
      </c>
      <c r="F511" s="30" t="s">
        <v>28</v>
      </c>
      <c r="G511" s="30"/>
      <c r="H511" s="30" t="s">
        <v>870</v>
      </c>
      <c r="I511" s="31">
        <f t="shared" si="23"/>
        <v>28</v>
      </c>
      <c r="J511" s="147" t="s">
        <v>2088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409</v>
      </c>
      <c r="B512" t="s">
        <v>554</v>
      </c>
      <c r="C512" t="s">
        <v>1064</v>
      </c>
      <c r="D512" t="s">
        <v>553</v>
      </c>
      <c r="E512" s="30" t="s">
        <v>73</v>
      </c>
      <c r="F512" s="30" t="s">
        <v>28</v>
      </c>
      <c r="G512" s="30"/>
      <c r="H512" s="30" t="s">
        <v>871</v>
      </c>
      <c r="I512" s="31">
        <f t="shared" si="23"/>
        <v>28</v>
      </c>
      <c r="J512" s="147" t="s">
        <v>2089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409</v>
      </c>
      <c r="B513" t="s">
        <v>555</v>
      </c>
      <c r="C513" t="s">
        <v>1064</v>
      </c>
      <c r="D513" t="s">
        <v>556</v>
      </c>
      <c r="E513" s="30" t="s">
        <v>73</v>
      </c>
      <c r="F513" s="30" t="s">
        <v>28</v>
      </c>
      <c r="G513" s="30"/>
      <c r="H513" s="30" t="s">
        <v>874</v>
      </c>
      <c r="I513" s="31">
        <f t="shared" si="23"/>
        <v>28</v>
      </c>
      <c r="J513" s="147" t="s">
        <v>2090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409</v>
      </c>
      <c r="B514" t="s">
        <v>557</v>
      </c>
      <c r="C514" t="s">
        <v>1064</v>
      </c>
      <c r="D514" t="s">
        <v>556</v>
      </c>
      <c r="E514" s="30" t="s">
        <v>73</v>
      </c>
      <c r="F514" s="30" t="s">
        <v>28</v>
      </c>
      <c r="G514" s="30"/>
      <c r="H514" s="30" t="s">
        <v>875</v>
      </c>
      <c r="I514" s="31">
        <f t="shared" si="23"/>
        <v>28</v>
      </c>
      <c r="J514" s="147" t="s">
        <v>2091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91" customFormat="1" ht="15.75" thickBot="1" x14ac:dyDescent="0.3">
      <c r="A515" s="73" t="s">
        <v>409</v>
      </c>
      <c r="B515" s="73" t="s">
        <v>548</v>
      </c>
      <c r="C515" s="91" t="s">
        <v>1064</v>
      </c>
      <c r="D515" s="73" t="s">
        <v>549</v>
      </c>
      <c r="E515" s="92" t="s">
        <v>19</v>
      </c>
      <c r="F515" s="85" t="s">
        <v>28</v>
      </c>
      <c r="G515" s="85"/>
      <c r="H515" s="85" t="s">
        <v>876</v>
      </c>
      <c r="I515" s="31">
        <f t="shared" si="23"/>
        <v>25</v>
      </c>
      <c r="J515" s="73"/>
      <c r="K515" s="31">
        <f t="shared" si="24"/>
        <v>3</v>
      </c>
      <c r="L515" s="32">
        <f t="shared" si="25"/>
        <v>0.8928571428571429</v>
      </c>
      <c r="M515" s="70" t="s">
        <v>2124</v>
      </c>
      <c r="N515" s="70" t="s">
        <v>2124</v>
      </c>
      <c r="O515" s="70" t="s">
        <v>2124</v>
      </c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91" customFormat="1" ht="15.75" thickBot="1" x14ac:dyDescent="0.3">
      <c r="A516" s="73" t="s">
        <v>409</v>
      </c>
      <c r="B516" s="73" t="s">
        <v>558</v>
      </c>
      <c r="C516" s="91" t="s">
        <v>1064</v>
      </c>
      <c r="D516" s="73" t="s">
        <v>559</v>
      </c>
      <c r="E516" s="92" t="s">
        <v>15</v>
      </c>
      <c r="F516" s="85" t="s">
        <v>28</v>
      </c>
      <c r="G516" s="85"/>
      <c r="H516" s="85" t="s">
        <v>1510</v>
      </c>
      <c r="I516" s="31">
        <f t="shared" si="23"/>
        <v>28</v>
      </c>
      <c r="J516" s="147" t="s">
        <v>2092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483</v>
      </c>
      <c r="B517" s="73" t="s">
        <v>1346</v>
      </c>
      <c r="C517" s="85" t="s">
        <v>1064</v>
      </c>
      <c r="D517" s="73" t="s">
        <v>1347</v>
      </c>
      <c r="E517" s="92" t="s">
        <v>15</v>
      </c>
      <c r="F517" s="85" t="s">
        <v>1303</v>
      </c>
      <c r="G517" s="85"/>
      <c r="H517" s="85" t="s">
        <v>1353</v>
      </c>
      <c r="I517" s="142">
        <f t="shared" si="23"/>
        <v>28</v>
      </c>
      <c r="J517" s="147" t="s">
        <v>2093</v>
      </c>
      <c r="K517" s="142">
        <f t="shared" si="24"/>
        <v>0</v>
      </c>
      <c r="L517" s="143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483</v>
      </c>
      <c r="B518" t="s">
        <v>560</v>
      </c>
      <c r="C518" t="s">
        <v>1064</v>
      </c>
      <c r="D518" t="s">
        <v>561</v>
      </c>
      <c r="E518" s="30" t="s">
        <v>19</v>
      </c>
      <c r="F518" s="30" t="s">
        <v>28</v>
      </c>
      <c r="G518" s="30"/>
      <c r="H518" s="30" t="s">
        <v>877</v>
      </c>
      <c r="I518" s="31">
        <f t="shared" si="23"/>
        <v>27</v>
      </c>
      <c r="J518" s="147" t="s">
        <v>2094</v>
      </c>
      <c r="K518" s="31">
        <f t="shared" si="24"/>
        <v>1</v>
      </c>
      <c r="L518" s="32">
        <f t="shared" si="25"/>
        <v>0.9642857142857143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 t="s">
        <v>2124</v>
      </c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483</v>
      </c>
      <c r="B519" s="73" t="s">
        <v>562</v>
      </c>
      <c r="C519" s="73" t="s">
        <v>1064</v>
      </c>
      <c r="D519" s="73" t="s">
        <v>563</v>
      </c>
      <c r="E519" s="85" t="s">
        <v>19</v>
      </c>
      <c r="F519" s="85" t="s">
        <v>1303</v>
      </c>
      <c r="G519" s="85"/>
      <c r="H519" s="85" t="s">
        <v>1372</v>
      </c>
      <c r="I519" s="142">
        <f t="shared" ref="I519:I562" si="26">COUNTIF(M519:AN519,"")</f>
        <v>28</v>
      </c>
      <c r="J519" s="147" t="s">
        <v>2095</v>
      </c>
      <c r="K519" s="142">
        <f t="shared" ref="K519:K562" si="27">COUNTIF(M519:AN519,"APAGADO")</f>
        <v>0</v>
      </c>
      <c r="L519" s="143">
        <f t="shared" ref="L519:L562" si="28">(I519)/(K519+I519)</f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483</v>
      </c>
      <c r="B520" s="73" t="s">
        <v>564</v>
      </c>
      <c r="C520" s="73" t="s">
        <v>1064</v>
      </c>
      <c r="D520" s="73" t="s">
        <v>565</v>
      </c>
      <c r="E520" s="85" t="s">
        <v>19</v>
      </c>
      <c r="F520" s="85" t="s">
        <v>1303</v>
      </c>
      <c r="G520" s="85"/>
      <c r="H520" s="85" t="s">
        <v>1430</v>
      </c>
      <c r="I520" s="142">
        <f t="shared" si="26"/>
        <v>25</v>
      </c>
      <c r="J520" s="147" t="s">
        <v>2096</v>
      </c>
      <c r="K520" s="142">
        <f t="shared" si="27"/>
        <v>3</v>
      </c>
      <c r="L520" s="143">
        <f t="shared" si="28"/>
        <v>0.8928571428571429</v>
      </c>
      <c r="M520" s="70" t="s">
        <v>2124</v>
      </c>
      <c r="N520" s="70" t="s">
        <v>2124</v>
      </c>
      <c r="O520" s="70" t="s">
        <v>2124</v>
      </c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483</v>
      </c>
      <c r="B521" t="s">
        <v>566</v>
      </c>
      <c r="C521" t="s">
        <v>1064</v>
      </c>
      <c r="D521" t="s">
        <v>567</v>
      </c>
      <c r="E521" s="30" t="s">
        <v>19</v>
      </c>
      <c r="F521" s="30" t="s">
        <v>1058</v>
      </c>
      <c r="G521" s="30" t="s">
        <v>1265</v>
      </c>
      <c r="H521" s="30" t="s">
        <v>878</v>
      </c>
      <c r="I521" s="31">
        <f t="shared" si="26"/>
        <v>26</v>
      </c>
      <c r="J521" s="147" t="s">
        <v>2097</v>
      </c>
      <c r="K521" s="31">
        <f t="shared" si="27"/>
        <v>1</v>
      </c>
      <c r="L521" s="32">
        <f t="shared" si="28"/>
        <v>0.96296296296296291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 t="s">
        <v>1363</v>
      </c>
      <c r="AD521" s="70"/>
      <c r="AE521" s="70"/>
      <c r="AF521" s="70"/>
      <c r="AG521" s="70"/>
      <c r="AH521" s="70"/>
      <c r="AI521" s="70"/>
      <c r="AJ521" s="70"/>
      <c r="AK521" s="70"/>
      <c r="AL521" s="70" t="s">
        <v>2124</v>
      </c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479</v>
      </c>
      <c r="B522" s="73" t="s">
        <v>568</v>
      </c>
      <c r="C522" s="73" t="s">
        <v>1064</v>
      </c>
      <c r="D522" s="73" t="s">
        <v>569</v>
      </c>
      <c r="E522" s="85" t="s">
        <v>19</v>
      </c>
      <c r="F522" s="85" t="s">
        <v>1303</v>
      </c>
      <c r="G522" s="85"/>
      <c r="H522" s="85" t="s">
        <v>1509</v>
      </c>
      <c r="I522" s="142">
        <f t="shared" si="26"/>
        <v>28</v>
      </c>
      <c r="J522" s="147" t="s">
        <v>2098</v>
      </c>
      <c r="K522" s="142">
        <f t="shared" si="27"/>
        <v>0</v>
      </c>
      <c r="L522" s="143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479</v>
      </c>
      <c r="B523" t="s">
        <v>1314</v>
      </c>
      <c r="C523" t="s">
        <v>1064</v>
      </c>
      <c r="D523" t="s">
        <v>2203</v>
      </c>
      <c r="E523" s="85" t="s">
        <v>15</v>
      </c>
      <c r="F523" s="85" t="s">
        <v>1303</v>
      </c>
      <c r="G523" s="30"/>
      <c r="H523" s="30" t="s">
        <v>2204</v>
      </c>
      <c r="I523" s="31">
        <f t="shared" si="26"/>
        <v>27</v>
      </c>
      <c r="J523" s="147" t="s">
        <v>2205</v>
      </c>
      <c r="K523" s="31">
        <f t="shared" si="27"/>
        <v>1</v>
      </c>
      <c r="L523" s="32">
        <f t="shared" si="28"/>
        <v>0.9642857142857143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 t="s">
        <v>2124</v>
      </c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483</v>
      </c>
      <c r="B524" t="s">
        <v>2139</v>
      </c>
      <c r="C524" t="s">
        <v>1064</v>
      </c>
      <c r="D524" s="73" t="s">
        <v>2140</v>
      </c>
      <c r="E524" s="85" t="s">
        <v>15</v>
      </c>
      <c r="F524" s="85" t="s">
        <v>1303</v>
      </c>
      <c r="G524" s="30"/>
      <c r="H524" s="30" t="s">
        <v>2141</v>
      </c>
      <c r="I524" s="31">
        <f t="shared" si="26"/>
        <v>28</v>
      </c>
      <c r="J524" s="147" t="s">
        <v>2142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570</v>
      </c>
      <c r="B525" s="73" t="s">
        <v>571</v>
      </c>
      <c r="C525" s="73" t="s">
        <v>1065</v>
      </c>
      <c r="D525" s="73" t="s">
        <v>572</v>
      </c>
      <c r="E525" s="85" t="s">
        <v>15</v>
      </c>
      <c r="F525" s="85" t="s">
        <v>1303</v>
      </c>
      <c r="G525" s="85"/>
      <c r="H525" s="85" t="s">
        <v>879</v>
      </c>
      <c r="I525" s="142">
        <f t="shared" si="26"/>
        <v>28</v>
      </c>
      <c r="J525" s="147" t="s">
        <v>2099</v>
      </c>
      <c r="K525" s="142">
        <f t="shared" si="27"/>
        <v>0</v>
      </c>
      <c r="L525" s="143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s="73" customFormat="1" ht="15.75" thickBot="1" x14ac:dyDescent="0.3">
      <c r="A526" s="73" t="s">
        <v>570</v>
      </c>
      <c r="B526" s="73" t="s">
        <v>1465</v>
      </c>
      <c r="C526" s="73" t="s">
        <v>1065</v>
      </c>
      <c r="D526" s="73" t="s">
        <v>573</v>
      </c>
      <c r="E526" s="85" t="s">
        <v>15</v>
      </c>
      <c r="F526" s="85" t="s">
        <v>1303</v>
      </c>
      <c r="G526" s="85"/>
      <c r="H526" s="85" t="s">
        <v>880</v>
      </c>
      <c r="I526" s="142">
        <f t="shared" si="26"/>
        <v>24</v>
      </c>
      <c r="J526" s="147" t="s">
        <v>2100</v>
      </c>
      <c r="K526" s="142">
        <f t="shared" si="27"/>
        <v>4</v>
      </c>
      <c r="L526" s="143">
        <f t="shared" si="28"/>
        <v>0.8571428571428571</v>
      </c>
      <c r="M526" s="70"/>
      <c r="N526" s="70"/>
      <c r="O526" s="70"/>
      <c r="P526" s="70"/>
      <c r="Q526" s="70"/>
      <c r="R526" s="70" t="s">
        <v>2124</v>
      </c>
      <c r="S526" s="70" t="s">
        <v>2124</v>
      </c>
      <c r="T526" s="70" t="s">
        <v>2124</v>
      </c>
      <c r="U526" s="70"/>
      <c r="V526" s="70"/>
      <c r="W526" s="70"/>
      <c r="X526" s="70" t="s">
        <v>2124</v>
      </c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  <c r="AQ526" s="89"/>
    </row>
    <row r="527" spans="1:43" s="73" customFormat="1" ht="15.75" thickBot="1" x14ac:dyDescent="0.3">
      <c r="A527" s="73" t="s">
        <v>570</v>
      </c>
      <c r="B527" s="73" t="s">
        <v>1048</v>
      </c>
      <c r="C527" s="73" t="s">
        <v>1065</v>
      </c>
      <c r="D527" s="73" t="s">
        <v>574</v>
      </c>
      <c r="E527" s="85" t="s">
        <v>73</v>
      </c>
      <c r="F527" s="85" t="s">
        <v>1303</v>
      </c>
      <c r="G527" s="85"/>
      <c r="H527" s="85" t="s">
        <v>881</v>
      </c>
      <c r="I527" s="142">
        <f t="shared" si="26"/>
        <v>28</v>
      </c>
      <c r="J527" s="147" t="s">
        <v>2101</v>
      </c>
      <c r="K527" s="142">
        <f t="shared" si="27"/>
        <v>0</v>
      </c>
      <c r="L527" s="143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  <c r="AQ527" s="89"/>
    </row>
    <row r="528" spans="1:43" s="73" customFormat="1" ht="15.75" thickBot="1" x14ac:dyDescent="0.3">
      <c r="A528" s="73" t="s">
        <v>570</v>
      </c>
      <c r="B528" s="73" t="s">
        <v>1049</v>
      </c>
      <c r="C528" s="73" t="s">
        <v>1065</v>
      </c>
      <c r="D528" s="73" t="s">
        <v>574</v>
      </c>
      <c r="E528" s="85" t="s">
        <v>73</v>
      </c>
      <c r="F528" s="85" t="s">
        <v>1303</v>
      </c>
      <c r="G528" s="85"/>
      <c r="H528" s="85" t="s">
        <v>882</v>
      </c>
      <c r="I528" s="142">
        <f t="shared" si="26"/>
        <v>28</v>
      </c>
      <c r="J528" s="147" t="s">
        <v>2102</v>
      </c>
      <c r="K528" s="142">
        <f t="shared" si="27"/>
        <v>0</v>
      </c>
      <c r="L528" s="143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s="73" customFormat="1" ht="15.75" thickBot="1" x14ac:dyDescent="0.3">
      <c r="A529" s="73" t="s">
        <v>570</v>
      </c>
      <c r="B529" s="73" t="s">
        <v>1648</v>
      </c>
      <c r="C529" s="73" t="s">
        <v>1065</v>
      </c>
      <c r="D529" s="73" t="s">
        <v>1655</v>
      </c>
      <c r="E529" s="85" t="s">
        <v>1116</v>
      </c>
      <c r="F529" s="85" t="s">
        <v>28</v>
      </c>
      <c r="G529" s="85"/>
      <c r="H529" s="85" t="s">
        <v>1650</v>
      </c>
      <c r="I529" s="142">
        <f t="shared" si="26"/>
        <v>28</v>
      </c>
      <c r="J529" s="87" t="s">
        <v>2193</v>
      </c>
      <c r="K529" s="142">
        <f t="shared" si="27"/>
        <v>0</v>
      </c>
      <c r="L529" s="143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  <c r="AQ529" s="89"/>
    </row>
    <row r="530" spans="1:43" s="73" customFormat="1" ht="15.75" thickBot="1" x14ac:dyDescent="0.3">
      <c r="A530" s="73" t="s">
        <v>570</v>
      </c>
      <c r="B530" s="73" t="s">
        <v>2133</v>
      </c>
      <c r="C530" s="73" t="s">
        <v>1065</v>
      </c>
      <c r="D530" s="73" t="s">
        <v>2134</v>
      </c>
      <c r="E530" s="30" t="s">
        <v>15</v>
      </c>
      <c r="F530" s="85" t="s">
        <v>1303</v>
      </c>
      <c r="G530" s="85"/>
      <c r="H530" s="85" t="s">
        <v>2136</v>
      </c>
      <c r="I530" s="142">
        <f t="shared" si="26"/>
        <v>17</v>
      </c>
      <c r="J530" s="87"/>
      <c r="K530" s="142">
        <f t="shared" si="27"/>
        <v>11</v>
      </c>
      <c r="L530" s="143">
        <f t="shared" si="28"/>
        <v>0.6071428571428571</v>
      </c>
      <c r="M530" s="70"/>
      <c r="N530" s="70"/>
      <c r="O530" s="70"/>
      <c r="P530" s="70"/>
      <c r="Q530" s="70"/>
      <c r="R530" s="70"/>
      <c r="S530" s="70"/>
      <c r="T530" s="70"/>
      <c r="U530" s="70" t="s">
        <v>2124</v>
      </c>
      <c r="V530" s="70" t="s">
        <v>2124</v>
      </c>
      <c r="W530" s="70" t="s">
        <v>2124</v>
      </c>
      <c r="X530" s="70" t="s">
        <v>2124</v>
      </c>
      <c r="Y530" s="70" t="s">
        <v>2124</v>
      </c>
      <c r="Z530" s="70" t="s">
        <v>2124</v>
      </c>
      <c r="AA530" s="70"/>
      <c r="AB530" s="70"/>
      <c r="AC530" s="70"/>
      <c r="AD530" s="70"/>
      <c r="AE530" s="70"/>
      <c r="AF530" s="70"/>
      <c r="AG530" s="70"/>
      <c r="AH530" s="70" t="s">
        <v>2124</v>
      </c>
      <c r="AI530" s="70" t="s">
        <v>2124</v>
      </c>
      <c r="AJ530" s="70" t="s">
        <v>2124</v>
      </c>
      <c r="AK530" s="70" t="s">
        <v>2124</v>
      </c>
      <c r="AL530" s="70" t="s">
        <v>2124</v>
      </c>
      <c r="AM530" s="70"/>
      <c r="AN530" s="70"/>
      <c r="AO530" s="70"/>
      <c r="AP530" s="89"/>
      <c r="AQ530" s="89"/>
    </row>
    <row r="531" spans="1:43" s="73" customFormat="1" ht="15.75" thickBot="1" x14ac:dyDescent="0.3">
      <c r="A531" s="73" t="s">
        <v>570</v>
      </c>
      <c r="B531" s="73" t="s">
        <v>1661</v>
      </c>
      <c r="C531" s="73" t="s">
        <v>1065</v>
      </c>
      <c r="D531" s="73" t="s">
        <v>1662</v>
      </c>
      <c r="E531" s="85" t="s">
        <v>15</v>
      </c>
      <c r="F531" s="85" t="s">
        <v>1303</v>
      </c>
      <c r="G531" s="85"/>
      <c r="H531" s="85" t="s">
        <v>1663</v>
      </c>
      <c r="I531" s="142">
        <f t="shared" si="26"/>
        <v>28</v>
      </c>
      <c r="J531" s="87" t="s">
        <v>2194</v>
      </c>
      <c r="K531" s="142">
        <f t="shared" si="27"/>
        <v>0</v>
      </c>
      <c r="L531" s="143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575</v>
      </c>
      <c r="B532" t="s">
        <v>1050</v>
      </c>
      <c r="C532" t="s">
        <v>1065</v>
      </c>
      <c r="D532" t="s">
        <v>576</v>
      </c>
      <c r="E532" s="30" t="s">
        <v>73</v>
      </c>
      <c r="F532" s="85" t="s">
        <v>1303</v>
      </c>
      <c r="G532" s="30"/>
      <c r="H532" s="30" t="s">
        <v>883</v>
      </c>
      <c r="I532" s="31">
        <f t="shared" si="26"/>
        <v>18</v>
      </c>
      <c r="J532" s="87" t="s">
        <v>2190</v>
      </c>
      <c r="K532" s="31">
        <f t="shared" si="27"/>
        <v>10</v>
      </c>
      <c r="L532" s="32">
        <f t="shared" si="28"/>
        <v>0.6428571428571429</v>
      </c>
      <c r="M532" s="70" t="s">
        <v>2124</v>
      </c>
      <c r="N532" s="70" t="s">
        <v>2124</v>
      </c>
      <c r="O532" s="70" t="s">
        <v>2124</v>
      </c>
      <c r="P532" s="70" t="s">
        <v>2124</v>
      </c>
      <c r="Q532" s="70" t="s">
        <v>2124</v>
      </c>
      <c r="R532" s="70" t="s">
        <v>2124</v>
      </c>
      <c r="S532" s="70" t="s">
        <v>2124</v>
      </c>
      <c r="T532" s="70" t="s">
        <v>2124</v>
      </c>
      <c r="U532" s="70" t="s">
        <v>2124</v>
      </c>
      <c r="V532" s="70" t="s">
        <v>2124</v>
      </c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575</v>
      </c>
      <c r="B533" t="s">
        <v>1051</v>
      </c>
      <c r="C533" t="s">
        <v>1065</v>
      </c>
      <c r="D533" t="s">
        <v>577</v>
      </c>
      <c r="E533" s="30" t="s">
        <v>15</v>
      </c>
      <c r="F533" s="30" t="s">
        <v>28</v>
      </c>
      <c r="G533" s="30"/>
      <c r="H533" s="30" t="s">
        <v>884</v>
      </c>
      <c r="I533" s="31">
        <f t="shared" si="26"/>
        <v>28</v>
      </c>
      <c r="J533" s="147" t="s">
        <v>2103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575</v>
      </c>
      <c r="B534" t="s">
        <v>578</v>
      </c>
      <c r="C534" t="s">
        <v>1065</v>
      </c>
      <c r="D534" t="s">
        <v>579</v>
      </c>
      <c r="E534" s="30" t="s">
        <v>73</v>
      </c>
      <c r="F534" s="85" t="s">
        <v>1303</v>
      </c>
      <c r="G534" s="30"/>
      <c r="H534" s="30" t="s">
        <v>885</v>
      </c>
      <c r="I534" s="31">
        <f t="shared" si="26"/>
        <v>18</v>
      </c>
      <c r="J534" s="87" t="s">
        <v>2191</v>
      </c>
      <c r="K534" s="31">
        <f t="shared" si="27"/>
        <v>10</v>
      </c>
      <c r="L534" s="32">
        <f t="shared" si="28"/>
        <v>0.6428571428571429</v>
      </c>
      <c r="M534" s="70" t="s">
        <v>2124</v>
      </c>
      <c r="N534" s="70" t="s">
        <v>2124</v>
      </c>
      <c r="O534" s="70" t="s">
        <v>2124</v>
      </c>
      <c r="P534" s="70" t="s">
        <v>2124</v>
      </c>
      <c r="Q534" s="70" t="s">
        <v>2124</v>
      </c>
      <c r="R534" s="70" t="s">
        <v>2124</v>
      </c>
      <c r="S534" s="70" t="s">
        <v>2124</v>
      </c>
      <c r="T534" s="70" t="s">
        <v>2124</v>
      </c>
      <c r="U534" s="70" t="s">
        <v>2124</v>
      </c>
      <c r="V534" s="70" t="s">
        <v>2124</v>
      </c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575</v>
      </c>
      <c r="B535" t="s">
        <v>580</v>
      </c>
      <c r="C535" t="s">
        <v>1065</v>
      </c>
      <c r="D535" t="s">
        <v>581</v>
      </c>
      <c r="E535" s="30" t="s">
        <v>15</v>
      </c>
      <c r="F535" s="30" t="s">
        <v>28</v>
      </c>
      <c r="G535" s="30"/>
      <c r="H535" s="30" t="s">
        <v>886</v>
      </c>
      <c r="I535" s="31">
        <f t="shared" si="26"/>
        <v>28</v>
      </c>
      <c r="J535" s="147" t="s">
        <v>2104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575</v>
      </c>
      <c r="B536" s="73" t="s">
        <v>582</v>
      </c>
      <c r="C536" s="73" t="s">
        <v>1065</v>
      </c>
      <c r="D536" s="73" t="s">
        <v>583</v>
      </c>
      <c r="E536" s="85" t="s">
        <v>15</v>
      </c>
      <c r="F536" s="85" t="s">
        <v>1303</v>
      </c>
      <c r="G536" s="85"/>
      <c r="H536" s="85" t="s">
        <v>887</v>
      </c>
      <c r="I536" s="142">
        <f t="shared" si="26"/>
        <v>28</v>
      </c>
      <c r="J536" s="147" t="s">
        <v>2105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2145</v>
      </c>
      <c r="B537" s="73" t="s">
        <v>2143</v>
      </c>
      <c r="C537" t="s">
        <v>1064</v>
      </c>
      <c r="D537" s="73" t="s">
        <v>2144</v>
      </c>
      <c r="E537" s="85" t="s">
        <v>15</v>
      </c>
      <c r="F537" s="85" t="s">
        <v>1303</v>
      </c>
      <c r="G537" s="85"/>
      <c r="H537" s="85" t="s">
        <v>2146</v>
      </c>
      <c r="I537" s="142">
        <f t="shared" si="26"/>
        <v>28</v>
      </c>
      <c r="J537" s="151" t="s">
        <v>2147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175</v>
      </c>
      <c r="B538" t="s">
        <v>584</v>
      </c>
      <c r="C538" t="s">
        <v>1065</v>
      </c>
      <c r="D538" t="s">
        <v>1094</v>
      </c>
      <c r="E538" s="30" t="s">
        <v>19</v>
      </c>
      <c r="F538" s="30" t="s">
        <v>20</v>
      </c>
      <c r="G538" s="30"/>
      <c r="H538" s="30" t="s">
        <v>1400</v>
      </c>
      <c r="I538" s="31">
        <f t="shared" si="26"/>
        <v>28</v>
      </c>
      <c r="J538" s="87" t="s">
        <v>2192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175</v>
      </c>
      <c r="B539" t="s">
        <v>1052</v>
      </c>
      <c r="C539" t="s">
        <v>1065</v>
      </c>
      <c r="D539" t="s">
        <v>1095</v>
      </c>
      <c r="E539" s="30" t="s">
        <v>73</v>
      </c>
      <c r="F539" s="30" t="s">
        <v>28</v>
      </c>
      <c r="G539" s="30"/>
      <c r="H539" s="30" t="s">
        <v>888</v>
      </c>
      <c r="I539" s="31">
        <f t="shared" si="26"/>
        <v>28</v>
      </c>
      <c r="J539" s="147" t="s">
        <v>2106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175</v>
      </c>
      <c r="B540" t="s">
        <v>1053</v>
      </c>
      <c r="C540" t="s">
        <v>1065</v>
      </c>
      <c r="D540" t="s">
        <v>1095</v>
      </c>
      <c r="E540" s="30" t="s">
        <v>73</v>
      </c>
      <c r="F540" s="30" t="s">
        <v>28</v>
      </c>
      <c r="G540" s="30"/>
      <c r="H540" s="30" t="s">
        <v>889</v>
      </c>
      <c r="I540" s="31">
        <f t="shared" si="26"/>
        <v>27</v>
      </c>
      <c r="J540" s="147" t="s">
        <v>2107</v>
      </c>
      <c r="K540" s="31">
        <f t="shared" si="27"/>
        <v>1</v>
      </c>
      <c r="L540" s="32">
        <f t="shared" si="28"/>
        <v>0.9642857142857143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 t="s">
        <v>2124</v>
      </c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175</v>
      </c>
      <c r="B541" t="s">
        <v>1054</v>
      </c>
      <c r="C541" t="s">
        <v>1065</v>
      </c>
      <c r="D541" t="s">
        <v>1109</v>
      </c>
      <c r="E541" s="30" t="s">
        <v>15</v>
      </c>
      <c r="F541" s="30" t="s">
        <v>28</v>
      </c>
      <c r="G541" s="30"/>
      <c r="H541" s="30" t="s">
        <v>890</v>
      </c>
      <c r="I541" s="31">
        <f t="shared" si="26"/>
        <v>28</v>
      </c>
      <c r="J541" s="147" t="s">
        <v>2108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175</v>
      </c>
      <c r="B542" t="s">
        <v>585</v>
      </c>
      <c r="C542" t="s">
        <v>1065</v>
      </c>
      <c r="D542" t="s">
        <v>1096</v>
      </c>
      <c r="E542" s="30" t="s">
        <v>15</v>
      </c>
      <c r="F542" s="30" t="s">
        <v>28</v>
      </c>
      <c r="G542" s="30"/>
      <c r="H542" s="30" t="s">
        <v>1222</v>
      </c>
      <c r="I542" s="31">
        <f t="shared" si="26"/>
        <v>3</v>
      </c>
      <c r="J542" s="147" t="s">
        <v>2109</v>
      </c>
      <c r="K542" s="31">
        <f t="shared" si="27"/>
        <v>25</v>
      </c>
      <c r="L542" s="32">
        <f t="shared" si="28"/>
        <v>0.10714285714285714</v>
      </c>
      <c r="M542" s="70" t="s">
        <v>2124</v>
      </c>
      <c r="N542" s="70" t="s">
        <v>2124</v>
      </c>
      <c r="O542" s="70" t="s">
        <v>2124</v>
      </c>
      <c r="P542" s="70" t="s">
        <v>2124</v>
      </c>
      <c r="Q542" s="70" t="s">
        <v>2124</v>
      </c>
      <c r="R542" s="70" t="s">
        <v>2124</v>
      </c>
      <c r="S542" s="70"/>
      <c r="T542" s="70" t="s">
        <v>2124</v>
      </c>
      <c r="U542" s="70" t="s">
        <v>2124</v>
      </c>
      <c r="V542" s="70" t="s">
        <v>2124</v>
      </c>
      <c r="W542" s="70" t="s">
        <v>2124</v>
      </c>
      <c r="X542" s="70" t="s">
        <v>2124</v>
      </c>
      <c r="Y542" s="70" t="s">
        <v>2124</v>
      </c>
      <c r="Z542" s="70" t="s">
        <v>2124</v>
      </c>
      <c r="AA542" s="70" t="s">
        <v>2124</v>
      </c>
      <c r="AB542" s="70" t="s">
        <v>2124</v>
      </c>
      <c r="AC542" s="70" t="s">
        <v>2124</v>
      </c>
      <c r="AD542" s="70" t="s">
        <v>2124</v>
      </c>
      <c r="AE542" s="70" t="s">
        <v>2124</v>
      </c>
      <c r="AF542" s="70" t="s">
        <v>2124</v>
      </c>
      <c r="AG542" s="70" t="s">
        <v>2124</v>
      </c>
      <c r="AH542" s="70" t="s">
        <v>2124</v>
      </c>
      <c r="AI542" s="70" t="s">
        <v>2124</v>
      </c>
      <c r="AJ542" s="70" t="s">
        <v>2124</v>
      </c>
      <c r="AK542" s="70" t="s">
        <v>2124</v>
      </c>
      <c r="AL542" s="70" t="s">
        <v>2124</v>
      </c>
      <c r="AM542" s="70"/>
      <c r="AN542" s="70"/>
      <c r="AO542" s="70"/>
      <c r="AP542" s="70"/>
      <c r="AQ542" s="70"/>
    </row>
    <row r="543" spans="1:43" ht="15.75" thickBot="1" x14ac:dyDescent="0.3">
      <c r="A543" t="s">
        <v>586</v>
      </c>
      <c r="B543" t="s">
        <v>587</v>
      </c>
      <c r="C543" t="s">
        <v>1065</v>
      </c>
      <c r="D543" t="s">
        <v>588</v>
      </c>
      <c r="E543" s="30" t="s">
        <v>73</v>
      </c>
      <c r="F543" s="30" t="s">
        <v>28</v>
      </c>
      <c r="G543" s="30"/>
      <c r="H543" s="30" t="s">
        <v>891</v>
      </c>
      <c r="I543" s="31">
        <f t="shared" si="26"/>
        <v>28</v>
      </c>
      <c r="J543" s="147" t="s">
        <v>2110</v>
      </c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586</v>
      </c>
      <c r="B544" t="s">
        <v>1055</v>
      </c>
      <c r="C544" t="s">
        <v>1065</v>
      </c>
      <c r="D544" t="s">
        <v>588</v>
      </c>
      <c r="E544" s="30" t="s">
        <v>73</v>
      </c>
      <c r="F544" s="30" t="s">
        <v>28</v>
      </c>
      <c r="G544" s="30"/>
      <c r="H544" s="30" t="s">
        <v>892</v>
      </c>
      <c r="I544" s="31">
        <f t="shared" si="26"/>
        <v>28</v>
      </c>
      <c r="J544" s="147" t="s">
        <v>2111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586</v>
      </c>
      <c r="B545" t="s">
        <v>1056</v>
      </c>
      <c r="C545" t="s">
        <v>1065</v>
      </c>
      <c r="D545" t="s">
        <v>589</v>
      </c>
      <c r="E545" s="30" t="s">
        <v>73</v>
      </c>
      <c r="F545" s="30" t="s">
        <v>28</v>
      </c>
      <c r="G545" s="30"/>
      <c r="H545" s="30" t="s">
        <v>893</v>
      </c>
      <c r="I545" s="31">
        <f t="shared" si="26"/>
        <v>28</v>
      </c>
      <c r="J545" s="147" t="s">
        <v>2112</v>
      </c>
      <c r="K545" s="31">
        <f t="shared" si="27"/>
        <v>0</v>
      </c>
      <c r="L545" s="32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586</v>
      </c>
      <c r="B546" t="s">
        <v>590</v>
      </c>
      <c r="C546" t="s">
        <v>1065</v>
      </c>
      <c r="D546" t="s">
        <v>589</v>
      </c>
      <c r="E546" s="30" t="s">
        <v>73</v>
      </c>
      <c r="F546" s="30" t="s">
        <v>28</v>
      </c>
      <c r="G546" s="30"/>
      <c r="H546" s="30" t="s">
        <v>894</v>
      </c>
      <c r="I546" s="31">
        <f t="shared" si="26"/>
        <v>28</v>
      </c>
      <c r="J546" s="147" t="s">
        <v>2113</v>
      </c>
      <c r="K546" s="31">
        <f t="shared" si="27"/>
        <v>0</v>
      </c>
      <c r="L546" s="3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591</v>
      </c>
      <c r="B547" s="73" t="s">
        <v>592</v>
      </c>
      <c r="C547" s="73" t="s">
        <v>1065</v>
      </c>
      <c r="D547" s="73" t="s">
        <v>593</v>
      </c>
      <c r="E547" s="85" t="s">
        <v>15</v>
      </c>
      <c r="F547" s="85" t="s">
        <v>1303</v>
      </c>
      <c r="G547" s="85"/>
      <c r="H547" s="85" t="s">
        <v>895</v>
      </c>
      <c r="I547" s="142">
        <f t="shared" si="26"/>
        <v>23</v>
      </c>
      <c r="J547" s="87" t="s">
        <v>2208</v>
      </c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/>
      <c r="S547" s="70" t="s">
        <v>2124</v>
      </c>
      <c r="T547" s="70" t="s">
        <v>2124</v>
      </c>
      <c r="U547" s="70" t="s">
        <v>2124</v>
      </c>
      <c r="V547" s="70" t="s">
        <v>2124</v>
      </c>
      <c r="W547" s="70"/>
      <c r="X547" s="70" t="s">
        <v>2124</v>
      </c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594</v>
      </c>
      <c r="B548" t="s">
        <v>1057</v>
      </c>
      <c r="C548" t="s">
        <v>1065</v>
      </c>
      <c r="D548" t="s">
        <v>595</v>
      </c>
      <c r="E548" s="30" t="s">
        <v>15</v>
      </c>
      <c r="F548" s="30" t="s">
        <v>20</v>
      </c>
      <c r="G548" s="30"/>
      <c r="H548" s="30" t="s">
        <v>896</v>
      </c>
      <c r="I548" s="31">
        <f t="shared" si="26"/>
        <v>28</v>
      </c>
      <c r="J548" s="87" t="s">
        <v>2209</v>
      </c>
      <c r="K548" s="31">
        <f t="shared" si="27"/>
        <v>0</v>
      </c>
      <c r="L548" s="32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594</v>
      </c>
      <c r="B549" t="s">
        <v>596</v>
      </c>
      <c r="C549" t="s">
        <v>1065</v>
      </c>
      <c r="D549" t="s">
        <v>597</v>
      </c>
      <c r="E549" s="30" t="s">
        <v>15</v>
      </c>
      <c r="F549" s="30" t="s">
        <v>20</v>
      </c>
      <c r="G549" s="30"/>
      <c r="H549" s="30" t="s">
        <v>897</v>
      </c>
      <c r="I549" s="31">
        <f t="shared" si="26"/>
        <v>28</v>
      </c>
      <c r="J549" s="87" t="s">
        <v>2210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594</v>
      </c>
      <c r="B550" t="s">
        <v>598</v>
      </c>
      <c r="C550" t="s">
        <v>1065</v>
      </c>
      <c r="D550" t="s">
        <v>599</v>
      </c>
      <c r="E550" s="30" t="s">
        <v>15</v>
      </c>
      <c r="F550" s="30" t="s">
        <v>20</v>
      </c>
      <c r="G550" s="30"/>
      <c r="H550" s="30" t="s">
        <v>898</v>
      </c>
      <c r="I550" s="31">
        <f t="shared" si="26"/>
        <v>28</v>
      </c>
      <c r="J550" s="87" t="s">
        <v>2211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594</v>
      </c>
      <c r="B551" s="30" t="s">
        <v>1117</v>
      </c>
      <c r="C551" s="30" t="s">
        <v>1065</v>
      </c>
      <c r="D551" t="s">
        <v>1119</v>
      </c>
      <c r="E551" s="30" t="s">
        <v>1116</v>
      </c>
      <c r="F551" s="30" t="s">
        <v>28</v>
      </c>
      <c r="G551" s="30"/>
      <c r="H551" s="30" t="s">
        <v>1124</v>
      </c>
      <c r="I551" s="31">
        <f t="shared" si="26"/>
        <v>21</v>
      </c>
      <c r="J551" s="147" t="s">
        <v>2115</v>
      </c>
      <c r="K551" s="31">
        <f t="shared" si="27"/>
        <v>7</v>
      </c>
      <c r="L551" s="32">
        <f t="shared" si="28"/>
        <v>0.75</v>
      </c>
      <c r="M551" s="70" t="s">
        <v>2124</v>
      </c>
      <c r="N551" s="70" t="s">
        <v>2124</v>
      </c>
      <c r="O551" s="70" t="s">
        <v>2124</v>
      </c>
      <c r="P551" s="70" t="s">
        <v>2124</v>
      </c>
      <c r="Q551" s="70" t="s">
        <v>2124</v>
      </c>
      <c r="R551" s="70" t="s">
        <v>2124</v>
      </c>
      <c r="S551" s="70" t="s">
        <v>2124</v>
      </c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594</v>
      </c>
      <c r="B552" s="30" t="s">
        <v>1118</v>
      </c>
      <c r="C552" s="30" t="s">
        <v>1065</v>
      </c>
      <c r="D552" t="s">
        <v>1119</v>
      </c>
      <c r="E552" s="30" t="s">
        <v>1116</v>
      </c>
      <c r="F552" s="30" t="s">
        <v>28</v>
      </c>
      <c r="G552" s="30"/>
      <c r="H552" s="30" t="s">
        <v>1125</v>
      </c>
      <c r="I552" s="31">
        <f t="shared" si="26"/>
        <v>21</v>
      </c>
      <c r="J552" s="147" t="s">
        <v>2114</v>
      </c>
      <c r="K552" s="31">
        <f t="shared" si="27"/>
        <v>7</v>
      </c>
      <c r="L552" s="32">
        <f t="shared" si="28"/>
        <v>0.75</v>
      </c>
      <c r="M552" s="70" t="s">
        <v>2124</v>
      </c>
      <c r="N552" s="70" t="s">
        <v>2124</v>
      </c>
      <c r="O552" s="70" t="s">
        <v>2124</v>
      </c>
      <c r="P552" s="70" t="s">
        <v>2124</v>
      </c>
      <c r="Q552" s="70" t="s">
        <v>2124</v>
      </c>
      <c r="R552" s="70" t="s">
        <v>2124</v>
      </c>
      <c r="S552" s="70" t="s">
        <v>2124</v>
      </c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594</v>
      </c>
      <c r="B553" s="30" t="s">
        <v>1203</v>
      </c>
      <c r="C553" s="30" t="s">
        <v>1065</v>
      </c>
      <c r="D553" t="s">
        <v>1204</v>
      </c>
      <c r="E553" s="30" t="s">
        <v>15</v>
      </c>
      <c r="F553" s="30" t="s">
        <v>28</v>
      </c>
      <c r="G553" s="30"/>
      <c r="H553" s="30" t="s">
        <v>1205</v>
      </c>
      <c r="I553" s="31">
        <f t="shared" si="26"/>
        <v>21</v>
      </c>
      <c r="J553" s="147" t="s">
        <v>2116</v>
      </c>
      <c r="K553" s="31">
        <f t="shared" si="27"/>
        <v>7</v>
      </c>
      <c r="L553" s="32">
        <f t="shared" si="28"/>
        <v>0.75</v>
      </c>
      <c r="M553" s="70" t="s">
        <v>2124</v>
      </c>
      <c r="N553" s="70" t="s">
        <v>2124</v>
      </c>
      <c r="O553" s="70" t="s">
        <v>2124</v>
      </c>
      <c r="P553" s="70" t="s">
        <v>2124</v>
      </c>
      <c r="Q553" s="70" t="s">
        <v>2124</v>
      </c>
      <c r="R553" s="70" t="s">
        <v>2124</v>
      </c>
      <c r="S553" s="70" t="s">
        <v>2124</v>
      </c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389</v>
      </c>
      <c r="B554" s="30" t="s">
        <v>2186</v>
      </c>
      <c r="C554" s="73" t="s">
        <v>1064</v>
      </c>
      <c r="D554" t="s">
        <v>2187</v>
      </c>
      <c r="E554" s="85" t="s">
        <v>46</v>
      </c>
      <c r="F554" s="30" t="s">
        <v>28</v>
      </c>
      <c r="G554" s="30"/>
      <c r="H554" s="30" t="s">
        <v>2188</v>
      </c>
      <c r="I554" s="31">
        <f t="shared" si="26"/>
        <v>28</v>
      </c>
      <c r="J554" s="147" t="s">
        <v>2189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602</v>
      </c>
      <c r="B555" s="73" t="s">
        <v>603</v>
      </c>
      <c r="C555" s="73" t="s">
        <v>1065</v>
      </c>
      <c r="D555" s="73" t="s">
        <v>604</v>
      </c>
      <c r="E555" s="85" t="s">
        <v>19</v>
      </c>
      <c r="F555" s="85" t="s">
        <v>1303</v>
      </c>
      <c r="G555" s="85"/>
      <c r="H555" s="85" t="s">
        <v>1373</v>
      </c>
      <c r="I555" s="142">
        <f t="shared" si="26"/>
        <v>27</v>
      </c>
      <c r="J555" s="147" t="s">
        <v>2117</v>
      </c>
      <c r="K555" s="142">
        <f t="shared" si="27"/>
        <v>1</v>
      </c>
      <c r="L555" s="143">
        <f t="shared" si="28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 t="s">
        <v>2124</v>
      </c>
      <c r="AM555" s="70"/>
      <c r="AN555" s="70"/>
      <c r="AO555" s="70"/>
      <c r="AP555" s="89"/>
      <c r="AQ555" s="89"/>
    </row>
    <row r="556" spans="1:43" s="73" customFormat="1" ht="15.75" thickBot="1" x14ac:dyDescent="0.3">
      <c r="A556" s="73" t="s">
        <v>310</v>
      </c>
      <c r="B556" s="73" t="s">
        <v>605</v>
      </c>
      <c r="C556" s="73" t="s">
        <v>1065</v>
      </c>
      <c r="D556" s="73" t="s">
        <v>606</v>
      </c>
      <c r="E556" s="85" t="s">
        <v>19</v>
      </c>
      <c r="F556" s="85" t="s">
        <v>1303</v>
      </c>
      <c r="G556" s="85"/>
      <c r="H556" s="85" t="s">
        <v>1370</v>
      </c>
      <c r="I556" s="142">
        <f t="shared" si="26"/>
        <v>28</v>
      </c>
      <c r="J556" s="147" t="s">
        <v>2118</v>
      </c>
      <c r="K556" s="142">
        <f t="shared" si="27"/>
        <v>0</v>
      </c>
      <c r="L556" s="143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  <c r="AQ556" s="89"/>
    </row>
    <row r="557" spans="1:43" s="73" customFormat="1" ht="15.75" thickBot="1" x14ac:dyDescent="0.3">
      <c r="A557" s="73" t="s">
        <v>602</v>
      </c>
      <c r="B557" s="73" t="s">
        <v>607</v>
      </c>
      <c r="C557" s="73" t="s">
        <v>1064</v>
      </c>
      <c r="D557" s="73" t="s">
        <v>608</v>
      </c>
      <c r="E557" s="85" t="s">
        <v>15</v>
      </c>
      <c r="F557" s="85" t="s">
        <v>1303</v>
      </c>
      <c r="G557" s="85"/>
      <c r="H557" s="85" t="s">
        <v>1511</v>
      </c>
      <c r="I557" s="142">
        <f t="shared" si="26"/>
        <v>28</v>
      </c>
      <c r="J557" s="147" t="s">
        <v>2119</v>
      </c>
      <c r="K557" s="142">
        <f t="shared" si="27"/>
        <v>0</v>
      </c>
      <c r="L557" s="143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  <c r="AQ557" s="89"/>
    </row>
    <row r="558" spans="1:43" s="73" customFormat="1" ht="15.75" thickBot="1" x14ac:dyDescent="0.3">
      <c r="A558" s="73" t="s">
        <v>602</v>
      </c>
      <c r="B558" s="73" t="s">
        <v>600</v>
      </c>
      <c r="C558" s="73" t="s">
        <v>1064</v>
      </c>
      <c r="D558" s="73" t="s">
        <v>601</v>
      </c>
      <c r="E558" s="85" t="s">
        <v>19</v>
      </c>
      <c r="F558" s="85" t="s">
        <v>1303</v>
      </c>
      <c r="G558" s="85"/>
      <c r="H558" s="85" t="s">
        <v>1431</v>
      </c>
      <c r="I558" s="142">
        <f t="shared" si="26"/>
        <v>11</v>
      </c>
      <c r="J558" s="147" t="s">
        <v>2120</v>
      </c>
      <c r="K558" s="142">
        <f t="shared" si="27"/>
        <v>17</v>
      </c>
      <c r="L558" s="143">
        <f t="shared" si="28"/>
        <v>0.39285714285714285</v>
      </c>
      <c r="M558" s="70"/>
      <c r="N558" s="70"/>
      <c r="O558" s="70"/>
      <c r="P558" s="70"/>
      <c r="Q558" s="70"/>
      <c r="R558" s="70" t="s">
        <v>2124</v>
      </c>
      <c r="S558" s="70" t="s">
        <v>2124</v>
      </c>
      <c r="T558" s="70" t="s">
        <v>2124</v>
      </c>
      <c r="U558" s="70" t="s">
        <v>2124</v>
      </c>
      <c r="V558" s="70" t="s">
        <v>2124</v>
      </c>
      <c r="W558" s="70" t="s">
        <v>2124</v>
      </c>
      <c r="X558" s="70" t="s">
        <v>2124</v>
      </c>
      <c r="Y558" s="70" t="s">
        <v>2124</v>
      </c>
      <c r="Z558" s="70" t="s">
        <v>2124</v>
      </c>
      <c r="AA558" s="70" t="s">
        <v>2124</v>
      </c>
      <c r="AB558" s="70" t="s">
        <v>2124</v>
      </c>
      <c r="AC558" s="70" t="s">
        <v>2124</v>
      </c>
      <c r="AD558" s="70"/>
      <c r="AE558" s="70"/>
      <c r="AF558" s="70"/>
      <c r="AG558" s="70"/>
      <c r="AH558" s="70" t="s">
        <v>2124</v>
      </c>
      <c r="AI558" s="70" t="s">
        <v>2124</v>
      </c>
      <c r="AJ558" s="70" t="s">
        <v>2124</v>
      </c>
      <c r="AK558" s="70" t="s">
        <v>2124</v>
      </c>
      <c r="AL558" s="70" t="s">
        <v>2124</v>
      </c>
      <c r="AM558" s="70"/>
      <c r="AN558" s="70"/>
      <c r="AO558" s="70"/>
      <c r="AP558" s="89"/>
      <c r="AQ558" s="89"/>
    </row>
    <row r="559" spans="1:43" s="73" customFormat="1" ht="15.75" thickBot="1" x14ac:dyDescent="0.3">
      <c r="A559" s="73" t="s">
        <v>602</v>
      </c>
      <c r="B559" s="73" t="s">
        <v>1449</v>
      </c>
      <c r="C559" s="73" t="s">
        <v>1064</v>
      </c>
      <c r="D559" s="73" t="s">
        <v>1450</v>
      </c>
      <c r="E559" s="85" t="s">
        <v>46</v>
      </c>
      <c r="F559" s="85" t="s">
        <v>1303</v>
      </c>
      <c r="G559" s="85"/>
      <c r="H559" s="85" t="s">
        <v>1455</v>
      </c>
      <c r="I559" s="142">
        <f t="shared" si="26"/>
        <v>28</v>
      </c>
      <c r="J559" s="147" t="s">
        <v>2121</v>
      </c>
      <c r="K559" s="142">
        <f t="shared" si="27"/>
        <v>0</v>
      </c>
      <c r="L559" s="143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  <c r="AQ559" s="89"/>
    </row>
    <row r="560" spans="1:43" s="73" customFormat="1" ht="15.75" thickBot="1" x14ac:dyDescent="0.3">
      <c r="A560" s="73" t="s">
        <v>602</v>
      </c>
      <c r="B560" s="73" t="s">
        <v>1452</v>
      </c>
      <c r="C560" s="73" t="s">
        <v>1064</v>
      </c>
      <c r="D560" s="73" t="s">
        <v>1451</v>
      </c>
      <c r="E560" s="85" t="s">
        <v>73</v>
      </c>
      <c r="F560" s="85" t="s">
        <v>1303</v>
      </c>
      <c r="G560" s="85"/>
      <c r="H560" s="85" t="s">
        <v>1456</v>
      </c>
      <c r="I560" s="142">
        <f t="shared" si="26"/>
        <v>28</v>
      </c>
      <c r="J560" s="147" t="s">
        <v>2122</v>
      </c>
      <c r="K560" s="142">
        <f t="shared" si="27"/>
        <v>0</v>
      </c>
      <c r="L560" s="143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  <c r="AQ560" s="89"/>
    </row>
    <row r="561" spans="1:43" s="73" customFormat="1" ht="15.75" thickBot="1" x14ac:dyDescent="0.3">
      <c r="A561" s="73" t="s">
        <v>602</v>
      </c>
      <c r="B561" s="73" t="s">
        <v>1453</v>
      </c>
      <c r="C561" s="73" t="s">
        <v>1064</v>
      </c>
      <c r="D561" s="73" t="s">
        <v>1454</v>
      </c>
      <c r="E561" s="85" t="s">
        <v>73</v>
      </c>
      <c r="F561" s="85" t="s">
        <v>1303</v>
      </c>
      <c r="G561" s="85"/>
      <c r="H561" s="85" t="s">
        <v>1457</v>
      </c>
      <c r="I561" s="142">
        <f t="shared" si="26"/>
        <v>28</v>
      </c>
      <c r="J561" s="147" t="s">
        <v>2123</v>
      </c>
      <c r="K561" s="142">
        <f t="shared" si="27"/>
        <v>0</v>
      </c>
      <c r="L561" s="143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602</v>
      </c>
      <c r="B562" s="73" t="s">
        <v>2125</v>
      </c>
      <c r="C562" s="73" t="s">
        <v>1064</v>
      </c>
      <c r="D562" s="73" t="s">
        <v>2126</v>
      </c>
      <c r="E562" s="85" t="s">
        <v>15</v>
      </c>
      <c r="F562" s="85" t="s">
        <v>1303</v>
      </c>
      <c r="G562" s="85"/>
      <c r="H562" s="85" t="s">
        <v>2127</v>
      </c>
      <c r="I562" s="142">
        <f t="shared" si="26"/>
        <v>28</v>
      </c>
      <c r="J562" s="151" t="s">
        <v>2128</v>
      </c>
      <c r="K562" s="142">
        <f t="shared" si="27"/>
        <v>0</v>
      </c>
      <c r="L562" s="143">
        <f t="shared" si="28"/>
        <v>1</v>
      </c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152"/>
      <c r="AQ562" s="152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E811" s="30"/>
      <c r="F811" s="30"/>
      <c r="G811" s="30"/>
      <c r="H811" s="30"/>
      <c r="L811" s="13"/>
      <c r="O811" s="70"/>
    </row>
    <row r="812" spans="5:41" x14ac:dyDescent="0.25">
      <c r="L812" s="13"/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</sheetData>
  <autoFilter ref="A7:AQ562" xr:uid="{00000000-0001-0000-0000-000000000000}"/>
  <sortState xmlns:xlrd2="http://schemas.microsoft.com/office/spreadsheetml/2017/richdata2" ref="A635:AO640">
    <sortCondition ref="B635:B640"/>
  </sortState>
  <phoneticPr fontId="6" type="noConversion"/>
  <conditionalFormatting sqref="C1:C258 D20:D21 D127:D140 D148 D156:D157 D206:D208 D212:D214 D219:D221 D250:D251 D258 C259:D259 C260:C562 D264:D265 D275:D277 D348:D353 D362 C363:D363 D379:D382 D394:D396 D399 D455:D458 D523:D524 C645:C1048576">
    <cfRule type="cellIs" dxfId="137" priority="522" operator="equal">
      <formula>$C$261</formula>
    </cfRule>
  </conditionalFormatting>
  <conditionalFormatting sqref="C1:C258 D20:D21 D156:D157 D212:D214 C259:D259 C260:C562 D264:D265 D275:D277 C363:D363 D379:D382 D394:D396 D399 C645:C1048576 D127:D140 D148 D206:D208 D219:D221 D250:D251 D258 D348:D353 D362 D455:D458 D523:D524">
    <cfRule type="cellIs" dxfId="136" priority="521" operator="equal">
      <formula>$C$278</formula>
    </cfRule>
  </conditionalFormatting>
  <conditionalFormatting sqref="C1:C562 D20:D21 D156:D157 D212 D264:D265 D275:D277 D379:D382 D394:D396 D399 C645:C1048576">
    <cfRule type="cellIs" dxfId="135" priority="67" operator="equal">
      <formula>"IPCOMS"</formula>
    </cfRule>
  </conditionalFormatting>
  <conditionalFormatting sqref="E1:E537 E550:E562 E645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2 E645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9:E382">
    <cfRule type="containsText" dxfId="129" priority="28" operator="containsText" text="Radio">
      <formula>NOT(ISERROR(SEARCH("Radio",E379)))</formula>
    </cfRule>
  </conditionalFormatting>
  <conditionalFormatting sqref="E539">
    <cfRule type="containsText" dxfId="128" priority="470" operator="containsText" text="Radio">
      <formula>NOT(ISERROR(SEARCH("Radio",E539)))</formula>
    </cfRule>
    <cfRule type="containsText" dxfId="127" priority="469" operator="containsText" text="domo">
      <formula>NOT(ISERROR(SEARCH("domo",E539)))</formula>
    </cfRule>
    <cfRule type="containsText" dxfId="126" priority="468" operator="containsText" text="fija">
      <formula>NOT(ISERROR(SEARCH("fija",E539)))</formula>
    </cfRule>
  </conditionalFormatting>
  <conditionalFormatting sqref="E539:E540">
    <cfRule type="containsText" dxfId="125" priority="463" operator="containsText" text="fija">
      <formula>NOT(ISERROR(SEARCH("fija",E539)))</formula>
    </cfRule>
    <cfRule type="containsText" dxfId="124" priority="464" operator="containsText" text="domo">
      <formula>NOT(ISERROR(SEARCH("domo",E539)))</formula>
    </cfRule>
  </conditionalFormatting>
  <conditionalFormatting sqref="E540">
    <cfRule type="containsText" dxfId="123" priority="462" operator="containsText" text="domo">
      <formula>NOT(ISERROR(SEARCH("domo",E540)))</formula>
    </cfRule>
    <cfRule type="containsText" dxfId="122" priority="461" operator="containsText" text="fija">
      <formula>NOT(ISERROR(SEARCH("fija",E540)))</formula>
    </cfRule>
    <cfRule type="containsText" dxfId="121" priority="465" operator="containsText" text="Radio">
      <formula>NOT(ISERROR(SEARCH("Radio",E540)))</formula>
    </cfRule>
  </conditionalFormatting>
  <conditionalFormatting sqref="E543">
    <cfRule type="containsText" dxfId="120" priority="460" operator="containsText" text="Radio">
      <formula>NOT(ISERROR(SEARCH("Radio",E543)))</formula>
    </cfRule>
    <cfRule type="containsText" dxfId="119" priority="459" operator="containsText" text="domo">
      <formula>NOT(ISERROR(SEARCH("domo",E543)))</formula>
    </cfRule>
    <cfRule type="containsText" dxfId="118" priority="458" operator="containsText" text="fija">
      <formula>NOT(ISERROR(SEARCH("fija",E543)))</formula>
    </cfRule>
  </conditionalFormatting>
  <conditionalFormatting sqref="E543:E544">
    <cfRule type="containsText" dxfId="117" priority="454" operator="containsText" text="domo">
      <formula>NOT(ISERROR(SEARCH("domo",E543)))</formula>
    </cfRule>
    <cfRule type="containsText" dxfId="116" priority="453" operator="containsText" text="fija">
      <formula>NOT(ISERROR(SEARCH("fija",E543)))</formula>
    </cfRule>
  </conditionalFormatting>
  <conditionalFormatting sqref="E544 F35:G43 E44:H130 F131:F132 E154:H219 E221:F221 E222:H377 E378:F378 F379:F382 E383:H398 E399:F399 E400:H537 E550:H562 E645:H1048576 H378 G378:G382">
    <cfRule type="containsText" dxfId="115" priority="455" operator="containsText" text="Radio">
      <formula>NOT(ISERROR(SEARCH("Radio",E35)))</formula>
    </cfRule>
  </conditionalFormatting>
  <conditionalFormatting sqref="E544:E545">
    <cfRule type="containsText" dxfId="114" priority="449" operator="containsText" text="domo">
      <formula>NOT(ISERROR(SEARCH("domo",E544)))</formula>
    </cfRule>
    <cfRule type="containsText" dxfId="113" priority="448" operator="containsText" text="fija">
      <formula>NOT(ISERROR(SEARCH("fija",E544)))</formula>
    </cfRule>
  </conditionalFormatting>
  <conditionalFormatting sqref="E545">
    <cfRule type="containsText" dxfId="112" priority="450" operator="containsText" text="Radio">
      <formula>NOT(ISERROR(SEARCH("Radio",E545)))</formula>
    </cfRule>
  </conditionalFormatting>
  <conditionalFormatting sqref="E545:E546">
    <cfRule type="containsText" dxfId="111" priority="444" operator="containsText" text="domo">
      <formula>NOT(ISERROR(SEARCH("domo",E545)))</formula>
    </cfRule>
    <cfRule type="containsText" dxfId="110" priority="443" operator="containsText" text="fija">
      <formula>NOT(ISERROR(SEARCH("fija",E545)))</formula>
    </cfRule>
  </conditionalFormatting>
  <conditionalFormatting sqref="E546">
    <cfRule type="containsText" dxfId="109" priority="445" operator="containsText" text="Radio">
      <formula>NOT(ISERROR(SEARCH("Radio",E546)))</formula>
    </cfRule>
    <cfRule type="containsText" dxfId="108" priority="442" operator="containsText" text="domo">
      <formula>NOT(ISERROR(SEARCH("domo",E546)))</formula>
    </cfRule>
    <cfRule type="containsText" dxfId="107" priority="441" operator="containsText" text="fija">
      <formula>NOT(ISERROR(SEARCH("fija",E546)))</formula>
    </cfRule>
  </conditionalFormatting>
  <conditionalFormatting sqref="E548">
    <cfRule type="containsText" dxfId="106" priority="739" operator="containsText" text="fija">
      <formula>NOT(ISERROR(SEARCH("fija",E548)))</formula>
    </cfRule>
    <cfRule type="containsText" dxfId="105" priority="740" operator="containsText" text="domo">
      <formula>NOT(ISERROR(SEARCH("domo",E548)))</formula>
    </cfRule>
  </conditionalFormatting>
  <conditionalFormatting sqref="E551:E554">
    <cfRule type="containsText" dxfId="104" priority="472" operator="containsText" text="domo">
      <formula>NOT(ISERROR(SEARCH("domo",E551)))</formula>
    </cfRule>
    <cfRule type="containsText" dxfId="103" priority="471" operator="containsText" text="fija">
      <formula>NOT(ISERROR(SEARCH("fija",E551)))</formula>
    </cfRule>
  </conditionalFormatting>
  <conditionalFormatting sqref="E220:F220">
    <cfRule type="containsText" dxfId="102" priority="30" operator="containsText" text="Radio">
      <formula>NOT(ISERROR(SEARCH("Radio",E220)))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8:H548 F549">
    <cfRule type="containsText" dxfId="99" priority="996" operator="containsText" text="Radio">
      <formula>NOT(ISERROR(SEARCH("Radio",E548)))</formula>
    </cfRule>
  </conditionalFormatting>
  <conditionalFormatting sqref="F1:F132 F154:F562 F645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2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3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0:F221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1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399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NOT(ISERROR(SEARCH("Radio",F399)))</formula>
    </cfRule>
  </conditionalFormatting>
  <conditionalFormatting sqref="F538">
    <cfRule type="cellIs" dxfId="74" priority="119" operator="equal">
      <formula>"PTP A FO"</formula>
    </cfRule>
    <cfRule type="containsText" dxfId="73" priority="118" operator="containsText" text="Radio">
      <formula>NOT(ISERROR(SEARCH("Radio",F538)))</formula>
    </cfRule>
  </conditionalFormatting>
  <conditionalFormatting sqref="F1:G130 F131:F132 F154:G219 F222:G398 F399 F400:G537 F548:G548 F549 F550:G562 F645:G1048576">
    <cfRule type="cellIs" dxfId="72" priority="720" operator="equal">
      <formula>"PTP A FO"</formula>
    </cfRule>
  </conditionalFormatting>
  <conditionalFormatting sqref="F1:G130 F131:F132 F154:G219 F222:G398 F399 F400:G562 F645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2:G153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1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2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5:AO721 W645:AH1048576">
    <cfRule type="cellIs" dxfId="60" priority="102" operator="equal">
      <formula>"apagado"</formula>
    </cfRule>
  </conditionalFormatting>
  <conditionalFormatting sqref="M645:AO1048576">
    <cfRule type="containsText" dxfId="59" priority="652" operator="containsText" text="Caida">
      <formula>NOT(ISERROR(SEARCH("Caida",M645)))</formula>
    </cfRule>
    <cfRule type="notContainsText" dxfId="58" priority="985" operator="notContains" text="Caida">
      <formula>ISERROR(SEARCH("Caida",M645))</formula>
    </cfRule>
  </conditionalFormatting>
  <conditionalFormatting sqref="M8:AP43 AQ8:AQ219 M44:AO90 AP44:AP130 M91:AG91 AI91:AO91 M92:AO129 AC130:AO130 M130:AB140 AC131:AP140 M141:AP219 Z220:Z221 M222:AQ321 M322:AO327 AP322:AQ378 M328:AB328 AD328:AO328 M329:AO378 N379:O379 M379:M382 N380:N382 O380:O383 M383:N383 P383:AP383 AQ383:AQ398 M384:AP391 O392:AP398 M392:N399 M400:AQ562 AI645:AO1048576">
    <cfRule type="cellIs" dxfId="57" priority="101" operator="equal">
      <formula>"APAGADO"</formula>
    </cfRule>
  </conditionalFormatting>
  <conditionalFormatting sqref="O645:O1164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ISERROR(SEARCH("Caida",O645))</formula>
    </cfRule>
    <cfRule type="containsText" dxfId="53" priority="282" operator="containsText" text="Caida">
      <formula>NOT(ISERROR(SEARCH("Caida",O645)))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45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47" zoomScale="90" zoomScaleNormal="90" workbookViewId="0">
      <selection activeCell="B258" sqref="B25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1467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555</v>
      </c>
      <c r="D2" s="101"/>
      <c r="E2" s="106"/>
      <c r="F2" s="154">
        <v>45931</v>
      </c>
    </row>
    <row r="3" spans="1:6" ht="15" customHeight="1" x14ac:dyDescent="0.25">
      <c r="A3" s="76" t="s">
        <v>1479</v>
      </c>
      <c r="B3" s="53" t="s">
        <v>6</v>
      </c>
      <c r="C3" s="66">
        <f>'RESUMEN TOTAL'!M3</f>
        <v>47</v>
      </c>
      <c r="D3" s="54"/>
      <c r="E3" s="55">
        <f>C3/C2</f>
        <v>8.468468468468468E-2</v>
      </c>
      <c r="F3" s="155"/>
    </row>
    <row r="4" spans="1:6" x14ac:dyDescent="0.25">
      <c r="A4" s="76"/>
      <c r="B4" s="53" t="s">
        <v>1245</v>
      </c>
      <c r="C4" s="67">
        <v>7</v>
      </c>
      <c r="D4" s="103">
        <v>40</v>
      </c>
      <c r="E4" s="55">
        <f>D4/C2</f>
        <v>7.2072072072072071E-2</v>
      </c>
      <c r="F4" s="155"/>
    </row>
    <row r="5" spans="1:6" x14ac:dyDescent="0.25">
      <c r="A5" s="76"/>
      <c r="B5" s="53" t="s">
        <v>1246</v>
      </c>
      <c r="C5" s="67">
        <v>6</v>
      </c>
      <c r="D5" s="103">
        <v>34</v>
      </c>
      <c r="E5" s="55">
        <f>D5/C2</f>
        <v>6.126126126126126E-2</v>
      </c>
      <c r="F5" s="155"/>
    </row>
    <row r="6" spans="1:6" x14ac:dyDescent="0.25">
      <c r="A6" s="97" t="s">
        <v>1479</v>
      </c>
      <c r="B6" s="53" t="s">
        <v>16</v>
      </c>
      <c r="C6" s="94">
        <v>13</v>
      </c>
      <c r="D6" s="103">
        <v>21</v>
      </c>
      <c r="E6" s="55">
        <f>D6/C2</f>
        <v>3.783783783783784E-2</v>
      </c>
      <c r="F6" s="155"/>
    </row>
    <row r="7" spans="1:6" ht="15.75" thickBot="1" x14ac:dyDescent="0.3">
      <c r="A7" s="95"/>
      <c r="B7" s="56" t="s">
        <v>1466</v>
      </c>
      <c r="C7" s="131">
        <v>9</v>
      </c>
      <c r="D7" s="104">
        <v>12</v>
      </c>
      <c r="E7" s="74">
        <f>D7/C2</f>
        <v>2.1621621621621623E-2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1467</v>
      </c>
      <c r="E8" s="102" t="s">
        <v>914</v>
      </c>
      <c r="F8" s="155"/>
    </row>
    <row r="9" spans="1:6" ht="15" customHeight="1" thickTop="1" thickBot="1" x14ac:dyDescent="0.3">
      <c r="A9" s="35" t="s">
        <v>1481</v>
      </c>
      <c r="B9" s="98" t="s">
        <v>1064</v>
      </c>
      <c r="C9" s="99">
        <f>BONOMOcam</f>
        <v>298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1481</v>
      </c>
      <c r="B10" s="112" t="s">
        <v>1065</v>
      </c>
      <c r="C10" s="113">
        <f>COSEIDIcam</f>
        <v>256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1467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555</v>
      </c>
      <c r="D13" s="101"/>
      <c r="E13" s="106"/>
      <c r="F13" s="154">
        <v>45932</v>
      </c>
    </row>
    <row r="14" spans="1:6" x14ac:dyDescent="0.25">
      <c r="A14" t="s">
        <v>1480</v>
      </c>
      <c r="B14" s="53" t="s">
        <v>6</v>
      </c>
      <c r="C14" s="66">
        <f>'RESUMEN TOTAL'!N3</f>
        <v>50</v>
      </c>
      <c r="D14" s="54"/>
      <c r="E14" s="55">
        <f>C14/C13</f>
        <v>9.0090090090090086E-2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50</v>
      </c>
      <c r="E15" s="55">
        <f>D15/C13</f>
        <v>9.0090090090090086E-2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50</v>
      </c>
      <c r="E16" s="55">
        <f>D16/C13</f>
        <v>9.0090090090090086E-2</v>
      </c>
      <c r="F16" s="155"/>
    </row>
    <row r="17" spans="1:6" x14ac:dyDescent="0.25">
      <c r="A17" t="s">
        <v>1480</v>
      </c>
      <c r="B17" s="53" t="s">
        <v>16</v>
      </c>
      <c r="C17" s="94">
        <f>'RESUMEN TOTAL'!N5</f>
        <v>5</v>
      </c>
      <c r="D17" s="103">
        <f>D16-C17</f>
        <v>45</v>
      </c>
      <c r="E17" s="55">
        <f>D17/C13</f>
        <v>8.1081081081081086E-2</v>
      </c>
      <c r="F17" s="155"/>
    </row>
    <row r="18" spans="1:6" ht="15.75" thickBot="1" x14ac:dyDescent="0.3">
      <c r="B18" s="56" t="s">
        <v>1466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1467</v>
      </c>
      <c r="E19" s="102" t="s">
        <v>914</v>
      </c>
      <c r="F19" s="155"/>
    </row>
    <row r="20" spans="1:6" ht="16.5" thickTop="1" thickBot="1" x14ac:dyDescent="0.3">
      <c r="A20" t="s">
        <v>1482</v>
      </c>
      <c r="B20" s="98" t="s">
        <v>1064</v>
      </c>
      <c r="C20" s="99">
        <f>BONOMOcam</f>
        <v>298</v>
      </c>
      <c r="D20" s="115">
        <f>Hoja1!G3</f>
        <v>20</v>
      </c>
      <c r="E20" s="105">
        <f>D20/C20</f>
        <v>6.7114093959731544E-2</v>
      </c>
      <c r="F20" s="155"/>
    </row>
    <row r="21" spans="1:6" ht="15.75" thickBot="1" x14ac:dyDescent="0.3">
      <c r="A21" t="s">
        <v>1482</v>
      </c>
      <c r="B21" s="112" t="s">
        <v>1065</v>
      </c>
      <c r="C21" s="113">
        <f>COSEIDIcam</f>
        <v>256</v>
      </c>
      <c r="D21" s="113">
        <f>Hoja1!G5</f>
        <v>30</v>
      </c>
      <c r="E21" s="114">
        <f>D21/C21</f>
        <v>0.1171875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1467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555</v>
      </c>
      <c r="D24" s="101"/>
      <c r="E24" s="106"/>
      <c r="F24" s="154">
        <v>45933</v>
      </c>
    </row>
    <row r="25" spans="1:6" x14ac:dyDescent="0.25">
      <c r="A25" t="s">
        <v>1473</v>
      </c>
      <c r="B25" s="53" t="s">
        <v>6</v>
      </c>
      <c r="C25" s="66">
        <f>'RESUMEN TOTAL'!O3</f>
        <v>46</v>
      </c>
      <c r="D25" s="54"/>
      <c r="E25" s="55">
        <f>C25/C24</f>
        <v>8.2882882882882883E-2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46</v>
      </c>
      <c r="E26" s="55">
        <f>D26/C24</f>
        <v>8.2882882882882883E-2</v>
      </c>
      <c r="F26" s="155"/>
    </row>
    <row r="27" spans="1:6" x14ac:dyDescent="0.25">
      <c r="B27" s="53" t="s">
        <v>1246</v>
      </c>
      <c r="C27" s="67">
        <v>0</v>
      </c>
      <c r="D27" s="103">
        <f>D26-C27</f>
        <v>46</v>
      </c>
      <c r="E27" s="55">
        <f>D27/C24</f>
        <v>8.2882882882882883E-2</v>
      </c>
      <c r="F27" s="155"/>
    </row>
    <row r="28" spans="1:6" x14ac:dyDescent="0.25">
      <c r="A28" t="s">
        <v>1473</v>
      </c>
      <c r="B28" s="53" t="s">
        <v>16</v>
      </c>
      <c r="C28" s="94">
        <f>'RESUMEN TOTAL'!O5</f>
        <v>5</v>
      </c>
      <c r="D28" s="103">
        <f>D27-C28</f>
        <v>41</v>
      </c>
      <c r="E28" s="55">
        <f>D28/C24</f>
        <v>7.3873873873873869E-2</v>
      </c>
      <c r="F28" s="155"/>
    </row>
    <row r="29" spans="1:6" ht="15.75" thickBot="1" x14ac:dyDescent="0.3">
      <c r="B29" s="56" t="s">
        <v>1466</v>
      </c>
      <c r="C29" s="131">
        <v>0</v>
      </c>
      <c r="D29" s="104">
        <f>D28-C29</f>
        <v>41</v>
      </c>
      <c r="E29" s="74">
        <f>D29/C24</f>
        <v>7.3873873873873869E-2</v>
      </c>
      <c r="F29" s="155"/>
    </row>
    <row r="30" spans="1:6" ht="16.5" thickTop="1" thickBot="1" x14ac:dyDescent="0.3">
      <c r="B30" s="111"/>
      <c r="C30" s="110" t="s">
        <v>913</v>
      </c>
      <c r="D30" s="96" t="s">
        <v>1467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298</v>
      </c>
      <c r="D31" s="115">
        <f>Hoja1!H3</f>
        <v>17</v>
      </c>
      <c r="E31" s="105">
        <f>D31/C31</f>
        <v>5.7046979865771813E-2</v>
      </c>
      <c r="F31" s="155"/>
    </row>
    <row r="32" spans="1:6" ht="15.75" thickBot="1" x14ac:dyDescent="0.3">
      <c r="B32" s="112" t="s">
        <v>1065</v>
      </c>
      <c r="C32" s="113">
        <f>COSEIDIcam</f>
        <v>256</v>
      </c>
      <c r="D32" s="113">
        <f>Hoja1!H5</f>
        <v>29</v>
      </c>
      <c r="E32" s="114">
        <f>D32/C32</f>
        <v>0.11328125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1467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555</v>
      </c>
      <c r="D35" s="101"/>
      <c r="E35" s="106"/>
      <c r="F35" s="154">
        <v>45934</v>
      </c>
    </row>
    <row r="36" spans="1:6" x14ac:dyDescent="0.25">
      <c r="A36" t="s">
        <v>1472</v>
      </c>
      <c r="B36" s="53" t="s">
        <v>6</v>
      </c>
      <c r="C36" s="66">
        <f>'RESUMEN TOTAL'!P3</f>
        <v>47</v>
      </c>
      <c r="D36" s="54"/>
      <c r="E36" s="55">
        <f>C36/C35</f>
        <v>8.468468468468468E-2</v>
      </c>
      <c r="F36" s="155"/>
    </row>
    <row r="37" spans="1:6" x14ac:dyDescent="0.25">
      <c r="B37" s="53" t="s">
        <v>1245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1246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1472</v>
      </c>
      <c r="B39" s="53" t="s">
        <v>16</v>
      </c>
      <c r="C39" s="94">
        <f>'RESUMEN TOTAL'!P5</f>
        <v>8</v>
      </c>
      <c r="D39" s="103">
        <f>D38-C39</f>
        <v>-8</v>
      </c>
      <c r="E39" s="55">
        <f>D39/C35</f>
        <v>-1.4414414414414415E-2</v>
      </c>
      <c r="F39" s="155"/>
    </row>
    <row r="40" spans="1:6" ht="15.75" thickBot="1" x14ac:dyDescent="0.3">
      <c r="B40" s="56" t="s">
        <v>1466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1467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298</v>
      </c>
      <c r="D42" s="115">
        <f>Hoja1!I3</f>
        <v>13</v>
      </c>
      <c r="E42" s="105">
        <f>D42/C42</f>
        <v>4.3624161073825503E-2</v>
      </c>
      <c r="F42" s="155"/>
    </row>
    <row r="43" spans="1:6" ht="15.75" thickBot="1" x14ac:dyDescent="0.3">
      <c r="B43" s="112" t="s">
        <v>1065</v>
      </c>
      <c r="C43" s="113">
        <f>COSEIDIcam</f>
        <v>256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1467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555</v>
      </c>
      <c r="D46" s="101"/>
      <c r="E46" s="106"/>
      <c r="F46" s="154">
        <v>45935</v>
      </c>
    </row>
    <row r="47" spans="1:6" x14ac:dyDescent="0.25">
      <c r="A47" t="s">
        <v>1474</v>
      </c>
      <c r="B47" s="53" t="s">
        <v>6</v>
      </c>
      <c r="C47" s="66">
        <f>'RESUMEN TOTAL'!Q3</f>
        <v>55</v>
      </c>
      <c r="D47" s="54"/>
      <c r="E47" s="55">
        <f>C47/C46</f>
        <v>9.90990990990991E-2</v>
      </c>
      <c r="F47" s="155"/>
    </row>
    <row r="48" spans="1:6" x14ac:dyDescent="0.25">
      <c r="B48" s="53" t="s">
        <v>1245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1246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1474</v>
      </c>
      <c r="B50" s="53" t="s">
        <v>16</v>
      </c>
      <c r="C50" s="94">
        <f>'RESUMEN TOTAL'!Q5</f>
        <v>8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1466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1467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298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256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1467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555</v>
      </c>
      <c r="D57" s="101"/>
      <c r="E57" s="106"/>
      <c r="F57" s="154">
        <v>45936</v>
      </c>
    </row>
    <row r="58" spans="1:6" x14ac:dyDescent="0.25">
      <c r="A58" t="s">
        <v>1475</v>
      </c>
      <c r="B58" s="53" t="s">
        <v>6</v>
      </c>
      <c r="C58" s="66">
        <f>'RESUMEN TOTAL'!R3</f>
        <v>64</v>
      </c>
      <c r="D58" s="54"/>
      <c r="E58" s="55">
        <f>C58/C57</f>
        <v>0.11531531531531532</v>
      </c>
      <c r="F58" s="155"/>
    </row>
    <row r="59" spans="1:6" x14ac:dyDescent="0.25">
      <c r="B59" s="53" t="s">
        <v>1245</v>
      </c>
      <c r="C59" s="67">
        <v>10</v>
      </c>
      <c r="D59" s="103">
        <v>54</v>
      </c>
      <c r="E59" s="55">
        <f>D59/C57</f>
        <v>9.7297297297297303E-2</v>
      </c>
      <c r="F59" s="155"/>
    </row>
    <row r="60" spans="1:6" x14ac:dyDescent="0.25">
      <c r="B60" s="53" t="s">
        <v>1246</v>
      </c>
      <c r="C60" s="67">
        <v>6</v>
      </c>
      <c r="D60" s="103">
        <v>48</v>
      </c>
      <c r="E60" s="55">
        <f>D60/C57</f>
        <v>8.6486486486486491E-2</v>
      </c>
      <c r="F60" s="155"/>
    </row>
    <row r="61" spans="1:6" x14ac:dyDescent="0.25">
      <c r="A61" t="s">
        <v>1475</v>
      </c>
      <c r="B61" s="53" t="s">
        <v>16</v>
      </c>
      <c r="C61" s="94">
        <f>'RESUMEN TOTAL'!R5</f>
        <v>8</v>
      </c>
      <c r="D61" s="103">
        <v>36</v>
      </c>
      <c r="E61" s="55">
        <f>D61/C57</f>
        <v>6.4864864864864868E-2</v>
      </c>
      <c r="F61" s="155"/>
    </row>
    <row r="62" spans="1:6" ht="15.75" thickBot="1" x14ac:dyDescent="0.3">
      <c r="B62" s="56" t="s">
        <v>1466</v>
      </c>
      <c r="C62" s="131">
        <v>9</v>
      </c>
      <c r="D62" s="104">
        <v>27</v>
      </c>
      <c r="E62" s="74">
        <f>D62/C57</f>
        <v>4.8648648648648651E-2</v>
      </c>
      <c r="F62" s="155"/>
    </row>
    <row r="63" spans="1:6" ht="16.5" thickTop="1" thickBot="1" x14ac:dyDescent="0.3">
      <c r="B63" s="111"/>
      <c r="C63" s="110" t="s">
        <v>913</v>
      </c>
      <c r="D63" s="96" t="s">
        <v>1467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298</v>
      </c>
      <c r="D64" s="115">
        <f>Hoja1!K3</f>
        <v>24</v>
      </c>
      <c r="E64" s="105">
        <f>D64/C64</f>
        <v>8.0536912751677847E-2</v>
      </c>
      <c r="F64" s="155"/>
    </row>
    <row r="65" spans="1:6" ht="15.75" thickBot="1" x14ac:dyDescent="0.3">
      <c r="B65" s="112" t="s">
        <v>1065</v>
      </c>
      <c r="C65" s="113">
        <f>COSEIDIcam</f>
        <v>256</v>
      </c>
      <c r="D65" s="113">
        <f>Hoja1!K5</f>
        <v>40</v>
      </c>
      <c r="E65" s="114">
        <f>D65/C65</f>
        <v>0.15625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1467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555</v>
      </c>
      <c r="D68" s="101"/>
      <c r="E68" s="106"/>
      <c r="F68" s="154">
        <v>45937</v>
      </c>
    </row>
    <row r="69" spans="1:6" x14ac:dyDescent="0.25">
      <c r="A69" t="s">
        <v>1476</v>
      </c>
      <c r="B69" s="53" t="s">
        <v>6</v>
      </c>
      <c r="C69" s="66">
        <f>'RESUMEN TOTAL'!S3</f>
        <v>47</v>
      </c>
      <c r="D69" s="54"/>
      <c r="E69" s="55">
        <f>C69/C68</f>
        <v>8.468468468468468E-2</v>
      </c>
      <c r="F69" s="155"/>
    </row>
    <row r="70" spans="1:6" x14ac:dyDescent="0.25">
      <c r="B70" s="53" t="s">
        <v>1245</v>
      </c>
      <c r="C70" s="67">
        <v>0</v>
      </c>
      <c r="D70" s="103">
        <f>C69-C70</f>
        <v>47</v>
      </c>
      <c r="E70" s="55">
        <f>D70/C68</f>
        <v>8.468468468468468E-2</v>
      </c>
      <c r="F70" s="155"/>
    </row>
    <row r="71" spans="1:6" x14ac:dyDescent="0.25">
      <c r="B71" s="53" t="s">
        <v>1246</v>
      </c>
      <c r="C71" s="67">
        <v>0</v>
      </c>
      <c r="D71" s="103">
        <f>D70-C71</f>
        <v>47</v>
      </c>
      <c r="E71" s="55">
        <f>D71/C68</f>
        <v>8.468468468468468E-2</v>
      </c>
      <c r="F71" s="155"/>
    </row>
    <row r="72" spans="1:6" x14ac:dyDescent="0.25">
      <c r="A72" t="s">
        <v>1476</v>
      </c>
      <c r="B72" s="53" t="s">
        <v>16</v>
      </c>
      <c r="C72" s="94">
        <f>'RESUMEN TOTAL'!S5</f>
        <v>4</v>
      </c>
      <c r="D72" s="103">
        <f>D71-C72</f>
        <v>43</v>
      </c>
      <c r="E72" s="55">
        <f>D72/C68</f>
        <v>7.7477477477477477E-2</v>
      </c>
      <c r="F72" s="155"/>
    </row>
    <row r="73" spans="1:6" ht="15.75" thickBot="1" x14ac:dyDescent="0.3">
      <c r="B73" s="56" t="s">
        <v>1466</v>
      </c>
      <c r="C73" s="131">
        <v>0</v>
      </c>
      <c r="D73" s="104">
        <f>D72-C73</f>
        <v>43</v>
      </c>
      <c r="E73" s="74">
        <f>D73/C68</f>
        <v>7.7477477477477477E-2</v>
      </c>
      <c r="F73" s="155"/>
    </row>
    <row r="74" spans="1:6" ht="16.5" thickTop="1" thickBot="1" x14ac:dyDescent="0.3">
      <c r="B74" s="111"/>
      <c r="C74" s="110" t="s">
        <v>913</v>
      </c>
      <c r="D74" s="96" t="s">
        <v>1467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298</v>
      </c>
      <c r="D75" s="115">
        <f>Hoja1!L3</f>
        <v>15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256</v>
      </c>
      <c r="D76" s="113">
        <f>Hoja1!L5</f>
        <v>32</v>
      </c>
      <c r="E76" s="114">
        <f>D76/C76</f>
        <v>0.125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1467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555</v>
      </c>
      <c r="D79" s="101"/>
      <c r="E79" s="106"/>
      <c r="F79" s="154">
        <v>45938</v>
      </c>
    </row>
    <row r="80" spans="1:6" x14ac:dyDescent="0.25">
      <c r="A80" t="s">
        <v>1471</v>
      </c>
      <c r="B80" s="53" t="s">
        <v>6</v>
      </c>
      <c r="C80" s="66">
        <f>'RESUMEN TOTAL'!T3</f>
        <v>49</v>
      </c>
      <c r="D80" s="54"/>
      <c r="E80" s="55">
        <f>C80/C79</f>
        <v>8.8288288288288289E-2</v>
      </c>
      <c r="F80" s="155"/>
    </row>
    <row r="81" spans="1:6" x14ac:dyDescent="0.25">
      <c r="B81" s="53" t="s">
        <v>1245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1471</v>
      </c>
      <c r="B83" s="53" t="s">
        <v>16</v>
      </c>
      <c r="C83" s="94">
        <f>'RESUMEN TOTAL'!T5</f>
        <v>5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1466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1467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298</v>
      </c>
      <c r="D86" s="115">
        <f>Hoja1!M3</f>
        <v>18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256</v>
      </c>
      <c r="D87" s="113">
        <f>Hoja1!M5</f>
        <v>31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1467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555</v>
      </c>
      <c r="D90" s="101"/>
      <c r="E90" s="106"/>
      <c r="F90" s="154">
        <v>45939</v>
      </c>
    </row>
    <row r="91" spans="1:6" x14ac:dyDescent="0.25">
      <c r="A91" t="s">
        <v>1477</v>
      </c>
      <c r="B91" s="53" t="s">
        <v>6</v>
      </c>
      <c r="C91" s="66">
        <f>'RESUMEN TOTAL'!U3</f>
        <v>46</v>
      </c>
      <c r="D91" s="54"/>
      <c r="E91" s="55">
        <f>C91/C90</f>
        <v>8.2882882882882883E-2</v>
      </c>
      <c r="F91" s="155"/>
    </row>
    <row r="92" spans="1:6" x14ac:dyDescent="0.25">
      <c r="B92" s="53" t="s">
        <v>1245</v>
      </c>
      <c r="C92" s="67">
        <v>7</v>
      </c>
      <c r="D92" s="103">
        <v>39</v>
      </c>
      <c r="E92" s="55">
        <f>D92/C90</f>
        <v>7.0270270270270274E-2</v>
      </c>
      <c r="F92" s="155"/>
    </row>
    <row r="93" spans="1:6" x14ac:dyDescent="0.25">
      <c r="B93" s="53" t="s">
        <v>1246</v>
      </c>
      <c r="C93" s="67">
        <v>6</v>
      </c>
      <c r="D93" s="103">
        <f>D92-C93</f>
        <v>33</v>
      </c>
      <c r="E93" s="55">
        <f>D93/C90</f>
        <v>5.9459459459459463E-2</v>
      </c>
      <c r="F93" s="155"/>
    </row>
    <row r="94" spans="1:6" x14ac:dyDescent="0.25">
      <c r="A94" t="s">
        <v>1477</v>
      </c>
      <c r="B94" s="53" t="s">
        <v>16</v>
      </c>
      <c r="C94" s="94">
        <v>5</v>
      </c>
      <c r="D94" s="103">
        <f>D93-C94</f>
        <v>28</v>
      </c>
      <c r="E94" s="55">
        <f>D94/C90</f>
        <v>5.0450450450450449E-2</v>
      </c>
      <c r="F94" s="155"/>
    </row>
    <row r="95" spans="1:6" ht="15.75" thickBot="1" x14ac:dyDescent="0.3">
      <c r="B95" s="56" t="s">
        <v>1466</v>
      </c>
      <c r="C95" s="131">
        <v>6</v>
      </c>
      <c r="D95" s="104">
        <v>22</v>
      </c>
      <c r="E95" s="74">
        <f>D95/C90</f>
        <v>3.9639639639639637E-2</v>
      </c>
      <c r="F95" s="155"/>
    </row>
    <row r="96" spans="1:6" ht="16.5" thickTop="1" thickBot="1" x14ac:dyDescent="0.3">
      <c r="B96" s="111"/>
      <c r="C96" s="110" t="s">
        <v>913</v>
      </c>
      <c r="D96" s="96" t="s">
        <v>1467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298</v>
      </c>
      <c r="D97" s="115">
        <f>Hoja1!N3</f>
        <v>16</v>
      </c>
      <c r="E97" s="105">
        <f>D97/C97</f>
        <v>5.3691275167785234E-2</v>
      </c>
      <c r="F97" s="155"/>
    </row>
    <row r="98" spans="1:6" ht="15.75" thickBot="1" x14ac:dyDescent="0.3">
      <c r="B98" s="112" t="s">
        <v>1065</v>
      </c>
      <c r="C98" s="113">
        <f>COSEIDIcam</f>
        <v>256</v>
      </c>
      <c r="D98" s="113">
        <f>Hoja1!N5</f>
        <v>30</v>
      </c>
      <c r="E98" s="114">
        <v>0.12</v>
      </c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1467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555</v>
      </c>
      <c r="D101" s="101"/>
      <c r="E101" s="106"/>
      <c r="F101" s="154">
        <v>45940</v>
      </c>
    </row>
    <row r="102" spans="1:6" x14ac:dyDescent="0.25">
      <c r="A102" t="s">
        <v>1478</v>
      </c>
      <c r="B102" s="53" t="s">
        <v>6</v>
      </c>
      <c r="C102" s="66">
        <f>'RESUMEN TOTAL'!V3</f>
        <v>42</v>
      </c>
      <c r="D102" s="54"/>
      <c r="E102" s="55">
        <f>C102/C101</f>
        <v>7.567567567567568E-2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42</v>
      </c>
      <c r="E103" s="55">
        <f>D103/C101</f>
        <v>7.567567567567568E-2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42</v>
      </c>
      <c r="E104" s="55">
        <f>D104/C101</f>
        <v>7.567567567567568E-2</v>
      </c>
      <c r="F104" s="155"/>
    </row>
    <row r="105" spans="1:6" x14ac:dyDescent="0.25">
      <c r="A105" t="s">
        <v>1478</v>
      </c>
      <c r="B105" s="53" t="s">
        <v>16</v>
      </c>
      <c r="C105" s="94">
        <f>'RESUMEN TOTAL'!V5</f>
        <v>5</v>
      </c>
      <c r="D105" s="103">
        <f>D104-C105</f>
        <v>37</v>
      </c>
      <c r="E105" s="55">
        <f>D105/C101</f>
        <v>6.6666666666666666E-2</v>
      </c>
      <c r="F105" s="155"/>
    </row>
    <row r="106" spans="1:6" ht="15.75" thickBot="1" x14ac:dyDescent="0.3">
      <c r="B106" s="56" t="s">
        <v>1466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1467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298</v>
      </c>
      <c r="D108" s="115">
        <f>Hoja1!O3</f>
        <v>10</v>
      </c>
      <c r="E108" s="105">
        <f>D108/C108</f>
        <v>3.3557046979865772E-2</v>
      </c>
      <c r="F108" s="155"/>
    </row>
    <row r="109" spans="1:6" ht="15.75" thickBot="1" x14ac:dyDescent="0.3">
      <c r="B109" s="112" t="s">
        <v>1065</v>
      </c>
      <c r="C109" s="113">
        <f>COSEIDIcam</f>
        <v>256</v>
      </c>
      <c r="D109" s="113">
        <f>Hoja1!O5</f>
        <v>32</v>
      </c>
      <c r="E109" s="114">
        <f>D109/C109</f>
        <v>0.125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1467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555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41</v>
      </c>
      <c r="D113" s="54"/>
      <c r="E113" s="55">
        <f>C113/C112</f>
        <v>7.3873873873873869E-2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41</v>
      </c>
      <c r="E114" s="55">
        <f>D114/C112</f>
        <v>7.3873873873873869E-2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5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1466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1467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298</v>
      </c>
      <c r="D119" s="115">
        <f>Hoja1!P3</f>
        <v>12</v>
      </c>
      <c r="E119" s="105">
        <f>D119/C119</f>
        <v>4.0268456375838924E-2</v>
      </c>
      <c r="F119" s="155"/>
    </row>
    <row r="120" spans="2:6" ht="15.75" thickBot="1" x14ac:dyDescent="0.3">
      <c r="B120" s="112" t="s">
        <v>1065</v>
      </c>
      <c r="C120" s="113">
        <f>COSEIDIcam</f>
        <v>256</v>
      </c>
      <c r="D120" s="113">
        <f>Hoja1!P5</f>
        <v>29</v>
      </c>
      <c r="E120" s="114">
        <f>D120/C120</f>
        <v>0.11328125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1467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555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52</v>
      </c>
      <c r="D124" s="54"/>
      <c r="E124" s="55">
        <f>C124/C123</f>
        <v>9.3693693693693694E-2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52</v>
      </c>
      <c r="E125" s="55">
        <f>D125/C123</f>
        <v>9.3693693693693694E-2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52</v>
      </c>
      <c r="E126" s="55">
        <f>D126/C123</f>
        <v>9.3693693693693694E-2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52</v>
      </c>
      <c r="E127" s="55">
        <f>D127/C123</f>
        <v>9.3693693693693694E-2</v>
      </c>
      <c r="F127" s="155"/>
    </row>
    <row r="128" spans="2:6" ht="15.75" thickBot="1" x14ac:dyDescent="0.3">
      <c r="B128" s="56" t="s">
        <v>1466</v>
      </c>
      <c r="C128" s="131">
        <v>0</v>
      </c>
      <c r="D128" s="104">
        <f>D127-C128</f>
        <v>52</v>
      </c>
      <c r="E128" s="74">
        <f>D128/C123</f>
        <v>9.3693693693693694E-2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1467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298</v>
      </c>
      <c r="D130" s="115">
        <f>Hoja1!Q3</f>
        <v>15</v>
      </c>
      <c r="E130" s="105">
        <f>D130/C130</f>
        <v>5.0335570469798654E-2</v>
      </c>
      <c r="F130" s="155"/>
    </row>
    <row r="131" spans="2:6" ht="15.75" thickBot="1" x14ac:dyDescent="0.3">
      <c r="B131" s="112" t="s">
        <v>1065</v>
      </c>
      <c r="C131" s="113">
        <f>COSEIDIcam</f>
        <v>256</v>
      </c>
      <c r="D131" s="113">
        <f>Hoja1!Q5</f>
        <v>37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1467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555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53</v>
      </c>
      <c r="D135" s="54"/>
      <c r="E135" s="55">
        <f>C135/C134</f>
        <v>9.5495495495495492E-2</v>
      </c>
      <c r="F135" s="155"/>
    </row>
    <row r="136" spans="2:6" x14ac:dyDescent="0.25">
      <c r="B136" s="53" t="s">
        <v>1245</v>
      </c>
      <c r="C136" s="67">
        <v>2</v>
      </c>
      <c r="D136" s="103">
        <f>C135-C136</f>
        <v>51</v>
      </c>
      <c r="E136" s="55">
        <f>D136/C134</f>
        <v>9.1891891891891897E-2</v>
      </c>
      <c r="F136" s="155"/>
    </row>
    <row r="137" spans="2:6" x14ac:dyDescent="0.25">
      <c r="B137" s="53" t="s">
        <v>1246</v>
      </c>
      <c r="C137" s="67">
        <v>2</v>
      </c>
      <c r="D137" s="103">
        <f>D136-C137</f>
        <v>49</v>
      </c>
      <c r="E137" s="55">
        <f>D137/C134</f>
        <v>8.8288288288288289E-2</v>
      </c>
      <c r="F137" s="155"/>
    </row>
    <row r="138" spans="2:6" x14ac:dyDescent="0.25">
      <c r="B138" s="53" t="s">
        <v>16</v>
      </c>
      <c r="C138" s="94">
        <v>8</v>
      </c>
      <c r="D138" s="103">
        <f>D137-C138</f>
        <v>41</v>
      </c>
      <c r="E138" s="55">
        <f>D138/C134</f>
        <v>7.3873873873873869E-2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1467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298</v>
      </c>
      <c r="D141" s="115">
        <v>17</v>
      </c>
      <c r="E141" s="105">
        <f>D141/C141</f>
        <v>5.7046979865771813E-2</v>
      </c>
      <c r="F141" s="155"/>
    </row>
    <row r="142" spans="2:6" ht="15.75" thickBot="1" x14ac:dyDescent="0.3">
      <c r="B142" s="112" t="s">
        <v>1065</v>
      </c>
      <c r="C142" s="113">
        <f>COSEIDIcam</f>
        <v>256</v>
      </c>
      <c r="D142" s="113">
        <v>36</v>
      </c>
      <c r="E142" s="114">
        <f>D142/C142</f>
        <v>0.140625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1467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555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47</v>
      </c>
      <c r="D146" s="54"/>
      <c r="E146" s="55">
        <f>C146/C145</f>
        <v>8.468468468468468E-2</v>
      </c>
      <c r="F146" s="155"/>
    </row>
    <row r="147" spans="2:6" x14ac:dyDescent="0.25">
      <c r="B147" s="53" t="s">
        <v>1245</v>
      </c>
      <c r="C147" s="67">
        <v>1</v>
      </c>
      <c r="D147" s="103">
        <f>C146-C147</f>
        <v>46</v>
      </c>
      <c r="E147" s="55">
        <f>D147/C145</f>
        <v>8.2882882882882883E-2</v>
      </c>
      <c r="F147" s="155"/>
    </row>
    <row r="148" spans="2:6" x14ac:dyDescent="0.25">
      <c r="B148" s="53" t="s">
        <v>1246</v>
      </c>
      <c r="C148" s="67">
        <v>2</v>
      </c>
      <c r="D148" s="103">
        <f>D147-C148</f>
        <v>44</v>
      </c>
      <c r="E148" s="55">
        <f>D148/C145</f>
        <v>7.9279279279279274E-2</v>
      </c>
      <c r="F148" s="155"/>
    </row>
    <row r="149" spans="2:6" x14ac:dyDescent="0.25">
      <c r="B149" s="53" t="s">
        <v>16</v>
      </c>
      <c r="C149" s="94">
        <f>'RESUMEN TOTAL'!Z5</f>
        <v>5</v>
      </c>
      <c r="D149" s="103">
        <f>D148-C149</f>
        <v>39</v>
      </c>
      <c r="E149" s="55">
        <f>D149/C145</f>
        <v>7.0270270270270274E-2</v>
      </c>
      <c r="F149" s="155"/>
    </row>
    <row r="150" spans="2:6" ht="15.75" thickBot="1" x14ac:dyDescent="0.3">
      <c r="B150" s="56"/>
      <c r="C150" s="131">
        <v>0</v>
      </c>
      <c r="D150" s="104">
        <f>D149-C150</f>
        <v>39</v>
      </c>
      <c r="E150" s="74">
        <f>D150/C145</f>
        <v>7.0270270270270274E-2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1467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298</v>
      </c>
      <c r="D152" s="115">
        <v>14</v>
      </c>
      <c r="E152" s="105">
        <v>0.05</v>
      </c>
      <c r="F152" s="155"/>
    </row>
    <row r="153" spans="2:6" ht="15.75" thickBot="1" x14ac:dyDescent="0.3">
      <c r="B153" s="112" t="s">
        <v>1065</v>
      </c>
      <c r="C153" s="113">
        <f>COSEIDIcam</f>
        <v>256</v>
      </c>
      <c r="D153" s="113">
        <v>33</v>
      </c>
      <c r="E153" s="114">
        <v>0.13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1467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555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81</v>
      </c>
      <c r="D157" s="54"/>
      <c r="E157" s="55">
        <f>C157/C156</f>
        <v>0.14594594594594595</v>
      </c>
      <c r="F157" s="155"/>
    </row>
    <row r="158" spans="2:6" x14ac:dyDescent="0.25">
      <c r="B158" s="53" t="s">
        <v>1245</v>
      </c>
      <c r="C158" s="67">
        <v>3</v>
      </c>
      <c r="D158" s="103">
        <f>C157-C158</f>
        <v>78</v>
      </c>
      <c r="E158" s="55">
        <f>D158/C156</f>
        <v>0.14054054054054055</v>
      </c>
      <c r="F158" s="155"/>
    </row>
    <row r="159" spans="2:6" x14ac:dyDescent="0.25">
      <c r="B159" s="53" t="s">
        <v>1246</v>
      </c>
      <c r="C159" s="67">
        <v>2</v>
      </c>
      <c r="D159" s="103">
        <f>D158-C159</f>
        <v>76</v>
      </c>
      <c r="E159" s="55">
        <f>D159/C156</f>
        <v>0.13693693693693693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71</v>
      </c>
      <c r="E160" s="55">
        <f>D160/C156</f>
        <v>0.12792792792792793</v>
      </c>
      <c r="F160" s="155"/>
    </row>
    <row r="161" spans="2:6" ht="15.75" thickBot="1" x14ac:dyDescent="0.3">
      <c r="B161" s="56"/>
      <c r="C161" s="131">
        <v>0</v>
      </c>
      <c r="D161" s="104">
        <f>D160-C161</f>
        <v>71</v>
      </c>
      <c r="E161" s="74">
        <f>D161/C156</f>
        <v>0.12792792792792793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1467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298</v>
      </c>
      <c r="D163" s="115">
        <f>Hoja1!T3</f>
        <v>48</v>
      </c>
      <c r="E163" s="105">
        <f>D163/C163</f>
        <v>0.16107382550335569</v>
      </c>
      <c r="F163" s="155"/>
    </row>
    <row r="164" spans="2:6" ht="15.75" thickBot="1" x14ac:dyDescent="0.3">
      <c r="B164" s="112" t="s">
        <v>1065</v>
      </c>
      <c r="C164" s="113">
        <f>COSEIDIcam</f>
        <v>256</v>
      </c>
      <c r="D164" s="113">
        <f>Hoja1!T5</f>
        <v>33</v>
      </c>
      <c r="E164" s="114">
        <f>D164/C164</f>
        <v>0.12890625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1467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555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45</v>
      </c>
      <c r="D168" s="54"/>
      <c r="E168" s="55">
        <f>C168/C167</f>
        <v>8.1081081081081086E-2</v>
      </c>
      <c r="F168" s="155"/>
    </row>
    <row r="169" spans="2:6" x14ac:dyDescent="0.25">
      <c r="B169" s="53" t="s">
        <v>1245</v>
      </c>
      <c r="C169" s="67">
        <v>1</v>
      </c>
      <c r="D169" s="103">
        <f>C168-C169</f>
        <v>44</v>
      </c>
      <c r="E169" s="55">
        <f>D169/C167</f>
        <v>7.9279279279279274E-2</v>
      </c>
      <c r="F169" s="155"/>
    </row>
    <row r="170" spans="2:6" x14ac:dyDescent="0.25">
      <c r="B170" s="53" t="s">
        <v>1246</v>
      </c>
      <c r="C170" s="67">
        <v>2</v>
      </c>
      <c r="D170" s="103">
        <f>D169-C170</f>
        <v>42</v>
      </c>
      <c r="E170" s="55">
        <f>D170/C167</f>
        <v>7.567567567567568E-2</v>
      </c>
      <c r="F170" s="155"/>
    </row>
    <row r="171" spans="2:6" x14ac:dyDescent="0.25">
      <c r="B171" s="53" t="s">
        <v>16</v>
      </c>
      <c r="C171" s="94">
        <f>'RESUMEN TOTAL'!AB5</f>
        <v>8</v>
      </c>
      <c r="D171" s="103">
        <f>D170-C171</f>
        <v>34</v>
      </c>
      <c r="E171" s="55">
        <f>D171/C167</f>
        <v>6.126126126126126E-2</v>
      </c>
      <c r="F171" s="155"/>
    </row>
    <row r="172" spans="2:6" ht="15.75" thickBot="1" x14ac:dyDescent="0.3">
      <c r="B172" s="56"/>
      <c r="C172" s="131"/>
      <c r="D172" s="104">
        <f>D171-C172</f>
        <v>34</v>
      </c>
      <c r="E172" s="74">
        <f>D172/C167</f>
        <v>6.126126126126126E-2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1467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298</v>
      </c>
      <c r="D174" s="115">
        <v>18</v>
      </c>
      <c r="E174" s="105">
        <f>D174/C174</f>
        <v>6.0402684563758392E-2</v>
      </c>
      <c r="F174" s="155"/>
    </row>
    <row r="175" spans="2:6" ht="15.75" thickBot="1" x14ac:dyDescent="0.3">
      <c r="B175" s="112" t="s">
        <v>1065</v>
      </c>
      <c r="C175" s="113">
        <f>COSEIDIcam</f>
        <v>256</v>
      </c>
      <c r="D175" s="113">
        <v>27</v>
      </c>
      <c r="E175" s="114">
        <f>D175/C175</f>
        <v>0.10546875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1467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555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48</v>
      </c>
      <c r="D179" s="54"/>
      <c r="E179" s="55">
        <f>C179/C178</f>
        <v>8.6486486486486491E-2</v>
      </c>
      <c r="F179" s="155"/>
    </row>
    <row r="180" spans="2:6" x14ac:dyDescent="0.25">
      <c r="B180" s="53" t="s">
        <v>1245</v>
      </c>
      <c r="C180" s="67">
        <v>4</v>
      </c>
      <c r="D180" s="103">
        <f>C179-C180</f>
        <v>44</v>
      </c>
      <c r="E180" s="55">
        <f>D180/C178</f>
        <v>7.9279279279279274E-2</v>
      </c>
      <c r="F180" s="155"/>
    </row>
    <row r="181" spans="2:6" x14ac:dyDescent="0.25">
      <c r="B181" s="53" t="s">
        <v>1246</v>
      </c>
      <c r="C181" s="67">
        <v>2</v>
      </c>
      <c r="D181" s="103">
        <f>D180-C181</f>
        <v>42</v>
      </c>
      <c r="E181" s="55">
        <f>D181/C178</f>
        <v>7.567567567567568E-2</v>
      </c>
      <c r="F181" s="155"/>
    </row>
    <row r="182" spans="2:6" x14ac:dyDescent="0.25">
      <c r="B182" s="53" t="s">
        <v>16</v>
      </c>
      <c r="C182" s="94">
        <v>9</v>
      </c>
      <c r="D182" s="103">
        <f>D181-C182</f>
        <v>33</v>
      </c>
      <c r="E182" s="55">
        <f>D182/C178</f>
        <v>5.9459459459459463E-2</v>
      </c>
      <c r="F182" s="155"/>
    </row>
    <row r="183" spans="2:6" ht="15.75" thickBot="1" x14ac:dyDescent="0.3">
      <c r="B183" s="56"/>
      <c r="C183" s="131">
        <v>0</v>
      </c>
      <c r="D183" s="104">
        <f>D182-C183</f>
        <v>33</v>
      </c>
      <c r="E183" s="74">
        <f>D183/C178</f>
        <v>5.9459459459459463E-2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1467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298</v>
      </c>
      <c r="D185" s="115">
        <f>Hoja1!V3</f>
        <v>19</v>
      </c>
      <c r="E185" s="105">
        <v>0.06</v>
      </c>
      <c r="F185" s="155"/>
    </row>
    <row r="186" spans="2:6" ht="15.75" thickBot="1" x14ac:dyDescent="0.3">
      <c r="B186" s="112" t="s">
        <v>1065</v>
      </c>
      <c r="C186" s="113">
        <f>COSEIDIcam</f>
        <v>256</v>
      </c>
      <c r="D186" s="113">
        <f>Hoja1!V5</f>
        <v>29</v>
      </c>
      <c r="E186" s="114">
        <v>0.11</v>
      </c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1467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555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1467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298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1467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555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48</v>
      </c>
      <c r="D201" s="54"/>
      <c r="E201" s="55">
        <f>C201/C200</f>
        <v>8.6486486486486491E-2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48</v>
      </c>
      <c r="E202" s="55">
        <f>D202/C200</f>
        <v>8.6486486486486491E-2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48</v>
      </c>
      <c r="E203" s="55">
        <f>D203/C200</f>
        <v>8.6486486486486491E-2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48</v>
      </c>
      <c r="E204" s="55">
        <f>D204/C200</f>
        <v>8.6486486486486491E-2</v>
      </c>
      <c r="F204" s="155"/>
    </row>
    <row r="205" spans="2:6" ht="15.75" thickBot="1" x14ac:dyDescent="0.3">
      <c r="B205" s="56"/>
      <c r="C205" s="131">
        <v>0</v>
      </c>
      <c r="D205" s="104">
        <f>D204-C205</f>
        <v>48</v>
      </c>
      <c r="E205" s="74">
        <f>D205/C200</f>
        <v>8.6486486486486491E-2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1467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298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1467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555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47</v>
      </c>
      <c r="D212" s="54"/>
      <c r="E212" s="55">
        <f>C212/C211</f>
        <v>8.468468468468468E-2</v>
      </c>
      <c r="F212" s="155"/>
    </row>
    <row r="213" spans="2:6" x14ac:dyDescent="0.25">
      <c r="B213" s="53" t="s">
        <v>1245</v>
      </c>
      <c r="C213" s="67">
        <v>1</v>
      </c>
      <c r="D213" s="103">
        <f>C212-C213</f>
        <v>46</v>
      </c>
      <c r="E213" s="55">
        <f>D213/C211</f>
        <v>8.2882882882882883E-2</v>
      </c>
      <c r="F213" s="155"/>
    </row>
    <row r="214" spans="2:6" x14ac:dyDescent="0.25">
      <c r="B214" s="53" t="s">
        <v>1246</v>
      </c>
      <c r="C214" s="67">
        <v>2</v>
      </c>
      <c r="D214" s="103">
        <f>D213-C214</f>
        <v>44</v>
      </c>
      <c r="E214" s="55">
        <f>D214/C211</f>
        <v>7.9279279279279274E-2</v>
      </c>
      <c r="F214" s="155"/>
    </row>
    <row r="215" spans="2:6" x14ac:dyDescent="0.25">
      <c r="B215" s="53" t="s">
        <v>16</v>
      </c>
      <c r="C215" s="94">
        <v>9</v>
      </c>
      <c r="D215" s="103">
        <f>D214-C215</f>
        <v>35</v>
      </c>
      <c r="E215" s="55">
        <f>D215/C211</f>
        <v>6.3063063063063057E-2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35</v>
      </c>
      <c r="E216" s="74">
        <f>D216/C211</f>
        <v>6.3063063063063057E-2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1467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298</v>
      </c>
      <c r="D218" s="115">
        <v>17</v>
      </c>
      <c r="E218" s="105">
        <f>D218/C218</f>
        <v>5.7046979865771813E-2</v>
      </c>
      <c r="F218" s="155"/>
    </row>
    <row r="219" spans="2:6" ht="15.75" thickBot="1" x14ac:dyDescent="0.3">
      <c r="B219" s="112" t="s">
        <v>1065</v>
      </c>
      <c r="C219" s="113">
        <f>COSEIDIcam</f>
        <v>256</v>
      </c>
      <c r="D219" s="113">
        <v>30</v>
      </c>
      <c r="E219" s="114">
        <f>D219/C219</f>
        <v>0.1171875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1467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555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42</v>
      </c>
      <c r="D224" s="54"/>
      <c r="E224" s="55">
        <f>C224/C223</f>
        <v>7.567567567567568E-2</v>
      </c>
      <c r="F224" s="155"/>
    </row>
    <row r="225" spans="2:6" x14ac:dyDescent="0.25">
      <c r="B225" s="53" t="s">
        <v>1245</v>
      </c>
      <c r="C225" s="67">
        <v>2</v>
      </c>
      <c r="D225" s="103">
        <f>C224-C225</f>
        <v>40</v>
      </c>
      <c r="E225" s="55">
        <f>D225/C223</f>
        <v>7.2072072072072071E-2</v>
      </c>
      <c r="F225" s="155"/>
    </row>
    <row r="226" spans="2:6" x14ac:dyDescent="0.25">
      <c r="B226" s="53" t="s">
        <v>1246</v>
      </c>
      <c r="C226" s="67">
        <v>2</v>
      </c>
      <c r="D226" s="103">
        <v>38</v>
      </c>
      <c r="E226" s="55">
        <f>D226/C223</f>
        <v>6.8468468468468463E-2</v>
      </c>
      <c r="F226" s="155"/>
    </row>
    <row r="227" spans="2:6" x14ac:dyDescent="0.25">
      <c r="B227" s="53" t="s">
        <v>16</v>
      </c>
      <c r="C227" s="94">
        <f>'RESUMEN TOTAL'!AG5</f>
        <v>7</v>
      </c>
      <c r="D227" s="103">
        <v>31</v>
      </c>
      <c r="E227" s="55">
        <f>D227/C223</f>
        <v>5.5855855855855854E-2</v>
      </c>
      <c r="F227" s="155"/>
    </row>
    <row r="228" spans="2:6" ht="15.75" thickBot="1" x14ac:dyDescent="0.3">
      <c r="B228" s="56"/>
      <c r="C228" s="131">
        <v>0</v>
      </c>
      <c r="D228" s="104">
        <v>31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1467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298</v>
      </c>
      <c r="D230" s="115">
        <f>Hoja1!Z3</f>
        <v>16</v>
      </c>
      <c r="E230" s="105">
        <f>D230/C230</f>
        <v>5.3691275167785234E-2</v>
      </c>
      <c r="F230" s="155"/>
    </row>
    <row r="231" spans="2:6" ht="15.75" thickBot="1" x14ac:dyDescent="0.3">
      <c r="B231" s="112" t="s">
        <v>1065</v>
      </c>
      <c r="C231" s="113">
        <f>COSEIDIcam</f>
        <v>256</v>
      </c>
      <c r="D231" s="113">
        <f>Hoja1!Z5</f>
        <v>26</v>
      </c>
      <c r="E231" s="114">
        <f>D231/C231</f>
        <v>0.1015625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1467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555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44</v>
      </c>
      <c r="D236" s="54"/>
      <c r="E236" s="55">
        <f>C236/C235</f>
        <v>7.9279279279279274E-2</v>
      </c>
      <c r="F236" s="155"/>
    </row>
    <row r="237" spans="2:6" x14ac:dyDescent="0.25">
      <c r="B237" s="53" t="s">
        <v>1245</v>
      </c>
      <c r="C237" s="67">
        <v>2</v>
      </c>
      <c r="D237" s="103">
        <v>42</v>
      </c>
      <c r="E237" s="55">
        <f>D237/C235</f>
        <v>7.567567567567568E-2</v>
      </c>
      <c r="F237" s="155"/>
    </row>
    <row r="238" spans="2:6" x14ac:dyDescent="0.25">
      <c r="B238" s="53" t="s">
        <v>1246</v>
      </c>
      <c r="C238" s="67">
        <v>2</v>
      </c>
      <c r="D238" s="103">
        <v>40</v>
      </c>
      <c r="E238" s="55">
        <f>D238/C235</f>
        <v>7.2072072072072071E-2</v>
      </c>
      <c r="F238" s="155"/>
    </row>
    <row r="239" spans="2:6" x14ac:dyDescent="0.25">
      <c r="B239" s="53" t="s">
        <v>16</v>
      </c>
      <c r="C239" s="94">
        <v>7</v>
      </c>
      <c r="D239" s="103">
        <v>33</v>
      </c>
      <c r="E239" s="55">
        <f>D239/C235</f>
        <v>5.9459459459459463E-2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1467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298</v>
      </c>
      <c r="D242" s="115">
        <v>15</v>
      </c>
      <c r="E242" s="105">
        <f>D242/C242</f>
        <v>5.0335570469798654E-2</v>
      </c>
      <c r="F242" s="155"/>
    </row>
    <row r="243" spans="2:6" ht="15.75" thickBot="1" x14ac:dyDescent="0.3">
      <c r="B243" s="112" t="s">
        <v>1065</v>
      </c>
      <c r="C243" s="113">
        <f>COSEIDIcam</f>
        <v>256</v>
      </c>
      <c r="D243" s="113">
        <v>29</v>
      </c>
      <c r="E243" s="114">
        <v>0.11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1467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555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46</v>
      </c>
      <c r="D248" s="54"/>
      <c r="E248" s="55">
        <f>C248/C247</f>
        <v>8.2882882882882883E-2</v>
      </c>
      <c r="F248" s="155"/>
    </row>
    <row r="249" spans="2:6" x14ac:dyDescent="0.25">
      <c r="B249" s="53" t="s">
        <v>1245</v>
      </c>
      <c r="C249" s="67">
        <v>0</v>
      </c>
      <c r="D249" s="103">
        <v>46</v>
      </c>
      <c r="E249" s="55">
        <f>D249/C247</f>
        <v>8.2882882882882883E-2</v>
      </c>
      <c r="F249" s="155"/>
    </row>
    <row r="250" spans="2:6" x14ac:dyDescent="0.25">
      <c r="B250" s="53" t="s">
        <v>1246</v>
      </c>
      <c r="C250" s="67">
        <v>2</v>
      </c>
      <c r="D250" s="103">
        <v>44</v>
      </c>
      <c r="E250" s="55">
        <f>D250/C247</f>
        <v>7.9279279279279274E-2</v>
      </c>
      <c r="F250" s="155"/>
    </row>
    <row r="251" spans="2:6" x14ac:dyDescent="0.25">
      <c r="B251" s="53" t="s">
        <v>16</v>
      </c>
      <c r="C251" s="94">
        <v>7</v>
      </c>
      <c r="D251" s="103">
        <v>37</v>
      </c>
      <c r="E251" s="55">
        <f>D251/C247</f>
        <v>6.6666666666666666E-2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298</v>
      </c>
      <c r="D254" s="115">
        <v>15</v>
      </c>
      <c r="E254" s="105">
        <f>D254/C254</f>
        <v>5.0335570469798654E-2</v>
      </c>
      <c r="F254" s="155"/>
    </row>
    <row r="255" spans="2:6" ht="15.75" thickBot="1" x14ac:dyDescent="0.3">
      <c r="B255" s="112" t="s">
        <v>1065</v>
      </c>
      <c r="C255" s="113">
        <f>COSEIDIcam</f>
        <v>256</v>
      </c>
      <c r="D255" s="113">
        <v>31</v>
      </c>
      <c r="E255" s="114">
        <f>D255/C255</f>
        <v>0.12109375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1467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555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74</v>
      </c>
      <c r="D260" s="54"/>
      <c r="E260" s="55">
        <f>C260/C259</f>
        <v>0.13333333333333333</v>
      </c>
      <c r="F260" s="155"/>
    </row>
    <row r="261" spans="2:6" x14ac:dyDescent="0.25">
      <c r="B261" s="53" t="s">
        <v>1245</v>
      </c>
      <c r="C261" s="67">
        <v>2</v>
      </c>
      <c r="D261" s="103">
        <v>72</v>
      </c>
      <c r="E261" s="55">
        <f>D261/C259</f>
        <v>0.12972972972972974</v>
      </c>
      <c r="F261" s="155"/>
    </row>
    <row r="262" spans="2:6" x14ac:dyDescent="0.25">
      <c r="B262" s="53" t="s">
        <v>1246</v>
      </c>
      <c r="C262" s="67">
        <v>3</v>
      </c>
      <c r="D262" s="103">
        <v>69</v>
      </c>
      <c r="E262" s="55">
        <f>D262/C259</f>
        <v>0.12432432432432433</v>
      </c>
      <c r="F262" s="155"/>
    </row>
    <row r="263" spans="2:6" x14ac:dyDescent="0.25">
      <c r="B263" s="53" t="s">
        <v>16</v>
      </c>
      <c r="C263" s="94">
        <v>6</v>
      </c>
      <c r="D263" s="103">
        <v>63</v>
      </c>
      <c r="E263" s="55">
        <f>D263/C259</f>
        <v>0.11351351351351352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 t="s">
        <v>2217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1467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298</v>
      </c>
      <c r="D266" s="115">
        <v>16</v>
      </c>
      <c r="E266" s="105">
        <v>0.05</v>
      </c>
      <c r="F266" s="155"/>
    </row>
    <row r="267" spans="2:6" ht="15.75" thickBot="1" x14ac:dyDescent="0.3">
      <c r="B267" s="112" t="s">
        <v>1065</v>
      </c>
      <c r="C267" s="113">
        <f>COSEIDIcam</f>
        <v>256</v>
      </c>
      <c r="D267" s="113">
        <v>58</v>
      </c>
      <c r="E267" s="114">
        <v>0.23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1467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555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1467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298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1467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555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1467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298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1467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555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1245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1246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9.8599999999999993E-2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1467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298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256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1467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555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1245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1246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1467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298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256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1467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555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1467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298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256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1467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555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1467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298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256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913</v>
      </c>
      <c r="D336" s="108" t="s">
        <v>1467</v>
      </c>
      <c r="E336" s="109" t="s">
        <v>914</v>
      </c>
    </row>
    <row r="337" spans="2:6" ht="15.75" thickTop="1" x14ac:dyDescent="0.25">
      <c r="B337" s="52" t="s">
        <v>1244</v>
      </c>
      <c r="C337" s="100">
        <f>CANTIDAD_DE_CAMARAS</f>
        <v>555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1245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1246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913</v>
      </c>
      <c r="D343" s="96" t="s">
        <v>1467</v>
      </c>
      <c r="E343" s="102" t="s">
        <v>914</v>
      </c>
      <c r="F343" s="155"/>
    </row>
    <row r="344" spans="2:6" ht="16.5" thickTop="1" thickBot="1" x14ac:dyDescent="0.3">
      <c r="B344" s="98" t="s">
        <v>1064</v>
      </c>
      <c r="C344" s="99">
        <f>BONOMOcam</f>
        <v>298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1065</v>
      </c>
      <c r="C345" s="113">
        <f>COSEIDIcam</f>
        <v>256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N158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 t="str">
        <f>'RESUMEN TOTAL'!AA8</f>
        <v>APAGADO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 t="str">
        <f>'RESUMEN TOTAL'!AA9</f>
        <v>APAGADO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 t="str">
        <f>'RESUMEN TOTAL'!AA14</f>
        <v>APAGADO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1533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 t="str">
        <f>'RESUMEN TOTAL'!AJ24</f>
        <v>APAGADO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 t="str">
        <f>'RESUMEN TOTAL'!AJ25</f>
        <v>APAGADO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 t="str">
        <f>'RESUMEN TOTAL'!AJ26</f>
        <v>APAGADO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 t="str">
        <f>'RESUMEN TOTAL'!AJ27</f>
        <v>APAGADO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 t="str">
        <f>'RESUMEN TOTAL'!AJ28</f>
        <v>APAGADO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 t="str">
        <f>'RESUMEN TOTAL'!AJ29</f>
        <v>APAGADO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>
        <f>'RESUMEN TOTAL'!N63</f>
        <v>0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 t="str">
        <f>'RESUMEN TOTAL'!R63</f>
        <v>APAGADO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 t="str">
        <f>'RESUMEN TOTAL'!U86</f>
        <v>APAGADO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>
        <f>'RESUMEN TOTAL'!M87</f>
        <v>0</v>
      </c>
      <c r="G68" s="70">
        <f>'RESUMEN TOTAL'!N87</f>
        <v>0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 t="str">
        <f>'RESUMEN TOTAL'!AK87</f>
        <v>APAGADO</v>
      </c>
      <c r="AE68" s="70" t="str">
        <f>'RESUMEN TOTAL'!AL87</f>
        <v>APAGADO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 t="str">
        <f>'RESUMEN TOTAL'!AG93</f>
        <v>APAGADO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 t="str">
        <f>'RESUMEN TOTAL'!R94</f>
        <v>APAGADO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>
        <f>'RESUMEN TOTAL'!M95</f>
        <v>0</v>
      </c>
      <c r="G76" s="70">
        <f>'RESUMEN TOTAL'!N95</f>
        <v>0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 t="str">
        <f>'RESUMEN TOTAL'!AH95</f>
        <v>APAGADO</v>
      </c>
      <c r="AB76" s="70" t="str">
        <f>'RESUMEN TOTAL'!AI95</f>
        <v>APAGADO</v>
      </c>
      <c r="AC76" s="70" t="str">
        <f>'RESUMEN TOTAL'!AJ95</f>
        <v>APAGADO</v>
      </c>
      <c r="AD76" s="70" t="str">
        <f>'RESUMEN TOTAL'!AK95</f>
        <v>APAGADO</v>
      </c>
      <c r="AE76" s="70" t="str">
        <f>'RESUMEN TOTAL'!AL95</f>
        <v>APAGADO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>
        <f>'RESUMEN TOTAL'!M97</f>
        <v>0</v>
      </c>
      <c r="G78" s="70">
        <f>'RESUMEN TOTAL'!N97</f>
        <v>0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 t="str">
        <f>'RESUMEN TOTAL'!AA97</f>
        <v>APAGADO</v>
      </c>
      <c r="U78" s="70" t="str">
        <f>'RESUMEN TOTAL'!AB97</f>
        <v>APAGADO</v>
      </c>
      <c r="V78" s="70" t="str">
        <f>'RESUMEN TOTAL'!AC97</f>
        <v>APAGADO</v>
      </c>
      <c r="W78" s="70" t="str">
        <f>'RESUMEN TOTAL'!AD97</f>
        <v>APAGADO</v>
      </c>
      <c r="X78" s="70" t="str">
        <f>'RESUMEN TOTAL'!AE97</f>
        <v>APAGADO</v>
      </c>
      <c r="Y78" s="70" t="str">
        <f>'RESUMEN TOTAL'!AF97</f>
        <v>APAGADO</v>
      </c>
      <c r="Z78" s="70" t="str">
        <f>'RESUMEN TOTAL'!AG97</f>
        <v>APAGADO</v>
      </c>
      <c r="AA78" s="70">
        <f>'RESUMEN TOTAL'!AH97</f>
        <v>0</v>
      </c>
      <c r="AB78" s="70" t="str">
        <f>'RESUMEN TOTAL'!AI97</f>
        <v>APAGADO</v>
      </c>
      <c r="AC78" s="70" t="str">
        <f>'RESUMEN TOTAL'!AJ97</f>
        <v>APAGADO</v>
      </c>
      <c r="AD78" s="70" t="str">
        <f>'RESUMEN TOTAL'!AK97</f>
        <v>APAGADO</v>
      </c>
      <c r="AE78" s="70" t="str">
        <f>'RESUMEN TOTAL'!AL97</f>
        <v>APAGADO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 t="str">
        <f>'RESUMEN TOTAL'!Q102</f>
        <v>APAGADO</v>
      </c>
      <c r="K83" s="70" t="str">
        <f>'RESUMEN TOTAL'!R102</f>
        <v>APAGADO</v>
      </c>
      <c r="L83" s="70" t="str">
        <f>'RESUMEN TOTAL'!S102</f>
        <v>APAGADO</v>
      </c>
      <c r="M83" s="70" t="str">
        <f>'RESUMEN TOTAL'!T102</f>
        <v>APAGADO</v>
      </c>
      <c r="N83" s="70" t="str">
        <f>'RESUMEN TOTAL'!U102</f>
        <v>APAGADO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>
        <f>'RESUMEN TOTAL'!M116</f>
        <v>0</v>
      </c>
      <c r="G97" s="70">
        <f>'RESUMEN TOTAL'!N116</f>
        <v>0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 t="str">
        <f>'RESUMEN TOTAL'!R116</f>
        <v>APAGADO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 t="str">
        <f>'RESUMEN TOTAL'!AL116</f>
        <v>APAGADO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>
        <f>'RESUMEN TOTAL'!M118</f>
        <v>0</v>
      </c>
      <c r="G99" s="70" t="str">
        <f>'RESUMEN TOTAL'!N118</f>
        <v>APAGADO</v>
      </c>
      <c r="H99" s="70" t="str">
        <f>'RESUMEN TOTAL'!O118</f>
        <v>APAGADO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 t="str">
        <f>'RESUMEN TOTAL'!T118</f>
        <v>APAGADO</v>
      </c>
      <c r="N99" s="70" t="str">
        <f>'RESUMEN TOTAL'!U118</f>
        <v>APAGADO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 t="str">
        <f>'RESUMEN TOTAL'!AE118</f>
        <v>APAGADO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 t="str">
        <f>'RESUMEN TOTAL'!AL118</f>
        <v>APAGADO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 t="str">
        <f>'RESUMEN TOTAL'!T125</f>
        <v>APAGADO</v>
      </c>
      <c r="N106" s="70" t="str">
        <f>'RESUMEN TOTAL'!U125</f>
        <v>APAGADO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>
        <f>'RESUMEN TOTAL'!M128</f>
        <v>0</v>
      </c>
      <c r="G109" s="70" t="str">
        <f>'RESUMEN TOTAL'!N128</f>
        <v>APAGADO</v>
      </c>
      <c r="H109" s="70" t="str">
        <f>'RESUMEN TOTAL'!O128</f>
        <v>APAGADO</v>
      </c>
      <c r="I109" s="70" t="str">
        <f>'RESUMEN TOTAL'!P128</f>
        <v>APAGADO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 t="str">
        <f>'RESUMEN TOTAL'!W128</f>
        <v>APAGADO</v>
      </c>
      <c r="Q109" s="70">
        <f>'RESUMEN TOTAL'!X128</f>
        <v>0</v>
      </c>
      <c r="R109" s="70" t="str">
        <f>'RESUMEN TOTAL'!Y128</f>
        <v>APAGADO</v>
      </c>
      <c r="S109" s="70">
        <f>'RESUMEN TOTAL'!Z128</f>
        <v>0</v>
      </c>
      <c r="T109" s="70" t="str">
        <f>'RESUMEN TOTAL'!AA128</f>
        <v>APAGADO</v>
      </c>
      <c r="U109" s="70" t="str">
        <f>'RESUMEN TOTAL'!AB128</f>
        <v>APAGADO</v>
      </c>
      <c r="V109" s="70" t="str">
        <f>'RESUMEN TOTAL'!AC128</f>
        <v>APAGADO</v>
      </c>
      <c r="W109" s="70">
        <f>'RESUMEN TOTAL'!AD128</f>
        <v>0</v>
      </c>
      <c r="X109" s="70" t="str">
        <f>'RESUMEN TOTAL'!AE128</f>
        <v>APAGADO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PTO A FO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 t="str">
        <f>'RESUMEN TOTAL'!R142</f>
        <v>APAGADO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>
        <f>'RESUMEN TOTAL'!AP142</f>
        <v>0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 t="str">
        <f>'RESUMEN TOTAL'!R144</f>
        <v>APAGADO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Fibra Optica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 t="str">
        <f>'RESUMEN TOTAL'!M149</f>
        <v>APAGADO</v>
      </c>
      <c r="G119" s="70" t="str">
        <f>'RESUMEN TOTAL'!N149</f>
        <v>APAGADO</v>
      </c>
      <c r="H119" s="70" t="str">
        <f>'RESUMEN TOTAL'!O149</f>
        <v>APAGADO</v>
      </c>
      <c r="I119" s="70" t="str">
        <f>'RESUMEN TOTAL'!P149</f>
        <v>APAGADO</v>
      </c>
      <c r="J119" s="70" t="str">
        <f>'RESUMEN TOTAL'!Q149</f>
        <v>APAGADO</v>
      </c>
      <c r="K119" s="70" t="str">
        <f>'RESUMEN TOTAL'!R149</f>
        <v>APAGADO</v>
      </c>
      <c r="L119" s="70" t="str">
        <f>'RESUMEN TOTAL'!S149</f>
        <v>APAGADO</v>
      </c>
      <c r="M119" s="70" t="str">
        <f>'RESUMEN TOTAL'!T149</f>
        <v>APAGADO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 t="str">
        <f>'RESUMEN TOTAL'!M152</f>
        <v>APAGADO</v>
      </c>
      <c r="G122" s="70" t="str">
        <f>'RESUMEN TOTAL'!N152</f>
        <v>APAGADO</v>
      </c>
      <c r="H122" s="70" t="str">
        <f>'RESUMEN TOTAL'!O152</f>
        <v>APAGADO</v>
      </c>
      <c r="I122" s="70" t="str">
        <f>'RESUMEN TOTAL'!P152</f>
        <v>APAGADO</v>
      </c>
      <c r="J122" s="70" t="str">
        <f>'RESUMEN TOTAL'!Q152</f>
        <v>APAGADO</v>
      </c>
      <c r="K122" s="70" t="str">
        <f>'RESUMEN TOTAL'!R152</f>
        <v>APAGADO</v>
      </c>
      <c r="L122" s="70" t="str">
        <f>'RESUMEN TOTAL'!S152</f>
        <v>APAGADO</v>
      </c>
      <c r="M122" s="70" t="str">
        <f>'RESUMEN TOTAL'!T152</f>
        <v>APAGADO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 t="str">
        <f>'RESUMEN TOTAL'!M153</f>
        <v>APAGADO</v>
      </c>
      <c r="G123" s="70" t="str">
        <f>'RESUMEN TOTAL'!N153</f>
        <v>APAGADO</v>
      </c>
      <c r="H123" s="70" t="str">
        <f>'RESUMEN TOTAL'!O153</f>
        <v>APAGADO</v>
      </c>
      <c r="I123" s="70" t="str">
        <f>'RESUMEN TOTAL'!P153</f>
        <v>APAGADO</v>
      </c>
      <c r="J123" s="70" t="str">
        <f>'RESUMEN TOTAL'!Q153</f>
        <v>APAGADO</v>
      </c>
      <c r="K123" s="70" t="str">
        <f>'RESUMEN TOTAL'!R153</f>
        <v>APAGADO</v>
      </c>
      <c r="L123" s="70" t="str">
        <f>'RESUMEN TOTAL'!S153</f>
        <v>APAGADO</v>
      </c>
      <c r="M123" s="70" t="str">
        <f>'RESUMEN TOTAL'!T153</f>
        <v>APAGADO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 t="str">
        <f>'RESUMEN TOTAL'!M160</f>
        <v>APAGADO</v>
      </c>
      <c r="G126" s="70" t="str">
        <f>'RESUMEN TOTAL'!N160</f>
        <v>APAGADO</v>
      </c>
      <c r="H126" s="70" t="str">
        <f>'RESUMEN TOTAL'!O160</f>
        <v>APAGADO</v>
      </c>
      <c r="I126" s="70" t="str">
        <f>'RESUMEN TOTAL'!P160</f>
        <v>APAGADO</v>
      </c>
      <c r="J126" s="70" t="str">
        <f>'RESUMEN TOTAL'!Q160</f>
        <v>APAGADO</v>
      </c>
      <c r="K126" s="70" t="str">
        <f>'RESUMEN TOTAL'!R160</f>
        <v>APAGADO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 t="str">
        <f>'RESUMEN TOTAL'!M161</f>
        <v>APAGADO</v>
      </c>
      <c r="G127" s="70" t="str">
        <f>'RESUMEN TOTAL'!N161</f>
        <v>APAGADO</v>
      </c>
      <c r="H127" s="70" t="str">
        <f>'RESUMEN TOTAL'!O161</f>
        <v>APAGADO</v>
      </c>
      <c r="I127" s="70" t="str">
        <f>'RESUMEN TOTAL'!P161</f>
        <v>APAGADO</v>
      </c>
      <c r="J127" s="70" t="str">
        <f>'RESUMEN TOTAL'!Q161</f>
        <v>APAGADO</v>
      </c>
      <c r="K127" s="70" t="str">
        <f>'RESUMEN TOTAL'!R161</f>
        <v>APAGADO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 t="str">
        <f>'RESUMEN TOTAL'!Q162</f>
        <v>APAGADO</v>
      </c>
      <c r="K128" s="70" t="str">
        <f>'RESUMEN TOTAL'!R162</f>
        <v>APAGADO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 t="str">
        <f>'RESUMEN TOTAL'!M163</f>
        <v>APAGADO</v>
      </c>
      <c r="G129" s="70" t="str">
        <f>'RESUMEN TOTAL'!N163</f>
        <v>APAGADO</v>
      </c>
      <c r="H129" s="70" t="str">
        <f>'RESUMEN TOTAL'!O163</f>
        <v>APAGADO</v>
      </c>
      <c r="I129" s="70" t="str">
        <f>'RESUMEN TOTAL'!P163</f>
        <v>APAGADO</v>
      </c>
      <c r="J129" s="70" t="str">
        <f>'RESUMEN TOTAL'!Q163</f>
        <v>APAGADO</v>
      </c>
      <c r="K129" s="70" t="str">
        <f>'RESUMEN TOTAL'!R163</f>
        <v>APAGADO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 t="str">
        <f>'RESUMEN TOTAL'!AF169</f>
        <v>APAGADO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 t="str">
        <f>'RESUMEN TOTAL'!M180</f>
        <v>APAGADO</v>
      </c>
      <c r="G144" s="70" t="str">
        <f>'RESUMEN TOTAL'!N180</f>
        <v>APAGADO</v>
      </c>
      <c r="H144" s="70" t="str">
        <f>'RESUMEN TOTAL'!O180</f>
        <v>APAGADO</v>
      </c>
      <c r="I144" s="70" t="str">
        <f>'RESUMEN TOTAL'!P180</f>
        <v>APAGADO</v>
      </c>
      <c r="J144" s="70" t="str">
        <f>'RESUMEN TOTAL'!Q180</f>
        <v>APAGADO</v>
      </c>
      <c r="K144" s="70" t="str">
        <f>'RESUMEN TOTAL'!R180</f>
        <v>APAGADO</v>
      </c>
      <c r="L144" s="70" t="str">
        <f>'RESUMEN TOTAL'!S180</f>
        <v>APAGADO</v>
      </c>
      <c r="M144" s="70" t="str">
        <f>'RESUMEN TOTAL'!T180</f>
        <v>APAGADO</v>
      </c>
      <c r="N144" s="70" t="str">
        <f>'RESUMEN TOTAL'!U180</f>
        <v>APAGADO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 t="str">
        <f>'RESUMEN TOTAL'!M181</f>
        <v>APAGADO</v>
      </c>
      <c r="G145" s="70" t="str">
        <f>'RESUMEN TOTAL'!N181</f>
        <v>APAGADO</v>
      </c>
      <c r="H145" s="70" t="str">
        <f>'RESUMEN TOTAL'!O181</f>
        <v>APAGADO</v>
      </c>
      <c r="I145" s="70" t="str">
        <f>'RESUMEN TOTAL'!P181</f>
        <v>APAGADO</v>
      </c>
      <c r="J145" s="70" t="str">
        <f>'RESUMEN TOTAL'!Q181</f>
        <v>APAGADO</v>
      </c>
      <c r="K145" s="70" t="str">
        <f>'RESUMEN TOTAL'!R181</f>
        <v>APAGADO</v>
      </c>
      <c r="L145" s="70" t="str">
        <f>'RESUMEN TOTAL'!S181</f>
        <v>APAGADO</v>
      </c>
      <c r="M145" s="70" t="str">
        <f>'RESUMEN TOTAL'!T181</f>
        <v>APAGADO</v>
      </c>
      <c r="N145" s="70" t="str">
        <f>'RESUMEN TOTAL'!U181</f>
        <v>APAGADO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 t="str">
        <f>'RESUMEN TOTAL'!N186</f>
        <v>APAGADO</v>
      </c>
      <c r="H146" s="70" t="str">
        <f>'RESUMEN TOTAL'!O186</f>
        <v>APAGADO</v>
      </c>
      <c r="I146" s="70">
        <f>'RESUMEN TOTAL'!P186</f>
        <v>0</v>
      </c>
      <c r="J146" s="70" t="str">
        <f>'RESUMEN TOTAL'!Q186</f>
        <v>APAGADO</v>
      </c>
      <c r="K146" s="70" t="str">
        <f>'RESUMEN TOTAL'!R186</f>
        <v>APAGADO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 t="str">
        <f>'RESUMEN TOTAL'!N187</f>
        <v>APAGADO</v>
      </c>
      <c r="H147" s="70" t="str">
        <f>'RESUMEN TOTAL'!O187</f>
        <v>APAGADO</v>
      </c>
      <c r="I147" s="70">
        <f>'RESUMEN TOTAL'!P187</f>
        <v>0</v>
      </c>
      <c r="J147" s="70" t="str">
        <f>'RESUMEN TOTAL'!Q187</f>
        <v>APAGADO</v>
      </c>
      <c r="K147" s="70" t="str">
        <f>'RESUMEN TOTAL'!R187</f>
        <v>APAGADO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 t="str">
        <f>'RESUMEN TOTAL'!M188</f>
        <v>APAGADO</v>
      </c>
      <c r="G148" s="70" t="str">
        <f>'RESUMEN TOTAL'!N188</f>
        <v>APAGADO</v>
      </c>
      <c r="H148" s="70" t="str">
        <f>'RESUMEN TOTAL'!O188</f>
        <v>APAGADO</v>
      </c>
      <c r="I148" s="70" t="str">
        <f>'RESUMEN TOTAL'!P188</f>
        <v>APAGADO</v>
      </c>
      <c r="J148" s="70" t="str">
        <f>'RESUMEN TOTAL'!Q188</f>
        <v>APAGADO</v>
      </c>
      <c r="K148" s="70" t="str">
        <f>'RESUMEN TOTAL'!R188</f>
        <v>APAGADO</v>
      </c>
      <c r="L148" s="70" t="str">
        <f>'RESUMEN TOTAL'!S188</f>
        <v>APAGADO</v>
      </c>
      <c r="M148" s="70" t="str">
        <f>'RESUMEN TOTAL'!T188</f>
        <v>APAGADO</v>
      </c>
      <c r="N148" s="70" t="str">
        <f>'RESUMEN TOTAL'!U188</f>
        <v>APAGADO</v>
      </c>
      <c r="O148" s="70" t="str">
        <f>'RESUMEN TOTAL'!V188</f>
        <v>APAGADO</v>
      </c>
      <c r="P148" s="70" t="str">
        <f>'RESUMEN TOTAL'!W188</f>
        <v>APAGADO</v>
      </c>
      <c r="Q148" s="70" t="str">
        <f>'RESUMEN TOTAL'!X188</f>
        <v>APAGADO</v>
      </c>
      <c r="R148" s="70" t="str">
        <f>'RESUMEN TOTAL'!Y188</f>
        <v>APAGADO</v>
      </c>
      <c r="S148" s="70" t="str">
        <f>'RESUMEN TOTAL'!Z188</f>
        <v>APAGADO</v>
      </c>
      <c r="T148" s="70" t="str">
        <f>'RESUMEN TOTAL'!AA188</f>
        <v>APAGADO</v>
      </c>
      <c r="U148" s="70" t="str">
        <f>'RESUMEN TOTAL'!AB188</f>
        <v>APAGADO</v>
      </c>
      <c r="V148" s="70" t="str">
        <f>'RESUMEN TOTAL'!AC188</f>
        <v>APAGADO</v>
      </c>
      <c r="W148" s="70" t="str">
        <f>'RESUMEN TOTAL'!AD188</f>
        <v>APAGADO</v>
      </c>
      <c r="X148" s="70" t="str">
        <f>'RESUMEN TOTAL'!AE188</f>
        <v>APAGADO</v>
      </c>
      <c r="Y148" s="70" t="str">
        <f>'RESUMEN TOTAL'!AF188</f>
        <v>APAGADO</v>
      </c>
      <c r="Z148" s="70" t="str">
        <f>'RESUMEN TOTAL'!AG188</f>
        <v>APAGADO</v>
      </c>
      <c r="AA148" s="70" t="str">
        <f>'RESUMEN TOTAL'!AH188</f>
        <v>APAGADO</v>
      </c>
      <c r="AB148" s="70" t="str">
        <f>'RESUMEN TOTAL'!AI188</f>
        <v>APAGADO</v>
      </c>
      <c r="AC148" s="70" t="str">
        <f>'RESUMEN TOTAL'!AJ188</f>
        <v>APAGADO</v>
      </c>
      <c r="AD148" s="70" t="str">
        <f>'RESUMEN TOTAL'!AK188</f>
        <v>APAGADO</v>
      </c>
      <c r="AE148" s="70" t="str">
        <f>'RESUMEN TOTAL'!AL188</f>
        <v>APAGADO</v>
      </c>
      <c r="AF148" s="70">
        <f>'RESUMEN TOTAL'!AM188</f>
        <v>0</v>
      </c>
      <c r="AG148" s="70">
        <f>'RESUMEN TOTAL'!AN188</f>
        <v>0</v>
      </c>
      <c r="AH148" s="70">
        <f>'RESUMEN TOTAL'!AO188</f>
        <v>0</v>
      </c>
      <c r="AI148" s="70">
        <f>'RESUMEN TOTAL'!AP188</f>
        <v>0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>
        <f>'RESUMEN TOTAL'!O190</f>
        <v>0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 t="str">
        <f>'RESUMEN TOTAL'!AJ190</f>
        <v>APAGADO</v>
      </c>
      <c r="AD150" s="70" t="str">
        <f>'RESUMEN TOTAL'!AK190</f>
        <v>APAGADO</v>
      </c>
      <c r="AE150" s="70">
        <f>'RESUMEN TOTAL'!AL190</f>
        <v>0</v>
      </c>
      <c r="AF150" s="70">
        <f>'RESUMEN TOTAL'!AM190</f>
        <v>0</v>
      </c>
      <c r="AG150" s="70">
        <f>'RESUMEN TOTAL'!AN190</f>
        <v>0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>
        <f>'RESUMEN TOTAL'!M191</f>
        <v>0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 t="str">
        <f>'RESUMEN TOTAL'!Y192</f>
        <v>APAGADO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 t="str">
        <f>'RESUMEN TOTAL'!Q193</f>
        <v>APAGADO</v>
      </c>
      <c r="K153" s="70" t="str">
        <f>'RESUMEN TOTAL'!R193</f>
        <v>APAGADO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 t="str">
        <f>'RESUMEN TOTAL'!Y193</f>
        <v>APAGADO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 t="str">
        <f>'RESUMEN TOTAL'!M194</f>
        <v>APAGADO</v>
      </c>
      <c r="G154" s="70" t="str">
        <f>'RESUMEN TOTAL'!N194</f>
        <v>APAGADO</v>
      </c>
      <c r="H154" s="70" t="str">
        <f>'RESUMEN TOTAL'!O194</f>
        <v>APAGADO</v>
      </c>
      <c r="I154" s="70" t="str">
        <f>'RESUMEN TOTAL'!P194</f>
        <v>APAGADO</v>
      </c>
      <c r="J154" s="70" t="str">
        <f>'RESUMEN TOTAL'!Q194</f>
        <v>APAGADO</v>
      </c>
      <c r="K154" s="70" t="str">
        <f>'RESUMEN TOTAL'!R194</f>
        <v>APAGADO</v>
      </c>
      <c r="L154" s="70" t="str">
        <f>'RESUMEN TOTAL'!S194</f>
        <v>APAGADO</v>
      </c>
      <c r="M154" s="70" t="str">
        <f>'RESUMEN TOTAL'!T194</f>
        <v>APAGADO</v>
      </c>
      <c r="N154" s="70" t="str">
        <f>'RESUMEN TOTAL'!U194</f>
        <v>APAGADO</v>
      </c>
      <c r="O154" s="70" t="str">
        <f>'RESUMEN TOTAL'!V194</f>
        <v>APAGADO</v>
      </c>
      <c r="P154" s="70" t="str">
        <f>'RESUMEN TOTAL'!W194</f>
        <v>APAGADO</v>
      </c>
      <c r="Q154" s="70" t="str">
        <f>'RESUMEN TOTAL'!X194</f>
        <v>APAGADO</v>
      </c>
      <c r="R154" s="70" t="str">
        <f>'RESUMEN TOTAL'!Y194</f>
        <v>APAGADO</v>
      </c>
      <c r="S154" s="70" t="str">
        <f>'RESUMEN TOTAL'!Z194</f>
        <v>APAGADO</v>
      </c>
      <c r="T154" s="70" t="str">
        <f>'RESUMEN TOTAL'!AA194</f>
        <v>APAGADO</v>
      </c>
      <c r="U154" s="70" t="str">
        <f>'RESUMEN TOTAL'!AB194</f>
        <v>APAGADO</v>
      </c>
      <c r="V154" s="70" t="str">
        <f>'RESUMEN TOTAL'!AC194</f>
        <v>APAGADO</v>
      </c>
      <c r="W154" s="70" t="str">
        <f>'RESUMEN TOTAL'!AD194</f>
        <v>APAGADO</v>
      </c>
      <c r="X154" s="70" t="str">
        <f>'RESUMEN TOTAL'!AE194</f>
        <v>APAGADO</v>
      </c>
      <c r="Y154" s="70" t="str">
        <f>'RESUMEN TOTAL'!AF194</f>
        <v>APAGADO</v>
      </c>
      <c r="Z154" s="70" t="str">
        <f>'RESUMEN TOTAL'!AG194</f>
        <v>APAGADO</v>
      </c>
      <c r="AA154" s="70" t="str">
        <f>'RESUMEN TOTAL'!AH194</f>
        <v>APAGADO</v>
      </c>
      <c r="AB154" s="70" t="str">
        <f>'RESUMEN TOTAL'!AI194</f>
        <v>APAGADO</v>
      </c>
      <c r="AC154" s="70" t="str">
        <f>'RESUMEN TOTAL'!AJ194</f>
        <v>APAGADO</v>
      </c>
      <c r="AD154" s="70" t="str">
        <f>'RESUMEN TOTAL'!AK194</f>
        <v>APAGADO</v>
      </c>
      <c r="AE154" s="70" t="str">
        <f>'RESUMEN TOTAL'!AL194</f>
        <v>APAGADO</v>
      </c>
      <c r="AF154" s="70">
        <f>'RESUMEN TOTAL'!AM194</f>
        <v>0</v>
      </c>
      <c r="AG154" s="70">
        <f>'RESUMEN TOTAL'!AN194</f>
        <v>0</v>
      </c>
      <c r="AH154" s="70">
        <f>'RESUMEN TOTAL'!AO194</f>
        <v>0</v>
      </c>
      <c r="AI154" s="70">
        <f>'RESUMEN TOTAL'!AP194</f>
        <v>0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 t="str">
        <f>'RESUMEN TOTAL'!M195</f>
        <v>APAGADO</v>
      </c>
      <c r="G155" s="70" t="str">
        <f>'RESUMEN TOTAL'!N195</f>
        <v>APAGADO</v>
      </c>
      <c r="H155" s="70" t="str">
        <f>'RESUMEN TOTAL'!O195</f>
        <v>APAGADO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 t="str">
        <f>'RESUMEN TOTAL'!W195</f>
        <v>APAGADO</v>
      </c>
      <c r="Q155" s="70">
        <f>'RESUMEN TOTAL'!X195</f>
        <v>0</v>
      </c>
      <c r="R155" s="70" t="str">
        <f>'RESUMEN TOTAL'!Y195</f>
        <v>APAGADO</v>
      </c>
      <c r="S155" s="70" t="str">
        <f>'RESUMEN TOTAL'!Z195</f>
        <v>APAGADO</v>
      </c>
      <c r="T155" s="70" t="str">
        <f>'RESUMEN TOTAL'!AA195</f>
        <v>APAGADO</v>
      </c>
      <c r="U155" s="70" t="str">
        <f>'RESUMEN TOTAL'!AB195</f>
        <v>APAGADO</v>
      </c>
      <c r="V155" s="70" t="str">
        <f>'RESUMEN TOTAL'!AC195</f>
        <v>APAGADO</v>
      </c>
      <c r="W155" s="70" t="str">
        <f>'RESUMEN TOTAL'!AD195</f>
        <v>APAGADO</v>
      </c>
      <c r="X155" s="70">
        <f>'RESUMEN TOTAL'!AE195</f>
        <v>0</v>
      </c>
      <c r="Y155" s="70">
        <f>'RESUMEN TOTAL'!AF195</f>
        <v>0</v>
      </c>
      <c r="Z155" s="70" t="str">
        <f>'RESUMEN TOTAL'!AG195</f>
        <v>APAGADO</v>
      </c>
      <c r="AA155" s="70" t="str">
        <f>'RESUMEN TOTAL'!AH195</f>
        <v>APAGADO</v>
      </c>
      <c r="AB155" s="70" t="str">
        <f>'RESUMEN TOTAL'!AI195</f>
        <v>APAGADO</v>
      </c>
      <c r="AC155" s="70" t="str">
        <f>'RESUMEN TOTAL'!AJ195</f>
        <v>APAGADO</v>
      </c>
      <c r="AD155" s="70" t="str">
        <f>'RESUMEN TOTAL'!AK195</f>
        <v>APAGADO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>
        <f>'RESUMEN TOTAL'!AO195</f>
        <v>0</v>
      </c>
      <c r="AI155" s="70">
        <f>'RESUMEN TOTAL'!AP195</f>
        <v>0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 t="str">
        <f>'RESUMEN TOTAL'!M196</f>
        <v>APAGADO</v>
      </c>
      <c r="G156" s="70" t="str">
        <f>'RESUMEN TOTAL'!N196</f>
        <v>APAGADO</v>
      </c>
      <c r="H156" s="70" t="str">
        <f>'RESUMEN TOTAL'!O196</f>
        <v>APAGADO</v>
      </c>
      <c r="I156" s="70" t="str">
        <f>'RESUMEN TOTAL'!P196</f>
        <v>APAGADO</v>
      </c>
      <c r="J156" s="70" t="str">
        <f>'RESUMEN TOTAL'!Q196</f>
        <v>APAGADO</v>
      </c>
      <c r="K156" s="70" t="str">
        <f>'RESUMEN TOTAL'!R196</f>
        <v>APAGADO</v>
      </c>
      <c r="L156" s="70" t="str">
        <f>'RESUMEN TOTAL'!S196</f>
        <v>APAGADO</v>
      </c>
      <c r="M156" s="70" t="str">
        <f>'RESUMEN TOTAL'!T196</f>
        <v>APAGADO</v>
      </c>
      <c r="N156" s="70" t="str">
        <f>'RESUMEN TOTAL'!U196</f>
        <v>APAGADO</v>
      </c>
      <c r="O156" s="70" t="str">
        <f>'RESUMEN TOTAL'!V196</f>
        <v>APAGADO</v>
      </c>
      <c r="P156" s="70" t="str">
        <f>'RESUMEN TOTAL'!W196</f>
        <v>APAGADO</v>
      </c>
      <c r="Q156" s="70" t="str">
        <f>'RESUMEN TOTAL'!X196</f>
        <v>APAGADO</v>
      </c>
      <c r="R156" s="70" t="str">
        <f>'RESUMEN TOTAL'!Y196</f>
        <v>APAGADO</v>
      </c>
      <c r="S156" s="70">
        <f>'RESUMEN TOTAL'!Z196</f>
        <v>0</v>
      </c>
      <c r="T156" s="70">
        <f>'RESUMEN TOTAL'!AA196</f>
        <v>0</v>
      </c>
      <c r="U156" s="70" t="str">
        <f>'RESUMEN TOTAL'!AB196</f>
        <v>APAGADO</v>
      </c>
      <c r="V156" s="70" t="str">
        <f>'RESUMEN TOTAL'!AC196</f>
        <v>APAGADO</v>
      </c>
      <c r="W156" s="70" t="str">
        <f>'RESUMEN TOTAL'!AD196</f>
        <v>APAGADO</v>
      </c>
      <c r="X156" s="70" t="str">
        <f>'RESUMEN TOTAL'!AE196</f>
        <v>APAGADO</v>
      </c>
      <c r="Y156" s="70" t="str">
        <f>'RESUMEN TOTAL'!AF196</f>
        <v>APAGADO</v>
      </c>
      <c r="Z156" s="70" t="str">
        <f>'RESUMEN TOTAL'!AG196</f>
        <v>APAGADO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 t="str">
        <f>'RESUMEN TOTAL'!AL196</f>
        <v>APAGADO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 t="str">
        <f>'RESUMEN TOTAL'!N206</f>
        <v>APAGADO</v>
      </c>
      <c r="H166" s="70" t="str">
        <f>'RESUMEN TOTAL'!O206</f>
        <v>APAGADO</v>
      </c>
      <c r="I166" s="70" t="str">
        <f>'RESUMEN TOTAL'!P206</f>
        <v>APAGADO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 t="str">
        <f>'RESUMEN TOTAL'!AA206</f>
        <v>APAGADO</v>
      </c>
      <c r="U166" s="70" t="str">
        <f>'RESUMEN TOTAL'!AB206</f>
        <v>APAGADO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 t="str">
        <f>'RESUMEN TOTAL'!AH206</f>
        <v>APAGADO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TOTAL'!A209</f>
        <v>LOMAS DE MONTEVERDE</v>
      </c>
      <c r="B167" t="str">
        <f>'RESUMEN TOTAL'!B209</f>
        <v>LDM 01</v>
      </c>
      <c r="C167" t="str">
        <f>'RESUMEN TOTAL'!D209</f>
        <v>ILLIA Y BOUREL</v>
      </c>
      <c r="D167" s="30" t="str">
        <f>'RESUMEN TOTAL'!E209</f>
        <v>DOMO</v>
      </c>
      <c r="E167" s="30" t="str">
        <f>'RESUMEN TOTAL'!F209</f>
        <v>PTO A FO</v>
      </c>
      <c r="F167" s="70">
        <f>'RESUMEN TOTAL'!M209</f>
        <v>0</v>
      </c>
      <c r="G167" s="70">
        <f>'RESUMEN TOTAL'!N209</f>
        <v>0</v>
      </c>
      <c r="H167" s="70">
        <f>'RESUMEN TOTAL'!O209</f>
        <v>0</v>
      </c>
      <c r="I167" s="70">
        <f>'RESUMEN TOTAL'!P209</f>
        <v>0</v>
      </c>
      <c r="J167" s="70">
        <f>'RESUMEN TOTAL'!Q209</f>
        <v>0</v>
      </c>
      <c r="K167" s="70" t="str">
        <f>'RESUMEN TOTAL'!R209</f>
        <v>APAGADO</v>
      </c>
      <c r="L167" s="70">
        <f>'RESUMEN TOTAL'!S209</f>
        <v>0</v>
      </c>
      <c r="M167" s="70">
        <f>'RESUMEN TOTAL'!T209</f>
        <v>0</v>
      </c>
      <c r="N167" s="70">
        <f>'RESUMEN TOTAL'!U209</f>
        <v>0</v>
      </c>
      <c r="O167" s="70">
        <f>'RESUMEN TOTAL'!V209</f>
        <v>0</v>
      </c>
      <c r="P167" s="70">
        <f>'RESUMEN TOTAL'!W209</f>
        <v>0</v>
      </c>
      <c r="Q167" s="70">
        <f>'RESUMEN TOTAL'!X209</f>
        <v>0</v>
      </c>
      <c r="R167" s="70">
        <f>'RESUMEN TOTAL'!Y209</f>
        <v>0</v>
      </c>
      <c r="S167" s="70">
        <f>'RESUMEN TOTAL'!Z209</f>
        <v>0</v>
      </c>
      <c r="T167" s="70">
        <f>'RESUMEN TOTAL'!AA209</f>
        <v>0</v>
      </c>
      <c r="U167" s="70">
        <f>'RESUMEN TOTAL'!AB209</f>
        <v>0</v>
      </c>
      <c r="V167" s="70">
        <f>'RESUMEN TOTAL'!AC209</f>
        <v>0</v>
      </c>
      <c r="W167" s="70">
        <f>'RESUMEN TOTAL'!AD209</f>
        <v>0</v>
      </c>
      <c r="X167" s="70">
        <f>'RESUMEN TOTAL'!AE209</f>
        <v>0</v>
      </c>
      <c r="Y167" s="70">
        <f>'RESUMEN TOTAL'!AF209</f>
        <v>0</v>
      </c>
      <c r="Z167" s="70">
        <f>'RESUMEN TOTAL'!AG209</f>
        <v>0</v>
      </c>
      <c r="AA167" s="70">
        <f>'RESUMEN TOTAL'!AH209</f>
        <v>0</v>
      </c>
      <c r="AB167" s="70">
        <f>'RESUMEN TOTAL'!AI209</f>
        <v>0</v>
      </c>
      <c r="AC167" s="70">
        <f>'RESUMEN TOTAL'!AJ209</f>
        <v>0</v>
      </c>
      <c r="AD167" s="70">
        <f>'RESUMEN TOTAL'!AK209</f>
        <v>0</v>
      </c>
      <c r="AE167" s="70">
        <f>'RESUMEN TOTAL'!AL209</f>
        <v>0</v>
      </c>
      <c r="AF167" s="70">
        <f>'RESUMEN TOTAL'!AM209</f>
        <v>0</v>
      </c>
      <c r="AG167" s="70">
        <f>'RESUMEN TOTAL'!AN209</f>
        <v>0</v>
      </c>
      <c r="AH167" s="70">
        <f>'RESUMEN TOTAL'!AO209</f>
        <v>0</v>
      </c>
      <c r="AI167" s="70">
        <f>'RESUMEN TOTAL'!AP209</f>
        <v>0</v>
      </c>
    </row>
    <row r="168" spans="1:35" x14ac:dyDescent="0.25">
      <c r="A168" t="str">
        <f>'RESUMEN TOTAL'!A210</f>
        <v>LOMAS DE MONTEVERDE</v>
      </c>
      <c r="B168" t="str">
        <f>'RESUMEN TOTAL'!B210</f>
        <v>LDM 02</v>
      </c>
      <c r="C168" t="str">
        <f>'RESUMEN TOTAL'!D210</f>
        <v>LAS HERAS Y EDISON</v>
      </c>
      <c r="D168" s="30" t="str">
        <f>'RESUMEN TOTAL'!E210</f>
        <v>DOMO</v>
      </c>
      <c r="E168" s="30" t="str">
        <f>'RESUMEN TOTAL'!F210</f>
        <v>GPON</v>
      </c>
      <c r="F168" s="70">
        <f>'RESUMEN TOTAL'!M210</f>
        <v>0</v>
      </c>
      <c r="G168" s="70">
        <f>'RESUMEN TOTAL'!N210</f>
        <v>0</v>
      </c>
      <c r="H168" s="70">
        <f>'RESUMEN TOTAL'!O210</f>
        <v>0</v>
      </c>
      <c r="I168" s="70">
        <f>'RESUMEN TOTAL'!P210</f>
        <v>0</v>
      </c>
      <c r="J168" s="70">
        <f>'RESUMEN TOTAL'!Q210</f>
        <v>0</v>
      </c>
      <c r="K168" s="70">
        <f>'RESUMEN TOTAL'!R210</f>
        <v>0</v>
      </c>
      <c r="L168" s="70">
        <f>'RESUMEN TOTAL'!S210</f>
        <v>0</v>
      </c>
      <c r="M168" s="70">
        <f>'RESUMEN TOTAL'!T210</f>
        <v>0</v>
      </c>
      <c r="N168" s="70">
        <f>'RESUMEN TOTAL'!U210</f>
        <v>0</v>
      </c>
      <c r="O168" s="70">
        <f>'RESUMEN TOTAL'!V210</f>
        <v>0</v>
      </c>
      <c r="P168" s="70">
        <f>'RESUMEN TOTAL'!W210</f>
        <v>0</v>
      </c>
      <c r="Q168" s="70">
        <f>'RESUMEN TOTAL'!X210</f>
        <v>0</v>
      </c>
      <c r="R168" s="70">
        <f>'RESUMEN TOTAL'!Y210</f>
        <v>0</v>
      </c>
      <c r="S168" s="70">
        <f>'RESUMEN TOTAL'!Z210</f>
        <v>0</v>
      </c>
      <c r="T168" s="70">
        <f>'RESUMEN TOTAL'!AA210</f>
        <v>0</v>
      </c>
      <c r="U168" s="70">
        <f>'RESUMEN TOTAL'!AB210</f>
        <v>0</v>
      </c>
      <c r="V168" s="70">
        <f>'RESUMEN TOTAL'!AC210</f>
        <v>0</v>
      </c>
      <c r="W168" s="70">
        <f>'RESUMEN TOTAL'!AD210</f>
        <v>0</v>
      </c>
      <c r="X168" s="70" t="str">
        <f>'RESUMEN TOTAL'!AE210</f>
        <v>APAGADO</v>
      </c>
      <c r="Y168" s="70" t="str">
        <f>'RESUMEN TOTAL'!AF210</f>
        <v>APAGADO</v>
      </c>
      <c r="Z168" s="70">
        <f>'RESUMEN TOTAL'!AG210</f>
        <v>0</v>
      </c>
      <c r="AA168" s="70">
        <f>'RESUMEN TOTAL'!AH210</f>
        <v>0</v>
      </c>
      <c r="AB168" s="70">
        <f>'RESUMEN TOTAL'!AI210</f>
        <v>0</v>
      </c>
      <c r="AC168" s="70">
        <f>'RESUMEN TOTAL'!AJ210</f>
        <v>0</v>
      </c>
      <c r="AD168" s="70">
        <f>'RESUMEN TOTAL'!AK210</f>
        <v>0</v>
      </c>
      <c r="AE168" s="70">
        <f>'RESUMEN TOTAL'!AL210</f>
        <v>0</v>
      </c>
      <c r="AF168" s="70">
        <f>'RESUMEN TOTAL'!AM210</f>
        <v>0</v>
      </c>
      <c r="AG168" s="70">
        <f>'RESUMEN TOTAL'!AN210</f>
        <v>0</v>
      </c>
      <c r="AH168" s="70">
        <f>'RESUMEN TOTAL'!AO210</f>
        <v>0</v>
      </c>
      <c r="AI168" s="70">
        <f>'RESUMEN TOTAL'!AP210</f>
        <v>0</v>
      </c>
    </row>
    <row r="169" spans="1:35" x14ac:dyDescent="0.25">
      <c r="A169" t="str">
        <f>'RESUMEN TOTAL'!A211</f>
        <v>LOMAS DE MONTEVERDE</v>
      </c>
      <c r="B169" t="str">
        <f>'RESUMEN TOTAL'!B211</f>
        <v>LDM 03</v>
      </c>
      <c r="C169" t="str">
        <f>'RESUMEN TOTAL'!D211</f>
        <v>LAS HERAS Y FRANKLIN</v>
      </c>
      <c r="D169" s="30" t="str">
        <f>'RESUMEN TOTAL'!E211</f>
        <v>DOMO</v>
      </c>
      <c r="E169" s="30" t="str">
        <f>'RESUMEN TOTAL'!F211</f>
        <v>GPON</v>
      </c>
      <c r="F169" s="70">
        <f>'RESUMEN TOTAL'!M211</f>
        <v>0</v>
      </c>
      <c r="G169" s="70">
        <f>'RESUMEN TOTAL'!N211</f>
        <v>0</v>
      </c>
      <c r="H169" s="70">
        <f>'RESUMEN TOTAL'!O211</f>
        <v>0</v>
      </c>
      <c r="I169" s="70">
        <f>'RESUMEN TOTAL'!P211</f>
        <v>0</v>
      </c>
      <c r="J169" s="70">
        <f>'RESUMEN TOTAL'!Q211</f>
        <v>0</v>
      </c>
      <c r="K169" s="70">
        <f>'RESUMEN TOTAL'!R211</f>
        <v>0</v>
      </c>
      <c r="L169" s="70">
        <f>'RESUMEN TOTAL'!S211</f>
        <v>0</v>
      </c>
      <c r="M169" s="70">
        <f>'RESUMEN TOTAL'!T211</f>
        <v>0</v>
      </c>
      <c r="N169" s="70">
        <f>'RESUMEN TOTAL'!U211</f>
        <v>0</v>
      </c>
      <c r="O169" s="70">
        <f>'RESUMEN TOTAL'!V211</f>
        <v>0</v>
      </c>
      <c r="P169" s="70">
        <f>'RESUMEN TOTAL'!W211</f>
        <v>0</v>
      </c>
      <c r="Q169" s="70">
        <f>'RESUMEN TOTAL'!X211</f>
        <v>0</v>
      </c>
      <c r="R169" s="70">
        <f>'RESUMEN TOTAL'!Y211</f>
        <v>0</v>
      </c>
      <c r="S169" s="70">
        <f>'RESUMEN TOTAL'!Z211</f>
        <v>0</v>
      </c>
      <c r="T169" s="70">
        <f>'RESUMEN TOTAL'!AA211</f>
        <v>0</v>
      </c>
      <c r="U169" s="70">
        <f>'RESUMEN TOTAL'!AB211</f>
        <v>0</v>
      </c>
      <c r="V169" s="70">
        <f>'RESUMEN TOTAL'!AC211</f>
        <v>0</v>
      </c>
      <c r="W169" s="70">
        <f>'RESUMEN TOTAL'!AD211</f>
        <v>0</v>
      </c>
      <c r="X169" s="70" t="str">
        <f>'RESUMEN TOTAL'!AE211</f>
        <v>APAGADO</v>
      </c>
      <c r="Y169" s="70" t="str">
        <f>'RESUMEN TOTAL'!AF211</f>
        <v>APAGADO</v>
      </c>
      <c r="Z169" s="70">
        <f>'RESUMEN TOTAL'!AG211</f>
        <v>0</v>
      </c>
      <c r="AA169" s="70">
        <f>'RESUMEN TOTAL'!AH211</f>
        <v>0</v>
      </c>
      <c r="AB169" s="70">
        <f>'RESUMEN TOTAL'!AI211</f>
        <v>0</v>
      </c>
      <c r="AC169" s="70">
        <f>'RESUMEN TOTAL'!AJ211</f>
        <v>0</v>
      </c>
      <c r="AD169" s="70">
        <f>'RESUMEN TOTAL'!AK211</f>
        <v>0</v>
      </c>
      <c r="AE169" s="70">
        <f>'RESUMEN TOTAL'!AL211</f>
        <v>0</v>
      </c>
      <c r="AF169" s="70">
        <f>'RESUMEN TOTAL'!AM211</f>
        <v>0</v>
      </c>
      <c r="AG169" s="70">
        <f>'RESUMEN TOTAL'!AN211</f>
        <v>0</v>
      </c>
      <c r="AH169" s="70">
        <f>'RESUMEN TOTAL'!AO211</f>
        <v>0</v>
      </c>
      <c r="AI169" s="70">
        <f>'RESUMEN TOTAL'!AP211</f>
        <v>0</v>
      </c>
    </row>
    <row r="170" spans="1:35" x14ac:dyDescent="0.25">
      <c r="A170" t="str">
        <f>'RESUMEN TOTAL'!A213</f>
        <v>LIBERTAD</v>
      </c>
      <c r="B170" t="str">
        <f>'RESUMEN TOTAL'!B213</f>
        <v>LIBER 01</v>
      </c>
      <c r="C170" t="str">
        <f>'RESUMEN TOTAL'!D213</f>
        <v>511 Y 574 FIJA 01</v>
      </c>
      <c r="D170" s="30" t="str">
        <f>'RESUMEN TOTAL'!E213</f>
        <v>Fija</v>
      </c>
      <c r="E170" s="30" t="str">
        <f>'RESUMEN TOTAL'!F213</f>
        <v>RADIO</v>
      </c>
      <c r="F170" s="70" t="str">
        <f>'RESUMEN TOTAL'!M213</f>
        <v>APAGADO</v>
      </c>
      <c r="G170" s="70">
        <f>'RESUMEN TOTAL'!N213</f>
        <v>0</v>
      </c>
      <c r="H170" s="70">
        <f>'RESUMEN TOTAL'!O213</f>
        <v>0</v>
      </c>
      <c r="I170" s="70" t="str">
        <f>'RESUMEN TOTAL'!P213</f>
        <v>APAGADO</v>
      </c>
      <c r="J170" s="70" t="str">
        <f>'RESUMEN TOTAL'!Q213</f>
        <v>APAGADO</v>
      </c>
      <c r="K170" s="70" t="str">
        <f>'RESUMEN TOTAL'!R213</f>
        <v>APAGADO</v>
      </c>
      <c r="L170" s="70">
        <f>'RESUMEN TOTAL'!S213</f>
        <v>0</v>
      </c>
      <c r="M170" s="70">
        <f>'RESUMEN TOTAL'!T213</f>
        <v>0</v>
      </c>
      <c r="N170" s="70">
        <f>'RESUMEN TOTAL'!U213</f>
        <v>0</v>
      </c>
      <c r="O170" s="70">
        <f>'RESUMEN TOTAL'!V213</f>
        <v>0</v>
      </c>
      <c r="P170" s="70">
        <f>'RESUMEN TOTAL'!W213</f>
        <v>0</v>
      </c>
      <c r="Q170" s="70">
        <f>'RESUMEN TOTAL'!X213</f>
        <v>0</v>
      </c>
      <c r="R170" s="70">
        <f>'RESUMEN TOTAL'!Y213</f>
        <v>0</v>
      </c>
      <c r="S170" s="70">
        <f>'RESUMEN TOTAL'!Z213</f>
        <v>0</v>
      </c>
      <c r="T170" s="70">
        <f>'RESUMEN TOTAL'!AA213</f>
        <v>0</v>
      </c>
      <c r="U170" s="70" t="str">
        <f>'RESUMEN TOTAL'!AB213</f>
        <v>APAGADO</v>
      </c>
      <c r="V170" s="70" t="str">
        <f>'RESUMEN TOTAL'!AC213</f>
        <v>APAGADO</v>
      </c>
      <c r="W170" s="70">
        <f>'RESUMEN TOTAL'!AD213</f>
        <v>0</v>
      </c>
      <c r="X170" s="70" t="str">
        <f>'RESUMEN TOTAL'!AE213</f>
        <v>APAGADO</v>
      </c>
      <c r="Y170" s="70" t="str">
        <f>'RESUMEN TOTAL'!AF213</f>
        <v>APAGADO</v>
      </c>
      <c r="Z170" s="70" t="str">
        <f>'RESUMEN TOTAL'!AG213</f>
        <v>APAGADO</v>
      </c>
      <c r="AA170" s="70" t="str">
        <f>'RESUMEN TOTAL'!AH213</f>
        <v>APAGADO</v>
      </c>
      <c r="AB170" s="70" t="str">
        <f>'RESUMEN TOTAL'!AI213</f>
        <v>APAGADO</v>
      </c>
      <c r="AC170" s="70" t="str">
        <f>'RESUMEN TOTAL'!AJ213</f>
        <v>APAGADO</v>
      </c>
      <c r="AD170" s="70">
        <f>'RESUMEN TOTAL'!AK213</f>
        <v>0</v>
      </c>
      <c r="AE170" s="70">
        <f>'RESUMEN TOTAL'!AL213</f>
        <v>0</v>
      </c>
      <c r="AF170" s="70">
        <f>'RESUMEN TOTAL'!AM213</f>
        <v>0</v>
      </c>
      <c r="AG170" s="70">
        <f>'RESUMEN TOTAL'!AN213</f>
        <v>0</v>
      </c>
      <c r="AH170" s="70">
        <f>'RESUMEN TOTAL'!AO213</f>
        <v>0</v>
      </c>
      <c r="AI170" s="70">
        <f>'RESUMEN TOTAL'!AP213</f>
        <v>0</v>
      </c>
    </row>
    <row r="171" spans="1:35" x14ac:dyDescent="0.25">
      <c r="A171" t="str">
        <f>'RESUMEN TOTAL'!A214</f>
        <v>LIBERTAD</v>
      </c>
      <c r="B171" t="str">
        <f>'RESUMEN TOTAL'!B214</f>
        <v>LIBER 02</v>
      </c>
      <c r="C171" t="str">
        <f>'RESUMEN TOTAL'!D214</f>
        <v>511 Y 574 FIJA 02</v>
      </c>
      <c r="D171" s="30" t="str">
        <f>'RESUMEN TOTAL'!E214</f>
        <v>Fija</v>
      </c>
      <c r="E171" s="30" t="str">
        <f>'RESUMEN TOTAL'!F214</f>
        <v>Radio</v>
      </c>
      <c r="F171" s="70" t="str">
        <f>'RESUMEN TOTAL'!M214</f>
        <v>APAGADO</v>
      </c>
      <c r="G171" s="70">
        <f>'RESUMEN TOTAL'!N214</f>
        <v>0</v>
      </c>
      <c r="H171" s="70">
        <f>'RESUMEN TOTAL'!O214</f>
        <v>0</v>
      </c>
      <c r="I171" s="70" t="str">
        <f>'RESUMEN TOTAL'!P214</f>
        <v>APAGADO</v>
      </c>
      <c r="J171" s="70" t="str">
        <f>'RESUMEN TOTAL'!Q214</f>
        <v>APAGADO</v>
      </c>
      <c r="K171" s="70" t="str">
        <f>'RESUMEN TOTAL'!R214</f>
        <v>APAGADO</v>
      </c>
      <c r="L171" s="70">
        <f>'RESUMEN TOTAL'!S214</f>
        <v>0</v>
      </c>
      <c r="M171" s="70">
        <f>'RESUMEN TOTAL'!T214</f>
        <v>0</v>
      </c>
      <c r="N171" s="70">
        <f>'RESUMEN TOTAL'!U214</f>
        <v>0</v>
      </c>
      <c r="O171" s="70">
        <f>'RESUMEN TOTAL'!V214</f>
        <v>0</v>
      </c>
      <c r="P171" s="70">
        <f>'RESUMEN TOTAL'!W214</f>
        <v>0</v>
      </c>
      <c r="Q171" s="70">
        <f>'RESUMEN TOTAL'!X214</f>
        <v>0</v>
      </c>
      <c r="R171" s="70">
        <f>'RESUMEN TOTAL'!Y214</f>
        <v>0</v>
      </c>
      <c r="S171" s="70">
        <f>'RESUMEN TOTAL'!Z214</f>
        <v>0</v>
      </c>
      <c r="T171" s="70">
        <f>'RESUMEN TOTAL'!AA214</f>
        <v>0</v>
      </c>
      <c r="U171" s="70" t="str">
        <f>'RESUMEN TOTAL'!AB214</f>
        <v>APAGADO</v>
      </c>
      <c r="V171" s="70" t="str">
        <f>'RESUMEN TOTAL'!AC214</f>
        <v>APAGADO</v>
      </c>
      <c r="W171" s="70">
        <f>'RESUMEN TOTAL'!AD214</f>
        <v>0</v>
      </c>
      <c r="X171" s="70" t="str">
        <f>'RESUMEN TOTAL'!AE214</f>
        <v>APAGADO</v>
      </c>
      <c r="Y171" s="70" t="str">
        <f>'RESUMEN TOTAL'!AF214</f>
        <v>APAGADO</v>
      </c>
      <c r="Z171" s="70" t="str">
        <f>'RESUMEN TOTAL'!AG214</f>
        <v>APAGADO</v>
      </c>
      <c r="AA171" s="70" t="str">
        <f>'RESUMEN TOTAL'!AH214</f>
        <v>APAGADO</v>
      </c>
      <c r="AB171" s="70" t="str">
        <f>'RESUMEN TOTAL'!AI214</f>
        <v>APAGADO</v>
      </c>
      <c r="AC171" s="70" t="str">
        <f>'RESUMEN TOTAL'!AJ214</f>
        <v>APAGADO</v>
      </c>
      <c r="AD171" s="70">
        <f>'RESUMEN TOTAL'!AK214</f>
        <v>0</v>
      </c>
      <c r="AE171" s="70">
        <f>'RESUMEN TOTAL'!AL214</f>
        <v>0</v>
      </c>
      <c r="AF171" s="70">
        <f>'RESUMEN TOTAL'!AM214</f>
        <v>0</v>
      </c>
      <c r="AG171" s="70">
        <f>'RESUMEN TOTAL'!AN214</f>
        <v>0</v>
      </c>
      <c r="AH171" s="70">
        <f>'RESUMEN TOTAL'!AO214</f>
        <v>0</v>
      </c>
      <c r="AI171" s="70">
        <f>'RESUMEN TOTAL'!AP214</f>
        <v>0</v>
      </c>
    </row>
    <row r="172" spans="1:35" x14ac:dyDescent="0.25">
      <c r="A172" t="str">
        <f>'RESUMEN TOTAL'!A215</f>
        <v>z</v>
      </c>
      <c r="B172" t="str">
        <f>'RESUMEN TOTAL'!B215</f>
        <v>LPI 01</v>
      </c>
      <c r="C172" t="str">
        <f>'RESUMEN TOTAL'!D215</f>
        <v>Maipu y Posadas</v>
      </c>
      <c r="D172" s="30" t="str">
        <f>'RESUMEN TOTAL'!E215</f>
        <v>Domo</v>
      </c>
      <c r="E172" s="30" t="str">
        <f>'RESUMEN TOTAL'!F215</f>
        <v>PTO A FO</v>
      </c>
      <c r="F172" s="70" t="str">
        <f>'RESUMEN TOTAL'!M215</f>
        <v>APAGADO</v>
      </c>
      <c r="G172" s="70">
        <f>'RESUMEN TOTAL'!N215</f>
        <v>0</v>
      </c>
      <c r="H172" s="70">
        <f>'RESUMEN TOTAL'!O215</f>
        <v>0</v>
      </c>
      <c r="I172" s="70">
        <f>'RESUMEN TOTAL'!P215</f>
        <v>0</v>
      </c>
      <c r="J172" s="70">
        <f>'RESUMEN TOTAL'!Q215</f>
        <v>0</v>
      </c>
      <c r="K172" s="70">
        <f>'RESUMEN TOTAL'!R215</f>
        <v>0</v>
      </c>
      <c r="L172" s="70">
        <f>'RESUMEN TOTAL'!S215</f>
        <v>0</v>
      </c>
      <c r="M172" s="70">
        <f>'RESUMEN TOTAL'!T215</f>
        <v>0</v>
      </c>
      <c r="N172" s="70">
        <f>'RESUMEN TOTAL'!U215</f>
        <v>0</v>
      </c>
      <c r="O172" s="70">
        <f>'RESUMEN TOTAL'!V215</f>
        <v>0</v>
      </c>
      <c r="P172" s="70">
        <f>'RESUMEN TOTAL'!W215</f>
        <v>0</v>
      </c>
      <c r="Q172" s="70">
        <f>'RESUMEN TOTAL'!X215</f>
        <v>0</v>
      </c>
      <c r="R172" s="70">
        <f>'RESUMEN TOTAL'!Y215</f>
        <v>0</v>
      </c>
      <c r="S172" s="70">
        <f>'RESUMEN TOTAL'!Z215</f>
        <v>0</v>
      </c>
      <c r="T172" s="70">
        <f>'RESUMEN TOTAL'!AA215</f>
        <v>0</v>
      </c>
      <c r="U172" s="70">
        <f>'RESUMEN TOTAL'!AB215</f>
        <v>0</v>
      </c>
      <c r="V172" s="70">
        <f>'RESUMEN TOTAL'!AC215</f>
        <v>0</v>
      </c>
      <c r="W172" s="70">
        <f>'RESUMEN TOTAL'!AD215</f>
        <v>0</v>
      </c>
      <c r="X172" s="70">
        <f>'RESUMEN TOTAL'!AE215</f>
        <v>0</v>
      </c>
      <c r="Y172" s="70">
        <f>'RESUMEN TOTAL'!AF215</f>
        <v>0</v>
      </c>
      <c r="Z172" s="70">
        <f>'RESUMEN TOTAL'!AG215</f>
        <v>0</v>
      </c>
      <c r="AA172" s="70">
        <f>'RESUMEN TOTAL'!AH215</f>
        <v>0</v>
      </c>
      <c r="AB172" s="70">
        <f>'RESUMEN TOTAL'!AI215</f>
        <v>0</v>
      </c>
      <c r="AC172" s="70">
        <f>'RESUMEN TOTAL'!AJ215</f>
        <v>0</v>
      </c>
      <c r="AD172" s="70" t="str">
        <f>'RESUMEN TOTAL'!AK215</f>
        <v>APAGADO</v>
      </c>
      <c r="AE172" s="70">
        <f>'RESUMEN TOTAL'!AL215</f>
        <v>0</v>
      </c>
      <c r="AF172" s="70">
        <f>'RESUMEN TOTAL'!AM215</f>
        <v>0</v>
      </c>
      <c r="AG172" s="70">
        <f>'RESUMEN TOTAL'!AN215</f>
        <v>0</v>
      </c>
      <c r="AH172" s="70">
        <f>'RESUMEN TOTAL'!AO215</f>
        <v>0</v>
      </c>
      <c r="AI172" s="70">
        <f>'RESUMEN TOTAL'!AP215</f>
        <v>0</v>
      </c>
    </row>
    <row r="173" spans="1:35" x14ac:dyDescent="0.25">
      <c r="A173" t="str">
        <f>'RESUMEN TOTAL'!A216</f>
        <v>CHACABUCO</v>
      </c>
      <c r="B173" t="str">
        <f>'RESUMEN TOTAL'!B216</f>
        <v>LPI02</v>
      </c>
      <c r="C173" t="str">
        <f>'RESUMEN TOTAL'!D216</f>
        <v>EE.UU y Ayacucho</v>
      </c>
      <c r="D173" s="30" t="str">
        <f>'RESUMEN TOTAL'!E216</f>
        <v>Domo</v>
      </c>
      <c r="E173" s="30" t="str">
        <f>'RESUMEN TOTAL'!F216</f>
        <v>GPON</v>
      </c>
      <c r="F173" s="70">
        <f>'RESUMEN TOTAL'!M216</f>
        <v>0</v>
      </c>
      <c r="G173" s="70">
        <f>'RESUMEN TOTAL'!N216</f>
        <v>0</v>
      </c>
      <c r="H173" s="70">
        <f>'RESUMEN TOTAL'!O216</f>
        <v>0</v>
      </c>
      <c r="I173" s="70">
        <f>'RESUMEN TOTAL'!P216</f>
        <v>0</v>
      </c>
      <c r="J173" s="70">
        <f>'RESUMEN TOTAL'!Q216</f>
        <v>0</v>
      </c>
      <c r="K173" s="70">
        <f>'RESUMEN TOTAL'!R216</f>
        <v>0</v>
      </c>
      <c r="L173" s="70">
        <f>'RESUMEN TOTAL'!S216</f>
        <v>0</v>
      </c>
      <c r="M173" s="70">
        <f>'RESUMEN TOTAL'!T216</f>
        <v>0</v>
      </c>
      <c r="N173" s="70">
        <f>'RESUMEN TOTAL'!U216</f>
        <v>0</v>
      </c>
      <c r="O173" s="70">
        <f>'RESUMEN TOTAL'!V216</f>
        <v>0</v>
      </c>
      <c r="P173" s="70">
        <f>'RESUMEN TOTAL'!W216</f>
        <v>0</v>
      </c>
      <c r="Q173" s="70">
        <f>'RESUMEN TOTAL'!X216</f>
        <v>0</v>
      </c>
      <c r="R173" s="70">
        <f>'RESUMEN TOTAL'!Y216</f>
        <v>0</v>
      </c>
      <c r="S173" s="70">
        <f>'RESUMEN TOTAL'!Z216</f>
        <v>0</v>
      </c>
      <c r="T173" s="70">
        <f>'RESUMEN TOTAL'!AA216</f>
        <v>0</v>
      </c>
      <c r="U173" s="70">
        <f>'RESUMEN TOTAL'!AB216</f>
        <v>0</v>
      </c>
      <c r="V173" s="70">
        <f>'RESUMEN TOTAL'!AC216</f>
        <v>0</v>
      </c>
      <c r="W173" s="70">
        <f>'RESUMEN TOTAL'!AD216</f>
        <v>0</v>
      </c>
      <c r="X173" s="70">
        <f>'RESUMEN TOTAL'!AE216</f>
        <v>0</v>
      </c>
      <c r="Y173" s="70">
        <f>'RESUMEN TOTAL'!AF216</f>
        <v>0</v>
      </c>
      <c r="Z173" s="70">
        <f>'RESUMEN TOTAL'!AG216</f>
        <v>0</v>
      </c>
      <c r="AA173" s="70">
        <f>'RESUMEN TOTAL'!AH216</f>
        <v>0</v>
      </c>
      <c r="AB173" s="70">
        <f>'RESUMEN TOTAL'!AI216</f>
        <v>0</v>
      </c>
      <c r="AC173" s="70">
        <f>'RESUMEN TOTAL'!AJ216</f>
        <v>0</v>
      </c>
      <c r="AD173" s="70">
        <f>'RESUMEN TOTAL'!AK216</f>
        <v>0</v>
      </c>
      <c r="AE173" s="70">
        <f>'RESUMEN TOTAL'!AL216</f>
        <v>0</v>
      </c>
      <c r="AF173" s="70">
        <f>'RESUMEN TOTAL'!AM216</f>
        <v>0</v>
      </c>
      <c r="AG173" s="70">
        <f>'RESUMEN TOTAL'!AN216</f>
        <v>0</v>
      </c>
      <c r="AH173" s="70">
        <f>'RESUMEN TOTAL'!AO216</f>
        <v>0</v>
      </c>
      <c r="AI173" s="70">
        <f>'RESUMEN TOTAL'!AP216</f>
        <v>0</v>
      </c>
    </row>
    <row r="174" spans="1:35" x14ac:dyDescent="0.25">
      <c r="A174" t="str">
        <f>'RESUMEN TOTAL'!A217</f>
        <v>LA PILETA</v>
      </c>
      <c r="B174" t="str">
        <f>'RESUMEN TOTAL'!B217</f>
        <v>LPI03 (fija 2)</v>
      </c>
      <c r="C174" t="str">
        <f>'RESUMEN TOTAL'!D217</f>
        <v>MAIPU Y POSADAS</v>
      </c>
      <c r="D174" s="30" t="str">
        <f>'RESUMEN TOTAL'!E217</f>
        <v>Fija</v>
      </c>
      <c r="E174" s="30" t="str">
        <f>'RESUMEN TOTAL'!F217</f>
        <v>Fibra Optica</v>
      </c>
      <c r="F174" s="70" t="str">
        <f>'RESUMEN TOTAL'!M217</f>
        <v>APAGADO</v>
      </c>
      <c r="G174" s="70">
        <f>'RESUMEN TOTAL'!N217</f>
        <v>0</v>
      </c>
      <c r="H174" s="70">
        <f>'RESUMEN TOTAL'!O217</f>
        <v>0</v>
      </c>
      <c r="I174" s="70">
        <f>'RESUMEN TOTAL'!P217</f>
        <v>0</v>
      </c>
      <c r="J174" s="70">
        <f>'RESUMEN TOTAL'!Q217</f>
        <v>0</v>
      </c>
      <c r="K174" s="70">
        <f>'RESUMEN TOTAL'!R217</f>
        <v>0</v>
      </c>
      <c r="L174" s="70">
        <f>'RESUMEN TOTAL'!S217</f>
        <v>0</v>
      </c>
      <c r="M174" s="70">
        <f>'RESUMEN TOTAL'!T217</f>
        <v>0</v>
      </c>
      <c r="N174" s="70">
        <f>'RESUMEN TOTAL'!U217</f>
        <v>0</v>
      </c>
      <c r="O174" s="70">
        <f>'RESUMEN TOTAL'!V217</f>
        <v>0</v>
      </c>
      <c r="P174" s="70">
        <f>'RESUMEN TOTAL'!W217</f>
        <v>0</v>
      </c>
      <c r="Q174" s="70">
        <f>'RESUMEN TOTAL'!X217</f>
        <v>0</v>
      </c>
      <c r="R174" s="70">
        <f>'RESUMEN TOTAL'!Y217</f>
        <v>0</v>
      </c>
      <c r="S174" s="70">
        <f>'RESUMEN TOTAL'!Z217</f>
        <v>0</v>
      </c>
      <c r="T174" s="70">
        <f>'RESUMEN TOTAL'!AA217</f>
        <v>0</v>
      </c>
      <c r="U174" s="70">
        <f>'RESUMEN TOTAL'!AB217</f>
        <v>0</v>
      </c>
      <c r="V174" s="70">
        <f>'RESUMEN TOTAL'!AC217</f>
        <v>0</v>
      </c>
      <c r="W174" s="70">
        <f>'RESUMEN TOTAL'!AD217</f>
        <v>0</v>
      </c>
      <c r="X174" s="70">
        <f>'RESUMEN TOTAL'!AE217</f>
        <v>0</v>
      </c>
      <c r="Y174" s="70">
        <f>'RESUMEN TOTAL'!AF217</f>
        <v>0</v>
      </c>
      <c r="Z174" s="70">
        <f>'RESUMEN TOTAL'!AG217</f>
        <v>0</v>
      </c>
      <c r="AA174" s="70">
        <f>'RESUMEN TOTAL'!AH217</f>
        <v>0</v>
      </c>
      <c r="AB174" s="70">
        <f>'RESUMEN TOTAL'!AI217</f>
        <v>0</v>
      </c>
      <c r="AC174" s="70">
        <f>'RESUMEN TOTAL'!AJ217</f>
        <v>0</v>
      </c>
      <c r="AD174" s="70" t="str">
        <f>'RESUMEN TOTAL'!AK217</f>
        <v>APAGADO</v>
      </c>
      <c r="AE174" s="70">
        <f>'RESUMEN TOTAL'!AL217</f>
        <v>0</v>
      </c>
      <c r="AF174" s="70">
        <f>'RESUMEN TOTAL'!AM217</f>
        <v>0</v>
      </c>
      <c r="AG174" s="70">
        <f>'RESUMEN TOTAL'!AN217</f>
        <v>0</v>
      </c>
      <c r="AH174" s="70">
        <f>'RESUMEN TOTAL'!AO217</f>
        <v>0</v>
      </c>
      <c r="AI174" s="70">
        <f>'RESUMEN TOTAL'!AP217</f>
        <v>0</v>
      </c>
    </row>
    <row r="175" spans="1:35" x14ac:dyDescent="0.25">
      <c r="A175" t="str">
        <f>'RESUMEN TOTAL'!A218</f>
        <v>LA PILETA</v>
      </c>
      <c r="B175" t="str">
        <f>'RESUMEN TOTAL'!B218</f>
        <v>LPI04 (fija 1)</v>
      </c>
      <c r="C175" t="str">
        <f>'RESUMEN TOTAL'!D218</f>
        <v>MAIPU Y POSADAS</v>
      </c>
      <c r="D175" s="30" t="str">
        <f>'RESUMEN TOTAL'!E218</f>
        <v>FIJA</v>
      </c>
      <c r="E175" s="30" t="str">
        <f>'RESUMEN TOTAL'!F218</f>
        <v>Fibra Optica</v>
      </c>
      <c r="F175" s="70" t="str">
        <f>'RESUMEN TOTAL'!M218</f>
        <v>APAGADO</v>
      </c>
      <c r="G175" s="70">
        <f>'RESUMEN TOTAL'!N218</f>
        <v>0</v>
      </c>
      <c r="H175" s="70">
        <f>'RESUMEN TOTAL'!O218</f>
        <v>0</v>
      </c>
      <c r="I175" s="70">
        <f>'RESUMEN TOTAL'!P218</f>
        <v>0</v>
      </c>
      <c r="J175" s="70">
        <f>'RESUMEN TOTAL'!Q218</f>
        <v>0</v>
      </c>
      <c r="K175" s="70">
        <f>'RESUMEN TOTAL'!R218</f>
        <v>0</v>
      </c>
      <c r="L175" s="70">
        <f>'RESUMEN TOTAL'!S218</f>
        <v>0</v>
      </c>
      <c r="M175" s="70">
        <f>'RESUMEN TOTAL'!T218</f>
        <v>0</v>
      </c>
      <c r="N175" s="70">
        <f>'RESUMEN TOTAL'!U218</f>
        <v>0</v>
      </c>
      <c r="O175" s="70">
        <f>'RESUMEN TOTAL'!V218</f>
        <v>0</v>
      </c>
      <c r="P175" s="70">
        <f>'RESUMEN TOTAL'!W218</f>
        <v>0</v>
      </c>
      <c r="Q175" s="70">
        <f>'RESUMEN TOTAL'!X218</f>
        <v>0</v>
      </c>
      <c r="R175" s="70">
        <f>'RESUMEN TOTAL'!Y218</f>
        <v>0</v>
      </c>
      <c r="S175" s="70">
        <f>'RESUMEN TOTAL'!Z218</f>
        <v>0</v>
      </c>
      <c r="T175" s="70">
        <f>'RESUMEN TOTAL'!AA218</f>
        <v>0</v>
      </c>
      <c r="U175" s="70">
        <f>'RESUMEN TOTAL'!AB218</f>
        <v>0</v>
      </c>
      <c r="V175" s="70">
        <f>'RESUMEN TOTAL'!AC218</f>
        <v>0</v>
      </c>
      <c r="W175" s="70">
        <f>'RESUMEN TOTAL'!AD218</f>
        <v>0</v>
      </c>
      <c r="X175" s="70">
        <f>'RESUMEN TOTAL'!AE218</f>
        <v>0</v>
      </c>
      <c r="Y175" s="70">
        <f>'RESUMEN TOTAL'!AF218</f>
        <v>0</v>
      </c>
      <c r="Z175" s="70">
        <f>'RESUMEN TOTAL'!AG218</f>
        <v>0</v>
      </c>
      <c r="AA175" s="70">
        <f>'RESUMEN TOTAL'!AH218</f>
        <v>0</v>
      </c>
      <c r="AB175" s="70">
        <f>'RESUMEN TOTAL'!AI218</f>
        <v>0</v>
      </c>
      <c r="AC175" s="70">
        <f>'RESUMEN TOTAL'!AJ218</f>
        <v>0</v>
      </c>
      <c r="AD175" s="70" t="str">
        <f>'RESUMEN TOTAL'!AK218</f>
        <v>APAGADO</v>
      </c>
      <c r="AE175" s="70">
        <f>'RESUMEN TOTAL'!AL218</f>
        <v>0</v>
      </c>
      <c r="AF175" s="70">
        <f>'RESUMEN TOTAL'!AM218</f>
        <v>0</v>
      </c>
      <c r="AG175" s="70">
        <f>'RESUMEN TOTAL'!AN218</f>
        <v>0</v>
      </c>
      <c r="AH175" s="70">
        <f>'RESUMEN TOTAL'!AO218</f>
        <v>0</v>
      </c>
      <c r="AI175" s="70">
        <f>'RESUMEN TOTAL'!AP218</f>
        <v>0</v>
      </c>
    </row>
    <row r="176" spans="1:35" x14ac:dyDescent="0.25">
      <c r="A176" t="str">
        <f>'RESUMEN TOTAL'!A222</f>
        <v>LOS PILARES</v>
      </c>
      <c r="B176" t="str">
        <f>'RESUMEN TOTAL'!B222</f>
        <v>LPR 01</v>
      </c>
      <c r="C176" t="str">
        <f>'RESUMEN TOTAL'!D222</f>
        <v>EVA PERON E/ CACHEUTA Y 1406</v>
      </c>
      <c r="D176" s="30" t="str">
        <f>'RESUMEN TOTAL'!E222</f>
        <v>DOMO</v>
      </c>
      <c r="E176" s="30" t="str">
        <f>'RESUMEN TOTAL'!F222</f>
        <v>GPON</v>
      </c>
      <c r="F176" s="70">
        <f>'RESUMEN TOTAL'!M222</f>
        <v>0</v>
      </c>
      <c r="G176" s="70">
        <f>'RESUMEN TOTAL'!N222</f>
        <v>0</v>
      </c>
      <c r="H176" s="70">
        <f>'RESUMEN TOTAL'!O222</f>
        <v>0</v>
      </c>
      <c r="I176" s="70">
        <f>'RESUMEN TOTAL'!P222</f>
        <v>0</v>
      </c>
      <c r="J176" s="70">
        <f>'RESUMEN TOTAL'!Q222</f>
        <v>0</v>
      </c>
      <c r="K176" s="70">
        <f>'RESUMEN TOTAL'!R222</f>
        <v>0</v>
      </c>
      <c r="L176" s="70">
        <f>'RESUMEN TOTAL'!S222</f>
        <v>0</v>
      </c>
      <c r="M176" s="70">
        <f>'RESUMEN TOTAL'!T222</f>
        <v>0</v>
      </c>
      <c r="N176" s="70">
        <f>'RESUMEN TOTAL'!U222</f>
        <v>0</v>
      </c>
      <c r="O176" s="70">
        <f>'RESUMEN TOTAL'!V222</f>
        <v>0</v>
      </c>
      <c r="P176" s="70">
        <f>'RESUMEN TOTAL'!W222</f>
        <v>0</v>
      </c>
      <c r="Q176" s="70">
        <f>'RESUMEN TOTAL'!X222</f>
        <v>0</v>
      </c>
      <c r="R176" s="70">
        <f>'RESUMEN TOTAL'!Y222</f>
        <v>0</v>
      </c>
      <c r="S176" s="70">
        <f>'RESUMEN TOTAL'!Z222</f>
        <v>0</v>
      </c>
      <c r="T176" s="70">
        <f>'RESUMEN TOTAL'!AA222</f>
        <v>0</v>
      </c>
      <c r="U176" s="70">
        <f>'RESUMEN TOTAL'!AB222</f>
        <v>0</v>
      </c>
      <c r="V176" s="70">
        <f>'RESUMEN TOTAL'!AC222</f>
        <v>0</v>
      </c>
      <c r="W176" s="70">
        <f>'RESUMEN TOTAL'!AD222</f>
        <v>0</v>
      </c>
      <c r="X176" s="70">
        <f>'RESUMEN TOTAL'!AE222</f>
        <v>0</v>
      </c>
      <c r="Y176" s="70">
        <f>'RESUMEN TOTAL'!AF222</f>
        <v>0</v>
      </c>
      <c r="Z176" s="70">
        <f>'RESUMEN TOTAL'!AG222</f>
        <v>0</v>
      </c>
      <c r="AA176" s="70">
        <f>'RESUMEN TOTAL'!AH222</f>
        <v>0</v>
      </c>
      <c r="AB176" s="70">
        <f>'RESUMEN TOTAL'!AI222</f>
        <v>0</v>
      </c>
      <c r="AC176" s="70">
        <f>'RESUMEN TOTAL'!AJ222</f>
        <v>0</v>
      </c>
      <c r="AD176" s="70">
        <f>'RESUMEN TOTAL'!AK222</f>
        <v>0</v>
      </c>
      <c r="AE176" s="70">
        <f>'RESUMEN TOTAL'!AL222</f>
        <v>0</v>
      </c>
      <c r="AF176" s="70">
        <f>'RESUMEN TOTAL'!AM222</f>
        <v>0</v>
      </c>
      <c r="AG176" s="70">
        <f>'RESUMEN TOTAL'!AN222</f>
        <v>0</v>
      </c>
      <c r="AH176" s="70">
        <f>'RESUMEN TOTAL'!AO222</f>
        <v>0</v>
      </c>
      <c r="AI176" s="70">
        <f>'RESUMEN TOTAL'!AP222</f>
        <v>0</v>
      </c>
    </row>
    <row r="177" spans="1:35" x14ac:dyDescent="0.25">
      <c r="A177" t="str">
        <f>'RESUMEN TOTAL'!A223</f>
        <v>LOS PILARES</v>
      </c>
      <c r="B177" t="str">
        <f>'RESUMEN TOTAL'!B223</f>
        <v>LPR02 (fija 1)</v>
      </c>
      <c r="C177" t="str">
        <f>'RESUMEN TOTAL'!D223</f>
        <v>EVA PERON Y CACHEUTA</v>
      </c>
      <c r="D177" s="30" t="str">
        <f>'RESUMEN TOTAL'!E223</f>
        <v>Fija</v>
      </c>
      <c r="E177" s="30" t="str">
        <f>'RESUMEN TOTAL'!F223</f>
        <v>GPON</v>
      </c>
      <c r="F177" s="70">
        <f>'RESUMEN TOTAL'!M223</f>
        <v>0</v>
      </c>
      <c r="G177" s="70">
        <f>'RESUMEN TOTAL'!N223</f>
        <v>0</v>
      </c>
      <c r="H177" s="70">
        <f>'RESUMEN TOTAL'!O223</f>
        <v>0</v>
      </c>
      <c r="I177" s="70">
        <f>'RESUMEN TOTAL'!P223</f>
        <v>0</v>
      </c>
      <c r="J177" s="70">
        <f>'RESUMEN TOTAL'!Q223</f>
        <v>0</v>
      </c>
      <c r="K177" s="70">
        <f>'RESUMEN TOTAL'!R223</f>
        <v>0</v>
      </c>
      <c r="L177" s="70">
        <f>'RESUMEN TOTAL'!S223</f>
        <v>0</v>
      </c>
      <c r="M177" s="70">
        <f>'RESUMEN TOTAL'!T223</f>
        <v>0</v>
      </c>
      <c r="N177" s="70">
        <f>'RESUMEN TOTAL'!U223</f>
        <v>0</v>
      </c>
      <c r="O177" s="70">
        <f>'RESUMEN TOTAL'!V223</f>
        <v>0</v>
      </c>
      <c r="P177" s="70">
        <f>'RESUMEN TOTAL'!W223</f>
        <v>0</v>
      </c>
      <c r="Q177" s="70">
        <f>'RESUMEN TOTAL'!X223</f>
        <v>0</v>
      </c>
      <c r="R177" s="70">
        <f>'RESUMEN TOTAL'!Y223</f>
        <v>0</v>
      </c>
      <c r="S177" s="70">
        <f>'RESUMEN TOTAL'!Z223</f>
        <v>0</v>
      </c>
      <c r="T177" s="70">
        <f>'RESUMEN TOTAL'!AA223</f>
        <v>0</v>
      </c>
      <c r="U177" s="70">
        <f>'RESUMEN TOTAL'!AB223</f>
        <v>0</v>
      </c>
      <c r="V177" s="70">
        <f>'RESUMEN TOTAL'!AC223</f>
        <v>0</v>
      </c>
      <c r="W177" s="70">
        <f>'RESUMEN TOTAL'!AD223</f>
        <v>0</v>
      </c>
      <c r="X177" s="70">
        <f>'RESUMEN TOTAL'!AE223</f>
        <v>0</v>
      </c>
      <c r="Y177" s="70">
        <f>'RESUMEN TOTAL'!AF223</f>
        <v>0</v>
      </c>
      <c r="Z177" s="70">
        <f>'RESUMEN TOTAL'!AG223</f>
        <v>0</v>
      </c>
      <c r="AA177" s="70">
        <f>'RESUMEN TOTAL'!AH223</f>
        <v>0</v>
      </c>
      <c r="AB177" s="70">
        <f>'RESUMEN TOTAL'!AI223</f>
        <v>0</v>
      </c>
      <c r="AC177" s="70">
        <f>'RESUMEN TOTAL'!AJ223</f>
        <v>0</v>
      </c>
      <c r="AD177" s="70">
        <f>'RESUMEN TOTAL'!AK223</f>
        <v>0</v>
      </c>
      <c r="AE177" s="70">
        <f>'RESUMEN TOTAL'!AL223</f>
        <v>0</v>
      </c>
      <c r="AF177" s="70">
        <f>'RESUMEN TOTAL'!AM223</f>
        <v>0</v>
      </c>
      <c r="AG177" s="70">
        <f>'RESUMEN TOTAL'!AN223</f>
        <v>0</v>
      </c>
      <c r="AH177" s="70">
        <f>'RESUMEN TOTAL'!AO223</f>
        <v>0</v>
      </c>
      <c r="AI177" s="70">
        <f>'RESUMEN TOTAL'!AP223</f>
        <v>0</v>
      </c>
    </row>
    <row r="178" spans="1:35" x14ac:dyDescent="0.25">
      <c r="A178" t="str">
        <f>'RESUMEN TOTAL'!A224</f>
        <v>LOS PILARES</v>
      </c>
      <c r="B178" t="str">
        <f>'RESUMEN TOTAL'!B224</f>
        <v>LPR03 (fija 2)</v>
      </c>
      <c r="C178" t="str">
        <f>'RESUMEN TOTAL'!D224</f>
        <v>EVA PERON Y CACHEUTA</v>
      </c>
      <c r="D178" s="30" t="str">
        <f>'RESUMEN TOTAL'!E224</f>
        <v>Fija</v>
      </c>
      <c r="E178" s="30" t="str">
        <f>'RESUMEN TOTAL'!F224</f>
        <v>GPON</v>
      </c>
      <c r="F178" s="70">
        <f>'RESUMEN TOTAL'!M224</f>
        <v>0</v>
      </c>
      <c r="G178" s="70">
        <f>'RESUMEN TOTAL'!N224</f>
        <v>0</v>
      </c>
      <c r="H178" s="70">
        <f>'RESUMEN TOTAL'!O224</f>
        <v>0</v>
      </c>
      <c r="I178" s="70">
        <f>'RESUMEN TOTAL'!P224</f>
        <v>0</v>
      </c>
      <c r="J178" s="70">
        <f>'RESUMEN TOTAL'!Q224</f>
        <v>0</v>
      </c>
      <c r="K178" s="70">
        <f>'RESUMEN TOTAL'!R224</f>
        <v>0</v>
      </c>
      <c r="L178" s="70">
        <f>'RESUMEN TOTAL'!S224</f>
        <v>0</v>
      </c>
      <c r="M178" s="70">
        <f>'RESUMEN TOTAL'!T224</f>
        <v>0</v>
      </c>
      <c r="N178" s="70">
        <f>'RESUMEN TOTAL'!U224</f>
        <v>0</v>
      </c>
      <c r="O178" s="70">
        <f>'RESUMEN TOTAL'!V224</f>
        <v>0</v>
      </c>
      <c r="P178" s="70">
        <f>'RESUMEN TOTAL'!W224</f>
        <v>0</v>
      </c>
      <c r="Q178" s="70">
        <f>'RESUMEN TOTAL'!X224</f>
        <v>0</v>
      </c>
      <c r="R178" s="70">
        <f>'RESUMEN TOTAL'!Y224</f>
        <v>0</v>
      </c>
      <c r="S178" s="70">
        <f>'RESUMEN TOTAL'!Z224</f>
        <v>0</v>
      </c>
      <c r="T178" s="70">
        <f>'RESUMEN TOTAL'!AA224</f>
        <v>0</v>
      </c>
      <c r="U178" s="70">
        <f>'RESUMEN TOTAL'!AB224</f>
        <v>0</v>
      </c>
      <c r="V178" s="70">
        <f>'RESUMEN TOTAL'!AC224</f>
        <v>0</v>
      </c>
      <c r="W178" s="70">
        <f>'RESUMEN TOTAL'!AD224</f>
        <v>0</v>
      </c>
      <c r="X178" s="70">
        <f>'RESUMEN TOTAL'!AE224</f>
        <v>0</v>
      </c>
      <c r="Y178" s="70">
        <f>'RESUMEN TOTAL'!AF224</f>
        <v>0</v>
      </c>
      <c r="Z178" s="70">
        <f>'RESUMEN TOTAL'!AG224</f>
        <v>0</v>
      </c>
      <c r="AA178" s="70">
        <f>'RESUMEN TOTAL'!AH224</f>
        <v>0</v>
      </c>
      <c r="AB178" s="70">
        <f>'RESUMEN TOTAL'!AI224</f>
        <v>0</v>
      </c>
      <c r="AC178" s="70">
        <f>'RESUMEN TOTAL'!AJ224</f>
        <v>0</v>
      </c>
      <c r="AD178" s="70">
        <f>'RESUMEN TOTAL'!AK224</f>
        <v>0</v>
      </c>
      <c r="AE178" s="70">
        <f>'RESUMEN TOTAL'!AL224</f>
        <v>0</v>
      </c>
      <c r="AF178" s="70">
        <f>'RESUMEN TOTAL'!AM224</f>
        <v>0</v>
      </c>
      <c r="AG178" s="70">
        <f>'RESUMEN TOTAL'!AN224</f>
        <v>0</v>
      </c>
      <c r="AH178" s="70">
        <f>'RESUMEN TOTAL'!AO224</f>
        <v>0</v>
      </c>
      <c r="AI178" s="70">
        <f>'RESUMEN TOTAL'!AP224</f>
        <v>0</v>
      </c>
    </row>
    <row r="179" spans="1:35" x14ac:dyDescent="0.25">
      <c r="A179" t="str">
        <f>'RESUMEN TOTAL'!A225</f>
        <v>LOPEZ ROMERO</v>
      </c>
      <c r="B179" t="str">
        <f>'RESUMEN TOTAL'!B225</f>
        <v>LRO 05</v>
      </c>
      <c r="C179" t="str">
        <f>'RESUMEN TOTAL'!D225</f>
        <v>Calchaqui y Las Americas</v>
      </c>
      <c r="D179" s="30" t="str">
        <f>'RESUMEN TOTAL'!E225</f>
        <v>Fija</v>
      </c>
      <c r="E179" s="30" t="str">
        <f>'RESUMEN TOTAL'!F225</f>
        <v>Fibra Optica</v>
      </c>
      <c r="F179" s="70">
        <f>'RESUMEN TOTAL'!M225</f>
        <v>0</v>
      </c>
      <c r="G179" s="70">
        <f>'RESUMEN TOTAL'!N225</f>
        <v>0</v>
      </c>
      <c r="H179" s="70">
        <f>'RESUMEN TOTAL'!O225</f>
        <v>0</v>
      </c>
      <c r="I179" s="70">
        <f>'RESUMEN TOTAL'!P225</f>
        <v>0</v>
      </c>
      <c r="J179" s="70">
        <f>'RESUMEN TOTAL'!Q225</f>
        <v>0</v>
      </c>
      <c r="K179" s="70">
        <f>'RESUMEN TOTAL'!R225</f>
        <v>0</v>
      </c>
      <c r="L179" s="70">
        <f>'RESUMEN TOTAL'!S225</f>
        <v>0</v>
      </c>
      <c r="M179" s="70">
        <f>'RESUMEN TOTAL'!T225</f>
        <v>0</v>
      </c>
      <c r="N179" s="70">
        <f>'RESUMEN TOTAL'!U225</f>
        <v>0</v>
      </c>
      <c r="O179" s="70">
        <f>'RESUMEN TOTAL'!V225</f>
        <v>0</v>
      </c>
      <c r="P179" s="70">
        <f>'RESUMEN TOTAL'!W225</f>
        <v>0</v>
      </c>
      <c r="Q179" s="70">
        <f>'RESUMEN TOTAL'!X225</f>
        <v>0</v>
      </c>
      <c r="R179" s="70">
        <f>'RESUMEN TOTAL'!Y225</f>
        <v>0</v>
      </c>
      <c r="S179" s="70">
        <f>'RESUMEN TOTAL'!Z225</f>
        <v>0</v>
      </c>
      <c r="T179" s="70">
        <f>'RESUMEN TOTAL'!AA225</f>
        <v>0</v>
      </c>
      <c r="U179" s="70">
        <f>'RESUMEN TOTAL'!AB225</f>
        <v>0</v>
      </c>
      <c r="V179" s="70">
        <f>'RESUMEN TOTAL'!AC225</f>
        <v>0</v>
      </c>
      <c r="W179" s="70">
        <f>'RESUMEN TOTAL'!AD225</f>
        <v>0</v>
      </c>
      <c r="X179" s="70">
        <f>'RESUMEN TOTAL'!AE225</f>
        <v>0</v>
      </c>
      <c r="Y179" s="70">
        <f>'RESUMEN TOTAL'!AF225</f>
        <v>0</v>
      </c>
      <c r="Z179" s="70">
        <f>'RESUMEN TOTAL'!AG225</f>
        <v>0</v>
      </c>
      <c r="AA179" s="70">
        <f>'RESUMEN TOTAL'!AH225</f>
        <v>0</v>
      </c>
      <c r="AB179" s="70">
        <f>'RESUMEN TOTAL'!AI225</f>
        <v>0</v>
      </c>
      <c r="AC179" s="70">
        <f>'RESUMEN TOTAL'!AJ225</f>
        <v>0</v>
      </c>
      <c r="AD179" s="70">
        <f>'RESUMEN TOTAL'!AK225</f>
        <v>0</v>
      </c>
      <c r="AE179" s="70">
        <f>'RESUMEN TOTAL'!AL225</f>
        <v>0</v>
      </c>
      <c r="AF179" s="70">
        <f>'RESUMEN TOTAL'!AM225</f>
        <v>0</v>
      </c>
      <c r="AG179" s="70">
        <f>'RESUMEN TOTAL'!AN225</f>
        <v>0</v>
      </c>
      <c r="AH179" s="70">
        <f>'RESUMEN TOTAL'!AO225</f>
        <v>0</v>
      </c>
      <c r="AI179" s="70">
        <f>'RESUMEN TOTAL'!AP225</f>
        <v>0</v>
      </c>
    </row>
    <row r="180" spans="1:35" x14ac:dyDescent="0.25">
      <c r="A180" t="str">
        <f>'RESUMEN TOTAL'!A226</f>
        <v>LOPEZ ROMERO</v>
      </c>
      <c r="B180" t="str">
        <f>'RESUMEN TOTAL'!B226</f>
        <v>LRO 09</v>
      </c>
      <c r="C180" t="str">
        <f>'RESUMEN TOTAL'!D226</f>
        <v>Las Americas y Braile</v>
      </c>
      <c r="D180" s="30" t="str">
        <f>'RESUMEN TOTAL'!E226</f>
        <v>Domo</v>
      </c>
      <c r="E180" s="30" t="str">
        <f>'RESUMEN TOTAL'!F226</f>
        <v>Fibra Optica</v>
      </c>
      <c r="F180" s="70">
        <f>'RESUMEN TOTAL'!M226</f>
        <v>0</v>
      </c>
      <c r="G180" s="70">
        <f>'RESUMEN TOTAL'!N226</f>
        <v>0</v>
      </c>
      <c r="H180" s="70">
        <f>'RESUMEN TOTAL'!O226</f>
        <v>0</v>
      </c>
      <c r="I180" s="70">
        <f>'RESUMEN TOTAL'!P226</f>
        <v>0</v>
      </c>
      <c r="J180" s="70">
        <f>'RESUMEN TOTAL'!Q226</f>
        <v>0</v>
      </c>
      <c r="K180" s="70">
        <f>'RESUMEN TOTAL'!R226</f>
        <v>0</v>
      </c>
      <c r="L180" s="70">
        <f>'RESUMEN TOTAL'!S226</f>
        <v>0</v>
      </c>
      <c r="M180" s="70">
        <f>'RESUMEN TOTAL'!T226</f>
        <v>0</v>
      </c>
      <c r="N180" s="70">
        <f>'RESUMEN TOTAL'!U226</f>
        <v>0</v>
      </c>
      <c r="O180" s="70">
        <f>'RESUMEN TOTAL'!V226</f>
        <v>0</v>
      </c>
      <c r="P180" s="70">
        <f>'RESUMEN TOTAL'!W226</f>
        <v>0</v>
      </c>
      <c r="Q180" s="70">
        <f>'RESUMEN TOTAL'!X226</f>
        <v>0</v>
      </c>
      <c r="R180" s="70">
        <f>'RESUMEN TOTAL'!Y226</f>
        <v>0</v>
      </c>
      <c r="S180" s="70">
        <f>'RESUMEN TOTAL'!Z226</f>
        <v>0</v>
      </c>
      <c r="T180" s="70" t="str">
        <f>'RESUMEN TOTAL'!AA226</f>
        <v>APAGADO</v>
      </c>
      <c r="U180" s="70">
        <f>'RESUMEN TOTAL'!AB226</f>
        <v>0</v>
      </c>
      <c r="V180" s="70">
        <f>'RESUMEN TOTAL'!AC226</f>
        <v>0</v>
      </c>
      <c r="W180" s="70">
        <f>'RESUMEN TOTAL'!AD226</f>
        <v>0</v>
      </c>
      <c r="X180" s="70">
        <f>'RESUMEN TOTAL'!AE226</f>
        <v>0</v>
      </c>
      <c r="Y180" s="70">
        <f>'RESUMEN TOTAL'!AF226</f>
        <v>0</v>
      </c>
      <c r="Z180" s="70">
        <f>'RESUMEN TOTAL'!AG226</f>
        <v>0</v>
      </c>
      <c r="AA180" s="70">
        <f>'RESUMEN TOTAL'!AH226</f>
        <v>0</v>
      </c>
      <c r="AB180" s="70">
        <f>'RESUMEN TOTAL'!AI226</f>
        <v>0</v>
      </c>
      <c r="AC180" s="70">
        <f>'RESUMEN TOTAL'!AJ226</f>
        <v>0</v>
      </c>
      <c r="AD180" s="70">
        <f>'RESUMEN TOTAL'!AK226</f>
        <v>0</v>
      </c>
      <c r="AE180" s="70">
        <f>'RESUMEN TOTAL'!AL226</f>
        <v>0</v>
      </c>
      <c r="AF180" s="70">
        <f>'RESUMEN TOTAL'!AM226</f>
        <v>0</v>
      </c>
      <c r="AG180" s="70">
        <f>'RESUMEN TOTAL'!AN226</f>
        <v>0</v>
      </c>
      <c r="AH180" s="70">
        <f>'RESUMEN TOTAL'!AO226</f>
        <v>0</v>
      </c>
      <c r="AI180" s="70">
        <f>'RESUMEN TOTAL'!AP226</f>
        <v>0</v>
      </c>
    </row>
    <row r="181" spans="1:35" x14ac:dyDescent="0.25">
      <c r="A181" t="str">
        <f>'RESUMEN TOTAL'!A227</f>
        <v>LOPEZ ROMERO</v>
      </c>
      <c r="B181" t="str">
        <f>'RESUMEN TOTAL'!B227</f>
        <v>LRO 10</v>
      </c>
      <c r="C181" t="str">
        <f>'RESUMEN TOTAL'!D227</f>
        <v>Con. Gral. Belgrano y Balcarce</v>
      </c>
      <c r="D181" s="30" t="str">
        <f>'RESUMEN TOTAL'!E227</f>
        <v>Domo</v>
      </c>
      <c r="E181" s="30" t="str">
        <f>'RESUMEN TOTAL'!F227</f>
        <v>Fibra Optica</v>
      </c>
      <c r="F181" s="70">
        <f>'RESUMEN TOTAL'!M227</f>
        <v>0</v>
      </c>
      <c r="G181" s="70">
        <f>'RESUMEN TOTAL'!N227</f>
        <v>0</v>
      </c>
      <c r="H181" s="70">
        <f>'RESUMEN TOTAL'!O227</f>
        <v>0</v>
      </c>
      <c r="I181" s="70">
        <f>'RESUMEN TOTAL'!P227</f>
        <v>0</v>
      </c>
      <c r="J181" s="70">
        <f>'RESUMEN TOTAL'!Q227</f>
        <v>0</v>
      </c>
      <c r="K181" s="70">
        <f>'RESUMEN TOTAL'!R227</f>
        <v>0</v>
      </c>
      <c r="L181" s="70">
        <f>'RESUMEN TOTAL'!S227</f>
        <v>0</v>
      </c>
      <c r="M181" s="70">
        <f>'RESUMEN TOTAL'!T227</f>
        <v>0</v>
      </c>
      <c r="N181" s="70">
        <f>'RESUMEN TOTAL'!U227</f>
        <v>0</v>
      </c>
      <c r="O181" s="70">
        <f>'RESUMEN TOTAL'!V227</f>
        <v>0</v>
      </c>
      <c r="P181" s="70">
        <f>'RESUMEN TOTAL'!W227</f>
        <v>0</v>
      </c>
      <c r="Q181" s="70">
        <f>'RESUMEN TOTAL'!X227</f>
        <v>0</v>
      </c>
      <c r="R181" s="70">
        <f>'RESUMEN TOTAL'!Y227</f>
        <v>0</v>
      </c>
      <c r="S181" s="70">
        <f>'RESUMEN TOTAL'!Z227</f>
        <v>0</v>
      </c>
      <c r="T181" s="70" t="str">
        <f>'RESUMEN TOTAL'!AA227</f>
        <v>APAGADO</v>
      </c>
      <c r="U181" s="70">
        <f>'RESUMEN TOTAL'!AB227</f>
        <v>0</v>
      </c>
      <c r="V181" s="70">
        <f>'RESUMEN TOTAL'!AC227</f>
        <v>0</v>
      </c>
      <c r="W181" s="70">
        <f>'RESUMEN TOTAL'!AD227</f>
        <v>0</v>
      </c>
      <c r="X181" s="70">
        <f>'RESUMEN TOTAL'!AE227</f>
        <v>0</v>
      </c>
      <c r="Y181" s="70">
        <f>'RESUMEN TOTAL'!AF227</f>
        <v>0</v>
      </c>
      <c r="Z181" s="70">
        <f>'RESUMEN TOTAL'!AG227</f>
        <v>0</v>
      </c>
      <c r="AA181" s="70">
        <f>'RESUMEN TOTAL'!AH227</f>
        <v>0</v>
      </c>
      <c r="AB181" s="70">
        <f>'RESUMEN TOTAL'!AI227</f>
        <v>0</v>
      </c>
      <c r="AC181" s="70">
        <f>'RESUMEN TOTAL'!AJ227</f>
        <v>0</v>
      </c>
      <c r="AD181" s="70">
        <f>'RESUMEN TOTAL'!AK227</f>
        <v>0</v>
      </c>
      <c r="AE181" s="70">
        <f>'RESUMEN TOTAL'!AL227</f>
        <v>0</v>
      </c>
      <c r="AF181" s="70">
        <f>'RESUMEN TOTAL'!AM227</f>
        <v>0</v>
      </c>
      <c r="AG181" s="70">
        <f>'RESUMEN TOTAL'!AN227</f>
        <v>0</v>
      </c>
      <c r="AH181" s="70">
        <f>'RESUMEN TOTAL'!AO227</f>
        <v>0</v>
      </c>
      <c r="AI181" s="70">
        <f>'RESUMEN TOTAL'!AP227</f>
        <v>0</v>
      </c>
    </row>
    <row r="182" spans="1:35" x14ac:dyDescent="0.25">
      <c r="A182" t="str">
        <f>'RESUMEN TOTAL'!A228</f>
        <v>LOPEZ ROMERO</v>
      </c>
      <c r="B182" t="str">
        <f>'RESUMEN TOTAL'!B228</f>
        <v>LRO 12 (fija 1)</v>
      </c>
      <c r="C182" t="str">
        <f>'RESUMEN TOTAL'!D228</f>
        <v>LAS AMERICAS E/ BRAILLE Y ALVARADO</v>
      </c>
      <c r="D182" s="30" t="str">
        <f>'RESUMEN TOTAL'!E228</f>
        <v>Fija</v>
      </c>
      <c r="E182" s="30" t="str">
        <f>'RESUMEN TOTAL'!F228</f>
        <v>Fibra Optica</v>
      </c>
      <c r="F182" s="70">
        <f>'RESUMEN TOTAL'!M228</f>
        <v>0</v>
      </c>
      <c r="G182" s="70">
        <f>'RESUMEN TOTAL'!N228</f>
        <v>0</v>
      </c>
      <c r="H182" s="70">
        <f>'RESUMEN TOTAL'!O228</f>
        <v>0</v>
      </c>
      <c r="I182" s="70">
        <f>'RESUMEN TOTAL'!P228</f>
        <v>0</v>
      </c>
      <c r="J182" s="70">
        <f>'RESUMEN TOTAL'!Q228</f>
        <v>0</v>
      </c>
      <c r="K182" s="70">
        <f>'RESUMEN TOTAL'!R228</f>
        <v>0</v>
      </c>
      <c r="L182" s="70">
        <f>'RESUMEN TOTAL'!S228</f>
        <v>0</v>
      </c>
      <c r="M182" s="70">
        <f>'RESUMEN TOTAL'!T228</f>
        <v>0</v>
      </c>
      <c r="N182" s="70">
        <f>'RESUMEN TOTAL'!U228</f>
        <v>0</v>
      </c>
      <c r="O182" s="70">
        <f>'RESUMEN TOTAL'!V228</f>
        <v>0</v>
      </c>
      <c r="P182" s="70">
        <f>'RESUMEN TOTAL'!W228</f>
        <v>0</v>
      </c>
      <c r="Q182" s="70">
        <f>'RESUMEN TOTAL'!X228</f>
        <v>0</v>
      </c>
      <c r="R182" s="70">
        <f>'RESUMEN TOTAL'!Y228</f>
        <v>0</v>
      </c>
      <c r="S182" s="70">
        <f>'RESUMEN TOTAL'!Z228</f>
        <v>0</v>
      </c>
      <c r="T182" s="70" t="str">
        <f>'RESUMEN TOTAL'!AA228</f>
        <v>APAGADO</v>
      </c>
      <c r="U182" s="70">
        <f>'RESUMEN TOTAL'!AB228</f>
        <v>0</v>
      </c>
      <c r="V182" s="70">
        <f>'RESUMEN TOTAL'!AC228</f>
        <v>0</v>
      </c>
      <c r="W182" s="70">
        <f>'RESUMEN TOTAL'!AD228</f>
        <v>0</v>
      </c>
      <c r="X182" s="70">
        <f>'RESUMEN TOTAL'!AE228</f>
        <v>0</v>
      </c>
      <c r="Y182" s="70">
        <f>'RESUMEN TOTAL'!AF228</f>
        <v>0</v>
      </c>
      <c r="Z182" s="70">
        <f>'RESUMEN TOTAL'!AG228</f>
        <v>0</v>
      </c>
      <c r="AA182" s="70">
        <f>'RESUMEN TOTAL'!AH228</f>
        <v>0</v>
      </c>
      <c r="AB182" s="70">
        <f>'RESUMEN TOTAL'!AI228</f>
        <v>0</v>
      </c>
      <c r="AC182" s="70">
        <f>'RESUMEN TOTAL'!AJ228</f>
        <v>0</v>
      </c>
      <c r="AD182" s="70">
        <f>'RESUMEN TOTAL'!AK228</f>
        <v>0</v>
      </c>
      <c r="AE182" s="70">
        <f>'RESUMEN TOTAL'!AL228</f>
        <v>0</v>
      </c>
      <c r="AF182" s="70">
        <f>'RESUMEN TOTAL'!AM228</f>
        <v>0</v>
      </c>
      <c r="AG182" s="70">
        <f>'RESUMEN TOTAL'!AN228</f>
        <v>0</v>
      </c>
      <c r="AH182" s="70">
        <f>'RESUMEN TOTAL'!AO228</f>
        <v>0</v>
      </c>
      <c r="AI182" s="70">
        <f>'RESUMEN TOTAL'!AP228</f>
        <v>0</v>
      </c>
    </row>
    <row r="183" spans="1:35" x14ac:dyDescent="0.25">
      <c r="A183" t="str">
        <f>'RESUMEN TOTAL'!A229</f>
        <v>LOPEZ ROMERO</v>
      </c>
      <c r="B183" t="str">
        <f>'RESUMEN TOTAL'!B229</f>
        <v>LRO 13 (fija 2)</v>
      </c>
      <c r="C183" t="str">
        <f>'RESUMEN TOTAL'!D229</f>
        <v>LAS AMERICAS E/ BRAILLE Y ALVARADO</v>
      </c>
      <c r="D183" s="30" t="str">
        <f>'RESUMEN TOTAL'!E229</f>
        <v>Fija</v>
      </c>
      <c r="E183" s="30" t="str">
        <f>'RESUMEN TOTAL'!F229</f>
        <v>Fibra Optica</v>
      </c>
      <c r="F183" s="70">
        <f>'RESUMEN TOTAL'!M229</f>
        <v>0</v>
      </c>
      <c r="G183" s="70">
        <f>'RESUMEN TOTAL'!N229</f>
        <v>0</v>
      </c>
      <c r="H183" s="70">
        <f>'RESUMEN TOTAL'!O229</f>
        <v>0</v>
      </c>
      <c r="I183" s="70">
        <f>'RESUMEN TOTAL'!P229</f>
        <v>0</v>
      </c>
      <c r="J183" s="70">
        <f>'RESUMEN TOTAL'!Q229</f>
        <v>0</v>
      </c>
      <c r="K183" s="70">
        <f>'RESUMEN TOTAL'!R229</f>
        <v>0</v>
      </c>
      <c r="L183" s="70">
        <f>'RESUMEN TOTAL'!S229</f>
        <v>0</v>
      </c>
      <c r="M183" s="70">
        <f>'RESUMEN TOTAL'!T229</f>
        <v>0</v>
      </c>
      <c r="N183" s="70">
        <f>'RESUMEN TOTAL'!U229</f>
        <v>0</v>
      </c>
      <c r="O183" s="70">
        <f>'RESUMEN TOTAL'!V229</f>
        <v>0</v>
      </c>
      <c r="P183" s="70">
        <f>'RESUMEN TOTAL'!W229</f>
        <v>0</v>
      </c>
      <c r="Q183" s="70">
        <f>'RESUMEN TOTAL'!X229</f>
        <v>0</v>
      </c>
      <c r="R183" s="70">
        <f>'RESUMEN TOTAL'!Y229</f>
        <v>0</v>
      </c>
      <c r="S183" s="70">
        <f>'RESUMEN TOTAL'!Z229</f>
        <v>0</v>
      </c>
      <c r="T183" s="70" t="str">
        <f>'RESUMEN TOTAL'!AA229</f>
        <v>APAGADO</v>
      </c>
      <c r="U183" s="70">
        <f>'RESUMEN TOTAL'!AB229</f>
        <v>0</v>
      </c>
      <c r="V183" s="70">
        <f>'RESUMEN TOTAL'!AC229</f>
        <v>0</v>
      </c>
      <c r="W183" s="70">
        <f>'RESUMEN TOTAL'!AD229</f>
        <v>0</v>
      </c>
      <c r="X183" s="70">
        <f>'RESUMEN TOTAL'!AE229</f>
        <v>0</v>
      </c>
      <c r="Y183" s="70">
        <f>'RESUMEN TOTAL'!AF229</f>
        <v>0</v>
      </c>
      <c r="Z183" s="70">
        <f>'RESUMEN TOTAL'!AG229</f>
        <v>0</v>
      </c>
      <c r="AA183" s="70">
        <f>'RESUMEN TOTAL'!AH229</f>
        <v>0</v>
      </c>
      <c r="AB183" s="70">
        <f>'RESUMEN TOTAL'!AI229</f>
        <v>0</v>
      </c>
      <c r="AC183" s="70">
        <f>'RESUMEN TOTAL'!AJ229</f>
        <v>0</v>
      </c>
      <c r="AD183" s="70">
        <f>'RESUMEN TOTAL'!AK229</f>
        <v>0</v>
      </c>
      <c r="AE183" s="70">
        <f>'RESUMEN TOTAL'!AL229</f>
        <v>0</v>
      </c>
      <c r="AF183" s="70">
        <f>'RESUMEN TOTAL'!AM229</f>
        <v>0</v>
      </c>
      <c r="AG183" s="70">
        <f>'RESUMEN TOTAL'!AN229</f>
        <v>0</v>
      </c>
      <c r="AH183" s="70">
        <f>'RESUMEN TOTAL'!AO229</f>
        <v>0</v>
      </c>
      <c r="AI183" s="70">
        <f>'RESUMEN TOTAL'!AP229</f>
        <v>0</v>
      </c>
    </row>
    <row r="184" spans="1:35" x14ac:dyDescent="0.25">
      <c r="A184" t="str">
        <f>'RESUMEN TOTAL'!A230</f>
        <v>LOPEZ ROMERO</v>
      </c>
      <c r="B184" t="str">
        <f>'RESUMEN TOTAL'!B230</f>
        <v>LRO01</v>
      </c>
      <c r="C184" t="str">
        <f>'RESUMEN TOTAL'!D230</f>
        <v>H. IRIGOYEN Y BRAILE</v>
      </c>
      <c r="D184" s="30" t="str">
        <f>'RESUMEN TOTAL'!E230</f>
        <v>FIJA</v>
      </c>
      <c r="E184" s="30" t="str">
        <f>'RESUMEN TOTAL'!F230</f>
        <v>Fibra Optica</v>
      </c>
      <c r="F184" s="70">
        <f>'RESUMEN TOTAL'!M230</f>
        <v>0</v>
      </c>
      <c r="G184" s="70">
        <f>'RESUMEN TOTAL'!N230</f>
        <v>0</v>
      </c>
      <c r="H184" s="70">
        <f>'RESUMEN TOTAL'!O230</f>
        <v>0</v>
      </c>
      <c r="I184" s="70">
        <f>'RESUMEN TOTAL'!P230</f>
        <v>0</v>
      </c>
      <c r="J184" s="70">
        <f>'RESUMEN TOTAL'!Q230</f>
        <v>0</v>
      </c>
      <c r="K184" s="70">
        <f>'RESUMEN TOTAL'!R230</f>
        <v>0</v>
      </c>
      <c r="L184" s="70">
        <f>'RESUMEN TOTAL'!S230</f>
        <v>0</v>
      </c>
      <c r="M184" s="70">
        <f>'RESUMEN TOTAL'!T230</f>
        <v>0</v>
      </c>
      <c r="N184" s="70">
        <f>'RESUMEN TOTAL'!U230</f>
        <v>0</v>
      </c>
      <c r="O184" s="70">
        <f>'RESUMEN TOTAL'!V230</f>
        <v>0</v>
      </c>
      <c r="P184" s="70">
        <f>'RESUMEN TOTAL'!W230</f>
        <v>0</v>
      </c>
      <c r="Q184" s="70">
        <f>'RESUMEN TOTAL'!X230</f>
        <v>0</v>
      </c>
      <c r="R184" s="70">
        <f>'RESUMEN TOTAL'!Y230</f>
        <v>0</v>
      </c>
      <c r="S184" s="70">
        <f>'RESUMEN TOTAL'!Z230</f>
        <v>0</v>
      </c>
      <c r="T184" s="70" t="str">
        <f>'RESUMEN TOTAL'!AA230</f>
        <v>APAGADO</v>
      </c>
      <c r="U184" s="70">
        <f>'RESUMEN TOTAL'!AB230</f>
        <v>0</v>
      </c>
      <c r="V184" s="70">
        <f>'RESUMEN TOTAL'!AC230</f>
        <v>0</v>
      </c>
      <c r="W184" s="70">
        <f>'RESUMEN TOTAL'!AD230</f>
        <v>0</v>
      </c>
      <c r="X184" s="70">
        <f>'RESUMEN TOTAL'!AE230</f>
        <v>0</v>
      </c>
      <c r="Y184" s="70">
        <f>'RESUMEN TOTAL'!AF230</f>
        <v>0</v>
      </c>
      <c r="Z184" s="70">
        <f>'RESUMEN TOTAL'!AG230</f>
        <v>0</v>
      </c>
      <c r="AA184" s="70">
        <f>'RESUMEN TOTAL'!AH230</f>
        <v>0</v>
      </c>
      <c r="AB184" s="70">
        <f>'RESUMEN TOTAL'!AI230</f>
        <v>0</v>
      </c>
      <c r="AC184" s="70">
        <f>'RESUMEN TOTAL'!AJ230</f>
        <v>0</v>
      </c>
      <c r="AD184" s="70">
        <f>'RESUMEN TOTAL'!AK230</f>
        <v>0</v>
      </c>
      <c r="AE184" s="70">
        <f>'RESUMEN TOTAL'!AL230</f>
        <v>0</v>
      </c>
      <c r="AF184" s="70">
        <f>'RESUMEN TOTAL'!AM230</f>
        <v>0</v>
      </c>
      <c r="AG184" s="70">
        <f>'RESUMEN TOTAL'!AN230</f>
        <v>0</v>
      </c>
      <c r="AH184" s="70">
        <f>'RESUMEN TOTAL'!AO230</f>
        <v>0</v>
      </c>
      <c r="AI184" s="70">
        <f>'RESUMEN TOTAL'!AP230</f>
        <v>0</v>
      </c>
    </row>
    <row r="185" spans="1:35" x14ac:dyDescent="0.25">
      <c r="A185" t="str">
        <f>'RESUMEN TOTAL'!A231</f>
        <v>PRESIDENTE SARMIENTO</v>
      </c>
      <c r="B185" t="str">
        <f>'RESUMEN TOTAL'!B231</f>
        <v>LRO02</v>
      </c>
      <c r="C185" t="str">
        <f>'RESUMEN TOTAL'!D231</f>
        <v>H. Irigoyen e Islas Orcadas</v>
      </c>
      <c r="D185" s="30" t="str">
        <f>'RESUMEN TOTAL'!E231</f>
        <v>Domo</v>
      </c>
      <c r="E185" s="30" t="str">
        <f>'RESUMEN TOTAL'!F231</f>
        <v>Fibra Optica</v>
      </c>
      <c r="F185" s="70">
        <f>'RESUMEN TOTAL'!M231</f>
        <v>0</v>
      </c>
      <c r="G185" s="70">
        <f>'RESUMEN TOTAL'!N231</f>
        <v>0</v>
      </c>
      <c r="H185" s="70">
        <f>'RESUMEN TOTAL'!O231</f>
        <v>0</v>
      </c>
      <c r="I185" s="70">
        <f>'RESUMEN TOTAL'!P231</f>
        <v>0</v>
      </c>
      <c r="J185" s="70">
        <f>'RESUMEN TOTAL'!Q231</f>
        <v>0</v>
      </c>
      <c r="K185" s="70">
        <f>'RESUMEN TOTAL'!R231</f>
        <v>0</v>
      </c>
      <c r="L185" s="70">
        <f>'RESUMEN TOTAL'!S231</f>
        <v>0</v>
      </c>
      <c r="M185" s="70">
        <f>'RESUMEN TOTAL'!T231</f>
        <v>0</v>
      </c>
      <c r="N185" s="70">
        <f>'RESUMEN TOTAL'!U231</f>
        <v>0</v>
      </c>
      <c r="O185" s="70">
        <f>'RESUMEN TOTAL'!V231</f>
        <v>0</v>
      </c>
      <c r="P185" s="70">
        <f>'RESUMEN TOTAL'!W231</f>
        <v>0</v>
      </c>
      <c r="Q185" s="70">
        <f>'RESUMEN TOTAL'!X231</f>
        <v>0</v>
      </c>
      <c r="R185" s="70">
        <f>'RESUMEN TOTAL'!Y231</f>
        <v>0</v>
      </c>
      <c r="S185" s="70">
        <f>'RESUMEN TOTAL'!Z231</f>
        <v>0</v>
      </c>
      <c r="T185" s="70" t="str">
        <f>'RESUMEN TOTAL'!AA231</f>
        <v>APAGADO</v>
      </c>
      <c r="U185" s="70">
        <f>'RESUMEN TOTAL'!AB231</f>
        <v>0</v>
      </c>
      <c r="V185" s="70">
        <f>'RESUMEN TOTAL'!AC231</f>
        <v>0</v>
      </c>
      <c r="W185" s="70">
        <f>'RESUMEN TOTAL'!AD231</f>
        <v>0</v>
      </c>
      <c r="X185" s="70">
        <f>'RESUMEN TOTAL'!AE231</f>
        <v>0</v>
      </c>
      <c r="Y185" s="70">
        <f>'RESUMEN TOTAL'!AF231</f>
        <v>0</v>
      </c>
      <c r="Z185" s="70">
        <f>'RESUMEN TOTAL'!AG231</f>
        <v>0</v>
      </c>
      <c r="AA185" s="70">
        <f>'RESUMEN TOTAL'!AH231</f>
        <v>0</v>
      </c>
      <c r="AB185" s="70">
        <f>'RESUMEN TOTAL'!AI231</f>
        <v>0</v>
      </c>
      <c r="AC185" s="70">
        <f>'RESUMEN TOTAL'!AJ231</f>
        <v>0</v>
      </c>
      <c r="AD185" s="70">
        <f>'RESUMEN TOTAL'!AK231</f>
        <v>0</v>
      </c>
      <c r="AE185" s="70">
        <f>'RESUMEN TOTAL'!AL231</f>
        <v>0</v>
      </c>
      <c r="AF185" s="70">
        <f>'RESUMEN TOTAL'!AM231</f>
        <v>0</v>
      </c>
      <c r="AG185" s="70">
        <f>'RESUMEN TOTAL'!AN231</f>
        <v>0</v>
      </c>
      <c r="AH185" s="70">
        <f>'RESUMEN TOTAL'!AO231</f>
        <v>0</v>
      </c>
      <c r="AI185" s="70">
        <f>'RESUMEN TOTAL'!AP231</f>
        <v>0</v>
      </c>
    </row>
    <row r="186" spans="1:35" x14ac:dyDescent="0.25">
      <c r="A186" t="str">
        <f>'RESUMEN TOTAL'!A232</f>
        <v>LOPEZ ROMERO</v>
      </c>
      <c r="B186" t="str">
        <f>'RESUMEN TOTAL'!B232</f>
        <v>LRO03</v>
      </c>
      <c r="C186" t="str">
        <f>'RESUMEN TOTAL'!D232</f>
        <v>H. Irigoyen y Parravicini</v>
      </c>
      <c r="D186" s="30" t="str">
        <f>'RESUMEN TOTAL'!E232</f>
        <v>Fija</v>
      </c>
      <c r="E186" s="30" t="str">
        <f>'RESUMEN TOTAL'!F232</f>
        <v>Fibra Optica</v>
      </c>
      <c r="F186" s="70">
        <f>'RESUMEN TOTAL'!M232</f>
        <v>0</v>
      </c>
      <c r="G186" s="70">
        <f>'RESUMEN TOTAL'!N232</f>
        <v>0</v>
      </c>
      <c r="H186" s="70">
        <f>'RESUMEN TOTAL'!O232</f>
        <v>0</v>
      </c>
      <c r="I186" s="70">
        <f>'RESUMEN TOTAL'!P232</f>
        <v>0</v>
      </c>
      <c r="J186" s="70">
        <f>'RESUMEN TOTAL'!Q232</f>
        <v>0</v>
      </c>
      <c r="K186" s="70">
        <f>'RESUMEN TOTAL'!R232</f>
        <v>0</v>
      </c>
      <c r="L186" s="70">
        <f>'RESUMEN TOTAL'!S232</f>
        <v>0</v>
      </c>
      <c r="M186" s="70">
        <f>'RESUMEN TOTAL'!T232</f>
        <v>0</v>
      </c>
      <c r="N186" s="70">
        <f>'RESUMEN TOTAL'!U232</f>
        <v>0</v>
      </c>
      <c r="O186" s="70">
        <f>'RESUMEN TOTAL'!V232</f>
        <v>0</v>
      </c>
      <c r="P186" s="70">
        <f>'RESUMEN TOTAL'!W232</f>
        <v>0</v>
      </c>
      <c r="Q186" s="70">
        <f>'RESUMEN TOTAL'!X232</f>
        <v>0</v>
      </c>
      <c r="R186" s="70">
        <f>'RESUMEN TOTAL'!Y232</f>
        <v>0</v>
      </c>
      <c r="S186" s="70">
        <f>'RESUMEN TOTAL'!Z232</f>
        <v>0</v>
      </c>
      <c r="T186" s="70" t="str">
        <f>'RESUMEN TOTAL'!AA232</f>
        <v>APAGADO</v>
      </c>
      <c r="U186" s="70">
        <f>'RESUMEN TOTAL'!AB232</f>
        <v>0</v>
      </c>
      <c r="V186" s="70">
        <f>'RESUMEN TOTAL'!AC232</f>
        <v>0</v>
      </c>
      <c r="W186" s="70">
        <f>'RESUMEN TOTAL'!AD232</f>
        <v>0</v>
      </c>
      <c r="X186" s="70">
        <f>'RESUMEN TOTAL'!AE232</f>
        <v>0</v>
      </c>
      <c r="Y186" s="70">
        <f>'RESUMEN TOTAL'!AF232</f>
        <v>0</v>
      </c>
      <c r="Z186" s="70">
        <f>'RESUMEN TOTAL'!AG232</f>
        <v>0</v>
      </c>
      <c r="AA186" s="70">
        <f>'RESUMEN TOTAL'!AH232</f>
        <v>0</v>
      </c>
      <c r="AB186" s="70">
        <f>'RESUMEN TOTAL'!AI232</f>
        <v>0</v>
      </c>
      <c r="AC186" s="70">
        <f>'RESUMEN TOTAL'!AJ232</f>
        <v>0</v>
      </c>
      <c r="AD186" s="70">
        <f>'RESUMEN TOTAL'!AK232</f>
        <v>0</v>
      </c>
      <c r="AE186" s="70">
        <f>'RESUMEN TOTAL'!AL232</f>
        <v>0</v>
      </c>
      <c r="AF186" s="70">
        <f>'RESUMEN TOTAL'!AM232</f>
        <v>0</v>
      </c>
      <c r="AG186" s="70">
        <f>'RESUMEN TOTAL'!AN232</f>
        <v>0</v>
      </c>
      <c r="AH186" s="70">
        <f>'RESUMEN TOTAL'!AO232</f>
        <v>0</v>
      </c>
      <c r="AI186" s="70">
        <f>'RESUMEN TOTAL'!AP232</f>
        <v>0</v>
      </c>
    </row>
    <row r="187" spans="1:35" x14ac:dyDescent="0.25">
      <c r="A187" t="str">
        <f>'RESUMEN TOTAL'!A233</f>
        <v>LOPEZ ROMERO</v>
      </c>
      <c r="B187" t="str">
        <f>'RESUMEN TOTAL'!B233</f>
        <v>LRO04</v>
      </c>
      <c r="C187" t="str">
        <f>'RESUMEN TOTAL'!D233</f>
        <v>H. Irigoyen y Alvarado</v>
      </c>
      <c r="D187" s="30" t="str">
        <f>'RESUMEN TOTAL'!E233</f>
        <v>FIJA</v>
      </c>
      <c r="E187" s="30" t="str">
        <f>'RESUMEN TOTAL'!F233</f>
        <v>Fibra Optica</v>
      </c>
      <c r="F187" s="70">
        <f>'RESUMEN TOTAL'!M233</f>
        <v>0</v>
      </c>
      <c r="G187" s="70">
        <f>'RESUMEN TOTAL'!N233</f>
        <v>0</v>
      </c>
      <c r="H187" s="70">
        <f>'RESUMEN TOTAL'!O233</f>
        <v>0</v>
      </c>
      <c r="I187" s="70">
        <f>'RESUMEN TOTAL'!P233</f>
        <v>0</v>
      </c>
      <c r="J187" s="70">
        <f>'RESUMEN TOTAL'!Q233</f>
        <v>0</v>
      </c>
      <c r="K187" s="70">
        <f>'RESUMEN TOTAL'!R233</f>
        <v>0</v>
      </c>
      <c r="L187" s="70">
        <f>'RESUMEN TOTAL'!S233</f>
        <v>0</v>
      </c>
      <c r="M187" s="70">
        <f>'RESUMEN TOTAL'!T233</f>
        <v>0</v>
      </c>
      <c r="N187" s="70">
        <f>'RESUMEN TOTAL'!U233</f>
        <v>0</v>
      </c>
      <c r="O187" s="70">
        <f>'RESUMEN TOTAL'!V233</f>
        <v>0</v>
      </c>
      <c r="P187" s="70">
        <f>'RESUMEN TOTAL'!W233</f>
        <v>0</v>
      </c>
      <c r="Q187" s="70">
        <f>'RESUMEN TOTAL'!X233</f>
        <v>0</v>
      </c>
      <c r="R187" s="70">
        <f>'RESUMEN TOTAL'!Y233</f>
        <v>0</v>
      </c>
      <c r="S187" s="70">
        <f>'RESUMEN TOTAL'!Z233</f>
        <v>0</v>
      </c>
      <c r="T187" s="70" t="str">
        <f>'RESUMEN TOTAL'!AA233</f>
        <v>APAGADO</v>
      </c>
      <c r="U187" s="70">
        <f>'RESUMEN TOTAL'!AB233</f>
        <v>0</v>
      </c>
      <c r="V187" s="70">
        <f>'RESUMEN TOTAL'!AC233</f>
        <v>0</v>
      </c>
      <c r="W187" s="70">
        <f>'RESUMEN TOTAL'!AD233</f>
        <v>0</v>
      </c>
      <c r="X187" s="70">
        <f>'RESUMEN TOTAL'!AE233</f>
        <v>0</v>
      </c>
      <c r="Y187" s="70">
        <f>'RESUMEN TOTAL'!AF233</f>
        <v>0</v>
      </c>
      <c r="Z187" s="70">
        <f>'RESUMEN TOTAL'!AG233</f>
        <v>0</v>
      </c>
      <c r="AA187" s="70">
        <f>'RESUMEN TOTAL'!AH233</f>
        <v>0</v>
      </c>
      <c r="AB187" s="70">
        <f>'RESUMEN TOTAL'!AI233</f>
        <v>0</v>
      </c>
      <c r="AC187" s="70">
        <f>'RESUMEN TOTAL'!AJ233</f>
        <v>0</v>
      </c>
      <c r="AD187" s="70">
        <f>'RESUMEN TOTAL'!AK233</f>
        <v>0</v>
      </c>
      <c r="AE187" s="70">
        <f>'RESUMEN TOTAL'!AL233</f>
        <v>0</v>
      </c>
      <c r="AF187" s="70">
        <f>'RESUMEN TOTAL'!AM233</f>
        <v>0</v>
      </c>
      <c r="AG187" s="70">
        <f>'RESUMEN TOTAL'!AN233</f>
        <v>0</v>
      </c>
      <c r="AH187" s="70">
        <f>'RESUMEN TOTAL'!AO233</f>
        <v>0</v>
      </c>
      <c r="AI187" s="70">
        <f>'RESUMEN TOTAL'!AP233</f>
        <v>0</v>
      </c>
    </row>
    <row r="188" spans="1:35" x14ac:dyDescent="0.25">
      <c r="A188" t="str">
        <f>'RESUMEN TOTAL'!A234</f>
        <v>PRESIDENTE SARMIENTO</v>
      </c>
      <c r="B188" t="str">
        <f>'RESUMEN TOTAL'!B234</f>
        <v>LRO06</v>
      </c>
      <c r="C188" t="str">
        <f>'RESUMEN TOTAL'!D234</f>
        <v>H. Irigoyen y Belgrano</v>
      </c>
      <c r="D188" s="30" t="str">
        <f>'RESUMEN TOTAL'!E234</f>
        <v>Domo</v>
      </c>
      <c r="E188" s="30" t="str">
        <f>'RESUMEN TOTAL'!F234</f>
        <v>Fibra Optica</v>
      </c>
      <c r="F188" s="70">
        <f>'RESUMEN TOTAL'!M234</f>
        <v>0</v>
      </c>
      <c r="G188" s="70">
        <f>'RESUMEN TOTAL'!N234</f>
        <v>0</v>
      </c>
      <c r="H188" s="70">
        <f>'RESUMEN TOTAL'!O234</f>
        <v>0</v>
      </c>
      <c r="I188" s="70">
        <f>'RESUMEN TOTAL'!P234</f>
        <v>0</v>
      </c>
      <c r="J188" s="70">
        <f>'RESUMEN TOTAL'!Q234</f>
        <v>0</v>
      </c>
      <c r="K188" s="70">
        <f>'RESUMEN TOTAL'!R234</f>
        <v>0</v>
      </c>
      <c r="L188" s="70">
        <f>'RESUMEN TOTAL'!S234</f>
        <v>0</v>
      </c>
      <c r="M188" s="70">
        <f>'RESUMEN TOTAL'!T234</f>
        <v>0</v>
      </c>
      <c r="N188" s="70">
        <f>'RESUMEN TOTAL'!U234</f>
        <v>0</v>
      </c>
      <c r="O188" s="70">
        <f>'RESUMEN TOTAL'!V234</f>
        <v>0</v>
      </c>
      <c r="P188" s="70">
        <f>'RESUMEN TOTAL'!W234</f>
        <v>0</v>
      </c>
      <c r="Q188" s="70">
        <f>'RESUMEN TOTAL'!X234</f>
        <v>0</v>
      </c>
      <c r="R188" s="70">
        <f>'RESUMEN TOTAL'!Y234</f>
        <v>0</v>
      </c>
      <c r="S188" s="70">
        <f>'RESUMEN TOTAL'!Z234</f>
        <v>0</v>
      </c>
      <c r="T188" s="70" t="str">
        <f>'RESUMEN TOTAL'!AA234</f>
        <v>APAGADO</v>
      </c>
      <c r="U188" s="70">
        <f>'RESUMEN TOTAL'!AB234</f>
        <v>0</v>
      </c>
      <c r="V188" s="70">
        <f>'RESUMEN TOTAL'!AC234</f>
        <v>0</v>
      </c>
      <c r="W188" s="70">
        <f>'RESUMEN TOTAL'!AD234</f>
        <v>0</v>
      </c>
      <c r="X188" s="70">
        <f>'RESUMEN TOTAL'!AE234</f>
        <v>0</v>
      </c>
      <c r="Y188" s="70">
        <f>'RESUMEN TOTAL'!AF234</f>
        <v>0</v>
      </c>
      <c r="Z188" s="70">
        <f>'RESUMEN TOTAL'!AG234</f>
        <v>0</v>
      </c>
      <c r="AA188" s="70">
        <f>'RESUMEN TOTAL'!AH234</f>
        <v>0</v>
      </c>
      <c r="AB188" s="70">
        <f>'RESUMEN TOTAL'!AI234</f>
        <v>0</v>
      </c>
      <c r="AC188" s="70">
        <f>'RESUMEN TOTAL'!AJ234</f>
        <v>0</v>
      </c>
      <c r="AD188" s="70">
        <f>'RESUMEN TOTAL'!AK234</f>
        <v>0</v>
      </c>
      <c r="AE188" s="70">
        <f>'RESUMEN TOTAL'!AL234</f>
        <v>0</v>
      </c>
      <c r="AF188" s="70">
        <f>'RESUMEN TOTAL'!AM234</f>
        <v>0</v>
      </c>
      <c r="AG188" s="70">
        <f>'RESUMEN TOTAL'!AN234</f>
        <v>0</v>
      </c>
      <c r="AH188" s="70">
        <f>'RESUMEN TOTAL'!AO234</f>
        <v>0</v>
      </c>
      <c r="AI188" s="70">
        <f>'RESUMEN TOTAL'!AP234</f>
        <v>0</v>
      </c>
    </row>
    <row r="189" spans="1:35" x14ac:dyDescent="0.25">
      <c r="A189" t="str">
        <f>'RESUMEN TOTAL'!A235</f>
        <v>LOPEZ ROMERO</v>
      </c>
      <c r="B189" t="str">
        <f>'RESUMEN TOTAL'!B235</f>
        <v>LRO07</v>
      </c>
      <c r="C189" t="str">
        <f>'RESUMEN TOTAL'!D235</f>
        <v>H. Irigoyen y Remedios de Escalada</v>
      </c>
      <c r="D189" s="30" t="str">
        <f>'RESUMEN TOTAL'!E235</f>
        <v>Domo</v>
      </c>
      <c r="E189" s="30" t="str">
        <f>'RESUMEN TOTAL'!F235</f>
        <v>Fibra Optica</v>
      </c>
      <c r="F189" s="70">
        <f>'RESUMEN TOTAL'!M235</f>
        <v>0</v>
      </c>
      <c r="G189" s="70">
        <f>'RESUMEN TOTAL'!N235</f>
        <v>0</v>
      </c>
      <c r="H189" s="70">
        <f>'RESUMEN TOTAL'!O235</f>
        <v>0</v>
      </c>
      <c r="I189" s="70">
        <f>'RESUMEN TOTAL'!P235</f>
        <v>0</v>
      </c>
      <c r="J189" s="70">
        <f>'RESUMEN TOTAL'!Q235</f>
        <v>0</v>
      </c>
      <c r="K189" s="70">
        <f>'RESUMEN TOTAL'!R235</f>
        <v>0</v>
      </c>
      <c r="L189" s="70">
        <f>'RESUMEN TOTAL'!S235</f>
        <v>0</v>
      </c>
      <c r="M189" s="70">
        <f>'RESUMEN TOTAL'!T235</f>
        <v>0</v>
      </c>
      <c r="N189" s="70">
        <f>'RESUMEN TOTAL'!U235</f>
        <v>0</v>
      </c>
      <c r="O189" s="70">
        <f>'RESUMEN TOTAL'!V235</f>
        <v>0</v>
      </c>
      <c r="P189" s="70">
        <f>'RESUMEN TOTAL'!W235</f>
        <v>0</v>
      </c>
      <c r="Q189" s="70">
        <f>'RESUMEN TOTAL'!X235</f>
        <v>0</v>
      </c>
      <c r="R189" s="70">
        <f>'RESUMEN TOTAL'!Y235</f>
        <v>0</v>
      </c>
      <c r="S189" s="70">
        <f>'RESUMEN TOTAL'!Z235</f>
        <v>0</v>
      </c>
      <c r="T189" s="70" t="str">
        <f>'RESUMEN TOTAL'!AA235</f>
        <v>APAGADO</v>
      </c>
      <c r="U189" s="70">
        <f>'RESUMEN TOTAL'!AB235</f>
        <v>0</v>
      </c>
      <c r="V189" s="70">
        <f>'RESUMEN TOTAL'!AC235</f>
        <v>0</v>
      </c>
      <c r="W189" s="70">
        <f>'RESUMEN TOTAL'!AD235</f>
        <v>0</v>
      </c>
      <c r="X189" s="70">
        <f>'RESUMEN TOTAL'!AE235</f>
        <v>0</v>
      </c>
      <c r="Y189" s="70">
        <f>'RESUMEN TOTAL'!AF235</f>
        <v>0</v>
      </c>
      <c r="Z189" s="70">
        <f>'RESUMEN TOTAL'!AG235</f>
        <v>0</v>
      </c>
      <c r="AA189" s="70">
        <f>'RESUMEN TOTAL'!AH235</f>
        <v>0</v>
      </c>
      <c r="AB189" s="70">
        <f>'RESUMEN TOTAL'!AI235</f>
        <v>0</v>
      </c>
      <c r="AC189" s="70">
        <f>'RESUMEN TOTAL'!AJ235</f>
        <v>0</v>
      </c>
      <c r="AD189" s="70">
        <f>'RESUMEN TOTAL'!AK235</f>
        <v>0</v>
      </c>
      <c r="AE189" s="70">
        <f>'RESUMEN TOTAL'!AL235</f>
        <v>0</v>
      </c>
      <c r="AF189" s="70">
        <f>'RESUMEN TOTAL'!AM235</f>
        <v>0</v>
      </c>
      <c r="AG189" s="70">
        <f>'RESUMEN TOTAL'!AN235</f>
        <v>0</v>
      </c>
      <c r="AH189" s="70">
        <f>'RESUMEN TOTAL'!AO235</f>
        <v>0</v>
      </c>
      <c r="AI189" s="70">
        <f>'RESUMEN TOTAL'!AP235</f>
        <v>0</v>
      </c>
    </row>
    <row r="190" spans="1:35" x14ac:dyDescent="0.25">
      <c r="A190" t="str">
        <f>'RESUMEN TOTAL'!A236</f>
        <v>LOPEZ ROMERO</v>
      </c>
      <c r="B190" t="str">
        <f>'RESUMEN TOTAL'!B236</f>
        <v>LRO08</v>
      </c>
      <c r="C190" t="str">
        <f>'RESUMEN TOTAL'!D236</f>
        <v>Remedios de Escalada y Finochieto</v>
      </c>
      <c r="D190" s="30" t="str">
        <f>'RESUMEN TOTAL'!E236</f>
        <v>Domo</v>
      </c>
      <c r="E190" s="30" t="str">
        <f>'RESUMEN TOTAL'!F236</f>
        <v>Fibra Optica</v>
      </c>
      <c r="F190" s="70">
        <f>'RESUMEN TOTAL'!M236</f>
        <v>0</v>
      </c>
      <c r="G190" s="70">
        <f>'RESUMEN TOTAL'!N236</f>
        <v>0</v>
      </c>
      <c r="H190" s="70">
        <f>'RESUMEN TOTAL'!O236</f>
        <v>0</v>
      </c>
      <c r="I190" s="70">
        <f>'RESUMEN TOTAL'!P236</f>
        <v>0</v>
      </c>
      <c r="J190" s="70">
        <f>'RESUMEN TOTAL'!Q236</f>
        <v>0</v>
      </c>
      <c r="K190" s="70">
        <f>'RESUMEN TOTAL'!R236</f>
        <v>0</v>
      </c>
      <c r="L190" s="70">
        <f>'RESUMEN TOTAL'!S236</f>
        <v>0</v>
      </c>
      <c r="M190" s="70">
        <f>'RESUMEN TOTAL'!T236</f>
        <v>0</v>
      </c>
      <c r="N190" s="70">
        <f>'RESUMEN TOTAL'!U236</f>
        <v>0</v>
      </c>
      <c r="O190" s="70">
        <f>'RESUMEN TOTAL'!V236</f>
        <v>0</v>
      </c>
      <c r="P190" s="70" t="str">
        <f>'RESUMEN TOTAL'!W236</f>
        <v>APAGADO</v>
      </c>
      <c r="Q190" s="70">
        <f>'RESUMEN TOTAL'!X236</f>
        <v>0</v>
      </c>
      <c r="R190" s="70">
        <f>'RESUMEN TOTAL'!Y236</f>
        <v>0</v>
      </c>
      <c r="S190" s="70">
        <f>'RESUMEN TOTAL'!Z236</f>
        <v>0</v>
      </c>
      <c r="T190" s="70" t="str">
        <f>'RESUMEN TOTAL'!AA236</f>
        <v>APAGADO</v>
      </c>
      <c r="U190" s="70">
        <f>'RESUMEN TOTAL'!AB236</f>
        <v>0</v>
      </c>
      <c r="V190" s="70">
        <f>'RESUMEN TOTAL'!AC236</f>
        <v>0</v>
      </c>
      <c r="W190" s="70">
        <f>'RESUMEN TOTAL'!AD236</f>
        <v>0</v>
      </c>
      <c r="X190" s="70">
        <f>'RESUMEN TOTAL'!AE236</f>
        <v>0</v>
      </c>
      <c r="Y190" s="70">
        <f>'RESUMEN TOTAL'!AF236</f>
        <v>0</v>
      </c>
      <c r="Z190" s="70">
        <f>'RESUMEN TOTAL'!AG236</f>
        <v>0</v>
      </c>
      <c r="AA190" s="70">
        <f>'RESUMEN TOTAL'!AH236</f>
        <v>0</v>
      </c>
      <c r="AB190" s="70">
        <f>'RESUMEN TOTAL'!AI236</f>
        <v>0</v>
      </c>
      <c r="AC190" s="70">
        <f>'RESUMEN TOTAL'!AJ236</f>
        <v>0</v>
      </c>
      <c r="AD190" s="70">
        <f>'RESUMEN TOTAL'!AK236</f>
        <v>0</v>
      </c>
      <c r="AE190" s="70">
        <f>'RESUMEN TOTAL'!AL236</f>
        <v>0</v>
      </c>
      <c r="AF190" s="70">
        <f>'RESUMEN TOTAL'!AM236</f>
        <v>0</v>
      </c>
      <c r="AG190" s="70">
        <f>'RESUMEN TOTAL'!AN236</f>
        <v>0</v>
      </c>
      <c r="AH190" s="70">
        <f>'RESUMEN TOTAL'!AO236</f>
        <v>0</v>
      </c>
      <c r="AI190" s="70">
        <f>'RESUMEN TOTAL'!AP236</f>
        <v>0</v>
      </c>
    </row>
    <row r="191" spans="1:35" x14ac:dyDescent="0.25">
      <c r="A191" t="str">
        <f>'RESUMEN TOTAL'!A237</f>
        <v>LOPEZ ROMERO</v>
      </c>
      <c r="B191" t="str">
        <f>'RESUMEN TOTAL'!B237</f>
        <v>LRO11</v>
      </c>
      <c r="C191" t="str">
        <f>'RESUMEN TOTAL'!D237</f>
        <v>Av. Yrigoyen y Braile</v>
      </c>
      <c r="D191" s="30" t="str">
        <f>'RESUMEN TOTAL'!E237</f>
        <v>Domo</v>
      </c>
      <c r="E191" s="30" t="str">
        <f>'RESUMEN TOTAL'!F237</f>
        <v>Fibra Optica</v>
      </c>
      <c r="F191" s="70">
        <f>'RESUMEN TOTAL'!M237</f>
        <v>0</v>
      </c>
      <c r="G191" s="70">
        <f>'RESUMEN TOTAL'!N237</f>
        <v>0</v>
      </c>
      <c r="H191" s="70">
        <f>'RESUMEN TOTAL'!O237</f>
        <v>0</v>
      </c>
      <c r="I191" s="70">
        <f>'RESUMEN TOTAL'!P237</f>
        <v>0</v>
      </c>
      <c r="J191" s="70">
        <f>'RESUMEN TOTAL'!Q237</f>
        <v>0</v>
      </c>
      <c r="K191" s="70">
        <f>'RESUMEN TOTAL'!R237</f>
        <v>0</v>
      </c>
      <c r="L191" s="70">
        <f>'RESUMEN TOTAL'!S237</f>
        <v>0</v>
      </c>
      <c r="M191" s="70">
        <f>'RESUMEN TOTAL'!T237</f>
        <v>0</v>
      </c>
      <c r="N191" s="70">
        <f>'RESUMEN TOTAL'!U237</f>
        <v>0</v>
      </c>
      <c r="O191" s="70">
        <f>'RESUMEN TOTAL'!V237</f>
        <v>0</v>
      </c>
      <c r="P191" s="70">
        <f>'RESUMEN TOTAL'!W237</f>
        <v>0</v>
      </c>
      <c r="Q191" s="70">
        <f>'RESUMEN TOTAL'!X237</f>
        <v>0</v>
      </c>
      <c r="R191" s="70">
        <f>'RESUMEN TOTAL'!Y237</f>
        <v>0</v>
      </c>
      <c r="S191" s="70">
        <f>'RESUMEN TOTAL'!Z237</f>
        <v>0</v>
      </c>
      <c r="T191" s="70" t="str">
        <f>'RESUMEN TOTAL'!AA237</f>
        <v>APAGADO</v>
      </c>
      <c r="U191" s="70">
        <f>'RESUMEN TOTAL'!AB237</f>
        <v>0</v>
      </c>
      <c r="V191" s="70">
        <f>'RESUMEN TOTAL'!AC237</f>
        <v>0</v>
      </c>
      <c r="W191" s="70">
        <f>'RESUMEN TOTAL'!AD237</f>
        <v>0</v>
      </c>
      <c r="X191" s="70">
        <f>'RESUMEN TOTAL'!AE237</f>
        <v>0</v>
      </c>
      <c r="Y191" s="70">
        <f>'RESUMEN TOTAL'!AF237</f>
        <v>0</v>
      </c>
      <c r="Z191" s="70">
        <f>'RESUMEN TOTAL'!AG237</f>
        <v>0</v>
      </c>
      <c r="AA191" s="70">
        <f>'RESUMEN TOTAL'!AH237</f>
        <v>0</v>
      </c>
      <c r="AB191" s="70">
        <f>'RESUMEN TOTAL'!AI237</f>
        <v>0</v>
      </c>
      <c r="AC191" s="70">
        <f>'RESUMEN TOTAL'!AJ237</f>
        <v>0</v>
      </c>
      <c r="AD191" s="70">
        <f>'RESUMEN TOTAL'!AK237</f>
        <v>0</v>
      </c>
      <c r="AE191" s="70">
        <f>'RESUMEN TOTAL'!AL237</f>
        <v>0</v>
      </c>
      <c r="AF191" s="70">
        <f>'RESUMEN TOTAL'!AM237</f>
        <v>0</v>
      </c>
      <c r="AG191" s="70">
        <f>'RESUMEN TOTAL'!AN237</f>
        <v>0</v>
      </c>
      <c r="AH191" s="70">
        <f>'RESUMEN TOTAL'!AO237</f>
        <v>0</v>
      </c>
      <c r="AI191" s="70">
        <f>'RESUMEN TOTAL'!AP237</f>
        <v>0</v>
      </c>
    </row>
    <row r="192" spans="1:35" x14ac:dyDescent="0.25">
      <c r="A192" t="str">
        <f>'RESUMEN TOTAL'!A238</f>
        <v>LOPEZ ROMERO</v>
      </c>
      <c r="B192" t="str">
        <f>'RESUMEN TOTAL'!B238</f>
        <v>LRO14</v>
      </c>
      <c r="C192" t="str">
        <f>'RESUMEN TOTAL'!D238</f>
        <v>YRIGOYEN Y STORNI</v>
      </c>
      <c r="D192" s="30" t="str">
        <f>'RESUMEN TOTAL'!E238</f>
        <v>DOMO</v>
      </c>
      <c r="E192" s="30" t="str">
        <f>'RESUMEN TOTAL'!F238</f>
        <v>Fibra Optica</v>
      </c>
      <c r="F192" s="70">
        <f>'RESUMEN TOTAL'!M238</f>
        <v>0</v>
      </c>
      <c r="G192" s="70">
        <f>'RESUMEN TOTAL'!N238</f>
        <v>0</v>
      </c>
      <c r="H192" s="70">
        <f>'RESUMEN TOTAL'!O238</f>
        <v>0</v>
      </c>
      <c r="I192" s="70">
        <f>'RESUMEN TOTAL'!P238</f>
        <v>0</v>
      </c>
      <c r="J192" s="70">
        <f>'RESUMEN TOTAL'!Q238</f>
        <v>0</v>
      </c>
      <c r="K192" s="70">
        <f>'RESUMEN TOTAL'!R238</f>
        <v>0</v>
      </c>
      <c r="L192" s="70">
        <f>'RESUMEN TOTAL'!S238</f>
        <v>0</v>
      </c>
      <c r="M192" s="70">
        <f>'RESUMEN TOTAL'!T238</f>
        <v>0</v>
      </c>
      <c r="N192" s="70">
        <f>'RESUMEN TOTAL'!U238</f>
        <v>0</v>
      </c>
      <c r="O192" s="70">
        <f>'RESUMEN TOTAL'!V238</f>
        <v>0</v>
      </c>
      <c r="P192" s="70">
        <f>'RESUMEN TOTAL'!W238</f>
        <v>0</v>
      </c>
      <c r="Q192" s="70">
        <f>'RESUMEN TOTAL'!X238</f>
        <v>0</v>
      </c>
      <c r="R192" s="70">
        <f>'RESUMEN TOTAL'!Y238</f>
        <v>0</v>
      </c>
      <c r="S192" s="70">
        <f>'RESUMEN TOTAL'!Z238</f>
        <v>0</v>
      </c>
      <c r="T192" s="70" t="str">
        <f>'RESUMEN TOTAL'!AA238</f>
        <v>APAGADO</v>
      </c>
      <c r="U192" s="70">
        <f>'RESUMEN TOTAL'!AB238</f>
        <v>0</v>
      </c>
      <c r="V192" s="70">
        <f>'RESUMEN TOTAL'!AC238</f>
        <v>0</v>
      </c>
      <c r="W192" s="70">
        <f>'RESUMEN TOTAL'!AD238</f>
        <v>0</v>
      </c>
      <c r="X192" s="70">
        <f>'RESUMEN TOTAL'!AE238</f>
        <v>0</v>
      </c>
      <c r="Y192" s="70">
        <f>'RESUMEN TOTAL'!AF238</f>
        <v>0</v>
      </c>
      <c r="Z192" s="70">
        <f>'RESUMEN TOTAL'!AG238</f>
        <v>0</v>
      </c>
      <c r="AA192" s="70">
        <f>'RESUMEN TOTAL'!AH238</f>
        <v>0</v>
      </c>
      <c r="AB192" s="70">
        <f>'RESUMEN TOTAL'!AI238</f>
        <v>0</v>
      </c>
      <c r="AC192" s="70">
        <f>'RESUMEN TOTAL'!AJ238</f>
        <v>0</v>
      </c>
      <c r="AD192" s="70">
        <f>'RESUMEN TOTAL'!AK238</f>
        <v>0</v>
      </c>
      <c r="AE192" s="70">
        <f>'RESUMEN TOTAL'!AL238</f>
        <v>0</v>
      </c>
      <c r="AF192" s="70">
        <f>'RESUMEN TOTAL'!AM238</f>
        <v>0</v>
      </c>
      <c r="AG192" s="70">
        <f>'RESUMEN TOTAL'!AN238</f>
        <v>0</v>
      </c>
      <c r="AH192" s="70">
        <f>'RESUMEN TOTAL'!AO238</f>
        <v>0</v>
      </c>
      <c r="AI192" s="70">
        <f>'RESUMEN TOTAL'!AP238</f>
        <v>0</v>
      </c>
    </row>
    <row r="193" spans="1:35" x14ac:dyDescent="0.25">
      <c r="A193" t="str">
        <f>'RESUMEN TOTAL'!A239</f>
        <v>LOPEZ ROMERO</v>
      </c>
      <c r="B193" t="str">
        <f>'RESUMEN TOTAL'!B239</f>
        <v>LRO15</v>
      </c>
      <c r="C193" t="str">
        <f>'RESUMEN TOTAL'!D239</f>
        <v>BRAILE Y FINOCCHIETTO</v>
      </c>
      <c r="D193" s="30" t="str">
        <f>'RESUMEN TOTAL'!E239</f>
        <v>DOMO</v>
      </c>
      <c r="E193" s="30" t="str">
        <f>'RESUMEN TOTAL'!F239</f>
        <v>Fibra Optica</v>
      </c>
      <c r="F193" s="70">
        <f>'RESUMEN TOTAL'!M239</f>
        <v>0</v>
      </c>
      <c r="G193" s="70">
        <f>'RESUMEN TOTAL'!N239</f>
        <v>0</v>
      </c>
      <c r="H193" s="70">
        <f>'RESUMEN TOTAL'!O239</f>
        <v>0</v>
      </c>
      <c r="I193" s="70">
        <f>'RESUMEN TOTAL'!P239</f>
        <v>0</v>
      </c>
      <c r="J193" s="70">
        <f>'RESUMEN TOTAL'!Q239</f>
        <v>0</v>
      </c>
      <c r="K193" s="70">
        <f>'RESUMEN TOTAL'!R239</f>
        <v>0</v>
      </c>
      <c r="L193" s="70">
        <f>'RESUMEN TOTAL'!S239</f>
        <v>0</v>
      </c>
      <c r="M193" s="70">
        <f>'RESUMEN TOTAL'!T239</f>
        <v>0</v>
      </c>
      <c r="N193" s="70">
        <f>'RESUMEN TOTAL'!U239</f>
        <v>0</v>
      </c>
      <c r="O193" s="70">
        <f>'RESUMEN TOTAL'!V239</f>
        <v>0</v>
      </c>
      <c r="P193" s="70">
        <f>'RESUMEN TOTAL'!W239</f>
        <v>0</v>
      </c>
      <c r="Q193" s="70">
        <f>'RESUMEN TOTAL'!X239</f>
        <v>0</v>
      </c>
      <c r="R193" s="70">
        <f>'RESUMEN TOTAL'!Y239</f>
        <v>0</v>
      </c>
      <c r="S193" s="70">
        <f>'RESUMEN TOTAL'!Z239</f>
        <v>0</v>
      </c>
      <c r="T193" s="70" t="str">
        <f>'RESUMEN TOTAL'!AA239</f>
        <v>APAGADO</v>
      </c>
      <c r="U193" s="70">
        <f>'RESUMEN TOTAL'!AB239</f>
        <v>0</v>
      </c>
      <c r="V193" s="70">
        <f>'RESUMEN TOTAL'!AC239</f>
        <v>0</v>
      </c>
      <c r="W193" s="70">
        <f>'RESUMEN TOTAL'!AD239</f>
        <v>0</v>
      </c>
      <c r="X193" s="70">
        <f>'RESUMEN TOTAL'!AE239</f>
        <v>0</v>
      </c>
      <c r="Y193" s="70">
        <f>'RESUMEN TOTAL'!AF239</f>
        <v>0</v>
      </c>
      <c r="Z193" s="70">
        <f>'RESUMEN TOTAL'!AG239</f>
        <v>0</v>
      </c>
      <c r="AA193" s="70">
        <f>'RESUMEN TOTAL'!AH239</f>
        <v>0</v>
      </c>
      <c r="AB193" s="70">
        <f>'RESUMEN TOTAL'!AI239</f>
        <v>0</v>
      </c>
      <c r="AC193" s="70">
        <f>'RESUMEN TOTAL'!AJ239</f>
        <v>0</v>
      </c>
      <c r="AD193" s="70">
        <f>'RESUMEN TOTAL'!AK239</f>
        <v>0</v>
      </c>
      <c r="AE193" s="70">
        <f>'RESUMEN TOTAL'!AL239</f>
        <v>0</v>
      </c>
      <c r="AF193" s="70">
        <f>'RESUMEN TOTAL'!AM239</f>
        <v>0</v>
      </c>
      <c r="AG193" s="70">
        <f>'RESUMEN TOTAL'!AN239</f>
        <v>0</v>
      </c>
      <c r="AH193" s="70">
        <f>'RESUMEN TOTAL'!AO239</f>
        <v>0</v>
      </c>
      <c r="AI193" s="70">
        <f>'RESUMEN TOTAL'!AP239</f>
        <v>0</v>
      </c>
    </row>
    <row r="194" spans="1:35" x14ac:dyDescent="0.25">
      <c r="A194" t="str">
        <f>'RESUMEN TOTAL'!A240</f>
        <v>LUJAN</v>
      </c>
      <c r="B194" t="str">
        <f>'RESUMEN TOTAL'!B240</f>
        <v>LUJ 01</v>
      </c>
      <c r="C194" t="str">
        <f>'RESUMEN TOTAL'!D240</f>
        <v>ñandu y Los Pinos</v>
      </c>
      <c r="D194" s="30" t="str">
        <f>'RESUMEN TOTAL'!E240</f>
        <v>Domo</v>
      </c>
      <c r="E194" s="30" t="str">
        <f>'RESUMEN TOTAL'!F240</f>
        <v>Radio</v>
      </c>
      <c r="F194" s="70" t="str">
        <f>'RESUMEN TOTAL'!M240</f>
        <v>APAGADO</v>
      </c>
      <c r="G194" s="70" t="str">
        <f>'RESUMEN TOTAL'!N240</f>
        <v>APAGADO</v>
      </c>
      <c r="H194" s="70" t="str">
        <f>'RESUMEN TOTAL'!O240</f>
        <v>APAGADO</v>
      </c>
      <c r="I194" s="70" t="str">
        <f>'RESUMEN TOTAL'!P240</f>
        <v>APAGADO</v>
      </c>
      <c r="J194" s="70" t="str">
        <f>'RESUMEN TOTAL'!Q240</f>
        <v>APAGADO</v>
      </c>
      <c r="K194" s="70" t="str">
        <f>'RESUMEN TOTAL'!R240</f>
        <v>APAGADO</v>
      </c>
      <c r="L194" s="70" t="str">
        <f>'RESUMEN TOTAL'!S240</f>
        <v>APAGADO</v>
      </c>
      <c r="M194" s="70" t="str">
        <f>'RESUMEN TOTAL'!T240</f>
        <v>APAGADO</v>
      </c>
      <c r="N194" s="70" t="str">
        <f>'RESUMEN TOTAL'!U240</f>
        <v>APAGADO</v>
      </c>
      <c r="O194" s="70" t="str">
        <f>'RESUMEN TOTAL'!V240</f>
        <v>APAGADO</v>
      </c>
      <c r="P194" s="70" t="str">
        <f>'RESUMEN TOTAL'!W240</f>
        <v>APAGADO</v>
      </c>
      <c r="Q194" s="70" t="str">
        <f>'RESUMEN TOTAL'!X240</f>
        <v>APAGADO</v>
      </c>
      <c r="R194" s="70" t="str">
        <f>'RESUMEN TOTAL'!Y240</f>
        <v>APAGADO</v>
      </c>
      <c r="S194" s="70" t="str">
        <f>'RESUMEN TOTAL'!Z240</f>
        <v>APAGADO</v>
      </c>
      <c r="T194" s="70" t="str">
        <f>'RESUMEN TOTAL'!AA240</f>
        <v>APAGADO</v>
      </c>
      <c r="U194" s="70" t="str">
        <f>'RESUMEN TOTAL'!AB240</f>
        <v>APAGADO</v>
      </c>
      <c r="V194" s="70" t="str">
        <f>'RESUMEN TOTAL'!AC240</f>
        <v>APAGADO</v>
      </c>
      <c r="W194" s="70" t="str">
        <f>'RESUMEN TOTAL'!AD240</f>
        <v>APAGADO</v>
      </c>
      <c r="X194" s="70" t="str">
        <f>'RESUMEN TOTAL'!AE240</f>
        <v>APAGADO</v>
      </c>
      <c r="Y194" s="70" t="str">
        <f>'RESUMEN TOTAL'!AF240</f>
        <v>APAGADO</v>
      </c>
      <c r="Z194" s="70" t="str">
        <f>'RESUMEN TOTAL'!AG240</f>
        <v>APAGADO</v>
      </c>
      <c r="AA194" s="70" t="str">
        <f>'RESUMEN TOTAL'!AH240</f>
        <v>APAGADO</v>
      </c>
      <c r="AB194" s="70" t="str">
        <f>'RESUMEN TOTAL'!AI240</f>
        <v>APAGADO</v>
      </c>
      <c r="AC194" s="70" t="str">
        <f>'RESUMEN TOTAL'!AJ240</f>
        <v>APAGADO</v>
      </c>
      <c r="AD194" s="70" t="str">
        <f>'RESUMEN TOTAL'!AK240</f>
        <v>APAGADO</v>
      </c>
      <c r="AE194" s="70" t="str">
        <f>'RESUMEN TOTAL'!AL240</f>
        <v>APAGADO</v>
      </c>
      <c r="AF194" s="70">
        <f>'RESUMEN TOTAL'!AM240</f>
        <v>0</v>
      </c>
      <c r="AG194" s="70">
        <f>'RESUMEN TOTAL'!AN240</f>
        <v>0</v>
      </c>
      <c r="AH194" s="70">
        <f>'RESUMEN TOTAL'!AO240</f>
        <v>0</v>
      </c>
      <c r="AI194" s="70">
        <f>'RESUMEN TOTAL'!AP240</f>
        <v>0</v>
      </c>
    </row>
    <row r="195" spans="1:35" x14ac:dyDescent="0.25">
      <c r="A195" t="str">
        <f>'RESUMEN TOTAL'!A241</f>
        <v>VILLA ARGENTINA</v>
      </c>
      <c r="B195" t="str">
        <f>'RESUMEN TOTAL'!B241</f>
        <v>LUJ 02</v>
      </c>
      <c r="C195" t="str">
        <f>'RESUMEN TOTAL'!D241</f>
        <v>DIAG. LOS TILOS Y 527</v>
      </c>
      <c r="D195" s="30" t="str">
        <f>'RESUMEN TOTAL'!E241</f>
        <v>DOMO</v>
      </c>
      <c r="E195" s="30" t="str">
        <f>'RESUMEN TOTAL'!F241</f>
        <v>PTO A FO</v>
      </c>
      <c r="F195" s="70">
        <f>'RESUMEN TOTAL'!M241</f>
        <v>0</v>
      </c>
      <c r="G195" s="70">
        <f>'RESUMEN TOTAL'!N241</f>
        <v>0</v>
      </c>
      <c r="H195" s="70">
        <f>'RESUMEN TOTAL'!O241</f>
        <v>0</v>
      </c>
      <c r="I195" s="70">
        <f>'RESUMEN TOTAL'!P241</f>
        <v>0</v>
      </c>
      <c r="J195" s="70">
        <f>'RESUMEN TOTAL'!Q241</f>
        <v>0</v>
      </c>
      <c r="K195" s="70">
        <f>'RESUMEN TOTAL'!R241</f>
        <v>0</v>
      </c>
      <c r="L195" s="70">
        <f>'RESUMEN TOTAL'!S241</f>
        <v>0</v>
      </c>
      <c r="M195" s="70">
        <f>'RESUMEN TOTAL'!T241</f>
        <v>0</v>
      </c>
      <c r="N195" s="70">
        <f>'RESUMEN TOTAL'!U241</f>
        <v>0</v>
      </c>
      <c r="O195" s="70">
        <f>'RESUMEN TOTAL'!V241</f>
        <v>0</v>
      </c>
      <c r="P195" s="70">
        <f>'RESUMEN TOTAL'!W241</f>
        <v>0</v>
      </c>
      <c r="Q195" s="70">
        <f>'RESUMEN TOTAL'!X241</f>
        <v>0</v>
      </c>
      <c r="R195" s="70" t="str">
        <f>'RESUMEN TOTAL'!Y241</f>
        <v>APAGADO</v>
      </c>
      <c r="S195" s="70">
        <f>'RESUMEN TOTAL'!Z241</f>
        <v>0</v>
      </c>
      <c r="T195" s="70">
        <f>'RESUMEN TOTAL'!AA241</f>
        <v>0</v>
      </c>
      <c r="U195" s="70">
        <f>'RESUMEN TOTAL'!AB241</f>
        <v>0</v>
      </c>
      <c r="V195" s="70">
        <f>'RESUMEN TOTAL'!AC241</f>
        <v>0</v>
      </c>
      <c r="W195" s="70">
        <f>'RESUMEN TOTAL'!AD241</f>
        <v>0</v>
      </c>
      <c r="X195" s="70">
        <f>'RESUMEN TOTAL'!AE241</f>
        <v>0</v>
      </c>
      <c r="Y195" s="70">
        <f>'RESUMEN TOTAL'!AF241</f>
        <v>0</v>
      </c>
      <c r="Z195" s="70">
        <f>'RESUMEN TOTAL'!AG241</f>
        <v>0</v>
      </c>
      <c r="AA195" s="70">
        <f>'RESUMEN TOTAL'!AH241</f>
        <v>0</v>
      </c>
      <c r="AB195" s="70">
        <f>'RESUMEN TOTAL'!AI241</f>
        <v>0</v>
      </c>
      <c r="AC195" s="70">
        <f>'RESUMEN TOTAL'!AJ241</f>
        <v>0</v>
      </c>
      <c r="AD195" s="70">
        <f>'RESUMEN TOTAL'!AK241</f>
        <v>0</v>
      </c>
      <c r="AE195" s="70">
        <f>'RESUMEN TOTAL'!AL241</f>
        <v>0</v>
      </c>
      <c r="AF195" s="70">
        <f>'RESUMEN TOTAL'!AM241</f>
        <v>0</v>
      </c>
      <c r="AG195" s="70">
        <f>'RESUMEN TOTAL'!AN241</f>
        <v>0</v>
      </c>
      <c r="AH195" s="70">
        <f>'RESUMEN TOTAL'!AO241</f>
        <v>0</v>
      </c>
      <c r="AI195" s="70">
        <f>'RESUMEN TOTAL'!AP241</f>
        <v>0</v>
      </c>
    </row>
    <row r="196" spans="1:35" x14ac:dyDescent="0.25">
      <c r="A196" t="str">
        <f>'RESUMEN TOTAL'!A242</f>
        <v>LUJAN</v>
      </c>
      <c r="B196" t="str">
        <f>'RESUMEN TOTAL'!B242</f>
        <v>LUJ03</v>
      </c>
      <c r="C196" t="str">
        <f>'RESUMEN TOTAL'!D242</f>
        <v>LOS PINOS Y LOS TILOS</v>
      </c>
      <c r="D196" s="30" t="str">
        <f>'RESUMEN TOTAL'!E242</f>
        <v>DOMO</v>
      </c>
      <c r="E196" s="30" t="str">
        <f>'RESUMEN TOTAL'!F242</f>
        <v>Fibra Optica</v>
      </c>
      <c r="F196" s="70">
        <f>'RESUMEN TOTAL'!M242</f>
        <v>0</v>
      </c>
      <c r="G196" s="70">
        <f>'RESUMEN TOTAL'!N242</f>
        <v>0</v>
      </c>
      <c r="H196" s="70">
        <f>'RESUMEN TOTAL'!O242</f>
        <v>0</v>
      </c>
      <c r="I196" s="70">
        <f>'RESUMEN TOTAL'!P242</f>
        <v>0</v>
      </c>
      <c r="J196" s="70">
        <f>'RESUMEN TOTAL'!Q242</f>
        <v>0</v>
      </c>
      <c r="K196" s="70">
        <f>'RESUMEN TOTAL'!R242</f>
        <v>0</v>
      </c>
      <c r="L196" s="70" t="str">
        <f>'RESUMEN TOTAL'!S242</f>
        <v>APAGADO</v>
      </c>
      <c r="M196" s="70" t="str">
        <f>'RESUMEN TOTAL'!T242</f>
        <v>APAGADO</v>
      </c>
      <c r="N196" s="70">
        <f>'RESUMEN TOTAL'!U242</f>
        <v>0</v>
      </c>
      <c r="O196" s="70">
        <f>'RESUMEN TOTAL'!V242</f>
        <v>0</v>
      </c>
      <c r="P196" s="70">
        <f>'RESUMEN TOTAL'!W242</f>
        <v>0</v>
      </c>
      <c r="Q196" s="70">
        <f>'RESUMEN TOTAL'!X242</f>
        <v>0</v>
      </c>
      <c r="R196" s="70">
        <f>'RESUMEN TOTAL'!Y242</f>
        <v>0</v>
      </c>
      <c r="S196" s="70">
        <f>'RESUMEN TOTAL'!Z242</f>
        <v>0</v>
      </c>
      <c r="T196" s="70" t="str">
        <f>'RESUMEN TOTAL'!AA242</f>
        <v>APAGADO</v>
      </c>
      <c r="U196" s="70">
        <f>'RESUMEN TOTAL'!AB242</f>
        <v>0</v>
      </c>
      <c r="V196" s="70">
        <f>'RESUMEN TOTAL'!AC242</f>
        <v>0</v>
      </c>
      <c r="W196" s="70">
        <f>'RESUMEN TOTAL'!AD242</f>
        <v>0</v>
      </c>
      <c r="X196" s="70">
        <f>'RESUMEN TOTAL'!AE242</f>
        <v>0</v>
      </c>
      <c r="Y196" s="70">
        <f>'RESUMEN TOTAL'!AF242</f>
        <v>0</v>
      </c>
      <c r="Z196" s="70">
        <f>'RESUMEN TOTAL'!AG242</f>
        <v>0</v>
      </c>
      <c r="AA196" s="70">
        <f>'RESUMEN TOTAL'!AH242</f>
        <v>0</v>
      </c>
      <c r="AB196" s="70">
        <f>'RESUMEN TOTAL'!AI242</f>
        <v>0</v>
      </c>
      <c r="AC196" s="70">
        <f>'RESUMEN TOTAL'!AJ242</f>
        <v>0</v>
      </c>
      <c r="AD196" s="70">
        <f>'RESUMEN TOTAL'!AK242</f>
        <v>0</v>
      </c>
      <c r="AE196" s="70">
        <f>'RESUMEN TOTAL'!AL242</f>
        <v>0</v>
      </c>
      <c r="AF196" s="70">
        <f>'RESUMEN TOTAL'!AM242</f>
        <v>0</v>
      </c>
      <c r="AG196" s="70">
        <f>'RESUMEN TOTAL'!AN242</f>
        <v>0</v>
      </c>
      <c r="AH196" s="70">
        <f>'RESUMEN TOTAL'!AO242</f>
        <v>0</v>
      </c>
      <c r="AI196" s="70">
        <f>'RESUMEN TOTAL'!AP242</f>
        <v>0</v>
      </c>
    </row>
    <row r="197" spans="1:35" x14ac:dyDescent="0.25">
      <c r="A197" t="str">
        <f>'RESUMEN TOTAL'!A243</f>
        <v>PRESIDENTE PERON (PEPSI)</v>
      </c>
      <c r="B197" t="str">
        <f>'RESUMEN TOTAL'!B243</f>
        <v>MAR 01</v>
      </c>
      <c r="C197" t="str">
        <f>'RESUMEN TOTAL'!D243</f>
        <v>RP36 Y LA ESMERALDA</v>
      </c>
      <c r="D197" s="30" t="str">
        <f>'RESUMEN TOTAL'!E243</f>
        <v>DOMO</v>
      </c>
      <c r="E197" s="30" t="str">
        <f>'RESUMEN TOTAL'!F243</f>
        <v>PTO A FO</v>
      </c>
      <c r="F197" s="70">
        <f>'RESUMEN TOTAL'!M243</f>
        <v>0</v>
      </c>
      <c r="G197" s="70">
        <f>'RESUMEN TOTAL'!N243</f>
        <v>0</v>
      </c>
      <c r="H197" s="70">
        <f>'RESUMEN TOTAL'!O243</f>
        <v>0</v>
      </c>
      <c r="I197" s="70">
        <f>'RESUMEN TOTAL'!P243</f>
        <v>0</v>
      </c>
      <c r="J197" s="70">
        <f>'RESUMEN TOTAL'!Q243</f>
        <v>0</v>
      </c>
      <c r="K197" s="70" t="str">
        <f>'RESUMEN TOTAL'!R243</f>
        <v>APAGADO</v>
      </c>
      <c r="L197" s="70">
        <f>'RESUMEN TOTAL'!S243</f>
        <v>0</v>
      </c>
      <c r="M197" s="70">
        <f>'RESUMEN TOTAL'!T243</f>
        <v>0</v>
      </c>
      <c r="N197" s="70">
        <f>'RESUMEN TOTAL'!U243</f>
        <v>0</v>
      </c>
      <c r="O197" s="70">
        <f>'RESUMEN TOTAL'!V243</f>
        <v>0</v>
      </c>
      <c r="P197" s="70">
        <f>'RESUMEN TOTAL'!W243</f>
        <v>0</v>
      </c>
      <c r="Q197" s="70">
        <f>'RESUMEN TOTAL'!X243</f>
        <v>0</v>
      </c>
      <c r="R197" s="70">
        <f>'RESUMEN TOTAL'!Y243</f>
        <v>0</v>
      </c>
      <c r="S197" s="70">
        <f>'RESUMEN TOTAL'!Z243</f>
        <v>0</v>
      </c>
      <c r="T197" s="70">
        <f>'RESUMEN TOTAL'!AA243</f>
        <v>0</v>
      </c>
      <c r="U197" s="70">
        <f>'RESUMEN TOTAL'!AB243</f>
        <v>0</v>
      </c>
      <c r="V197" s="70">
        <f>'RESUMEN TOTAL'!AC243</f>
        <v>0</v>
      </c>
      <c r="W197" s="70">
        <f>'RESUMEN TOTAL'!AD243</f>
        <v>0</v>
      </c>
      <c r="X197" s="70">
        <f>'RESUMEN TOTAL'!AE243</f>
        <v>0</v>
      </c>
      <c r="Y197" s="70">
        <f>'RESUMEN TOTAL'!AF243</f>
        <v>0</v>
      </c>
      <c r="Z197" s="70">
        <f>'RESUMEN TOTAL'!AG243</f>
        <v>0</v>
      </c>
      <c r="AA197" s="70">
        <f>'RESUMEN TOTAL'!AH243</f>
        <v>0</v>
      </c>
      <c r="AB197" s="70">
        <f>'RESUMEN TOTAL'!AI243</f>
        <v>0</v>
      </c>
      <c r="AC197" s="70" t="str">
        <f>'RESUMEN TOTAL'!AJ243</f>
        <v>APAGADO</v>
      </c>
      <c r="AD197" s="70">
        <f>'RESUMEN TOTAL'!AK243</f>
        <v>0</v>
      </c>
      <c r="AE197" s="70">
        <f>'RESUMEN TOTAL'!AL243</f>
        <v>0</v>
      </c>
      <c r="AF197" s="70">
        <f>'RESUMEN TOTAL'!AM243</f>
        <v>0</v>
      </c>
      <c r="AG197" s="70">
        <f>'RESUMEN TOTAL'!AN243</f>
        <v>0</v>
      </c>
      <c r="AH197" s="70">
        <f>'RESUMEN TOTAL'!AO243</f>
        <v>0</v>
      </c>
      <c r="AI197" s="70">
        <f>'RESUMEN TOTAL'!AP243</f>
        <v>0</v>
      </c>
    </row>
    <row r="198" spans="1:35" x14ac:dyDescent="0.25">
      <c r="A198" t="str">
        <f>'RESUMEN TOTAL'!A244</f>
        <v>RICARDO ROJAS</v>
      </c>
      <c r="B198" t="str">
        <f>'RESUMEN TOTAL'!B244</f>
        <v>MAR 02 (FIJA1)</v>
      </c>
      <c r="C198" t="str">
        <f>'RESUMEN TOTAL'!D244</f>
        <v>LUJAN Y PATAGONES</v>
      </c>
      <c r="D198" s="30" t="str">
        <f>'RESUMEN TOTAL'!E244</f>
        <v>Fija</v>
      </c>
      <c r="E198" s="30" t="str">
        <f>'RESUMEN TOTAL'!F244</f>
        <v>Fibra Optica</v>
      </c>
      <c r="F198" s="70">
        <f>'RESUMEN TOTAL'!M244</f>
        <v>0</v>
      </c>
      <c r="G198" s="70">
        <f>'RESUMEN TOTAL'!N244</f>
        <v>0</v>
      </c>
      <c r="H198" s="70">
        <f>'RESUMEN TOTAL'!O244</f>
        <v>0</v>
      </c>
      <c r="I198" s="70">
        <f>'RESUMEN TOTAL'!P244</f>
        <v>0</v>
      </c>
      <c r="J198" s="70">
        <f>'RESUMEN TOTAL'!Q244</f>
        <v>0</v>
      </c>
      <c r="K198" s="70">
        <f>'RESUMEN TOTAL'!R244</f>
        <v>0</v>
      </c>
      <c r="L198" s="70">
        <f>'RESUMEN TOTAL'!S244</f>
        <v>0</v>
      </c>
      <c r="M198" s="70">
        <f>'RESUMEN TOTAL'!T244</f>
        <v>0</v>
      </c>
      <c r="N198" s="70">
        <f>'RESUMEN TOTAL'!U244</f>
        <v>0</v>
      </c>
      <c r="O198" s="70">
        <f>'RESUMEN TOTAL'!V244</f>
        <v>0</v>
      </c>
      <c r="P198" s="70">
        <f>'RESUMEN TOTAL'!W244</f>
        <v>0</v>
      </c>
      <c r="Q198" s="70">
        <f>'RESUMEN TOTAL'!X244</f>
        <v>0</v>
      </c>
      <c r="R198" s="70">
        <f>'RESUMEN TOTAL'!Y244</f>
        <v>0</v>
      </c>
      <c r="S198" s="70">
        <f>'RESUMEN TOTAL'!Z244</f>
        <v>0</v>
      </c>
      <c r="T198" s="70">
        <f>'RESUMEN TOTAL'!AA244</f>
        <v>0</v>
      </c>
      <c r="U198" s="70">
        <f>'RESUMEN TOTAL'!AB244</f>
        <v>0</v>
      </c>
      <c r="V198" s="70">
        <f>'RESUMEN TOTAL'!AC244</f>
        <v>0</v>
      </c>
      <c r="W198" s="70">
        <f>'RESUMEN TOTAL'!AD244</f>
        <v>0</v>
      </c>
      <c r="X198" s="70">
        <f>'RESUMEN TOTAL'!AE244</f>
        <v>0</v>
      </c>
      <c r="Y198" s="70">
        <f>'RESUMEN TOTAL'!AF244</f>
        <v>0</v>
      </c>
      <c r="Z198" s="70">
        <f>'RESUMEN TOTAL'!AG244</f>
        <v>0</v>
      </c>
      <c r="AA198" s="70">
        <f>'RESUMEN TOTAL'!AH244</f>
        <v>0</v>
      </c>
      <c r="AB198" s="70">
        <f>'RESUMEN TOTAL'!AI244</f>
        <v>0</v>
      </c>
      <c r="AC198" s="70" t="str">
        <f>'RESUMEN TOTAL'!AJ244</f>
        <v>APAGADO</v>
      </c>
      <c r="AD198" s="70">
        <f>'RESUMEN TOTAL'!AK244</f>
        <v>0</v>
      </c>
      <c r="AE198" s="70">
        <f>'RESUMEN TOTAL'!AL244</f>
        <v>0</v>
      </c>
      <c r="AF198" s="70">
        <f>'RESUMEN TOTAL'!AM244</f>
        <v>0</v>
      </c>
      <c r="AG198" s="70">
        <f>'RESUMEN TOTAL'!AN244</f>
        <v>0</v>
      </c>
      <c r="AH198" s="70">
        <f>'RESUMEN TOTAL'!AO244</f>
        <v>0</v>
      </c>
      <c r="AI198" s="70">
        <f>'RESUMEN TOTAL'!AP244</f>
        <v>0</v>
      </c>
    </row>
    <row r="199" spans="1:35" x14ac:dyDescent="0.25">
      <c r="A199" t="str">
        <f>'RESUMEN TOTAL'!A245</f>
        <v>LAS MARGARITAS</v>
      </c>
      <c r="B199" t="str">
        <f>'RESUMEN TOTAL'!B245</f>
        <v>MAR 03(FIJA 2)</v>
      </c>
      <c r="C199" t="str">
        <f>'RESUMEN TOTAL'!D245</f>
        <v>LUJAN Y PATAGONES</v>
      </c>
      <c r="D199" s="30" t="str">
        <f>'RESUMEN TOTAL'!E245</f>
        <v>Fija</v>
      </c>
      <c r="E199" s="30" t="str">
        <f>'RESUMEN TOTAL'!F245</f>
        <v>Fibra Optica</v>
      </c>
      <c r="F199" s="70">
        <f>'RESUMEN TOTAL'!M245</f>
        <v>0</v>
      </c>
      <c r="G199" s="70">
        <f>'RESUMEN TOTAL'!N245</f>
        <v>0</v>
      </c>
      <c r="H199" s="70">
        <f>'RESUMEN TOTAL'!O245</f>
        <v>0</v>
      </c>
      <c r="I199" s="70">
        <f>'RESUMEN TOTAL'!P245</f>
        <v>0</v>
      </c>
      <c r="J199" s="70">
        <f>'RESUMEN TOTAL'!Q245</f>
        <v>0</v>
      </c>
      <c r="K199" s="70">
        <f>'RESUMEN TOTAL'!R245</f>
        <v>0</v>
      </c>
      <c r="L199" s="70">
        <f>'RESUMEN TOTAL'!S245</f>
        <v>0</v>
      </c>
      <c r="M199" s="70">
        <f>'RESUMEN TOTAL'!T245</f>
        <v>0</v>
      </c>
      <c r="N199" s="70">
        <f>'RESUMEN TOTAL'!U245</f>
        <v>0</v>
      </c>
      <c r="O199" s="70">
        <f>'RESUMEN TOTAL'!V245</f>
        <v>0</v>
      </c>
      <c r="P199" s="70">
        <f>'RESUMEN TOTAL'!W245</f>
        <v>0</v>
      </c>
      <c r="Q199" s="70">
        <f>'RESUMEN TOTAL'!X245</f>
        <v>0</v>
      </c>
      <c r="R199" s="70">
        <f>'RESUMEN TOTAL'!Y245</f>
        <v>0</v>
      </c>
      <c r="S199" s="70">
        <f>'RESUMEN TOTAL'!Z245</f>
        <v>0</v>
      </c>
      <c r="T199" s="70">
        <f>'RESUMEN TOTAL'!AA245</f>
        <v>0</v>
      </c>
      <c r="U199" s="70">
        <f>'RESUMEN TOTAL'!AB245</f>
        <v>0</v>
      </c>
      <c r="V199" s="70">
        <f>'RESUMEN TOTAL'!AC245</f>
        <v>0</v>
      </c>
      <c r="W199" s="70">
        <f>'RESUMEN TOTAL'!AD245</f>
        <v>0</v>
      </c>
      <c r="X199" s="70">
        <f>'RESUMEN TOTAL'!AE245</f>
        <v>0</v>
      </c>
      <c r="Y199" s="70">
        <f>'RESUMEN TOTAL'!AF245</f>
        <v>0</v>
      </c>
      <c r="Z199" s="70">
        <f>'RESUMEN TOTAL'!AG245</f>
        <v>0</v>
      </c>
      <c r="AA199" s="70">
        <f>'RESUMEN TOTAL'!AH245</f>
        <v>0</v>
      </c>
      <c r="AB199" s="70">
        <f>'RESUMEN TOTAL'!AI245</f>
        <v>0</v>
      </c>
      <c r="AC199" s="70" t="str">
        <f>'RESUMEN TOTAL'!AJ245</f>
        <v>APAGADO</v>
      </c>
      <c r="AD199" s="70">
        <f>'RESUMEN TOTAL'!AK245</f>
        <v>0</v>
      </c>
      <c r="AE199" s="70">
        <f>'RESUMEN TOTAL'!AL245</f>
        <v>0</v>
      </c>
      <c r="AF199" s="70">
        <f>'RESUMEN TOTAL'!AM245</f>
        <v>0</v>
      </c>
      <c r="AG199" s="70">
        <f>'RESUMEN TOTAL'!AN245</f>
        <v>0</v>
      </c>
      <c r="AH199" s="70">
        <f>'RESUMEN TOTAL'!AO245</f>
        <v>0</v>
      </c>
      <c r="AI199" s="70">
        <f>'RESUMEN TOTAL'!AP245</f>
        <v>0</v>
      </c>
    </row>
    <row r="200" spans="1:35" x14ac:dyDescent="0.25">
      <c r="A200" t="str">
        <f>'RESUMEN TOTAL'!A246</f>
        <v>MAYOL</v>
      </c>
      <c r="B200" t="str">
        <f>'RESUMEN TOTAL'!B246</f>
        <v>MAY 01</v>
      </c>
      <c r="C200" t="str">
        <f>'RESUMEN TOTAL'!D246</f>
        <v>Eva Peron y Cabildo</v>
      </c>
      <c r="D200" s="30" t="str">
        <f>'RESUMEN TOTAL'!E246</f>
        <v>Domo</v>
      </c>
      <c r="E200" s="30" t="str">
        <f>'RESUMEN TOTAL'!F246</f>
        <v>GPON</v>
      </c>
      <c r="F200" s="70">
        <f>'RESUMEN TOTAL'!M246</f>
        <v>0</v>
      </c>
      <c r="G200" s="70">
        <f>'RESUMEN TOTAL'!N246</f>
        <v>0</v>
      </c>
      <c r="H200" s="70">
        <f>'RESUMEN TOTAL'!O246</f>
        <v>0</v>
      </c>
      <c r="I200" s="70">
        <f>'RESUMEN TOTAL'!P246</f>
        <v>0</v>
      </c>
      <c r="J200" s="70">
        <f>'RESUMEN TOTAL'!Q246</f>
        <v>0</v>
      </c>
      <c r="K200" s="70">
        <f>'RESUMEN TOTAL'!R246</f>
        <v>0</v>
      </c>
      <c r="L200" s="70">
        <f>'RESUMEN TOTAL'!S246</f>
        <v>0</v>
      </c>
      <c r="M200" s="70">
        <f>'RESUMEN TOTAL'!T246</f>
        <v>0</v>
      </c>
      <c r="N200" s="70">
        <f>'RESUMEN TOTAL'!U246</f>
        <v>0</v>
      </c>
      <c r="O200" s="70">
        <f>'RESUMEN TOTAL'!V246</f>
        <v>0</v>
      </c>
      <c r="P200" s="70">
        <f>'RESUMEN TOTAL'!W246</f>
        <v>0</v>
      </c>
      <c r="Q200" s="70">
        <f>'RESUMEN TOTAL'!X246</f>
        <v>0</v>
      </c>
      <c r="R200" s="70">
        <f>'RESUMEN TOTAL'!Y246</f>
        <v>0</v>
      </c>
      <c r="S200" s="70">
        <f>'RESUMEN TOTAL'!Z246</f>
        <v>0</v>
      </c>
      <c r="T200" s="70">
        <f>'RESUMEN TOTAL'!AA246</f>
        <v>0</v>
      </c>
      <c r="U200" s="70">
        <f>'RESUMEN TOTAL'!AB246</f>
        <v>0</v>
      </c>
      <c r="V200" s="70">
        <f>'RESUMEN TOTAL'!AC246</f>
        <v>0</v>
      </c>
      <c r="W200" s="70">
        <f>'RESUMEN TOTAL'!AD246</f>
        <v>0</v>
      </c>
      <c r="X200" s="70">
        <f>'RESUMEN TOTAL'!AE246</f>
        <v>0</v>
      </c>
      <c r="Y200" s="70">
        <f>'RESUMEN TOTAL'!AF246</f>
        <v>0</v>
      </c>
      <c r="Z200" s="70">
        <f>'RESUMEN TOTAL'!AG246</f>
        <v>0</v>
      </c>
      <c r="AA200" s="70">
        <f>'RESUMEN TOTAL'!AH246</f>
        <v>0</v>
      </c>
      <c r="AB200" s="70">
        <f>'RESUMEN TOTAL'!AI246</f>
        <v>0</v>
      </c>
      <c r="AC200" s="70" t="str">
        <f>'RESUMEN TOTAL'!AJ246</f>
        <v>APAGADO</v>
      </c>
      <c r="AD200" s="70">
        <f>'RESUMEN TOTAL'!AK246</f>
        <v>0</v>
      </c>
      <c r="AE200" s="70">
        <f>'RESUMEN TOTAL'!AL246</f>
        <v>0</v>
      </c>
      <c r="AF200" s="70">
        <f>'RESUMEN TOTAL'!AM246</f>
        <v>0</v>
      </c>
      <c r="AG200" s="70">
        <f>'RESUMEN TOTAL'!AN246</f>
        <v>0</v>
      </c>
      <c r="AH200" s="70">
        <f>'RESUMEN TOTAL'!AO246</f>
        <v>0</v>
      </c>
      <c r="AI200" s="70">
        <f>'RESUMEN TOTAL'!AP246</f>
        <v>0</v>
      </c>
    </row>
    <row r="201" spans="1:35" x14ac:dyDescent="0.25">
      <c r="A201" t="str">
        <f>'RESUMEN TOTAL'!A247</f>
        <v>MAYOL</v>
      </c>
      <c r="B201" t="str">
        <f>'RESUMEN TOTAL'!B247</f>
        <v>MAY 02</v>
      </c>
      <c r="C201" t="str">
        <f>'RESUMEN TOTAL'!D247</f>
        <v>EVA PERON Y MONTEVIDEO</v>
      </c>
      <c r="D201" s="30" t="str">
        <f>'RESUMEN TOTAL'!E247</f>
        <v>Domo</v>
      </c>
      <c r="E201" s="30" t="str">
        <f>'RESUMEN TOTAL'!F247</f>
        <v>GPON</v>
      </c>
      <c r="F201" s="70">
        <f>'RESUMEN TOTAL'!M247</f>
        <v>0</v>
      </c>
      <c r="G201" s="70">
        <f>'RESUMEN TOTAL'!N247</f>
        <v>0</v>
      </c>
      <c r="H201" s="70">
        <f>'RESUMEN TOTAL'!O247</f>
        <v>0</v>
      </c>
      <c r="I201" s="70">
        <f>'RESUMEN TOTAL'!P247</f>
        <v>0</v>
      </c>
      <c r="J201" s="70">
        <f>'RESUMEN TOTAL'!Q247</f>
        <v>0</v>
      </c>
      <c r="K201" s="70">
        <f>'RESUMEN TOTAL'!R247</f>
        <v>0</v>
      </c>
      <c r="L201" s="70">
        <f>'RESUMEN TOTAL'!S247</f>
        <v>0</v>
      </c>
      <c r="M201" s="70">
        <f>'RESUMEN TOTAL'!T247</f>
        <v>0</v>
      </c>
      <c r="N201" s="70">
        <f>'RESUMEN TOTAL'!U247</f>
        <v>0</v>
      </c>
      <c r="O201" s="70">
        <f>'RESUMEN TOTAL'!V247</f>
        <v>0</v>
      </c>
      <c r="P201" s="70">
        <f>'RESUMEN TOTAL'!W247</f>
        <v>0</v>
      </c>
      <c r="Q201" s="70">
        <f>'RESUMEN TOTAL'!X247</f>
        <v>0</v>
      </c>
      <c r="R201" s="70">
        <f>'RESUMEN TOTAL'!Y247</f>
        <v>0</v>
      </c>
      <c r="S201" s="70">
        <f>'RESUMEN TOTAL'!Z247</f>
        <v>0</v>
      </c>
      <c r="T201" s="70">
        <f>'RESUMEN TOTAL'!AA247</f>
        <v>0</v>
      </c>
      <c r="U201" s="70">
        <f>'RESUMEN TOTAL'!AB247</f>
        <v>0</v>
      </c>
      <c r="V201" s="70">
        <f>'RESUMEN TOTAL'!AC247</f>
        <v>0</v>
      </c>
      <c r="W201" s="70">
        <f>'RESUMEN TOTAL'!AD247</f>
        <v>0</v>
      </c>
      <c r="X201" s="70">
        <f>'RESUMEN TOTAL'!AE247</f>
        <v>0</v>
      </c>
      <c r="Y201" s="70">
        <f>'RESUMEN TOTAL'!AF247</f>
        <v>0</v>
      </c>
      <c r="Z201" s="70">
        <f>'RESUMEN TOTAL'!AG247</f>
        <v>0</v>
      </c>
      <c r="AA201" s="70">
        <f>'RESUMEN TOTAL'!AH247</f>
        <v>0</v>
      </c>
      <c r="AB201" s="70">
        <f>'RESUMEN TOTAL'!AI247</f>
        <v>0</v>
      </c>
      <c r="AC201" s="70" t="str">
        <f>'RESUMEN TOTAL'!AJ247</f>
        <v>APAGADO</v>
      </c>
      <c r="AD201" s="70">
        <f>'RESUMEN TOTAL'!AK247</f>
        <v>0</v>
      </c>
      <c r="AE201" s="70">
        <f>'RESUMEN TOTAL'!AL247</f>
        <v>0</v>
      </c>
      <c r="AF201" s="70">
        <f>'RESUMEN TOTAL'!AM247</f>
        <v>0</v>
      </c>
      <c r="AG201" s="70">
        <f>'RESUMEN TOTAL'!AN247</f>
        <v>0</v>
      </c>
      <c r="AH201" s="70">
        <f>'RESUMEN TOTAL'!AO247</f>
        <v>0</v>
      </c>
      <c r="AI201" s="70">
        <f>'RESUMEN TOTAL'!AP247</f>
        <v>0</v>
      </c>
    </row>
    <row r="202" spans="1:35" x14ac:dyDescent="0.25">
      <c r="A202" t="str">
        <f>'RESUMEN TOTAL'!A248</f>
        <v>MAYOL</v>
      </c>
      <c r="B202" t="str">
        <f>'RESUMEN TOTAL'!B248</f>
        <v>MAY 03</v>
      </c>
      <c r="C202" t="str">
        <f>'RESUMEN TOTAL'!D248</f>
        <v>CHAÑAR Y SAN NICOLAS</v>
      </c>
      <c r="D202" s="30" t="str">
        <f>'RESUMEN TOTAL'!E248</f>
        <v>DOMO</v>
      </c>
      <c r="E202" s="30" t="str">
        <f>'RESUMEN TOTAL'!F248</f>
        <v>PTO A FO</v>
      </c>
      <c r="F202" s="70">
        <f>'RESUMEN TOTAL'!M248</f>
        <v>0</v>
      </c>
      <c r="G202" s="70">
        <f>'RESUMEN TOTAL'!N248</f>
        <v>0</v>
      </c>
      <c r="H202" s="70">
        <f>'RESUMEN TOTAL'!O248</f>
        <v>0</v>
      </c>
      <c r="I202" s="70">
        <f>'RESUMEN TOTAL'!P248</f>
        <v>0</v>
      </c>
      <c r="J202" s="70">
        <f>'RESUMEN TOTAL'!Q248</f>
        <v>0</v>
      </c>
      <c r="K202" s="70">
        <f>'RESUMEN TOTAL'!R248</f>
        <v>0</v>
      </c>
      <c r="L202" s="70">
        <f>'RESUMEN TOTAL'!S248</f>
        <v>0</v>
      </c>
      <c r="M202" s="70">
        <f>'RESUMEN TOTAL'!T248</f>
        <v>0</v>
      </c>
      <c r="N202" s="70">
        <f>'RESUMEN TOTAL'!U248</f>
        <v>0</v>
      </c>
      <c r="O202" s="70">
        <f>'RESUMEN TOTAL'!V248</f>
        <v>0</v>
      </c>
      <c r="P202" s="70" t="str">
        <f>'RESUMEN TOTAL'!W248</f>
        <v>APAGADO</v>
      </c>
      <c r="Q202" s="70" t="str">
        <f>'RESUMEN TOTAL'!X248</f>
        <v>APAGADO</v>
      </c>
      <c r="R202" s="70" t="str">
        <f>'RESUMEN TOTAL'!Y248</f>
        <v>APAGADO</v>
      </c>
      <c r="S202" s="70" t="str">
        <f>'RESUMEN TOTAL'!Z248</f>
        <v>APAGADO</v>
      </c>
      <c r="T202" s="70" t="str">
        <f>'RESUMEN TOTAL'!AA248</f>
        <v>APAGADO</v>
      </c>
      <c r="U202" s="70">
        <f>'RESUMEN TOTAL'!AB248</f>
        <v>0</v>
      </c>
      <c r="V202" s="70">
        <f>'RESUMEN TOTAL'!AC248</f>
        <v>0</v>
      </c>
      <c r="W202" s="70">
        <f>'RESUMEN TOTAL'!AD248</f>
        <v>0</v>
      </c>
      <c r="X202" s="70">
        <f>'RESUMEN TOTAL'!AE248</f>
        <v>0</v>
      </c>
      <c r="Y202" s="70">
        <f>'RESUMEN TOTAL'!AF248</f>
        <v>0</v>
      </c>
      <c r="Z202" s="70">
        <f>'RESUMEN TOTAL'!AG248</f>
        <v>0</v>
      </c>
      <c r="AA202" s="70">
        <f>'RESUMEN TOTAL'!AH248</f>
        <v>0</v>
      </c>
      <c r="AB202" s="70">
        <f>'RESUMEN TOTAL'!AI248</f>
        <v>0</v>
      </c>
      <c r="AC202" s="70">
        <f>'RESUMEN TOTAL'!AJ248</f>
        <v>0</v>
      </c>
      <c r="AD202" s="70">
        <f>'RESUMEN TOTAL'!AK248</f>
        <v>0</v>
      </c>
      <c r="AE202" s="70">
        <f>'RESUMEN TOTAL'!AL248</f>
        <v>0</v>
      </c>
      <c r="AF202" s="70">
        <f>'RESUMEN TOTAL'!AM248</f>
        <v>0</v>
      </c>
      <c r="AG202" s="70">
        <f>'RESUMEN TOTAL'!AN248</f>
        <v>0</v>
      </c>
      <c r="AH202" s="70">
        <f>'RESUMEN TOTAL'!AO248</f>
        <v>0</v>
      </c>
      <c r="AI202" s="70">
        <f>'RESUMEN TOTAL'!AP248</f>
        <v>0</v>
      </c>
    </row>
    <row r="203" spans="1:35" x14ac:dyDescent="0.25">
      <c r="A203" t="str">
        <f>'RESUMEN TOTAL'!A249</f>
        <v>MAYOL</v>
      </c>
      <c r="B203" t="str">
        <f>'RESUMEN TOTAL'!B249</f>
        <v>MAY 04</v>
      </c>
      <c r="C203" t="str">
        <f>'RESUMEN TOTAL'!D249</f>
        <v>MAR CHIQUITA Y RIO JACHAL</v>
      </c>
      <c r="D203" s="30" t="str">
        <f>'RESUMEN TOTAL'!E249</f>
        <v>DOMO</v>
      </c>
      <c r="E203" s="30" t="str">
        <f>'RESUMEN TOTAL'!F249</f>
        <v>Radio</v>
      </c>
      <c r="F203" s="70">
        <f>'RESUMEN TOTAL'!M249</f>
        <v>0</v>
      </c>
      <c r="G203" s="70">
        <f>'RESUMEN TOTAL'!N249</f>
        <v>0</v>
      </c>
      <c r="H203" s="70">
        <f>'RESUMEN TOTAL'!O249</f>
        <v>0</v>
      </c>
      <c r="I203" s="70">
        <f>'RESUMEN TOTAL'!P249</f>
        <v>0</v>
      </c>
      <c r="J203" s="70">
        <f>'RESUMEN TOTAL'!Q249</f>
        <v>0</v>
      </c>
      <c r="K203" s="70">
        <f>'RESUMEN TOTAL'!R249</f>
        <v>0</v>
      </c>
      <c r="L203" s="70">
        <f>'RESUMEN TOTAL'!S249</f>
        <v>0</v>
      </c>
      <c r="M203" s="70">
        <f>'RESUMEN TOTAL'!T249</f>
        <v>0</v>
      </c>
      <c r="N203" s="70">
        <f>'RESUMEN TOTAL'!U249</f>
        <v>0</v>
      </c>
      <c r="O203" s="70">
        <f>'RESUMEN TOTAL'!V249</f>
        <v>0</v>
      </c>
      <c r="P203" s="70">
        <f>'RESUMEN TOTAL'!W249</f>
        <v>0</v>
      </c>
      <c r="Q203" s="70">
        <f>'RESUMEN TOTAL'!X249</f>
        <v>0</v>
      </c>
      <c r="R203" s="70">
        <f>'RESUMEN TOTAL'!Y249</f>
        <v>0</v>
      </c>
      <c r="S203" s="70">
        <f>'RESUMEN TOTAL'!Z249</f>
        <v>0</v>
      </c>
      <c r="T203" s="70">
        <f>'RESUMEN TOTAL'!AA249</f>
        <v>0</v>
      </c>
      <c r="U203" s="70">
        <f>'RESUMEN TOTAL'!AB249</f>
        <v>0</v>
      </c>
      <c r="V203" s="70">
        <f>'RESUMEN TOTAL'!AC249</f>
        <v>0</v>
      </c>
      <c r="W203" s="70">
        <f>'RESUMEN TOTAL'!AD249</f>
        <v>0</v>
      </c>
      <c r="X203" s="70">
        <f>'RESUMEN TOTAL'!AE249</f>
        <v>0</v>
      </c>
      <c r="Y203" s="70">
        <f>'RESUMEN TOTAL'!AF249</f>
        <v>0</v>
      </c>
      <c r="Z203" s="70">
        <f>'RESUMEN TOTAL'!AG249</f>
        <v>0</v>
      </c>
      <c r="AA203" s="70">
        <f>'RESUMEN TOTAL'!AH249</f>
        <v>0</v>
      </c>
      <c r="AB203" s="70">
        <f>'RESUMEN TOTAL'!AI249</f>
        <v>0</v>
      </c>
      <c r="AC203" s="70">
        <f>'RESUMEN TOTAL'!AJ249</f>
        <v>0</v>
      </c>
      <c r="AD203" s="70">
        <f>'RESUMEN TOTAL'!AK249</f>
        <v>0</v>
      </c>
      <c r="AE203" s="70">
        <f>'RESUMEN TOTAL'!AL249</f>
        <v>0</v>
      </c>
      <c r="AF203" s="70">
        <f>'RESUMEN TOTAL'!AM249</f>
        <v>0</v>
      </c>
      <c r="AG203" s="70">
        <f>'RESUMEN TOTAL'!AN249</f>
        <v>0</v>
      </c>
      <c r="AH203" s="70">
        <f>'RESUMEN TOTAL'!AO249</f>
        <v>0</v>
      </c>
      <c r="AI203" s="70">
        <f>'RESUMEN TOTAL'!AP249</f>
        <v>0</v>
      </c>
    </row>
    <row r="204" spans="1:35" x14ac:dyDescent="0.25">
      <c r="A204">
        <f>'RESUMEN TOTAL'!A250</f>
        <v>0</v>
      </c>
      <c r="B204" t="str">
        <f>'RESUMEN TOTAL'!B250</f>
        <v>MCUD 01</v>
      </c>
      <c r="C204" t="str">
        <f>'RESUMEN TOTAL'!D250</f>
        <v>TINOGASTA Y SAN LORENZO</v>
      </c>
      <c r="D204" s="30" t="str">
        <f>'RESUMEN TOTAL'!E250</f>
        <v>Domo</v>
      </c>
      <c r="E204" s="30" t="str">
        <f>'RESUMEN TOTAL'!F250</f>
        <v>Fibra Optica</v>
      </c>
      <c r="F204" s="70">
        <f>'RESUMEN TOTAL'!M250</f>
        <v>0</v>
      </c>
      <c r="G204" s="70">
        <f>'RESUMEN TOTAL'!N250</f>
        <v>0</v>
      </c>
      <c r="H204" s="70">
        <f>'RESUMEN TOTAL'!O250</f>
        <v>0</v>
      </c>
      <c r="I204" s="70">
        <f>'RESUMEN TOTAL'!P250</f>
        <v>0</v>
      </c>
      <c r="J204" s="70">
        <f>'RESUMEN TOTAL'!Q250</f>
        <v>0</v>
      </c>
      <c r="K204" s="70">
        <f>'RESUMEN TOTAL'!R250</f>
        <v>0</v>
      </c>
      <c r="L204" s="70">
        <f>'RESUMEN TOTAL'!S250</f>
        <v>0</v>
      </c>
      <c r="M204" s="70">
        <f>'RESUMEN TOTAL'!T250</f>
        <v>0</v>
      </c>
      <c r="N204" s="70">
        <f>'RESUMEN TOTAL'!U250</f>
        <v>0</v>
      </c>
      <c r="O204" s="70">
        <f>'RESUMEN TOTAL'!V250</f>
        <v>0</v>
      </c>
      <c r="P204" s="70">
        <f>'RESUMEN TOTAL'!W250</f>
        <v>0</v>
      </c>
      <c r="Q204" s="70">
        <f>'RESUMEN TOTAL'!X250</f>
        <v>0</v>
      </c>
      <c r="R204" s="70">
        <f>'RESUMEN TOTAL'!Y250</f>
        <v>0</v>
      </c>
      <c r="S204" s="70">
        <f>'RESUMEN TOTAL'!Z250</f>
        <v>0</v>
      </c>
      <c r="T204" s="70">
        <f>'RESUMEN TOTAL'!AA250</f>
        <v>0</v>
      </c>
      <c r="U204" s="70">
        <f>'RESUMEN TOTAL'!AB250</f>
        <v>0</v>
      </c>
      <c r="V204" s="70" t="str">
        <f>'RESUMEN TOTAL'!AC250</f>
        <v>APAGADO</v>
      </c>
      <c r="W204" s="70">
        <f>'RESUMEN TOTAL'!AD250</f>
        <v>0</v>
      </c>
      <c r="X204" s="70">
        <f>'RESUMEN TOTAL'!AE250</f>
        <v>0</v>
      </c>
      <c r="Y204" s="70">
        <f>'RESUMEN TOTAL'!AF250</f>
        <v>0</v>
      </c>
      <c r="Z204" s="70">
        <f>'RESUMEN TOTAL'!AG250</f>
        <v>0</v>
      </c>
      <c r="AA204" s="70">
        <f>'RESUMEN TOTAL'!AH250</f>
        <v>0</v>
      </c>
      <c r="AB204" s="70" t="str">
        <f>'RESUMEN TOTAL'!AI250</f>
        <v>APAGADO</v>
      </c>
      <c r="AC204" s="70">
        <f>'RESUMEN TOTAL'!AJ250</f>
        <v>0</v>
      </c>
      <c r="AD204" s="70">
        <f>'RESUMEN TOTAL'!AK250</f>
        <v>0</v>
      </c>
      <c r="AE204" s="70">
        <f>'RESUMEN TOTAL'!AL250</f>
        <v>0</v>
      </c>
      <c r="AF204" s="70">
        <f>'RESUMEN TOTAL'!AM250</f>
        <v>0</v>
      </c>
      <c r="AG204" s="70">
        <f>'RESUMEN TOTAL'!AN250</f>
        <v>0</v>
      </c>
      <c r="AH204" s="70">
        <f>'RESUMEN TOTAL'!AO250</f>
        <v>0</v>
      </c>
      <c r="AI204" s="70">
        <f>'RESUMEN TOTAL'!AP250</f>
        <v>0</v>
      </c>
    </row>
    <row r="205" spans="1:35" x14ac:dyDescent="0.25">
      <c r="A205">
        <f>'RESUMEN TOTAL'!A251</f>
        <v>0</v>
      </c>
      <c r="B205" t="str">
        <f>'RESUMEN TOTAL'!B251</f>
        <v>MCUD 02</v>
      </c>
      <c r="C205" t="str">
        <f>'RESUMEN TOTAL'!D251</f>
        <v>CALLE 115 A Y 158</v>
      </c>
      <c r="D205" s="30" t="str">
        <f>'RESUMEN TOTAL'!E251</f>
        <v>DOMO</v>
      </c>
      <c r="E205" s="30" t="str">
        <f>'RESUMEN TOTAL'!F251</f>
        <v>Fibra Optica</v>
      </c>
      <c r="F205" s="70">
        <f>'RESUMEN TOTAL'!M251</f>
        <v>0</v>
      </c>
      <c r="G205" s="70">
        <f>'RESUMEN TOTAL'!N251</f>
        <v>0</v>
      </c>
      <c r="H205" s="70">
        <f>'RESUMEN TOTAL'!O251</f>
        <v>0</v>
      </c>
      <c r="I205" s="70">
        <f>'RESUMEN TOTAL'!P251</f>
        <v>0</v>
      </c>
      <c r="J205" s="70">
        <f>'RESUMEN TOTAL'!Q251</f>
        <v>0</v>
      </c>
      <c r="K205" s="70">
        <f>'RESUMEN TOTAL'!R251</f>
        <v>0</v>
      </c>
      <c r="L205" s="70">
        <f>'RESUMEN TOTAL'!S251</f>
        <v>0</v>
      </c>
      <c r="M205" s="70">
        <f>'RESUMEN TOTAL'!T251</f>
        <v>0</v>
      </c>
      <c r="N205" s="70">
        <f>'RESUMEN TOTAL'!U251</f>
        <v>0</v>
      </c>
      <c r="O205" s="70">
        <f>'RESUMEN TOTAL'!V251</f>
        <v>0</v>
      </c>
      <c r="P205" s="70">
        <f>'RESUMEN TOTAL'!W251</f>
        <v>0</v>
      </c>
      <c r="Q205" s="70">
        <f>'RESUMEN TOTAL'!X251</f>
        <v>0</v>
      </c>
      <c r="R205" s="70">
        <f>'RESUMEN TOTAL'!Y251</f>
        <v>0</v>
      </c>
      <c r="S205" s="70">
        <f>'RESUMEN TOTAL'!Z251</f>
        <v>0</v>
      </c>
      <c r="T205" s="70">
        <f>'RESUMEN TOTAL'!AA251</f>
        <v>0</v>
      </c>
      <c r="U205" s="70">
        <f>'RESUMEN TOTAL'!AB251</f>
        <v>0</v>
      </c>
      <c r="V205" s="70">
        <f>'RESUMEN TOTAL'!AC251</f>
        <v>0</v>
      </c>
      <c r="W205" s="70">
        <f>'RESUMEN TOTAL'!AD251</f>
        <v>0</v>
      </c>
      <c r="X205" s="70">
        <f>'RESUMEN TOTAL'!AE251</f>
        <v>0</v>
      </c>
      <c r="Y205" s="70">
        <f>'RESUMEN TOTAL'!AF251</f>
        <v>0</v>
      </c>
      <c r="Z205" s="70">
        <f>'RESUMEN TOTAL'!AG251</f>
        <v>0</v>
      </c>
      <c r="AA205" s="70">
        <f>'RESUMEN TOTAL'!AH251</f>
        <v>0</v>
      </c>
      <c r="AB205" s="70">
        <f>'RESUMEN TOTAL'!AI251</f>
        <v>0</v>
      </c>
      <c r="AC205" s="70">
        <f>'RESUMEN TOTAL'!AJ251</f>
        <v>0</v>
      </c>
      <c r="AD205" s="70">
        <f>'RESUMEN TOTAL'!AK251</f>
        <v>0</v>
      </c>
      <c r="AE205" s="70">
        <f>'RESUMEN TOTAL'!AL251</f>
        <v>0</v>
      </c>
      <c r="AF205" s="70">
        <f>'RESUMEN TOTAL'!AM251</f>
        <v>0</v>
      </c>
      <c r="AG205" s="70">
        <f>'RESUMEN TOTAL'!AN251</f>
        <v>0</v>
      </c>
      <c r="AH205" s="70">
        <f>'RESUMEN TOTAL'!AO251</f>
        <v>0</v>
      </c>
      <c r="AI205" s="70">
        <f>'RESUMEN TOTAL'!AP251</f>
        <v>0</v>
      </c>
    </row>
    <row r="206" spans="1:35" x14ac:dyDescent="0.25">
      <c r="A206" t="str">
        <f>'RESUMEN TOTAL'!A252</f>
        <v>MARTIN FIERRO</v>
      </c>
      <c r="B206" t="str">
        <f>'RESUMEN TOTAL'!B252</f>
        <v>MFI 01</v>
      </c>
      <c r="C206" t="str">
        <f>'RESUMEN TOTAL'!D252</f>
        <v>Belgrano y Sgto. Cabral</v>
      </c>
      <c r="D206" s="30" t="str">
        <f>'RESUMEN TOTAL'!E252</f>
        <v>Fija</v>
      </c>
      <c r="E206" s="30" t="str">
        <f>'RESUMEN TOTAL'!F252</f>
        <v>GPON</v>
      </c>
      <c r="F206" s="70">
        <f>'RESUMEN TOTAL'!M252</f>
        <v>0</v>
      </c>
      <c r="G206" s="70">
        <f>'RESUMEN TOTAL'!N252</f>
        <v>0</v>
      </c>
      <c r="H206" s="70">
        <f>'RESUMEN TOTAL'!O252</f>
        <v>0</v>
      </c>
      <c r="I206" s="70">
        <f>'RESUMEN TOTAL'!P252</f>
        <v>0</v>
      </c>
      <c r="J206" s="70">
        <f>'RESUMEN TOTAL'!Q252</f>
        <v>0</v>
      </c>
      <c r="K206" s="70">
        <f>'RESUMEN TOTAL'!R252</f>
        <v>0</v>
      </c>
      <c r="L206" s="70">
        <f>'RESUMEN TOTAL'!S252</f>
        <v>0</v>
      </c>
      <c r="M206" s="70">
        <f>'RESUMEN TOTAL'!T252</f>
        <v>0</v>
      </c>
      <c r="N206" s="70">
        <f>'RESUMEN TOTAL'!U252</f>
        <v>0</v>
      </c>
      <c r="O206" s="70">
        <f>'RESUMEN TOTAL'!V252</f>
        <v>0</v>
      </c>
      <c r="P206" s="70">
        <f>'RESUMEN TOTAL'!W252</f>
        <v>0</v>
      </c>
      <c r="Q206" s="70">
        <f>'RESUMEN TOTAL'!X252</f>
        <v>0</v>
      </c>
      <c r="R206" s="70">
        <f>'RESUMEN TOTAL'!Y252</f>
        <v>0</v>
      </c>
      <c r="S206" s="70">
        <f>'RESUMEN TOTAL'!Z252</f>
        <v>0</v>
      </c>
      <c r="T206" s="70">
        <f>'RESUMEN TOTAL'!AA252</f>
        <v>0</v>
      </c>
      <c r="U206" s="70">
        <f>'RESUMEN TOTAL'!AB252</f>
        <v>0</v>
      </c>
      <c r="V206" s="70">
        <f>'RESUMEN TOTAL'!AC252</f>
        <v>0</v>
      </c>
      <c r="W206" s="70">
        <f>'RESUMEN TOTAL'!AD252</f>
        <v>0</v>
      </c>
      <c r="X206" s="70">
        <f>'RESUMEN TOTAL'!AE252</f>
        <v>0</v>
      </c>
      <c r="Y206" s="70">
        <f>'RESUMEN TOTAL'!AF252</f>
        <v>0</v>
      </c>
      <c r="Z206" s="70">
        <f>'RESUMEN TOTAL'!AG252</f>
        <v>0</v>
      </c>
      <c r="AA206" s="70">
        <f>'RESUMEN TOTAL'!AH252</f>
        <v>0</v>
      </c>
      <c r="AB206" s="70">
        <f>'RESUMEN TOTAL'!AI252</f>
        <v>0</v>
      </c>
      <c r="AC206" s="70">
        <f>'RESUMEN TOTAL'!AJ252</f>
        <v>0</v>
      </c>
      <c r="AD206" s="70">
        <f>'RESUMEN TOTAL'!AK252</f>
        <v>0</v>
      </c>
      <c r="AE206" s="70">
        <f>'RESUMEN TOTAL'!AL252</f>
        <v>0</v>
      </c>
      <c r="AF206" s="70">
        <f>'RESUMEN TOTAL'!AM252</f>
        <v>0</v>
      </c>
      <c r="AG206" s="70">
        <f>'RESUMEN TOTAL'!AN252</f>
        <v>0</v>
      </c>
      <c r="AH206" s="70">
        <f>'RESUMEN TOTAL'!AO252</f>
        <v>0</v>
      </c>
      <c r="AI206" s="70">
        <f>'RESUMEN TOTAL'!AP252</f>
        <v>0</v>
      </c>
    </row>
    <row r="207" spans="1:35" x14ac:dyDescent="0.25">
      <c r="A207" t="str">
        <f>'RESUMEN TOTAL'!A253</f>
        <v>LOPEZ ROMERO</v>
      </c>
      <c r="B207" t="str">
        <f>'RESUMEN TOTAL'!B253</f>
        <v>MFI02</v>
      </c>
      <c r="C207" t="str">
        <f>'RESUMEN TOTAL'!D253</f>
        <v>Calchaqui y Balcarce</v>
      </c>
      <c r="D207" s="30" t="str">
        <f>'RESUMEN TOTAL'!E253</f>
        <v>Fija</v>
      </c>
      <c r="E207" s="30" t="str">
        <f>'RESUMEN TOTAL'!F253</f>
        <v>Fibra Optica</v>
      </c>
      <c r="F207" s="70">
        <f>'RESUMEN TOTAL'!M253</f>
        <v>0</v>
      </c>
      <c r="G207" s="70">
        <f>'RESUMEN TOTAL'!N253</f>
        <v>0</v>
      </c>
      <c r="H207" s="70">
        <f>'RESUMEN TOTAL'!O253</f>
        <v>0</v>
      </c>
      <c r="I207" s="70">
        <f>'RESUMEN TOTAL'!P253</f>
        <v>0</v>
      </c>
      <c r="J207" s="70">
        <f>'RESUMEN TOTAL'!Q253</f>
        <v>0</v>
      </c>
      <c r="K207" s="70">
        <f>'RESUMEN TOTAL'!R253</f>
        <v>0</v>
      </c>
      <c r="L207" s="70">
        <f>'RESUMEN TOTAL'!S253</f>
        <v>0</v>
      </c>
      <c r="M207" s="70">
        <f>'RESUMEN TOTAL'!T253</f>
        <v>0</v>
      </c>
      <c r="N207" s="70">
        <f>'RESUMEN TOTAL'!U253</f>
        <v>0</v>
      </c>
      <c r="O207" s="70">
        <f>'RESUMEN TOTAL'!V253</f>
        <v>0</v>
      </c>
      <c r="P207" s="70">
        <f>'RESUMEN TOTAL'!W253</f>
        <v>0</v>
      </c>
      <c r="Q207" s="70">
        <f>'RESUMEN TOTAL'!X253</f>
        <v>0</v>
      </c>
      <c r="R207" s="70">
        <f>'RESUMEN TOTAL'!Y253</f>
        <v>0</v>
      </c>
      <c r="S207" s="70">
        <f>'RESUMEN TOTAL'!Z253</f>
        <v>0</v>
      </c>
      <c r="T207" s="70" t="str">
        <f>'RESUMEN TOTAL'!AA253</f>
        <v>APAGADO</v>
      </c>
      <c r="U207" s="70">
        <f>'RESUMEN TOTAL'!AB253</f>
        <v>0</v>
      </c>
      <c r="V207" s="70">
        <f>'RESUMEN TOTAL'!AC253</f>
        <v>0</v>
      </c>
      <c r="W207" s="70">
        <f>'RESUMEN TOTAL'!AD253</f>
        <v>0</v>
      </c>
      <c r="X207" s="70">
        <f>'RESUMEN TOTAL'!AE253</f>
        <v>0</v>
      </c>
      <c r="Y207" s="70">
        <f>'RESUMEN TOTAL'!AF253</f>
        <v>0</v>
      </c>
      <c r="Z207" s="70">
        <f>'RESUMEN TOTAL'!AG253</f>
        <v>0</v>
      </c>
      <c r="AA207" s="70">
        <f>'RESUMEN TOTAL'!AH253</f>
        <v>0</v>
      </c>
      <c r="AB207" s="70">
        <f>'RESUMEN TOTAL'!AI253</f>
        <v>0</v>
      </c>
      <c r="AC207" s="70">
        <f>'RESUMEN TOTAL'!AJ253</f>
        <v>0</v>
      </c>
      <c r="AD207" s="70">
        <f>'RESUMEN TOTAL'!AK253</f>
        <v>0</v>
      </c>
      <c r="AE207" s="70">
        <f>'RESUMEN TOTAL'!AL253</f>
        <v>0</v>
      </c>
      <c r="AF207" s="70">
        <f>'RESUMEN TOTAL'!AM253</f>
        <v>0</v>
      </c>
      <c r="AG207" s="70">
        <f>'RESUMEN TOTAL'!AN253</f>
        <v>0</v>
      </c>
      <c r="AH207" s="70">
        <f>'RESUMEN TOTAL'!AO253</f>
        <v>0</v>
      </c>
      <c r="AI207" s="70">
        <f>'RESUMEN TOTAL'!AP253</f>
        <v>0</v>
      </c>
    </row>
    <row r="208" spans="1:35" x14ac:dyDescent="0.25">
      <c r="A208" t="str">
        <f>'RESUMEN TOTAL'!A254</f>
        <v>SAN EMILIO</v>
      </c>
      <c r="B208" t="str">
        <f>'RESUMEN TOTAL'!B254</f>
        <v>MFI 03</v>
      </c>
      <c r="C208" t="str">
        <f>'RESUMEN TOTAL'!D254</f>
        <v>Cno. Gral. Belgrano y Av. del Trabajo</v>
      </c>
      <c r="D208" s="30" t="str">
        <f>'RESUMEN TOTAL'!E254</f>
        <v>Domo</v>
      </c>
      <c r="E208" s="30" t="str">
        <f>'RESUMEN TOTAL'!F254</f>
        <v>Fibra Optica</v>
      </c>
      <c r="F208" s="70">
        <f>'RESUMEN TOTAL'!M254</f>
        <v>0</v>
      </c>
      <c r="G208" s="70">
        <f>'RESUMEN TOTAL'!N254</f>
        <v>0</v>
      </c>
      <c r="H208" s="70">
        <f>'RESUMEN TOTAL'!O254</f>
        <v>0</v>
      </c>
      <c r="I208" s="70">
        <f>'RESUMEN TOTAL'!P254</f>
        <v>0</v>
      </c>
      <c r="J208" s="70">
        <f>'RESUMEN TOTAL'!Q254</f>
        <v>0</v>
      </c>
      <c r="K208" s="70">
        <f>'RESUMEN TOTAL'!R254</f>
        <v>0</v>
      </c>
      <c r="L208" s="70">
        <f>'RESUMEN TOTAL'!S254</f>
        <v>0</v>
      </c>
      <c r="M208" s="70">
        <f>'RESUMEN TOTAL'!T254</f>
        <v>0</v>
      </c>
      <c r="N208" s="70">
        <f>'RESUMEN TOTAL'!U254</f>
        <v>0</v>
      </c>
      <c r="O208" s="70">
        <f>'RESUMEN TOTAL'!V254</f>
        <v>0</v>
      </c>
      <c r="P208" s="70">
        <f>'RESUMEN TOTAL'!W254</f>
        <v>0</v>
      </c>
      <c r="Q208" s="70">
        <f>'RESUMEN TOTAL'!X254</f>
        <v>0</v>
      </c>
      <c r="R208" s="70">
        <f>'RESUMEN TOTAL'!Y254</f>
        <v>0</v>
      </c>
      <c r="S208" s="70">
        <f>'RESUMEN TOTAL'!Z254</f>
        <v>0</v>
      </c>
      <c r="T208" s="70">
        <f>'RESUMEN TOTAL'!AA254</f>
        <v>0</v>
      </c>
      <c r="U208" s="70">
        <f>'RESUMEN TOTAL'!AB254</f>
        <v>0</v>
      </c>
      <c r="V208" s="70">
        <f>'RESUMEN TOTAL'!AC254</f>
        <v>0</v>
      </c>
      <c r="W208" s="70">
        <f>'RESUMEN TOTAL'!AD254</f>
        <v>0</v>
      </c>
      <c r="X208" s="70">
        <f>'RESUMEN TOTAL'!AE254</f>
        <v>0</v>
      </c>
      <c r="Y208" s="70">
        <f>'RESUMEN TOTAL'!AF254</f>
        <v>0</v>
      </c>
      <c r="Z208" s="70">
        <f>'RESUMEN TOTAL'!AG254</f>
        <v>0</v>
      </c>
      <c r="AA208" s="70">
        <f>'RESUMEN TOTAL'!AH254</f>
        <v>0</v>
      </c>
      <c r="AB208" s="70">
        <f>'RESUMEN TOTAL'!AI254</f>
        <v>0</v>
      </c>
      <c r="AC208" s="70">
        <f>'RESUMEN TOTAL'!AJ254</f>
        <v>0</v>
      </c>
      <c r="AD208" s="70">
        <f>'RESUMEN TOTAL'!AK254</f>
        <v>0</v>
      </c>
      <c r="AE208" s="70">
        <f>'RESUMEN TOTAL'!AL254</f>
        <v>0</v>
      </c>
      <c r="AF208" s="70">
        <f>'RESUMEN TOTAL'!AM254</f>
        <v>0</v>
      </c>
      <c r="AG208" s="70">
        <f>'RESUMEN TOTAL'!AN254</f>
        <v>0</v>
      </c>
      <c r="AH208" s="70">
        <f>'RESUMEN TOTAL'!AO254</f>
        <v>0</v>
      </c>
      <c r="AI208" s="70">
        <f>'RESUMEN TOTAL'!AP254</f>
        <v>0</v>
      </c>
    </row>
    <row r="209" spans="1:35" x14ac:dyDescent="0.25">
      <c r="A209" t="str">
        <f>'RESUMEN TOTAL'!A255</f>
        <v>MARTIN FIERRO</v>
      </c>
      <c r="B209" t="str">
        <f>'RESUMEN TOTAL'!B255</f>
        <v>MFI04</v>
      </c>
      <c r="C209" t="str">
        <f>'RESUMEN TOTAL'!D255</f>
        <v>Calchaqui y balcarce</v>
      </c>
      <c r="D209" s="30" t="str">
        <f>'RESUMEN TOTAL'!E255</f>
        <v>Domo</v>
      </c>
      <c r="E209" s="30" t="str">
        <f>'RESUMEN TOTAL'!F255</f>
        <v>Fibra Optica</v>
      </c>
      <c r="F209" s="70">
        <f>'RESUMEN TOTAL'!M255</f>
        <v>0</v>
      </c>
      <c r="G209" s="70">
        <f>'RESUMEN TOTAL'!N255</f>
        <v>0</v>
      </c>
      <c r="H209" s="70">
        <f>'RESUMEN TOTAL'!O255</f>
        <v>0</v>
      </c>
      <c r="I209" s="70">
        <f>'RESUMEN TOTAL'!P255</f>
        <v>0</v>
      </c>
      <c r="J209" s="70">
        <f>'RESUMEN TOTAL'!Q255</f>
        <v>0</v>
      </c>
      <c r="K209" s="70">
        <f>'RESUMEN TOTAL'!R255</f>
        <v>0</v>
      </c>
      <c r="L209" s="70">
        <f>'RESUMEN TOTAL'!S255</f>
        <v>0</v>
      </c>
      <c r="M209" s="70">
        <f>'RESUMEN TOTAL'!T255</f>
        <v>0</v>
      </c>
      <c r="N209" s="70">
        <f>'RESUMEN TOTAL'!U255</f>
        <v>0</v>
      </c>
      <c r="O209" s="70">
        <f>'RESUMEN TOTAL'!V255</f>
        <v>0</v>
      </c>
      <c r="P209" s="70">
        <f>'RESUMEN TOTAL'!W255</f>
        <v>0</v>
      </c>
      <c r="Q209" s="70">
        <f>'RESUMEN TOTAL'!X255</f>
        <v>0</v>
      </c>
      <c r="R209" s="70">
        <f>'RESUMEN TOTAL'!Y255</f>
        <v>0</v>
      </c>
      <c r="S209" s="70">
        <f>'RESUMEN TOTAL'!Z255</f>
        <v>0</v>
      </c>
      <c r="T209" s="70" t="str">
        <f>'RESUMEN TOTAL'!AA255</f>
        <v>APAGADO</v>
      </c>
      <c r="U209" s="70">
        <f>'RESUMEN TOTAL'!AB255</f>
        <v>0</v>
      </c>
      <c r="V209" s="70">
        <f>'RESUMEN TOTAL'!AC255</f>
        <v>0</v>
      </c>
      <c r="W209" s="70">
        <f>'RESUMEN TOTAL'!AD255</f>
        <v>0</v>
      </c>
      <c r="X209" s="70">
        <f>'RESUMEN TOTAL'!AE255</f>
        <v>0</v>
      </c>
      <c r="Y209" s="70">
        <f>'RESUMEN TOTAL'!AF255</f>
        <v>0</v>
      </c>
      <c r="Z209" s="70">
        <f>'RESUMEN TOTAL'!AG255</f>
        <v>0</v>
      </c>
      <c r="AA209" s="70">
        <f>'RESUMEN TOTAL'!AH255</f>
        <v>0</v>
      </c>
      <c r="AB209" s="70">
        <f>'RESUMEN TOTAL'!AI255</f>
        <v>0</v>
      </c>
      <c r="AC209" s="70">
        <f>'RESUMEN TOTAL'!AJ255</f>
        <v>0</v>
      </c>
      <c r="AD209" s="70">
        <f>'RESUMEN TOTAL'!AK255</f>
        <v>0</v>
      </c>
      <c r="AE209" s="70">
        <f>'RESUMEN TOTAL'!AL255</f>
        <v>0</v>
      </c>
      <c r="AF209" s="70">
        <f>'RESUMEN TOTAL'!AM255</f>
        <v>0</v>
      </c>
      <c r="AG209" s="70">
        <f>'RESUMEN TOTAL'!AN255</f>
        <v>0</v>
      </c>
      <c r="AH209" s="70">
        <f>'RESUMEN TOTAL'!AO255</f>
        <v>0</v>
      </c>
      <c r="AI209" s="70">
        <f>'RESUMEN TOTAL'!AP255</f>
        <v>0</v>
      </c>
    </row>
    <row r="210" spans="1:35" x14ac:dyDescent="0.25">
      <c r="A210" t="str">
        <f>'RESUMEN TOTAL'!A256</f>
        <v>SAN EMILIO</v>
      </c>
      <c r="B210" t="str">
        <f>'RESUMEN TOTAL'!B256</f>
        <v>MFI 05</v>
      </c>
      <c r="C210" t="str">
        <f>'RESUMEN TOTAL'!D256</f>
        <v>Cno. Gral. Belgrano y Guayaquil</v>
      </c>
      <c r="D210" s="30" t="str">
        <f>'RESUMEN TOTAL'!E256</f>
        <v>Domo</v>
      </c>
      <c r="E210" s="30" t="str">
        <f>'RESUMEN TOTAL'!F256</f>
        <v>Fibra Optica</v>
      </c>
      <c r="F210" s="70">
        <f>'RESUMEN TOTAL'!M256</f>
        <v>0</v>
      </c>
      <c r="G210" s="70">
        <f>'RESUMEN TOTAL'!N256</f>
        <v>0</v>
      </c>
      <c r="H210" s="70">
        <f>'RESUMEN TOTAL'!O256</f>
        <v>0</v>
      </c>
      <c r="I210" s="70">
        <f>'RESUMEN TOTAL'!P256</f>
        <v>0</v>
      </c>
      <c r="J210" s="70">
        <f>'RESUMEN TOTAL'!Q256</f>
        <v>0</v>
      </c>
      <c r="K210" s="70">
        <f>'RESUMEN TOTAL'!R256</f>
        <v>0</v>
      </c>
      <c r="L210" s="70">
        <f>'RESUMEN TOTAL'!S256</f>
        <v>0</v>
      </c>
      <c r="M210" s="70">
        <f>'RESUMEN TOTAL'!T256</f>
        <v>0</v>
      </c>
      <c r="N210" s="70">
        <f>'RESUMEN TOTAL'!U256</f>
        <v>0</v>
      </c>
      <c r="O210" s="70">
        <f>'RESUMEN TOTAL'!V256</f>
        <v>0</v>
      </c>
      <c r="P210" s="70">
        <f>'RESUMEN TOTAL'!W256</f>
        <v>0</v>
      </c>
      <c r="Q210" s="70">
        <f>'RESUMEN TOTAL'!X256</f>
        <v>0</v>
      </c>
      <c r="R210" s="70">
        <f>'RESUMEN TOTAL'!Y256</f>
        <v>0</v>
      </c>
      <c r="S210" s="70">
        <f>'RESUMEN TOTAL'!Z256</f>
        <v>0</v>
      </c>
      <c r="T210" s="70">
        <f>'RESUMEN TOTAL'!AA256</f>
        <v>0</v>
      </c>
      <c r="U210" s="70">
        <f>'RESUMEN TOTAL'!AB256</f>
        <v>0</v>
      </c>
      <c r="V210" s="70">
        <f>'RESUMEN TOTAL'!AC256</f>
        <v>0</v>
      </c>
      <c r="W210" s="70">
        <f>'RESUMEN TOTAL'!AD256</f>
        <v>0</v>
      </c>
      <c r="X210" s="70">
        <f>'RESUMEN TOTAL'!AE256</f>
        <v>0</v>
      </c>
      <c r="Y210" s="70">
        <f>'RESUMEN TOTAL'!AF256</f>
        <v>0</v>
      </c>
      <c r="Z210" s="70">
        <f>'RESUMEN TOTAL'!AG256</f>
        <v>0</v>
      </c>
      <c r="AA210" s="70">
        <f>'RESUMEN TOTAL'!AH256</f>
        <v>0</v>
      </c>
      <c r="AB210" s="70">
        <f>'RESUMEN TOTAL'!AI256</f>
        <v>0</v>
      </c>
      <c r="AC210" s="70">
        <f>'RESUMEN TOTAL'!AJ256</f>
        <v>0</v>
      </c>
      <c r="AD210" s="70">
        <f>'RESUMEN TOTAL'!AK256</f>
        <v>0</v>
      </c>
      <c r="AE210" s="70">
        <f>'RESUMEN TOTAL'!AL256</f>
        <v>0</v>
      </c>
      <c r="AF210" s="70">
        <f>'RESUMEN TOTAL'!AM256</f>
        <v>0</v>
      </c>
      <c r="AG210" s="70">
        <f>'RESUMEN TOTAL'!AN256</f>
        <v>0</v>
      </c>
      <c r="AH210" s="70">
        <f>'RESUMEN TOTAL'!AO256</f>
        <v>0</v>
      </c>
      <c r="AI210" s="70">
        <f>'RESUMEN TOTAL'!AP256</f>
        <v>0</v>
      </c>
    </row>
    <row r="211" spans="1:35" x14ac:dyDescent="0.25">
      <c r="A211" t="str">
        <f>'RESUMEN TOTAL'!A257</f>
        <v>SAN EMILIO</v>
      </c>
      <c r="B211" t="str">
        <f>'RESUMEN TOTAL'!B257</f>
        <v>MFI06</v>
      </c>
      <c r="C211" t="str">
        <f>'RESUMEN TOTAL'!D257</f>
        <v>Con. Gral. Belgrano y Bombero Galarza</v>
      </c>
      <c r="D211" s="30" t="str">
        <f>'RESUMEN TOTAL'!E257</f>
        <v>DOMO</v>
      </c>
      <c r="E211" s="30" t="str">
        <f>'RESUMEN TOTAL'!F257</f>
        <v>PTO A FO</v>
      </c>
      <c r="F211" s="70">
        <f>'RESUMEN TOTAL'!M257</f>
        <v>0</v>
      </c>
      <c r="G211" s="70">
        <f>'RESUMEN TOTAL'!N257</f>
        <v>0</v>
      </c>
      <c r="H211" s="70">
        <f>'RESUMEN TOTAL'!O257</f>
        <v>0</v>
      </c>
      <c r="I211" s="70">
        <f>'RESUMEN TOTAL'!P257</f>
        <v>0</v>
      </c>
      <c r="J211" s="70">
        <f>'RESUMEN TOTAL'!Q257</f>
        <v>0</v>
      </c>
      <c r="K211" s="70">
        <f>'RESUMEN TOTAL'!R257</f>
        <v>0</v>
      </c>
      <c r="L211" s="70">
        <f>'RESUMEN TOTAL'!S257</f>
        <v>0</v>
      </c>
      <c r="M211" s="70">
        <f>'RESUMEN TOTAL'!T257</f>
        <v>0</v>
      </c>
      <c r="N211" s="70">
        <f>'RESUMEN TOTAL'!U257</f>
        <v>0</v>
      </c>
      <c r="O211" s="70">
        <f>'RESUMEN TOTAL'!V257</f>
        <v>0</v>
      </c>
      <c r="P211" s="70">
        <f>'RESUMEN TOTAL'!W257</f>
        <v>0</v>
      </c>
      <c r="Q211" s="70">
        <f>'RESUMEN TOTAL'!X257</f>
        <v>0</v>
      </c>
      <c r="R211" s="70">
        <f>'RESUMEN TOTAL'!Y257</f>
        <v>0</v>
      </c>
      <c r="S211" s="70">
        <f>'RESUMEN TOTAL'!Z257</f>
        <v>0</v>
      </c>
      <c r="T211" s="70">
        <f>'RESUMEN TOTAL'!AA257</f>
        <v>0</v>
      </c>
      <c r="U211" s="70">
        <f>'RESUMEN TOTAL'!AB257</f>
        <v>0</v>
      </c>
      <c r="V211" s="70">
        <f>'RESUMEN TOTAL'!AC257</f>
        <v>0</v>
      </c>
      <c r="W211" s="70">
        <f>'RESUMEN TOTAL'!AD257</f>
        <v>0</v>
      </c>
      <c r="X211" s="70">
        <f>'RESUMEN TOTAL'!AE257</f>
        <v>0</v>
      </c>
      <c r="Y211" s="70">
        <f>'RESUMEN TOTAL'!AF257</f>
        <v>0</v>
      </c>
      <c r="Z211" s="70">
        <f>'RESUMEN TOTAL'!AG257</f>
        <v>0</v>
      </c>
      <c r="AA211" s="70">
        <f>'RESUMEN TOTAL'!AH257</f>
        <v>0</v>
      </c>
      <c r="AB211" s="70">
        <f>'RESUMEN TOTAL'!AI257</f>
        <v>0</v>
      </c>
      <c r="AC211" s="70">
        <f>'RESUMEN TOTAL'!AJ257</f>
        <v>0</v>
      </c>
      <c r="AD211" s="70">
        <f>'RESUMEN TOTAL'!AK257</f>
        <v>0</v>
      </c>
      <c r="AE211" s="70">
        <f>'RESUMEN TOTAL'!AL257</f>
        <v>0</v>
      </c>
      <c r="AF211" s="70">
        <f>'RESUMEN TOTAL'!AM257</f>
        <v>0</v>
      </c>
      <c r="AG211" s="70">
        <f>'RESUMEN TOTAL'!AN257</f>
        <v>0</v>
      </c>
      <c r="AH211" s="70">
        <f>'RESUMEN TOTAL'!AO257</f>
        <v>0</v>
      </c>
      <c r="AI211" s="70">
        <f>'RESUMEN TOTAL'!AP257</f>
        <v>0</v>
      </c>
    </row>
    <row r="212" spans="1:35" x14ac:dyDescent="0.25">
      <c r="A212" t="str">
        <f>'RESUMEN TOTAL'!A258</f>
        <v>MARTIN FIERRO</v>
      </c>
      <c r="B212" t="str">
        <f>'RESUMEN TOTAL'!B258</f>
        <v>MFI 07</v>
      </c>
      <c r="C212" t="str">
        <f>'RESUMEN TOTAL'!D258</f>
        <v>Sargento Cabral y Carlos Gardel</v>
      </c>
      <c r="D212" s="30" t="str">
        <f>'RESUMEN TOTAL'!E258</f>
        <v>Domo</v>
      </c>
      <c r="E212" s="30" t="str">
        <f>'RESUMEN TOTAL'!F258</f>
        <v>GPON</v>
      </c>
      <c r="F212" s="70">
        <f>'RESUMEN TOTAL'!M258</f>
        <v>0</v>
      </c>
      <c r="G212" s="70">
        <f>'RESUMEN TOTAL'!N258</f>
        <v>0</v>
      </c>
      <c r="H212" s="70">
        <f>'RESUMEN TOTAL'!O258</f>
        <v>0</v>
      </c>
      <c r="I212" s="70">
        <f>'RESUMEN TOTAL'!P258</f>
        <v>0</v>
      </c>
      <c r="J212" s="70">
        <f>'RESUMEN TOTAL'!Q258</f>
        <v>0</v>
      </c>
      <c r="K212" s="70">
        <f>'RESUMEN TOTAL'!R258</f>
        <v>0</v>
      </c>
      <c r="L212" s="70">
        <f>'RESUMEN TOTAL'!S258</f>
        <v>0</v>
      </c>
      <c r="M212" s="70">
        <f>'RESUMEN TOTAL'!T258</f>
        <v>0</v>
      </c>
      <c r="N212" s="70">
        <f>'RESUMEN TOTAL'!U258</f>
        <v>0</v>
      </c>
      <c r="O212" s="70">
        <f>'RESUMEN TOTAL'!V258</f>
        <v>0</v>
      </c>
      <c r="P212" s="70">
        <f>'RESUMEN TOTAL'!W258</f>
        <v>0</v>
      </c>
      <c r="Q212" s="70" t="str">
        <f>'RESUMEN TOTAL'!X258</f>
        <v>APAGADO</v>
      </c>
      <c r="R212" s="70">
        <f>'RESUMEN TOTAL'!Y258</f>
        <v>0</v>
      </c>
      <c r="S212" s="70">
        <f>'RESUMEN TOTAL'!Z258</f>
        <v>0</v>
      </c>
      <c r="T212" s="70">
        <f>'RESUMEN TOTAL'!AA258</f>
        <v>0</v>
      </c>
      <c r="U212" s="70">
        <f>'RESUMEN TOTAL'!AB258</f>
        <v>0</v>
      </c>
      <c r="V212" s="70">
        <f>'RESUMEN TOTAL'!AC258</f>
        <v>0</v>
      </c>
      <c r="W212" s="70">
        <f>'RESUMEN TOTAL'!AD258</f>
        <v>0</v>
      </c>
      <c r="X212" s="70">
        <f>'RESUMEN TOTAL'!AE258</f>
        <v>0</v>
      </c>
      <c r="Y212" s="70">
        <f>'RESUMEN TOTAL'!AF258</f>
        <v>0</v>
      </c>
      <c r="Z212" s="70">
        <f>'RESUMEN TOTAL'!AG258</f>
        <v>0</v>
      </c>
      <c r="AA212" s="70">
        <f>'RESUMEN TOTAL'!AH258</f>
        <v>0</v>
      </c>
      <c r="AB212" s="70">
        <f>'RESUMEN TOTAL'!AI258</f>
        <v>0</v>
      </c>
      <c r="AC212" s="70">
        <f>'RESUMEN TOTAL'!AJ258</f>
        <v>0</v>
      </c>
      <c r="AD212" s="70">
        <f>'RESUMEN TOTAL'!AK258</f>
        <v>0</v>
      </c>
      <c r="AE212" s="70">
        <f>'RESUMEN TOTAL'!AL258</f>
        <v>0</v>
      </c>
      <c r="AF212" s="70">
        <f>'RESUMEN TOTAL'!AM258</f>
        <v>0</v>
      </c>
      <c r="AG212" s="70">
        <f>'RESUMEN TOTAL'!AN258</f>
        <v>0</v>
      </c>
      <c r="AH212" s="70">
        <f>'RESUMEN TOTAL'!AO258</f>
        <v>0</v>
      </c>
      <c r="AI212" s="70">
        <f>'RESUMEN TOTAL'!AP258</f>
        <v>0</v>
      </c>
    </row>
    <row r="213" spans="1:35" x14ac:dyDescent="0.25">
      <c r="A213" t="str">
        <f>'RESUMEN TOTAL'!A259</f>
        <v>MARTIN FIERRO</v>
      </c>
      <c r="B213" t="str">
        <f>'RESUMEN TOTAL'!B259</f>
        <v>MFI 08</v>
      </c>
      <c r="C213" t="str">
        <f>'RESUMEN TOTAL'!D259</f>
        <v>Braile y Batalla de Callao</v>
      </c>
      <c r="D213" s="30" t="str">
        <f>'RESUMEN TOTAL'!E259</f>
        <v>Domo</v>
      </c>
      <c r="E213" s="30" t="str">
        <f>'RESUMEN TOTAL'!F259</f>
        <v>PTO A FO</v>
      </c>
      <c r="F213" s="70">
        <f>'RESUMEN TOTAL'!M259</f>
        <v>0</v>
      </c>
      <c r="G213" s="70">
        <f>'RESUMEN TOTAL'!N259</f>
        <v>0</v>
      </c>
      <c r="H213" s="70">
        <f>'RESUMEN TOTAL'!O259</f>
        <v>0</v>
      </c>
      <c r="I213" s="70">
        <f>'RESUMEN TOTAL'!P259</f>
        <v>0</v>
      </c>
      <c r="J213" s="70">
        <f>'RESUMEN TOTAL'!Q259</f>
        <v>0</v>
      </c>
      <c r="K213" s="70">
        <f>'RESUMEN TOTAL'!R259</f>
        <v>0</v>
      </c>
      <c r="L213" s="70">
        <f>'RESUMEN TOTAL'!S259</f>
        <v>0</v>
      </c>
      <c r="M213" s="70">
        <f>'RESUMEN TOTAL'!T259</f>
        <v>0</v>
      </c>
      <c r="N213" s="70">
        <f>'RESUMEN TOTAL'!U259</f>
        <v>0</v>
      </c>
      <c r="O213" s="70">
        <f>'RESUMEN TOTAL'!V259</f>
        <v>0</v>
      </c>
      <c r="P213" s="70">
        <f>'RESUMEN TOTAL'!W259</f>
        <v>0</v>
      </c>
      <c r="Q213" s="70">
        <f>'RESUMEN TOTAL'!X259</f>
        <v>0</v>
      </c>
      <c r="R213" s="70">
        <f>'RESUMEN TOTAL'!Y259</f>
        <v>0</v>
      </c>
      <c r="S213" s="70">
        <f>'RESUMEN TOTAL'!Z259</f>
        <v>0</v>
      </c>
      <c r="T213" s="70" t="str">
        <f>'RESUMEN TOTAL'!AA259</f>
        <v>APAGADO</v>
      </c>
      <c r="U213" s="70">
        <f>'RESUMEN TOTAL'!AB259</f>
        <v>0</v>
      </c>
      <c r="V213" s="70">
        <f>'RESUMEN TOTAL'!AC259</f>
        <v>0</v>
      </c>
      <c r="W213" s="70">
        <f>'RESUMEN TOTAL'!AD259</f>
        <v>0</v>
      </c>
      <c r="X213" s="70">
        <f>'RESUMEN TOTAL'!AE259</f>
        <v>0</v>
      </c>
      <c r="Y213" s="70">
        <f>'RESUMEN TOTAL'!AF259</f>
        <v>0</v>
      </c>
      <c r="Z213" s="70">
        <f>'RESUMEN TOTAL'!AG259</f>
        <v>0</v>
      </c>
      <c r="AA213" s="70">
        <f>'RESUMEN TOTAL'!AH259</f>
        <v>0</v>
      </c>
      <c r="AB213" s="70">
        <f>'RESUMEN TOTAL'!AI259</f>
        <v>0</v>
      </c>
      <c r="AC213" s="70">
        <f>'RESUMEN TOTAL'!AJ259</f>
        <v>0</v>
      </c>
      <c r="AD213" s="70">
        <f>'RESUMEN TOTAL'!AK259</f>
        <v>0</v>
      </c>
      <c r="AE213" s="70">
        <f>'RESUMEN TOTAL'!AL259</f>
        <v>0</v>
      </c>
      <c r="AF213" s="70">
        <f>'RESUMEN TOTAL'!AM259</f>
        <v>0</v>
      </c>
      <c r="AG213" s="70">
        <f>'RESUMEN TOTAL'!AN259</f>
        <v>0</v>
      </c>
      <c r="AH213" s="70">
        <f>'RESUMEN TOTAL'!AO259</f>
        <v>0</v>
      </c>
      <c r="AI213" s="70">
        <f>'RESUMEN TOTAL'!AP259</f>
        <v>0</v>
      </c>
    </row>
    <row r="214" spans="1:35" x14ac:dyDescent="0.25">
      <c r="A214" t="str">
        <f>'RESUMEN TOTAL'!A260</f>
        <v>GOBERNADOR MONTEVERDE</v>
      </c>
      <c r="B214" t="str">
        <f>'RESUMEN TOTAL'!B260</f>
        <v>MON01</v>
      </c>
      <c r="C214" t="str">
        <f>'RESUMEN TOTAL'!D260</f>
        <v>San Martin y Patricias Argentinas</v>
      </c>
      <c r="D214" s="30" t="str">
        <f>'RESUMEN TOTAL'!E260</f>
        <v>Fija</v>
      </c>
      <c r="E214" s="30" t="str">
        <f>'RESUMEN TOTAL'!F260</f>
        <v>Fibra Optica</v>
      </c>
      <c r="F214" s="70">
        <f>'RESUMEN TOTAL'!M260</f>
        <v>0</v>
      </c>
      <c r="G214" s="70">
        <f>'RESUMEN TOTAL'!N260</f>
        <v>0</v>
      </c>
      <c r="H214" s="70">
        <f>'RESUMEN TOTAL'!O260</f>
        <v>0</v>
      </c>
      <c r="I214" s="70">
        <f>'RESUMEN TOTAL'!P260</f>
        <v>0</v>
      </c>
      <c r="J214" s="70">
        <f>'RESUMEN TOTAL'!Q260</f>
        <v>0</v>
      </c>
      <c r="K214" s="70">
        <f>'RESUMEN TOTAL'!R260</f>
        <v>0</v>
      </c>
      <c r="L214" s="70">
        <f>'RESUMEN TOTAL'!S260</f>
        <v>0</v>
      </c>
      <c r="M214" s="70">
        <f>'RESUMEN TOTAL'!T260</f>
        <v>0</v>
      </c>
      <c r="N214" s="70">
        <f>'RESUMEN TOTAL'!U260</f>
        <v>0</v>
      </c>
      <c r="O214" s="70">
        <f>'RESUMEN TOTAL'!V260</f>
        <v>0</v>
      </c>
      <c r="P214" s="70">
        <f>'RESUMEN TOTAL'!W260</f>
        <v>0</v>
      </c>
      <c r="Q214" s="70">
        <f>'RESUMEN TOTAL'!X260</f>
        <v>0</v>
      </c>
      <c r="R214" s="70">
        <f>'RESUMEN TOTAL'!Y260</f>
        <v>0</v>
      </c>
      <c r="S214" s="70">
        <f>'RESUMEN TOTAL'!Z260</f>
        <v>0</v>
      </c>
      <c r="T214" s="70">
        <f>'RESUMEN TOTAL'!AA260</f>
        <v>0</v>
      </c>
      <c r="U214" s="70">
        <f>'RESUMEN TOTAL'!AB260</f>
        <v>0</v>
      </c>
      <c r="V214" s="70">
        <f>'RESUMEN TOTAL'!AC260</f>
        <v>0</v>
      </c>
      <c r="W214" s="70">
        <f>'RESUMEN TOTAL'!AD260</f>
        <v>0</v>
      </c>
      <c r="X214" s="70">
        <f>'RESUMEN TOTAL'!AE260</f>
        <v>0</v>
      </c>
      <c r="Y214" s="70">
        <f>'RESUMEN TOTAL'!AF260</f>
        <v>0</v>
      </c>
      <c r="Z214" s="70">
        <f>'RESUMEN TOTAL'!AG260</f>
        <v>0</v>
      </c>
      <c r="AA214" s="70">
        <f>'RESUMEN TOTAL'!AH260</f>
        <v>0</v>
      </c>
      <c r="AB214" s="70">
        <f>'RESUMEN TOTAL'!AI260</f>
        <v>0</v>
      </c>
      <c r="AC214" s="70">
        <f>'RESUMEN TOTAL'!AJ260</f>
        <v>0</v>
      </c>
      <c r="AD214" s="70">
        <f>'RESUMEN TOTAL'!AK260</f>
        <v>0</v>
      </c>
      <c r="AE214" s="70">
        <f>'RESUMEN TOTAL'!AL260</f>
        <v>0</v>
      </c>
      <c r="AF214" s="70">
        <f>'RESUMEN TOTAL'!AM260</f>
        <v>0</v>
      </c>
      <c r="AG214" s="70">
        <f>'RESUMEN TOTAL'!AN260</f>
        <v>0</v>
      </c>
      <c r="AH214" s="70">
        <f>'RESUMEN TOTAL'!AO260</f>
        <v>0</v>
      </c>
      <c r="AI214" s="70">
        <f>'RESUMEN TOTAL'!AP260</f>
        <v>0</v>
      </c>
    </row>
    <row r="215" spans="1:35" x14ac:dyDescent="0.25">
      <c r="A215" t="str">
        <f>'RESUMEN TOTAL'!A261</f>
        <v>GOBERNADOR MONTEVERDE</v>
      </c>
      <c r="B215" t="str">
        <f>'RESUMEN TOTAL'!B261</f>
        <v>MON02</v>
      </c>
      <c r="C215" t="str">
        <f>'RESUMEN TOTAL'!D261</f>
        <v>Senzabello y Famatina</v>
      </c>
      <c r="D215" s="30" t="str">
        <f>'RESUMEN TOTAL'!E261</f>
        <v>Domo</v>
      </c>
      <c r="E215" s="30" t="str">
        <f>'RESUMEN TOTAL'!F261</f>
        <v>Fibra Optica</v>
      </c>
      <c r="F215" s="70">
        <f>'RESUMEN TOTAL'!M261</f>
        <v>0</v>
      </c>
      <c r="G215" s="70" t="str">
        <f>'RESUMEN TOTAL'!N261</f>
        <v>APAGADO</v>
      </c>
      <c r="H215" s="70">
        <f>'RESUMEN TOTAL'!O261</f>
        <v>0</v>
      </c>
      <c r="I215" s="70">
        <f>'RESUMEN TOTAL'!P261</f>
        <v>0</v>
      </c>
      <c r="J215" s="70">
        <f>'RESUMEN TOTAL'!Q261</f>
        <v>0</v>
      </c>
      <c r="K215" s="70">
        <f>'RESUMEN TOTAL'!R261</f>
        <v>0</v>
      </c>
      <c r="L215" s="70">
        <f>'RESUMEN TOTAL'!S261</f>
        <v>0</v>
      </c>
      <c r="M215" s="70">
        <f>'RESUMEN TOTAL'!T261</f>
        <v>0</v>
      </c>
      <c r="N215" s="70">
        <f>'RESUMEN TOTAL'!U261</f>
        <v>0</v>
      </c>
      <c r="O215" s="70">
        <f>'RESUMEN TOTAL'!V261</f>
        <v>0</v>
      </c>
      <c r="P215" s="70">
        <f>'RESUMEN TOTAL'!W261</f>
        <v>0</v>
      </c>
      <c r="Q215" s="70">
        <f>'RESUMEN TOTAL'!X261</f>
        <v>0</v>
      </c>
      <c r="R215" s="70">
        <f>'RESUMEN TOTAL'!Y261</f>
        <v>0</v>
      </c>
      <c r="S215" s="70">
        <f>'RESUMEN TOTAL'!Z261</f>
        <v>0</v>
      </c>
      <c r="T215" s="70">
        <f>'RESUMEN TOTAL'!AA261</f>
        <v>0</v>
      </c>
      <c r="U215" s="70">
        <f>'RESUMEN TOTAL'!AB261</f>
        <v>0</v>
      </c>
      <c r="V215" s="70">
        <f>'RESUMEN TOTAL'!AC261</f>
        <v>0</v>
      </c>
      <c r="W215" s="70">
        <f>'RESUMEN TOTAL'!AD261</f>
        <v>0</v>
      </c>
      <c r="X215" s="70">
        <f>'RESUMEN TOTAL'!AE261</f>
        <v>0</v>
      </c>
      <c r="Y215" s="70">
        <f>'RESUMEN TOTAL'!AF261</f>
        <v>0</v>
      </c>
      <c r="Z215" s="70">
        <f>'RESUMEN TOTAL'!AG261</f>
        <v>0</v>
      </c>
      <c r="AA215" s="70">
        <f>'RESUMEN TOTAL'!AH261</f>
        <v>0</v>
      </c>
      <c r="AB215" s="70">
        <f>'RESUMEN TOTAL'!AI261</f>
        <v>0</v>
      </c>
      <c r="AC215" s="70">
        <f>'RESUMEN TOTAL'!AJ261</f>
        <v>0</v>
      </c>
      <c r="AD215" s="70">
        <f>'RESUMEN TOTAL'!AK261</f>
        <v>0</v>
      </c>
      <c r="AE215" s="70">
        <f>'RESUMEN TOTAL'!AL261</f>
        <v>0</v>
      </c>
      <c r="AF215" s="70">
        <f>'RESUMEN TOTAL'!AM261</f>
        <v>0</v>
      </c>
      <c r="AG215" s="70">
        <f>'RESUMEN TOTAL'!AN261</f>
        <v>0</v>
      </c>
      <c r="AH215" s="70">
        <f>'RESUMEN TOTAL'!AO261</f>
        <v>0</v>
      </c>
      <c r="AI215" s="70">
        <f>'RESUMEN TOTAL'!AP261</f>
        <v>0</v>
      </c>
    </row>
    <row r="216" spans="1:35" x14ac:dyDescent="0.25">
      <c r="A216" t="str">
        <f>'RESUMEN TOTAL'!A262</f>
        <v>GOBERNADOR MONTEVERDE</v>
      </c>
      <c r="B216" t="str">
        <f>'RESUMEN TOTAL'!B262</f>
        <v>MON03</v>
      </c>
      <c r="C216" t="str">
        <f>'RESUMEN TOTAL'!D262</f>
        <v>Senzabello y Guemes</v>
      </c>
      <c r="D216" s="30" t="str">
        <f>'RESUMEN TOTAL'!E262</f>
        <v>Domo</v>
      </c>
      <c r="E216" s="30" t="str">
        <f>'RESUMEN TOTAL'!F262</f>
        <v>PTO A FO</v>
      </c>
      <c r="F216" s="70">
        <f>'RESUMEN TOTAL'!M262</f>
        <v>0</v>
      </c>
      <c r="G216" s="70">
        <f>'RESUMEN TOTAL'!N262</f>
        <v>0</v>
      </c>
      <c r="H216" s="70">
        <f>'RESUMEN TOTAL'!O262</f>
        <v>0</v>
      </c>
      <c r="I216" s="70">
        <f>'RESUMEN TOTAL'!P262</f>
        <v>0</v>
      </c>
      <c r="J216" s="70">
        <f>'RESUMEN TOTAL'!Q262</f>
        <v>0</v>
      </c>
      <c r="K216" s="70">
        <f>'RESUMEN TOTAL'!R262</f>
        <v>0</v>
      </c>
      <c r="L216" s="70">
        <f>'RESUMEN TOTAL'!S262</f>
        <v>0</v>
      </c>
      <c r="M216" s="70">
        <f>'RESUMEN TOTAL'!T262</f>
        <v>0</v>
      </c>
      <c r="N216" s="70">
        <f>'RESUMEN TOTAL'!U262</f>
        <v>0</v>
      </c>
      <c r="O216" s="70">
        <f>'RESUMEN TOTAL'!V262</f>
        <v>0</v>
      </c>
      <c r="P216" s="70">
        <f>'RESUMEN TOTAL'!W262</f>
        <v>0</v>
      </c>
      <c r="Q216" s="70">
        <f>'RESUMEN TOTAL'!X262</f>
        <v>0</v>
      </c>
      <c r="R216" s="70">
        <f>'RESUMEN TOTAL'!Y262</f>
        <v>0</v>
      </c>
      <c r="S216" s="70">
        <f>'RESUMEN TOTAL'!Z262</f>
        <v>0</v>
      </c>
      <c r="T216" s="70">
        <f>'RESUMEN TOTAL'!AA262</f>
        <v>0</v>
      </c>
      <c r="U216" s="70">
        <f>'RESUMEN TOTAL'!AB262</f>
        <v>0</v>
      </c>
      <c r="V216" s="70">
        <f>'RESUMEN TOTAL'!AC262</f>
        <v>0</v>
      </c>
      <c r="W216" s="70">
        <f>'RESUMEN TOTAL'!AD262</f>
        <v>0</v>
      </c>
      <c r="X216" s="70">
        <f>'RESUMEN TOTAL'!AE262</f>
        <v>0</v>
      </c>
      <c r="Y216" s="70">
        <f>'RESUMEN TOTAL'!AF262</f>
        <v>0</v>
      </c>
      <c r="Z216" s="70">
        <f>'RESUMEN TOTAL'!AG262</f>
        <v>0</v>
      </c>
      <c r="AA216" s="70">
        <f>'RESUMEN TOTAL'!AH262</f>
        <v>0</v>
      </c>
      <c r="AB216" s="70">
        <f>'RESUMEN TOTAL'!AI262</f>
        <v>0</v>
      </c>
      <c r="AC216" s="70">
        <f>'RESUMEN TOTAL'!AJ262</f>
        <v>0</v>
      </c>
      <c r="AD216" s="70">
        <f>'RESUMEN TOTAL'!AK262</f>
        <v>0</v>
      </c>
      <c r="AE216" s="70">
        <f>'RESUMEN TOTAL'!AL262</f>
        <v>0</v>
      </c>
      <c r="AF216" s="70">
        <f>'RESUMEN TOTAL'!AM262</f>
        <v>0</v>
      </c>
      <c r="AG216" s="70">
        <f>'RESUMEN TOTAL'!AN262</f>
        <v>0</v>
      </c>
      <c r="AH216" s="70">
        <f>'RESUMEN TOTAL'!AO262</f>
        <v>0</v>
      </c>
      <c r="AI216" s="70">
        <f>'RESUMEN TOTAL'!AP262</f>
        <v>0</v>
      </c>
    </row>
    <row r="217" spans="1:35" x14ac:dyDescent="0.25">
      <c r="A217" t="str">
        <f>'RESUMEN TOTAL'!A263</f>
        <v>GOBERNADOR MONTEVERDE</v>
      </c>
      <c r="B217" t="str">
        <f>'RESUMEN TOTAL'!B263</f>
        <v>MON04</v>
      </c>
      <c r="C217" t="str">
        <f>'RESUMEN TOTAL'!D263</f>
        <v>Av. Yrigoyen y San Lorenzo</v>
      </c>
      <c r="D217" s="30" t="str">
        <f>'RESUMEN TOTAL'!E263</f>
        <v>Domo</v>
      </c>
      <c r="E217" s="30" t="str">
        <f>'RESUMEN TOTAL'!F263</f>
        <v>GPON</v>
      </c>
      <c r="F217" s="70">
        <f>'RESUMEN TOTAL'!M263</f>
        <v>0</v>
      </c>
      <c r="G217" s="70">
        <f>'RESUMEN TOTAL'!N263</f>
        <v>0</v>
      </c>
      <c r="H217" s="70">
        <f>'RESUMEN TOTAL'!O263</f>
        <v>0</v>
      </c>
      <c r="I217" s="70">
        <f>'RESUMEN TOTAL'!P263</f>
        <v>0</v>
      </c>
      <c r="J217" s="70">
        <f>'RESUMEN TOTAL'!Q263</f>
        <v>0</v>
      </c>
      <c r="K217" s="70">
        <f>'RESUMEN TOTAL'!R263</f>
        <v>0</v>
      </c>
      <c r="L217" s="70">
        <f>'RESUMEN TOTAL'!S263</f>
        <v>0</v>
      </c>
      <c r="M217" s="70">
        <f>'RESUMEN TOTAL'!T263</f>
        <v>0</v>
      </c>
      <c r="N217" s="70">
        <f>'RESUMEN TOTAL'!U263</f>
        <v>0</v>
      </c>
      <c r="O217" s="70">
        <f>'RESUMEN TOTAL'!V263</f>
        <v>0</v>
      </c>
      <c r="P217" s="70">
        <f>'RESUMEN TOTAL'!W263</f>
        <v>0</v>
      </c>
      <c r="Q217" s="70">
        <f>'RESUMEN TOTAL'!X263</f>
        <v>0</v>
      </c>
      <c r="R217" s="70">
        <f>'RESUMEN TOTAL'!Y263</f>
        <v>0</v>
      </c>
      <c r="S217" s="70">
        <f>'RESUMEN TOTAL'!Z263</f>
        <v>0</v>
      </c>
      <c r="T217" s="70">
        <f>'RESUMEN TOTAL'!AA263</f>
        <v>0</v>
      </c>
      <c r="U217" s="70">
        <f>'RESUMEN TOTAL'!AB263</f>
        <v>0</v>
      </c>
      <c r="V217" s="70">
        <f>'RESUMEN TOTAL'!AC263</f>
        <v>0</v>
      </c>
      <c r="W217" s="70">
        <f>'RESUMEN TOTAL'!AD263</f>
        <v>0</v>
      </c>
      <c r="X217" s="70">
        <f>'RESUMEN TOTAL'!AE263</f>
        <v>0</v>
      </c>
      <c r="Y217" s="70">
        <f>'RESUMEN TOTAL'!AF263</f>
        <v>0</v>
      </c>
      <c r="Z217" s="70">
        <f>'RESUMEN TOTAL'!AG263</f>
        <v>0</v>
      </c>
      <c r="AA217" s="70">
        <f>'RESUMEN TOTAL'!AH263</f>
        <v>0</v>
      </c>
      <c r="AB217" s="70">
        <f>'RESUMEN TOTAL'!AI263</f>
        <v>0</v>
      </c>
      <c r="AC217" s="70">
        <f>'RESUMEN TOTAL'!AJ263</f>
        <v>0</v>
      </c>
      <c r="AD217" s="70">
        <f>'RESUMEN TOTAL'!AK263</f>
        <v>0</v>
      </c>
      <c r="AE217" s="70">
        <f>'RESUMEN TOTAL'!AL263</f>
        <v>0</v>
      </c>
      <c r="AF217" s="70">
        <f>'RESUMEN TOTAL'!AM263</f>
        <v>0</v>
      </c>
      <c r="AG217" s="70">
        <f>'RESUMEN TOTAL'!AN263</f>
        <v>0</v>
      </c>
      <c r="AH217" s="70">
        <f>'RESUMEN TOTAL'!AO263</f>
        <v>0</v>
      </c>
      <c r="AI217" s="70">
        <f>'RESUMEN TOTAL'!AP263</f>
        <v>0</v>
      </c>
    </row>
    <row r="218" spans="1:35" x14ac:dyDescent="0.25">
      <c r="A218" t="str">
        <f>'RESUMEN TOTAL'!A266</f>
        <v>9 DE JULIO</v>
      </c>
      <c r="B218" t="str">
        <f>'RESUMEN TOTAL'!B266</f>
        <v>NJU 01</v>
      </c>
      <c r="C218" t="str">
        <f>'RESUMEN TOTAL'!D266</f>
        <v>Sallares y Parrillo</v>
      </c>
      <c r="D218" s="30" t="str">
        <f>'RESUMEN TOTAL'!E266</f>
        <v>Domo</v>
      </c>
      <c r="E218" s="30" t="str">
        <f>'RESUMEN TOTAL'!F266</f>
        <v>Fibra Optica</v>
      </c>
      <c r="F218" s="70">
        <f>'RESUMEN TOTAL'!M266</f>
        <v>0</v>
      </c>
      <c r="G218" s="70">
        <f>'RESUMEN TOTAL'!N266</f>
        <v>0</v>
      </c>
      <c r="H218" s="70">
        <f>'RESUMEN TOTAL'!O266</f>
        <v>0</v>
      </c>
      <c r="I218" s="70">
        <f>'RESUMEN TOTAL'!P266</f>
        <v>0</v>
      </c>
      <c r="J218" s="70">
        <f>'RESUMEN TOTAL'!Q266</f>
        <v>0</v>
      </c>
      <c r="K218" s="70">
        <f>'RESUMEN TOTAL'!R266</f>
        <v>0</v>
      </c>
      <c r="L218" s="70">
        <f>'RESUMEN TOTAL'!S266</f>
        <v>0</v>
      </c>
      <c r="M218" s="70">
        <f>'RESUMEN TOTAL'!T266</f>
        <v>0</v>
      </c>
      <c r="N218" s="70">
        <f>'RESUMEN TOTAL'!U266</f>
        <v>0</v>
      </c>
      <c r="O218" s="70">
        <f>'RESUMEN TOTAL'!V266</f>
        <v>0</v>
      </c>
      <c r="P218" s="70">
        <f>'RESUMEN TOTAL'!W266</f>
        <v>0</v>
      </c>
      <c r="Q218" s="70">
        <f>'RESUMEN TOTAL'!X266</f>
        <v>0</v>
      </c>
      <c r="R218" s="70">
        <f>'RESUMEN TOTAL'!Y266</f>
        <v>0</v>
      </c>
      <c r="S218" s="70">
        <f>'RESUMEN TOTAL'!Z266</f>
        <v>0</v>
      </c>
      <c r="T218" s="70">
        <f>'RESUMEN TOTAL'!AA266</f>
        <v>0</v>
      </c>
      <c r="U218" s="70">
        <f>'RESUMEN TOTAL'!AB266</f>
        <v>0</v>
      </c>
      <c r="V218" s="70">
        <f>'RESUMEN TOTAL'!AC266</f>
        <v>0</v>
      </c>
      <c r="W218" s="70">
        <f>'RESUMEN TOTAL'!AD266</f>
        <v>0</v>
      </c>
      <c r="X218" s="70">
        <f>'RESUMEN TOTAL'!AE266</f>
        <v>0</v>
      </c>
      <c r="Y218" s="70">
        <f>'RESUMEN TOTAL'!AF266</f>
        <v>0</v>
      </c>
      <c r="Z218" s="70">
        <f>'RESUMEN TOTAL'!AG266</f>
        <v>0</v>
      </c>
      <c r="AA218" s="70">
        <f>'RESUMEN TOTAL'!AH266</f>
        <v>0</v>
      </c>
      <c r="AB218" s="70">
        <f>'RESUMEN TOTAL'!AI266</f>
        <v>0</v>
      </c>
      <c r="AC218" s="70">
        <f>'RESUMEN TOTAL'!AJ266</f>
        <v>0</v>
      </c>
      <c r="AD218" s="70">
        <f>'RESUMEN TOTAL'!AK266</f>
        <v>0</v>
      </c>
      <c r="AE218" s="70">
        <f>'RESUMEN TOTAL'!AL266</f>
        <v>0</v>
      </c>
      <c r="AF218" s="70">
        <f>'RESUMEN TOTAL'!AM266</f>
        <v>0</v>
      </c>
      <c r="AG218" s="70">
        <f>'RESUMEN TOTAL'!AN266</f>
        <v>0</v>
      </c>
      <c r="AH218" s="70">
        <f>'RESUMEN TOTAL'!AO266</f>
        <v>0</v>
      </c>
      <c r="AI218" s="70">
        <f>'RESUMEN TOTAL'!AP266</f>
        <v>0</v>
      </c>
    </row>
    <row r="219" spans="1:35" x14ac:dyDescent="0.25">
      <c r="A219" t="str">
        <f>'RESUMEN TOTAL'!A267</f>
        <v>9 DE JULIO</v>
      </c>
      <c r="B219" t="str">
        <f>'RESUMEN TOTAL'!B267</f>
        <v>NJU02</v>
      </c>
      <c r="C219" t="str">
        <f>'RESUMEN TOTAL'!D267</f>
        <v>Ituzaingo y Boccuzzi</v>
      </c>
      <c r="D219" s="30" t="str">
        <f>'RESUMEN TOTAL'!E267</f>
        <v>Domo</v>
      </c>
      <c r="E219" s="30" t="str">
        <f>'RESUMEN TOTAL'!F267</f>
        <v>GPON</v>
      </c>
      <c r="F219" s="70">
        <f>'RESUMEN TOTAL'!M267</f>
        <v>0</v>
      </c>
      <c r="G219" s="70">
        <f>'RESUMEN TOTAL'!N267</f>
        <v>0</v>
      </c>
      <c r="H219" s="70">
        <f>'RESUMEN TOTAL'!O267</f>
        <v>0</v>
      </c>
      <c r="I219" s="70">
        <f>'RESUMEN TOTAL'!P267</f>
        <v>0</v>
      </c>
      <c r="J219" s="70">
        <f>'RESUMEN TOTAL'!Q267</f>
        <v>0</v>
      </c>
      <c r="K219" s="70">
        <f>'RESUMEN TOTAL'!R267</f>
        <v>0</v>
      </c>
      <c r="L219" s="70">
        <f>'RESUMEN TOTAL'!S267</f>
        <v>0</v>
      </c>
      <c r="M219" s="70">
        <f>'RESUMEN TOTAL'!T267</f>
        <v>0</v>
      </c>
      <c r="N219" s="70">
        <f>'RESUMEN TOTAL'!U267</f>
        <v>0</v>
      </c>
      <c r="O219" s="70">
        <f>'RESUMEN TOTAL'!V267</f>
        <v>0</v>
      </c>
      <c r="P219" s="70">
        <f>'RESUMEN TOTAL'!W267</f>
        <v>0</v>
      </c>
      <c r="Q219" s="70">
        <f>'RESUMEN TOTAL'!X267</f>
        <v>0</v>
      </c>
      <c r="R219" s="70">
        <f>'RESUMEN TOTAL'!Y267</f>
        <v>0</v>
      </c>
      <c r="S219" s="70">
        <f>'RESUMEN TOTAL'!Z267</f>
        <v>0</v>
      </c>
      <c r="T219" s="70">
        <f>'RESUMEN TOTAL'!AA267</f>
        <v>0</v>
      </c>
      <c r="U219" s="70">
        <f>'RESUMEN TOTAL'!AB267</f>
        <v>0</v>
      </c>
      <c r="V219" s="70">
        <f>'RESUMEN TOTAL'!AC267</f>
        <v>0</v>
      </c>
      <c r="W219" s="70">
        <f>'RESUMEN TOTAL'!AD267</f>
        <v>0</v>
      </c>
      <c r="X219" s="70">
        <f>'RESUMEN TOTAL'!AE267</f>
        <v>0</v>
      </c>
      <c r="Y219" s="70">
        <f>'RESUMEN TOTAL'!AF267</f>
        <v>0</v>
      </c>
      <c r="Z219" s="70">
        <f>'RESUMEN TOTAL'!AG267</f>
        <v>0</v>
      </c>
      <c r="AA219" s="70">
        <f>'RESUMEN TOTAL'!AH267</f>
        <v>0</v>
      </c>
      <c r="AB219" s="70">
        <f>'RESUMEN TOTAL'!AI267</f>
        <v>0</v>
      </c>
      <c r="AC219" s="70">
        <f>'RESUMEN TOTAL'!AJ267</f>
        <v>0</v>
      </c>
      <c r="AD219" s="70">
        <f>'RESUMEN TOTAL'!AK267</f>
        <v>0</v>
      </c>
      <c r="AE219" s="70">
        <f>'RESUMEN TOTAL'!AL267</f>
        <v>0</v>
      </c>
      <c r="AF219" s="70">
        <f>'RESUMEN TOTAL'!AM267</f>
        <v>0</v>
      </c>
      <c r="AG219" s="70">
        <f>'RESUMEN TOTAL'!AN267</f>
        <v>0</v>
      </c>
      <c r="AH219" s="70">
        <f>'RESUMEN TOTAL'!AO267</f>
        <v>0</v>
      </c>
      <c r="AI219" s="70">
        <f>'RESUMEN TOTAL'!AP267</f>
        <v>0</v>
      </c>
    </row>
    <row r="220" spans="1:35" x14ac:dyDescent="0.25">
      <c r="A220" t="str">
        <f>'RESUMEN TOTAL'!A268</f>
        <v>9 DE JULIO</v>
      </c>
      <c r="B220" t="str">
        <f>'RESUMEN TOTAL'!B268</f>
        <v>NJU03</v>
      </c>
      <c r="C220" t="str">
        <f>'RESUMEN TOTAL'!D268</f>
        <v>San Juan y Parrillo</v>
      </c>
      <c r="D220" s="30" t="str">
        <f>'RESUMEN TOTAL'!E268</f>
        <v>Domo</v>
      </c>
      <c r="E220" s="30" t="str">
        <f>'RESUMEN TOTAL'!F268</f>
        <v>PTO A FO</v>
      </c>
      <c r="F220" s="70" t="str">
        <f>'RESUMEN TOTAL'!M268</f>
        <v>APAGADO</v>
      </c>
      <c r="G220" s="70" t="str">
        <f>'RESUMEN TOTAL'!N268</f>
        <v>APAGADO</v>
      </c>
      <c r="H220" s="70" t="str">
        <f>'RESUMEN TOTAL'!O268</f>
        <v>APAGADO</v>
      </c>
      <c r="I220" s="70" t="str">
        <f>'RESUMEN TOTAL'!P268</f>
        <v>APAGADO</v>
      </c>
      <c r="J220" s="70" t="str">
        <f>'RESUMEN TOTAL'!Q268</f>
        <v>APAGADO</v>
      </c>
      <c r="K220" s="70" t="str">
        <f>'RESUMEN TOTAL'!R268</f>
        <v>APAGADO</v>
      </c>
      <c r="L220" s="70" t="str">
        <f>'RESUMEN TOTAL'!S268</f>
        <v>APAGADO</v>
      </c>
      <c r="M220" s="70" t="str">
        <f>'RESUMEN TOTAL'!T268</f>
        <v>APAGADO</v>
      </c>
      <c r="N220" s="70" t="str">
        <f>'RESUMEN TOTAL'!U268</f>
        <v>APAGADO</v>
      </c>
      <c r="O220" s="70" t="str">
        <f>'RESUMEN TOTAL'!V268</f>
        <v>APAGADO</v>
      </c>
      <c r="P220" s="70" t="str">
        <f>'RESUMEN TOTAL'!W268</f>
        <v>APAGADO</v>
      </c>
      <c r="Q220" s="70" t="str">
        <f>'RESUMEN TOTAL'!X268</f>
        <v>APAGADO</v>
      </c>
      <c r="R220" s="70" t="str">
        <f>'RESUMEN TOTAL'!Y268</f>
        <v>APAGADO</v>
      </c>
      <c r="S220" s="70" t="str">
        <f>'RESUMEN TOTAL'!Z268</f>
        <v>APAGADO</v>
      </c>
      <c r="T220" s="70" t="str">
        <f>'RESUMEN TOTAL'!AA268</f>
        <v>APAGADO</v>
      </c>
      <c r="U220" s="70" t="str">
        <f>'RESUMEN TOTAL'!AB268</f>
        <v>APAGADO</v>
      </c>
      <c r="V220" s="70" t="str">
        <f>'RESUMEN TOTAL'!AC268</f>
        <v>APAGADO</v>
      </c>
      <c r="W220" s="70" t="str">
        <f>'RESUMEN TOTAL'!AD268</f>
        <v>APAGADO</v>
      </c>
      <c r="X220" s="70" t="str">
        <f>'RESUMEN TOTAL'!AE268</f>
        <v>APAGADO</v>
      </c>
      <c r="Y220" s="70" t="str">
        <f>'RESUMEN TOTAL'!AF268</f>
        <v>APAGADO</v>
      </c>
      <c r="Z220" s="70" t="str">
        <f>'RESUMEN TOTAL'!AG268</f>
        <v>APAGADO</v>
      </c>
      <c r="AA220" s="70" t="str">
        <f>'RESUMEN TOTAL'!AH268</f>
        <v>APAGADO</v>
      </c>
      <c r="AB220" s="70" t="str">
        <f>'RESUMEN TOTAL'!AI268</f>
        <v>APAGADO</v>
      </c>
      <c r="AC220" s="70" t="str">
        <f>'RESUMEN TOTAL'!AJ268</f>
        <v>APAGADO</v>
      </c>
      <c r="AD220" s="70" t="str">
        <f>'RESUMEN TOTAL'!AK268</f>
        <v>APAGADO</v>
      </c>
      <c r="AE220" s="70" t="str">
        <f>'RESUMEN TOTAL'!AL268</f>
        <v>APAGADO</v>
      </c>
      <c r="AF220" s="70">
        <f>'RESUMEN TOTAL'!AM268</f>
        <v>0</v>
      </c>
      <c r="AG220" s="70">
        <f>'RESUMEN TOTAL'!AN268</f>
        <v>0</v>
      </c>
      <c r="AH220" s="70">
        <f>'RESUMEN TOTAL'!AO268</f>
        <v>0</v>
      </c>
      <c r="AI220" s="70">
        <f>'RESUMEN TOTAL'!AP268</f>
        <v>0</v>
      </c>
    </row>
    <row r="221" spans="1:35" x14ac:dyDescent="0.25">
      <c r="A221" t="str">
        <f>'RESUMEN TOTAL'!A269</f>
        <v>9 DE JULIO</v>
      </c>
      <c r="B221" t="str">
        <f>'RESUMEN TOTAL'!B269</f>
        <v>NJU04</v>
      </c>
      <c r="C221" t="str">
        <f>'RESUMEN TOTAL'!D269</f>
        <v>Ituzaingo y 214 A</v>
      </c>
      <c r="D221" s="30" t="str">
        <f>'RESUMEN TOTAL'!E269</f>
        <v>Domo</v>
      </c>
      <c r="E221" s="30" t="str">
        <f>'RESUMEN TOTAL'!F269</f>
        <v>GPON</v>
      </c>
      <c r="F221" s="70" t="str">
        <f>'RESUMEN TOTAL'!M269</f>
        <v>APAGADO</v>
      </c>
      <c r="G221" s="70" t="str">
        <f>'RESUMEN TOTAL'!N269</f>
        <v>APAGADO</v>
      </c>
      <c r="H221" s="70" t="str">
        <f>'RESUMEN TOTAL'!O269</f>
        <v>APAGADO</v>
      </c>
      <c r="I221" s="70" t="str">
        <f>'RESUMEN TOTAL'!P269</f>
        <v>APAGADO</v>
      </c>
      <c r="J221" s="70" t="str">
        <f>'RESUMEN TOTAL'!Q269</f>
        <v>APAGADO</v>
      </c>
      <c r="K221" s="70">
        <f>'RESUMEN TOTAL'!R269</f>
        <v>0</v>
      </c>
      <c r="L221" s="70">
        <f>'RESUMEN TOTAL'!S269</f>
        <v>0</v>
      </c>
      <c r="M221" s="70">
        <f>'RESUMEN TOTAL'!T269</f>
        <v>0</v>
      </c>
      <c r="N221" s="70">
        <f>'RESUMEN TOTAL'!U269</f>
        <v>0</v>
      </c>
      <c r="O221" s="70">
        <f>'RESUMEN TOTAL'!V269</f>
        <v>0</v>
      </c>
      <c r="P221" s="70">
        <f>'RESUMEN TOTAL'!W269</f>
        <v>0</v>
      </c>
      <c r="Q221" s="70">
        <f>'RESUMEN TOTAL'!X269</f>
        <v>0</v>
      </c>
      <c r="R221" s="70">
        <f>'RESUMEN TOTAL'!Y269</f>
        <v>0</v>
      </c>
      <c r="S221" s="70">
        <f>'RESUMEN TOTAL'!Z269</f>
        <v>0</v>
      </c>
      <c r="T221" s="70">
        <f>'RESUMEN TOTAL'!AA269</f>
        <v>0</v>
      </c>
      <c r="U221" s="70">
        <f>'RESUMEN TOTAL'!AB269</f>
        <v>0</v>
      </c>
      <c r="V221" s="70">
        <f>'RESUMEN TOTAL'!AC269</f>
        <v>0</v>
      </c>
      <c r="W221" s="70">
        <f>'RESUMEN TOTAL'!AD269</f>
        <v>0</v>
      </c>
      <c r="X221" s="70">
        <f>'RESUMEN TOTAL'!AE269</f>
        <v>0</v>
      </c>
      <c r="Y221" s="70">
        <f>'RESUMEN TOTAL'!AF269</f>
        <v>0</v>
      </c>
      <c r="Z221" s="70">
        <f>'RESUMEN TOTAL'!AG269</f>
        <v>0</v>
      </c>
      <c r="AA221" s="70">
        <f>'RESUMEN TOTAL'!AH269</f>
        <v>0</v>
      </c>
      <c r="AB221" s="70">
        <f>'RESUMEN TOTAL'!AI269</f>
        <v>0</v>
      </c>
      <c r="AC221" s="70">
        <f>'RESUMEN TOTAL'!AJ269</f>
        <v>0</v>
      </c>
      <c r="AD221" s="70">
        <f>'RESUMEN TOTAL'!AK269</f>
        <v>0</v>
      </c>
      <c r="AE221" s="70">
        <f>'RESUMEN TOTAL'!AL269</f>
        <v>0</v>
      </c>
      <c r="AF221" s="70">
        <f>'RESUMEN TOTAL'!AM269</f>
        <v>0</v>
      </c>
      <c r="AG221" s="70">
        <f>'RESUMEN TOTAL'!AN269</f>
        <v>0</v>
      </c>
      <c r="AH221" s="70">
        <f>'RESUMEN TOTAL'!AO269</f>
        <v>0</v>
      </c>
      <c r="AI221" s="70">
        <f>'RESUMEN TOTAL'!AP269</f>
        <v>0</v>
      </c>
    </row>
    <row r="222" spans="1:35" x14ac:dyDescent="0.25">
      <c r="A222" t="str">
        <f>'RESUMEN TOTAL'!A270</f>
        <v>ZEBALLOS CENTRO</v>
      </c>
      <c r="B222" t="str">
        <f>'RESUMEN TOTAL'!B270</f>
        <v>NJU05</v>
      </c>
      <c r="C222" t="str">
        <f>'RESUMEN TOTAL'!D270</f>
        <v>Ituzaingo y Alem</v>
      </c>
      <c r="D222" s="30" t="str">
        <f>'RESUMEN TOTAL'!E270</f>
        <v>Domo</v>
      </c>
      <c r="E222" s="30" t="str">
        <f>'RESUMEN TOTAL'!F270</f>
        <v>GPON</v>
      </c>
      <c r="F222" s="70">
        <f>'RESUMEN TOTAL'!M270</f>
        <v>0</v>
      </c>
      <c r="G222" s="70">
        <f>'RESUMEN TOTAL'!N270</f>
        <v>0</v>
      </c>
      <c r="H222" s="70">
        <f>'RESUMEN TOTAL'!O270</f>
        <v>0</v>
      </c>
      <c r="I222" s="70">
        <f>'RESUMEN TOTAL'!P270</f>
        <v>0</v>
      </c>
      <c r="J222" s="70">
        <f>'RESUMEN TOTAL'!Q270</f>
        <v>0</v>
      </c>
      <c r="K222" s="70">
        <f>'RESUMEN TOTAL'!R270</f>
        <v>0</v>
      </c>
      <c r="L222" s="70">
        <f>'RESUMEN TOTAL'!S270</f>
        <v>0</v>
      </c>
      <c r="M222" s="70">
        <f>'RESUMEN TOTAL'!T270</f>
        <v>0</v>
      </c>
      <c r="N222" s="70">
        <f>'RESUMEN TOTAL'!U270</f>
        <v>0</v>
      </c>
      <c r="O222" s="70">
        <f>'RESUMEN TOTAL'!V270</f>
        <v>0</v>
      </c>
      <c r="P222" s="70">
        <f>'RESUMEN TOTAL'!W270</f>
        <v>0</v>
      </c>
      <c r="Q222" s="70">
        <f>'RESUMEN TOTAL'!X270</f>
        <v>0</v>
      </c>
      <c r="R222" s="70">
        <f>'RESUMEN TOTAL'!Y270</f>
        <v>0</v>
      </c>
      <c r="S222" s="70">
        <f>'RESUMEN TOTAL'!Z270</f>
        <v>0</v>
      </c>
      <c r="T222" s="70">
        <f>'RESUMEN TOTAL'!AA270</f>
        <v>0</v>
      </c>
      <c r="U222" s="70">
        <f>'RESUMEN TOTAL'!AB270</f>
        <v>0</v>
      </c>
      <c r="V222" s="70">
        <f>'RESUMEN TOTAL'!AC270</f>
        <v>0</v>
      </c>
      <c r="W222" s="70">
        <f>'RESUMEN TOTAL'!AD270</f>
        <v>0</v>
      </c>
      <c r="X222" s="70">
        <f>'RESUMEN TOTAL'!AE270</f>
        <v>0</v>
      </c>
      <c r="Y222" s="70">
        <f>'RESUMEN TOTAL'!AF270</f>
        <v>0</v>
      </c>
      <c r="Z222" s="70">
        <f>'RESUMEN TOTAL'!AG270</f>
        <v>0</v>
      </c>
      <c r="AA222" s="70">
        <f>'RESUMEN TOTAL'!AH270</f>
        <v>0</v>
      </c>
      <c r="AB222" s="70">
        <f>'RESUMEN TOTAL'!AI270</f>
        <v>0</v>
      </c>
      <c r="AC222" s="70">
        <f>'RESUMEN TOTAL'!AJ270</f>
        <v>0</v>
      </c>
      <c r="AD222" s="70">
        <f>'RESUMEN TOTAL'!AK270</f>
        <v>0</v>
      </c>
      <c r="AE222" s="70">
        <f>'RESUMEN TOTAL'!AL270</f>
        <v>0</v>
      </c>
      <c r="AF222" s="70">
        <f>'RESUMEN TOTAL'!AM270</f>
        <v>0</v>
      </c>
      <c r="AG222" s="70">
        <f>'RESUMEN TOTAL'!AN270</f>
        <v>0</v>
      </c>
      <c r="AH222" s="70">
        <f>'RESUMEN TOTAL'!AO270</f>
        <v>0</v>
      </c>
      <c r="AI222" s="70">
        <f>'RESUMEN TOTAL'!AP270</f>
        <v>0</v>
      </c>
    </row>
    <row r="223" spans="1:35" x14ac:dyDescent="0.25">
      <c r="A223" t="str">
        <f>'RESUMEN TOTAL'!A271</f>
        <v>CENTRO</v>
      </c>
      <c r="B223" t="str">
        <f>'RESUMEN TOTAL'!B271</f>
        <v>NJU06</v>
      </c>
      <c r="C223" t="str">
        <f>'RESUMEN TOTAL'!D271</f>
        <v>Sallares y Rodo</v>
      </c>
      <c r="D223" s="30" t="str">
        <f>'RESUMEN TOTAL'!E271</f>
        <v>Domo</v>
      </c>
      <c r="E223" s="30" t="str">
        <f>'RESUMEN TOTAL'!F271</f>
        <v>Fibra Optica</v>
      </c>
      <c r="F223" s="70">
        <f>'RESUMEN TOTAL'!M271</f>
        <v>0</v>
      </c>
      <c r="G223" s="70">
        <f>'RESUMEN TOTAL'!N271</f>
        <v>0</v>
      </c>
      <c r="H223" s="70">
        <f>'RESUMEN TOTAL'!O271</f>
        <v>0</v>
      </c>
      <c r="I223" s="70">
        <f>'RESUMEN TOTAL'!P271</f>
        <v>0</v>
      </c>
      <c r="J223" s="70">
        <f>'RESUMEN TOTAL'!Q271</f>
        <v>0</v>
      </c>
      <c r="K223" s="70">
        <f>'RESUMEN TOTAL'!R271</f>
        <v>0</v>
      </c>
      <c r="L223" s="70">
        <f>'RESUMEN TOTAL'!S271</f>
        <v>0</v>
      </c>
      <c r="M223" s="70">
        <f>'RESUMEN TOTAL'!T271</f>
        <v>0</v>
      </c>
      <c r="N223" s="70">
        <f>'RESUMEN TOTAL'!U271</f>
        <v>0</v>
      </c>
      <c r="O223" s="70">
        <f>'RESUMEN TOTAL'!V271</f>
        <v>0</v>
      </c>
      <c r="P223" s="70">
        <f>'RESUMEN TOTAL'!W271</f>
        <v>0</v>
      </c>
      <c r="Q223" s="70">
        <f>'RESUMEN TOTAL'!X271</f>
        <v>0</v>
      </c>
      <c r="R223" s="70">
        <f>'RESUMEN TOTAL'!Y271</f>
        <v>0</v>
      </c>
      <c r="S223" s="70">
        <f>'RESUMEN TOTAL'!Z271</f>
        <v>0</v>
      </c>
      <c r="T223" s="70">
        <f>'RESUMEN TOTAL'!AA271</f>
        <v>0</v>
      </c>
      <c r="U223" s="70">
        <f>'RESUMEN TOTAL'!AB271</f>
        <v>0</v>
      </c>
      <c r="V223" s="70">
        <f>'RESUMEN TOTAL'!AC271</f>
        <v>0</v>
      </c>
      <c r="W223" s="70">
        <f>'RESUMEN TOTAL'!AD271</f>
        <v>0</v>
      </c>
      <c r="X223" s="70">
        <f>'RESUMEN TOTAL'!AE271</f>
        <v>0</v>
      </c>
      <c r="Y223" s="70">
        <f>'RESUMEN TOTAL'!AF271</f>
        <v>0</v>
      </c>
      <c r="Z223" s="70">
        <f>'RESUMEN TOTAL'!AG271</f>
        <v>0</v>
      </c>
      <c r="AA223" s="70">
        <f>'RESUMEN TOTAL'!AH271</f>
        <v>0</v>
      </c>
      <c r="AB223" s="70">
        <f>'RESUMEN TOTAL'!AI271</f>
        <v>0</v>
      </c>
      <c r="AC223" s="70">
        <f>'RESUMEN TOTAL'!AJ271</f>
        <v>0</v>
      </c>
      <c r="AD223" s="70">
        <f>'RESUMEN TOTAL'!AK271</f>
        <v>0</v>
      </c>
      <c r="AE223" s="70">
        <f>'RESUMEN TOTAL'!AL271</f>
        <v>0</v>
      </c>
      <c r="AF223" s="70">
        <f>'RESUMEN TOTAL'!AM271</f>
        <v>0</v>
      </c>
      <c r="AG223" s="70">
        <f>'RESUMEN TOTAL'!AN271</f>
        <v>0</v>
      </c>
      <c r="AH223" s="70">
        <f>'RESUMEN TOTAL'!AO271</f>
        <v>0</v>
      </c>
      <c r="AI223" s="70">
        <f>'RESUMEN TOTAL'!AP271</f>
        <v>0</v>
      </c>
    </row>
    <row r="224" spans="1:35" x14ac:dyDescent="0.25">
      <c r="A224" t="str">
        <f>'RESUMEN TOTAL'!A272</f>
        <v>9 DE JULIO</v>
      </c>
      <c r="B224" t="str">
        <f>'RESUMEN TOTAL'!B272</f>
        <v>NJU07</v>
      </c>
      <c r="C224" t="str">
        <f>'RESUMEN TOTAL'!D272</f>
        <v>Gral. Juan Domingo Peron y Parrillo</v>
      </c>
      <c r="D224" s="30" t="str">
        <f>'RESUMEN TOTAL'!E272</f>
        <v>Domo</v>
      </c>
      <c r="E224" s="30" t="str">
        <f>'RESUMEN TOTAL'!F272</f>
        <v>Fibra Optica</v>
      </c>
      <c r="F224" s="70">
        <f>'RESUMEN TOTAL'!M272</f>
        <v>0</v>
      </c>
      <c r="G224" s="70">
        <f>'RESUMEN TOTAL'!N272</f>
        <v>0</v>
      </c>
      <c r="H224" s="70">
        <f>'RESUMEN TOTAL'!O272</f>
        <v>0</v>
      </c>
      <c r="I224" s="70">
        <f>'RESUMEN TOTAL'!P272</f>
        <v>0</v>
      </c>
      <c r="J224" s="70" t="str">
        <f>'RESUMEN TOTAL'!Q272</f>
        <v>APAGADO</v>
      </c>
      <c r="K224" s="70">
        <f>'RESUMEN TOTAL'!R272</f>
        <v>0</v>
      </c>
      <c r="L224" s="70" t="str">
        <f>'RESUMEN TOTAL'!S272</f>
        <v>APAGADO</v>
      </c>
      <c r="M224" s="70" t="str">
        <f>'RESUMEN TOTAL'!T272</f>
        <v>APAGADO</v>
      </c>
      <c r="N224" s="70" t="str">
        <f>'RESUMEN TOTAL'!U272</f>
        <v>APAGADO</v>
      </c>
      <c r="O224" s="70" t="str">
        <f>'RESUMEN TOTAL'!V272</f>
        <v>APAGADO</v>
      </c>
      <c r="P224" s="70">
        <f>'RESUMEN TOTAL'!W272</f>
        <v>0</v>
      </c>
      <c r="Q224" s="70" t="str">
        <f>'RESUMEN TOTAL'!X272</f>
        <v>APAGADO</v>
      </c>
      <c r="R224" s="70" t="str">
        <f>'RESUMEN TOTAL'!Y272</f>
        <v>APAGADO</v>
      </c>
      <c r="S224" s="70" t="str">
        <f>'RESUMEN TOTAL'!Z272</f>
        <v>APAGADO</v>
      </c>
      <c r="T224" s="70" t="str">
        <f>'RESUMEN TOTAL'!AA272</f>
        <v>APAGADO</v>
      </c>
      <c r="U224" s="70" t="str">
        <f>'RESUMEN TOTAL'!AB272</f>
        <v>APAGADO</v>
      </c>
      <c r="V224" s="70" t="str">
        <f>'RESUMEN TOTAL'!AC272</f>
        <v>APAGADO</v>
      </c>
      <c r="W224" s="70" t="str">
        <f>'RESUMEN TOTAL'!AD272</f>
        <v>APAGADO</v>
      </c>
      <c r="X224" s="70" t="str">
        <f>'RESUMEN TOTAL'!AE272</f>
        <v>APAGADO</v>
      </c>
      <c r="Y224" s="70" t="str">
        <f>'RESUMEN TOTAL'!AF272</f>
        <v>APAGADO</v>
      </c>
      <c r="Z224" s="70" t="str">
        <f>'RESUMEN TOTAL'!AG272</f>
        <v>APAGADO</v>
      </c>
      <c r="AA224" s="70" t="str">
        <f>'RESUMEN TOTAL'!AH272</f>
        <v>APAGADO</v>
      </c>
      <c r="AB224" s="70" t="str">
        <f>'RESUMEN TOTAL'!AI272</f>
        <v>APAGADO</v>
      </c>
      <c r="AC224" s="70" t="str">
        <f>'RESUMEN TOTAL'!AJ272</f>
        <v>APAGADO</v>
      </c>
      <c r="AD224" s="70" t="str">
        <f>'RESUMEN TOTAL'!AK272</f>
        <v>APAGADO</v>
      </c>
      <c r="AE224" s="70" t="str">
        <f>'RESUMEN TOTAL'!AL272</f>
        <v>APAGADO</v>
      </c>
      <c r="AF224" s="70">
        <f>'RESUMEN TOTAL'!AM272</f>
        <v>0</v>
      </c>
      <c r="AG224" s="70">
        <f>'RESUMEN TOTAL'!AN272</f>
        <v>0</v>
      </c>
      <c r="AH224" s="70">
        <f>'RESUMEN TOTAL'!AO272</f>
        <v>0</v>
      </c>
      <c r="AI224" s="70">
        <f>'RESUMEN TOTAL'!AP272</f>
        <v>0</v>
      </c>
    </row>
    <row r="225" spans="1:35" x14ac:dyDescent="0.25">
      <c r="A225" t="str">
        <f>'RESUMEN TOTAL'!A273</f>
        <v>9 DE JULIO</v>
      </c>
      <c r="B225" t="str">
        <f>'RESUMEN TOTAL'!B273</f>
        <v>NJU 08</v>
      </c>
      <c r="C225" t="str">
        <f>'RESUMEN TOTAL'!D273</f>
        <v>BOCCUZZI Y O HIGGINS</v>
      </c>
      <c r="D225" s="30" t="str">
        <f>'RESUMEN TOTAL'!E273</f>
        <v>DOMO</v>
      </c>
      <c r="E225" s="30" t="str">
        <f>'RESUMEN TOTAL'!F273</f>
        <v>GPON</v>
      </c>
      <c r="F225" s="70">
        <f>'RESUMEN TOTAL'!M273</f>
        <v>0</v>
      </c>
      <c r="G225" s="70">
        <f>'RESUMEN TOTAL'!N273</f>
        <v>0</v>
      </c>
      <c r="H225" s="70">
        <f>'RESUMEN TOTAL'!O273</f>
        <v>0</v>
      </c>
      <c r="I225" s="70">
        <f>'RESUMEN TOTAL'!P273</f>
        <v>0</v>
      </c>
      <c r="J225" s="70">
        <f>'RESUMEN TOTAL'!Q273</f>
        <v>0</v>
      </c>
      <c r="K225" s="70">
        <f>'RESUMEN TOTAL'!R273</f>
        <v>0</v>
      </c>
      <c r="L225" s="70" t="str">
        <f>'RESUMEN TOTAL'!S273</f>
        <v>APAGADO</v>
      </c>
      <c r="M225" s="70" t="str">
        <f>'RESUMEN TOTAL'!T273</f>
        <v>APAGADO</v>
      </c>
      <c r="N225" s="70" t="str">
        <f>'RESUMEN TOTAL'!U273</f>
        <v>APAGADO</v>
      </c>
      <c r="O225" s="70" t="str">
        <f>'RESUMEN TOTAL'!V273</f>
        <v>APAGADO</v>
      </c>
      <c r="P225" s="70" t="str">
        <f>'RESUMEN TOTAL'!W273</f>
        <v>APAGADO</v>
      </c>
      <c r="Q225" s="70" t="str">
        <f>'RESUMEN TOTAL'!X273</f>
        <v>APAGADO</v>
      </c>
      <c r="R225" s="70" t="str">
        <f>'RESUMEN TOTAL'!Y273</f>
        <v>APAGADO</v>
      </c>
      <c r="S225" s="70" t="str">
        <f>'RESUMEN TOTAL'!Z273</f>
        <v>APAGADO</v>
      </c>
      <c r="T225" s="70" t="str">
        <f>'RESUMEN TOTAL'!AA273</f>
        <v>APAGADO</v>
      </c>
      <c r="U225" s="70" t="str">
        <f>'RESUMEN TOTAL'!AB273</f>
        <v>APAGADO</v>
      </c>
      <c r="V225" s="70" t="str">
        <f>'RESUMEN TOTAL'!AC273</f>
        <v>APAGADO</v>
      </c>
      <c r="W225" s="70" t="str">
        <f>'RESUMEN TOTAL'!AD273</f>
        <v>APAGADO</v>
      </c>
      <c r="X225" s="70" t="str">
        <f>'RESUMEN TOTAL'!AE273</f>
        <v>APAGADO</v>
      </c>
      <c r="Y225" s="70" t="str">
        <f>'RESUMEN TOTAL'!AF273</f>
        <v>APAGADO</v>
      </c>
      <c r="Z225" s="70" t="str">
        <f>'RESUMEN TOTAL'!AG273</f>
        <v>APAGADO</v>
      </c>
      <c r="AA225" s="70" t="str">
        <f>'RESUMEN TOTAL'!AH273</f>
        <v>APAGADO</v>
      </c>
      <c r="AB225" s="70" t="str">
        <f>'RESUMEN TOTAL'!AI273</f>
        <v>APAGADO</v>
      </c>
      <c r="AC225" s="70" t="str">
        <f>'RESUMEN TOTAL'!AJ273</f>
        <v>APAGADO</v>
      </c>
      <c r="AD225" s="70" t="str">
        <f>'RESUMEN TOTAL'!AK273</f>
        <v>APAGADO</v>
      </c>
      <c r="AE225" s="70" t="str">
        <f>'RESUMEN TOTAL'!AL273</f>
        <v>APAGADO</v>
      </c>
      <c r="AF225" s="70">
        <f>'RESUMEN TOTAL'!AM273</f>
        <v>0</v>
      </c>
      <c r="AG225" s="70">
        <f>'RESUMEN TOTAL'!AN273</f>
        <v>0</v>
      </c>
      <c r="AH225" s="70">
        <f>'RESUMEN TOTAL'!AO273</f>
        <v>0</v>
      </c>
      <c r="AI225" s="70">
        <f>'RESUMEN TOTAL'!AP273</f>
        <v>0</v>
      </c>
    </row>
    <row r="226" spans="1:35" x14ac:dyDescent="0.25">
      <c r="A226" t="str">
        <f>'RESUMEN TOTAL'!A274</f>
        <v>9 DE JULIO</v>
      </c>
      <c r="B226" t="str">
        <f>'RESUMEN TOTAL'!B274</f>
        <v>NJU09</v>
      </c>
      <c r="C226" t="str">
        <f>'RESUMEN TOTAL'!D274</f>
        <v>PARRILLO Y CONTRERAS</v>
      </c>
      <c r="D226" s="30" t="str">
        <f>'RESUMEN TOTAL'!E274</f>
        <v>DOMO</v>
      </c>
      <c r="E226" s="30" t="str">
        <f>'RESUMEN TOTAL'!F274</f>
        <v>GPON</v>
      </c>
      <c r="F226" s="70">
        <f>'RESUMEN TOTAL'!M274</f>
        <v>0</v>
      </c>
      <c r="G226" s="70">
        <f>'RESUMEN TOTAL'!N274</f>
        <v>0</v>
      </c>
      <c r="H226" s="70">
        <f>'RESUMEN TOTAL'!O274</f>
        <v>0</v>
      </c>
      <c r="I226" s="70">
        <f>'RESUMEN TOTAL'!P274</f>
        <v>0</v>
      </c>
      <c r="J226" s="70">
        <f>'RESUMEN TOTAL'!Q274</f>
        <v>0</v>
      </c>
      <c r="K226" s="70">
        <f>'RESUMEN TOTAL'!R274</f>
        <v>0</v>
      </c>
      <c r="L226" s="70">
        <f>'RESUMEN TOTAL'!S274</f>
        <v>0</v>
      </c>
      <c r="M226" s="70">
        <f>'RESUMEN TOTAL'!T274</f>
        <v>0</v>
      </c>
      <c r="N226" s="70">
        <f>'RESUMEN TOTAL'!U274</f>
        <v>0</v>
      </c>
      <c r="O226" s="70">
        <f>'RESUMEN TOTAL'!V274</f>
        <v>0</v>
      </c>
      <c r="P226" s="70">
        <f>'RESUMEN TOTAL'!W274</f>
        <v>0</v>
      </c>
      <c r="Q226" s="70">
        <f>'RESUMEN TOTAL'!X274</f>
        <v>0</v>
      </c>
      <c r="R226" s="70">
        <f>'RESUMEN TOTAL'!Y274</f>
        <v>0</v>
      </c>
      <c r="S226" s="70">
        <f>'RESUMEN TOTAL'!Z274</f>
        <v>0</v>
      </c>
      <c r="T226" s="70">
        <f>'RESUMEN TOTAL'!AA274</f>
        <v>0</v>
      </c>
      <c r="U226" s="70">
        <f>'RESUMEN TOTAL'!AB274</f>
        <v>0</v>
      </c>
      <c r="V226" s="70">
        <f>'RESUMEN TOTAL'!AC274</f>
        <v>0</v>
      </c>
      <c r="W226" s="70">
        <f>'RESUMEN TOTAL'!AD274</f>
        <v>0</v>
      </c>
      <c r="X226" s="70">
        <f>'RESUMEN TOTAL'!AE274</f>
        <v>0</v>
      </c>
      <c r="Y226" s="70">
        <f>'RESUMEN TOTAL'!AF274</f>
        <v>0</v>
      </c>
      <c r="Z226" s="70">
        <f>'RESUMEN TOTAL'!AG274</f>
        <v>0</v>
      </c>
      <c r="AA226" s="70">
        <f>'RESUMEN TOTAL'!AH274</f>
        <v>0</v>
      </c>
      <c r="AB226" s="70">
        <f>'RESUMEN TOTAL'!AI274</f>
        <v>0</v>
      </c>
      <c r="AC226" s="70">
        <f>'RESUMEN TOTAL'!AJ274</f>
        <v>0</v>
      </c>
      <c r="AD226" s="70">
        <f>'RESUMEN TOTAL'!AK274</f>
        <v>0</v>
      </c>
      <c r="AE226" s="70">
        <f>'RESUMEN TOTAL'!AL274</f>
        <v>0</v>
      </c>
      <c r="AF226" s="70">
        <f>'RESUMEN TOTAL'!AM274</f>
        <v>0</v>
      </c>
      <c r="AG226" s="70">
        <f>'RESUMEN TOTAL'!AN274</f>
        <v>0</v>
      </c>
      <c r="AH226" s="70">
        <f>'RESUMEN TOTAL'!AO274</f>
        <v>0</v>
      </c>
      <c r="AI226" s="70">
        <f>'RESUMEN TOTAL'!AP274</f>
        <v>0</v>
      </c>
    </row>
    <row r="227" spans="1:35" x14ac:dyDescent="0.25">
      <c r="A227" t="str">
        <f>'RESUMEN TOTAL'!A278</f>
        <v>PICO DE ORO</v>
      </c>
      <c r="B227" t="str">
        <f>'RESUMEN TOTAL'!B278</f>
        <v>PCO 01</v>
      </c>
      <c r="C227" t="str">
        <f>'RESUMEN TOTAL'!D278</f>
        <v>CEMENTERIO</v>
      </c>
      <c r="D227" s="30" t="str">
        <f>'RESUMEN TOTAL'!E278</f>
        <v>DOMO</v>
      </c>
      <c r="E227" s="30" t="str">
        <f>'RESUMEN TOTAL'!F278</f>
        <v>Fibra Optica</v>
      </c>
      <c r="F227" s="70">
        <f>'RESUMEN TOTAL'!M278</f>
        <v>0</v>
      </c>
      <c r="G227" s="70">
        <f>'RESUMEN TOTAL'!N278</f>
        <v>0</v>
      </c>
      <c r="H227" s="70">
        <f>'RESUMEN TOTAL'!O278</f>
        <v>0</v>
      </c>
      <c r="I227" s="70">
        <f>'RESUMEN TOTAL'!P278</f>
        <v>0</v>
      </c>
      <c r="J227" s="70">
        <f>'RESUMEN TOTAL'!Q278</f>
        <v>0</v>
      </c>
      <c r="K227" s="70">
        <f>'RESUMEN TOTAL'!R278</f>
        <v>0</v>
      </c>
      <c r="L227" s="70">
        <f>'RESUMEN TOTAL'!S278</f>
        <v>0</v>
      </c>
      <c r="M227" s="70">
        <f>'RESUMEN TOTAL'!T278</f>
        <v>0</v>
      </c>
      <c r="N227" s="70">
        <f>'RESUMEN TOTAL'!U278</f>
        <v>0</v>
      </c>
      <c r="O227" s="70">
        <f>'RESUMEN TOTAL'!V278</f>
        <v>0</v>
      </c>
      <c r="P227" s="70">
        <f>'RESUMEN TOTAL'!W278</f>
        <v>0</v>
      </c>
      <c r="Q227" s="70">
        <f>'RESUMEN TOTAL'!X278</f>
        <v>0</v>
      </c>
      <c r="R227" s="70">
        <f>'RESUMEN TOTAL'!Y278</f>
        <v>0</v>
      </c>
      <c r="S227" s="70">
        <f>'RESUMEN TOTAL'!Z278</f>
        <v>0</v>
      </c>
      <c r="T227" s="70">
        <f>'RESUMEN TOTAL'!AA278</f>
        <v>0</v>
      </c>
      <c r="U227" s="70">
        <f>'RESUMEN TOTAL'!AB278</f>
        <v>0</v>
      </c>
      <c r="V227" s="70">
        <f>'RESUMEN TOTAL'!AC278</f>
        <v>0</v>
      </c>
      <c r="W227" s="70">
        <f>'RESUMEN TOTAL'!AD278</f>
        <v>0</v>
      </c>
      <c r="X227" s="70">
        <f>'RESUMEN TOTAL'!AE278</f>
        <v>0</v>
      </c>
      <c r="Y227" s="70">
        <f>'RESUMEN TOTAL'!AF278</f>
        <v>0</v>
      </c>
      <c r="Z227" s="70">
        <f>'RESUMEN TOTAL'!AG278</f>
        <v>0</v>
      </c>
      <c r="AA227" s="70">
        <f>'RESUMEN TOTAL'!AH278</f>
        <v>0</v>
      </c>
      <c r="AB227" s="70">
        <f>'RESUMEN TOTAL'!AI278</f>
        <v>0</v>
      </c>
      <c r="AC227" s="70">
        <f>'RESUMEN TOTAL'!AJ278</f>
        <v>0</v>
      </c>
      <c r="AD227" s="70">
        <f>'RESUMEN TOTAL'!AK278</f>
        <v>0</v>
      </c>
      <c r="AE227" s="70">
        <f>'RESUMEN TOTAL'!AL278</f>
        <v>0</v>
      </c>
      <c r="AF227" s="70">
        <f>'RESUMEN TOTAL'!AM278</f>
        <v>0</v>
      </c>
      <c r="AG227" s="70">
        <f>'RESUMEN TOTAL'!AN278</f>
        <v>0</v>
      </c>
      <c r="AH227" s="70">
        <f>'RESUMEN TOTAL'!AO278</f>
        <v>0</v>
      </c>
      <c r="AI227" s="70">
        <f>'RESUMEN TOTAL'!AP278</f>
        <v>0</v>
      </c>
    </row>
    <row r="228" spans="1:35" x14ac:dyDescent="0.25">
      <c r="A228" t="str">
        <f>'RESUMEN TOTAL'!A279</f>
        <v>PICO DE ORO</v>
      </c>
      <c r="B228" t="str">
        <f>'RESUMEN TOTAL'!B279</f>
        <v>PCO02 (fija 1)</v>
      </c>
      <c r="C228" t="str">
        <f>'RESUMEN TOTAL'!D279</f>
        <v>SICILIA E/ VIENA Y VARSOVIA</v>
      </c>
      <c r="D228" s="30" t="str">
        <f>'RESUMEN TOTAL'!E279</f>
        <v>Fija</v>
      </c>
      <c r="E228" s="30" t="str">
        <f>'RESUMEN TOTAL'!F279</f>
        <v>Fibra Optica</v>
      </c>
      <c r="F228" s="70">
        <f>'RESUMEN TOTAL'!M279</f>
        <v>0</v>
      </c>
      <c r="G228" s="70">
        <f>'RESUMEN TOTAL'!N279</f>
        <v>0</v>
      </c>
      <c r="H228" s="70">
        <f>'RESUMEN TOTAL'!O279</f>
        <v>0</v>
      </c>
      <c r="I228" s="70">
        <f>'RESUMEN TOTAL'!P279</f>
        <v>0</v>
      </c>
      <c r="J228" s="70">
        <f>'RESUMEN TOTAL'!Q279</f>
        <v>0</v>
      </c>
      <c r="K228" s="70">
        <f>'RESUMEN TOTAL'!R279</f>
        <v>0</v>
      </c>
      <c r="L228" s="70">
        <f>'RESUMEN TOTAL'!S279</f>
        <v>0</v>
      </c>
      <c r="M228" s="70">
        <f>'RESUMEN TOTAL'!T279</f>
        <v>0</v>
      </c>
      <c r="N228" s="70">
        <f>'RESUMEN TOTAL'!U279</f>
        <v>0</v>
      </c>
      <c r="O228" s="70">
        <f>'RESUMEN TOTAL'!V279</f>
        <v>0</v>
      </c>
      <c r="P228" s="70">
        <f>'RESUMEN TOTAL'!W279</f>
        <v>0</v>
      </c>
      <c r="Q228" s="70">
        <f>'RESUMEN TOTAL'!X279</f>
        <v>0</v>
      </c>
      <c r="R228" s="70">
        <f>'RESUMEN TOTAL'!Y279</f>
        <v>0</v>
      </c>
      <c r="S228" s="70">
        <f>'RESUMEN TOTAL'!Z279</f>
        <v>0</v>
      </c>
      <c r="T228" s="70">
        <f>'RESUMEN TOTAL'!AA279</f>
        <v>0</v>
      </c>
      <c r="U228" s="70">
        <f>'RESUMEN TOTAL'!AB279</f>
        <v>0</v>
      </c>
      <c r="V228" s="70">
        <f>'RESUMEN TOTAL'!AC279</f>
        <v>0</v>
      </c>
      <c r="W228" s="70">
        <f>'RESUMEN TOTAL'!AD279</f>
        <v>0</v>
      </c>
      <c r="X228" s="70">
        <f>'RESUMEN TOTAL'!AE279</f>
        <v>0</v>
      </c>
      <c r="Y228" s="70">
        <f>'RESUMEN TOTAL'!AF279</f>
        <v>0</v>
      </c>
      <c r="Z228" s="70">
        <f>'RESUMEN TOTAL'!AG279</f>
        <v>0</v>
      </c>
      <c r="AA228" s="70">
        <f>'RESUMEN TOTAL'!AH279</f>
        <v>0</v>
      </c>
      <c r="AB228" s="70">
        <f>'RESUMEN TOTAL'!AI279</f>
        <v>0</v>
      </c>
      <c r="AC228" s="70">
        <f>'RESUMEN TOTAL'!AJ279</f>
        <v>0</v>
      </c>
      <c r="AD228" s="70">
        <f>'RESUMEN TOTAL'!AK279</f>
        <v>0</v>
      </c>
      <c r="AE228" s="70">
        <f>'RESUMEN TOTAL'!AL279</f>
        <v>0</v>
      </c>
      <c r="AF228" s="70">
        <f>'RESUMEN TOTAL'!AM279</f>
        <v>0</v>
      </c>
      <c r="AG228" s="70">
        <f>'RESUMEN TOTAL'!AN279</f>
        <v>0</v>
      </c>
      <c r="AH228" s="70">
        <f>'RESUMEN TOTAL'!AO279</f>
        <v>0</v>
      </c>
      <c r="AI228" s="70">
        <f>'RESUMEN TOTAL'!AP279</f>
        <v>0</v>
      </c>
    </row>
    <row r="229" spans="1:35" x14ac:dyDescent="0.25">
      <c r="A229" t="str">
        <f>'RESUMEN TOTAL'!A280</f>
        <v>PICO DE ORO</v>
      </c>
      <c r="B229" t="str">
        <f>'RESUMEN TOTAL'!B280</f>
        <v>PCO03 (fija 2)</v>
      </c>
      <c r="C229" t="str">
        <f>'RESUMEN TOTAL'!D280</f>
        <v>SICILIA E/ VIENA Y VARSOVIA</v>
      </c>
      <c r="D229" s="30" t="str">
        <f>'RESUMEN TOTAL'!E280</f>
        <v>Fija</v>
      </c>
      <c r="E229" s="30" t="str">
        <f>'RESUMEN TOTAL'!F280</f>
        <v>Fibra Optica</v>
      </c>
      <c r="F229" s="70">
        <f>'RESUMEN TOTAL'!M280</f>
        <v>0</v>
      </c>
      <c r="G229" s="70">
        <f>'RESUMEN TOTAL'!N280</f>
        <v>0</v>
      </c>
      <c r="H229" s="70">
        <f>'RESUMEN TOTAL'!O280</f>
        <v>0</v>
      </c>
      <c r="I229" s="70">
        <f>'RESUMEN TOTAL'!P280</f>
        <v>0</v>
      </c>
      <c r="J229" s="70">
        <f>'RESUMEN TOTAL'!Q280</f>
        <v>0</v>
      </c>
      <c r="K229" s="70">
        <f>'RESUMEN TOTAL'!R280</f>
        <v>0</v>
      </c>
      <c r="L229" s="70">
        <f>'RESUMEN TOTAL'!S280</f>
        <v>0</v>
      </c>
      <c r="M229" s="70">
        <f>'RESUMEN TOTAL'!T280</f>
        <v>0</v>
      </c>
      <c r="N229" s="70">
        <f>'RESUMEN TOTAL'!U280</f>
        <v>0</v>
      </c>
      <c r="O229" s="70">
        <f>'RESUMEN TOTAL'!V280</f>
        <v>0</v>
      </c>
      <c r="P229" s="70">
        <f>'RESUMEN TOTAL'!W280</f>
        <v>0</v>
      </c>
      <c r="Q229" s="70">
        <f>'RESUMEN TOTAL'!X280</f>
        <v>0</v>
      </c>
      <c r="R229" s="70">
        <f>'RESUMEN TOTAL'!Y280</f>
        <v>0</v>
      </c>
      <c r="S229" s="70">
        <f>'RESUMEN TOTAL'!Z280</f>
        <v>0</v>
      </c>
      <c r="T229" s="70">
        <f>'RESUMEN TOTAL'!AA280</f>
        <v>0</v>
      </c>
      <c r="U229" s="70">
        <f>'RESUMEN TOTAL'!AB280</f>
        <v>0</v>
      </c>
      <c r="V229" s="70">
        <f>'RESUMEN TOTAL'!AC280</f>
        <v>0</v>
      </c>
      <c r="W229" s="70">
        <f>'RESUMEN TOTAL'!AD280</f>
        <v>0</v>
      </c>
      <c r="X229" s="70">
        <f>'RESUMEN TOTAL'!AE280</f>
        <v>0</v>
      </c>
      <c r="Y229" s="70">
        <f>'RESUMEN TOTAL'!AF280</f>
        <v>0</v>
      </c>
      <c r="Z229" s="70">
        <f>'RESUMEN TOTAL'!AG280</f>
        <v>0</v>
      </c>
      <c r="AA229" s="70">
        <f>'RESUMEN TOTAL'!AH280</f>
        <v>0</v>
      </c>
      <c r="AB229" s="70">
        <f>'RESUMEN TOTAL'!AI280</f>
        <v>0</v>
      </c>
      <c r="AC229" s="70">
        <f>'RESUMEN TOTAL'!AJ280</f>
        <v>0</v>
      </c>
      <c r="AD229" s="70">
        <f>'RESUMEN TOTAL'!AK280</f>
        <v>0</v>
      </c>
      <c r="AE229" s="70">
        <f>'RESUMEN TOTAL'!AL280</f>
        <v>0</v>
      </c>
      <c r="AF229" s="70">
        <f>'RESUMEN TOTAL'!AM280</f>
        <v>0</v>
      </c>
      <c r="AG229" s="70">
        <f>'RESUMEN TOTAL'!AN280</f>
        <v>0</v>
      </c>
      <c r="AH229" s="70">
        <f>'RESUMEN TOTAL'!AO280</f>
        <v>0</v>
      </c>
      <c r="AI229" s="70">
        <f>'RESUMEN TOTAL'!AP280</f>
        <v>0</v>
      </c>
    </row>
    <row r="230" spans="1:35" x14ac:dyDescent="0.25">
      <c r="A230" t="str">
        <f>'RESUMEN TOTAL'!A281</f>
        <v>PICO DE ORO</v>
      </c>
      <c r="B230" t="str">
        <f>'RESUMEN TOTAL'!B281</f>
        <v>PCO04 (fija 1)</v>
      </c>
      <c r="C230" t="str">
        <f>'RESUMEN TOTAL'!D281</f>
        <v>BERNA Y POLONIA</v>
      </c>
      <c r="D230" s="30" t="str">
        <f>'RESUMEN TOTAL'!E281</f>
        <v>Fija</v>
      </c>
      <c r="E230" s="30" t="str">
        <f>'RESUMEN TOTAL'!F281</f>
        <v>Fibra Optica</v>
      </c>
      <c r="F230" s="70">
        <f>'RESUMEN TOTAL'!M281</f>
        <v>0</v>
      </c>
      <c r="G230" s="70">
        <f>'RESUMEN TOTAL'!N281</f>
        <v>0</v>
      </c>
      <c r="H230" s="70">
        <f>'RESUMEN TOTAL'!O281</f>
        <v>0</v>
      </c>
      <c r="I230" s="70">
        <f>'RESUMEN TOTAL'!P281</f>
        <v>0</v>
      </c>
      <c r="J230" s="70">
        <f>'RESUMEN TOTAL'!Q281</f>
        <v>0</v>
      </c>
      <c r="K230" s="70">
        <f>'RESUMEN TOTAL'!R281</f>
        <v>0</v>
      </c>
      <c r="L230" s="70">
        <f>'RESUMEN TOTAL'!S281</f>
        <v>0</v>
      </c>
      <c r="M230" s="70">
        <f>'RESUMEN TOTAL'!T281</f>
        <v>0</v>
      </c>
      <c r="N230" s="70">
        <f>'RESUMEN TOTAL'!U281</f>
        <v>0</v>
      </c>
      <c r="O230" s="70">
        <f>'RESUMEN TOTAL'!V281</f>
        <v>0</v>
      </c>
      <c r="P230" s="70">
        <f>'RESUMEN TOTAL'!W281</f>
        <v>0</v>
      </c>
      <c r="Q230" s="70">
        <f>'RESUMEN TOTAL'!X281</f>
        <v>0</v>
      </c>
      <c r="R230" s="70">
        <f>'RESUMEN TOTAL'!Y281</f>
        <v>0</v>
      </c>
      <c r="S230" s="70">
        <f>'RESUMEN TOTAL'!Z281</f>
        <v>0</v>
      </c>
      <c r="T230" s="70">
        <f>'RESUMEN TOTAL'!AA281</f>
        <v>0</v>
      </c>
      <c r="U230" s="70">
        <f>'RESUMEN TOTAL'!AB281</f>
        <v>0</v>
      </c>
      <c r="V230" s="70">
        <f>'RESUMEN TOTAL'!AC281</f>
        <v>0</v>
      </c>
      <c r="W230" s="70">
        <f>'RESUMEN TOTAL'!AD281</f>
        <v>0</v>
      </c>
      <c r="X230" s="70">
        <f>'RESUMEN TOTAL'!AE281</f>
        <v>0</v>
      </c>
      <c r="Y230" s="70">
        <f>'RESUMEN TOTAL'!AF281</f>
        <v>0</v>
      </c>
      <c r="Z230" s="70">
        <f>'RESUMEN TOTAL'!AG281</f>
        <v>0</v>
      </c>
      <c r="AA230" s="70">
        <f>'RESUMEN TOTAL'!AH281</f>
        <v>0</v>
      </c>
      <c r="AB230" s="70">
        <f>'RESUMEN TOTAL'!AI281</f>
        <v>0</v>
      </c>
      <c r="AC230" s="70">
        <f>'RESUMEN TOTAL'!AJ281</f>
        <v>0</v>
      </c>
      <c r="AD230" s="70">
        <f>'RESUMEN TOTAL'!AK281</f>
        <v>0</v>
      </c>
      <c r="AE230" s="70">
        <f>'RESUMEN TOTAL'!AL281</f>
        <v>0</v>
      </c>
      <c r="AF230" s="70">
        <f>'RESUMEN TOTAL'!AM281</f>
        <v>0</v>
      </c>
      <c r="AG230" s="70">
        <f>'RESUMEN TOTAL'!AN281</f>
        <v>0</v>
      </c>
      <c r="AH230" s="70">
        <f>'RESUMEN TOTAL'!AO281</f>
        <v>0</v>
      </c>
      <c r="AI230" s="70">
        <f>'RESUMEN TOTAL'!AP281</f>
        <v>0</v>
      </c>
    </row>
    <row r="231" spans="1:35" x14ac:dyDescent="0.25">
      <c r="A231" t="str">
        <f>'RESUMEN TOTAL'!A282</f>
        <v>PICO DE ORO</v>
      </c>
      <c r="B231" t="str">
        <f>'RESUMEN TOTAL'!B282</f>
        <v>PCO05 (fija 2)</v>
      </c>
      <c r="C231" t="str">
        <f>'RESUMEN TOTAL'!D282</f>
        <v>BERNA Y POLONIA</v>
      </c>
      <c r="D231" s="30" t="str">
        <f>'RESUMEN TOTAL'!E282</f>
        <v>Fija</v>
      </c>
      <c r="E231" s="30" t="str">
        <f>'RESUMEN TOTAL'!F282</f>
        <v>Fibra Optica</v>
      </c>
      <c r="F231" s="70">
        <f>'RESUMEN TOTAL'!M282</f>
        <v>0</v>
      </c>
      <c r="G231" s="70">
        <f>'RESUMEN TOTAL'!N282</f>
        <v>0</v>
      </c>
      <c r="H231" s="70">
        <f>'RESUMEN TOTAL'!O282</f>
        <v>0</v>
      </c>
      <c r="I231" s="70">
        <f>'RESUMEN TOTAL'!P282</f>
        <v>0</v>
      </c>
      <c r="J231" s="70">
        <f>'RESUMEN TOTAL'!Q282</f>
        <v>0</v>
      </c>
      <c r="K231" s="70">
        <f>'RESUMEN TOTAL'!R282</f>
        <v>0</v>
      </c>
      <c r="L231" s="70">
        <f>'RESUMEN TOTAL'!S282</f>
        <v>0</v>
      </c>
      <c r="M231" s="70">
        <f>'RESUMEN TOTAL'!T282</f>
        <v>0</v>
      </c>
      <c r="N231" s="70">
        <f>'RESUMEN TOTAL'!U282</f>
        <v>0</v>
      </c>
      <c r="O231" s="70">
        <f>'RESUMEN TOTAL'!V282</f>
        <v>0</v>
      </c>
      <c r="P231" s="70">
        <f>'RESUMEN TOTAL'!W282</f>
        <v>0</v>
      </c>
      <c r="Q231" s="70">
        <f>'RESUMEN TOTAL'!X282</f>
        <v>0</v>
      </c>
      <c r="R231" s="70">
        <f>'RESUMEN TOTAL'!Y282</f>
        <v>0</v>
      </c>
      <c r="S231" s="70">
        <f>'RESUMEN TOTAL'!Z282</f>
        <v>0</v>
      </c>
      <c r="T231" s="70">
        <f>'RESUMEN TOTAL'!AA282</f>
        <v>0</v>
      </c>
      <c r="U231" s="70">
        <f>'RESUMEN TOTAL'!AB282</f>
        <v>0</v>
      </c>
      <c r="V231" s="70">
        <f>'RESUMEN TOTAL'!AC282</f>
        <v>0</v>
      </c>
      <c r="W231" s="70">
        <f>'RESUMEN TOTAL'!AD282</f>
        <v>0</v>
      </c>
      <c r="X231" s="70">
        <f>'RESUMEN TOTAL'!AE282</f>
        <v>0</v>
      </c>
      <c r="Y231" s="70">
        <f>'RESUMEN TOTAL'!AF282</f>
        <v>0</v>
      </c>
      <c r="Z231" s="70">
        <f>'RESUMEN TOTAL'!AG282</f>
        <v>0</v>
      </c>
      <c r="AA231" s="70">
        <f>'RESUMEN TOTAL'!AH282</f>
        <v>0</v>
      </c>
      <c r="AB231" s="70">
        <f>'RESUMEN TOTAL'!AI282</f>
        <v>0</v>
      </c>
      <c r="AC231" s="70">
        <f>'RESUMEN TOTAL'!AJ282</f>
        <v>0</v>
      </c>
      <c r="AD231" s="70">
        <f>'RESUMEN TOTAL'!AK282</f>
        <v>0</v>
      </c>
      <c r="AE231" s="70">
        <f>'RESUMEN TOTAL'!AL282</f>
        <v>0</v>
      </c>
      <c r="AF231" s="70">
        <f>'RESUMEN TOTAL'!AM282</f>
        <v>0</v>
      </c>
      <c r="AG231" s="70">
        <f>'RESUMEN TOTAL'!AN282</f>
        <v>0</v>
      </c>
      <c r="AH231" s="70">
        <f>'RESUMEN TOTAL'!AO282</f>
        <v>0</v>
      </c>
      <c r="AI231" s="70">
        <f>'RESUMEN TOTAL'!AP282</f>
        <v>0</v>
      </c>
    </row>
    <row r="232" spans="1:35" x14ac:dyDescent="0.25">
      <c r="A232" t="str">
        <f>'RESUMEN TOTAL'!A283</f>
        <v>AGUSTIN RAMIREZ</v>
      </c>
      <c r="B232" t="str">
        <f>'RESUMEN TOTAL'!B283</f>
        <v>PUNTO SEGURO - AGUSTIN RAMIREZ (domo)</v>
      </c>
      <c r="C232" t="str">
        <f>'RESUMEN TOTAL'!D283</f>
        <v>EL MALAMBO Y LA TRANQUERA</v>
      </c>
      <c r="D232" s="30" t="str">
        <f>'RESUMEN TOTAL'!E283</f>
        <v>DOMO</v>
      </c>
      <c r="E232" s="30" t="str">
        <f>'RESUMEN TOTAL'!F283</f>
        <v>Fibra Optica</v>
      </c>
      <c r="F232" s="70">
        <f>'RESUMEN TOTAL'!M283</f>
        <v>0</v>
      </c>
      <c r="G232" s="70">
        <f>'RESUMEN TOTAL'!N283</f>
        <v>0</v>
      </c>
      <c r="H232" s="70">
        <f>'RESUMEN TOTAL'!O283</f>
        <v>0</v>
      </c>
      <c r="I232" s="70">
        <f>'RESUMEN TOTAL'!P283</f>
        <v>0</v>
      </c>
      <c r="J232" s="70">
        <f>'RESUMEN TOTAL'!Q283</f>
        <v>0</v>
      </c>
      <c r="K232" s="70">
        <f>'RESUMEN TOTAL'!R283</f>
        <v>0</v>
      </c>
      <c r="L232" s="70">
        <f>'RESUMEN TOTAL'!S283</f>
        <v>0</v>
      </c>
      <c r="M232" s="70">
        <f>'RESUMEN TOTAL'!T283</f>
        <v>0</v>
      </c>
      <c r="N232" s="70">
        <f>'RESUMEN TOTAL'!U283</f>
        <v>0</v>
      </c>
      <c r="O232" s="70">
        <f>'RESUMEN TOTAL'!V283</f>
        <v>0</v>
      </c>
      <c r="P232" s="70">
        <f>'RESUMEN TOTAL'!W283</f>
        <v>0</v>
      </c>
      <c r="Q232" s="70">
        <f>'RESUMEN TOTAL'!X283</f>
        <v>0</v>
      </c>
      <c r="R232" s="70">
        <f>'RESUMEN TOTAL'!Y283</f>
        <v>0</v>
      </c>
      <c r="S232" s="70">
        <f>'RESUMEN TOTAL'!Z283</f>
        <v>0</v>
      </c>
      <c r="T232" s="70">
        <f>'RESUMEN TOTAL'!AA283</f>
        <v>0</v>
      </c>
      <c r="U232" s="70">
        <f>'RESUMEN TOTAL'!AB283</f>
        <v>0</v>
      </c>
      <c r="V232" s="70">
        <f>'RESUMEN TOTAL'!AC283</f>
        <v>0</v>
      </c>
      <c r="W232" s="70">
        <f>'RESUMEN TOTAL'!AD283</f>
        <v>0</v>
      </c>
      <c r="X232" s="70">
        <f>'RESUMEN TOTAL'!AE283</f>
        <v>0</v>
      </c>
      <c r="Y232" s="70">
        <f>'RESUMEN TOTAL'!AF283</f>
        <v>0</v>
      </c>
      <c r="Z232" s="70">
        <f>'RESUMEN TOTAL'!AG283</f>
        <v>0</v>
      </c>
      <c r="AA232" s="70">
        <f>'RESUMEN TOTAL'!AH283</f>
        <v>0</v>
      </c>
      <c r="AB232" s="70">
        <f>'RESUMEN TOTAL'!AI283</f>
        <v>0</v>
      </c>
      <c r="AC232" s="70">
        <f>'RESUMEN TOTAL'!AJ283</f>
        <v>0</v>
      </c>
      <c r="AD232" s="70">
        <f>'RESUMEN TOTAL'!AK283</f>
        <v>0</v>
      </c>
      <c r="AE232" s="70">
        <f>'RESUMEN TOTAL'!AL283</f>
        <v>0</v>
      </c>
      <c r="AF232" s="70">
        <f>'RESUMEN TOTAL'!AM283</f>
        <v>0</v>
      </c>
      <c r="AG232" s="70">
        <f>'RESUMEN TOTAL'!AN283</f>
        <v>0</v>
      </c>
      <c r="AH232" s="70">
        <f>'RESUMEN TOTAL'!AO283</f>
        <v>0</v>
      </c>
      <c r="AI232" s="70">
        <f>'RESUMEN TOTAL'!AP283</f>
        <v>0</v>
      </c>
    </row>
    <row r="233" spans="1:35" x14ac:dyDescent="0.25">
      <c r="A233" t="str">
        <f>'RESUMEN TOTAL'!A284</f>
        <v>AGUSTIN RAMIREZ</v>
      </c>
      <c r="B233" t="str">
        <f>'RESUMEN TOTAL'!B284</f>
        <v>PUNTO SEGURO - AGUSTIN RAMIREZ (fija)</v>
      </c>
      <c r="C233" t="str">
        <f>'RESUMEN TOTAL'!D284</f>
        <v>EL MALAMBO Y LA TRANQUERA</v>
      </c>
      <c r="D233" s="30" t="str">
        <f>'RESUMEN TOTAL'!E284</f>
        <v>Fija</v>
      </c>
      <c r="E233" s="30" t="str">
        <f>'RESUMEN TOTAL'!F284</f>
        <v>Fibra Optica</v>
      </c>
      <c r="F233" s="70">
        <f>'RESUMEN TOTAL'!M284</f>
        <v>0</v>
      </c>
      <c r="G233" s="70">
        <f>'RESUMEN TOTAL'!N284</f>
        <v>0</v>
      </c>
      <c r="H233" s="70">
        <f>'RESUMEN TOTAL'!O284</f>
        <v>0</v>
      </c>
      <c r="I233" s="70">
        <f>'RESUMEN TOTAL'!P284</f>
        <v>0</v>
      </c>
      <c r="J233" s="70">
        <f>'RESUMEN TOTAL'!Q284</f>
        <v>0</v>
      </c>
      <c r="K233" s="70">
        <f>'RESUMEN TOTAL'!R284</f>
        <v>0</v>
      </c>
      <c r="L233" s="70">
        <f>'RESUMEN TOTAL'!S284</f>
        <v>0</v>
      </c>
      <c r="M233" s="70">
        <f>'RESUMEN TOTAL'!T284</f>
        <v>0</v>
      </c>
      <c r="N233" s="70">
        <f>'RESUMEN TOTAL'!U284</f>
        <v>0</v>
      </c>
      <c r="O233" s="70">
        <f>'RESUMEN TOTAL'!V284</f>
        <v>0</v>
      </c>
      <c r="P233" s="70">
        <f>'RESUMEN TOTAL'!W284</f>
        <v>0</v>
      </c>
      <c r="Q233" s="70">
        <f>'RESUMEN TOTAL'!X284</f>
        <v>0</v>
      </c>
      <c r="R233" s="70">
        <f>'RESUMEN TOTAL'!Y284</f>
        <v>0</v>
      </c>
      <c r="S233" s="70">
        <f>'RESUMEN TOTAL'!Z284</f>
        <v>0</v>
      </c>
      <c r="T233" s="70">
        <f>'RESUMEN TOTAL'!AA284</f>
        <v>0</v>
      </c>
      <c r="U233" s="70">
        <f>'RESUMEN TOTAL'!AB284</f>
        <v>0</v>
      </c>
      <c r="V233" s="70">
        <f>'RESUMEN TOTAL'!AC284</f>
        <v>0</v>
      </c>
      <c r="W233" s="70">
        <f>'RESUMEN TOTAL'!AD284</f>
        <v>0</v>
      </c>
      <c r="X233" s="70">
        <f>'RESUMEN TOTAL'!AE284</f>
        <v>0</v>
      </c>
      <c r="Y233" s="70">
        <f>'RESUMEN TOTAL'!AF284</f>
        <v>0</v>
      </c>
      <c r="Z233" s="70">
        <f>'RESUMEN TOTAL'!AG284</f>
        <v>0</v>
      </c>
      <c r="AA233" s="70">
        <f>'RESUMEN TOTAL'!AH284</f>
        <v>0</v>
      </c>
      <c r="AB233" s="70">
        <f>'RESUMEN TOTAL'!AI284</f>
        <v>0</v>
      </c>
      <c r="AC233" s="70">
        <f>'RESUMEN TOTAL'!AJ284</f>
        <v>0</v>
      </c>
      <c r="AD233" s="70">
        <f>'RESUMEN TOTAL'!AK284</f>
        <v>0</v>
      </c>
      <c r="AE233" s="70">
        <f>'RESUMEN TOTAL'!AL284</f>
        <v>0</v>
      </c>
      <c r="AF233" s="70">
        <f>'RESUMEN TOTAL'!AM284</f>
        <v>0</v>
      </c>
      <c r="AG233" s="70">
        <f>'RESUMEN TOTAL'!AN284</f>
        <v>0</v>
      </c>
      <c r="AH233" s="70">
        <f>'RESUMEN TOTAL'!AO284</f>
        <v>0</v>
      </c>
      <c r="AI233" s="70">
        <f>'RESUMEN TOTAL'!AP284</f>
        <v>0</v>
      </c>
    </row>
    <row r="234" spans="1:35" x14ac:dyDescent="0.25">
      <c r="A234" t="str">
        <f>'RESUMEN TOTAL'!A285</f>
        <v>AGUSTIN RAMIREZ</v>
      </c>
      <c r="B234" t="str">
        <f>'RESUMEN TOTAL'!B285</f>
        <v>PUNTO SEGURO AGUSTIN RAMIREZ INTERCOMUNICADOR</v>
      </c>
      <c r="C234" t="str">
        <f>'RESUMEN TOTAL'!D285</f>
        <v>MALAMBO Y LA TRANQUERA</v>
      </c>
      <c r="D234" s="30" t="str">
        <f>'RESUMEN TOTAL'!E285</f>
        <v>Fija</v>
      </c>
      <c r="E234" s="30" t="str">
        <f>'RESUMEN TOTAL'!F285</f>
        <v>Fibra Optica</v>
      </c>
      <c r="F234" s="70">
        <f>'RESUMEN TOTAL'!M285</f>
        <v>0</v>
      </c>
      <c r="G234" s="70">
        <f>'RESUMEN TOTAL'!N285</f>
        <v>0</v>
      </c>
      <c r="H234" s="70">
        <f>'RESUMEN TOTAL'!O285</f>
        <v>0</v>
      </c>
      <c r="I234" s="70">
        <f>'RESUMEN TOTAL'!P285</f>
        <v>0</v>
      </c>
      <c r="J234" s="70">
        <f>'RESUMEN TOTAL'!Q285</f>
        <v>0</v>
      </c>
      <c r="K234" s="70">
        <f>'RESUMEN TOTAL'!R285</f>
        <v>0</v>
      </c>
      <c r="L234" s="70">
        <f>'RESUMEN TOTAL'!S285</f>
        <v>0</v>
      </c>
      <c r="M234" s="70">
        <f>'RESUMEN TOTAL'!T285</f>
        <v>0</v>
      </c>
      <c r="N234" s="70">
        <f>'RESUMEN TOTAL'!U285</f>
        <v>0</v>
      </c>
      <c r="O234" s="70">
        <f>'RESUMEN TOTAL'!V285</f>
        <v>0</v>
      </c>
      <c r="P234" s="70">
        <f>'RESUMEN TOTAL'!W285</f>
        <v>0</v>
      </c>
      <c r="Q234" s="70">
        <f>'RESUMEN TOTAL'!X285</f>
        <v>0</v>
      </c>
      <c r="R234" s="70">
        <f>'RESUMEN TOTAL'!Y285</f>
        <v>0</v>
      </c>
      <c r="S234" s="70">
        <f>'RESUMEN TOTAL'!Z285</f>
        <v>0</v>
      </c>
      <c r="T234" s="70">
        <f>'RESUMEN TOTAL'!AA285</f>
        <v>0</v>
      </c>
      <c r="U234" s="70">
        <f>'RESUMEN TOTAL'!AB285</f>
        <v>0</v>
      </c>
      <c r="V234" s="70">
        <f>'RESUMEN TOTAL'!AC285</f>
        <v>0</v>
      </c>
      <c r="W234" s="70">
        <f>'RESUMEN TOTAL'!AD285</f>
        <v>0</v>
      </c>
      <c r="X234" s="70">
        <f>'RESUMEN TOTAL'!AE285</f>
        <v>0</v>
      </c>
      <c r="Y234" s="70">
        <f>'RESUMEN TOTAL'!AF285</f>
        <v>0</v>
      </c>
      <c r="Z234" s="70">
        <f>'RESUMEN TOTAL'!AG285</f>
        <v>0</v>
      </c>
      <c r="AA234" s="70">
        <f>'RESUMEN TOTAL'!AH285</f>
        <v>0</v>
      </c>
      <c r="AB234" s="70">
        <f>'RESUMEN TOTAL'!AI285</f>
        <v>0</v>
      </c>
      <c r="AC234" s="70">
        <f>'RESUMEN TOTAL'!AJ285</f>
        <v>0</v>
      </c>
      <c r="AD234" s="70">
        <f>'RESUMEN TOTAL'!AK285</f>
        <v>0</v>
      </c>
      <c r="AE234" s="70">
        <f>'RESUMEN TOTAL'!AL285</f>
        <v>0</v>
      </c>
      <c r="AF234" s="70">
        <f>'RESUMEN TOTAL'!AM285</f>
        <v>0</v>
      </c>
      <c r="AG234" s="70">
        <f>'RESUMEN TOTAL'!AN285</f>
        <v>0</v>
      </c>
      <c r="AH234" s="70">
        <f>'RESUMEN TOTAL'!AO285</f>
        <v>0</v>
      </c>
      <c r="AI234" s="70">
        <f>'RESUMEN TOTAL'!AP285</f>
        <v>0</v>
      </c>
    </row>
    <row r="235" spans="1:35" x14ac:dyDescent="0.25">
      <c r="A235" t="str">
        <f>'RESUMEN TOTAL'!A286</f>
        <v>EL PARQUE</v>
      </c>
      <c r="B235" t="str">
        <f>'RESUMEN TOTAL'!B286</f>
        <v>PUNTO SEGURO - EL PARQUE (domo)</v>
      </c>
      <c r="C235" t="str">
        <f>'RESUMEN TOTAL'!D286</f>
        <v>CALLE 1282 Y 1201</v>
      </c>
      <c r="D235" s="30" t="str">
        <f>'RESUMEN TOTAL'!E286</f>
        <v>DOMO</v>
      </c>
      <c r="E235" s="30" t="str">
        <f>'RESUMEN TOTAL'!F286</f>
        <v>Fibra Optica</v>
      </c>
      <c r="F235" s="70">
        <f>'RESUMEN TOTAL'!M286</f>
        <v>0</v>
      </c>
      <c r="G235" s="70">
        <f>'RESUMEN TOTAL'!N286</f>
        <v>0</v>
      </c>
      <c r="H235" s="70">
        <f>'RESUMEN TOTAL'!O286</f>
        <v>0</v>
      </c>
      <c r="I235" s="70" t="str">
        <f>'RESUMEN TOTAL'!P286</f>
        <v>APAGADO</v>
      </c>
      <c r="J235" s="70" t="str">
        <f>'RESUMEN TOTAL'!Q286</f>
        <v>APAGADO</v>
      </c>
      <c r="K235" s="70">
        <f>'RESUMEN TOTAL'!R286</f>
        <v>0</v>
      </c>
      <c r="L235" s="70">
        <f>'RESUMEN TOTAL'!S286</f>
        <v>0</v>
      </c>
      <c r="M235" s="70">
        <f>'RESUMEN TOTAL'!T286</f>
        <v>0</v>
      </c>
      <c r="N235" s="70">
        <f>'RESUMEN TOTAL'!U286</f>
        <v>0</v>
      </c>
      <c r="O235" s="70">
        <f>'RESUMEN TOTAL'!V286</f>
        <v>0</v>
      </c>
      <c r="P235" s="70">
        <f>'RESUMEN TOTAL'!W286</f>
        <v>0</v>
      </c>
      <c r="Q235" s="70">
        <f>'RESUMEN TOTAL'!X286</f>
        <v>0</v>
      </c>
      <c r="R235" s="70">
        <f>'RESUMEN TOTAL'!Y286</f>
        <v>0</v>
      </c>
      <c r="S235" s="70">
        <f>'RESUMEN TOTAL'!Z286</f>
        <v>0</v>
      </c>
      <c r="T235" s="70">
        <f>'RESUMEN TOTAL'!AA286</f>
        <v>0</v>
      </c>
      <c r="U235" s="70">
        <f>'RESUMEN TOTAL'!AB286</f>
        <v>0</v>
      </c>
      <c r="V235" s="70">
        <f>'RESUMEN TOTAL'!AC286</f>
        <v>0</v>
      </c>
      <c r="W235" s="70">
        <f>'RESUMEN TOTAL'!AD286</f>
        <v>0</v>
      </c>
      <c r="X235" s="70">
        <f>'RESUMEN TOTAL'!AE286</f>
        <v>0</v>
      </c>
      <c r="Y235" s="70">
        <f>'RESUMEN TOTAL'!AF286</f>
        <v>0</v>
      </c>
      <c r="Z235" s="70">
        <f>'RESUMEN TOTAL'!AG286</f>
        <v>0</v>
      </c>
      <c r="AA235" s="70">
        <f>'RESUMEN TOTAL'!AH286</f>
        <v>0</v>
      </c>
      <c r="AB235" s="70">
        <f>'RESUMEN TOTAL'!AI286</f>
        <v>0</v>
      </c>
      <c r="AC235" s="70">
        <f>'RESUMEN TOTAL'!AJ286</f>
        <v>0</v>
      </c>
      <c r="AD235" s="70">
        <f>'RESUMEN TOTAL'!AK286</f>
        <v>0</v>
      </c>
      <c r="AE235" s="70">
        <f>'RESUMEN TOTAL'!AL286</f>
        <v>0</v>
      </c>
      <c r="AF235" s="70">
        <f>'RESUMEN TOTAL'!AM286</f>
        <v>0</v>
      </c>
      <c r="AG235" s="70">
        <f>'RESUMEN TOTAL'!AN286</f>
        <v>0</v>
      </c>
      <c r="AH235" s="70">
        <f>'RESUMEN TOTAL'!AO286</f>
        <v>0</v>
      </c>
      <c r="AI235" s="70">
        <f>'RESUMEN TOTAL'!AP286</f>
        <v>0</v>
      </c>
    </row>
    <row r="236" spans="1:35" x14ac:dyDescent="0.25">
      <c r="A236" t="str">
        <f>'RESUMEN TOTAL'!A287</f>
        <v>EL PARQUE</v>
      </c>
      <c r="B236" t="str">
        <f>'RESUMEN TOTAL'!B287</f>
        <v>PUNTO SEGURO - EL PARQUE (fija)</v>
      </c>
      <c r="C236" t="str">
        <f>'RESUMEN TOTAL'!D287</f>
        <v>CALLE 1282 Y 1201</v>
      </c>
      <c r="D236" s="30" t="str">
        <f>'RESUMEN TOTAL'!E287</f>
        <v>Fija</v>
      </c>
      <c r="E236" s="30" t="str">
        <f>'RESUMEN TOTAL'!F287</f>
        <v>Fibra Optica</v>
      </c>
      <c r="F236" s="70" t="str">
        <f>'RESUMEN TOTAL'!M287</f>
        <v>APAGADO</v>
      </c>
      <c r="G236" s="70" t="str">
        <f>'RESUMEN TOTAL'!N287</f>
        <v>APAGADO</v>
      </c>
      <c r="H236" s="70" t="str">
        <f>'RESUMEN TOTAL'!O287</f>
        <v>APAGADO</v>
      </c>
      <c r="I236" s="70" t="str">
        <f>'RESUMEN TOTAL'!P287</f>
        <v>APAGADO</v>
      </c>
      <c r="J236" s="70" t="str">
        <f>'RESUMEN TOTAL'!Q287</f>
        <v>APAGADO</v>
      </c>
      <c r="K236" s="70" t="str">
        <f>'RESUMEN TOTAL'!R287</f>
        <v>APAGADO</v>
      </c>
      <c r="L236" s="70" t="str">
        <f>'RESUMEN TOTAL'!S287</f>
        <v>APAGADO</v>
      </c>
      <c r="M236" s="70" t="str">
        <f>'RESUMEN TOTAL'!T287</f>
        <v>APAGADO</v>
      </c>
      <c r="N236" s="70" t="str">
        <f>'RESUMEN TOTAL'!U287</f>
        <v>APAGADO</v>
      </c>
      <c r="O236" s="70" t="str">
        <f>'RESUMEN TOTAL'!V287</f>
        <v>APAGADO</v>
      </c>
      <c r="P236" s="70" t="str">
        <f>'RESUMEN TOTAL'!W287</f>
        <v>APAGADO</v>
      </c>
      <c r="Q236" s="70" t="str">
        <f>'RESUMEN TOTAL'!X287</f>
        <v>APAGADO</v>
      </c>
      <c r="R236" s="70" t="str">
        <f>'RESUMEN TOTAL'!Y287</f>
        <v>APAGADO</v>
      </c>
      <c r="S236" s="70" t="str">
        <f>'RESUMEN TOTAL'!Z287</f>
        <v>APAGADO</v>
      </c>
      <c r="T236" s="70" t="str">
        <f>'RESUMEN TOTAL'!AA287</f>
        <v>APAGADO</v>
      </c>
      <c r="U236" s="70" t="str">
        <f>'RESUMEN TOTAL'!AB287</f>
        <v>APAGADO</v>
      </c>
      <c r="V236" s="70" t="str">
        <f>'RESUMEN TOTAL'!AC287</f>
        <v>APAGADO</v>
      </c>
      <c r="W236" s="70" t="str">
        <f>'RESUMEN TOTAL'!AD287</f>
        <v>APAGADO</v>
      </c>
      <c r="X236" s="70" t="str">
        <f>'RESUMEN TOTAL'!AE287</f>
        <v>APAGADO</v>
      </c>
      <c r="Y236" s="70" t="str">
        <f>'RESUMEN TOTAL'!AF287</f>
        <v>APAGADO</v>
      </c>
      <c r="Z236" s="70" t="str">
        <f>'RESUMEN TOTAL'!AG287</f>
        <v>APAGADO</v>
      </c>
      <c r="AA236" s="70" t="str">
        <f>'RESUMEN TOTAL'!AH287</f>
        <v>APAGADO</v>
      </c>
      <c r="AB236" s="70" t="str">
        <f>'RESUMEN TOTAL'!AI287</f>
        <v>APAGADO</v>
      </c>
      <c r="AC236" s="70" t="str">
        <f>'RESUMEN TOTAL'!AJ287</f>
        <v>APAGADO</v>
      </c>
      <c r="AD236" s="70" t="str">
        <f>'RESUMEN TOTAL'!AK287</f>
        <v>APAGADO</v>
      </c>
      <c r="AE236" s="70" t="str">
        <f>'RESUMEN TOTAL'!AL287</f>
        <v>APAGADO</v>
      </c>
      <c r="AF236" s="70">
        <f>'RESUMEN TOTAL'!AM287</f>
        <v>0</v>
      </c>
      <c r="AG236" s="70">
        <f>'RESUMEN TOTAL'!AN287</f>
        <v>0</v>
      </c>
      <c r="AH236" s="70">
        <f>'RESUMEN TOTAL'!AO287</f>
        <v>0</v>
      </c>
      <c r="AI236" s="70">
        <f>'RESUMEN TOTAL'!AP287</f>
        <v>0</v>
      </c>
    </row>
    <row r="237" spans="1:35" x14ac:dyDescent="0.25">
      <c r="A237" t="str">
        <f>'RESUMEN TOTAL'!A288</f>
        <v>EL PARQUE</v>
      </c>
      <c r="B237" t="str">
        <f>'RESUMEN TOTAL'!B288</f>
        <v>PUNTO SEGURO - EL PARQUE INTERCOMUNICADOR</v>
      </c>
      <c r="C237" t="str">
        <f>'RESUMEN TOTAL'!D288</f>
        <v>1282 Y 1201</v>
      </c>
      <c r="D237" s="30" t="str">
        <f>'RESUMEN TOTAL'!E288</f>
        <v>Fija</v>
      </c>
      <c r="E237" s="30" t="str">
        <f>'RESUMEN TOTAL'!F288</f>
        <v>Fibra Optica</v>
      </c>
      <c r="F237" s="70" t="str">
        <f>'RESUMEN TOTAL'!M288</f>
        <v>APAGADO</v>
      </c>
      <c r="G237" s="70" t="str">
        <f>'RESUMEN TOTAL'!N288</f>
        <v>APAGADO</v>
      </c>
      <c r="H237" s="70" t="str">
        <f>'RESUMEN TOTAL'!O288</f>
        <v>APAGADO</v>
      </c>
      <c r="I237" s="70" t="str">
        <f>'RESUMEN TOTAL'!P288</f>
        <v>APAGADO</v>
      </c>
      <c r="J237" s="70" t="str">
        <f>'RESUMEN TOTAL'!Q288</f>
        <v>APAGADO</v>
      </c>
      <c r="K237" s="70" t="str">
        <f>'RESUMEN TOTAL'!R288</f>
        <v>APAGADO</v>
      </c>
      <c r="L237" s="70" t="str">
        <f>'RESUMEN TOTAL'!S288</f>
        <v>APAGADO</v>
      </c>
      <c r="M237" s="70" t="str">
        <f>'RESUMEN TOTAL'!T288</f>
        <v>APAGADO</v>
      </c>
      <c r="N237" s="70" t="str">
        <f>'RESUMEN TOTAL'!U288</f>
        <v>APAGADO</v>
      </c>
      <c r="O237" s="70" t="str">
        <f>'RESUMEN TOTAL'!V288</f>
        <v>APAGADO</v>
      </c>
      <c r="P237" s="70" t="str">
        <f>'RESUMEN TOTAL'!W288</f>
        <v>APAGADO</v>
      </c>
      <c r="Q237" s="70" t="str">
        <f>'RESUMEN TOTAL'!X288</f>
        <v>APAGADO</v>
      </c>
      <c r="R237" s="70" t="str">
        <f>'RESUMEN TOTAL'!Y288</f>
        <v>APAGADO</v>
      </c>
      <c r="S237" s="70" t="str">
        <f>'RESUMEN TOTAL'!Z288</f>
        <v>APAGADO</v>
      </c>
      <c r="T237" s="70" t="str">
        <f>'RESUMEN TOTAL'!AA288</f>
        <v>APAGADO</v>
      </c>
      <c r="U237" s="70" t="str">
        <f>'RESUMEN TOTAL'!AB288</f>
        <v>APAGADO</v>
      </c>
      <c r="V237" s="70" t="str">
        <f>'RESUMEN TOTAL'!AC288</f>
        <v>APAGADO</v>
      </c>
      <c r="W237" s="70" t="str">
        <f>'RESUMEN TOTAL'!AD288</f>
        <v>APAGADO</v>
      </c>
      <c r="X237" s="70" t="str">
        <f>'RESUMEN TOTAL'!AE288</f>
        <v>APAGADO</v>
      </c>
      <c r="Y237" s="70" t="str">
        <f>'RESUMEN TOTAL'!AF288</f>
        <v>APAGADO</v>
      </c>
      <c r="Z237" s="70">
        <f>'RESUMEN TOTAL'!AG288</f>
        <v>0</v>
      </c>
      <c r="AA237" s="70" t="str">
        <f>'RESUMEN TOTAL'!AH288</f>
        <v>APAGADO</v>
      </c>
      <c r="AB237" s="70" t="str">
        <f>'RESUMEN TOTAL'!AI288</f>
        <v>APAGADO</v>
      </c>
      <c r="AC237" s="70" t="str">
        <f>'RESUMEN TOTAL'!AJ288</f>
        <v>APAGADO</v>
      </c>
      <c r="AD237" s="70" t="str">
        <f>'RESUMEN TOTAL'!AK288</f>
        <v>APAGADO</v>
      </c>
      <c r="AE237" s="70" t="str">
        <f>'RESUMEN TOTAL'!AL288</f>
        <v>APAGADO</v>
      </c>
      <c r="AF237" s="70">
        <f>'RESUMEN TOTAL'!AM288</f>
        <v>0</v>
      </c>
      <c r="AG237" s="70">
        <f>'RESUMEN TOTAL'!AN288</f>
        <v>0</v>
      </c>
      <c r="AH237" s="70">
        <f>'RESUMEN TOTAL'!AO288</f>
        <v>0</v>
      </c>
      <c r="AI237" s="70">
        <f>'RESUMEN TOTAL'!AP288</f>
        <v>0</v>
      </c>
    </row>
    <row r="238" spans="1:35" x14ac:dyDescent="0.25">
      <c r="A238" t="str">
        <f>'RESUMEN TOTAL'!A289</f>
        <v>INGENIERO ALLAN</v>
      </c>
      <c r="B238" t="str">
        <f>'RESUMEN TOTAL'!B289</f>
        <v>PUNTO SEGURO - ING. ALLAN (domo)</v>
      </c>
      <c r="C238" t="str">
        <f>'RESUMEN TOTAL'!D289</f>
        <v>DIAG. LOS YAGANES Y 1148</v>
      </c>
      <c r="D238" s="30" t="str">
        <f>'RESUMEN TOTAL'!E289</f>
        <v>DOMO</v>
      </c>
      <c r="E238" s="30" t="str">
        <f>'RESUMEN TOTAL'!F289</f>
        <v>Fibra Optica</v>
      </c>
      <c r="F238" s="70">
        <f>'RESUMEN TOTAL'!M289</f>
        <v>0</v>
      </c>
      <c r="G238" s="70">
        <f>'RESUMEN TOTAL'!N289</f>
        <v>0</v>
      </c>
      <c r="H238" s="70">
        <f>'RESUMEN TOTAL'!O289</f>
        <v>0</v>
      </c>
      <c r="I238" s="70" t="str">
        <f>'RESUMEN TOTAL'!P289</f>
        <v>APAGADO</v>
      </c>
      <c r="J238" s="70" t="str">
        <f>'RESUMEN TOTAL'!Q289</f>
        <v>APAGADO</v>
      </c>
      <c r="K238" s="70" t="str">
        <f>'RESUMEN TOTAL'!R289</f>
        <v>APAGADO</v>
      </c>
      <c r="L238" s="70" t="str">
        <f>'RESUMEN TOTAL'!S289</f>
        <v>APAGADO</v>
      </c>
      <c r="M238" s="70">
        <f>'RESUMEN TOTAL'!T289</f>
        <v>0</v>
      </c>
      <c r="N238" s="70">
        <f>'RESUMEN TOTAL'!U289</f>
        <v>0</v>
      </c>
      <c r="O238" s="70">
        <f>'RESUMEN TOTAL'!V289</f>
        <v>0</v>
      </c>
      <c r="P238" s="70">
        <f>'RESUMEN TOTAL'!W289</f>
        <v>0</v>
      </c>
      <c r="Q238" s="70">
        <f>'RESUMEN TOTAL'!X289</f>
        <v>0</v>
      </c>
      <c r="R238" s="70">
        <f>'RESUMEN TOTAL'!Y289</f>
        <v>0</v>
      </c>
      <c r="S238" s="70">
        <f>'RESUMEN TOTAL'!Z289</f>
        <v>0</v>
      </c>
      <c r="T238" s="70">
        <f>'RESUMEN TOTAL'!AA289</f>
        <v>0</v>
      </c>
      <c r="U238" s="70">
        <f>'RESUMEN TOTAL'!AB289</f>
        <v>0</v>
      </c>
      <c r="V238" s="70">
        <f>'RESUMEN TOTAL'!AC289</f>
        <v>0</v>
      </c>
      <c r="W238" s="70">
        <f>'RESUMEN TOTAL'!AD289</f>
        <v>0</v>
      </c>
      <c r="X238" s="70">
        <f>'RESUMEN TOTAL'!AE289</f>
        <v>0</v>
      </c>
      <c r="Y238" s="70">
        <f>'RESUMEN TOTAL'!AF289</f>
        <v>0</v>
      </c>
      <c r="Z238" s="70">
        <f>'RESUMEN TOTAL'!AG289</f>
        <v>0</v>
      </c>
      <c r="AA238" s="70">
        <f>'RESUMEN TOTAL'!AH289</f>
        <v>0</v>
      </c>
      <c r="AB238" s="70">
        <f>'RESUMEN TOTAL'!AI289</f>
        <v>0</v>
      </c>
      <c r="AC238" s="70">
        <f>'RESUMEN TOTAL'!AJ289</f>
        <v>0</v>
      </c>
      <c r="AD238" s="70">
        <f>'RESUMEN TOTAL'!AK289</f>
        <v>0</v>
      </c>
      <c r="AE238" s="70">
        <f>'RESUMEN TOTAL'!AL289</f>
        <v>0</v>
      </c>
      <c r="AF238" s="70">
        <f>'RESUMEN TOTAL'!AM289</f>
        <v>0</v>
      </c>
      <c r="AG238" s="70">
        <f>'RESUMEN TOTAL'!AN289</f>
        <v>0</v>
      </c>
      <c r="AH238" s="70">
        <f>'RESUMEN TOTAL'!AO289</f>
        <v>0</v>
      </c>
      <c r="AI238" s="70">
        <f>'RESUMEN TOTAL'!AP289</f>
        <v>0</v>
      </c>
    </row>
    <row r="239" spans="1:35" x14ac:dyDescent="0.25">
      <c r="A239" t="str">
        <f>'RESUMEN TOTAL'!A290</f>
        <v>INGENIERO ALLAN</v>
      </c>
      <c r="B239" t="str">
        <f>'RESUMEN TOTAL'!B290</f>
        <v>PUNTO SEGURO - ING. ALLAN (fija)</v>
      </c>
      <c r="C239" t="str">
        <f>'RESUMEN TOTAL'!D290</f>
        <v>DIAG. LOS YAGANES Y 1148</v>
      </c>
      <c r="D239" s="30" t="str">
        <f>'RESUMEN TOTAL'!E290</f>
        <v>Fija</v>
      </c>
      <c r="E239" s="30" t="str">
        <f>'RESUMEN TOTAL'!F290</f>
        <v>Fibra Optica</v>
      </c>
      <c r="F239" s="70">
        <f>'RESUMEN TOTAL'!M290</f>
        <v>0</v>
      </c>
      <c r="G239" s="70">
        <f>'RESUMEN TOTAL'!N290</f>
        <v>0</v>
      </c>
      <c r="H239" s="70">
        <f>'RESUMEN TOTAL'!O290</f>
        <v>0</v>
      </c>
      <c r="I239" s="70" t="str">
        <f>'RESUMEN TOTAL'!P290</f>
        <v>APAGADO</v>
      </c>
      <c r="J239" s="70" t="str">
        <f>'RESUMEN TOTAL'!Q290</f>
        <v>APAGADO</v>
      </c>
      <c r="K239" s="70" t="str">
        <f>'RESUMEN TOTAL'!R290</f>
        <v>APAGADO</v>
      </c>
      <c r="L239" s="70" t="str">
        <f>'RESUMEN TOTAL'!S290</f>
        <v>APAGADO</v>
      </c>
      <c r="M239" s="70" t="str">
        <f>'RESUMEN TOTAL'!T290</f>
        <v>APAGADO</v>
      </c>
      <c r="N239" s="70" t="str">
        <f>'RESUMEN TOTAL'!U290</f>
        <v>APAGADO</v>
      </c>
      <c r="O239" s="70" t="str">
        <f>'RESUMEN TOTAL'!V290</f>
        <v>APAGADO</v>
      </c>
      <c r="P239" s="70">
        <f>'RESUMEN TOTAL'!W290</f>
        <v>0</v>
      </c>
      <c r="Q239" s="70" t="str">
        <f>'RESUMEN TOTAL'!X290</f>
        <v>APAGADO</v>
      </c>
      <c r="R239" s="70">
        <f>'RESUMEN TOTAL'!Y290</f>
        <v>0</v>
      </c>
      <c r="S239" s="70">
        <f>'RESUMEN TOTAL'!Z290</f>
        <v>0</v>
      </c>
      <c r="T239" s="70">
        <f>'RESUMEN TOTAL'!AA290</f>
        <v>0</v>
      </c>
      <c r="U239" s="70">
        <f>'RESUMEN TOTAL'!AB290</f>
        <v>0</v>
      </c>
      <c r="V239" s="70">
        <f>'RESUMEN TOTAL'!AC290</f>
        <v>0</v>
      </c>
      <c r="W239" s="70">
        <f>'RESUMEN TOTAL'!AD290</f>
        <v>0</v>
      </c>
      <c r="X239" s="70">
        <f>'RESUMEN TOTAL'!AE290</f>
        <v>0</v>
      </c>
      <c r="Y239" s="70">
        <f>'RESUMEN TOTAL'!AF290</f>
        <v>0</v>
      </c>
      <c r="Z239" s="70">
        <f>'RESUMEN TOTAL'!AG290</f>
        <v>0</v>
      </c>
      <c r="AA239" s="70">
        <f>'RESUMEN TOTAL'!AH290</f>
        <v>0</v>
      </c>
      <c r="AB239" s="70">
        <f>'RESUMEN TOTAL'!AI290</f>
        <v>0</v>
      </c>
      <c r="AC239" s="70">
        <f>'RESUMEN TOTAL'!AJ290</f>
        <v>0</v>
      </c>
      <c r="AD239" s="70">
        <f>'RESUMEN TOTAL'!AK290</f>
        <v>0</v>
      </c>
      <c r="AE239" s="70">
        <f>'RESUMEN TOTAL'!AL290</f>
        <v>0</v>
      </c>
      <c r="AF239" s="70">
        <f>'RESUMEN TOTAL'!AM290</f>
        <v>0</v>
      </c>
      <c r="AG239" s="70">
        <f>'RESUMEN TOTAL'!AN290</f>
        <v>0</v>
      </c>
      <c r="AH239" s="70">
        <f>'RESUMEN TOTAL'!AO290</f>
        <v>0</v>
      </c>
      <c r="AI239" s="70">
        <f>'RESUMEN TOTAL'!AP290</f>
        <v>0</v>
      </c>
    </row>
    <row r="240" spans="1:35" x14ac:dyDescent="0.25">
      <c r="A240" t="str">
        <f>'RESUMEN TOTAL'!A291</f>
        <v>INGENIERO ALLAN</v>
      </c>
      <c r="B240" t="str">
        <f>'RESUMEN TOTAL'!B291</f>
        <v>PUNTO SEGURO - ING ALLAN INTERCOMUNICADOR</v>
      </c>
      <c r="C240" t="str">
        <f>'RESUMEN TOTAL'!D291</f>
        <v>DIAG LOS YAGANES Y 1148</v>
      </c>
      <c r="D240" s="30" t="str">
        <f>'RESUMEN TOTAL'!E291</f>
        <v>Domo</v>
      </c>
      <c r="E240" s="30" t="str">
        <f>'RESUMEN TOTAL'!F291</f>
        <v>Fibra Optica</v>
      </c>
      <c r="F240" s="70">
        <f>'RESUMEN TOTAL'!M291</f>
        <v>0</v>
      </c>
      <c r="G240" s="70">
        <f>'RESUMEN TOTAL'!N291</f>
        <v>0</v>
      </c>
      <c r="H240" s="70">
        <f>'RESUMEN TOTAL'!O291</f>
        <v>0</v>
      </c>
      <c r="I240" s="70" t="str">
        <f>'RESUMEN TOTAL'!P291</f>
        <v>APAGADO</v>
      </c>
      <c r="J240" s="70">
        <f>'RESUMEN TOTAL'!Q291</f>
        <v>0</v>
      </c>
      <c r="K240" s="70">
        <f>'RESUMEN TOTAL'!R291</f>
        <v>0</v>
      </c>
      <c r="L240" s="70">
        <f>'RESUMEN TOTAL'!S291</f>
        <v>0</v>
      </c>
      <c r="M240" s="70">
        <f>'RESUMEN TOTAL'!T291</f>
        <v>0</v>
      </c>
      <c r="N240" s="70">
        <f>'RESUMEN TOTAL'!U291</f>
        <v>0</v>
      </c>
      <c r="O240" s="70">
        <f>'RESUMEN TOTAL'!V291</f>
        <v>0</v>
      </c>
      <c r="P240" s="70">
        <f>'RESUMEN TOTAL'!W291</f>
        <v>0</v>
      </c>
      <c r="Q240" s="70">
        <f>'RESUMEN TOTAL'!X291</f>
        <v>0</v>
      </c>
      <c r="R240" s="70">
        <f>'RESUMEN TOTAL'!Y291</f>
        <v>0</v>
      </c>
      <c r="S240" s="70">
        <f>'RESUMEN TOTAL'!Z291</f>
        <v>0</v>
      </c>
      <c r="T240" s="70">
        <f>'RESUMEN TOTAL'!AA291</f>
        <v>0</v>
      </c>
      <c r="U240" s="70">
        <f>'RESUMEN TOTAL'!AB291</f>
        <v>0</v>
      </c>
      <c r="V240" s="70">
        <f>'RESUMEN TOTAL'!AC291</f>
        <v>0</v>
      </c>
      <c r="W240" s="70">
        <f>'RESUMEN TOTAL'!AD291</f>
        <v>0</v>
      </c>
      <c r="X240" s="70">
        <f>'RESUMEN TOTAL'!AE291</f>
        <v>0</v>
      </c>
      <c r="Y240" s="70">
        <f>'RESUMEN TOTAL'!AF291</f>
        <v>0</v>
      </c>
      <c r="Z240" s="70">
        <f>'RESUMEN TOTAL'!AG291</f>
        <v>0</v>
      </c>
      <c r="AA240" s="70">
        <f>'RESUMEN TOTAL'!AH291</f>
        <v>0</v>
      </c>
      <c r="AB240" s="70">
        <f>'RESUMEN TOTAL'!AI291</f>
        <v>0</v>
      </c>
      <c r="AC240" s="70">
        <f>'RESUMEN TOTAL'!AJ291</f>
        <v>0</v>
      </c>
      <c r="AD240" s="70">
        <f>'RESUMEN TOTAL'!AK291</f>
        <v>0</v>
      </c>
      <c r="AE240" s="70">
        <f>'RESUMEN TOTAL'!AL291</f>
        <v>0</v>
      </c>
      <c r="AF240" s="70">
        <f>'RESUMEN TOTAL'!AM291</f>
        <v>0</v>
      </c>
      <c r="AG240" s="70">
        <f>'RESUMEN TOTAL'!AN291</f>
        <v>0</v>
      </c>
      <c r="AH240" s="70">
        <f>'RESUMEN TOTAL'!AO291</f>
        <v>0</v>
      </c>
      <c r="AI240" s="70">
        <f>'RESUMEN TOTAL'!AP291</f>
        <v>0</v>
      </c>
    </row>
    <row r="241" spans="1:35" x14ac:dyDescent="0.25">
      <c r="A241" t="str">
        <f>'RESUMEN TOTAL'!A292</f>
        <v>LUJAN</v>
      </c>
      <c r="B241" t="str">
        <f>'RESUMEN TOTAL'!B292</f>
        <v>PUNTO SEGURO - LUJAN (fija)</v>
      </c>
      <c r="C241" t="str">
        <f>'RESUMEN TOTAL'!D292</f>
        <v>DIAG. LOS TILOS Y LOS ALGARROBOS</v>
      </c>
      <c r="D241" s="30" t="str">
        <f>'RESUMEN TOTAL'!E292</f>
        <v>Fija</v>
      </c>
      <c r="E241" s="30" t="str">
        <f>'RESUMEN TOTAL'!F292</f>
        <v>Fibra Optica</v>
      </c>
      <c r="F241" s="70">
        <f>'RESUMEN TOTAL'!M292</f>
        <v>0</v>
      </c>
      <c r="G241" s="70">
        <f>'RESUMEN TOTAL'!N292</f>
        <v>0</v>
      </c>
      <c r="H241" s="70">
        <f>'RESUMEN TOTAL'!O292</f>
        <v>0</v>
      </c>
      <c r="I241" s="70">
        <f>'RESUMEN TOTAL'!P292</f>
        <v>0</v>
      </c>
      <c r="J241" s="70">
        <f>'RESUMEN TOTAL'!Q292</f>
        <v>0</v>
      </c>
      <c r="K241" s="70">
        <f>'RESUMEN TOTAL'!R292</f>
        <v>0</v>
      </c>
      <c r="L241" s="70">
        <f>'RESUMEN TOTAL'!S292</f>
        <v>0</v>
      </c>
      <c r="M241" s="70">
        <f>'RESUMEN TOTAL'!T292</f>
        <v>0</v>
      </c>
      <c r="N241" s="70">
        <f>'RESUMEN TOTAL'!U292</f>
        <v>0</v>
      </c>
      <c r="O241" s="70">
        <f>'RESUMEN TOTAL'!V292</f>
        <v>0</v>
      </c>
      <c r="P241" s="70">
        <f>'RESUMEN TOTAL'!W292</f>
        <v>0</v>
      </c>
      <c r="Q241" s="70">
        <f>'RESUMEN TOTAL'!X292</f>
        <v>0</v>
      </c>
      <c r="R241" s="70">
        <f>'RESUMEN TOTAL'!Y292</f>
        <v>0</v>
      </c>
      <c r="S241" s="70">
        <f>'RESUMEN TOTAL'!Z292</f>
        <v>0</v>
      </c>
      <c r="T241" s="70">
        <f>'RESUMEN TOTAL'!AA292</f>
        <v>0</v>
      </c>
      <c r="U241" s="70">
        <f>'RESUMEN TOTAL'!AB292</f>
        <v>0</v>
      </c>
      <c r="V241" s="70">
        <f>'RESUMEN TOTAL'!AC292</f>
        <v>0</v>
      </c>
      <c r="W241" s="70">
        <f>'RESUMEN TOTAL'!AD292</f>
        <v>0</v>
      </c>
      <c r="X241" s="70">
        <f>'RESUMEN TOTAL'!AE292</f>
        <v>0</v>
      </c>
      <c r="Y241" s="70">
        <f>'RESUMEN TOTAL'!AF292</f>
        <v>0</v>
      </c>
      <c r="Z241" s="70">
        <f>'RESUMEN TOTAL'!AG292</f>
        <v>0</v>
      </c>
      <c r="AA241" s="70">
        <f>'RESUMEN TOTAL'!AH292</f>
        <v>0</v>
      </c>
      <c r="AB241" s="70">
        <f>'RESUMEN TOTAL'!AI292</f>
        <v>0</v>
      </c>
      <c r="AC241" s="70">
        <f>'RESUMEN TOTAL'!AJ292</f>
        <v>0</v>
      </c>
      <c r="AD241" s="70">
        <f>'RESUMEN TOTAL'!AK292</f>
        <v>0</v>
      </c>
      <c r="AE241" s="70">
        <f>'RESUMEN TOTAL'!AL292</f>
        <v>0</v>
      </c>
      <c r="AF241" s="70">
        <f>'RESUMEN TOTAL'!AM292</f>
        <v>0</v>
      </c>
      <c r="AG241" s="70">
        <f>'RESUMEN TOTAL'!AN292</f>
        <v>0</v>
      </c>
      <c r="AH241" s="70">
        <f>'RESUMEN TOTAL'!AO292</f>
        <v>0</v>
      </c>
      <c r="AI241" s="70">
        <f>'RESUMEN TOTAL'!AP292</f>
        <v>0</v>
      </c>
    </row>
    <row r="242" spans="1:35" x14ac:dyDescent="0.25">
      <c r="A242" t="str">
        <f>'RESUMEN TOTAL'!A293</f>
        <v>LUJAN</v>
      </c>
      <c r="B242" t="str">
        <f>'RESUMEN TOTAL'!B293</f>
        <v>PUNTO SEGURO LUJAN (domo)</v>
      </c>
      <c r="C242" t="str">
        <f>'RESUMEN TOTAL'!D293</f>
        <v>DIAG. LOS TILOS Y LOS ALGARROBOS</v>
      </c>
      <c r="D242" s="30" t="str">
        <f>'RESUMEN TOTAL'!E293</f>
        <v>DOMO</v>
      </c>
      <c r="E242" s="30" t="str">
        <f>'RESUMEN TOTAL'!F293</f>
        <v>Fibra Optica</v>
      </c>
      <c r="F242" s="70">
        <f>'RESUMEN TOTAL'!M293</f>
        <v>0</v>
      </c>
      <c r="G242" s="70">
        <f>'RESUMEN TOTAL'!N293</f>
        <v>0</v>
      </c>
      <c r="H242" s="70">
        <f>'RESUMEN TOTAL'!O293</f>
        <v>0</v>
      </c>
      <c r="I242" s="70">
        <f>'RESUMEN TOTAL'!P293</f>
        <v>0</v>
      </c>
      <c r="J242" s="70">
        <f>'RESUMEN TOTAL'!Q293</f>
        <v>0</v>
      </c>
      <c r="K242" s="70">
        <f>'RESUMEN TOTAL'!R293</f>
        <v>0</v>
      </c>
      <c r="L242" s="70">
        <f>'RESUMEN TOTAL'!S293</f>
        <v>0</v>
      </c>
      <c r="M242" s="70">
        <f>'RESUMEN TOTAL'!T293</f>
        <v>0</v>
      </c>
      <c r="N242" s="70">
        <f>'RESUMEN TOTAL'!U293</f>
        <v>0</v>
      </c>
      <c r="O242" s="70">
        <f>'RESUMEN TOTAL'!V293</f>
        <v>0</v>
      </c>
      <c r="P242" s="70">
        <f>'RESUMEN TOTAL'!W293</f>
        <v>0</v>
      </c>
      <c r="Q242" s="70">
        <f>'RESUMEN TOTAL'!X293</f>
        <v>0</v>
      </c>
      <c r="R242" s="70">
        <f>'RESUMEN TOTAL'!Y293</f>
        <v>0</v>
      </c>
      <c r="S242" s="70">
        <f>'RESUMEN TOTAL'!Z293</f>
        <v>0</v>
      </c>
      <c r="T242" s="70">
        <f>'RESUMEN TOTAL'!AA293</f>
        <v>0</v>
      </c>
      <c r="U242" s="70">
        <f>'RESUMEN TOTAL'!AB293</f>
        <v>0</v>
      </c>
      <c r="V242" s="70">
        <f>'RESUMEN TOTAL'!AC293</f>
        <v>0</v>
      </c>
      <c r="W242" s="70">
        <f>'RESUMEN TOTAL'!AD293</f>
        <v>0</v>
      </c>
      <c r="X242" s="70">
        <f>'RESUMEN TOTAL'!AE293</f>
        <v>0</v>
      </c>
      <c r="Y242" s="70">
        <f>'RESUMEN TOTAL'!AF293</f>
        <v>0</v>
      </c>
      <c r="Z242" s="70">
        <f>'RESUMEN TOTAL'!AG293</f>
        <v>0</v>
      </c>
      <c r="AA242" s="70">
        <f>'RESUMEN TOTAL'!AH293</f>
        <v>0</v>
      </c>
      <c r="AB242" s="70">
        <f>'RESUMEN TOTAL'!AI293</f>
        <v>0</v>
      </c>
      <c r="AC242" s="70">
        <f>'RESUMEN TOTAL'!AJ293</f>
        <v>0</v>
      </c>
      <c r="AD242" s="70">
        <f>'RESUMEN TOTAL'!AK293</f>
        <v>0</v>
      </c>
      <c r="AE242" s="70">
        <f>'RESUMEN TOTAL'!AL293</f>
        <v>0</v>
      </c>
      <c r="AF242" s="70">
        <f>'RESUMEN TOTAL'!AM293</f>
        <v>0</v>
      </c>
      <c r="AG242" s="70">
        <f>'RESUMEN TOTAL'!AN293</f>
        <v>0</v>
      </c>
      <c r="AH242" s="70">
        <f>'RESUMEN TOTAL'!AO293</f>
        <v>0</v>
      </c>
      <c r="AI242" s="70">
        <f>'RESUMEN TOTAL'!AP293</f>
        <v>0</v>
      </c>
    </row>
    <row r="243" spans="1:35" x14ac:dyDescent="0.25">
      <c r="A243" t="str">
        <f>'RESUMEN TOTAL'!A294</f>
        <v>LUJAN</v>
      </c>
      <c r="B243" t="str">
        <f>'RESUMEN TOTAL'!B294</f>
        <v>PUNTO SEGURO LUJAN INTERCOMUNICADOR</v>
      </c>
      <c r="C243" t="str">
        <f>'RESUMEN TOTAL'!D294</f>
        <v>DIAG LOS TILOS Y LOS ALGARROBOS</v>
      </c>
      <c r="D243" s="30" t="str">
        <f>'RESUMEN TOTAL'!E294</f>
        <v>Fija</v>
      </c>
      <c r="E243" s="30" t="str">
        <f>'RESUMEN TOTAL'!F294</f>
        <v>Fibra Optica</v>
      </c>
      <c r="F243" s="70">
        <f>'RESUMEN TOTAL'!M294</f>
        <v>0</v>
      </c>
      <c r="G243" s="70">
        <f>'RESUMEN TOTAL'!N294</f>
        <v>0</v>
      </c>
      <c r="H243" s="70">
        <f>'RESUMEN TOTAL'!O294</f>
        <v>0</v>
      </c>
      <c r="I243" s="70">
        <f>'RESUMEN TOTAL'!P294</f>
        <v>0</v>
      </c>
      <c r="J243" s="70">
        <f>'RESUMEN TOTAL'!Q294</f>
        <v>0</v>
      </c>
      <c r="K243" s="70">
        <f>'RESUMEN TOTAL'!R294</f>
        <v>0</v>
      </c>
      <c r="L243" s="70">
        <f>'RESUMEN TOTAL'!S294</f>
        <v>0</v>
      </c>
      <c r="M243" s="70">
        <f>'RESUMEN TOTAL'!T294</f>
        <v>0</v>
      </c>
      <c r="N243" s="70">
        <f>'RESUMEN TOTAL'!U294</f>
        <v>0</v>
      </c>
      <c r="O243" s="70">
        <f>'RESUMEN TOTAL'!V294</f>
        <v>0</v>
      </c>
      <c r="P243" s="70">
        <f>'RESUMEN TOTAL'!W294</f>
        <v>0</v>
      </c>
      <c r="Q243" s="70">
        <f>'RESUMEN TOTAL'!X294</f>
        <v>0</v>
      </c>
      <c r="R243" s="70">
        <f>'RESUMEN TOTAL'!Y294</f>
        <v>0</v>
      </c>
      <c r="S243" s="70">
        <f>'RESUMEN TOTAL'!Z294</f>
        <v>0</v>
      </c>
      <c r="T243" s="70">
        <f>'RESUMEN TOTAL'!AA294</f>
        <v>0</v>
      </c>
      <c r="U243" s="70">
        <f>'RESUMEN TOTAL'!AB294</f>
        <v>0</v>
      </c>
      <c r="V243" s="70">
        <f>'RESUMEN TOTAL'!AC294</f>
        <v>0</v>
      </c>
      <c r="W243" s="70">
        <f>'RESUMEN TOTAL'!AD294</f>
        <v>0</v>
      </c>
      <c r="X243" s="70">
        <f>'RESUMEN TOTAL'!AE294</f>
        <v>0</v>
      </c>
      <c r="Y243" s="70">
        <f>'RESUMEN TOTAL'!AF294</f>
        <v>0</v>
      </c>
      <c r="Z243" s="70">
        <f>'RESUMEN TOTAL'!AG294</f>
        <v>0</v>
      </c>
      <c r="AA243" s="70">
        <f>'RESUMEN TOTAL'!AH294</f>
        <v>0</v>
      </c>
      <c r="AB243" s="70">
        <f>'RESUMEN TOTAL'!AI294</f>
        <v>0</v>
      </c>
      <c r="AC243" s="70">
        <f>'RESUMEN TOTAL'!AJ294</f>
        <v>0</v>
      </c>
      <c r="AD243" s="70">
        <f>'RESUMEN TOTAL'!AK294</f>
        <v>0</v>
      </c>
      <c r="AE243" s="70">
        <f>'RESUMEN TOTAL'!AL294</f>
        <v>0</v>
      </c>
      <c r="AF243" s="70">
        <f>'RESUMEN TOTAL'!AM294</f>
        <v>0</v>
      </c>
      <c r="AG243" s="70">
        <f>'RESUMEN TOTAL'!AN294</f>
        <v>0</v>
      </c>
      <c r="AH243" s="70">
        <f>'RESUMEN TOTAL'!AO294</f>
        <v>0</v>
      </c>
      <c r="AI243" s="70">
        <f>'RESUMEN TOTAL'!AP294</f>
        <v>0</v>
      </c>
    </row>
    <row r="244" spans="1:35" x14ac:dyDescent="0.25">
      <c r="A244" t="str">
        <f>'RESUMEN TOTAL'!A295</f>
        <v>ZONA RURAL SANTA ROSA</v>
      </c>
      <c r="B244" t="str">
        <f>'RESUMEN TOTAL'!B295</f>
        <v>PUNTO SEGURO - PICO DE ORO (domo)</v>
      </c>
      <c r="C244" t="str">
        <f>'RESUMEN TOTAL'!D295</f>
        <v>PISANI Y BULGARIA</v>
      </c>
      <c r="D244" s="30" t="str">
        <f>'RESUMEN TOTAL'!E295</f>
        <v>DOMO</v>
      </c>
      <c r="E244" s="30" t="str">
        <f>'RESUMEN TOTAL'!F295</f>
        <v>Fibra Optica</v>
      </c>
      <c r="F244" s="70">
        <f>'RESUMEN TOTAL'!M295</f>
        <v>0</v>
      </c>
      <c r="G244" s="70">
        <f>'RESUMEN TOTAL'!N295</f>
        <v>0</v>
      </c>
      <c r="H244" s="70">
        <f>'RESUMEN TOTAL'!O295</f>
        <v>0</v>
      </c>
      <c r="I244" s="70">
        <f>'RESUMEN TOTAL'!P295</f>
        <v>0</v>
      </c>
      <c r="J244" s="70">
        <f>'RESUMEN TOTAL'!Q295</f>
        <v>0</v>
      </c>
      <c r="K244" s="70">
        <f>'RESUMEN TOTAL'!R295</f>
        <v>0</v>
      </c>
      <c r="L244" s="70">
        <f>'RESUMEN TOTAL'!S295</f>
        <v>0</v>
      </c>
      <c r="M244" s="70">
        <f>'RESUMEN TOTAL'!T295</f>
        <v>0</v>
      </c>
      <c r="N244" s="70">
        <f>'RESUMEN TOTAL'!U295</f>
        <v>0</v>
      </c>
      <c r="O244" s="70">
        <f>'RESUMEN TOTAL'!V295</f>
        <v>0</v>
      </c>
      <c r="P244" s="70">
        <f>'RESUMEN TOTAL'!W295</f>
        <v>0</v>
      </c>
      <c r="Q244" s="70">
        <f>'RESUMEN TOTAL'!X295</f>
        <v>0</v>
      </c>
      <c r="R244" s="70">
        <f>'RESUMEN TOTAL'!Y295</f>
        <v>0</v>
      </c>
      <c r="S244" s="70">
        <f>'RESUMEN TOTAL'!Z295</f>
        <v>0</v>
      </c>
      <c r="T244" s="70">
        <f>'RESUMEN TOTAL'!AA295</f>
        <v>0</v>
      </c>
      <c r="U244" s="70">
        <f>'RESUMEN TOTAL'!AB295</f>
        <v>0</v>
      </c>
      <c r="V244" s="70">
        <f>'RESUMEN TOTAL'!AC295</f>
        <v>0</v>
      </c>
      <c r="W244" s="70">
        <f>'RESUMEN TOTAL'!AD295</f>
        <v>0</v>
      </c>
      <c r="X244" s="70">
        <f>'RESUMEN TOTAL'!AE295</f>
        <v>0</v>
      </c>
      <c r="Y244" s="70">
        <f>'RESUMEN TOTAL'!AF295</f>
        <v>0</v>
      </c>
      <c r="Z244" s="70">
        <f>'RESUMEN TOTAL'!AG295</f>
        <v>0</v>
      </c>
      <c r="AA244" s="70">
        <f>'RESUMEN TOTAL'!AH295</f>
        <v>0</v>
      </c>
      <c r="AB244" s="70">
        <f>'RESUMEN TOTAL'!AI295</f>
        <v>0</v>
      </c>
      <c r="AC244" s="70">
        <f>'RESUMEN TOTAL'!AJ295</f>
        <v>0</v>
      </c>
      <c r="AD244" s="70">
        <f>'RESUMEN TOTAL'!AK295</f>
        <v>0</v>
      </c>
      <c r="AE244" s="70">
        <f>'RESUMEN TOTAL'!AL295</f>
        <v>0</v>
      </c>
      <c r="AF244" s="70">
        <f>'RESUMEN TOTAL'!AM295</f>
        <v>0</v>
      </c>
      <c r="AG244" s="70">
        <f>'RESUMEN TOTAL'!AN295</f>
        <v>0</v>
      </c>
      <c r="AH244" s="70">
        <f>'RESUMEN TOTAL'!AO295</f>
        <v>0</v>
      </c>
      <c r="AI244" s="70">
        <f>'RESUMEN TOTAL'!AP295</f>
        <v>0</v>
      </c>
    </row>
    <row r="245" spans="1:35" x14ac:dyDescent="0.25">
      <c r="A245" t="str">
        <f>'RESUMEN TOTAL'!A296</f>
        <v>ZONA RURAL SANTA ROSA</v>
      </c>
      <c r="B245" t="str">
        <f>'RESUMEN TOTAL'!B296</f>
        <v>PUNTO SEGURO - PICO DE ORO (fija)</v>
      </c>
      <c r="C245" t="str">
        <f>'RESUMEN TOTAL'!D296</f>
        <v>PISANI Y BULGARIA</v>
      </c>
      <c r="D245" s="30" t="str">
        <f>'RESUMEN TOTAL'!E296</f>
        <v>Fija</v>
      </c>
      <c r="E245" s="30" t="str">
        <f>'RESUMEN TOTAL'!F296</f>
        <v>Fibra Optica</v>
      </c>
      <c r="F245" s="70">
        <f>'RESUMEN TOTAL'!M296</f>
        <v>0</v>
      </c>
      <c r="G245" s="70">
        <f>'RESUMEN TOTAL'!N296</f>
        <v>0</v>
      </c>
      <c r="H245" s="70">
        <f>'RESUMEN TOTAL'!O296</f>
        <v>0</v>
      </c>
      <c r="I245" s="70">
        <f>'RESUMEN TOTAL'!P296</f>
        <v>0</v>
      </c>
      <c r="J245" s="70">
        <f>'RESUMEN TOTAL'!Q296</f>
        <v>0</v>
      </c>
      <c r="K245" s="70">
        <f>'RESUMEN TOTAL'!R296</f>
        <v>0</v>
      </c>
      <c r="L245" s="70">
        <f>'RESUMEN TOTAL'!S296</f>
        <v>0</v>
      </c>
      <c r="M245" s="70">
        <f>'RESUMEN TOTAL'!T296</f>
        <v>0</v>
      </c>
      <c r="N245" s="70">
        <f>'RESUMEN TOTAL'!U296</f>
        <v>0</v>
      </c>
      <c r="O245" s="70">
        <f>'RESUMEN TOTAL'!V296</f>
        <v>0</v>
      </c>
      <c r="P245" s="70">
        <f>'RESUMEN TOTAL'!W296</f>
        <v>0</v>
      </c>
      <c r="Q245" s="70">
        <f>'RESUMEN TOTAL'!X296</f>
        <v>0</v>
      </c>
      <c r="R245" s="70">
        <f>'RESUMEN TOTAL'!Y296</f>
        <v>0</v>
      </c>
      <c r="S245" s="70">
        <f>'RESUMEN TOTAL'!Z296</f>
        <v>0</v>
      </c>
      <c r="T245" s="70">
        <f>'RESUMEN TOTAL'!AA296</f>
        <v>0</v>
      </c>
      <c r="U245" s="70">
        <f>'RESUMEN TOTAL'!AB296</f>
        <v>0</v>
      </c>
      <c r="V245" s="70">
        <f>'RESUMEN TOTAL'!AC296</f>
        <v>0</v>
      </c>
      <c r="W245" s="70">
        <f>'RESUMEN TOTAL'!AD296</f>
        <v>0</v>
      </c>
      <c r="X245" s="70">
        <f>'RESUMEN TOTAL'!AE296</f>
        <v>0</v>
      </c>
      <c r="Y245" s="70">
        <f>'RESUMEN TOTAL'!AF296</f>
        <v>0</v>
      </c>
      <c r="Z245" s="70">
        <f>'RESUMEN TOTAL'!AG296</f>
        <v>0</v>
      </c>
      <c r="AA245" s="70">
        <f>'RESUMEN TOTAL'!AH296</f>
        <v>0</v>
      </c>
      <c r="AB245" s="70">
        <f>'RESUMEN TOTAL'!AI296</f>
        <v>0</v>
      </c>
      <c r="AC245" s="70">
        <f>'RESUMEN TOTAL'!AJ296</f>
        <v>0</v>
      </c>
      <c r="AD245" s="70">
        <f>'RESUMEN TOTAL'!AK296</f>
        <v>0</v>
      </c>
      <c r="AE245" s="70">
        <f>'RESUMEN TOTAL'!AL296</f>
        <v>0</v>
      </c>
      <c r="AF245" s="70">
        <f>'RESUMEN TOTAL'!AM296</f>
        <v>0</v>
      </c>
      <c r="AG245" s="70">
        <f>'RESUMEN TOTAL'!AN296</f>
        <v>0</v>
      </c>
      <c r="AH245" s="70">
        <f>'RESUMEN TOTAL'!AO296</f>
        <v>0</v>
      </c>
      <c r="AI245" s="70">
        <f>'RESUMEN TOTAL'!AP296</f>
        <v>0</v>
      </c>
    </row>
    <row r="246" spans="1:35" x14ac:dyDescent="0.25">
      <c r="A246" t="str">
        <f>'RESUMEN TOTAL'!A297</f>
        <v>ZONA RURAL SANTA ROSA</v>
      </c>
      <c r="B246" t="str">
        <f>'RESUMEN TOTAL'!B297</f>
        <v>PUNTO SEGURO PICO DE ORO INTERCOMUNICADOR</v>
      </c>
      <c r="C246" t="str">
        <f>'RESUMEN TOTAL'!D297</f>
        <v>PISANI Y BULGARIA</v>
      </c>
      <c r="D246" s="30" t="str">
        <f>'RESUMEN TOTAL'!E297</f>
        <v>Domo</v>
      </c>
      <c r="E246" s="30" t="str">
        <f>'RESUMEN TOTAL'!F297</f>
        <v>Fibra Optica</v>
      </c>
      <c r="F246" s="70">
        <f>'RESUMEN TOTAL'!M297</f>
        <v>0</v>
      </c>
      <c r="G246" s="70">
        <f>'RESUMEN TOTAL'!N297</f>
        <v>0</v>
      </c>
      <c r="H246" s="70">
        <f>'RESUMEN TOTAL'!O297</f>
        <v>0</v>
      </c>
      <c r="I246" s="70">
        <f>'RESUMEN TOTAL'!P297</f>
        <v>0</v>
      </c>
      <c r="J246" s="70">
        <f>'RESUMEN TOTAL'!Q297</f>
        <v>0</v>
      </c>
      <c r="K246" s="70">
        <f>'RESUMEN TOTAL'!R297</f>
        <v>0</v>
      </c>
      <c r="L246" s="70">
        <f>'RESUMEN TOTAL'!S297</f>
        <v>0</v>
      </c>
      <c r="M246" s="70">
        <f>'RESUMEN TOTAL'!T297</f>
        <v>0</v>
      </c>
      <c r="N246" s="70">
        <f>'RESUMEN TOTAL'!U297</f>
        <v>0</v>
      </c>
      <c r="O246" s="70">
        <f>'RESUMEN TOTAL'!V297</f>
        <v>0</v>
      </c>
      <c r="P246" s="70">
        <f>'RESUMEN TOTAL'!W297</f>
        <v>0</v>
      </c>
      <c r="Q246" s="70">
        <f>'RESUMEN TOTAL'!X297</f>
        <v>0</v>
      </c>
      <c r="R246" s="70">
        <f>'RESUMEN TOTAL'!Y297</f>
        <v>0</v>
      </c>
      <c r="S246" s="70">
        <f>'RESUMEN TOTAL'!Z297</f>
        <v>0</v>
      </c>
      <c r="T246" s="70">
        <f>'RESUMEN TOTAL'!AA297</f>
        <v>0</v>
      </c>
      <c r="U246" s="70">
        <f>'RESUMEN TOTAL'!AB297</f>
        <v>0</v>
      </c>
      <c r="V246" s="70">
        <f>'RESUMEN TOTAL'!AC297</f>
        <v>0</v>
      </c>
      <c r="W246" s="70">
        <f>'RESUMEN TOTAL'!AD297</f>
        <v>0</v>
      </c>
      <c r="X246" s="70">
        <f>'RESUMEN TOTAL'!AE297</f>
        <v>0</v>
      </c>
      <c r="Y246" s="70">
        <f>'RESUMEN TOTAL'!AF297</f>
        <v>0</v>
      </c>
      <c r="Z246" s="70">
        <f>'RESUMEN TOTAL'!AG297</f>
        <v>0</v>
      </c>
      <c r="AA246" s="70">
        <f>'RESUMEN TOTAL'!AH297</f>
        <v>0</v>
      </c>
      <c r="AB246" s="70">
        <f>'RESUMEN TOTAL'!AI297</f>
        <v>0</v>
      </c>
      <c r="AC246" s="70">
        <f>'RESUMEN TOTAL'!AJ297</f>
        <v>0</v>
      </c>
      <c r="AD246" s="70">
        <f>'RESUMEN TOTAL'!AK297</f>
        <v>0</v>
      </c>
      <c r="AE246" s="70">
        <f>'RESUMEN TOTAL'!AL297</f>
        <v>0</v>
      </c>
      <c r="AF246" s="70">
        <f>'RESUMEN TOTAL'!AM297</f>
        <v>0</v>
      </c>
      <c r="AG246" s="70">
        <f>'RESUMEN TOTAL'!AN297</f>
        <v>0</v>
      </c>
      <c r="AH246" s="70">
        <f>'RESUMEN TOTAL'!AO297</f>
        <v>0</v>
      </c>
      <c r="AI246" s="70">
        <f>'RESUMEN TOTAL'!AP297</f>
        <v>0</v>
      </c>
    </row>
    <row r="247" spans="1:35" x14ac:dyDescent="0.25">
      <c r="A247" t="str">
        <f>'RESUMEN TOTAL'!A298</f>
        <v>SAN FRANCISCO ESTE (CHICO)</v>
      </c>
      <c r="B247" t="str">
        <f>'RESUMEN TOTAL'!B298</f>
        <v>PUNTO SEGURO - SAN FRANCISCO (domo)</v>
      </c>
      <c r="C247" t="str">
        <f>'RESUMEN TOTAL'!D298</f>
        <v>RP 53 Y 1332</v>
      </c>
      <c r="D247" s="30" t="str">
        <f>'RESUMEN TOTAL'!E298</f>
        <v>DOMO</v>
      </c>
      <c r="E247" s="30" t="str">
        <f>'RESUMEN TOTAL'!F298</f>
        <v>Fibra Optica</v>
      </c>
      <c r="F247" s="70">
        <f>'RESUMEN TOTAL'!M298</f>
        <v>0</v>
      </c>
      <c r="G247" s="70">
        <f>'RESUMEN TOTAL'!N298</f>
        <v>0</v>
      </c>
      <c r="H247" s="70">
        <f>'RESUMEN TOTAL'!O298</f>
        <v>0</v>
      </c>
      <c r="I247" s="70">
        <f>'RESUMEN TOTAL'!P298</f>
        <v>0</v>
      </c>
      <c r="J247" s="70">
        <f>'RESUMEN TOTAL'!Q298</f>
        <v>0</v>
      </c>
      <c r="K247" s="70">
        <f>'RESUMEN TOTAL'!R298</f>
        <v>0</v>
      </c>
      <c r="L247" s="70">
        <f>'RESUMEN TOTAL'!S298</f>
        <v>0</v>
      </c>
      <c r="M247" s="70">
        <f>'RESUMEN TOTAL'!T298</f>
        <v>0</v>
      </c>
      <c r="N247" s="70">
        <f>'RESUMEN TOTAL'!U298</f>
        <v>0</v>
      </c>
      <c r="O247" s="70">
        <f>'RESUMEN TOTAL'!V298</f>
        <v>0</v>
      </c>
      <c r="P247" s="70">
        <f>'RESUMEN TOTAL'!W298</f>
        <v>0</v>
      </c>
      <c r="Q247" s="70">
        <f>'RESUMEN TOTAL'!X298</f>
        <v>0</v>
      </c>
      <c r="R247" s="70">
        <f>'RESUMEN TOTAL'!Y298</f>
        <v>0</v>
      </c>
      <c r="S247" s="70">
        <f>'RESUMEN TOTAL'!Z298</f>
        <v>0</v>
      </c>
      <c r="T247" s="70">
        <f>'RESUMEN TOTAL'!AA298</f>
        <v>0</v>
      </c>
      <c r="U247" s="70">
        <f>'RESUMEN TOTAL'!AB298</f>
        <v>0</v>
      </c>
      <c r="V247" s="70">
        <f>'RESUMEN TOTAL'!AC298</f>
        <v>0</v>
      </c>
      <c r="W247" s="70">
        <f>'RESUMEN TOTAL'!AD298</f>
        <v>0</v>
      </c>
      <c r="X247" s="70">
        <f>'RESUMEN TOTAL'!AE298</f>
        <v>0</v>
      </c>
      <c r="Y247" s="70">
        <f>'RESUMEN TOTAL'!AF298</f>
        <v>0</v>
      </c>
      <c r="Z247" s="70">
        <f>'RESUMEN TOTAL'!AG298</f>
        <v>0</v>
      </c>
      <c r="AA247" s="70">
        <f>'RESUMEN TOTAL'!AH298</f>
        <v>0</v>
      </c>
      <c r="AB247" s="70">
        <f>'RESUMEN TOTAL'!AI298</f>
        <v>0</v>
      </c>
      <c r="AC247" s="70">
        <f>'RESUMEN TOTAL'!AJ298</f>
        <v>0</v>
      </c>
      <c r="AD247" s="70">
        <f>'RESUMEN TOTAL'!AK298</f>
        <v>0</v>
      </c>
      <c r="AE247" s="70">
        <f>'RESUMEN TOTAL'!AL298</f>
        <v>0</v>
      </c>
      <c r="AF247" s="70">
        <f>'RESUMEN TOTAL'!AM298</f>
        <v>0</v>
      </c>
      <c r="AG247" s="70">
        <f>'RESUMEN TOTAL'!AN298</f>
        <v>0</v>
      </c>
      <c r="AH247" s="70">
        <f>'RESUMEN TOTAL'!AO298</f>
        <v>0</v>
      </c>
      <c r="AI247" s="70">
        <f>'RESUMEN TOTAL'!AP298</f>
        <v>0</v>
      </c>
    </row>
    <row r="248" spans="1:35" x14ac:dyDescent="0.25">
      <c r="A248" t="str">
        <f>'RESUMEN TOTAL'!A299</f>
        <v>SAN JORGE</v>
      </c>
      <c r="B248" t="str">
        <f>'RESUMEN TOTAL'!B299</f>
        <v>Punto Seguro - San Jorge (Domo)</v>
      </c>
      <c r="C248" t="str">
        <f>'RESUMEN TOTAL'!D299</f>
        <v>CALLE 523 E/ 554 Y 556</v>
      </c>
      <c r="D248" s="30" t="str">
        <f>'RESUMEN TOTAL'!E299</f>
        <v>DOMO</v>
      </c>
      <c r="E248" s="30" t="str">
        <f>'RESUMEN TOTAL'!F299</f>
        <v>GPON</v>
      </c>
      <c r="F248" s="70" t="str">
        <f>'RESUMEN TOTAL'!M299</f>
        <v>APAGADO</v>
      </c>
      <c r="G248" s="70" t="str">
        <f>'RESUMEN TOTAL'!N299</f>
        <v>APAGADO</v>
      </c>
      <c r="H248" s="70" t="str">
        <f>'RESUMEN TOTAL'!O299</f>
        <v>APAGADO</v>
      </c>
      <c r="I248" s="70" t="str">
        <f>'RESUMEN TOTAL'!P299</f>
        <v>APAGADO</v>
      </c>
      <c r="J248" s="70" t="str">
        <f>'RESUMEN TOTAL'!Q299</f>
        <v>APAGADO</v>
      </c>
      <c r="K248" s="70" t="str">
        <f>'RESUMEN TOTAL'!R299</f>
        <v>APAGADO</v>
      </c>
      <c r="L248" s="70">
        <f>'RESUMEN TOTAL'!S299</f>
        <v>0</v>
      </c>
      <c r="M248" s="70" t="str">
        <f>'RESUMEN TOTAL'!T299</f>
        <v>APAGADO</v>
      </c>
      <c r="N248" s="70" t="str">
        <f>'RESUMEN TOTAL'!U299</f>
        <v>APAGADO</v>
      </c>
      <c r="O248" s="70" t="str">
        <f>'RESUMEN TOTAL'!V299</f>
        <v>APAGADO</v>
      </c>
      <c r="P248" s="70" t="str">
        <f>'RESUMEN TOTAL'!W299</f>
        <v>APAGADO</v>
      </c>
      <c r="Q248" s="70" t="str">
        <f>'RESUMEN TOTAL'!X299</f>
        <v>APAGADO</v>
      </c>
      <c r="R248" s="70" t="str">
        <f>'RESUMEN TOTAL'!Y299</f>
        <v>APAGADO</v>
      </c>
      <c r="S248" s="70" t="str">
        <f>'RESUMEN TOTAL'!Z299</f>
        <v>APAGADO</v>
      </c>
      <c r="T248" s="70" t="str">
        <f>'RESUMEN TOTAL'!AA299</f>
        <v>APAGADO</v>
      </c>
      <c r="U248" s="70" t="str">
        <f>'RESUMEN TOTAL'!AB299</f>
        <v>APAGADO</v>
      </c>
      <c r="V248" s="70" t="str">
        <f>'RESUMEN TOTAL'!AC299</f>
        <v>APAGADO</v>
      </c>
      <c r="W248" s="70" t="str">
        <f>'RESUMEN TOTAL'!AD299</f>
        <v>APAGADO</v>
      </c>
      <c r="X248" s="70" t="str">
        <f>'RESUMEN TOTAL'!AE299</f>
        <v>APAGADO</v>
      </c>
      <c r="Y248" s="70" t="str">
        <f>'RESUMEN TOTAL'!AF299</f>
        <v>APAGADO</v>
      </c>
      <c r="Z248" s="70" t="str">
        <f>'RESUMEN TOTAL'!AG299</f>
        <v>APAGADO</v>
      </c>
      <c r="AA248" s="70" t="str">
        <f>'RESUMEN TOTAL'!AH299</f>
        <v>APAGADO</v>
      </c>
      <c r="AB248" s="70" t="str">
        <f>'RESUMEN TOTAL'!AI299</f>
        <v>APAGADO</v>
      </c>
      <c r="AC248" s="70" t="str">
        <f>'RESUMEN TOTAL'!AJ299</f>
        <v>APAGADO</v>
      </c>
      <c r="AD248" s="70" t="str">
        <f>'RESUMEN TOTAL'!AK299</f>
        <v>APAGADO</v>
      </c>
      <c r="AE248" s="70" t="str">
        <f>'RESUMEN TOTAL'!AL299</f>
        <v>APAGADO</v>
      </c>
      <c r="AF248" s="70">
        <f>'RESUMEN TOTAL'!AM299</f>
        <v>0</v>
      </c>
      <c r="AG248" s="70">
        <f>'RESUMEN TOTAL'!AN299</f>
        <v>0</v>
      </c>
      <c r="AH248" s="70">
        <f>'RESUMEN TOTAL'!AO299</f>
        <v>0</v>
      </c>
      <c r="AI248" s="70">
        <f>'RESUMEN TOTAL'!AP299</f>
        <v>0</v>
      </c>
    </row>
    <row r="249" spans="1:35" x14ac:dyDescent="0.25">
      <c r="A249" t="str">
        <f>'RESUMEN TOTAL'!A300</f>
        <v>SAN JORGE</v>
      </c>
      <c r="B249" t="str">
        <f>'RESUMEN TOTAL'!B300</f>
        <v>Punto Seguro - San Jorge (Fija)</v>
      </c>
      <c r="C249" t="str">
        <f>'RESUMEN TOTAL'!D300</f>
        <v>CALLE 523 E/ 554 Y 556</v>
      </c>
      <c r="D249" s="30" t="str">
        <f>'RESUMEN TOTAL'!E300</f>
        <v>Fija</v>
      </c>
      <c r="E249" s="30" t="str">
        <f>'RESUMEN TOTAL'!F300</f>
        <v>GPON</v>
      </c>
      <c r="F249" s="70">
        <f>'RESUMEN TOTAL'!M300</f>
        <v>0</v>
      </c>
      <c r="G249" s="70">
        <f>'RESUMEN TOTAL'!N300</f>
        <v>0</v>
      </c>
      <c r="H249" s="70">
        <f>'RESUMEN TOTAL'!O300</f>
        <v>0</v>
      </c>
      <c r="I249" s="70">
        <f>'RESUMEN TOTAL'!P300</f>
        <v>0</v>
      </c>
      <c r="J249" s="70">
        <f>'RESUMEN TOTAL'!Q300</f>
        <v>0</v>
      </c>
      <c r="K249" s="70">
        <f>'RESUMEN TOTAL'!R300</f>
        <v>0</v>
      </c>
      <c r="L249" s="70">
        <f>'RESUMEN TOTAL'!S300</f>
        <v>0</v>
      </c>
      <c r="M249" s="70">
        <f>'RESUMEN TOTAL'!T300</f>
        <v>0</v>
      </c>
      <c r="N249" s="70">
        <f>'RESUMEN TOTAL'!U300</f>
        <v>0</v>
      </c>
      <c r="O249" s="70">
        <f>'RESUMEN TOTAL'!V300</f>
        <v>0</v>
      </c>
      <c r="P249" s="70">
        <f>'RESUMEN TOTAL'!W300</f>
        <v>0</v>
      </c>
      <c r="Q249" s="70">
        <f>'RESUMEN TOTAL'!X300</f>
        <v>0</v>
      </c>
      <c r="R249" s="70">
        <f>'RESUMEN TOTAL'!Y300</f>
        <v>0</v>
      </c>
      <c r="S249" s="70">
        <f>'RESUMEN TOTAL'!Z300</f>
        <v>0</v>
      </c>
      <c r="T249" s="70">
        <f>'RESUMEN TOTAL'!AA300</f>
        <v>0</v>
      </c>
      <c r="U249" s="70">
        <f>'RESUMEN TOTAL'!AB300</f>
        <v>0</v>
      </c>
      <c r="V249" s="70">
        <f>'RESUMEN TOTAL'!AC300</f>
        <v>0</v>
      </c>
      <c r="W249" s="70">
        <f>'RESUMEN TOTAL'!AD300</f>
        <v>0</v>
      </c>
      <c r="X249" s="70">
        <f>'RESUMEN TOTAL'!AE300</f>
        <v>0</v>
      </c>
      <c r="Y249" s="70">
        <f>'RESUMEN TOTAL'!AF300</f>
        <v>0</v>
      </c>
      <c r="Z249" s="70">
        <f>'RESUMEN TOTAL'!AG300</f>
        <v>0</v>
      </c>
      <c r="AA249" s="70">
        <f>'RESUMEN TOTAL'!AH300</f>
        <v>0</v>
      </c>
      <c r="AB249" s="70">
        <f>'RESUMEN TOTAL'!AI300</f>
        <v>0</v>
      </c>
      <c r="AC249" s="70">
        <f>'RESUMEN TOTAL'!AJ300</f>
        <v>0</v>
      </c>
      <c r="AD249" s="70">
        <f>'RESUMEN TOTAL'!AK300</f>
        <v>0</v>
      </c>
      <c r="AE249" s="70">
        <f>'RESUMEN TOTAL'!AL300</f>
        <v>0</v>
      </c>
      <c r="AF249" s="70">
        <f>'RESUMEN TOTAL'!AM300</f>
        <v>0</v>
      </c>
      <c r="AG249" s="70">
        <f>'RESUMEN TOTAL'!AN300</f>
        <v>0</v>
      </c>
      <c r="AH249" s="70">
        <f>'RESUMEN TOTAL'!AO300</f>
        <v>0</v>
      </c>
      <c r="AI249" s="70">
        <f>'RESUMEN TOTAL'!AP300</f>
        <v>0</v>
      </c>
    </row>
    <row r="250" spans="1:35" x14ac:dyDescent="0.25">
      <c r="A250" t="str">
        <f>'RESUMEN TOTAL'!A301</f>
        <v>SAN JORGE</v>
      </c>
      <c r="B250" t="str">
        <f>'RESUMEN TOTAL'!B301</f>
        <v>PUNTO SEGURO SAN JORGE INTERCOMUNICADOR</v>
      </c>
      <c r="C250" t="str">
        <f>'RESUMEN TOTAL'!D301</f>
        <v>CALLE 554 Y 523</v>
      </c>
      <c r="D250" s="30" t="str">
        <f>'RESUMEN TOTAL'!E301</f>
        <v>Fija</v>
      </c>
      <c r="E250" s="30" t="str">
        <f>'RESUMEN TOTAL'!F301</f>
        <v>GPON</v>
      </c>
      <c r="F250" s="70" t="str">
        <f>'RESUMEN TOTAL'!M301</f>
        <v>APAGADO</v>
      </c>
      <c r="G250" s="70" t="str">
        <f>'RESUMEN TOTAL'!N301</f>
        <v>APAGADO</v>
      </c>
      <c r="H250" s="70" t="str">
        <f>'RESUMEN TOTAL'!O301</f>
        <v>APAGADO</v>
      </c>
      <c r="I250" s="70" t="str">
        <f>'RESUMEN TOTAL'!P301</f>
        <v>APAGADO</v>
      </c>
      <c r="J250" s="70" t="str">
        <f>'RESUMEN TOTAL'!Q301</f>
        <v>APAGADO</v>
      </c>
      <c r="K250" s="70" t="str">
        <f>'RESUMEN TOTAL'!R301</f>
        <v>APAGADO</v>
      </c>
      <c r="L250" s="70" t="str">
        <f>'RESUMEN TOTAL'!S301</f>
        <v>APAGADO</v>
      </c>
      <c r="M250" s="70" t="str">
        <f>'RESUMEN TOTAL'!T301</f>
        <v>APAGADO</v>
      </c>
      <c r="N250" s="70" t="str">
        <f>'RESUMEN TOTAL'!U301</f>
        <v>APAGADO</v>
      </c>
      <c r="O250" s="70" t="str">
        <f>'RESUMEN TOTAL'!V301</f>
        <v>APAGADO</v>
      </c>
      <c r="P250" s="70" t="str">
        <f>'RESUMEN TOTAL'!W301</f>
        <v>APAGADO</v>
      </c>
      <c r="Q250" s="70" t="str">
        <f>'RESUMEN TOTAL'!X301</f>
        <v>APAGADO</v>
      </c>
      <c r="R250" s="70" t="str">
        <f>'RESUMEN TOTAL'!Y301</f>
        <v>APAGADO</v>
      </c>
      <c r="S250" s="70" t="str">
        <f>'RESUMEN TOTAL'!Z301</f>
        <v>APAGADO</v>
      </c>
      <c r="T250" s="70" t="str">
        <f>'RESUMEN TOTAL'!AA301</f>
        <v>APAGADO</v>
      </c>
      <c r="U250" s="70">
        <f>'RESUMEN TOTAL'!AB301</f>
        <v>0</v>
      </c>
      <c r="V250" s="70" t="str">
        <f>'RESUMEN TOTAL'!AC301</f>
        <v>APAGADO</v>
      </c>
      <c r="W250" s="70" t="str">
        <f>'RESUMEN TOTAL'!AD301</f>
        <v>APAGADO</v>
      </c>
      <c r="X250" s="70" t="str">
        <f>'RESUMEN TOTAL'!AE301</f>
        <v>APAGADO</v>
      </c>
      <c r="Y250" s="70" t="str">
        <f>'RESUMEN TOTAL'!AF301</f>
        <v>APAGADO</v>
      </c>
      <c r="Z250" s="70" t="str">
        <f>'RESUMEN TOTAL'!AG301</f>
        <v>APAGADO</v>
      </c>
      <c r="AA250" s="70" t="str">
        <f>'RESUMEN TOTAL'!AH301</f>
        <v>APAGADO</v>
      </c>
      <c r="AB250" s="70" t="str">
        <f>'RESUMEN TOTAL'!AI301</f>
        <v>APAGADO</v>
      </c>
      <c r="AC250" s="70">
        <f>'RESUMEN TOTAL'!AJ301</f>
        <v>0</v>
      </c>
      <c r="AD250" s="70" t="str">
        <f>'RESUMEN TOTAL'!AK301</f>
        <v>APAGADO</v>
      </c>
      <c r="AE250" s="70" t="str">
        <f>'RESUMEN TOTAL'!AL301</f>
        <v>APAGADO</v>
      </c>
      <c r="AF250" s="70">
        <f>'RESUMEN TOTAL'!AM301</f>
        <v>0</v>
      </c>
      <c r="AG250" s="70">
        <f>'RESUMEN TOTAL'!AN301</f>
        <v>0</v>
      </c>
      <c r="AH250" s="70">
        <f>'RESUMEN TOTAL'!AO301</f>
        <v>0</v>
      </c>
      <c r="AI250" s="70">
        <f>'RESUMEN TOTAL'!AP301</f>
        <v>0</v>
      </c>
    </row>
    <row r="251" spans="1:35" x14ac:dyDescent="0.25">
      <c r="A251" t="str">
        <f>'RESUMEN TOTAL'!A302</f>
        <v>SAN RUDECINDO</v>
      </c>
      <c r="B251" t="str">
        <f>'RESUMEN TOTAL'!B302</f>
        <v>PUNTO SEGURO- SAN RUDECINDO (domo)</v>
      </c>
      <c r="C251" t="str">
        <f>'RESUMEN TOTAL'!D302</f>
        <v>SANTA SOFIA Y ALVAR NUÑEZ</v>
      </c>
      <c r="D251" s="30" t="str">
        <f>'RESUMEN TOTAL'!E302</f>
        <v>DOMO</v>
      </c>
      <c r="E251" s="30" t="str">
        <f>'RESUMEN TOTAL'!F302</f>
        <v>GPON</v>
      </c>
      <c r="F251" s="70">
        <f>'RESUMEN TOTAL'!M302</f>
        <v>0</v>
      </c>
      <c r="G251" s="70">
        <f>'RESUMEN TOTAL'!N302</f>
        <v>0</v>
      </c>
      <c r="H251" s="70">
        <f>'RESUMEN TOTAL'!O302</f>
        <v>0</v>
      </c>
      <c r="I251" s="70">
        <f>'RESUMEN TOTAL'!P302</f>
        <v>0</v>
      </c>
      <c r="J251" s="70">
        <f>'RESUMEN TOTAL'!Q302</f>
        <v>0</v>
      </c>
      <c r="K251" s="70">
        <f>'RESUMEN TOTAL'!R302</f>
        <v>0</v>
      </c>
      <c r="L251" s="70">
        <f>'RESUMEN TOTAL'!S302</f>
        <v>0</v>
      </c>
      <c r="M251" s="70">
        <f>'RESUMEN TOTAL'!T302</f>
        <v>0</v>
      </c>
      <c r="N251" s="70">
        <f>'RESUMEN TOTAL'!U302</f>
        <v>0</v>
      </c>
      <c r="O251" s="70">
        <f>'RESUMEN TOTAL'!V302</f>
        <v>0</v>
      </c>
      <c r="P251" s="70">
        <f>'RESUMEN TOTAL'!W302</f>
        <v>0</v>
      </c>
      <c r="Q251" s="70">
        <f>'RESUMEN TOTAL'!X302</f>
        <v>0</v>
      </c>
      <c r="R251" s="70">
        <f>'RESUMEN TOTAL'!Y302</f>
        <v>0</v>
      </c>
      <c r="S251" s="70">
        <f>'RESUMEN TOTAL'!Z302</f>
        <v>0</v>
      </c>
      <c r="T251" s="70">
        <f>'RESUMEN TOTAL'!AA302</f>
        <v>0</v>
      </c>
      <c r="U251" s="70">
        <f>'RESUMEN TOTAL'!AB302</f>
        <v>0</v>
      </c>
      <c r="V251" s="70">
        <f>'RESUMEN TOTAL'!AC302</f>
        <v>0</v>
      </c>
      <c r="W251" s="70">
        <f>'RESUMEN TOTAL'!AD302</f>
        <v>0</v>
      </c>
      <c r="X251" s="70">
        <f>'RESUMEN TOTAL'!AE302</f>
        <v>0</v>
      </c>
      <c r="Y251" s="70">
        <f>'RESUMEN TOTAL'!AF302</f>
        <v>0</v>
      </c>
      <c r="Z251" s="70">
        <f>'RESUMEN TOTAL'!AG302</f>
        <v>0</v>
      </c>
      <c r="AA251" s="70">
        <f>'RESUMEN TOTAL'!AH302</f>
        <v>0</v>
      </c>
      <c r="AB251" s="70">
        <f>'RESUMEN TOTAL'!AI302</f>
        <v>0</v>
      </c>
      <c r="AC251" s="70">
        <f>'RESUMEN TOTAL'!AJ302</f>
        <v>0</v>
      </c>
      <c r="AD251" s="70">
        <f>'RESUMEN TOTAL'!AK302</f>
        <v>0</v>
      </c>
      <c r="AE251" s="70">
        <f>'RESUMEN TOTAL'!AL302</f>
        <v>0</v>
      </c>
      <c r="AF251" s="70">
        <f>'RESUMEN TOTAL'!AM302</f>
        <v>0</v>
      </c>
      <c r="AG251" s="70">
        <f>'RESUMEN TOTAL'!AN302</f>
        <v>0</v>
      </c>
      <c r="AH251" s="70">
        <f>'RESUMEN TOTAL'!AO302</f>
        <v>0</v>
      </c>
      <c r="AI251" s="70">
        <f>'RESUMEN TOTAL'!AP302</f>
        <v>0</v>
      </c>
    </row>
    <row r="252" spans="1:35" x14ac:dyDescent="0.25">
      <c r="A252" t="str">
        <f>'RESUMEN TOTAL'!A303</f>
        <v>SAN RUDECINDO</v>
      </c>
      <c r="B252" t="str">
        <f>'RESUMEN TOTAL'!B303</f>
        <v>PUNTO SEGURO - SAN RUDECINDO (fija)</v>
      </c>
      <c r="C252" t="str">
        <f>'RESUMEN TOTAL'!D303</f>
        <v>SANTA SOFIA Y ALVAR NUÑEZ</v>
      </c>
      <c r="D252" s="30" t="str">
        <f>'RESUMEN TOTAL'!E303</f>
        <v>Fija</v>
      </c>
      <c r="E252" s="30" t="str">
        <f>'RESUMEN TOTAL'!F303</f>
        <v>GPON</v>
      </c>
      <c r="F252" s="70">
        <f>'RESUMEN TOTAL'!M303</f>
        <v>0</v>
      </c>
      <c r="G252" s="70">
        <f>'RESUMEN TOTAL'!N303</f>
        <v>0</v>
      </c>
      <c r="H252" s="70">
        <f>'RESUMEN TOTAL'!O303</f>
        <v>0</v>
      </c>
      <c r="I252" s="70">
        <f>'RESUMEN TOTAL'!P303</f>
        <v>0</v>
      </c>
      <c r="J252" s="70">
        <f>'RESUMEN TOTAL'!Q303</f>
        <v>0</v>
      </c>
      <c r="K252" s="70">
        <f>'RESUMEN TOTAL'!R303</f>
        <v>0</v>
      </c>
      <c r="L252" s="70">
        <f>'RESUMEN TOTAL'!S303</f>
        <v>0</v>
      </c>
      <c r="M252" s="70">
        <f>'RESUMEN TOTAL'!T303</f>
        <v>0</v>
      </c>
      <c r="N252" s="70">
        <f>'RESUMEN TOTAL'!U303</f>
        <v>0</v>
      </c>
      <c r="O252" s="70">
        <f>'RESUMEN TOTAL'!V303</f>
        <v>0</v>
      </c>
      <c r="P252" s="70">
        <f>'RESUMEN TOTAL'!W303</f>
        <v>0</v>
      </c>
      <c r="Q252" s="70">
        <f>'RESUMEN TOTAL'!X303</f>
        <v>0</v>
      </c>
      <c r="R252" s="70">
        <f>'RESUMEN TOTAL'!Y303</f>
        <v>0</v>
      </c>
      <c r="S252" s="70">
        <f>'RESUMEN TOTAL'!Z303</f>
        <v>0</v>
      </c>
      <c r="T252" s="70">
        <f>'RESUMEN TOTAL'!AA303</f>
        <v>0</v>
      </c>
      <c r="U252" s="70">
        <f>'RESUMEN TOTAL'!AB303</f>
        <v>0</v>
      </c>
      <c r="V252" s="70">
        <f>'RESUMEN TOTAL'!AC303</f>
        <v>0</v>
      </c>
      <c r="W252" s="70">
        <f>'RESUMEN TOTAL'!AD303</f>
        <v>0</v>
      </c>
      <c r="X252" s="70">
        <f>'RESUMEN TOTAL'!AE303</f>
        <v>0</v>
      </c>
      <c r="Y252" s="70">
        <f>'RESUMEN TOTAL'!AF303</f>
        <v>0</v>
      </c>
      <c r="Z252" s="70">
        <f>'RESUMEN TOTAL'!AG303</f>
        <v>0</v>
      </c>
      <c r="AA252" s="70">
        <f>'RESUMEN TOTAL'!AH303</f>
        <v>0</v>
      </c>
      <c r="AB252" s="70">
        <f>'RESUMEN TOTAL'!AI303</f>
        <v>0</v>
      </c>
      <c r="AC252" s="70">
        <f>'RESUMEN TOTAL'!AJ303</f>
        <v>0</v>
      </c>
      <c r="AD252" s="70">
        <f>'RESUMEN TOTAL'!AK303</f>
        <v>0</v>
      </c>
      <c r="AE252" s="70">
        <f>'RESUMEN TOTAL'!AL303</f>
        <v>0</v>
      </c>
      <c r="AF252" s="70">
        <f>'RESUMEN TOTAL'!AM303</f>
        <v>0</v>
      </c>
      <c r="AG252" s="70">
        <f>'RESUMEN TOTAL'!AN303</f>
        <v>0</v>
      </c>
      <c r="AH252" s="70">
        <f>'RESUMEN TOTAL'!AO303</f>
        <v>0</v>
      </c>
      <c r="AI252" s="70">
        <f>'RESUMEN TOTAL'!AP303</f>
        <v>0</v>
      </c>
    </row>
    <row r="253" spans="1:35" x14ac:dyDescent="0.25">
      <c r="A253" t="str">
        <f>'RESUMEN TOTAL'!A304</f>
        <v>SAN RUDECINDO</v>
      </c>
      <c r="B253" t="str">
        <f>'RESUMEN TOTAL'!B304</f>
        <v>PUNTO SEGURO SAN RUDECINDO INTERCOMUNICADOR</v>
      </c>
      <c r="C253" t="str">
        <f>'RESUMEN TOTAL'!D304</f>
        <v>SABTA SOFIA Y ALVAR NUÃ‘EZ</v>
      </c>
      <c r="D253" s="30" t="str">
        <f>'RESUMEN TOTAL'!E304</f>
        <v>Domo</v>
      </c>
      <c r="E253" s="30" t="str">
        <f>'RESUMEN TOTAL'!F304</f>
        <v>GPON</v>
      </c>
      <c r="F253" s="70">
        <f>'RESUMEN TOTAL'!M304</f>
        <v>0</v>
      </c>
      <c r="G253" s="70">
        <f>'RESUMEN TOTAL'!N304</f>
        <v>0</v>
      </c>
      <c r="H253" s="70">
        <f>'RESUMEN TOTAL'!O304</f>
        <v>0</v>
      </c>
      <c r="I253" s="70">
        <f>'RESUMEN TOTAL'!P304</f>
        <v>0</v>
      </c>
      <c r="J253" s="70">
        <f>'RESUMEN TOTAL'!Q304</f>
        <v>0</v>
      </c>
      <c r="K253" s="70">
        <f>'RESUMEN TOTAL'!R304</f>
        <v>0</v>
      </c>
      <c r="L253" s="70">
        <f>'RESUMEN TOTAL'!S304</f>
        <v>0</v>
      </c>
      <c r="M253" s="70">
        <f>'RESUMEN TOTAL'!T304</f>
        <v>0</v>
      </c>
      <c r="N253" s="70">
        <f>'RESUMEN TOTAL'!U304</f>
        <v>0</v>
      </c>
      <c r="O253" s="70">
        <f>'RESUMEN TOTAL'!V304</f>
        <v>0</v>
      </c>
      <c r="P253" s="70">
        <f>'RESUMEN TOTAL'!W304</f>
        <v>0</v>
      </c>
      <c r="Q253" s="70">
        <f>'RESUMEN TOTAL'!X304</f>
        <v>0</v>
      </c>
      <c r="R253" s="70">
        <f>'RESUMEN TOTAL'!Y304</f>
        <v>0</v>
      </c>
      <c r="S253" s="70">
        <f>'RESUMEN TOTAL'!Z304</f>
        <v>0</v>
      </c>
      <c r="T253" s="70">
        <f>'RESUMEN TOTAL'!AA304</f>
        <v>0</v>
      </c>
      <c r="U253" s="70">
        <f>'RESUMEN TOTAL'!AB304</f>
        <v>0</v>
      </c>
      <c r="V253" s="70">
        <f>'RESUMEN TOTAL'!AC304</f>
        <v>0</v>
      </c>
      <c r="W253" s="70">
        <f>'RESUMEN TOTAL'!AD304</f>
        <v>0</v>
      </c>
      <c r="X253" s="70">
        <f>'RESUMEN TOTAL'!AE304</f>
        <v>0</v>
      </c>
      <c r="Y253" s="70">
        <f>'RESUMEN TOTAL'!AF304</f>
        <v>0</v>
      </c>
      <c r="Z253" s="70">
        <f>'RESUMEN TOTAL'!AG304</f>
        <v>0</v>
      </c>
      <c r="AA253" s="70">
        <f>'RESUMEN TOTAL'!AH304</f>
        <v>0</v>
      </c>
      <c r="AB253" s="70">
        <f>'RESUMEN TOTAL'!AI304</f>
        <v>0</v>
      </c>
      <c r="AC253" s="70">
        <f>'RESUMEN TOTAL'!AJ304</f>
        <v>0</v>
      </c>
      <c r="AD253" s="70">
        <f>'RESUMEN TOTAL'!AK304</f>
        <v>0</v>
      </c>
      <c r="AE253" s="70">
        <f>'RESUMEN TOTAL'!AL304</f>
        <v>0</v>
      </c>
      <c r="AF253" s="70">
        <f>'RESUMEN TOTAL'!AM304</f>
        <v>0</v>
      </c>
      <c r="AG253" s="70">
        <f>'RESUMEN TOTAL'!AN304</f>
        <v>0</v>
      </c>
      <c r="AH253" s="70">
        <f>'RESUMEN TOTAL'!AO304</f>
        <v>0</v>
      </c>
      <c r="AI253" s="70">
        <f>'RESUMEN TOTAL'!AP304</f>
        <v>0</v>
      </c>
    </row>
    <row r="254" spans="1:35" x14ac:dyDescent="0.25">
      <c r="A254" t="str">
        <f>'RESUMEN TOTAL'!A305</f>
        <v>ZONA RURAL SANTA ROSA</v>
      </c>
      <c r="B254" t="str">
        <f>'RESUMEN TOTAL'!B305</f>
        <v>PUNTO SEGURO - SANTA ROSA (domo)</v>
      </c>
      <c r="C254" t="str">
        <f>'RESUMEN TOTAL'!D305</f>
        <v>BRUSELAS Y SICILIA</v>
      </c>
      <c r="D254" s="30" t="str">
        <f>'RESUMEN TOTAL'!E305</f>
        <v>DOMO</v>
      </c>
      <c r="E254" s="30" t="str">
        <f>'RESUMEN TOTAL'!F305</f>
        <v>Fibra Optica</v>
      </c>
      <c r="F254" s="70">
        <f>'RESUMEN TOTAL'!M305</f>
        <v>0</v>
      </c>
      <c r="G254" s="70" t="str">
        <f>'RESUMEN TOTAL'!N305</f>
        <v>APAGADO</v>
      </c>
      <c r="H254" s="70">
        <f>'RESUMEN TOTAL'!O305</f>
        <v>0</v>
      </c>
      <c r="I254" s="70" t="str">
        <f>'RESUMEN TOTAL'!P305</f>
        <v>APAGADO</v>
      </c>
      <c r="J254" s="70" t="str">
        <f>'RESUMEN TOTAL'!Q305</f>
        <v>APAGADO</v>
      </c>
      <c r="K254" s="70" t="str">
        <f>'RESUMEN TOTAL'!R305</f>
        <v>APAGADO</v>
      </c>
      <c r="L254" s="70" t="str">
        <f>'RESUMEN TOTAL'!S305</f>
        <v>APAGADO</v>
      </c>
      <c r="M254" s="70" t="str">
        <f>'RESUMEN TOTAL'!T305</f>
        <v>APAGADO</v>
      </c>
      <c r="N254" s="70" t="str">
        <f>'RESUMEN TOTAL'!U305</f>
        <v>APAGADO</v>
      </c>
      <c r="O254" s="70" t="str">
        <f>'RESUMEN TOTAL'!V305</f>
        <v>APAGADO</v>
      </c>
      <c r="P254" s="70" t="str">
        <f>'RESUMEN TOTAL'!W305</f>
        <v>APAGADO</v>
      </c>
      <c r="Q254" s="70" t="str">
        <f>'RESUMEN TOTAL'!X305</f>
        <v>APAGADO</v>
      </c>
      <c r="R254" s="70" t="str">
        <f>'RESUMEN TOTAL'!Y305</f>
        <v>APAGADO</v>
      </c>
      <c r="S254" s="70" t="str">
        <f>'RESUMEN TOTAL'!Z305</f>
        <v>APAGADO</v>
      </c>
      <c r="T254" s="70" t="str">
        <f>'RESUMEN TOTAL'!AA305</f>
        <v>APAGADO</v>
      </c>
      <c r="U254" s="70" t="str">
        <f>'RESUMEN TOTAL'!AB305</f>
        <v>APAGADO</v>
      </c>
      <c r="V254" s="70" t="str">
        <f>'RESUMEN TOTAL'!AC305</f>
        <v>APAGADO</v>
      </c>
      <c r="W254" s="70" t="str">
        <f>'RESUMEN TOTAL'!AD305</f>
        <v>APAGADO</v>
      </c>
      <c r="X254" s="70" t="str">
        <f>'RESUMEN TOTAL'!AE305</f>
        <v>APAGADO</v>
      </c>
      <c r="Y254" s="70">
        <f>'RESUMEN TOTAL'!AF305</f>
        <v>0</v>
      </c>
      <c r="Z254" s="70">
        <f>'RESUMEN TOTAL'!AG305</f>
        <v>0</v>
      </c>
      <c r="AA254" s="70" t="str">
        <f>'RESUMEN TOTAL'!AH305</f>
        <v>APAGADO</v>
      </c>
      <c r="AB254" s="70" t="str">
        <f>'RESUMEN TOTAL'!AI305</f>
        <v>APAGADO</v>
      </c>
      <c r="AC254" s="70" t="str">
        <f>'RESUMEN TOTAL'!AJ305</f>
        <v>APAGADO</v>
      </c>
      <c r="AD254" s="70" t="str">
        <f>'RESUMEN TOTAL'!AK305</f>
        <v>APAGADO</v>
      </c>
      <c r="AE254" s="70" t="str">
        <f>'RESUMEN TOTAL'!AL305</f>
        <v>APAGADO</v>
      </c>
      <c r="AF254" s="70">
        <f>'RESUMEN TOTAL'!AM305</f>
        <v>0</v>
      </c>
      <c r="AG254" s="70">
        <f>'RESUMEN TOTAL'!AN305</f>
        <v>0</v>
      </c>
      <c r="AH254" s="70">
        <f>'RESUMEN TOTAL'!AO305</f>
        <v>0</v>
      </c>
      <c r="AI254" s="70">
        <f>'RESUMEN TOTAL'!AP305</f>
        <v>0</v>
      </c>
    </row>
    <row r="255" spans="1:35" x14ac:dyDescent="0.25">
      <c r="A255" t="str">
        <f>'RESUMEN TOTAL'!A306</f>
        <v>ZONA RURAL SANTA ROSA</v>
      </c>
      <c r="B255" t="str">
        <f>'RESUMEN TOTAL'!B306</f>
        <v>PUNTO SEGURO - SANTA ROSA (fija)</v>
      </c>
      <c r="C255" t="str">
        <f>'RESUMEN TOTAL'!D306</f>
        <v>BRUSELAS Y SICILIA</v>
      </c>
      <c r="D255" s="30" t="str">
        <f>'RESUMEN TOTAL'!E306</f>
        <v>Fija</v>
      </c>
      <c r="E255" s="30" t="str">
        <f>'RESUMEN TOTAL'!F306</f>
        <v>Fibra Optica</v>
      </c>
      <c r="F255" s="70">
        <f>'RESUMEN TOTAL'!M306</f>
        <v>0</v>
      </c>
      <c r="G255" s="70">
        <f>'RESUMEN TOTAL'!N306</f>
        <v>0</v>
      </c>
      <c r="H255" s="70">
        <f>'RESUMEN TOTAL'!O306</f>
        <v>0</v>
      </c>
      <c r="I255" s="70">
        <f>'RESUMEN TOTAL'!P306</f>
        <v>0</v>
      </c>
      <c r="J255" s="70">
        <f>'RESUMEN TOTAL'!Q306</f>
        <v>0</v>
      </c>
      <c r="K255" s="70">
        <f>'RESUMEN TOTAL'!R306</f>
        <v>0</v>
      </c>
      <c r="L255" s="70">
        <f>'RESUMEN TOTAL'!S306</f>
        <v>0</v>
      </c>
      <c r="M255" s="70">
        <f>'RESUMEN TOTAL'!T306</f>
        <v>0</v>
      </c>
      <c r="N255" s="70">
        <f>'RESUMEN TOTAL'!U306</f>
        <v>0</v>
      </c>
      <c r="O255" s="70">
        <f>'RESUMEN TOTAL'!V306</f>
        <v>0</v>
      </c>
      <c r="P255" s="70">
        <f>'RESUMEN TOTAL'!W306</f>
        <v>0</v>
      </c>
      <c r="Q255" s="70">
        <f>'RESUMEN TOTAL'!X306</f>
        <v>0</v>
      </c>
      <c r="R255" s="70">
        <f>'RESUMEN TOTAL'!Y306</f>
        <v>0</v>
      </c>
      <c r="S255" s="70">
        <f>'RESUMEN TOTAL'!Z306</f>
        <v>0</v>
      </c>
      <c r="T255" s="70">
        <f>'RESUMEN TOTAL'!AA306</f>
        <v>0</v>
      </c>
      <c r="U255" s="70">
        <f>'RESUMEN TOTAL'!AB306</f>
        <v>0</v>
      </c>
      <c r="V255" s="70">
        <f>'RESUMEN TOTAL'!AC306</f>
        <v>0</v>
      </c>
      <c r="W255" s="70">
        <f>'RESUMEN TOTAL'!AD306</f>
        <v>0</v>
      </c>
      <c r="X255" s="70">
        <f>'RESUMEN TOTAL'!AE306</f>
        <v>0</v>
      </c>
      <c r="Y255" s="70">
        <f>'RESUMEN TOTAL'!AF306</f>
        <v>0</v>
      </c>
      <c r="Z255" s="70">
        <f>'RESUMEN TOTAL'!AG306</f>
        <v>0</v>
      </c>
      <c r="AA255" s="70">
        <f>'RESUMEN TOTAL'!AH306</f>
        <v>0</v>
      </c>
      <c r="AB255" s="70">
        <f>'RESUMEN TOTAL'!AI306</f>
        <v>0</v>
      </c>
      <c r="AC255" s="70">
        <f>'RESUMEN TOTAL'!AJ306</f>
        <v>0</v>
      </c>
      <c r="AD255" s="70">
        <f>'RESUMEN TOTAL'!AK306</f>
        <v>0</v>
      </c>
      <c r="AE255" s="70">
        <f>'RESUMEN TOTAL'!AL306</f>
        <v>0</v>
      </c>
      <c r="AF255" s="70">
        <f>'RESUMEN TOTAL'!AM306</f>
        <v>0</v>
      </c>
      <c r="AG255" s="70">
        <f>'RESUMEN TOTAL'!AN306</f>
        <v>0</v>
      </c>
      <c r="AH255" s="70">
        <f>'RESUMEN TOTAL'!AO306</f>
        <v>0</v>
      </c>
      <c r="AI255" s="70">
        <f>'RESUMEN TOTAL'!AP306</f>
        <v>0</v>
      </c>
    </row>
    <row r="256" spans="1:35" x14ac:dyDescent="0.25">
      <c r="A256" t="str">
        <f>'RESUMEN TOTAL'!A307</f>
        <v>ZONA RURAL SANTA ROSA</v>
      </c>
      <c r="B256" t="str">
        <f>'RESUMEN TOTAL'!B307</f>
        <v>PUNTO SEGURO SANTA ROSA INTERCOMUNICADOR</v>
      </c>
      <c r="C256" t="str">
        <f>'RESUMEN TOTAL'!D307</f>
        <v>Bruselas y sicilia</v>
      </c>
      <c r="D256" s="30" t="str">
        <f>'RESUMEN TOTAL'!E307</f>
        <v>Fija</v>
      </c>
      <c r="E256" s="30" t="str">
        <f>'RESUMEN TOTAL'!F307</f>
        <v>Fibra Optica</v>
      </c>
      <c r="F256" s="70">
        <f>'RESUMEN TOTAL'!M307</f>
        <v>0</v>
      </c>
      <c r="G256" s="70">
        <f>'RESUMEN TOTAL'!N307</f>
        <v>0</v>
      </c>
      <c r="H256" s="70">
        <f>'RESUMEN TOTAL'!O307</f>
        <v>0</v>
      </c>
      <c r="I256" s="70">
        <f>'RESUMEN TOTAL'!P307</f>
        <v>0</v>
      </c>
      <c r="J256" s="70">
        <f>'RESUMEN TOTAL'!Q307</f>
        <v>0</v>
      </c>
      <c r="K256" s="70">
        <f>'RESUMEN TOTAL'!R307</f>
        <v>0</v>
      </c>
      <c r="L256" s="70">
        <f>'RESUMEN TOTAL'!S307</f>
        <v>0</v>
      </c>
      <c r="M256" s="70">
        <f>'RESUMEN TOTAL'!T307</f>
        <v>0</v>
      </c>
      <c r="N256" s="70">
        <f>'RESUMEN TOTAL'!U307</f>
        <v>0</v>
      </c>
      <c r="O256" s="70">
        <f>'RESUMEN TOTAL'!V307</f>
        <v>0</v>
      </c>
      <c r="P256" s="70">
        <f>'RESUMEN TOTAL'!W307</f>
        <v>0</v>
      </c>
      <c r="Q256" s="70">
        <f>'RESUMEN TOTAL'!X307</f>
        <v>0</v>
      </c>
      <c r="R256" s="70">
        <f>'RESUMEN TOTAL'!Y307</f>
        <v>0</v>
      </c>
      <c r="S256" s="70">
        <f>'RESUMEN TOTAL'!Z307</f>
        <v>0</v>
      </c>
      <c r="T256" s="70">
        <f>'RESUMEN TOTAL'!AA307</f>
        <v>0</v>
      </c>
      <c r="U256" s="70">
        <f>'RESUMEN TOTAL'!AB307</f>
        <v>0</v>
      </c>
      <c r="V256" s="70">
        <f>'RESUMEN TOTAL'!AC307</f>
        <v>0</v>
      </c>
      <c r="W256" s="70">
        <f>'RESUMEN TOTAL'!AD307</f>
        <v>0</v>
      </c>
      <c r="X256" s="70">
        <f>'RESUMEN TOTAL'!AE307</f>
        <v>0</v>
      </c>
      <c r="Y256" s="70">
        <f>'RESUMEN TOTAL'!AF307</f>
        <v>0</v>
      </c>
      <c r="Z256" s="70">
        <f>'RESUMEN TOTAL'!AG307</f>
        <v>0</v>
      </c>
      <c r="AA256" s="70">
        <f>'RESUMEN TOTAL'!AH307</f>
        <v>0</v>
      </c>
      <c r="AB256" s="70">
        <f>'RESUMEN TOTAL'!AI307</f>
        <v>0</v>
      </c>
      <c r="AC256" s="70">
        <f>'RESUMEN TOTAL'!AJ307</f>
        <v>0</v>
      </c>
      <c r="AD256" s="70">
        <f>'RESUMEN TOTAL'!AK307</f>
        <v>0</v>
      </c>
      <c r="AE256" s="70">
        <f>'RESUMEN TOTAL'!AL307</f>
        <v>0</v>
      </c>
      <c r="AF256" s="70">
        <f>'RESUMEN TOTAL'!AM307</f>
        <v>0</v>
      </c>
      <c r="AG256" s="70">
        <f>'RESUMEN TOTAL'!AN307</f>
        <v>0</v>
      </c>
      <c r="AH256" s="70">
        <f>'RESUMEN TOTAL'!AO307</f>
        <v>0</v>
      </c>
      <c r="AI256" s="70">
        <f>'RESUMEN TOTAL'!AP307</f>
        <v>0</v>
      </c>
    </row>
    <row r="257" spans="1:35" x14ac:dyDescent="0.25">
      <c r="A257" t="str">
        <f>'RESUMEN TOTAL'!A308</f>
        <v>VILLA ARGENTINA</v>
      </c>
      <c r="B257" t="str">
        <f>'RESUMEN TOTAL'!B308</f>
        <v>PUNTO SEGURO VILLA ARGENTINA domo</v>
      </c>
      <c r="C257" t="str">
        <f>'RESUMEN TOTAL'!D308</f>
        <v>CALLE 513 Y DIAG PORTELA</v>
      </c>
      <c r="D257" s="30" t="str">
        <f>'RESUMEN TOTAL'!E308</f>
        <v>Fija</v>
      </c>
      <c r="E257" s="30" t="str">
        <f>'RESUMEN TOTAL'!F308</f>
        <v>Fibra Optica</v>
      </c>
      <c r="F257" s="70">
        <f>'RESUMEN TOTAL'!M308</f>
        <v>0</v>
      </c>
      <c r="G257" s="70">
        <f>'RESUMEN TOTAL'!N308</f>
        <v>0</v>
      </c>
      <c r="H257" s="70">
        <f>'RESUMEN TOTAL'!O308</f>
        <v>0</v>
      </c>
      <c r="I257" s="70">
        <f>'RESUMEN TOTAL'!P308</f>
        <v>0</v>
      </c>
      <c r="J257" s="70">
        <f>'RESUMEN TOTAL'!Q308</f>
        <v>0</v>
      </c>
      <c r="K257" s="70">
        <f>'RESUMEN TOTAL'!R308</f>
        <v>0</v>
      </c>
      <c r="L257" s="70">
        <f>'RESUMEN TOTAL'!S308</f>
        <v>0</v>
      </c>
      <c r="M257" s="70">
        <f>'RESUMEN TOTAL'!T308</f>
        <v>0</v>
      </c>
      <c r="N257" s="70">
        <f>'RESUMEN TOTAL'!U308</f>
        <v>0</v>
      </c>
      <c r="O257" s="70">
        <f>'RESUMEN TOTAL'!V308</f>
        <v>0</v>
      </c>
      <c r="P257" s="70">
        <f>'RESUMEN TOTAL'!W308</f>
        <v>0</v>
      </c>
      <c r="Q257" s="70">
        <f>'RESUMEN TOTAL'!X308</f>
        <v>0</v>
      </c>
      <c r="R257" s="70" t="str">
        <f>'RESUMEN TOTAL'!Y308</f>
        <v>APAGADO</v>
      </c>
      <c r="S257" s="70">
        <f>'RESUMEN TOTAL'!Z308</f>
        <v>0</v>
      </c>
      <c r="T257" s="70">
        <f>'RESUMEN TOTAL'!AA308</f>
        <v>0</v>
      </c>
      <c r="U257" s="70">
        <f>'RESUMEN TOTAL'!AB308</f>
        <v>0</v>
      </c>
      <c r="V257" s="70">
        <f>'RESUMEN TOTAL'!AC308</f>
        <v>0</v>
      </c>
      <c r="W257" s="70">
        <f>'RESUMEN TOTAL'!AD308</f>
        <v>0</v>
      </c>
      <c r="X257" s="70">
        <f>'RESUMEN TOTAL'!AE308</f>
        <v>0</v>
      </c>
      <c r="Y257" s="70">
        <f>'RESUMEN TOTAL'!AF308</f>
        <v>0</v>
      </c>
      <c r="Z257" s="70">
        <f>'RESUMEN TOTAL'!AG308</f>
        <v>0</v>
      </c>
      <c r="AA257" s="70">
        <f>'RESUMEN TOTAL'!AH308</f>
        <v>0</v>
      </c>
      <c r="AB257" s="70">
        <f>'RESUMEN TOTAL'!AI308</f>
        <v>0</v>
      </c>
      <c r="AC257" s="70">
        <f>'RESUMEN TOTAL'!AJ308</f>
        <v>0</v>
      </c>
      <c r="AD257" s="70">
        <f>'RESUMEN TOTAL'!AK308</f>
        <v>0</v>
      </c>
      <c r="AE257" s="70">
        <f>'RESUMEN TOTAL'!AL308</f>
        <v>0</v>
      </c>
      <c r="AF257" s="70">
        <f>'RESUMEN TOTAL'!AM308</f>
        <v>0</v>
      </c>
      <c r="AG257" s="70">
        <f>'RESUMEN TOTAL'!AN308</f>
        <v>0</v>
      </c>
      <c r="AH257" s="70">
        <f>'RESUMEN TOTAL'!AO308</f>
        <v>0</v>
      </c>
      <c r="AI257" s="70">
        <f>'RESUMEN TOTAL'!AP308</f>
        <v>0</v>
      </c>
    </row>
    <row r="258" spans="1:35" x14ac:dyDescent="0.25">
      <c r="A258" t="str">
        <f>'RESUMEN TOTAL'!A309</f>
        <v>VILLA ARGENTINA</v>
      </c>
      <c r="B258" t="str">
        <f>'RESUMEN TOTAL'!B309</f>
        <v>PUNTO SEGURO VILLA ARGENTINA fija</v>
      </c>
      <c r="C258" t="str">
        <f>'RESUMEN TOTAL'!D309</f>
        <v>CALLE 513 Y DIAG PORTELA</v>
      </c>
      <c r="D258" s="30" t="str">
        <f>'RESUMEN TOTAL'!E309</f>
        <v>Fija</v>
      </c>
      <c r="E258" s="30" t="str">
        <f>'RESUMEN TOTAL'!F309</f>
        <v>Fibra Optica</v>
      </c>
      <c r="F258" s="70">
        <f>'RESUMEN TOTAL'!M309</f>
        <v>0</v>
      </c>
      <c r="G258" s="70">
        <f>'RESUMEN TOTAL'!N309</f>
        <v>0</v>
      </c>
      <c r="H258" s="70">
        <f>'RESUMEN TOTAL'!O309</f>
        <v>0</v>
      </c>
      <c r="I258" s="70">
        <f>'RESUMEN TOTAL'!P309</f>
        <v>0</v>
      </c>
      <c r="J258" s="70">
        <f>'RESUMEN TOTAL'!Q309</f>
        <v>0</v>
      </c>
      <c r="K258" s="70">
        <f>'RESUMEN TOTAL'!R309</f>
        <v>0</v>
      </c>
      <c r="L258" s="70">
        <f>'RESUMEN TOTAL'!S309</f>
        <v>0</v>
      </c>
      <c r="M258" s="70">
        <f>'RESUMEN TOTAL'!T309</f>
        <v>0</v>
      </c>
      <c r="N258" s="70">
        <f>'RESUMEN TOTAL'!U309</f>
        <v>0</v>
      </c>
      <c r="O258" s="70">
        <f>'RESUMEN TOTAL'!V309</f>
        <v>0</v>
      </c>
      <c r="P258" s="70">
        <f>'RESUMEN TOTAL'!W309</f>
        <v>0</v>
      </c>
      <c r="Q258" s="70">
        <f>'RESUMEN TOTAL'!X309</f>
        <v>0</v>
      </c>
      <c r="R258" s="70" t="str">
        <f>'RESUMEN TOTAL'!Y309</f>
        <v>APAGADO</v>
      </c>
      <c r="S258" s="70">
        <f>'RESUMEN TOTAL'!Z309</f>
        <v>0</v>
      </c>
      <c r="T258" s="70">
        <f>'RESUMEN TOTAL'!AA309</f>
        <v>0</v>
      </c>
      <c r="U258" s="70">
        <f>'RESUMEN TOTAL'!AB309</f>
        <v>0</v>
      </c>
      <c r="V258" s="70">
        <f>'RESUMEN TOTAL'!AC309</f>
        <v>0</v>
      </c>
      <c r="W258" s="70">
        <f>'RESUMEN TOTAL'!AD309</f>
        <v>0</v>
      </c>
      <c r="X258" s="70">
        <f>'RESUMEN TOTAL'!AE309</f>
        <v>0</v>
      </c>
      <c r="Y258" s="70">
        <f>'RESUMEN TOTAL'!AF309</f>
        <v>0</v>
      </c>
      <c r="Z258" s="70">
        <f>'RESUMEN TOTAL'!AG309</f>
        <v>0</v>
      </c>
      <c r="AA258" s="70">
        <f>'RESUMEN TOTAL'!AH309</f>
        <v>0</v>
      </c>
      <c r="AB258" s="70">
        <f>'RESUMEN TOTAL'!AI309</f>
        <v>0</v>
      </c>
      <c r="AC258" s="70">
        <f>'RESUMEN TOTAL'!AJ309</f>
        <v>0</v>
      </c>
      <c r="AD258" s="70">
        <f>'RESUMEN TOTAL'!AK309</f>
        <v>0</v>
      </c>
      <c r="AE258" s="70">
        <f>'RESUMEN TOTAL'!AL309</f>
        <v>0</v>
      </c>
      <c r="AF258" s="70">
        <f>'RESUMEN TOTAL'!AM309</f>
        <v>0</v>
      </c>
      <c r="AG258" s="70">
        <f>'RESUMEN TOTAL'!AN309</f>
        <v>0</v>
      </c>
      <c r="AH258" s="70">
        <f>'RESUMEN TOTAL'!AO309</f>
        <v>0</v>
      </c>
      <c r="AI258" s="70">
        <f>'RESUMEN TOTAL'!AP309</f>
        <v>0</v>
      </c>
    </row>
    <row r="259" spans="1:35" x14ac:dyDescent="0.25">
      <c r="A259" t="str">
        <f>'RESUMEN TOTAL'!A310</f>
        <v>VILLA ARGENTINA</v>
      </c>
      <c r="B259" t="str">
        <f>'RESUMEN TOTAL'!B310</f>
        <v>PUNTO SEGURO VILLA ARGENTINA INTERCOMUNICADOR</v>
      </c>
      <c r="C259" t="str">
        <f>'RESUMEN TOTAL'!D310</f>
        <v>CALLE 513 Y DIAG PORTELA</v>
      </c>
      <c r="D259" s="30" t="str">
        <f>'RESUMEN TOTAL'!E310</f>
        <v>Fija</v>
      </c>
      <c r="E259" s="30" t="str">
        <f>'RESUMEN TOTAL'!F310</f>
        <v>Fibra Optica</v>
      </c>
      <c r="F259" s="70">
        <f>'RESUMEN TOTAL'!M310</f>
        <v>0</v>
      </c>
      <c r="G259" s="70">
        <f>'RESUMEN TOTAL'!N310</f>
        <v>0</v>
      </c>
      <c r="H259" s="70">
        <f>'RESUMEN TOTAL'!O310</f>
        <v>0</v>
      </c>
      <c r="I259" s="70">
        <f>'RESUMEN TOTAL'!P310</f>
        <v>0</v>
      </c>
      <c r="J259" s="70">
        <f>'RESUMEN TOTAL'!Q310</f>
        <v>0</v>
      </c>
      <c r="K259" s="70">
        <f>'RESUMEN TOTAL'!R310</f>
        <v>0</v>
      </c>
      <c r="L259" s="70">
        <f>'RESUMEN TOTAL'!S310</f>
        <v>0</v>
      </c>
      <c r="M259" s="70">
        <f>'RESUMEN TOTAL'!T310</f>
        <v>0</v>
      </c>
      <c r="N259" s="70">
        <f>'RESUMEN TOTAL'!U310</f>
        <v>0</v>
      </c>
      <c r="O259" s="70">
        <f>'RESUMEN TOTAL'!V310</f>
        <v>0</v>
      </c>
      <c r="P259" s="70">
        <f>'RESUMEN TOTAL'!W310</f>
        <v>0</v>
      </c>
      <c r="Q259" s="70">
        <f>'RESUMEN TOTAL'!X310</f>
        <v>0</v>
      </c>
      <c r="R259" s="70" t="str">
        <f>'RESUMEN TOTAL'!Y310</f>
        <v>APAGADO</v>
      </c>
      <c r="S259" s="70">
        <f>'RESUMEN TOTAL'!Z310</f>
        <v>0</v>
      </c>
      <c r="T259" s="70">
        <f>'RESUMEN TOTAL'!AA310</f>
        <v>0</v>
      </c>
      <c r="U259" s="70">
        <f>'RESUMEN TOTAL'!AB310</f>
        <v>0</v>
      </c>
      <c r="V259" s="70">
        <f>'RESUMEN TOTAL'!AC310</f>
        <v>0</v>
      </c>
      <c r="W259" s="70">
        <f>'RESUMEN TOTAL'!AD310</f>
        <v>0</v>
      </c>
      <c r="X259" s="70">
        <f>'RESUMEN TOTAL'!AE310</f>
        <v>0</v>
      </c>
      <c r="Y259" s="70">
        <f>'RESUMEN TOTAL'!AF310</f>
        <v>0</v>
      </c>
      <c r="Z259" s="70">
        <f>'RESUMEN TOTAL'!AG310</f>
        <v>0</v>
      </c>
      <c r="AA259" s="70">
        <f>'RESUMEN TOTAL'!AH310</f>
        <v>0</v>
      </c>
      <c r="AB259" s="70">
        <f>'RESUMEN TOTAL'!AI310</f>
        <v>0</v>
      </c>
      <c r="AC259" s="70">
        <f>'RESUMEN TOTAL'!AJ310</f>
        <v>0</v>
      </c>
      <c r="AD259" s="70">
        <f>'RESUMEN TOTAL'!AK310</f>
        <v>0</v>
      </c>
      <c r="AE259" s="70">
        <f>'RESUMEN TOTAL'!AL310</f>
        <v>0</v>
      </c>
      <c r="AF259" s="70">
        <f>'RESUMEN TOTAL'!AM310</f>
        <v>0</v>
      </c>
      <c r="AG259" s="70">
        <f>'RESUMEN TOTAL'!AN310</f>
        <v>0</v>
      </c>
      <c r="AH259" s="70">
        <f>'RESUMEN TOTAL'!AO310</f>
        <v>0</v>
      </c>
      <c r="AI259" s="70">
        <f>'RESUMEN TOTAL'!AP310</f>
        <v>0</v>
      </c>
    </row>
    <row r="260" spans="1:35" x14ac:dyDescent="0.25">
      <c r="A260" t="str">
        <f>'RESUMEN TOTAL'!A311</f>
        <v>EL ROCIO</v>
      </c>
      <c r="B260" t="str">
        <f>'RESUMEN TOTAL'!B311</f>
        <v>RCO 01</v>
      </c>
      <c r="C260" t="str">
        <f>'RESUMEN TOTAL'!D311</f>
        <v>AV. LUJAN Y LOBOS</v>
      </c>
      <c r="D260" s="30" t="str">
        <f>'RESUMEN TOTAL'!E311</f>
        <v>DOMO</v>
      </c>
      <c r="E260" s="30" t="str">
        <f>'RESUMEN TOTAL'!F311</f>
        <v>Fibra Optica</v>
      </c>
      <c r="F260" s="70">
        <f>'RESUMEN TOTAL'!M311</f>
        <v>0</v>
      </c>
      <c r="G260" s="70">
        <f>'RESUMEN TOTAL'!N311</f>
        <v>0</v>
      </c>
      <c r="H260" s="70">
        <f>'RESUMEN TOTAL'!O311</f>
        <v>0</v>
      </c>
      <c r="I260" s="70">
        <f>'RESUMEN TOTAL'!P311</f>
        <v>0</v>
      </c>
      <c r="J260" s="70">
        <f>'RESUMEN TOTAL'!Q311</f>
        <v>0</v>
      </c>
      <c r="K260" s="70">
        <f>'RESUMEN TOTAL'!R311</f>
        <v>0</v>
      </c>
      <c r="L260" s="70">
        <f>'RESUMEN TOTAL'!S311</f>
        <v>0</v>
      </c>
      <c r="M260" s="70">
        <f>'RESUMEN TOTAL'!T311</f>
        <v>0</v>
      </c>
      <c r="N260" s="70">
        <f>'RESUMEN TOTAL'!U311</f>
        <v>0</v>
      </c>
      <c r="O260" s="70">
        <f>'RESUMEN TOTAL'!V311</f>
        <v>0</v>
      </c>
      <c r="P260" s="70">
        <f>'RESUMEN TOTAL'!W311</f>
        <v>0</v>
      </c>
      <c r="Q260" s="70">
        <f>'RESUMEN TOTAL'!X311</f>
        <v>0</v>
      </c>
      <c r="R260" s="70">
        <f>'RESUMEN TOTAL'!Y311</f>
        <v>0</v>
      </c>
      <c r="S260" s="70">
        <f>'RESUMEN TOTAL'!Z311</f>
        <v>0</v>
      </c>
      <c r="T260" s="70">
        <f>'RESUMEN TOTAL'!AA311</f>
        <v>0</v>
      </c>
      <c r="U260" s="70">
        <f>'RESUMEN TOTAL'!AB311</f>
        <v>0</v>
      </c>
      <c r="V260" s="70">
        <f>'RESUMEN TOTAL'!AC311</f>
        <v>0</v>
      </c>
      <c r="W260" s="70">
        <f>'RESUMEN TOTAL'!AD311</f>
        <v>0</v>
      </c>
      <c r="X260" s="70">
        <f>'RESUMEN TOTAL'!AE311</f>
        <v>0</v>
      </c>
      <c r="Y260" s="70">
        <f>'RESUMEN TOTAL'!AF311</f>
        <v>0</v>
      </c>
      <c r="Z260" s="70">
        <f>'RESUMEN TOTAL'!AG311</f>
        <v>0</v>
      </c>
      <c r="AA260" s="70">
        <f>'RESUMEN TOTAL'!AH311</f>
        <v>0</v>
      </c>
      <c r="AB260" s="70">
        <f>'RESUMEN TOTAL'!AI311</f>
        <v>0</v>
      </c>
      <c r="AC260" s="70" t="str">
        <f>'RESUMEN TOTAL'!AJ311</f>
        <v>APAGADO</v>
      </c>
      <c r="AD260" s="70">
        <f>'RESUMEN TOTAL'!AK311</f>
        <v>0</v>
      </c>
      <c r="AE260" s="70">
        <f>'RESUMEN TOTAL'!AL311</f>
        <v>0</v>
      </c>
      <c r="AF260" s="70">
        <f>'RESUMEN TOTAL'!AM311</f>
        <v>0</v>
      </c>
      <c r="AG260" s="70">
        <f>'RESUMEN TOTAL'!AN311</f>
        <v>0</v>
      </c>
      <c r="AH260" s="70">
        <f>'RESUMEN TOTAL'!AO311</f>
        <v>0</v>
      </c>
      <c r="AI260" s="70">
        <f>'RESUMEN TOTAL'!AP311</f>
        <v>0</v>
      </c>
    </row>
    <row r="261" spans="1:35" x14ac:dyDescent="0.25">
      <c r="A261" t="str">
        <f>'RESUMEN TOTAL'!A312</f>
        <v>EL ROCIO</v>
      </c>
      <c r="B261" t="str">
        <f>'RESUMEN TOTAL'!B312</f>
        <v>RCO02</v>
      </c>
      <c r="C261" t="str">
        <f>'RESUMEN TOTAL'!D312</f>
        <v>AV. LUJAN Y BRANDSEN</v>
      </c>
      <c r="D261" s="30" t="str">
        <f>'RESUMEN TOTAL'!E312</f>
        <v>DOMO</v>
      </c>
      <c r="E261" s="30" t="str">
        <f>'RESUMEN TOTAL'!F312</f>
        <v>Fibra Optica</v>
      </c>
      <c r="F261" s="70">
        <f>'RESUMEN TOTAL'!M312</f>
        <v>0</v>
      </c>
      <c r="G261" s="70">
        <f>'RESUMEN TOTAL'!N312</f>
        <v>0</v>
      </c>
      <c r="H261" s="70">
        <f>'RESUMEN TOTAL'!O312</f>
        <v>0</v>
      </c>
      <c r="I261" s="70">
        <f>'RESUMEN TOTAL'!P312</f>
        <v>0</v>
      </c>
      <c r="J261" s="70">
        <f>'RESUMEN TOTAL'!Q312</f>
        <v>0</v>
      </c>
      <c r="K261" s="70">
        <f>'RESUMEN TOTAL'!R312</f>
        <v>0</v>
      </c>
      <c r="L261" s="70">
        <f>'RESUMEN TOTAL'!S312</f>
        <v>0</v>
      </c>
      <c r="M261" s="70">
        <f>'RESUMEN TOTAL'!T312</f>
        <v>0</v>
      </c>
      <c r="N261" s="70">
        <f>'RESUMEN TOTAL'!U312</f>
        <v>0</v>
      </c>
      <c r="O261" s="70">
        <f>'RESUMEN TOTAL'!V312</f>
        <v>0</v>
      </c>
      <c r="P261" s="70">
        <f>'RESUMEN TOTAL'!W312</f>
        <v>0</v>
      </c>
      <c r="Q261" s="70">
        <f>'RESUMEN TOTAL'!X312</f>
        <v>0</v>
      </c>
      <c r="R261" s="70">
        <f>'RESUMEN TOTAL'!Y312</f>
        <v>0</v>
      </c>
      <c r="S261" s="70">
        <f>'RESUMEN TOTAL'!Z312</f>
        <v>0</v>
      </c>
      <c r="T261" s="70">
        <f>'RESUMEN TOTAL'!AA312</f>
        <v>0</v>
      </c>
      <c r="U261" s="70">
        <f>'RESUMEN TOTAL'!AB312</f>
        <v>0</v>
      </c>
      <c r="V261" s="70">
        <f>'RESUMEN TOTAL'!AC312</f>
        <v>0</v>
      </c>
      <c r="W261" s="70">
        <f>'RESUMEN TOTAL'!AD312</f>
        <v>0</v>
      </c>
      <c r="X261" s="70">
        <f>'RESUMEN TOTAL'!AE312</f>
        <v>0</v>
      </c>
      <c r="Y261" s="70">
        <f>'RESUMEN TOTAL'!AF312</f>
        <v>0</v>
      </c>
      <c r="Z261" s="70">
        <f>'RESUMEN TOTAL'!AG312</f>
        <v>0</v>
      </c>
      <c r="AA261" s="70">
        <f>'RESUMEN TOTAL'!AH312</f>
        <v>0</v>
      </c>
      <c r="AB261" s="70">
        <f>'RESUMEN TOTAL'!AI312</f>
        <v>0</v>
      </c>
      <c r="AC261" s="70" t="str">
        <f>'RESUMEN TOTAL'!AJ312</f>
        <v>APAGADO</v>
      </c>
      <c r="AD261" s="70">
        <f>'RESUMEN TOTAL'!AK312</f>
        <v>0</v>
      </c>
      <c r="AE261" s="70">
        <f>'RESUMEN TOTAL'!AL312</f>
        <v>0</v>
      </c>
      <c r="AF261" s="70">
        <f>'RESUMEN TOTAL'!AM312</f>
        <v>0</v>
      </c>
      <c r="AG261" s="70">
        <f>'RESUMEN TOTAL'!AN312</f>
        <v>0</v>
      </c>
      <c r="AH261" s="70">
        <f>'RESUMEN TOTAL'!AO312</f>
        <v>0</v>
      </c>
      <c r="AI261" s="70">
        <f>'RESUMEN TOTAL'!AP312</f>
        <v>0</v>
      </c>
    </row>
    <row r="262" spans="1:35" x14ac:dyDescent="0.25">
      <c r="A262" t="str">
        <f>'RESUMEN TOTAL'!A313</f>
        <v>EL ROCIO</v>
      </c>
      <c r="B262" t="str">
        <f>'RESUMEN TOTAL'!B313</f>
        <v>RCO03 (fija 1)</v>
      </c>
      <c r="C262" t="str">
        <f>'RESUMEN TOTAL'!D313</f>
        <v>OLAVARRIA Y CONCORDIA</v>
      </c>
      <c r="D262" s="30" t="str">
        <f>'RESUMEN TOTAL'!E313</f>
        <v>Fija</v>
      </c>
      <c r="E262" s="30" t="str">
        <f>'RESUMEN TOTAL'!F313</f>
        <v>Fibra Optica</v>
      </c>
      <c r="F262" s="70">
        <f>'RESUMEN TOTAL'!M313</f>
        <v>0</v>
      </c>
      <c r="G262" s="70">
        <f>'RESUMEN TOTAL'!N313</f>
        <v>0</v>
      </c>
      <c r="H262" s="70">
        <f>'RESUMEN TOTAL'!O313</f>
        <v>0</v>
      </c>
      <c r="I262" s="70">
        <f>'RESUMEN TOTAL'!P313</f>
        <v>0</v>
      </c>
      <c r="J262" s="70">
        <f>'RESUMEN TOTAL'!Q313</f>
        <v>0</v>
      </c>
      <c r="K262" s="70">
        <f>'RESUMEN TOTAL'!R313</f>
        <v>0</v>
      </c>
      <c r="L262" s="70">
        <f>'RESUMEN TOTAL'!S313</f>
        <v>0</v>
      </c>
      <c r="M262" s="70">
        <f>'RESUMEN TOTAL'!T313</f>
        <v>0</v>
      </c>
      <c r="N262" s="70">
        <f>'RESUMEN TOTAL'!U313</f>
        <v>0</v>
      </c>
      <c r="O262" s="70">
        <f>'RESUMEN TOTAL'!V313</f>
        <v>0</v>
      </c>
      <c r="P262" s="70">
        <f>'RESUMEN TOTAL'!W313</f>
        <v>0</v>
      </c>
      <c r="Q262" s="70">
        <f>'RESUMEN TOTAL'!X313</f>
        <v>0</v>
      </c>
      <c r="R262" s="70">
        <f>'RESUMEN TOTAL'!Y313</f>
        <v>0</v>
      </c>
      <c r="S262" s="70">
        <f>'RESUMEN TOTAL'!Z313</f>
        <v>0</v>
      </c>
      <c r="T262" s="70">
        <f>'RESUMEN TOTAL'!AA313</f>
        <v>0</v>
      </c>
      <c r="U262" s="70">
        <f>'RESUMEN TOTAL'!AB313</f>
        <v>0</v>
      </c>
      <c r="V262" s="70">
        <f>'RESUMEN TOTAL'!AC313</f>
        <v>0</v>
      </c>
      <c r="W262" s="70">
        <f>'RESUMEN TOTAL'!AD313</f>
        <v>0</v>
      </c>
      <c r="X262" s="70">
        <f>'RESUMEN TOTAL'!AE313</f>
        <v>0</v>
      </c>
      <c r="Y262" s="70">
        <f>'RESUMEN TOTAL'!AF313</f>
        <v>0</v>
      </c>
      <c r="Z262" s="70">
        <f>'RESUMEN TOTAL'!AG313</f>
        <v>0</v>
      </c>
      <c r="AA262" s="70">
        <f>'RESUMEN TOTAL'!AH313</f>
        <v>0</v>
      </c>
      <c r="AB262" s="70">
        <f>'RESUMEN TOTAL'!AI313</f>
        <v>0</v>
      </c>
      <c r="AC262" s="70" t="str">
        <f>'RESUMEN TOTAL'!AJ313</f>
        <v>APAGADO</v>
      </c>
      <c r="AD262" s="70">
        <f>'RESUMEN TOTAL'!AK313</f>
        <v>0</v>
      </c>
      <c r="AE262" s="70">
        <f>'RESUMEN TOTAL'!AL313</f>
        <v>0</v>
      </c>
      <c r="AF262" s="70">
        <f>'RESUMEN TOTAL'!AM313</f>
        <v>0</v>
      </c>
      <c r="AG262" s="70">
        <f>'RESUMEN TOTAL'!AN313</f>
        <v>0</v>
      </c>
      <c r="AH262" s="70">
        <f>'RESUMEN TOTAL'!AO313</f>
        <v>0</v>
      </c>
      <c r="AI262" s="70">
        <f>'RESUMEN TOTAL'!AP313</f>
        <v>0</v>
      </c>
    </row>
    <row r="263" spans="1:35" x14ac:dyDescent="0.25">
      <c r="A263" t="str">
        <f>'RESUMEN TOTAL'!A314</f>
        <v>EL ROCIO</v>
      </c>
      <c r="B263" t="str">
        <f>'RESUMEN TOTAL'!B314</f>
        <v>RCO04 (fija 2)</v>
      </c>
      <c r="C263" t="str">
        <f>'RESUMEN TOTAL'!D314</f>
        <v>OLAVARRIA Y CONCORDIA</v>
      </c>
      <c r="D263" s="30" t="str">
        <f>'RESUMEN TOTAL'!E314</f>
        <v>Fija</v>
      </c>
      <c r="E263" s="30" t="str">
        <f>'RESUMEN TOTAL'!F314</f>
        <v>Fibra Optica</v>
      </c>
      <c r="F263" s="70">
        <f>'RESUMEN TOTAL'!M314</f>
        <v>0</v>
      </c>
      <c r="G263" s="70">
        <f>'RESUMEN TOTAL'!N314</f>
        <v>0</v>
      </c>
      <c r="H263" s="70">
        <f>'RESUMEN TOTAL'!O314</f>
        <v>0</v>
      </c>
      <c r="I263" s="70">
        <f>'RESUMEN TOTAL'!P314</f>
        <v>0</v>
      </c>
      <c r="J263" s="70">
        <f>'RESUMEN TOTAL'!Q314</f>
        <v>0</v>
      </c>
      <c r="K263" s="70">
        <f>'RESUMEN TOTAL'!R314</f>
        <v>0</v>
      </c>
      <c r="L263" s="70">
        <f>'RESUMEN TOTAL'!S314</f>
        <v>0</v>
      </c>
      <c r="M263" s="70">
        <f>'RESUMEN TOTAL'!T314</f>
        <v>0</v>
      </c>
      <c r="N263" s="70">
        <f>'RESUMEN TOTAL'!U314</f>
        <v>0</v>
      </c>
      <c r="O263" s="70">
        <f>'RESUMEN TOTAL'!V314</f>
        <v>0</v>
      </c>
      <c r="P263" s="70">
        <f>'RESUMEN TOTAL'!W314</f>
        <v>0</v>
      </c>
      <c r="Q263" s="70">
        <f>'RESUMEN TOTAL'!X314</f>
        <v>0</v>
      </c>
      <c r="R263" s="70">
        <f>'RESUMEN TOTAL'!Y314</f>
        <v>0</v>
      </c>
      <c r="S263" s="70">
        <f>'RESUMEN TOTAL'!Z314</f>
        <v>0</v>
      </c>
      <c r="T263" s="70">
        <f>'RESUMEN TOTAL'!AA314</f>
        <v>0</v>
      </c>
      <c r="U263" s="70">
        <f>'RESUMEN TOTAL'!AB314</f>
        <v>0</v>
      </c>
      <c r="V263" s="70">
        <f>'RESUMEN TOTAL'!AC314</f>
        <v>0</v>
      </c>
      <c r="W263" s="70">
        <f>'RESUMEN TOTAL'!AD314</f>
        <v>0</v>
      </c>
      <c r="X263" s="70">
        <f>'RESUMEN TOTAL'!AE314</f>
        <v>0</v>
      </c>
      <c r="Y263" s="70">
        <f>'RESUMEN TOTAL'!AF314</f>
        <v>0</v>
      </c>
      <c r="Z263" s="70">
        <f>'RESUMEN TOTAL'!AG314</f>
        <v>0</v>
      </c>
      <c r="AA263" s="70">
        <f>'RESUMEN TOTAL'!AH314</f>
        <v>0</v>
      </c>
      <c r="AB263" s="70">
        <f>'RESUMEN TOTAL'!AI314</f>
        <v>0</v>
      </c>
      <c r="AC263" s="70" t="str">
        <f>'RESUMEN TOTAL'!AJ314</f>
        <v>APAGADO</v>
      </c>
      <c r="AD263" s="70">
        <f>'RESUMEN TOTAL'!AK314</f>
        <v>0</v>
      </c>
      <c r="AE263" s="70">
        <f>'RESUMEN TOTAL'!AL314</f>
        <v>0</v>
      </c>
      <c r="AF263" s="70">
        <f>'RESUMEN TOTAL'!AM314</f>
        <v>0</v>
      </c>
      <c r="AG263" s="70">
        <f>'RESUMEN TOTAL'!AN314</f>
        <v>0</v>
      </c>
      <c r="AH263" s="70">
        <f>'RESUMEN TOTAL'!AO314</f>
        <v>0</v>
      </c>
      <c r="AI263" s="70">
        <f>'RESUMEN TOTAL'!AP314</f>
        <v>0</v>
      </c>
    </row>
    <row r="264" spans="1:35" x14ac:dyDescent="0.25">
      <c r="A264" t="str">
        <f>'RESUMEN TOTAL'!A315</f>
        <v>EL ROCIO</v>
      </c>
      <c r="B264" t="str">
        <f>'RESUMEN TOTAL'!B315</f>
        <v>RCO05 (fija 1)</v>
      </c>
      <c r="C264" t="str">
        <f>'RESUMEN TOTAL'!D315</f>
        <v>LOBOS Y CHASCOMUS</v>
      </c>
      <c r="D264" s="30" t="str">
        <f>'RESUMEN TOTAL'!E315</f>
        <v>Fija</v>
      </c>
      <c r="E264" s="30" t="str">
        <f>'RESUMEN TOTAL'!F315</f>
        <v>Fibra Optica</v>
      </c>
      <c r="F264" s="70">
        <f>'RESUMEN TOTAL'!M315</f>
        <v>0</v>
      </c>
      <c r="G264" s="70">
        <f>'RESUMEN TOTAL'!N315</f>
        <v>0</v>
      </c>
      <c r="H264" s="70">
        <f>'RESUMEN TOTAL'!O315</f>
        <v>0</v>
      </c>
      <c r="I264" s="70">
        <f>'RESUMEN TOTAL'!P315</f>
        <v>0</v>
      </c>
      <c r="J264" s="70">
        <f>'RESUMEN TOTAL'!Q315</f>
        <v>0</v>
      </c>
      <c r="K264" s="70">
        <f>'RESUMEN TOTAL'!R315</f>
        <v>0</v>
      </c>
      <c r="L264" s="70">
        <f>'RESUMEN TOTAL'!S315</f>
        <v>0</v>
      </c>
      <c r="M264" s="70">
        <f>'RESUMEN TOTAL'!T315</f>
        <v>0</v>
      </c>
      <c r="N264" s="70">
        <f>'RESUMEN TOTAL'!U315</f>
        <v>0</v>
      </c>
      <c r="O264" s="70">
        <f>'RESUMEN TOTAL'!V315</f>
        <v>0</v>
      </c>
      <c r="P264" s="70">
        <f>'RESUMEN TOTAL'!W315</f>
        <v>0</v>
      </c>
      <c r="Q264" s="70">
        <f>'RESUMEN TOTAL'!X315</f>
        <v>0</v>
      </c>
      <c r="R264" s="70">
        <f>'RESUMEN TOTAL'!Y315</f>
        <v>0</v>
      </c>
      <c r="S264" s="70">
        <f>'RESUMEN TOTAL'!Z315</f>
        <v>0</v>
      </c>
      <c r="T264" s="70">
        <f>'RESUMEN TOTAL'!AA315</f>
        <v>0</v>
      </c>
      <c r="U264" s="70">
        <f>'RESUMEN TOTAL'!AB315</f>
        <v>0</v>
      </c>
      <c r="V264" s="70">
        <f>'RESUMEN TOTAL'!AC315</f>
        <v>0</v>
      </c>
      <c r="W264" s="70">
        <f>'RESUMEN TOTAL'!AD315</f>
        <v>0</v>
      </c>
      <c r="X264" s="70">
        <f>'RESUMEN TOTAL'!AE315</f>
        <v>0</v>
      </c>
      <c r="Y264" s="70">
        <f>'RESUMEN TOTAL'!AF315</f>
        <v>0</v>
      </c>
      <c r="Z264" s="70">
        <f>'RESUMEN TOTAL'!AG315</f>
        <v>0</v>
      </c>
      <c r="AA264" s="70">
        <f>'RESUMEN TOTAL'!AH315</f>
        <v>0</v>
      </c>
      <c r="AB264" s="70">
        <f>'RESUMEN TOTAL'!AI315</f>
        <v>0</v>
      </c>
      <c r="AC264" s="70" t="str">
        <f>'RESUMEN TOTAL'!AJ315</f>
        <v>APAGADO</v>
      </c>
      <c r="AD264" s="70">
        <f>'RESUMEN TOTAL'!AK315</f>
        <v>0</v>
      </c>
      <c r="AE264" s="70">
        <f>'RESUMEN TOTAL'!AL315</f>
        <v>0</v>
      </c>
      <c r="AF264" s="70">
        <f>'RESUMEN TOTAL'!AM315</f>
        <v>0</v>
      </c>
      <c r="AG264" s="70">
        <f>'RESUMEN TOTAL'!AN315</f>
        <v>0</v>
      </c>
      <c r="AH264" s="70">
        <f>'RESUMEN TOTAL'!AO315</f>
        <v>0</v>
      </c>
      <c r="AI264" s="70">
        <f>'RESUMEN TOTAL'!AP315</f>
        <v>0</v>
      </c>
    </row>
    <row r="265" spans="1:35" x14ac:dyDescent="0.25">
      <c r="A265" t="str">
        <f>'RESUMEN TOTAL'!A318</f>
        <v>EL ROCIO</v>
      </c>
      <c r="B265" t="str">
        <f>'RESUMEN TOTAL'!B316</f>
        <v>RCO06 (fija 2)</v>
      </c>
      <c r="C265" t="str">
        <f>'RESUMEN TOTAL'!D316</f>
        <v>LOBOS Y CHASCOMUS</v>
      </c>
      <c r="D265" s="30" t="str">
        <f>'RESUMEN TOTAL'!E316</f>
        <v>FIJA</v>
      </c>
      <c r="E265" s="30" t="str">
        <f>'RESUMEN TOTAL'!F316</f>
        <v>Fibra Optica</v>
      </c>
      <c r="F265" s="70">
        <f>'RESUMEN TOTAL'!M316</f>
        <v>0</v>
      </c>
      <c r="G265" s="70">
        <f>'RESUMEN TOTAL'!N316</f>
        <v>0</v>
      </c>
      <c r="H265" s="70">
        <f>'RESUMEN TOTAL'!O316</f>
        <v>0</v>
      </c>
      <c r="I265" s="70">
        <f>'RESUMEN TOTAL'!P316</f>
        <v>0</v>
      </c>
      <c r="J265" s="70">
        <f>'RESUMEN TOTAL'!Q316</f>
        <v>0</v>
      </c>
      <c r="K265" s="70">
        <f>'RESUMEN TOTAL'!R316</f>
        <v>0</v>
      </c>
      <c r="L265" s="70">
        <f>'RESUMEN TOTAL'!S316</f>
        <v>0</v>
      </c>
      <c r="M265" s="70">
        <f>'RESUMEN TOTAL'!T316</f>
        <v>0</v>
      </c>
      <c r="N265" s="70">
        <f>'RESUMEN TOTAL'!U316</f>
        <v>0</v>
      </c>
      <c r="O265" s="70">
        <f>'RESUMEN TOTAL'!V316</f>
        <v>0</v>
      </c>
      <c r="P265" s="70">
        <f>'RESUMEN TOTAL'!W316</f>
        <v>0</v>
      </c>
      <c r="Q265" s="70">
        <f>'RESUMEN TOTAL'!X316</f>
        <v>0</v>
      </c>
      <c r="R265" s="70">
        <f>'RESUMEN TOTAL'!Y316</f>
        <v>0</v>
      </c>
      <c r="S265" s="70">
        <f>'RESUMEN TOTAL'!Z316</f>
        <v>0</v>
      </c>
      <c r="T265" s="70">
        <f>'RESUMEN TOTAL'!AA316</f>
        <v>0</v>
      </c>
      <c r="U265" s="70">
        <f>'RESUMEN TOTAL'!AB316</f>
        <v>0</v>
      </c>
      <c r="V265" s="70">
        <f>'RESUMEN TOTAL'!AC316</f>
        <v>0</v>
      </c>
      <c r="W265" s="70">
        <f>'RESUMEN TOTAL'!AD316</f>
        <v>0</v>
      </c>
      <c r="X265" s="70">
        <f>'RESUMEN TOTAL'!AE316</f>
        <v>0</v>
      </c>
      <c r="Y265" s="70">
        <f>'RESUMEN TOTAL'!AF316</f>
        <v>0</v>
      </c>
      <c r="Z265" s="70">
        <f>'RESUMEN TOTAL'!AG316</f>
        <v>0</v>
      </c>
      <c r="AA265" s="70">
        <f>'RESUMEN TOTAL'!AH316</f>
        <v>0</v>
      </c>
      <c r="AB265" s="70">
        <f>'RESUMEN TOTAL'!AI316</f>
        <v>0</v>
      </c>
      <c r="AC265" s="70" t="str">
        <f>'RESUMEN TOTAL'!AJ316</f>
        <v>APAGADO</v>
      </c>
      <c r="AD265" s="70">
        <f>'RESUMEN TOTAL'!AK316</f>
        <v>0</v>
      </c>
      <c r="AE265" s="70">
        <f>'RESUMEN TOTAL'!AL316</f>
        <v>0</v>
      </c>
      <c r="AF265" s="70">
        <f>'RESUMEN TOTAL'!AM316</f>
        <v>0</v>
      </c>
      <c r="AG265" s="70">
        <f>'RESUMEN TOTAL'!AN316</f>
        <v>0</v>
      </c>
      <c r="AH265" s="70">
        <f>'RESUMEN TOTAL'!AO316</f>
        <v>0</v>
      </c>
      <c r="AI265" s="70">
        <f>'RESUMEN TOTAL'!AP316</f>
        <v>0</v>
      </c>
    </row>
    <row r="266" spans="1:35" x14ac:dyDescent="0.25">
      <c r="A266" t="str">
        <f>'RESUMEN TOTAL'!A321</f>
        <v>RICARDO ROJAS</v>
      </c>
      <c r="B266" t="str">
        <f>'RESUMEN TOTAL'!B321</f>
        <v>RRJ01</v>
      </c>
      <c r="C266" t="str">
        <f>'RESUMEN TOTAL'!D321</f>
        <v>AV. LUJAN Y BRAGADO</v>
      </c>
      <c r="D266" s="30" t="str">
        <f>'RESUMEN TOTAL'!E321</f>
        <v>DOMO</v>
      </c>
      <c r="E266" s="30" t="str">
        <f>'RESUMEN TOTAL'!F321</f>
        <v>Fibra Optica</v>
      </c>
      <c r="F266" s="70">
        <f>'RESUMEN TOTAL'!M321</f>
        <v>0</v>
      </c>
      <c r="G266" s="70">
        <f>'RESUMEN TOTAL'!N321</f>
        <v>0</v>
      </c>
      <c r="H266" s="70">
        <f>'RESUMEN TOTAL'!O321</f>
        <v>0</v>
      </c>
      <c r="I266" s="70">
        <f>'RESUMEN TOTAL'!P321</f>
        <v>0</v>
      </c>
      <c r="J266" s="70">
        <f>'RESUMEN TOTAL'!Q321</f>
        <v>0</v>
      </c>
      <c r="K266" s="70">
        <f>'RESUMEN TOTAL'!R321</f>
        <v>0</v>
      </c>
      <c r="L266" s="70">
        <f>'RESUMEN TOTAL'!S321</f>
        <v>0</v>
      </c>
      <c r="M266" s="70">
        <f>'RESUMEN TOTAL'!T321</f>
        <v>0</v>
      </c>
      <c r="N266" s="70">
        <f>'RESUMEN TOTAL'!U321</f>
        <v>0</v>
      </c>
      <c r="O266" s="70">
        <f>'RESUMEN TOTAL'!V321</f>
        <v>0</v>
      </c>
      <c r="P266" s="70">
        <f>'RESUMEN TOTAL'!W321</f>
        <v>0</v>
      </c>
      <c r="Q266" s="70">
        <f>'RESUMEN TOTAL'!X321</f>
        <v>0</v>
      </c>
      <c r="R266" s="70">
        <f>'RESUMEN TOTAL'!Y321</f>
        <v>0</v>
      </c>
      <c r="S266" s="70">
        <f>'RESUMEN TOTAL'!Z321</f>
        <v>0</v>
      </c>
      <c r="T266" s="70">
        <f>'RESUMEN TOTAL'!AA321</f>
        <v>0</v>
      </c>
      <c r="U266" s="70">
        <f>'RESUMEN TOTAL'!AB321</f>
        <v>0</v>
      </c>
      <c r="V266" s="70">
        <f>'RESUMEN TOTAL'!AC321</f>
        <v>0</v>
      </c>
      <c r="W266" s="70">
        <f>'RESUMEN TOTAL'!AD321</f>
        <v>0</v>
      </c>
      <c r="X266" s="70">
        <f>'RESUMEN TOTAL'!AE321</f>
        <v>0</v>
      </c>
      <c r="Y266" s="70">
        <f>'RESUMEN TOTAL'!AF321</f>
        <v>0</v>
      </c>
      <c r="Z266" s="70">
        <f>'RESUMEN TOTAL'!AG321</f>
        <v>0</v>
      </c>
      <c r="AA266" s="70">
        <f>'RESUMEN TOTAL'!AH321</f>
        <v>0</v>
      </c>
      <c r="AB266" s="70">
        <f>'RESUMEN TOTAL'!AI321</f>
        <v>0</v>
      </c>
      <c r="AC266" s="70" t="str">
        <f>'RESUMEN TOTAL'!AJ321</f>
        <v>APAGADO</v>
      </c>
      <c r="AD266" s="70">
        <f>'RESUMEN TOTAL'!AK321</f>
        <v>0</v>
      </c>
      <c r="AE266" s="70">
        <f>'RESUMEN TOTAL'!AL321</f>
        <v>0</v>
      </c>
      <c r="AF266" s="70">
        <f>'RESUMEN TOTAL'!AM321</f>
        <v>0</v>
      </c>
      <c r="AG266" s="70">
        <f>'RESUMEN TOTAL'!AN321</f>
        <v>0</v>
      </c>
      <c r="AH266" s="70">
        <f>'RESUMEN TOTAL'!AO321</f>
        <v>0</v>
      </c>
      <c r="AI266" s="70">
        <f>'RESUMEN TOTAL'!AP321</f>
        <v>0</v>
      </c>
    </row>
    <row r="267" spans="1:35" x14ac:dyDescent="0.25">
      <c r="A267" t="str">
        <f>'RESUMEN TOTAL'!A322</f>
        <v>RICARDO ROJAS</v>
      </c>
      <c r="B267" t="str">
        <f>'RESUMEN TOTAL'!B322</f>
        <v>RRJ02</v>
      </c>
      <c r="C267" t="str">
        <f>'RESUMEN TOTAL'!D322</f>
        <v>AV. LUJAN Y DIAG. LOS POETAS</v>
      </c>
      <c r="D267" s="30" t="str">
        <f>'RESUMEN TOTAL'!E322</f>
        <v>DOMO</v>
      </c>
      <c r="E267" s="30" t="str">
        <f>'RESUMEN TOTAL'!F322</f>
        <v>Fibra Optica</v>
      </c>
      <c r="F267" s="70">
        <f>'RESUMEN TOTAL'!M322</f>
        <v>0</v>
      </c>
      <c r="G267" s="70">
        <f>'RESUMEN TOTAL'!N322</f>
        <v>0</v>
      </c>
      <c r="H267" s="70">
        <f>'RESUMEN TOTAL'!O322</f>
        <v>0</v>
      </c>
      <c r="I267" s="70">
        <f>'RESUMEN TOTAL'!P322</f>
        <v>0</v>
      </c>
      <c r="J267" s="70">
        <f>'RESUMEN TOTAL'!Q322</f>
        <v>0</v>
      </c>
      <c r="K267" s="70">
        <f>'RESUMEN TOTAL'!R322</f>
        <v>0</v>
      </c>
      <c r="L267" s="70">
        <f>'RESUMEN TOTAL'!S322</f>
        <v>0</v>
      </c>
      <c r="M267" s="70">
        <f>'RESUMEN TOTAL'!T322</f>
        <v>0</v>
      </c>
      <c r="N267" s="70">
        <f>'RESUMEN TOTAL'!U322</f>
        <v>0</v>
      </c>
      <c r="O267" s="70">
        <f>'RESUMEN TOTAL'!V322</f>
        <v>0</v>
      </c>
      <c r="P267" s="70">
        <f>'RESUMEN TOTAL'!W322</f>
        <v>0</v>
      </c>
      <c r="Q267" s="70">
        <f>'RESUMEN TOTAL'!X322</f>
        <v>0</v>
      </c>
      <c r="R267" s="70">
        <f>'RESUMEN TOTAL'!Y322</f>
        <v>0</v>
      </c>
      <c r="S267" s="70">
        <f>'RESUMEN TOTAL'!Z322</f>
        <v>0</v>
      </c>
      <c r="T267" s="70">
        <f>'RESUMEN TOTAL'!AA322</f>
        <v>0</v>
      </c>
      <c r="U267" s="70">
        <f>'RESUMEN TOTAL'!AB322</f>
        <v>0</v>
      </c>
      <c r="V267" s="70">
        <f>'RESUMEN TOTAL'!AC322</f>
        <v>0</v>
      </c>
      <c r="W267" s="70">
        <f>'RESUMEN TOTAL'!AD322</f>
        <v>0</v>
      </c>
      <c r="X267" s="70">
        <f>'RESUMEN TOTAL'!AE322</f>
        <v>0</v>
      </c>
      <c r="Y267" s="70">
        <f>'RESUMEN TOTAL'!AF322</f>
        <v>0</v>
      </c>
      <c r="Z267" s="70">
        <f>'RESUMEN TOTAL'!AG322</f>
        <v>0</v>
      </c>
      <c r="AA267" s="70">
        <f>'RESUMEN TOTAL'!AH322</f>
        <v>0</v>
      </c>
      <c r="AB267" s="70">
        <f>'RESUMEN TOTAL'!AI322</f>
        <v>0</v>
      </c>
      <c r="AC267" s="70" t="str">
        <f>'RESUMEN TOTAL'!AJ322</f>
        <v>APAGADO</v>
      </c>
      <c r="AD267" s="70">
        <f>'RESUMEN TOTAL'!AK322</f>
        <v>0</v>
      </c>
      <c r="AE267" s="70">
        <f>'RESUMEN TOTAL'!AL322</f>
        <v>0</v>
      </c>
      <c r="AF267" s="70">
        <f>'RESUMEN TOTAL'!AM322</f>
        <v>0</v>
      </c>
      <c r="AG267" s="70">
        <f>'RESUMEN TOTAL'!AN322</f>
        <v>0</v>
      </c>
      <c r="AH267" s="70">
        <f>'RESUMEN TOTAL'!AO322</f>
        <v>0</v>
      </c>
      <c r="AI267" s="70">
        <f>'RESUMEN TOTAL'!AP322</f>
        <v>0</v>
      </c>
    </row>
    <row r="268" spans="1:35" x14ac:dyDescent="0.25">
      <c r="A268" t="str">
        <f>'RESUMEN TOTAL'!A323</f>
        <v>RICARDO ROJAS</v>
      </c>
      <c r="B268" t="str">
        <f>'RESUMEN TOTAL'!B323</f>
        <v>RRJ03 (fija 1)</v>
      </c>
      <c r="C268" t="str">
        <f>'RESUMEN TOTAL'!D323</f>
        <v>RUBEN DARIO E/ FADER Y DIAG. LOS POETAS</v>
      </c>
      <c r="D268" s="30" t="str">
        <f>'RESUMEN TOTAL'!E323</f>
        <v>Fija</v>
      </c>
      <c r="E268" s="30" t="str">
        <f>'RESUMEN TOTAL'!F323</f>
        <v>Fibra Optica</v>
      </c>
      <c r="F268" s="70">
        <f>'RESUMEN TOTAL'!M323</f>
        <v>0</v>
      </c>
      <c r="G268" s="70">
        <f>'RESUMEN TOTAL'!N323</f>
        <v>0</v>
      </c>
      <c r="H268" s="70">
        <f>'RESUMEN TOTAL'!O323</f>
        <v>0</v>
      </c>
      <c r="I268" s="70">
        <f>'RESUMEN TOTAL'!P323</f>
        <v>0</v>
      </c>
      <c r="J268" s="70">
        <f>'RESUMEN TOTAL'!Q323</f>
        <v>0</v>
      </c>
      <c r="K268" s="70">
        <f>'RESUMEN TOTAL'!R323</f>
        <v>0</v>
      </c>
      <c r="L268" s="70">
        <f>'RESUMEN TOTAL'!S323</f>
        <v>0</v>
      </c>
      <c r="M268" s="70">
        <f>'RESUMEN TOTAL'!T323</f>
        <v>0</v>
      </c>
      <c r="N268" s="70">
        <f>'RESUMEN TOTAL'!U323</f>
        <v>0</v>
      </c>
      <c r="O268" s="70">
        <f>'RESUMEN TOTAL'!V323</f>
        <v>0</v>
      </c>
      <c r="P268" s="70">
        <f>'RESUMEN TOTAL'!W323</f>
        <v>0</v>
      </c>
      <c r="Q268" s="70">
        <f>'RESUMEN TOTAL'!X323</f>
        <v>0</v>
      </c>
      <c r="R268" s="70">
        <f>'RESUMEN TOTAL'!Y323</f>
        <v>0</v>
      </c>
      <c r="S268" s="70">
        <f>'RESUMEN TOTAL'!Z323</f>
        <v>0</v>
      </c>
      <c r="T268" s="70">
        <f>'RESUMEN TOTAL'!AA323</f>
        <v>0</v>
      </c>
      <c r="U268" s="70">
        <f>'RESUMEN TOTAL'!AB323</f>
        <v>0</v>
      </c>
      <c r="V268" s="70">
        <f>'RESUMEN TOTAL'!AC323</f>
        <v>0</v>
      </c>
      <c r="W268" s="70">
        <f>'RESUMEN TOTAL'!AD323</f>
        <v>0</v>
      </c>
      <c r="X268" s="70">
        <f>'RESUMEN TOTAL'!AE323</f>
        <v>0</v>
      </c>
      <c r="Y268" s="70">
        <f>'RESUMEN TOTAL'!AF323</f>
        <v>0</v>
      </c>
      <c r="Z268" s="70">
        <f>'RESUMEN TOTAL'!AG323</f>
        <v>0</v>
      </c>
      <c r="AA268" s="70">
        <f>'RESUMEN TOTAL'!AH323</f>
        <v>0</v>
      </c>
      <c r="AB268" s="70">
        <f>'RESUMEN TOTAL'!AI323</f>
        <v>0</v>
      </c>
      <c r="AC268" s="70" t="str">
        <f>'RESUMEN TOTAL'!AJ323</f>
        <v>APAGADO</v>
      </c>
      <c r="AD268" s="70">
        <f>'RESUMEN TOTAL'!AK323</f>
        <v>0</v>
      </c>
      <c r="AE268" s="70">
        <f>'RESUMEN TOTAL'!AL323</f>
        <v>0</v>
      </c>
      <c r="AF268" s="70">
        <f>'RESUMEN TOTAL'!AM323</f>
        <v>0</v>
      </c>
      <c r="AG268" s="70">
        <f>'RESUMEN TOTAL'!AN323</f>
        <v>0</v>
      </c>
      <c r="AH268" s="70">
        <f>'RESUMEN TOTAL'!AO323</f>
        <v>0</v>
      </c>
      <c r="AI268" s="70">
        <f>'RESUMEN TOTAL'!AP323</f>
        <v>0</v>
      </c>
    </row>
    <row r="269" spans="1:35" x14ac:dyDescent="0.25">
      <c r="A269" t="str">
        <f>'RESUMEN TOTAL'!A324</f>
        <v>RICARDO ROJAS</v>
      </c>
      <c r="B269" t="str">
        <f>'RESUMEN TOTAL'!B324</f>
        <v>RRJ04 (fija 2)</v>
      </c>
      <c r="C269" t="str">
        <f>'RESUMEN TOTAL'!D324</f>
        <v>RUBEN DARIO E/ FADER Y DIAG. LOS POETAS</v>
      </c>
      <c r="D269" s="30" t="str">
        <f>'RESUMEN TOTAL'!E324</f>
        <v>Fija</v>
      </c>
      <c r="E269" s="30" t="str">
        <f>'RESUMEN TOTAL'!F324</f>
        <v>Fibra Optica</v>
      </c>
      <c r="F269" s="70">
        <f>'RESUMEN TOTAL'!M324</f>
        <v>0</v>
      </c>
      <c r="G269" s="70">
        <f>'RESUMEN TOTAL'!N324</f>
        <v>0</v>
      </c>
      <c r="H269" s="70">
        <f>'RESUMEN TOTAL'!O324</f>
        <v>0</v>
      </c>
      <c r="I269" s="70">
        <f>'RESUMEN TOTAL'!P324</f>
        <v>0</v>
      </c>
      <c r="J269" s="70">
        <f>'RESUMEN TOTAL'!Q324</f>
        <v>0</v>
      </c>
      <c r="K269" s="70">
        <f>'RESUMEN TOTAL'!R324</f>
        <v>0</v>
      </c>
      <c r="L269" s="70">
        <f>'RESUMEN TOTAL'!S324</f>
        <v>0</v>
      </c>
      <c r="M269" s="70">
        <f>'RESUMEN TOTAL'!T324</f>
        <v>0</v>
      </c>
      <c r="N269" s="70">
        <f>'RESUMEN TOTAL'!U324</f>
        <v>0</v>
      </c>
      <c r="O269" s="70">
        <f>'RESUMEN TOTAL'!V324</f>
        <v>0</v>
      </c>
      <c r="P269" s="70">
        <f>'RESUMEN TOTAL'!W324</f>
        <v>0</v>
      </c>
      <c r="Q269" s="70">
        <f>'RESUMEN TOTAL'!X324</f>
        <v>0</v>
      </c>
      <c r="R269" s="70">
        <f>'RESUMEN TOTAL'!Y324</f>
        <v>0</v>
      </c>
      <c r="S269" s="70">
        <f>'RESUMEN TOTAL'!Z324</f>
        <v>0</v>
      </c>
      <c r="T269" s="70">
        <f>'RESUMEN TOTAL'!AA324</f>
        <v>0</v>
      </c>
      <c r="U269" s="70">
        <f>'RESUMEN TOTAL'!AB324</f>
        <v>0</v>
      </c>
      <c r="V269" s="70">
        <f>'RESUMEN TOTAL'!AC324</f>
        <v>0</v>
      </c>
      <c r="W269" s="70">
        <f>'RESUMEN TOTAL'!AD324</f>
        <v>0</v>
      </c>
      <c r="X269" s="70">
        <f>'RESUMEN TOTAL'!AE324</f>
        <v>0</v>
      </c>
      <c r="Y269" s="70">
        <f>'RESUMEN TOTAL'!AF324</f>
        <v>0</v>
      </c>
      <c r="Z269" s="70">
        <f>'RESUMEN TOTAL'!AG324</f>
        <v>0</v>
      </c>
      <c r="AA269" s="70">
        <f>'RESUMEN TOTAL'!AH324</f>
        <v>0</v>
      </c>
      <c r="AB269" s="70">
        <f>'RESUMEN TOTAL'!AI324</f>
        <v>0</v>
      </c>
      <c r="AC269" s="70" t="str">
        <f>'RESUMEN TOTAL'!AJ324</f>
        <v>APAGADO</v>
      </c>
      <c r="AD269" s="70">
        <f>'RESUMEN TOTAL'!AK324</f>
        <v>0</v>
      </c>
      <c r="AE269" s="70">
        <f>'RESUMEN TOTAL'!AL324</f>
        <v>0</v>
      </c>
      <c r="AF269" s="70">
        <f>'RESUMEN TOTAL'!AM324</f>
        <v>0</v>
      </c>
      <c r="AG269" s="70">
        <f>'RESUMEN TOTAL'!AN324</f>
        <v>0</v>
      </c>
      <c r="AH269" s="70">
        <f>'RESUMEN TOTAL'!AO324</f>
        <v>0</v>
      </c>
      <c r="AI269" s="70">
        <f>'RESUMEN TOTAL'!AP324</f>
        <v>0</v>
      </c>
    </row>
    <row r="270" spans="1:35" x14ac:dyDescent="0.25">
      <c r="A270" t="str">
        <f>'RESUMEN TOTAL'!A325</f>
        <v>RICARDO ROJAS</v>
      </c>
      <c r="B270" t="str">
        <f>'RESUMEN TOTAL'!B325</f>
        <v>RRJ 05</v>
      </c>
      <c r="C270" t="str">
        <f>'RESUMEN TOTAL'!D325</f>
        <v>LUJAN Y RUTA 36</v>
      </c>
      <c r="D270" s="30" t="str">
        <f>'RESUMEN TOTAL'!E325</f>
        <v>DOMO</v>
      </c>
      <c r="E270" s="30" t="str">
        <f>'RESUMEN TOTAL'!F325</f>
        <v>Fibra Optica</v>
      </c>
      <c r="F270" s="70">
        <f>'RESUMEN TOTAL'!M325</f>
        <v>0</v>
      </c>
      <c r="G270" s="70">
        <f>'RESUMEN TOTAL'!N325</f>
        <v>0</v>
      </c>
      <c r="H270" s="70">
        <f>'RESUMEN TOTAL'!O325</f>
        <v>0</v>
      </c>
      <c r="I270" s="70">
        <f>'RESUMEN TOTAL'!P325</f>
        <v>0</v>
      </c>
      <c r="J270" s="70">
        <f>'RESUMEN TOTAL'!Q325</f>
        <v>0</v>
      </c>
      <c r="K270" s="70">
        <f>'RESUMEN TOTAL'!R325</f>
        <v>0</v>
      </c>
      <c r="L270" s="70">
        <f>'RESUMEN TOTAL'!S325</f>
        <v>0</v>
      </c>
      <c r="M270" s="70">
        <f>'RESUMEN TOTAL'!T325</f>
        <v>0</v>
      </c>
      <c r="N270" s="70">
        <f>'RESUMEN TOTAL'!U325</f>
        <v>0</v>
      </c>
      <c r="O270" s="70">
        <f>'RESUMEN TOTAL'!V325</f>
        <v>0</v>
      </c>
      <c r="P270" s="70">
        <f>'RESUMEN TOTAL'!W325</f>
        <v>0</v>
      </c>
      <c r="Q270" s="70">
        <f>'RESUMEN TOTAL'!X325</f>
        <v>0</v>
      </c>
      <c r="R270" s="70">
        <f>'RESUMEN TOTAL'!Y325</f>
        <v>0</v>
      </c>
      <c r="S270" s="70">
        <f>'RESUMEN TOTAL'!Z325</f>
        <v>0</v>
      </c>
      <c r="T270" s="70">
        <f>'RESUMEN TOTAL'!AA325</f>
        <v>0</v>
      </c>
      <c r="U270" s="70">
        <f>'RESUMEN TOTAL'!AB325</f>
        <v>0</v>
      </c>
      <c r="V270" s="70">
        <f>'RESUMEN TOTAL'!AC325</f>
        <v>0</v>
      </c>
      <c r="W270" s="70">
        <f>'RESUMEN TOTAL'!AD325</f>
        <v>0</v>
      </c>
      <c r="X270" s="70">
        <f>'RESUMEN TOTAL'!AE325</f>
        <v>0</v>
      </c>
      <c r="Y270" s="70">
        <f>'RESUMEN TOTAL'!AF325</f>
        <v>0</v>
      </c>
      <c r="Z270" s="70">
        <f>'RESUMEN TOTAL'!AG325</f>
        <v>0</v>
      </c>
      <c r="AA270" s="70">
        <f>'RESUMEN TOTAL'!AH325</f>
        <v>0</v>
      </c>
      <c r="AB270" s="70">
        <f>'RESUMEN TOTAL'!AI325</f>
        <v>0</v>
      </c>
      <c r="AC270" s="70" t="str">
        <f>'RESUMEN TOTAL'!AJ325</f>
        <v>APAGADO</v>
      </c>
      <c r="AD270" s="70">
        <f>'RESUMEN TOTAL'!AK325</f>
        <v>0</v>
      </c>
      <c r="AE270" s="70">
        <f>'RESUMEN TOTAL'!AL325</f>
        <v>0</v>
      </c>
      <c r="AF270" s="70">
        <f>'RESUMEN TOTAL'!AM325</f>
        <v>0</v>
      </c>
      <c r="AG270" s="70">
        <f>'RESUMEN TOTAL'!AN325</f>
        <v>0</v>
      </c>
      <c r="AH270" s="70">
        <f>'RESUMEN TOTAL'!AO325</f>
        <v>0</v>
      </c>
      <c r="AI270" s="70">
        <f>'RESUMEN TOTAL'!AP325</f>
        <v>0</v>
      </c>
    </row>
    <row r="271" spans="1:35" x14ac:dyDescent="0.25">
      <c r="A271" t="str">
        <f>'RESUMEN TOTAL'!A326</f>
        <v>RICARDO ROJAS</v>
      </c>
      <c r="B271" t="str">
        <f>'RESUMEN TOTAL'!B326</f>
        <v>RRJ 06</v>
      </c>
      <c r="C271" t="str">
        <f>'RESUMEN TOTAL'!D326</f>
        <v>Constancio Vigil y Pablo Groussac</v>
      </c>
      <c r="D271" s="30" t="str">
        <f>'RESUMEN TOTAL'!E326</f>
        <v>Domo</v>
      </c>
      <c r="E271" s="30" t="str">
        <f>'RESUMEN TOTAL'!F326</f>
        <v>Fibra Optica</v>
      </c>
      <c r="F271" s="70">
        <f>'RESUMEN TOTAL'!M326</f>
        <v>0</v>
      </c>
      <c r="G271" s="70">
        <f>'RESUMEN TOTAL'!N326</f>
        <v>0</v>
      </c>
      <c r="H271" s="70">
        <f>'RESUMEN TOTAL'!O326</f>
        <v>0</v>
      </c>
      <c r="I271" s="70">
        <f>'RESUMEN TOTAL'!P326</f>
        <v>0</v>
      </c>
      <c r="J271" s="70">
        <f>'RESUMEN TOTAL'!Q326</f>
        <v>0</v>
      </c>
      <c r="K271" s="70">
        <f>'RESUMEN TOTAL'!R326</f>
        <v>0</v>
      </c>
      <c r="L271" s="70">
        <f>'RESUMEN TOTAL'!S326</f>
        <v>0</v>
      </c>
      <c r="M271" s="70">
        <f>'RESUMEN TOTAL'!T326</f>
        <v>0</v>
      </c>
      <c r="N271" s="70">
        <f>'RESUMEN TOTAL'!U326</f>
        <v>0</v>
      </c>
      <c r="O271" s="70">
        <f>'RESUMEN TOTAL'!V326</f>
        <v>0</v>
      </c>
      <c r="P271" s="70">
        <f>'RESUMEN TOTAL'!W326</f>
        <v>0</v>
      </c>
      <c r="Q271" s="70">
        <f>'RESUMEN TOTAL'!X326</f>
        <v>0</v>
      </c>
      <c r="R271" s="70">
        <f>'RESUMEN TOTAL'!Y326</f>
        <v>0</v>
      </c>
      <c r="S271" s="70">
        <f>'RESUMEN TOTAL'!Z326</f>
        <v>0</v>
      </c>
      <c r="T271" s="70">
        <f>'RESUMEN TOTAL'!AA326</f>
        <v>0</v>
      </c>
      <c r="U271" s="70">
        <f>'RESUMEN TOTAL'!AB326</f>
        <v>0</v>
      </c>
      <c r="V271" s="70">
        <f>'RESUMEN TOTAL'!AC326</f>
        <v>0</v>
      </c>
      <c r="W271" s="70">
        <f>'RESUMEN TOTAL'!AD326</f>
        <v>0</v>
      </c>
      <c r="X271" s="70">
        <f>'RESUMEN TOTAL'!AE326</f>
        <v>0</v>
      </c>
      <c r="Y271" s="70">
        <f>'RESUMEN TOTAL'!AF326</f>
        <v>0</v>
      </c>
      <c r="Z271" s="70">
        <f>'RESUMEN TOTAL'!AG326</f>
        <v>0</v>
      </c>
      <c r="AA271" s="70">
        <f>'RESUMEN TOTAL'!AH326</f>
        <v>0</v>
      </c>
      <c r="AB271" s="70">
        <f>'RESUMEN TOTAL'!AI326</f>
        <v>0</v>
      </c>
      <c r="AC271" s="70" t="str">
        <f>'RESUMEN TOTAL'!AJ326</f>
        <v>APAGADO</v>
      </c>
      <c r="AD271" s="70">
        <f>'RESUMEN TOTAL'!AK326</f>
        <v>0</v>
      </c>
      <c r="AE271" s="70">
        <f>'RESUMEN TOTAL'!AL326</f>
        <v>0</v>
      </c>
      <c r="AF271" s="70">
        <f>'RESUMEN TOTAL'!AM326</f>
        <v>0</v>
      </c>
      <c r="AG271" s="70">
        <f>'RESUMEN TOTAL'!AN326</f>
        <v>0</v>
      </c>
      <c r="AH271" s="70">
        <f>'RESUMEN TOTAL'!AO326</f>
        <v>0</v>
      </c>
      <c r="AI271" s="70">
        <f>'RESUMEN TOTAL'!AP326</f>
        <v>0</v>
      </c>
    </row>
    <row r="272" spans="1:35" x14ac:dyDescent="0.25">
      <c r="A272" t="str">
        <f>'RESUMEN TOTAL'!A327</f>
        <v>RICARDO ROJAS</v>
      </c>
      <c r="B272" t="str">
        <f>'RESUMEN TOTAL'!B327</f>
        <v>RRJ 07</v>
      </c>
      <c r="C272" t="str">
        <f>'RESUMEN TOTAL'!D327</f>
        <v>Constancio Vigil y Estanislao del Campo</v>
      </c>
      <c r="D272" s="30" t="str">
        <f>'RESUMEN TOTAL'!E327</f>
        <v>Domo</v>
      </c>
      <c r="E272" s="30" t="str">
        <f>'RESUMEN TOTAL'!F327</f>
        <v>Fibra Optica</v>
      </c>
      <c r="F272" s="70">
        <f>'RESUMEN TOTAL'!M327</f>
        <v>0</v>
      </c>
      <c r="G272" s="70">
        <f>'RESUMEN TOTAL'!N327</f>
        <v>0</v>
      </c>
      <c r="H272" s="70">
        <f>'RESUMEN TOTAL'!O327</f>
        <v>0</v>
      </c>
      <c r="I272" s="70">
        <f>'RESUMEN TOTAL'!P327</f>
        <v>0</v>
      </c>
      <c r="J272" s="70">
        <f>'RESUMEN TOTAL'!Q327</f>
        <v>0</v>
      </c>
      <c r="K272" s="70">
        <f>'RESUMEN TOTAL'!R327</f>
        <v>0</v>
      </c>
      <c r="L272" s="70">
        <f>'RESUMEN TOTAL'!S327</f>
        <v>0</v>
      </c>
      <c r="M272" s="70">
        <f>'RESUMEN TOTAL'!T327</f>
        <v>0</v>
      </c>
      <c r="N272" s="70">
        <f>'RESUMEN TOTAL'!U327</f>
        <v>0</v>
      </c>
      <c r="O272" s="70">
        <f>'RESUMEN TOTAL'!V327</f>
        <v>0</v>
      </c>
      <c r="P272" s="70">
        <f>'RESUMEN TOTAL'!W327</f>
        <v>0</v>
      </c>
      <c r="Q272" s="70">
        <f>'RESUMEN TOTAL'!X327</f>
        <v>0</v>
      </c>
      <c r="R272" s="70">
        <f>'RESUMEN TOTAL'!Y327</f>
        <v>0</v>
      </c>
      <c r="S272" s="70">
        <f>'RESUMEN TOTAL'!Z327</f>
        <v>0</v>
      </c>
      <c r="T272" s="70">
        <f>'RESUMEN TOTAL'!AA327</f>
        <v>0</v>
      </c>
      <c r="U272" s="70">
        <f>'RESUMEN TOTAL'!AB327</f>
        <v>0</v>
      </c>
      <c r="V272" s="70">
        <f>'RESUMEN TOTAL'!AC327</f>
        <v>0</v>
      </c>
      <c r="W272" s="70">
        <f>'RESUMEN TOTAL'!AD327</f>
        <v>0</v>
      </c>
      <c r="X272" s="70">
        <f>'RESUMEN TOTAL'!AE327</f>
        <v>0</v>
      </c>
      <c r="Y272" s="70">
        <f>'RESUMEN TOTAL'!AF327</f>
        <v>0</v>
      </c>
      <c r="Z272" s="70">
        <f>'RESUMEN TOTAL'!AG327</f>
        <v>0</v>
      </c>
      <c r="AA272" s="70">
        <f>'RESUMEN TOTAL'!AH327</f>
        <v>0</v>
      </c>
      <c r="AB272" s="70">
        <f>'RESUMEN TOTAL'!AI327</f>
        <v>0</v>
      </c>
      <c r="AC272" s="70" t="str">
        <f>'RESUMEN TOTAL'!AJ327</f>
        <v>APAGADO</v>
      </c>
      <c r="AD272" s="70">
        <f>'RESUMEN TOTAL'!AK327</f>
        <v>0</v>
      </c>
      <c r="AE272" s="70">
        <f>'RESUMEN TOTAL'!AL327</f>
        <v>0</v>
      </c>
      <c r="AF272" s="70">
        <f>'RESUMEN TOTAL'!AM327</f>
        <v>0</v>
      </c>
      <c r="AG272" s="70">
        <f>'RESUMEN TOTAL'!AN327</f>
        <v>0</v>
      </c>
      <c r="AH272" s="70">
        <f>'RESUMEN TOTAL'!AO327</f>
        <v>0</v>
      </c>
      <c r="AI272" s="70">
        <f>'RESUMEN TOTAL'!AP327</f>
        <v>0</v>
      </c>
    </row>
    <row r="273" spans="1:35" x14ac:dyDescent="0.25">
      <c r="A273" t="str">
        <f>'RESUMEN TOTAL'!A328</f>
        <v>RICARDO ROJAS</v>
      </c>
      <c r="B273" t="str">
        <f>'RESUMEN TOTAL'!B328</f>
        <v>RRJ 08</v>
      </c>
      <c r="C273" t="str">
        <f>'RESUMEN TOTAL'!D328</f>
        <v>Constancio Vigil y Pablo Podesta</v>
      </c>
      <c r="D273" s="30" t="str">
        <f>'RESUMEN TOTAL'!E328</f>
        <v>Domo</v>
      </c>
      <c r="E273" s="30" t="str">
        <f>'RESUMEN TOTAL'!F328</f>
        <v>Fibra Optica</v>
      </c>
      <c r="F273" s="70">
        <f>'RESUMEN TOTAL'!M328</f>
        <v>0</v>
      </c>
      <c r="G273" s="70">
        <f>'RESUMEN TOTAL'!N328</f>
        <v>0</v>
      </c>
      <c r="H273" s="70">
        <f>'RESUMEN TOTAL'!O328</f>
        <v>0</v>
      </c>
      <c r="I273" s="70">
        <f>'RESUMEN TOTAL'!P328</f>
        <v>0</v>
      </c>
      <c r="J273" s="70">
        <f>'RESUMEN TOTAL'!Q328</f>
        <v>0</v>
      </c>
      <c r="K273" s="70">
        <f>'RESUMEN TOTAL'!R328</f>
        <v>0</v>
      </c>
      <c r="L273" s="70">
        <f>'RESUMEN TOTAL'!S328</f>
        <v>0</v>
      </c>
      <c r="M273" s="70">
        <f>'RESUMEN TOTAL'!T328</f>
        <v>0</v>
      </c>
      <c r="N273" s="70">
        <f>'RESUMEN TOTAL'!U328</f>
        <v>0</v>
      </c>
      <c r="O273" s="70">
        <f>'RESUMEN TOTAL'!V328</f>
        <v>0</v>
      </c>
      <c r="P273" s="70">
        <f>'RESUMEN TOTAL'!W328</f>
        <v>0</v>
      </c>
      <c r="Q273" s="70">
        <f>'RESUMEN TOTAL'!X328</f>
        <v>0</v>
      </c>
      <c r="R273" s="70">
        <f>'RESUMEN TOTAL'!Y328</f>
        <v>0</v>
      </c>
      <c r="S273" s="70">
        <f>'RESUMEN TOTAL'!Z328</f>
        <v>0</v>
      </c>
      <c r="T273" s="70">
        <f>'RESUMEN TOTAL'!AA328</f>
        <v>0</v>
      </c>
      <c r="U273" s="70">
        <f>'RESUMEN TOTAL'!AB328</f>
        <v>0</v>
      </c>
      <c r="V273" s="70">
        <f>'RESUMEN TOTAL'!AC329</f>
        <v>0</v>
      </c>
      <c r="W273" s="70">
        <f>'RESUMEN TOTAL'!AD328</f>
        <v>0</v>
      </c>
      <c r="X273" s="70">
        <f>'RESUMEN TOTAL'!AE328</f>
        <v>0</v>
      </c>
      <c r="Y273" s="70">
        <f>'RESUMEN TOTAL'!AF328</f>
        <v>0</v>
      </c>
      <c r="Z273" s="70">
        <f>'RESUMEN TOTAL'!AG328</f>
        <v>0</v>
      </c>
      <c r="AA273" s="70">
        <f>'RESUMEN TOTAL'!AH328</f>
        <v>0</v>
      </c>
      <c r="AB273" s="70">
        <f>'RESUMEN TOTAL'!AI328</f>
        <v>0</v>
      </c>
      <c r="AC273" s="70" t="str">
        <f>'RESUMEN TOTAL'!AJ328</f>
        <v>APAGADO</v>
      </c>
      <c r="AD273" s="70">
        <f>'RESUMEN TOTAL'!AK328</f>
        <v>0</v>
      </c>
      <c r="AE273" s="70">
        <f>'RESUMEN TOTAL'!AL328</f>
        <v>0</v>
      </c>
      <c r="AF273" s="70">
        <f>'RESUMEN TOTAL'!AM328</f>
        <v>0</v>
      </c>
      <c r="AG273" s="70">
        <f>'RESUMEN TOTAL'!AN328</f>
        <v>0</v>
      </c>
      <c r="AH273" s="70">
        <f>'RESUMEN TOTAL'!AO328</f>
        <v>0</v>
      </c>
      <c r="AI273" s="70">
        <f>'RESUMEN TOTAL'!AP328</f>
        <v>0</v>
      </c>
    </row>
    <row r="274" spans="1:35" x14ac:dyDescent="0.25">
      <c r="A274" t="str">
        <f>'RESUMEN TOTAL'!A329</f>
        <v>RICARDO ROJAS</v>
      </c>
      <c r="B274" t="str">
        <f>'RESUMEN TOTAL'!B329</f>
        <v>RRJ 09</v>
      </c>
      <c r="C274" t="str">
        <f>'RESUMEN TOTAL'!D329</f>
        <v>Constancio Vigil y Jose Ingeniero</v>
      </c>
      <c r="D274" s="30" t="str">
        <f>'RESUMEN TOTAL'!E329</f>
        <v>Domo</v>
      </c>
      <c r="E274" s="30" t="str">
        <f>'RESUMEN TOTAL'!F329</f>
        <v>Fibra Optica</v>
      </c>
      <c r="F274" s="70">
        <f>'RESUMEN TOTAL'!M329</f>
        <v>0</v>
      </c>
      <c r="G274" s="70">
        <f>'RESUMEN TOTAL'!N329</f>
        <v>0</v>
      </c>
      <c r="H274" s="70">
        <f>'RESUMEN TOTAL'!O329</f>
        <v>0</v>
      </c>
      <c r="I274" s="70">
        <f>'RESUMEN TOTAL'!P329</f>
        <v>0</v>
      </c>
      <c r="J274" s="70">
        <f>'RESUMEN TOTAL'!Q329</f>
        <v>0</v>
      </c>
      <c r="K274" s="70">
        <f>'RESUMEN TOTAL'!R329</f>
        <v>0</v>
      </c>
      <c r="L274" s="70">
        <f>'RESUMEN TOTAL'!S329</f>
        <v>0</v>
      </c>
      <c r="M274" s="70">
        <f>'RESUMEN TOTAL'!T329</f>
        <v>0</v>
      </c>
      <c r="N274" s="70">
        <f>'RESUMEN TOTAL'!U329</f>
        <v>0</v>
      </c>
      <c r="O274" s="70">
        <f>'RESUMEN TOTAL'!V329</f>
        <v>0</v>
      </c>
      <c r="P274" s="70">
        <f>'RESUMEN TOTAL'!W329</f>
        <v>0</v>
      </c>
      <c r="Q274" s="70">
        <f>'RESUMEN TOTAL'!X329</f>
        <v>0</v>
      </c>
      <c r="R274" s="70">
        <f>'RESUMEN TOTAL'!Y329</f>
        <v>0</v>
      </c>
      <c r="S274" s="70">
        <f>'RESUMEN TOTAL'!Z329</f>
        <v>0</v>
      </c>
      <c r="T274" s="70">
        <f>'RESUMEN TOTAL'!AA329</f>
        <v>0</v>
      </c>
      <c r="U274" s="70">
        <f>'RESUMEN TOTAL'!AB329</f>
        <v>0</v>
      </c>
      <c r="V274" s="70" t="e">
        <f>'RESUMEN TOTAL'!#REF!</f>
        <v>#REF!</v>
      </c>
      <c r="W274" s="70">
        <f>'RESUMEN TOTAL'!AD329</f>
        <v>0</v>
      </c>
      <c r="X274" s="70">
        <f>'RESUMEN TOTAL'!AE329</f>
        <v>0</v>
      </c>
      <c r="Y274" s="70">
        <f>'RESUMEN TOTAL'!AF329</f>
        <v>0</v>
      </c>
      <c r="Z274" s="70">
        <f>'RESUMEN TOTAL'!AG329</f>
        <v>0</v>
      </c>
      <c r="AA274" s="70">
        <f>'RESUMEN TOTAL'!AH329</f>
        <v>0</v>
      </c>
      <c r="AB274" s="70">
        <f>'RESUMEN TOTAL'!AI329</f>
        <v>0</v>
      </c>
      <c r="AC274" s="70" t="str">
        <f>'RESUMEN TOTAL'!AJ329</f>
        <v>APAGADO</v>
      </c>
      <c r="AD274" s="70">
        <f>'RESUMEN TOTAL'!AK329</f>
        <v>0</v>
      </c>
      <c r="AE274" s="70">
        <f>'RESUMEN TOTAL'!AL329</f>
        <v>0</v>
      </c>
      <c r="AF274" s="70">
        <f>'RESUMEN TOTAL'!AM329</f>
        <v>0</v>
      </c>
      <c r="AG274" s="70">
        <f>'RESUMEN TOTAL'!AN329</f>
        <v>0</v>
      </c>
      <c r="AH274" s="70">
        <f>'RESUMEN TOTAL'!AO329</f>
        <v>0</v>
      </c>
      <c r="AI274" s="70">
        <f>'RESUMEN TOTAL'!AP329</f>
        <v>0</v>
      </c>
    </row>
    <row r="275" spans="1:35" x14ac:dyDescent="0.25">
      <c r="A275" t="str">
        <f>'RESUMEN TOTAL'!A330</f>
        <v>RICARDO ROJAS</v>
      </c>
      <c r="B275" t="str">
        <f>'RESUMEN TOTAL'!B330</f>
        <v>RRJ 10</v>
      </c>
      <c r="C275" t="str">
        <f>'RESUMEN TOTAL'!D330</f>
        <v>LUGONES Y OBLIGADO</v>
      </c>
      <c r="D275" s="30" t="str">
        <f>'RESUMEN TOTAL'!E330</f>
        <v>Domo</v>
      </c>
      <c r="E275" s="30" t="str">
        <f>'RESUMEN TOTAL'!F330</f>
        <v>Fibra Optica</v>
      </c>
      <c r="F275" s="70">
        <f>'RESUMEN TOTAL'!M330</f>
        <v>0</v>
      </c>
      <c r="G275" s="70">
        <f>'RESUMEN TOTAL'!N330</f>
        <v>0</v>
      </c>
      <c r="H275" s="70">
        <f>'RESUMEN TOTAL'!O330</f>
        <v>0</v>
      </c>
      <c r="I275" s="70">
        <f>'RESUMEN TOTAL'!P330</f>
        <v>0</v>
      </c>
      <c r="J275" s="70">
        <f>'RESUMEN TOTAL'!Q330</f>
        <v>0</v>
      </c>
      <c r="K275" s="70">
        <f>'RESUMEN TOTAL'!R330</f>
        <v>0</v>
      </c>
      <c r="L275" s="70">
        <f>'RESUMEN TOTAL'!S330</f>
        <v>0</v>
      </c>
      <c r="M275" s="70">
        <f>'RESUMEN TOTAL'!T330</f>
        <v>0</v>
      </c>
      <c r="N275" s="70">
        <f>'RESUMEN TOTAL'!U330</f>
        <v>0</v>
      </c>
      <c r="O275" s="70">
        <f>'RESUMEN TOTAL'!V330</f>
        <v>0</v>
      </c>
      <c r="P275" s="70">
        <f>'RESUMEN TOTAL'!W330</f>
        <v>0</v>
      </c>
      <c r="Q275" s="70">
        <f>'RESUMEN TOTAL'!X330</f>
        <v>0</v>
      </c>
      <c r="R275" s="70">
        <f>'RESUMEN TOTAL'!Y330</f>
        <v>0</v>
      </c>
      <c r="S275" s="70">
        <f>'RESUMEN TOTAL'!Z330</f>
        <v>0</v>
      </c>
      <c r="T275" s="70">
        <f>'RESUMEN TOTAL'!AA330</f>
        <v>0</v>
      </c>
      <c r="U275" s="70">
        <f>'RESUMEN TOTAL'!AB330</f>
        <v>0</v>
      </c>
      <c r="V275" s="70">
        <f>'RESUMEN TOTAL'!AC330</f>
        <v>0</v>
      </c>
      <c r="W275" s="70">
        <f>'RESUMEN TOTAL'!AD330</f>
        <v>0</v>
      </c>
      <c r="X275" s="70">
        <f>'RESUMEN TOTAL'!AE330</f>
        <v>0</v>
      </c>
      <c r="Y275" s="70">
        <f>'RESUMEN TOTAL'!AF330</f>
        <v>0</v>
      </c>
      <c r="Z275" s="70">
        <f>'RESUMEN TOTAL'!AG330</f>
        <v>0</v>
      </c>
      <c r="AA275" s="70">
        <f>'RESUMEN TOTAL'!AH330</f>
        <v>0</v>
      </c>
      <c r="AB275" s="70">
        <f>'RESUMEN TOTAL'!AI330</f>
        <v>0</v>
      </c>
      <c r="AC275" s="70" t="str">
        <f>'RESUMEN TOTAL'!AJ330</f>
        <v>APAGADO</v>
      </c>
      <c r="AD275" s="70">
        <f>'RESUMEN TOTAL'!AK330</f>
        <v>0</v>
      </c>
      <c r="AE275" s="70">
        <f>'RESUMEN TOTAL'!AL330</f>
        <v>0</v>
      </c>
      <c r="AF275" s="70">
        <f>'RESUMEN TOTAL'!AM330</f>
        <v>0</v>
      </c>
      <c r="AG275" s="70">
        <f>'RESUMEN TOTAL'!AN330</f>
        <v>0</v>
      </c>
      <c r="AH275" s="70">
        <f>'RESUMEN TOTAL'!AO330</f>
        <v>0</v>
      </c>
      <c r="AI275" s="70">
        <f>'RESUMEN TOTAL'!AP330</f>
        <v>0</v>
      </c>
    </row>
    <row r="276" spans="1:35" x14ac:dyDescent="0.25">
      <c r="A276" t="str">
        <f>'RESUMEN TOTAL'!A331</f>
        <v>RICARDO ROJAS</v>
      </c>
      <c r="B276" t="str">
        <f>'RESUMEN TOTAL'!B331</f>
        <v>RRJ 11</v>
      </c>
      <c r="C276" t="str">
        <f>'RESUMEN TOTAL'!D331</f>
        <v>LUGONES Y OBLIGADO</v>
      </c>
      <c r="D276" s="30" t="str">
        <f>'RESUMEN TOTAL'!E331</f>
        <v>Domo</v>
      </c>
      <c r="E276" s="30" t="str">
        <f>'RESUMEN TOTAL'!F331</f>
        <v>Fibra Optica</v>
      </c>
      <c r="F276" s="70">
        <f>'RESUMEN TOTAL'!M331</f>
        <v>0</v>
      </c>
      <c r="G276" s="70">
        <f>'RESUMEN TOTAL'!N331</f>
        <v>0</v>
      </c>
      <c r="H276" s="70">
        <f>'RESUMEN TOTAL'!O331</f>
        <v>0</v>
      </c>
      <c r="I276" s="70">
        <f>'RESUMEN TOTAL'!P331</f>
        <v>0</v>
      </c>
      <c r="J276" s="70">
        <f>'RESUMEN TOTAL'!Q331</f>
        <v>0</v>
      </c>
      <c r="K276" s="70">
        <f>'RESUMEN TOTAL'!R331</f>
        <v>0</v>
      </c>
      <c r="L276" s="70">
        <f>'RESUMEN TOTAL'!S331</f>
        <v>0</v>
      </c>
      <c r="M276" s="70">
        <f>'RESUMEN TOTAL'!T331</f>
        <v>0</v>
      </c>
      <c r="N276" s="70">
        <f>'RESUMEN TOTAL'!U331</f>
        <v>0</v>
      </c>
      <c r="O276" s="70">
        <f>'RESUMEN TOTAL'!V331</f>
        <v>0</v>
      </c>
      <c r="P276" s="70">
        <f>'RESUMEN TOTAL'!W331</f>
        <v>0</v>
      </c>
      <c r="Q276" s="70">
        <f>'RESUMEN TOTAL'!X331</f>
        <v>0</v>
      </c>
      <c r="R276" s="70">
        <f>'RESUMEN TOTAL'!Y331</f>
        <v>0</v>
      </c>
      <c r="S276" s="70">
        <f>'RESUMEN TOTAL'!Z331</f>
        <v>0</v>
      </c>
      <c r="T276" s="70">
        <f>'RESUMEN TOTAL'!AA331</f>
        <v>0</v>
      </c>
      <c r="U276" s="70">
        <f>'RESUMEN TOTAL'!AB331</f>
        <v>0</v>
      </c>
      <c r="V276" s="70">
        <f>'RESUMEN TOTAL'!AC331</f>
        <v>0</v>
      </c>
      <c r="W276" s="70">
        <f>'RESUMEN TOTAL'!AD331</f>
        <v>0</v>
      </c>
      <c r="X276" s="70">
        <f>'RESUMEN TOTAL'!AE331</f>
        <v>0</v>
      </c>
      <c r="Y276" s="70">
        <f>'RESUMEN TOTAL'!AF331</f>
        <v>0</v>
      </c>
      <c r="Z276" s="70">
        <f>'RESUMEN TOTAL'!AG331</f>
        <v>0</v>
      </c>
      <c r="AA276" s="70">
        <f>'RESUMEN TOTAL'!AH331</f>
        <v>0</v>
      </c>
      <c r="AB276" s="70">
        <f>'RESUMEN TOTAL'!AI331</f>
        <v>0</v>
      </c>
      <c r="AC276" s="70" t="str">
        <f>'RESUMEN TOTAL'!AJ331</f>
        <v>APAGADO</v>
      </c>
      <c r="AD276" s="70">
        <f>'RESUMEN TOTAL'!AK331</f>
        <v>0</v>
      </c>
      <c r="AE276" s="70">
        <f>'RESUMEN TOTAL'!AL331</f>
        <v>0</v>
      </c>
      <c r="AF276" s="70">
        <f>'RESUMEN TOTAL'!AM331</f>
        <v>0</v>
      </c>
      <c r="AG276" s="70">
        <f>'RESUMEN TOTAL'!AN331</f>
        <v>0</v>
      </c>
      <c r="AH276" s="70">
        <f>'RESUMEN TOTAL'!AO331</f>
        <v>0</v>
      </c>
      <c r="AI276" s="70">
        <f>'RESUMEN TOTAL'!AP331</f>
        <v>0</v>
      </c>
    </row>
    <row r="277" spans="1:35" x14ac:dyDescent="0.25">
      <c r="A277" t="str">
        <f>'RESUMEN TOTAL'!A332</f>
        <v>RICARDO ROJAS</v>
      </c>
      <c r="B277" t="str">
        <f>'RESUMEN TOTAL'!B332</f>
        <v>RRJ 12</v>
      </c>
      <c r="C277" t="str">
        <f>'RESUMEN TOTAL'!D332</f>
        <v>FADER Y DIAGONAL LOS POETAS</v>
      </c>
      <c r="D277" s="30" t="str">
        <f>'RESUMEN TOTAL'!E332</f>
        <v>DOMO</v>
      </c>
      <c r="E277" s="30" t="str">
        <f>'RESUMEN TOTAL'!F332</f>
        <v>Fibra Optica</v>
      </c>
      <c r="F277" s="70">
        <f>'RESUMEN TOTAL'!M332</f>
        <v>0</v>
      </c>
      <c r="G277" s="70">
        <f>'RESUMEN TOTAL'!N332</f>
        <v>0</v>
      </c>
      <c r="H277" s="70">
        <f>'RESUMEN TOTAL'!O332</f>
        <v>0</v>
      </c>
      <c r="I277" s="70">
        <f>'RESUMEN TOTAL'!P332</f>
        <v>0</v>
      </c>
      <c r="J277" s="70">
        <f>'RESUMEN TOTAL'!Q332</f>
        <v>0</v>
      </c>
      <c r="K277" s="70">
        <f>'RESUMEN TOTAL'!R332</f>
        <v>0</v>
      </c>
      <c r="L277" s="70">
        <f>'RESUMEN TOTAL'!S332</f>
        <v>0</v>
      </c>
      <c r="M277" s="70">
        <f>'RESUMEN TOTAL'!T332</f>
        <v>0</v>
      </c>
      <c r="N277" s="70">
        <f>'RESUMEN TOTAL'!U332</f>
        <v>0</v>
      </c>
      <c r="O277" s="70">
        <f>'RESUMEN TOTAL'!V332</f>
        <v>0</v>
      </c>
      <c r="P277" s="70">
        <f>'RESUMEN TOTAL'!W332</f>
        <v>0</v>
      </c>
      <c r="Q277" s="70">
        <f>'RESUMEN TOTAL'!X332</f>
        <v>0</v>
      </c>
      <c r="R277" s="70">
        <f>'RESUMEN TOTAL'!Y332</f>
        <v>0</v>
      </c>
      <c r="S277" s="70">
        <f>'RESUMEN TOTAL'!Z332</f>
        <v>0</v>
      </c>
      <c r="T277" s="70">
        <f>'RESUMEN TOTAL'!AA332</f>
        <v>0</v>
      </c>
      <c r="U277" s="70">
        <f>'RESUMEN TOTAL'!AB332</f>
        <v>0</v>
      </c>
      <c r="V277" s="70">
        <f>'RESUMEN TOTAL'!AC332</f>
        <v>0</v>
      </c>
      <c r="W277" s="70">
        <f>'RESUMEN TOTAL'!AD332</f>
        <v>0</v>
      </c>
      <c r="X277" s="70">
        <f>'RESUMEN TOTAL'!AE332</f>
        <v>0</v>
      </c>
      <c r="Y277" s="70">
        <f>'RESUMEN TOTAL'!AF332</f>
        <v>0</v>
      </c>
      <c r="Z277" s="70">
        <f>'RESUMEN TOTAL'!AG332</f>
        <v>0</v>
      </c>
      <c r="AA277" s="70">
        <f>'RESUMEN TOTAL'!AH332</f>
        <v>0</v>
      </c>
      <c r="AB277" s="70">
        <f>'RESUMEN TOTAL'!AI332</f>
        <v>0</v>
      </c>
      <c r="AC277" s="70" t="str">
        <f>'RESUMEN TOTAL'!AJ332</f>
        <v>APAGADO</v>
      </c>
      <c r="AD277" s="70">
        <f>'RESUMEN TOTAL'!AK332</f>
        <v>0</v>
      </c>
      <c r="AE277" s="70">
        <f>'RESUMEN TOTAL'!AL332</f>
        <v>0</v>
      </c>
      <c r="AF277" s="70">
        <f>'RESUMEN TOTAL'!AM332</f>
        <v>0</v>
      </c>
      <c r="AG277" s="70">
        <f>'RESUMEN TOTAL'!AN332</f>
        <v>0</v>
      </c>
      <c r="AH277" s="70">
        <f>'RESUMEN TOTAL'!AO332</f>
        <v>0</v>
      </c>
      <c r="AI277" s="70">
        <f>'RESUMEN TOTAL'!AP332</f>
        <v>0</v>
      </c>
    </row>
    <row r="278" spans="1:35" x14ac:dyDescent="0.25">
      <c r="A278" t="str">
        <f>'RESUMEN TOTAL'!A333</f>
        <v>RICARDO ROJAS</v>
      </c>
      <c r="B278" t="str">
        <f>'RESUMEN TOTAL'!B333</f>
        <v>RRJ 13</v>
      </c>
      <c r="C278" t="str">
        <f>'RESUMEN TOTAL'!D333</f>
        <v>LUJAN Y DIAGONAL LOS POETAS</v>
      </c>
      <c r="D278" s="30" t="str">
        <f>'RESUMEN TOTAL'!E333</f>
        <v>Fija</v>
      </c>
      <c r="E278" s="30" t="str">
        <f>'RESUMEN TOTAL'!F333</f>
        <v>Fibra Optica</v>
      </c>
      <c r="F278" s="70">
        <f>'RESUMEN TOTAL'!M333</f>
        <v>0</v>
      </c>
      <c r="G278" s="70">
        <f>'RESUMEN TOTAL'!N333</f>
        <v>0</v>
      </c>
      <c r="H278" s="70">
        <f>'RESUMEN TOTAL'!O333</f>
        <v>0</v>
      </c>
      <c r="I278" s="70">
        <f>'RESUMEN TOTAL'!P333</f>
        <v>0</v>
      </c>
      <c r="J278" s="70">
        <f>'RESUMEN TOTAL'!Q333</f>
        <v>0</v>
      </c>
      <c r="K278" s="70">
        <f>'RESUMEN TOTAL'!R333</f>
        <v>0</v>
      </c>
      <c r="L278" s="70">
        <f>'RESUMEN TOTAL'!S333</f>
        <v>0</v>
      </c>
      <c r="M278" s="70">
        <f>'RESUMEN TOTAL'!T333</f>
        <v>0</v>
      </c>
      <c r="N278" s="70">
        <f>'RESUMEN TOTAL'!U333</f>
        <v>0</v>
      </c>
      <c r="O278" s="70">
        <f>'RESUMEN TOTAL'!V333</f>
        <v>0</v>
      </c>
      <c r="P278" s="70">
        <f>'RESUMEN TOTAL'!W333</f>
        <v>0</v>
      </c>
      <c r="Q278" s="70">
        <f>'RESUMEN TOTAL'!X333</f>
        <v>0</v>
      </c>
      <c r="R278" s="70">
        <f>'RESUMEN TOTAL'!Y333</f>
        <v>0</v>
      </c>
      <c r="S278" s="70">
        <f>'RESUMEN TOTAL'!Z333</f>
        <v>0</v>
      </c>
      <c r="T278" s="70">
        <f>'RESUMEN TOTAL'!AA333</f>
        <v>0</v>
      </c>
      <c r="U278" s="70">
        <f>'RESUMEN TOTAL'!AB333</f>
        <v>0</v>
      </c>
      <c r="V278" s="70">
        <f>'RESUMEN TOTAL'!AC333</f>
        <v>0</v>
      </c>
      <c r="W278" s="70">
        <f>'RESUMEN TOTAL'!AD333</f>
        <v>0</v>
      </c>
      <c r="X278" s="70">
        <f>'RESUMEN TOTAL'!AE333</f>
        <v>0</v>
      </c>
      <c r="Y278" s="70">
        <f>'RESUMEN TOTAL'!AF333</f>
        <v>0</v>
      </c>
      <c r="Z278" s="70">
        <f>'RESUMEN TOTAL'!AG333</f>
        <v>0</v>
      </c>
      <c r="AA278" s="70">
        <f>'RESUMEN TOTAL'!AH333</f>
        <v>0</v>
      </c>
      <c r="AB278" s="70">
        <f>'RESUMEN TOTAL'!AI333</f>
        <v>0</v>
      </c>
      <c r="AC278" s="70" t="str">
        <f>'RESUMEN TOTAL'!AJ333</f>
        <v>APAGADO</v>
      </c>
      <c r="AD278" s="70">
        <f>'RESUMEN TOTAL'!AK333</f>
        <v>0</v>
      </c>
      <c r="AE278" s="70">
        <f>'RESUMEN TOTAL'!AL333</f>
        <v>0</v>
      </c>
      <c r="AF278" s="70">
        <f>'RESUMEN TOTAL'!AM333</f>
        <v>0</v>
      </c>
      <c r="AG278" s="70">
        <f>'RESUMEN TOTAL'!AN333</f>
        <v>0</v>
      </c>
      <c r="AH278" s="70">
        <f>'RESUMEN TOTAL'!AO333</f>
        <v>0</v>
      </c>
      <c r="AI278" s="70">
        <f>'RESUMEN TOTAL'!AP333</f>
        <v>0</v>
      </c>
    </row>
    <row r="279" spans="1:35" x14ac:dyDescent="0.25">
      <c r="A279" t="str">
        <f>'RESUMEN TOTAL'!A337</f>
        <v>SANTA ANA</v>
      </c>
      <c r="B279" t="str">
        <f>'RESUMEN TOTAL'!B337</f>
        <v>SAN 02</v>
      </c>
      <c r="C279" t="str">
        <f>'RESUMEN TOTAL'!D337</f>
        <v>HUDSON Y SUIPACHA</v>
      </c>
      <c r="D279" s="30" t="str">
        <f>'RESUMEN TOTAL'!E337</f>
        <v>Fija 2</v>
      </c>
      <c r="E279" s="30" t="str">
        <f>'RESUMEN TOTAL'!F337</f>
        <v>GPON</v>
      </c>
      <c r="F279" s="70">
        <f>'RESUMEN TOTAL'!M337</f>
        <v>0</v>
      </c>
      <c r="G279" s="70">
        <f>'RESUMEN TOTAL'!N337</f>
        <v>0</v>
      </c>
      <c r="H279" s="70">
        <f>'RESUMEN TOTAL'!O337</f>
        <v>0</v>
      </c>
      <c r="I279" s="70">
        <f>'RESUMEN TOTAL'!P337</f>
        <v>0</v>
      </c>
      <c r="J279" s="70">
        <f>'RESUMEN TOTAL'!Q337</f>
        <v>0</v>
      </c>
      <c r="K279" s="70">
        <f>'RESUMEN TOTAL'!R337</f>
        <v>0</v>
      </c>
      <c r="L279" s="70">
        <f>'RESUMEN TOTAL'!S337</f>
        <v>0</v>
      </c>
      <c r="M279" s="70">
        <f>'RESUMEN TOTAL'!T337</f>
        <v>0</v>
      </c>
      <c r="N279" s="70">
        <f>'RESUMEN TOTAL'!U337</f>
        <v>0</v>
      </c>
      <c r="O279" s="70">
        <f>'RESUMEN TOTAL'!V337</f>
        <v>0</v>
      </c>
      <c r="P279" s="70">
        <f>'RESUMEN TOTAL'!W337</f>
        <v>0</v>
      </c>
      <c r="Q279" s="70">
        <f>'RESUMEN TOTAL'!X337</f>
        <v>0</v>
      </c>
      <c r="R279" s="70">
        <f>'RESUMEN TOTAL'!Y337</f>
        <v>0</v>
      </c>
      <c r="S279" s="70">
        <f>'RESUMEN TOTAL'!Z337</f>
        <v>0</v>
      </c>
      <c r="T279" s="70">
        <f>'RESUMEN TOTAL'!AA337</f>
        <v>0</v>
      </c>
      <c r="U279" s="70">
        <f>'RESUMEN TOTAL'!AB337</f>
        <v>0</v>
      </c>
      <c r="V279" s="70">
        <f>'RESUMEN TOTAL'!AC337</f>
        <v>0</v>
      </c>
      <c r="W279" s="70">
        <f>'RESUMEN TOTAL'!AD337</f>
        <v>0</v>
      </c>
      <c r="X279" s="70">
        <f>'RESUMEN TOTAL'!AE337</f>
        <v>0</v>
      </c>
      <c r="Y279" s="70">
        <f>'RESUMEN TOTAL'!AF337</f>
        <v>0</v>
      </c>
      <c r="Z279" s="70">
        <f>'RESUMEN TOTAL'!AG337</f>
        <v>0</v>
      </c>
      <c r="AA279" s="70">
        <f>'RESUMEN TOTAL'!AH337</f>
        <v>0</v>
      </c>
      <c r="AB279" s="70">
        <f>'RESUMEN TOTAL'!AI337</f>
        <v>0</v>
      </c>
      <c r="AC279" s="70">
        <f>'RESUMEN TOTAL'!AJ337</f>
        <v>0</v>
      </c>
      <c r="AD279" s="70">
        <f>'RESUMEN TOTAL'!AK337</f>
        <v>0</v>
      </c>
      <c r="AE279" s="70">
        <f>'RESUMEN TOTAL'!AL337</f>
        <v>0</v>
      </c>
      <c r="AF279" s="70">
        <f>'RESUMEN TOTAL'!AM337</f>
        <v>0</v>
      </c>
      <c r="AG279" s="70">
        <f>'RESUMEN TOTAL'!AN337</f>
        <v>0</v>
      </c>
      <c r="AH279" s="70">
        <f>'RESUMEN TOTAL'!AO337</f>
        <v>0</v>
      </c>
      <c r="AI279" s="70">
        <f>'RESUMEN TOTAL'!AP337</f>
        <v>0</v>
      </c>
    </row>
    <row r="280" spans="1:35" x14ac:dyDescent="0.25">
      <c r="A280" t="str">
        <f>'RESUMEN TOTAL'!A338</f>
        <v>SANTA ANA</v>
      </c>
      <c r="B280" t="str">
        <f>'RESUMEN TOTAL'!B338</f>
        <v>SAN01</v>
      </c>
      <c r="C280" t="str">
        <f>'RESUMEN TOTAL'!D338</f>
        <v>HUDSON Y SUIPACHA</v>
      </c>
      <c r="D280" s="30" t="str">
        <f>'RESUMEN TOTAL'!E338</f>
        <v>Fija 1</v>
      </c>
      <c r="E280" s="30" t="str">
        <f>'RESUMEN TOTAL'!F338</f>
        <v>GPON</v>
      </c>
      <c r="F280" s="70">
        <f>'RESUMEN TOTAL'!M338</f>
        <v>0</v>
      </c>
      <c r="G280" s="70">
        <f>'RESUMEN TOTAL'!N338</f>
        <v>0</v>
      </c>
      <c r="H280" s="70">
        <f>'RESUMEN TOTAL'!O338</f>
        <v>0</v>
      </c>
      <c r="I280" s="70">
        <f>'RESUMEN TOTAL'!P338</f>
        <v>0</v>
      </c>
      <c r="J280" s="70">
        <f>'RESUMEN TOTAL'!Q338</f>
        <v>0</v>
      </c>
      <c r="K280" s="70">
        <f>'RESUMEN TOTAL'!R338</f>
        <v>0</v>
      </c>
      <c r="L280" s="70">
        <f>'RESUMEN TOTAL'!S338</f>
        <v>0</v>
      </c>
      <c r="M280" s="70">
        <f>'RESUMEN TOTAL'!T338</f>
        <v>0</v>
      </c>
      <c r="N280" s="70">
        <f>'RESUMEN TOTAL'!U338</f>
        <v>0</v>
      </c>
      <c r="O280" s="70">
        <f>'RESUMEN TOTAL'!V338</f>
        <v>0</v>
      </c>
      <c r="P280" s="70">
        <f>'RESUMEN TOTAL'!W338</f>
        <v>0</v>
      </c>
      <c r="Q280" s="70">
        <f>'RESUMEN TOTAL'!X338</f>
        <v>0</v>
      </c>
      <c r="R280" s="70">
        <f>'RESUMEN TOTAL'!Y338</f>
        <v>0</v>
      </c>
      <c r="S280" s="70">
        <f>'RESUMEN TOTAL'!Z338</f>
        <v>0</v>
      </c>
      <c r="T280" s="70">
        <f>'RESUMEN TOTAL'!AA338</f>
        <v>0</v>
      </c>
      <c r="U280" s="70">
        <f>'RESUMEN TOTAL'!AB338</f>
        <v>0</v>
      </c>
      <c r="V280" s="70">
        <f>'RESUMEN TOTAL'!AC338</f>
        <v>0</v>
      </c>
      <c r="W280" s="70">
        <f>'RESUMEN TOTAL'!AD338</f>
        <v>0</v>
      </c>
      <c r="X280" s="70">
        <f>'RESUMEN TOTAL'!AE338</f>
        <v>0</v>
      </c>
      <c r="Y280" s="70">
        <f>'RESUMEN TOTAL'!AF338</f>
        <v>0</v>
      </c>
      <c r="Z280" s="70">
        <f>'RESUMEN TOTAL'!AG338</f>
        <v>0</v>
      </c>
      <c r="AA280" s="70">
        <f>'RESUMEN TOTAL'!AH338</f>
        <v>0</v>
      </c>
      <c r="AB280" s="70">
        <f>'RESUMEN TOTAL'!AI338</f>
        <v>0</v>
      </c>
      <c r="AC280" s="70">
        <f>'RESUMEN TOTAL'!AJ338</f>
        <v>0</v>
      </c>
      <c r="AD280" s="70">
        <f>'RESUMEN TOTAL'!AK338</f>
        <v>0</v>
      </c>
      <c r="AE280" s="70">
        <f>'RESUMEN TOTAL'!AL338</f>
        <v>0</v>
      </c>
      <c r="AF280" s="70">
        <f>'RESUMEN TOTAL'!AM338</f>
        <v>0</v>
      </c>
      <c r="AG280" s="70">
        <f>'RESUMEN TOTAL'!AN338</f>
        <v>0</v>
      </c>
      <c r="AH280" s="70">
        <f>'RESUMEN TOTAL'!AO338</f>
        <v>0</v>
      </c>
      <c r="AI280" s="70">
        <f>'RESUMEN TOTAL'!AP338</f>
        <v>0</v>
      </c>
    </row>
    <row r="281" spans="1:35" x14ac:dyDescent="0.25">
      <c r="A281" t="str">
        <f>'RESUMEN TOTAL'!A339</f>
        <v>PRESIDENTE SARMIENTO</v>
      </c>
      <c r="B281" t="str">
        <f>'RESUMEN TOTAL'!B339</f>
        <v>SAR01</v>
      </c>
      <c r="C281" t="str">
        <f>'RESUMEN TOTAL'!D339</f>
        <v>Storni Y Sanchez de Loria</v>
      </c>
      <c r="D281" s="30" t="str">
        <f>'RESUMEN TOTAL'!E339</f>
        <v>Domo</v>
      </c>
      <c r="E281" s="30" t="str">
        <f>'RESUMEN TOTAL'!F339</f>
        <v>Fibra Optica</v>
      </c>
      <c r="F281" s="70">
        <f>'RESUMEN TOTAL'!M339</f>
        <v>0</v>
      </c>
      <c r="G281" s="70">
        <f>'RESUMEN TOTAL'!N339</f>
        <v>0</v>
      </c>
      <c r="H281" s="70">
        <f>'RESUMEN TOTAL'!O339</f>
        <v>0</v>
      </c>
      <c r="I281" s="70">
        <f>'RESUMEN TOTAL'!P339</f>
        <v>0</v>
      </c>
      <c r="J281" s="70">
        <f>'RESUMEN TOTAL'!Q339</f>
        <v>0</v>
      </c>
      <c r="K281" s="70">
        <f>'RESUMEN TOTAL'!R339</f>
        <v>0</v>
      </c>
      <c r="L281" s="70">
        <f>'RESUMEN TOTAL'!S339</f>
        <v>0</v>
      </c>
      <c r="M281" s="70">
        <f>'RESUMEN TOTAL'!T339</f>
        <v>0</v>
      </c>
      <c r="N281" s="70">
        <f>'RESUMEN TOTAL'!U339</f>
        <v>0</v>
      </c>
      <c r="O281" s="70">
        <f>'RESUMEN TOTAL'!V339</f>
        <v>0</v>
      </c>
      <c r="P281" s="70">
        <f>'RESUMEN TOTAL'!W339</f>
        <v>0</v>
      </c>
      <c r="Q281" s="70">
        <f>'RESUMEN TOTAL'!X339</f>
        <v>0</v>
      </c>
      <c r="R281" s="70">
        <f>'RESUMEN TOTAL'!Y339</f>
        <v>0</v>
      </c>
      <c r="S281" s="70">
        <f>'RESUMEN TOTAL'!Z339</f>
        <v>0</v>
      </c>
      <c r="T281" s="70" t="str">
        <f>'RESUMEN TOTAL'!AA339</f>
        <v>APAGADO</v>
      </c>
      <c r="U281" s="70">
        <f>'RESUMEN TOTAL'!AB339</f>
        <v>0</v>
      </c>
      <c r="V281" s="70">
        <f>'RESUMEN TOTAL'!AC339</f>
        <v>0</v>
      </c>
      <c r="W281" s="70">
        <f>'RESUMEN TOTAL'!AD339</f>
        <v>0</v>
      </c>
      <c r="X281" s="70">
        <f>'RESUMEN TOTAL'!AE339</f>
        <v>0</v>
      </c>
      <c r="Y281" s="70">
        <f>'RESUMEN TOTAL'!AF339</f>
        <v>0</v>
      </c>
      <c r="Z281" s="70">
        <f>'RESUMEN TOTAL'!AG339</f>
        <v>0</v>
      </c>
      <c r="AA281" s="70">
        <f>'RESUMEN TOTAL'!AH339</f>
        <v>0</v>
      </c>
      <c r="AB281" s="70">
        <f>'RESUMEN TOTAL'!AI339</f>
        <v>0</v>
      </c>
      <c r="AC281" s="70">
        <f>'RESUMEN TOTAL'!AJ339</f>
        <v>0</v>
      </c>
      <c r="AD281" s="70">
        <f>'RESUMEN TOTAL'!AK339</f>
        <v>0</v>
      </c>
      <c r="AE281" s="70">
        <f>'RESUMEN TOTAL'!AL339</f>
        <v>0</v>
      </c>
      <c r="AF281" s="70">
        <f>'RESUMEN TOTAL'!AM339</f>
        <v>0</v>
      </c>
      <c r="AG281" s="70">
        <f>'RESUMEN TOTAL'!AN339</f>
        <v>0</v>
      </c>
      <c r="AH281" s="70">
        <f>'RESUMEN TOTAL'!AO339</f>
        <v>0</v>
      </c>
      <c r="AI281" s="70">
        <f>'RESUMEN TOTAL'!AP339</f>
        <v>0</v>
      </c>
    </row>
    <row r="282" spans="1:35" x14ac:dyDescent="0.25">
      <c r="A282" t="str">
        <f>'RESUMEN TOTAL'!A340</f>
        <v>PRESIDENTE SARMIENTO</v>
      </c>
      <c r="B282" t="str">
        <f>'RESUMEN TOTAL'!B340</f>
        <v>SAR 02 (fija 1)</v>
      </c>
      <c r="C282" t="str">
        <f>'RESUMEN TOTAL'!D340</f>
        <v>DARDO ROCHA Y GABRIELA MISTRAL</v>
      </c>
      <c r="D282" s="30" t="str">
        <f>'RESUMEN TOTAL'!E340</f>
        <v>Fija</v>
      </c>
      <c r="E282" s="30" t="str">
        <f>'RESUMEN TOTAL'!F340</f>
        <v>GPON</v>
      </c>
      <c r="F282" s="70">
        <f>'RESUMEN TOTAL'!M340</f>
        <v>0</v>
      </c>
      <c r="G282" s="70" t="str">
        <f>'RESUMEN TOTAL'!N340</f>
        <v>APAGADO</v>
      </c>
      <c r="H282" s="70">
        <f>'RESUMEN TOTAL'!O340</f>
        <v>0</v>
      </c>
      <c r="I282" s="70">
        <f>'RESUMEN TOTAL'!P340</f>
        <v>0</v>
      </c>
      <c r="J282" s="70">
        <f>'RESUMEN TOTAL'!Q340</f>
        <v>0</v>
      </c>
      <c r="K282" s="70">
        <f>'RESUMEN TOTAL'!R340</f>
        <v>0</v>
      </c>
      <c r="L282" s="70">
        <f>'RESUMEN TOTAL'!S340</f>
        <v>0</v>
      </c>
      <c r="M282" s="70">
        <f>'RESUMEN TOTAL'!T340</f>
        <v>0</v>
      </c>
      <c r="N282" s="70">
        <f>'RESUMEN TOTAL'!U340</f>
        <v>0</v>
      </c>
      <c r="O282" s="70">
        <f>'RESUMEN TOTAL'!V340</f>
        <v>0</v>
      </c>
      <c r="P282" s="70">
        <f>'RESUMEN TOTAL'!W340</f>
        <v>0</v>
      </c>
      <c r="Q282" s="70" t="str">
        <f>'RESUMEN TOTAL'!X340</f>
        <v>APAGADO</v>
      </c>
      <c r="R282" s="70">
        <f>'RESUMEN TOTAL'!Y340</f>
        <v>0</v>
      </c>
      <c r="S282" s="70">
        <f>'RESUMEN TOTAL'!Z340</f>
        <v>0</v>
      </c>
      <c r="T282" s="70" t="str">
        <f>'RESUMEN TOTAL'!AA340</f>
        <v>APAGADO</v>
      </c>
      <c r="U282" s="70">
        <f>'RESUMEN TOTAL'!AB340</f>
        <v>0</v>
      </c>
      <c r="V282" s="70">
        <f>'RESUMEN TOTAL'!AC340</f>
        <v>0</v>
      </c>
      <c r="W282" s="70">
        <f>'RESUMEN TOTAL'!AD340</f>
        <v>0</v>
      </c>
      <c r="X282" s="70">
        <f>'RESUMEN TOTAL'!AE340</f>
        <v>0</v>
      </c>
      <c r="Y282" s="70">
        <f>'RESUMEN TOTAL'!AF340</f>
        <v>0</v>
      </c>
      <c r="Z282" s="70" t="str">
        <f>'RESUMEN TOTAL'!AG340</f>
        <v>APAGADO</v>
      </c>
      <c r="AA282" s="70" t="str">
        <f>'RESUMEN TOTAL'!AH340</f>
        <v>APAGADO</v>
      </c>
      <c r="AB282" s="70" t="str">
        <f>'RESUMEN TOTAL'!AI340</f>
        <v>APAGADO</v>
      </c>
      <c r="AC282" s="70" t="str">
        <f>'RESUMEN TOTAL'!AJ340</f>
        <v>APAGADO</v>
      </c>
      <c r="AD282" s="70" t="str">
        <f>'RESUMEN TOTAL'!AK340</f>
        <v>APAGADO</v>
      </c>
      <c r="AE282" s="70" t="str">
        <f>'RESUMEN TOTAL'!AL340</f>
        <v>APAGADO</v>
      </c>
      <c r="AF282" s="70">
        <f>'RESUMEN TOTAL'!AM340</f>
        <v>0</v>
      </c>
      <c r="AG282" s="70">
        <f>'RESUMEN TOTAL'!AN340</f>
        <v>0</v>
      </c>
      <c r="AH282" s="70">
        <f>'RESUMEN TOTAL'!AO340</f>
        <v>0</v>
      </c>
      <c r="AI282" s="70">
        <f>'RESUMEN TOTAL'!AP340</f>
        <v>0</v>
      </c>
    </row>
    <row r="283" spans="1:35" x14ac:dyDescent="0.25">
      <c r="A283" t="str">
        <f>'RESUMEN TOTAL'!A341</f>
        <v>PRESIDENTE SARMIENTO</v>
      </c>
      <c r="B283" t="str">
        <f>'RESUMEN TOTAL'!B341</f>
        <v>SAR 03 (fija 2)</v>
      </c>
      <c r="C283" t="str">
        <f>'RESUMEN TOTAL'!D341</f>
        <v>DARDO ROCHA Y GABRIELA MISTRAL</v>
      </c>
      <c r="D283" s="30" t="str">
        <f>'RESUMEN TOTAL'!E341</f>
        <v>Fija</v>
      </c>
      <c r="E283" s="30" t="str">
        <f>'RESUMEN TOTAL'!F341</f>
        <v>GPON</v>
      </c>
      <c r="F283" s="70">
        <f>'RESUMEN TOTAL'!M341</f>
        <v>0</v>
      </c>
      <c r="G283" s="70">
        <f>'RESUMEN TOTAL'!N341</f>
        <v>0</v>
      </c>
      <c r="H283" s="70">
        <f>'RESUMEN TOTAL'!O341</f>
        <v>0</v>
      </c>
      <c r="I283" s="70">
        <f>'RESUMEN TOTAL'!P341</f>
        <v>0</v>
      </c>
      <c r="J283" s="70">
        <f>'RESUMEN TOTAL'!Q341</f>
        <v>0</v>
      </c>
      <c r="K283" s="70">
        <f>'RESUMEN TOTAL'!R341</f>
        <v>0</v>
      </c>
      <c r="L283" s="70">
        <f>'RESUMEN TOTAL'!S341</f>
        <v>0</v>
      </c>
      <c r="M283" s="70">
        <f>'RESUMEN TOTAL'!T341</f>
        <v>0</v>
      </c>
      <c r="N283" s="70">
        <f>'RESUMEN TOTAL'!U341</f>
        <v>0</v>
      </c>
      <c r="O283" s="70">
        <f>'RESUMEN TOTAL'!V341</f>
        <v>0</v>
      </c>
      <c r="P283" s="70">
        <f>'RESUMEN TOTAL'!W341</f>
        <v>0</v>
      </c>
      <c r="Q283" s="70" t="str">
        <f>'RESUMEN TOTAL'!X341</f>
        <v>APAGADO</v>
      </c>
      <c r="R283" s="70">
        <f>'RESUMEN TOTAL'!Y341</f>
        <v>0</v>
      </c>
      <c r="S283" s="70">
        <f>'RESUMEN TOTAL'!Z341</f>
        <v>0</v>
      </c>
      <c r="T283" s="70" t="str">
        <f>'RESUMEN TOTAL'!AA341</f>
        <v>APAGADO</v>
      </c>
      <c r="U283" s="70">
        <f>'RESUMEN TOTAL'!AB341</f>
        <v>0</v>
      </c>
      <c r="V283" s="70">
        <f>'RESUMEN TOTAL'!AC341</f>
        <v>0</v>
      </c>
      <c r="W283" s="70">
        <f>'RESUMEN TOTAL'!AD341</f>
        <v>0</v>
      </c>
      <c r="X283" s="70">
        <f>'RESUMEN TOTAL'!AE341</f>
        <v>0</v>
      </c>
      <c r="Y283" s="70">
        <f>'RESUMEN TOTAL'!AF341</f>
        <v>0</v>
      </c>
      <c r="Z283" s="70">
        <f>'RESUMEN TOTAL'!AG341</f>
        <v>0</v>
      </c>
      <c r="AA283" s="70" t="str">
        <f>'RESUMEN TOTAL'!AH341</f>
        <v>APAGADO</v>
      </c>
      <c r="AB283" s="70" t="str">
        <f>'RESUMEN TOTAL'!AI341</f>
        <v>APAGADO</v>
      </c>
      <c r="AC283" s="70" t="str">
        <f>'RESUMEN TOTAL'!AJ341</f>
        <v>APAGADO</v>
      </c>
      <c r="AD283" s="70" t="str">
        <f>'RESUMEN TOTAL'!AK341</f>
        <v>APAGADO</v>
      </c>
      <c r="AE283" s="70" t="str">
        <f>'RESUMEN TOTAL'!AL341</f>
        <v>APAGADO</v>
      </c>
      <c r="AF283" s="70">
        <f>'RESUMEN TOTAL'!AM341</f>
        <v>0</v>
      </c>
      <c r="AG283" s="70">
        <f>'RESUMEN TOTAL'!AN341</f>
        <v>0</v>
      </c>
      <c r="AH283" s="70">
        <f>'RESUMEN TOTAL'!AO341</f>
        <v>0</v>
      </c>
      <c r="AI283" s="70">
        <f>'RESUMEN TOTAL'!AP341</f>
        <v>0</v>
      </c>
    </row>
    <row r="284" spans="1:35" x14ac:dyDescent="0.25">
      <c r="A284" t="str">
        <f>'RESUMEN TOTAL'!A342</f>
        <v>PRESIDENTE SARMIENTO</v>
      </c>
      <c r="B284" t="str">
        <f>'RESUMEN TOTAL'!B342</f>
        <v>SAR 04</v>
      </c>
      <c r="C284" t="str">
        <f>'RESUMEN TOTAL'!D342</f>
        <v>MONTES DE OCA Y ALVARADO</v>
      </c>
      <c r="D284" s="30" t="str">
        <f>'RESUMEN TOTAL'!E342</f>
        <v>Domo</v>
      </c>
      <c r="E284" s="30" t="str">
        <f>'RESUMEN TOTAL'!F342</f>
        <v>Fibra Optica</v>
      </c>
      <c r="F284" s="70">
        <f>'RESUMEN TOTAL'!M342</f>
        <v>0</v>
      </c>
      <c r="G284" s="70">
        <f>'RESUMEN TOTAL'!N342</f>
        <v>0</v>
      </c>
      <c r="H284" s="70">
        <f>'RESUMEN TOTAL'!O342</f>
        <v>0</v>
      </c>
      <c r="I284" s="70">
        <f>'RESUMEN TOTAL'!P342</f>
        <v>0</v>
      </c>
      <c r="J284" s="70">
        <f>'RESUMEN TOTAL'!Q342</f>
        <v>0</v>
      </c>
      <c r="K284" s="70">
        <f>'RESUMEN TOTAL'!R342</f>
        <v>0</v>
      </c>
      <c r="L284" s="70">
        <f>'RESUMEN TOTAL'!S342</f>
        <v>0</v>
      </c>
      <c r="M284" s="70">
        <f>'RESUMEN TOTAL'!T342</f>
        <v>0</v>
      </c>
      <c r="N284" s="70">
        <f>'RESUMEN TOTAL'!U342</f>
        <v>0</v>
      </c>
      <c r="O284" s="70">
        <f>'RESUMEN TOTAL'!V342</f>
        <v>0</v>
      </c>
      <c r="P284" s="70">
        <f>'RESUMEN TOTAL'!W342</f>
        <v>0</v>
      </c>
      <c r="Q284" s="70">
        <f>'RESUMEN TOTAL'!X342</f>
        <v>0</v>
      </c>
      <c r="R284" s="70">
        <f>'RESUMEN TOTAL'!Y342</f>
        <v>0</v>
      </c>
      <c r="S284" s="70">
        <f>'RESUMEN TOTAL'!Z342</f>
        <v>0</v>
      </c>
      <c r="T284" s="70" t="str">
        <f>'RESUMEN TOTAL'!AA342</f>
        <v>APAGADO</v>
      </c>
      <c r="U284" s="70">
        <f>'RESUMEN TOTAL'!AB342</f>
        <v>0</v>
      </c>
      <c r="V284" s="70">
        <f>'RESUMEN TOTAL'!AC342</f>
        <v>0</v>
      </c>
      <c r="W284" s="70">
        <f>'RESUMEN TOTAL'!AD342</f>
        <v>0</v>
      </c>
      <c r="X284" s="70">
        <f>'RESUMEN TOTAL'!AE342</f>
        <v>0</v>
      </c>
      <c r="Y284" s="70">
        <f>'RESUMEN TOTAL'!AF342</f>
        <v>0</v>
      </c>
      <c r="Z284" s="70" t="str">
        <f>'RESUMEN TOTAL'!AG342</f>
        <v>APAGADO</v>
      </c>
      <c r="AA284" s="70">
        <f>'RESUMEN TOTAL'!AH342</f>
        <v>0</v>
      </c>
      <c r="AB284" s="70">
        <f>'RESUMEN TOTAL'!AI342</f>
        <v>0</v>
      </c>
      <c r="AC284" s="70">
        <f>'RESUMEN TOTAL'!AJ342</f>
        <v>0</v>
      </c>
      <c r="AD284" s="70">
        <f>'RESUMEN TOTAL'!AK342</f>
        <v>0</v>
      </c>
      <c r="AE284" s="70">
        <f>'RESUMEN TOTAL'!AL342</f>
        <v>0</v>
      </c>
      <c r="AF284" s="70">
        <f>'RESUMEN TOTAL'!AM342</f>
        <v>0</v>
      </c>
      <c r="AG284" s="70">
        <f>'RESUMEN TOTAL'!AN342</f>
        <v>0</v>
      </c>
      <c r="AH284" s="70">
        <f>'RESUMEN TOTAL'!AO342</f>
        <v>0</v>
      </c>
      <c r="AI284" s="70">
        <f>'RESUMEN TOTAL'!AP342</f>
        <v>0</v>
      </c>
    </row>
    <row r="285" spans="1:35" x14ac:dyDescent="0.25">
      <c r="A285" t="str">
        <f>'RESUMEN TOTAL'!A343</f>
        <v>PRESIDENTE SARMIENTO</v>
      </c>
      <c r="B285" t="str">
        <f>'RESUMEN TOTAL'!B343</f>
        <v>SAR 05</v>
      </c>
      <c r="C285" t="str">
        <f>'RESUMEN TOTAL'!D343</f>
        <v>ALVARADO Y ROCHA</v>
      </c>
      <c r="D285" s="30" t="str">
        <f>'RESUMEN TOTAL'!E343</f>
        <v>Domo</v>
      </c>
      <c r="E285" s="30" t="str">
        <f>'RESUMEN TOTAL'!F343</f>
        <v>Fibra Optica</v>
      </c>
      <c r="F285" s="70">
        <f>'RESUMEN TOTAL'!M343</f>
        <v>0</v>
      </c>
      <c r="G285" s="70">
        <f>'RESUMEN TOTAL'!N343</f>
        <v>0</v>
      </c>
      <c r="H285" s="70">
        <f>'RESUMEN TOTAL'!O343</f>
        <v>0</v>
      </c>
      <c r="I285" s="70" t="str">
        <f>'RESUMEN TOTAL'!P343</f>
        <v>APAGADO</v>
      </c>
      <c r="J285" s="70">
        <f>'RESUMEN TOTAL'!Q343</f>
        <v>0</v>
      </c>
      <c r="K285" s="70">
        <f>'RESUMEN TOTAL'!R343</f>
        <v>0</v>
      </c>
      <c r="L285" s="70">
        <f>'RESUMEN TOTAL'!S343</f>
        <v>0</v>
      </c>
      <c r="M285" s="70">
        <f>'RESUMEN TOTAL'!T343</f>
        <v>0</v>
      </c>
      <c r="N285" s="70" t="str">
        <f>'RESUMEN TOTAL'!U343</f>
        <v>APAGADO</v>
      </c>
      <c r="O285" s="70" t="str">
        <f>'RESUMEN TOTAL'!V343</f>
        <v>APAGADO</v>
      </c>
      <c r="P285" s="70">
        <f>'RESUMEN TOTAL'!W343</f>
        <v>0</v>
      </c>
      <c r="Q285" s="70" t="str">
        <f>'RESUMEN TOTAL'!X343</f>
        <v>APAGADO</v>
      </c>
      <c r="R285" s="70" t="str">
        <f>'RESUMEN TOTAL'!Y343</f>
        <v>APAGADO</v>
      </c>
      <c r="S285" s="70" t="str">
        <f>'RESUMEN TOTAL'!Z343</f>
        <v>APAGADO</v>
      </c>
      <c r="T285" s="70" t="str">
        <f>'RESUMEN TOTAL'!AA343</f>
        <v>APAGADO</v>
      </c>
      <c r="U285" s="70">
        <f>'RESUMEN TOTAL'!AB343</f>
        <v>0</v>
      </c>
      <c r="V285" s="70" t="str">
        <f>'RESUMEN TOTAL'!AC343</f>
        <v>APAGADO</v>
      </c>
      <c r="W285" s="70">
        <f>'RESUMEN TOTAL'!AD343</f>
        <v>0</v>
      </c>
      <c r="X285" s="70">
        <f>'RESUMEN TOTAL'!AE343</f>
        <v>0</v>
      </c>
      <c r="Y285" s="70" t="str">
        <f>'RESUMEN TOTAL'!AF343</f>
        <v>APAGADO</v>
      </c>
      <c r="Z285" s="70">
        <f>'RESUMEN TOTAL'!AG343</f>
        <v>0</v>
      </c>
      <c r="AA285" s="70">
        <f>'RESUMEN TOTAL'!AH343</f>
        <v>0</v>
      </c>
      <c r="AB285" s="70" t="str">
        <f>'RESUMEN TOTAL'!AI343</f>
        <v>APAGADO</v>
      </c>
      <c r="AC285" s="70" t="str">
        <f>'RESUMEN TOTAL'!AJ343</f>
        <v>APAGADO</v>
      </c>
      <c r="AD285" s="70" t="str">
        <f>'RESUMEN TOTAL'!AK343</f>
        <v>APAGADO</v>
      </c>
      <c r="AE285" s="70" t="str">
        <f>'RESUMEN TOTAL'!AL343</f>
        <v>APAGADO</v>
      </c>
      <c r="AF285" s="70">
        <f>'RESUMEN TOTAL'!AM343</f>
        <v>0</v>
      </c>
      <c r="AG285" s="70">
        <f>'RESUMEN TOTAL'!AN343</f>
        <v>0</v>
      </c>
      <c r="AH285" s="70">
        <f>'RESUMEN TOTAL'!AO343</f>
        <v>0</v>
      </c>
      <c r="AI285" s="70">
        <f>'RESUMEN TOTAL'!AP343</f>
        <v>0</v>
      </c>
    </row>
    <row r="286" spans="1:35" x14ac:dyDescent="0.25">
      <c r="A286" t="str">
        <f>'RESUMEN TOTAL'!A344</f>
        <v>PRESIDENTE SARMIENTO</v>
      </c>
      <c r="B286" t="str">
        <f>'RESUMEN TOTAL'!B344</f>
        <v>SAR 06</v>
      </c>
      <c r="C286" t="str">
        <f>'RESUMEN TOTAL'!D344</f>
        <v>Necochea y Lorenzini</v>
      </c>
      <c r="D286" s="30" t="str">
        <f>'RESUMEN TOTAL'!E344</f>
        <v>Fija</v>
      </c>
      <c r="E286" s="30" t="str">
        <f>'RESUMEN TOTAL'!F344</f>
        <v>Fibra Optica</v>
      </c>
      <c r="F286" s="70">
        <f>'RESUMEN TOTAL'!M344</f>
        <v>0</v>
      </c>
      <c r="G286" s="70">
        <f>'RESUMEN TOTAL'!N344</f>
        <v>0</v>
      </c>
      <c r="H286" s="70">
        <f>'RESUMEN TOTAL'!O344</f>
        <v>0</v>
      </c>
      <c r="I286" s="70">
        <f>'RESUMEN TOTAL'!P344</f>
        <v>0</v>
      </c>
      <c r="J286" s="70">
        <f>'RESUMEN TOTAL'!Q344</f>
        <v>0</v>
      </c>
      <c r="K286" s="70">
        <f>'RESUMEN TOTAL'!R344</f>
        <v>0</v>
      </c>
      <c r="L286" s="70">
        <f>'RESUMEN TOTAL'!S344</f>
        <v>0</v>
      </c>
      <c r="M286" s="70">
        <f>'RESUMEN TOTAL'!T344</f>
        <v>0</v>
      </c>
      <c r="N286" s="70">
        <f>'RESUMEN TOTAL'!U344</f>
        <v>0</v>
      </c>
      <c r="O286" s="70">
        <f>'RESUMEN TOTAL'!V344</f>
        <v>0</v>
      </c>
      <c r="P286" s="70">
        <f>'RESUMEN TOTAL'!W344</f>
        <v>0</v>
      </c>
      <c r="Q286" s="70">
        <f>'RESUMEN TOTAL'!X344</f>
        <v>0</v>
      </c>
      <c r="R286" s="70">
        <f>'RESUMEN TOTAL'!Y344</f>
        <v>0</v>
      </c>
      <c r="S286" s="70">
        <f>'RESUMEN TOTAL'!Z344</f>
        <v>0</v>
      </c>
      <c r="T286" s="70" t="str">
        <f>'RESUMEN TOTAL'!AA344</f>
        <v>APAGADO</v>
      </c>
      <c r="U286" s="70">
        <f>'RESUMEN TOTAL'!AB344</f>
        <v>0</v>
      </c>
      <c r="V286" s="70">
        <f>'RESUMEN TOTAL'!AC344</f>
        <v>0</v>
      </c>
      <c r="W286" s="70">
        <f>'RESUMEN TOTAL'!AD344</f>
        <v>0</v>
      </c>
      <c r="X286" s="70">
        <f>'RESUMEN TOTAL'!AE344</f>
        <v>0</v>
      </c>
      <c r="Y286" s="70">
        <f>'RESUMEN TOTAL'!AF344</f>
        <v>0</v>
      </c>
      <c r="Z286" s="70">
        <f>'RESUMEN TOTAL'!AG344</f>
        <v>0</v>
      </c>
      <c r="AA286" s="70">
        <f>'RESUMEN TOTAL'!AH344</f>
        <v>0</v>
      </c>
      <c r="AB286" s="70">
        <f>'RESUMEN TOTAL'!AI344</f>
        <v>0</v>
      </c>
      <c r="AC286" s="70">
        <f>'RESUMEN TOTAL'!AJ344</f>
        <v>0</v>
      </c>
      <c r="AD286" s="70">
        <f>'RESUMEN TOTAL'!AK344</f>
        <v>0</v>
      </c>
      <c r="AE286" s="70">
        <f>'RESUMEN TOTAL'!AL344</f>
        <v>0</v>
      </c>
      <c r="AF286" s="70">
        <f>'RESUMEN TOTAL'!AM344</f>
        <v>0</v>
      </c>
      <c r="AG286" s="70">
        <f>'RESUMEN TOTAL'!AN344</f>
        <v>0</v>
      </c>
      <c r="AH286" s="70">
        <f>'RESUMEN TOTAL'!AO344</f>
        <v>0</v>
      </c>
      <c r="AI286" s="70">
        <f>'RESUMEN TOTAL'!AP344</f>
        <v>0</v>
      </c>
    </row>
    <row r="287" spans="1:35" x14ac:dyDescent="0.25">
      <c r="A287" t="str">
        <f>'RESUMEN TOTAL'!A345</f>
        <v>PRESIDENTE SARMIENTO</v>
      </c>
      <c r="B287" t="str">
        <f>'RESUMEN TOTAL'!B345</f>
        <v>SAR 07</v>
      </c>
      <c r="C287" t="str">
        <f>'RESUMEN TOTAL'!D345</f>
        <v>Necochea y Lorenzini</v>
      </c>
      <c r="D287" s="30" t="str">
        <f>'RESUMEN TOTAL'!E345</f>
        <v>Fija</v>
      </c>
      <c r="E287" s="30" t="str">
        <f>'RESUMEN TOTAL'!F345</f>
        <v>Fibra Optica</v>
      </c>
      <c r="F287" s="70">
        <f>'RESUMEN TOTAL'!M345</f>
        <v>0</v>
      </c>
      <c r="G287" s="70">
        <f>'RESUMEN TOTAL'!N345</f>
        <v>0</v>
      </c>
      <c r="H287" s="70">
        <f>'RESUMEN TOTAL'!O345</f>
        <v>0</v>
      </c>
      <c r="I287" s="70">
        <f>'RESUMEN TOTAL'!P345</f>
        <v>0</v>
      </c>
      <c r="J287" s="70">
        <f>'RESUMEN TOTAL'!Q345</f>
        <v>0</v>
      </c>
      <c r="K287" s="70">
        <f>'RESUMEN TOTAL'!R345</f>
        <v>0</v>
      </c>
      <c r="L287" s="70">
        <f>'RESUMEN TOTAL'!S345</f>
        <v>0</v>
      </c>
      <c r="M287" s="70">
        <f>'RESUMEN TOTAL'!T345</f>
        <v>0</v>
      </c>
      <c r="N287" s="70">
        <f>'RESUMEN TOTAL'!U345</f>
        <v>0</v>
      </c>
      <c r="O287" s="70">
        <f>'RESUMEN TOTAL'!V345</f>
        <v>0</v>
      </c>
      <c r="P287" s="70">
        <f>'RESUMEN TOTAL'!W345</f>
        <v>0</v>
      </c>
      <c r="Q287" s="70">
        <f>'RESUMEN TOTAL'!X345</f>
        <v>0</v>
      </c>
      <c r="R287" s="70">
        <f>'RESUMEN TOTAL'!Y345</f>
        <v>0</v>
      </c>
      <c r="S287" s="70">
        <f>'RESUMEN TOTAL'!Z345</f>
        <v>0</v>
      </c>
      <c r="T287" s="70" t="str">
        <f>'RESUMEN TOTAL'!AA345</f>
        <v>APAGADO</v>
      </c>
      <c r="U287" s="70">
        <f>'RESUMEN TOTAL'!AB345</f>
        <v>0</v>
      </c>
      <c r="V287" s="70">
        <f>'RESUMEN TOTAL'!AC345</f>
        <v>0</v>
      </c>
      <c r="W287" s="70">
        <f>'RESUMEN TOTAL'!AD345</f>
        <v>0</v>
      </c>
      <c r="X287" s="70">
        <f>'RESUMEN TOTAL'!AE345</f>
        <v>0</v>
      </c>
      <c r="Y287" s="70">
        <f>'RESUMEN TOTAL'!AF345</f>
        <v>0</v>
      </c>
      <c r="Z287" s="70">
        <f>'RESUMEN TOTAL'!AG345</f>
        <v>0</v>
      </c>
      <c r="AA287" s="70">
        <f>'RESUMEN TOTAL'!AH345</f>
        <v>0</v>
      </c>
      <c r="AB287" s="70">
        <f>'RESUMEN TOTAL'!AI345</f>
        <v>0</v>
      </c>
      <c r="AC287" s="70">
        <f>'RESUMEN TOTAL'!AJ345</f>
        <v>0</v>
      </c>
      <c r="AD287" s="70">
        <f>'RESUMEN TOTAL'!AK345</f>
        <v>0</v>
      </c>
      <c r="AE287" s="70">
        <f>'RESUMEN TOTAL'!AL345</f>
        <v>0</v>
      </c>
      <c r="AF287" s="70">
        <f>'RESUMEN TOTAL'!AM345</f>
        <v>0</v>
      </c>
      <c r="AG287" s="70">
        <f>'RESUMEN TOTAL'!AN345</f>
        <v>0</v>
      </c>
      <c r="AH287" s="70">
        <f>'RESUMEN TOTAL'!AO345</f>
        <v>0</v>
      </c>
      <c r="AI287" s="70">
        <f>'RESUMEN TOTAL'!AP345</f>
        <v>0</v>
      </c>
    </row>
    <row r="288" spans="1:35" x14ac:dyDescent="0.25">
      <c r="A288" t="str">
        <f>'RESUMEN TOTAL'!A346</f>
        <v>PRESIDENTE SARMIENTO</v>
      </c>
      <c r="B288" t="str">
        <f>'RESUMEN TOTAL'!B346</f>
        <v>SAR 08</v>
      </c>
      <c r="C288" t="str">
        <f>'RESUMEN TOTAL'!D346</f>
        <v>Necochea y Montes de Oca</v>
      </c>
      <c r="D288" s="30" t="str">
        <f>'RESUMEN TOTAL'!E346</f>
        <v>Fija</v>
      </c>
      <c r="E288" s="30" t="str">
        <f>'RESUMEN TOTAL'!F346</f>
        <v>Fibra Optica</v>
      </c>
      <c r="F288" s="70">
        <f>'RESUMEN TOTAL'!M346</f>
        <v>0</v>
      </c>
      <c r="G288" s="70">
        <f>'RESUMEN TOTAL'!N346</f>
        <v>0</v>
      </c>
      <c r="H288" s="70">
        <f>'RESUMEN TOTAL'!O346</f>
        <v>0</v>
      </c>
      <c r="I288" s="70">
        <f>'RESUMEN TOTAL'!P346</f>
        <v>0</v>
      </c>
      <c r="J288" s="70">
        <f>'RESUMEN TOTAL'!Q346</f>
        <v>0</v>
      </c>
      <c r="K288" s="70">
        <f>'RESUMEN TOTAL'!R346</f>
        <v>0</v>
      </c>
      <c r="L288" s="70">
        <f>'RESUMEN TOTAL'!S346</f>
        <v>0</v>
      </c>
      <c r="M288" s="70">
        <f>'RESUMEN TOTAL'!T346</f>
        <v>0</v>
      </c>
      <c r="N288" s="70">
        <f>'RESUMEN TOTAL'!U346</f>
        <v>0</v>
      </c>
      <c r="O288" s="70">
        <f>'RESUMEN TOTAL'!V346</f>
        <v>0</v>
      </c>
      <c r="P288" s="70">
        <f>'RESUMEN TOTAL'!W346</f>
        <v>0</v>
      </c>
      <c r="Q288" s="70">
        <f>'RESUMEN TOTAL'!X346</f>
        <v>0</v>
      </c>
      <c r="R288" s="70">
        <f>'RESUMEN TOTAL'!Y346</f>
        <v>0</v>
      </c>
      <c r="S288" s="70">
        <f>'RESUMEN TOTAL'!Z346</f>
        <v>0</v>
      </c>
      <c r="T288" s="70" t="str">
        <f>'RESUMEN TOTAL'!AA346</f>
        <v>APAGADO</v>
      </c>
      <c r="U288" s="70">
        <f>'RESUMEN TOTAL'!AB346</f>
        <v>0</v>
      </c>
      <c r="V288" s="70">
        <f>'RESUMEN TOTAL'!AC346</f>
        <v>0</v>
      </c>
      <c r="W288" s="70">
        <f>'RESUMEN TOTAL'!AD346</f>
        <v>0</v>
      </c>
      <c r="X288" s="70">
        <f>'RESUMEN TOTAL'!AE346</f>
        <v>0</v>
      </c>
      <c r="Y288" s="70">
        <f>'RESUMEN TOTAL'!AF346</f>
        <v>0</v>
      </c>
      <c r="Z288" s="70">
        <f>'RESUMEN TOTAL'!AG346</f>
        <v>0</v>
      </c>
      <c r="AA288" s="70">
        <f>'RESUMEN TOTAL'!AH346</f>
        <v>0</v>
      </c>
      <c r="AB288" s="70">
        <f>'RESUMEN TOTAL'!AI346</f>
        <v>0</v>
      </c>
      <c r="AC288" s="70">
        <f>'RESUMEN TOTAL'!AJ346</f>
        <v>0</v>
      </c>
      <c r="AD288" s="70">
        <f>'RESUMEN TOTAL'!AK346</f>
        <v>0</v>
      </c>
      <c r="AE288" s="70">
        <f>'RESUMEN TOTAL'!AL346</f>
        <v>0</v>
      </c>
      <c r="AF288" s="70">
        <f>'RESUMEN TOTAL'!AM346</f>
        <v>0</v>
      </c>
      <c r="AG288" s="70">
        <f>'RESUMEN TOTAL'!AN346</f>
        <v>0</v>
      </c>
      <c r="AH288" s="70">
        <f>'RESUMEN TOTAL'!AO346</f>
        <v>0</v>
      </c>
      <c r="AI288" s="70">
        <f>'RESUMEN TOTAL'!AP346</f>
        <v>0</v>
      </c>
    </row>
    <row r="289" spans="1:35" x14ac:dyDescent="0.25">
      <c r="A289" t="str">
        <f>'RESUMEN TOTAL'!A347</f>
        <v>PRESIDENTE SARMIENTO</v>
      </c>
      <c r="B289" t="str">
        <f>'RESUMEN TOTAL'!B347</f>
        <v>SAR 09</v>
      </c>
      <c r="C289" t="str">
        <f>'RESUMEN TOTAL'!D347</f>
        <v>Necochea y Montes de Oca</v>
      </c>
      <c r="D289" s="30" t="str">
        <f>'RESUMEN TOTAL'!E347</f>
        <v>Fija</v>
      </c>
      <c r="E289" s="30" t="str">
        <f>'RESUMEN TOTAL'!F347</f>
        <v>Fibra Optica</v>
      </c>
      <c r="F289" s="70">
        <f>'RESUMEN TOTAL'!M347</f>
        <v>0</v>
      </c>
      <c r="G289" s="70">
        <f>'RESUMEN TOTAL'!N347</f>
        <v>0</v>
      </c>
      <c r="H289" s="70">
        <f>'RESUMEN TOTAL'!O347</f>
        <v>0</v>
      </c>
      <c r="I289" s="70">
        <f>'RESUMEN TOTAL'!P347</f>
        <v>0</v>
      </c>
      <c r="J289" s="70">
        <f>'RESUMEN TOTAL'!Q347</f>
        <v>0</v>
      </c>
      <c r="K289" s="70">
        <f>'RESUMEN TOTAL'!R347</f>
        <v>0</v>
      </c>
      <c r="L289" s="70">
        <f>'RESUMEN TOTAL'!S347</f>
        <v>0</v>
      </c>
      <c r="M289" s="70">
        <f>'RESUMEN TOTAL'!T347</f>
        <v>0</v>
      </c>
      <c r="N289" s="70">
        <f>'RESUMEN TOTAL'!U347</f>
        <v>0</v>
      </c>
      <c r="O289" s="70">
        <f>'RESUMEN TOTAL'!V347</f>
        <v>0</v>
      </c>
      <c r="P289" s="70">
        <f>'RESUMEN TOTAL'!W347</f>
        <v>0</v>
      </c>
      <c r="Q289" s="70">
        <f>'RESUMEN TOTAL'!X347</f>
        <v>0</v>
      </c>
      <c r="R289" s="70">
        <f>'RESUMEN TOTAL'!Y347</f>
        <v>0</v>
      </c>
      <c r="S289" s="70">
        <f>'RESUMEN TOTAL'!Z347</f>
        <v>0</v>
      </c>
      <c r="T289" s="70" t="str">
        <f>'RESUMEN TOTAL'!AA347</f>
        <v>APAGADO</v>
      </c>
      <c r="U289" s="70">
        <f>'RESUMEN TOTAL'!AB347</f>
        <v>0</v>
      </c>
      <c r="V289" s="70">
        <f>'RESUMEN TOTAL'!AC347</f>
        <v>0</v>
      </c>
      <c r="W289" s="70">
        <f>'RESUMEN TOTAL'!AD347</f>
        <v>0</v>
      </c>
      <c r="X289" s="70">
        <f>'RESUMEN TOTAL'!AE347</f>
        <v>0</v>
      </c>
      <c r="Y289" s="70">
        <f>'RESUMEN TOTAL'!AF347</f>
        <v>0</v>
      </c>
      <c r="Z289" s="70">
        <f>'RESUMEN TOTAL'!AG347</f>
        <v>0</v>
      </c>
      <c r="AA289" s="70">
        <f>'RESUMEN TOTAL'!AH347</f>
        <v>0</v>
      </c>
      <c r="AB289" s="70">
        <f>'RESUMEN TOTAL'!AI347</f>
        <v>0</v>
      </c>
      <c r="AC289" s="70">
        <f>'RESUMEN TOTAL'!AJ347</f>
        <v>0</v>
      </c>
      <c r="AD289" s="70">
        <f>'RESUMEN TOTAL'!AK347</f>
        <v>0</v>
      </c>
      <c r="AE289" s="70">
        <f>'RESUMEN TOTAL'!AL347</f>
        <v>0</v>
      </c>
      <c r="AF289" s="70">
        <f>'RESUMEN TOTAL'!AM347</f>
        <v>0</v>
      </c>
      <c r="AG289" s="70">
        <f>'RESUMEN TOTAL'!AN347</f>
        <v>0</v>
      </c>
      <c r="AH289" s="70">
        <f>'RESUMEN TOTAL'!AO347</f>
        <v>0</v>
      </c>
      <c r="AI289" s="70">
        <f>'RESUMEN TOTAL'!AP347</f>
        <v>0</v>
      </c>
    </row>
    <row r="290" spans="1:35" x14ac:dyDescent="0.25">
      <c r="A290" t="str">
        <f>'RESUMEN TOTAL'!A348</f>
        <v>MONTE CUDINE</v>
      </c>
      <c r="B290" t="str">
        <f>'RESUMEN TOTAL'!B348</f>
        <v>SAR 10</v>
      </c>
      <c r="C290" t="str">
        <f>'RESUMEN TOTAL'!D348</f>
        <v>SENZABELLO Y TINOGASTA</v>
      </c>
      <c r="D290" s="30" t="str">
        <f>'RESUMEN TOTAL'!E348</f>
        <v>Domo</v>
      </c>
      <c r="E290" s="30" t="str">
        <f>'RESUMEN TOTAL'!F348</f>
        <v>Fibra Optica</v>
      </c>
      <c r="F290" s="70">
        <f>'RESUMEN TOTAL'!M348</f>
        <v>0</v>
      </c>
      <c r="G290" s="70">
        <f>'RESUMEN TOTAL'!N348</f>
        <v>0</v>
      </c>
      <c r="H290" s="70">
        <f>'RESUMEN TOTAL'!O348</f>
        <v>0</v>
      </c>
      <c r="I290" s="70">
        <f>'RESUMEN TOTAL'!P348</f>
        <v>0</v>
      </c>
      <c r="J290" s="70">
        <f>'RESUMEN TOTAL'!Q348</f>
        <v>0</v>
      </c>
      <c r="K290" s="70">
        <f>'RESUMEN TOTAL'!R348</f>
        <v>0</v>
      </c>
      <c r="L290" s="70">
        <f>'RESUMEN TOTAL'!S348</f>
        <v>0</v>
      </c>
      <c r="M290" s="70">
        <f>'RESUMEN TOTAL'!T348</f>
        <v>0</v>
      </c>
      <c r="N290" s="70">
        <f>'RESUMEN TOTAL'!U348</f>
        <v>0</v>
      </c>
      <c r="O290" s="70">
        <f>'RESUMEN TOTAL'!V348</f>
        <v>0</v>
      </c>
      <c r="P290" s="70">
        <f>'RESUMEN TOTAL'!W348</f>
        <v>0</v>
      </c>
      <c r="Q290" s="70">
        <f>'RESUMEN TOTAL'!X348</f>
        <v>0</v>
      </c>
      <c r="R290" s="70">
        <f>'RESUMEN TOTAL'!Y348</f>
        <v>0</v>
      </c>
      <c r="S290" s="70">
        <f>'RESUMEN TOTAL'!Z348</f>
        <v>0</v>
      </c>
      <c r="T290" s="70">
        <f>'RESUMEN TOTAL'!AA348</f>
        <v>0</v>
      </c>
      <c r="U290" s="70">
        <f>'RESUMEN TOTAL'!AB348</f>
        <v>0</v>
      </c>
      <c r="V290" s="70">
        <f>'RESUMEN TOTAL'!AC348</f>
        <v>0</v>
      </c>
      <c r="W290" s="70">
        <f>'RESUMEN TOTAL'!AD348</f>
        <v>0</v>
      </c>
      <c r="X290" s="70">
        <f>'RESUMEN TOTAL'!AE348</f>
        <v>0</v>
      </c>
      <c r="Y290" s="70">
        <f>'RESUMEN TOTAL'!AF348</f>
        <v>0</v>
      </c>
      <c r="Z290" s="70">
        <f>'RESUMEN TOTAL'!AG348</f>
        <v>0</v>
      </c>
      <c r="AA290" s="70">
        <f>'RESUMEN TOTAL'!AH348</f>
        <v>0</v>
      </c>
      <c r="AB290" s="70">
        <f>'RESUMEN TOTAL'!AI348</f>
        <v>0</v>
      </c>
      <c r="AC290" s="70">
        <f>'RESUMEN TOTAL'!AJ348</f>
        <v>0</v>
      </c>
      <c r="AD290" s="70">
        <f>'RESUMEN TOTAL'!AK348</f>
        <v>0</v>
      </c>
      <c r="AE290" s="70">
        <f>'RESUMEN TOTAL'!AL348</f>
        <v>0</v>
      </c>
      <c r="AF290" s="70">
        <f>'RESUMEN TOTAL'!AM348</f>
        <v>0</v>
      </c>
      <c r="AG290" s="70">
        <f>'RESUMEN TOTAL'!AN348</f>
        <v>0</v>
      </c>
      <c r="AH290" s="70">
        <f>'RESUMEN TOTAL'!AO348</f>
        <v>0</v>
      </c>
      <c r="AI290" s="70">
        <f>'RESUMEN TOTAL'!AP348</f>
        <v>0</v>
      </c>
    </row>
    <row r="291" spans="1:35" x14ac:dyDescent="0.25">
      <c r="A291" t="str">
        <f>'RESUMEN TOTAL'!A349</f>
        <v>MONTE CUDINE</v>
      </c>
      <c r="B291" t="str">
        <f>'RESUMEN TOTAL'!B349</f>
        <v>SAR 11</v>
      </c>
      <c r="C291" t="str">
        <f>'RESUMEN TOTAL'!D349</f>
        <v>SENSABELLO Y BRAILLE</v>
      </c>
      <c r="D291" s="30" t="str">
        <f>'RESUMEN TOTAL'!E349</f>
        <v>Domo</v>
      </c>
      <c r="E291" s="30" t="str">
        <f>'RESUMEN TOTAL'!F349</f>
        <v>Fibra Optica</v>
      </c>
      <c r="F291" s="70">
        <f>'RESUMEN TOTAL'!M349</f>
        <v>0</v>
      </c>
      <c r="G291" s="70">
        <f>'RESUMEN TOTAL'!N349</f>
        <v>0</v>
      </c>
      <c r="H291" s="70">
        <f>'RESUMEN TOTAL'!O349</f>
        <v>0</v>
      </c>
      <c r="I291" s="70">
        <f>'RESUMEN TOTAL'!P349</f>
        <v>0</v>
      </c>
      <c r="J291" s="70">
        <f>'RESUMEN TOTAL'!Q349</f>
        <v>0</v>
      </c>
      <c r="K291" s="70">
        <f>'RESUMEN TOTAL'!R349</f>
        <v>0</v>
      </c>
      <c r="L291" s="70">
        <f>'RESUMEN TOTAL'!S349</f>
        <v>0</v>
      </c>
      <c r="M291" s="70">
        <f>'RESUMEN TOTAL'!T349</f>
        <v>0</v>
      </c>
      <c r="N291" s="70">
        <f>'RESUMEN TOTAL'!U349</f>
        <v>0</v>
      </c>
      <c r="O291" s="70">
        <f>'RESUMEN TOTAL'!V349</f>
        <v>0</v>
      </c>
      <c r="P291" s="70">
        <f>'RESUMEN TOTAL'!W349</f>
        <v>0</v>
      </c>
      <c r="Q291" s="70">
        <f>'RESUMEN TOTAL'!X349</f>
        <v>0</v>
      </c>
      <c r="R291" s="70">
        <f>'RESUMEN TOTAL'!Y349</f>
        <v>0</v>
      </c>
      <c r="S291" s="70">
        <f>'RESUMEN TOTAL'!Z349</f>
        <v>0</v>
      </c>
      <c r="T291" s="70">
        <f>'RESUMEN TOTAL'!AA349</f>
        <v>0</v>
      </c>
      <c r="U291" s="70">
        <f>'RESUMEN TOTAL'!AB349</f>
        <v>0</v>
      </c>
      <c r="V291" s="70">
        <f>'RESUMEN TOTAL'!AC349</f>
        <v>0</v>
      </c>
      <c r="W291" s="70">
        <f>'RESUMEN TOTAL'!AD349</f>
        <v>0</v>
      </c>
      <c r="X291" s="70">
        <f>'RESUMEN TOTAL'!AE349</f>
        <v>0</v>
      </c>
      <c r="Y291" s="70">
        <f>'RESUMEN TOTAL'!AF349</f>
        <v>0</v>
      </c>
      <c r="Z291" s="70">
        <f>'RESUMEN TOTAL'!AG349</f>
        <v>0</v>
      </c>
      <c r="AA291" s="70">
        <f>'RESUMEN TOTAL'!AH349</f>
        <v>0</v>
      </c>
      <c r="AB291" s="70">
        <f>'RESUMEN TOTAL'!AI349</f>
        <v>0</v>
      </c>
      <c r="AC291" s="70">
        <f>'RESUMEN TOTAL'!AJ349</f>
        <v>0</v>
      </c>
      <c r="AD291" s="70">
        <f>'RESUMEN TOTAL'!AK349</f>
        <v>0</v>
      </c>
      <c r="AE291" s="70">
        <f>'RESUMEN TOTAL'!AL349</f>
        <v>0</v>
      </c>
      <c r="AF291" s="70">
        <f>'RESUMEN TOTAL'!AM349</f>
        <v>0</v>
      </c>
      <c r="AG291" s="70">
        <f>'RESUMEN TOTAL'!AN349</f>
        <v>0</v>
      </c>
      <c r="AH291" s="70">
        <f>'RESUMEN TOTAL'!AO349</f>
        <v>0</v>
      </c>
      <c r="AI291" s="70">
        <f>'RESUMEN TOTAL'!AP349</f>
        <v>0</v>
      </c>
    </row>
    <row r="292" spans="1:35" x14ac:dyDescent="0.25">
      <c r="A292" t="str">
        <f>'RESUMEN TOTAL'!A354</f>
        <v>SAN EDUARDO</v>
      </c>
      <c r="B292" t="str">
        <f>'RESUMEN TOTAL'!B354</f>
        <v>SEDU01</v>
      </c>
      <c r="C292" t="str">
        <f>'RESUMEN TOTAL'!D354</f>
        <v>San Martin y Sperandio</v>
      </c>
      <c r="D292" s="30" t="str">
        <f>'RESUMEN TOTAL'!E354</f>
        <v>Domo</v>
      </c>
      <c r="E292" s="30" t="str">
        <f>'RESUMEN TOTAL'!F354</f>
        <v>Fibra Optica</v>
      </c>
      <c r="F292" s="70">
        <f>'RESUMEN TOTAL'!M354</f>
        <v>0</v>
      </c>
      <c r="G292" s="70">
        <f>'RESUMEN TOTAL'!N354</f>
        <v>0</v>
      </c>
      <c r="H292" s="70">
        <f>'RESUMEN TOTAL'!O354</f>
        <v>0</v>
      </c>
      <c r="I292" s="70">
        <f>'RESUMEN TOTAL'!P354</f>
        <v>0</v>
      </c>
      <c r="J292" s="70">
        <f>'RESUMEN TOTAL'!Q354</f>
        <v>0</v>
      </c>
      <c r="K292" s="70">
        <f>'RESUMEN TOTAL'!R354</f>
        <v>0</v>
      </c>
      <c r="L292" s="70">
        <f>'RESUMEN TOTAL'!S354</f>
        <v>0</v>
      </c>
      <c r="M292" s="70">
        <f>'RESUMEN TOTAL'!T354</f>
        <v>0</v>
      </c>
      <c r="N292" s="70">
        <f>'RESUMEN TOTAL'!U354</f>
        <v>0</v>
      </c>
      <c r="O292" s="70">
        <f>'RESUMEN TOTAL'!V354</f>
        <v>0</v>
      </c>
      <c r="P292" s="70">
        <f>'RESUMEN TOTAL'!W354</f>
        <v>0</v>
      </c>
      <c r="Q292" s="70">
        <f>'RESUMEN TOTAL'!X354</f>
        <v>0</v>
      </c>
      <c r="R292" s="70">
        <f>'RESUMEN TOTAL'!Y354</f>
        <v>0</v>
      </c>
      <c r="S292" s="70">
        <f>'RESUMEN TOTAL'!Z354</f>
        <v>0</v>
      </c>
      <c r="T292" s="70">
        <f>'RESUMEN TOTAL'!AA354</f>
        <v>0</v>
      </c>
      <c r="U292" s="70">
        <f>'RESUMEN TOTAL'!AB354</f>
        <v>0</v>
      </c>
      <c r="V292" s="70">
        <f>'RESUMEN TOTAL'!AC354</f>
        <v>0</v>
      </c>
      <c r="W292" s="70">
        <f>'RESUMEN TOTAL'!AD354</f>
        <v>0</v>
      </c>
      <c r="X292" s="70">
        <f>'RESUMEN TOTAL'!AE354</f>
        <v>0</v>
      </c>
      <c r="Y292" s="70">
        <f>'RESUMEN TOTAL'!AF354</f>
        <v>0</v>
      </c>
      <c r="Z292" s="70">
        <f>'RESUMEN TOTAL'!AG354</f>
        <v>0</v>
      </c>
      <c r="AA292" s="70">
        <f>'RESUMEN TOTAL'!AH354</f>
        <v>0</v>
      </c>
      <c r="AB292" s="70">
        <f>'RESUMEN TOTAL'!AI354</f>
        <v>0</v>
      </c>
      <c r="AC292" s="70">
        <f>'RESUMEN TOTAL'!AJ354</f>
        <v>0</v>
      </c>
      <c r="AD292" s="70">
        <f>'RESUMEN TOTAL'!AK354</f>
        <v>0</v>
      </c>
      <c r="AE292" s="70">
        <f>'RESUMEN TOTAL'!AL354</f>
        <v>0</v>
      </c>
      <c r="AF292" s="70">
        <f>'RESUMEN TOTAL'!AM354</f>
        <v>0</v>
      </c>
      <c r="AG292" s="70">
        <f>'RESUMEN TOTAL'!AN354</f>
        <v>0</v>
      </c>
      <c r="AH292" s="70">
        <f>'RESUMEN TOTAL'!AO354</f>
        <v>0</v>
      </c>
      <c r="AI292" s="70">
        <f>'RESUMEN TOTAL'!AP354</f>
        <v>0</v>
      </c>
    </row>
    <row r="293" spans="1:35" x14ac:dyDescent="0.25">
      <c r="A293" t="str">
        <f>'RESUMEN TOTAL'!A355</f>
        <v>SAN EDUARDO</v>
      </c>
      <c r="B293" t="str">
        <f>'RESUMEN TOTAL'!B355</f>
        <v>SEDU02</v>
      </c>
      <c r="C293" t="str">
        <f>'RESUMEN TOTAL'!D355</f>
        <v>Curva de Berraymundo</v>
      </c>
      <c r="D293" s="30" t="str">
        <f>'RESUMEN TOTAL'!E355</f>
        <v>Domo</v>
      </c>
      <c r="E293" s="30" t="str">
        <f>'RESUMEN TOTAL'!F355</f>
        <v>Fibra Optica</v>
      </c>
      <c r="F293" s="70">
        <f>'RESUMEN TOTAL'!M355</f>
        <v>0</v>
      </c>
      <c r="G293" s="70">
        <f>'RESUMEN TOTAL'!N355</f>
        <v>0</v>
      </c>
      <c r="H293" s="70">
        <f>'RESUMEN TOTAL'!O355</f>
        <v>0</v>
      </c>
      <c r="I293" s="70">
        <f>'RESUMEN TOTAL'!P355</f>
        <v>0</v>
      </c>
      <c r="J293" s="70">
        <f>'RESUMEN TOTAL'!Q355</f>
        <v>0</v>
      </c>
      <c r="K293" s="70">
        <f>'RESUMEN TOTAL'!R355</f>
        <v>0</v>
      </c>
      <c r="L293" s="70">
        <f>'RESUMEN TOTAL'!S355</f>
        <v>0</v>
      </c>
      <c r="M293" s="70">
        <f>'RESUMEN TOTAL'!T355</f>
        <v>0</v>
      </c>
      <c r="N293" s="70">
        <f>'RESUMEN TOTAL'!U355</f>
        <v>0</v>
      </c>
      <c r="O293" s="70">
        <f>'RESUMEN TOTAL'!V355</f>
        <v>0</v>
      </c>
      <c r="P293" s="70">
        <f>'RESUMEN TOTAL'!W355</f>
        <v>0</v>
      </c>
      <c r="Q293" s="70">
        <f>'RESUMEN TOTAL'!X355</f>
        <v>0</v>
      </c>
      <c r="R293" s="70">
        <f>'RESUMEN TOTAL'!Y355</f>
        <v>0</v>
      </c>
      <c r="S293" s="70">
        <f>'RESUMEN TOTAL'!Z355</f>
        <v>0</v>
      </c>
      <c r="T293" s="70">
        <f>'RESUMEN TOTAL'!AA355</f>
        <v>0</v>
      </c>
      <c r="U293" s="70">
        <f>'RESUMEN TOTAL'!AB355</f>
        <v>0</v>
      </c>
      <c r="V293" s="70">
        <f>'RESUMEN TOTAL'!AC355</f>
        <v>0</v>
      </c>
      <c r="W293" s="70">
        <f>'RESUMEN TOTAL'!AD355</f>
        <v>0</v>
      </c>
      <c r="X293" s="70">
        <f>'RESUMEN TOTAL'!AE355</f>
        <v>0</v>
      </c>
      <c r="Y293" s="70">
        <f>'RESUMEN TOTAL'!AF355</f>
        <v>0</v>
      </c>
      <c r="Z293" s="70">
        <f>'RESUMEN TOTAL'!AG355</f>
        <v>0</v>
      </c>
      <c r="AA293" s="70">
        <f>'RESUMEN TOTAL'!AH355</f>
        <v>0</v>
      </c>
      <c r="AB293" s="70">
        <f>'RESUMEN TOTAL'!AI355</f>
        <v>0</v>
      </c>
      <c r="AC293" s="70">
        <f>'RESUMEN TOTAL'!AJ355</f>
        <v>0</v>
      </c>
      <c r="AD293" s="70">
        <f>'RESUMEN TOTAL'!AK355</f>
        <v>0</v>
      </c>
      <c r="AE293" s="70">
        <f>'RESUMEN TOTAL'!AL355</f>
        <v>0</v>
      </c>
      <c r="AF293" s="70">
        <f>'RESUMEN TOTAL'!AM355</f>
        <v>0</v>
      </c>
      <c r="AG293" s="70">
        <f>'RESUMEN TOTAL'!AN355</f>
        <v>0</v>
      </c>
      <c r="AH293" s="70">
        <f>'RESUMEN TOTAL'!AO355</f>
        <v>0</v>
      </c>
      <c r="AI293" s="70">
        <f>'RESUMEN TOTAL'!AP355</f>
        <v>0</v>
      </c>
    </row>
    <row r="294" spans="1:35" x14ac:dyDescent="0.25">
      <c r="A294" t="str">
        <f>'RESUMEN TOTAL'!A356</f>
        <v>VILLA CIRIO</v>
      </c>
      <c r="B294" t="str">
        <f>'RESUMEN TOTAL'!B356</f>
        <v>SEDU03</v>
      </c>
      <c r="C294" t="str">
        <f>'RESUMEN TOTAL'!D356</f>
        <v>Av. San Martin y Las Americas</v>
      </c>
      <c r="D294" s="30" t="str">
        <f>'RESUMEN TOTAL'!E356</f>
        <v>Domo</v>
      </c>
      <c r="E294" s="30" t="str">
        <f>'RESUMEN TOTAL'!F356</f>
        <v>GPON</v>
      </c>
      <c r="F294" s="70">
        <f>'RESUMEN TOTAL'!M356</f>
        <v>0</v>
      </c>
      <c r="G294" s="70">
        <f>'RESUMEN TOTAL'!N356</f>
        <v>0</v>
      </c>
      <c r="H294" s="70">
        <f>'RESUMEN TOTAL'!O356</f>
        <v>0</v>
      </c>
      <c r="I294" s="70">
        <f>'RESUMEN TOTAL'!P356</f>
        <v>0</v>
      </c>
      <c r="J294" s="70">
        <f>'RESUMEN TOTAL'!Q356</f>
        <v>0</v>
      </c>
      <c r="K294" s="70">
        <f>'RESUMEN TOTAL'!R356</f>
        <v>0</v>
      </c>
      <c r="L294" s="70">
        <f>'RESUMEN TOTAL'!S356</f>
        <v>0</v>
      </c>
      <c r="M294" s="70">
        <f>'RESUMEN TOTAL'!T356</f>
        <v>0</v>
      </c>
      <c r="N294" s="70">
        <f>'RESUMEN TOTAL'!U356</f>
        <v>0</v>
      </c>
      <c r="O294" s="70">
        <f>'RESUMEN TOTAL'!V356</f>
        <v>0</v>
      </c>
      <c r="P294" s="70">
        <f>'RESUMEN TOTAL'!W356</f>
        <v>0</v>
      </c>
      <c r="Q294" s="70">
        <f>'RESUMEN TOTAL'!X356</f>
        <v>0</v>
      </c>
      <c r="R294" s="70">
        <f>'RESUMEN TOTAL'!Y356</f>
        <v>0</v>
      </c>
      <c r="S294" s="70">
        <f>'RESUMEN TOTAL'!Z356</f>
        <v>0</v>
      </c>
      <c r="T294" s="70">
        <f>'RESUMEN TOTAL'!AA356</f>
        <v>0</v>
      </c>
      <c r="U294" s="70">
        <f>'RESUMEN TOTAL'!AB356</f>
        <v>0</v>
      </c>
      <c r="V294" s="70">
        <f>'RESUMEN TOTAL'!AC356</f>
        <v>0</v>
      </c>
      <c r="W294" s="70">
        <f>'RESUMEN TOTAL'!AD356</f>
        <v>0</v>
      </c>
      <c r="X294" s="70">
        <f>'RESUMEN TOTAL'!AE356</f>
        <v>0</v>
      </c>
      <c r="Y294" s="70">
        <f>'RESUMEN TOTAL'!AF356</f>
        <v>0</v>
      </c>
      <c r="Z294" s="70">
        <f>'RESUMEN TOTAL'!AG356</f>
        <v>0</v>
      </c>
      <c r="AA294" s="70">
        <f>'RESUMEN TOTAL'!AH356</f>
        <v>0</v>
      </c>
      <c r="AB294" s="70">
        <f>'RESUMEN TOTAL'!AI356</f>
        <v>0</v>
      </c>
      <c r="AC294" s="70">
        <f>'RESUMEN TOTAL'!AJ356</f>
        <v>0</v>
      </c>
      <c r="AD294" s="70">
        <f>'RESUMEN TOTAL'!AK356</f>
        <v>0</v>
      </c>
      <c r="AE294" s="70">
        <f>'RESUMEN TOTAL'!AL356</f>
        <v>0</v>
      </c>
      <c r="AF294" s="70">
        <f>'RESUMEN TOTAL'!AM356</f>
        <v>0</v>
      </c>
      <c r="AG294" s="70">
        <f>'RESUMEN TOTAL'!AN356</f>
        <v>0</v>
      </c>
      <c r="AH294" s="70">
        <f>'RESUMEN TOTAL'!AO356</f>
        <v>0</v>
      </c>
      <c r="AI294" s="70">
        <f>'RESUMEN TOTAL'!AP356</f>
        <v>0</v>
      </c>
    </row>
    <row r="295" spans="1:35" x14ac:dyDescent="0.25">
      <c r="A295" t="str">
        <f>'RESUMEN TOTAL'!A358</f>
        <v>SAN EMILIO</v>
      </c>
      <c r="B295" t="str">
        <f>'RESUMEN TOTAL'!B358</f>
        <v>SEMI01</v>
      </c>
      <c r="C295" t="str">
        <f>'RESUMEN TOTAL'!D358</f>
        <v>San Martin y Av. del Trabajo</v>
      </c>
      <c r="D295" s="30" t="str">
        <f>'RESUMEN TOTAL'!E358</f>
        <v>Domo</v>
      </c>
      <c r="E295" s="30" t="str">
        <f>'RESUMEN TOTAL'!F358</f>
        <v>Fibra Optica</v>
      </c>
      <c r="F295" s="70">
        <f>'RESUMEN TOTAL'!M358</f>
        <v>0</v>
      </c>
      <c r="G295" s="70">
        <f>'RESUMEN TOTAL'!N358</f>
        <v>0</v>
      </c>
      <c r="H295" s="70">
        <f>'RESUMEN TOTAL'!O358</f>
        <v>0</v>
      </c>
      <c r="I295" s="70">
        <f>'RESUMEN TOTAL'!P358</f>
        <v>0</v>
      </c>
      <c r="J295" s="70">
        <f>'RESUMEN TOTAL'!Q358</f>
        <v>0</v>
      </c>
      <c r="K295" s="70">
        <f>'RESUMEN TOTAL'!R358</f>
        <v>0</v>
      </c>
      <c r="L295" s="70">
        <f>'RESUMEN TOTAL'!S358</f>
        <v>0</v>
      </c>
      <c r="M295" s="70">
        <f>'RESUMEN TOTAL'!T358</f>
        <v>0</v>
      </c>
      <c r="N295" s="70">
        <f>'RESUMEN TOTAL'!U358</f>
        <v>0</v>
      </c>
      <c r="O295" s="70">
        <f>'RESUMEN TOTAL'!V358</f>
        <v>0</v>
      </c>
      <c r="P295" s="70">
        <f>'RESUMEN TOTAL'!W358</f>
        <v>0</v>
      </c>
      <c r="Q295" s="70">
        <f>'RESUMEN TOTAL'!X358</f>
        <v>0</v>
      </c>
      <c r="R295" s="70">
        <f>'RESUMEN TOTAL'!Y358</f>
        <v>0</v>
      </c>
      <c r="S295" s="70">
        <f>'RESUMEN TOTAL'!Z358</f>
        <v>0</v>
      </c>
      <c r="T295" s="70">
        <f>'RESUMEN TOTAL'!AA358</f>
        <v>0</v>
      </c>
      <c r="U295" s="70">
        <f>'RESUMEN TOTAL'!AB358</f>
        <v>0</v>
      </c>
      <c r="V295" s="70">
        <f>'RESUMEN TOTAL'!AC358</f>
        <v>0</v>
      </c>
      <c r="W295" s="70">
        <f>'RESUMEN TOTAL'!AD358</f>
        <v>0</v>
      </c>
      <c r="X295" s="70">
        <f>'RESUMEN TOTAL'!AE358</f>
        <v>0</v>
      </c>
      <c r="Y295" s="70">
        <f>'RESUMEN TOTAL'!AF358</f>
        <v>0</v>
      </c>
      <c r="Z295" s="70">
        <f>'RESUMEN TOTAL'!AG358</f>
        <v>0</v>
      </c>
      <c r="AA295" s="70">
        <f>'RESUMEN TOTAL'!AH358</f>
        <v>0</v>
      </c>
      <c r="AB295" s="70">
        <f>'RESUMEN TOTAL'!AI358</f>
        <v>0</v>
      </c>
      <c r="AC295" s="70">
        <f>'RESUMEN TOTAL'!AJ358</f>
        <v>0</v>
      </c>
      <c r="AD295" s="70">
        <f>'RESUMEN TOTAL'!AK358</f>
        <v>0</v>
      </c>
      <c r="AE295" s="70">
        <f>'RESUMEN TOTAL'!AL358</f>
        <v>0</v>
      </c>
      <c r="AF295" s="70">
        <f>'RESUMEN TOTAL'!AM358</f>
        <v>0</v>
      </c>
      <c r="AG295" s="70">
        <f>'RESUMEN TOTAL'!AN358</f>
        <v>0</v>
      </c>
      <c r="AH295" s="70">
        <f>'RESUMEN TOTAL'!AO358</f>
        <v>0</v>
      </c>
      <c r="AI295" s="70">
        <f>'RESUMEN TOTAL'!AP358</f>
        <v>0</v>
      </c>
    </row>
    <row r="296" spans="1:35" x14ac:dyDescent="0.25">
      <c r="A296" t="str">
        <f>'RESUMEN TOTAL'!A359</f>
        <v>SAN EMILIO</v>
      </c>
      <c r="B296" t="str">
        <f>'RESUMEN TOTAL'!B359</f>
        <v>SEMI 02</v>
      </c>
      <c r="C296" t="str">
        <f>'RESUMEN TOTAL'!D359</f>
        <v>Cno. Gral. Belgrano y Francia</v>
      </c>
      <c r="D296" s="30" t="str">
        <f>'RESUMEN TOTAL'!E359</f>
        <v>Domo</v>
      </c>
      <c r="E296" s="30" t="str">
        <f>'RESUMEN TOTAL'!F359</f>
        <v>Fibra Optica</v>
      </c>
      <c r="F296" s="70">
        <f>'RESUMEN TOTAL'!M359</f>
        <v>0</v>
      </c>
      <c r="G296" s="70">
        <f>'RESUMEN TOTAL'!N359</f>
        <v>0</v>
      </c>
      <c r="H296" s="70">
        <f>'RESUMEN TOTAL'!O359</f>
        <v>0</v>
      </c>
      <c r="I296" s="70">
        <f>'RESUMEN TOTAL'!P359</f>
        <v>0</v>
      </c>
      <c r="J296" s="70">
        <f>'RESUMEN TOTAL'!Q359</f>
        <v>0</v>
      </c>
      <c r="K296" s="70">
        <f>'RESUMEN TOTAL'!R359</f>
        <v>0</v>
      </c>
      <c r="L296" s="70">
        <f>'RESUMEN TOTAL'!S359</f>
        <v>0</v>
      </c>
      <c r="M296" s="70">
        <f>'RESUMEN TOTAL'!T359</f>
        <v>0</v>
      </c>
      <c r="N296" s="70">
        <f>'RESUMEN TOTAL'!U359</f>
        <v>0</v>
      </c>
      <c r="O296" s="70">
        <f>'RESUMEN TOTAL'!V359</f>
        <v>0</v>
      </c>
      <c r="P296" s="70">
        <f>'RESUMEN TOTAL'!W359</f>
        <v>0</v>
      </c>
      <c r="Q296" s="70">
        <f>'RESUMEN TOTAL'!X359</f>
        <v>0</v>
      </c>
      <c r="R296" s="70">
        <f>'RESUMEN TOTAL'!Y359</f>
        <v>0</v>
      </c>
      <c r="S296" s="70">
        <f>'RESUMEN TOTAL'!Z359</f>
        <v>0</v>
      </c>
      <c r="T296" s="70">
        <f>'RESUMEN TOTAL'!AA359</f>
        <v>0</v>
      </c>
      <c r="U296" s="70">
        <f>'RESUMEN TOTAL'!AB359</f>
        <v>0</v>
      </c>
      <c r="V296" s="70">
        <f>'RESUMEN TOTAL'!AC359</f>
        <v>0</v>
      </c>
      <c r="W296" s="70">
        <f>'RESUMEN TOTAL'!AD359</f>
        <v>0</v>
      </c>
      <c r="X296" s="70">
        <f>'RESUMEN TOTAL'!AE359</f>
        <v>0</v>
      </c>
      <c r="Y296" s="70">
        <f>'RESUMEN TOTAL'!AF359</f>
        <v>0</v>
      </c>
      <c r="Z296" s="70">
        <f>'RESUMEN TOTAL'!AG359</f>
        <v>0</v>
      </c>
      <c r="AA296" s="70">
        <f>'RESUMEN TOTAL'!AH359</f>
        <v>0</v>
      </c>
      <c r="AB296" s="70">
        <f>'RESUMEN TOTAL'!AI359</f>
        <v>0</v>
      </c>
      <c r="AC296" s="70">
        <f>'RESUMEN TOTAL'!AJ359</f>
        <v>0</v>
      </c>
      <c r="AD296" s="70">
        <f>'RESUMEN TOTAL'!AK359</f>
        <v>0</v>
      </c>
      <c r="AE296" s="70">
        <f>'RESUMEN TOTAL'!AL359</f>
        <v>0</v>
      </c>
      <c r="AF296" s="70">
        <f>'RESUMEN TOTAL'!AM359</f>
        <v>0</v>
      </c>
      <c r="AG296" s="70">
        <f>'RESUMEN TOTAL'!AN359</f>
        <v>0</v>
      </c>
      <c r="AH296" s="70">
        <f>'RESUMEN TOTAL'!AO359</f>
        <v>0</v>
      </c>
      <c r="AI296" s="70">
        <f>'RESUMEN TOTAL'!AP359</f>
        <v>0</v>
      </c>
    </row>
    <row r="297" spans="1:35" x14ac:dyDescent="0.25">
      <c r="A297" t="str">
        <f>'RESUMEN TOTAL'!A360</f>
        <v>SAN EMILIO</v>
      </c>
      <c r="B297" t="str">
        <f>'RESUMEN TOTAL'!B360</f>
        <v>SEMI03 (fija 1)</v>
      </c>
      <c r="C297" t="str">
        <f>'RESUMEN TOTAL'!D360</f>
        <v>GORRITI E/ GALARZA Y LOPE DE VEGA</v>
      </c>
      <c r="D297" s="30" t="str">
        <f>'RESUMEN TOTAL'!E360</f>
        <v>Fija</v>
      </c>
      <c r="E297" s="30" t="str">
        <f>'RESUMEN TOTAL'!F360</f>
        <v>Fibra Optica</v>
      </c>
      <c r="F297" s="70">
        <f>'RESUMEN TOTAL'!M360</f>
        <v>0</v>
      </c>
      <c r="G297" s="70">
        <f>'RESUMEN TOTAL'!N360</f>
        <v>0</v>
      </c>
      <c r="H297" s="70">
        <f>'RESUMEN TOTAL'!O360</f>
        <v>0</v>
      </c>
      <c r="I297" s="70">
        <f>'RESUMEN TOTAL'!P360</f>
        <v>0</v>
      </c>
      <c r="J297" s="70">
        <f>'RESUMEN TOTAL'!Q360</f>
        <v>0</v>
      </c>
      <c r="K297" s="70">
        <f>'RESUMEN TOTAL'!R360</f>
        <v>0</v>
      </c>
      <c r="L297" s="70">
        <f>'RESUMEN TOTAL'!S360</f>
        <v>0</v>
      </c>
      <c r="M297" s="70">
        <f>'RESUMEN TOTAL'!T360</f>
        <v>0</v>
      </c>
      <c r="N297" s="70">
        <f>'RESUMEN TOTAL'!U360</f>
        <v>0</v>
      </c>
      <c r="O297" s="70">
        <f>'RESUMEN TOTAL'!V360</f>
        <v>0</v>
      </c>
      <c r="P297" s="70">
        <f>'RESUMEN TOTAL'!W360</f>
        <v>0</v>
      </c>
      <c r="Q297" s="70">
        <f>'RESUMEN TOTAL'!X360</f>
        <v>0</v>
      </c>
      <c r="R297" s="70">
        <f>'RESUMEN TOTAL'!Y360</f>
        <v>0</v>
      </c>
      <c r="S297" s="70">
        <f>'RESUMEN TOTAL'!Z360</f>
        <v>0</v>
      </c>
      <c r="T297" s="70">
        <f>'RESUMEN TOTAL'!AA360</f>
        <v>0</v>
      </c>
      <c r="U297" s="70">
        <f>'RESUMEN TOTAL'!AB360</f>
        <v>0</v>
      </c>
      <c r="V297" s="70">
        <f>'RESUMEN TOTAL'!AC360</f>
        <v>0</v>
      </c>
      <c r="W297" s="70">
        <f>'RESUMEN TOTAL'!AD360</f>
        <v>0</v>
      </c>
      <c r="X297" s="70">
        <f>'RESUMEN TOTAL'!AE360</f>
        <v>0</v>
      </c>
      <c r="Y297" s="70">
        <f>'RESUMEN TOTAL'!AF360</f>
        <v>0</v>
      </c>
      <c r="Z297" s="70">
        <f>'RESUMEN TOTAL'!AG360</f>
        <v>0</v>
      </c>
      <c r="AA297" s="70">
        <f>'RESUMEN TOTAL'!AH360</f>
        <v>0</v>
      </c>
      <c r="AB297" s="70">
        <f>'RESUMEN TOTAL'!AI360</f>
        <v>0</v>
      </c>
      <c r="AC297" s="70">
        <f>'RESUMEN TOTAL'!AJ360</f>
        <v>0</v>
      </c>
      <c r="AD297" s="70">
        <f>'RESUMEN TOTAL'!AK360</f>
        <v>0</v>
      </c>
      <c r="AE297" s="70">
        <f>'RESUMEN TOTAL'!AL360</f>
        <v>0</v>
      </c>
      <c r="AF297" s="70">
        <f>'RESUMEN TOTAL'!AM360</f>
        <v>0</v>
      </c>
      <c r="AG297" s="70">
        <f>'RESUMEN TOTAL'!AN360</f>
        <v>0</v>
      </c>
      <c r="AH297" s="70">
        <f>'RESUMEN TOTAL'!AO360</f>
        <v>0</v>
      </c>
      <c r="AI297" s="70">
        <f>'RESUMEN TOTAL'!AP360</f>
        <v>0</v>
      </c>
    </row>
    <row r="298" spans="1:35" x14ac:dyDescent="0.25">
      <c r="A298" t="str">
        <f>'RESUMEN TOTAL'!A361</f>
        <v>SAN EMILIO</v>
      </c>
      <c r="B298" t="str">
        <f>'RESUMEN TOTAL'!B361</f>
        <v>SEMI04 (fija 2)</v>
      </c>
      <c r="C298" t="str">
        <f>'RESUMEN TOTAL'!D361</f>
        <v>GORRITI E/ GALARZA Y LOPE DE VEGA</v>
      </c>
      <c r="D298" s="30" t="str">
        <f>'RESUMEN TOTAL'!E361</f>
        <v>Fija</v>
      </c>
      <c r="E298" s="30" t="str">
        <f>'RESUMEN TOTAL'!F361</f>
        <v>Fibra Optica</v>
      </c>
      <c r="F298" s="70">
        <f>'RESUMEN TOTAL'!M361</f>
        <v>0</v>
      </c>
      <c r="G298" s="70">
        <f>'RESUMEN TOTAL'!N361</f>
        <v>0</v>
      </c>
      <c r="H298" s="70">
        <f>'RESUMEN TOTAL'!O361</f>
        <v>0</v>
      </c>
      <c r="I298" s="70">
        <f>'RESUMEN TOTAL'!P361</f>
        <v>0</v>
      </c>
      <c r="J298" s="70">
        <f>'RESUMEN TOTAL'!Q361</f>
        <v>0</v>
      </c>
      <c r="K298" s="70">
        <f>'RESUMEN TOTAL'!R361</f>
        <v>0</v>
      </c>
      <c r="L298" s="70">
        <f>'RESUMEN TOTAL'!S361</f>
        <v>0</v>
      </c>
      <c r="M298" s="70">
        <f>'RESUMEN TOTAL'!T361</f>
        <v>0</v>
      </c>
      <c r="N298" s="70">
        <f>'RESUMEN TOTAL'!U361</f>
        <v>0</v>
      </c>
      <c r="O298" s="70">
        <f>'RESUMEN TOTAL'!V361</f>
        <v>0</v>
      </c>
      <c r="P298" s="70">
        <f>'RESUMEN TOTAL'!W361</f>
        <v>0</v>
      </c>
      <c r="Q298" s="70">
        <f>'RESUMEN TOTAL'!X361</f>
        <v>0</v>
      </c>
      <c r="R298" s="70">
        <f>'RESUMEN TOTAL'!Y361</f>
        <v>0</v>
      </c>
      <c r="S298" s="70">
        <f>'RESUMEN TOTAL'!Z361</f>
        <v>0</v>
      </c>
      <c r="T298" s="70">
        <f>'RESUMEN TOTAL'!AA361</f>
        <v>0</v>
      </c>
      <c r="U298" s="70">
        <f>'RESUMEN TOTAL'!AB361</f>
        <v>0</v>
      </c>
      <c r="V298" s="70">
        <f>'RESUMEN TOTAL'!AC361</f>
        <v>0</v>
      </c>
      <c r="W298" s="70">
        <f>'RESUMEN TOTAL'!AD361</f>
        <v>0</v>
      </c>
      <c r="X298" s="70">
        <f>'RESUMEN TOTAL'!AE361</f>
        <v>0</v>
      </c>
      <c r="Y298" s="70">
        <f>'RESUMEN TOTAL'!AF361</f>
        <v>0</v>
      </c>
      <c r="Z298" s="70">
        <f>'RESUMEN TOTAL'!AG361</f>
        <v>0</v>
      </c>
      <c r="AA298" s="70">
        <f>'RESUMEN TOTAL'!AH361</f>
        <v>0</v>
      </c>
      <c r="AB298" s="70">
        <f>'RESUMEN TOTAL'!AI361</f>
        <v>0</v>
      </c>
      <c r="AC298" s="70">
        <f>'RESUMEN TOTAL'!AJ361</f>
        <v>0</v>
      </c>
      <c r="AD298" s="70">
        <f>'RESUMEN TOTAL'!AK361</f>
        <v>0</v>
      </c>
      <c r="AE298" s="70">
        <f>'RESUMEN TOTAL'!AL361</f>
        <v>0</v>
      </c>
      <c r="AF298" s="70">
        <f>'RESUMEN TOTAL'!AM361</f>
        <v>0</v>
      </c>
      <c r="AG298" s="70">
        <f>'RESUMEN TOTAL'!AN361</f>
        <v>0</v>
      </c>
      <c r="AH298" s="70">
        <f>'RESUMEN TOTAL'!AO361</f>
        <v>0</v>
      </c>
      <c r="AI298" s="70">
        <f>'RESUMEN TOTAL'!AP361</f>
        <v>0</v>
      </c>
    </row>
    <row r="299" spans="1:35" x14ac:dyDescent="0.25">
      <c r="A299" t="str">
        <f>'RESUMEN TOTAL'!A362</f>
        <v>SAN EMILIO</v>
      </c>
      <c r="B299" t="str">
        <f>'RESUMEN TOTAL'!B362</f>
        <v xml:space="preserve">SEMI05 </v>
      </c>
      <c r="C299" t="str">
        <f>'RESUMEN TOTAL'!D362</f>
        <v xml:space="preserve">Av Del Trabajo y Carlos Gardel </v>
      </c>
      <c r="D299" s="30" t="str">
        <f>'RESUMEN TOTAL'!E362</f>
        <v>DOMO</v>
      </c>
      <c r="E299" s="30" t="str">
        <f>'RESUMEN TOTAL'!F362</f>
        <v>PTO A FO</v>
      </c>
      <c r="F299" s="70">
        <f>'RESUMEN TOTAL'!M362</f>
        <v>0</v>
      </c>
      <c r="G299" s="70">
        <f>'RESUMEN TOTAL'!N362</f>
        <v>0</v>
      </c>
      <c r="H299" s="70">
        <f>'RESUMEN TOTAL'!O362</f>
        <v>0</v>
      </c>
      <c r="I299" s="70">
        <f>'RESUMEN TOTAL'!P362</f>
        <v>0</v>
      </c>
      <c r="J299" s="70">
        <f>'RESUMEN TOTAL'!Q362</f>
        <v>0</v>
      </c>
      <c r="K299" s="70">
        <f>'RESUMEN TOTAL'!R362</f>
        <v>0</v>
      </c>
      <c r="L299" s="70">
        <f>'RESUMEN TOTAL'!S362</f>
        <v>0</v>
      </c>
      <c r="M299" s="70">
        <f>'RESUMEN TOTAL'!T362</f>
        <v>0</v>
      </c>
      <c r="N299" s="70">
        <f>'RESUMEN TOTAL'!U362</f>
        <v>0</v>
      </c>
      <c r="O299" s="70">
        <f>'RESUMEN TOTAL'!V362</f>
        <v>0</v>
      </c>
      <c r="P299" s="70">
        <f>'RESUMEN TOTAL'!W362</f>
        <v>0</v>
      </c>
      <c r="Q299" s="70">
        <f>'RESUMEN TOTAL'!X362</f>
        <v>0</v>
      </c>
      <c r="R299" s="70">
        <f>'RESUMEN TOTAL'!Y362</f>
        <v>0</v>
      </c>
      <c r="S299" s="70">
        <f>'RESUMEN TOTAL'!Z362</f>
        <v>0</v>
      </c>
      <c r="T299" s="70">
        <f>'RESUMEN TOTAL'!AA362</f>
        <v>0</v>
      </c>
      <c r="U299" s="70">
        <f>'RESUMEN TOTAL'!AB362</f>
        <v>0</v>
      </c>
      <c r="V299" s="70">
        <f>'RESUMEN TOTAL'!AC362</f>
        <v>0</v>
      </c>
      <c r="W299" s="70">
        <f>'RESUMEN TOTAL'!AD362</f>
        <v>0</v>
      </c>
      <c r="X299" s="70">
        <f>'RESUMEN TOTAL'!AE362</f>
        <v>0</v>
      </c>
      <c r="Y299" s="70">
        <f>'RESUMEN TOTAL'!AF362</f>
        <v>0</v>
      </c>
      <c r="Z299" s="70">
        <f>'RESUMEN TOTAL'!AG362</f>
        <v>0</v>
      </c>
      <c r="AA299" s="70">
        <f>'RESUMEN TOTAL'!AH362</f>
        <v>0</v>
      </c>
      <c r="AB299" s="70">
        <f>'RESUMEN TOTAL'!AI362</f>
        <v>0</v>
      </c>
      <c r="AC299" s="70">
        <f>'RESUMEN TOTAL'!AJ362</f>
        <v>0</v>
      </c>
      <c r="AD299" s="70">
        <f>'RESUMEN TOTAL'!AK362</f>
        <v>0</v>
      </c>
      <c r="AE299" s="70">
        <f>'RESUMEN TOTAL'!AL362</f>
        <v>0</v>
      </c>
      <c r="AF299" s="70">
        <f>'RESUMEN TOTAL'!AM362</f>
        <v>0</v>
      </c>
      <c r="AG299" s="70">
        <f>'RESUMEN TOTAL'!AN362</f>
        <v>0</v>
      </c>
      <c r="AH299" s="70">
        <f>'RESUMEN TOTAL'!AO362</f>
        <v>0</v>
      </c>
      <c r="AI299" s="70">
        <f>'RESUMEN TOTAL'!AP362</f>
        <v>0</v>
      </c>
    </row>
    <row r="300" spans="1:35" x14ac:dyDescent="0.25">
      <c r="A300" t="str">
        <f>'RESUMEN TOTAL'!A363</f>
        <v>SAN EMILIO</v>
      </c>
      <c r="B300" t="str">
        <f>'RESUMEN TOTAL'!B363</f>
        <v>SMAT01</v>
      </c>
      <c r="C300" t="str">
        <f>'RESUMEN TOTAL'!D363</f>
        <v xml:space="preserve">AV BOSQUES Y CANTU </v>
      </c>
      <c r="D300" s="30" t="str">
        <f>'RESUMEN TOTAL'!E363</f>
        <v>DOMO</v>
      </c>
      <c r="E300" s="30" t="str">
        <f>'RESUMEN TOTAL'!F363</f>
        <v>GPON</v>
      </c>
      <c r="F300" s="70">
        <f>'RESUMEN TOTAL'!M363</f>
        <v>0</v>
      </c>
      <c r="G300" s="70">
        <f>'RESUMEN TOTAL'!N363</f>
        <v>0</v>
      </c>
      <c r="H300" s="70">
        <f>'RESUMEN TOTAL'!O363</f>
        <v>0</v>
      </c>
      <c r="I300" s="70">
        <f>'RESUMEN TOTAL'!P363</f>
        <v>0</v>
      </c>
      <c r="J300" s="70">
        <f>'RESUMEN TOTAL'!Q363</f>
        <v>0</v>
      </c>
      <c r="K300" s="70">
        <f>'RESUMEN TOTAL'!R363</f>
        <v>0</v>
      </c>
      <c r="L300" s="70" t="str">
        <f>'RESUMEN TOTAL'!S363</f>
        <v>APAGADO</v>
      </c>
      <c r="M300" s="70" t="str">
        <f>'RESUMEN TOTAL'!T363</f>
        <v>APAGADO</v>
      </c>
      <c r="N300" s="70" t="str">
        <f>'RESUMEN TOTAL'!U363</f>
        <v>APAGADO</v>
      </c>
      <c r="O300" s="70" t="str">
        <f>'RESUMEN TOTAL'!V363</f>
        <v>APAGADO</v>
      </c>
      <c r="P300" s="70">
        <f>'RESUMEN TOTAL'!W363</f>
        <v>0</v>
      </c>
      <c r="Q300" s="70" t="str">
        <f>'RESUMEN TOTAL'!X363</f>
        <v>APAGADO</v>
      </c>
      <c r="R300" s="70">
        <f>'RESUMEN TOTAL'!Y363</f>
        <v>0</v>
      </c>
      <c r="S300" s="70">
        <f>'RESUMEN TOTAL'!Z363</f>
        <v>0</v>
      </c>
      <c r="T300" s="70">
        <f>'RESUMEN TOTAL'!AA363</f>
        <v>0</v>
      </c>
      <c r="U300" s="70">
        <f>'RESUMEN TOTAL'!AB363</f>
        <v>0</v>
      </c>
      <c r="V300" s="70">
        <f>'RESUMEN TOTAL'!AC363</f>
        <v>0</v>
      </c>
      <c r="W300" s="70">
        <f>'RESUMEN TOTAL'!AD363</f>
        <v>0</v>
      </c>
      <c r="X300" s="70">
        <f>'RESUMEN TOTAL'!AE363</f>
        <v>0</v>
      </c>
      <c r="Y300" s="70">
        <f>'RESUMEN TOTAL'!AF363</f>
        <v>0</v>
      </c>
      <c r="Z300" s="70">
        <f>'RESUMEN TOTAL'!AG363</f>
        <v>0</v>
      </c>
      <c r="AA300" s="70">
        <f>'RESUMEN TOTAL'!AH363</f>
        <v>0</v>
      </c>
      <c r="AB300" s="70">
        <f>'RESUMEN TOTAL'!AI363</f>
        <v>0</v>
      </c>
      <c r="AC300" s="70">
        <f>'RESUMEN TOTAL'!AJ363</f>
        <v>0</v>
      </c>
      <c r="AD300" s="70">
        <f>'RESUMEN TOTAL'!AK363</f>
        <v>0</v>
      </c>
      <c r="AE300" s="70" t="str">
        <f>'RESUMEN TOTAL'!AL363</f>
        <v>APAGADO</v>
      </c>
      <c r="AF300" s="70">
        <f>'RESUMEN TOTAL'!AM363</f>
        <v>0</v>
      </c>
      <c r="AG300" s="70">
        <f>'RESUMEN TOTAL'!AN363</f>
        <v>0</v>
      </c>
      <c r="AH300" s="70">
        <f>'RESUMEN TOTAL'!AO363</f>
        <v>0</v>
      </c>
      <c r="AI300" s="70">
        <f>'RESUMEN TOTAL'!AP363</f>
        <v>0</v>
      </c>
    </row>
    <row r="301" spans="1:35" x14ac:dyDescent="0.25">
      <c r="A301" t="str">
        <f>'RESUMEN TOTAL'!A364</f>
        <v>LA SIRENA</v>
      </c>
      <c r="B301" t="str">
        <f>'RESUMEN TOTAL'!B364</f>
        <v>SIR01</v>
      </c>
      <c r="C301" t="str">
        <f>'RESUMEN TOTAL'!D364</f>
        <v>Moran y Calle 14</v>
      </c>
      <c r="D301" s="30" t="str">
        <f>'RESUMEN TOTAL'!E364</f>
        <v>DOMO</v>
      </c>
      <c r="E301" s="30" t="str">
        <f>'RESUMEN TOTAL'!F364</f>
        <v>Radio</v>
      </c>
      <c r="F301" s="70" t="str">
        <f>'RESUMEN TOTAL'!M364</f>
        <v>APAGADO</v>
      </c>
      <c r="G301" s="70" t="str">
        <f>'RESUMEN TOTAL'!N364</f>
        <v>APAGADO</v>
      </c>
      <c r="H301" s="70" t="str">
        <f>'RESUMEN TOTAL'!O364</f>
        <v>APAGADO</v>
      </c>
      <c r="I301" s="70" t="str">
        <f>'RESUMEN TOTAL'!P364</f>
        <v>APAGADO</v>
      </c>
      <c r="J301" s="70" t="str">
        <f>'RESUMEN TOTAL'!Q364</f>
        <v>APAGADO</v>
      </c>
      <c r="K301" s="70" t="str">
        <f>'RESUMEN TOTAL'!R364</f>
        <v>APAGADO</v>
      </c>
      <c r="L301" s="70">
        <f>'RESUMEN TOTAL'!S364</f>
        <v>0</v>
      </c>
      <c r="M301" s="70" t="str">
        <f>'RESUMEN TOTAL'!T364</f>
        <v>APAGADO</v>
      </c>
      <c r="N301" s="70" t="str">
        <f>'RESUMEN TOTAL'!U364</f>
        <v>APAGADO</v>
      </c>
      <c r="O301" s="70" t="str">
        <f>'RESUMEN TOTAL'!V364</f>
        <v>APAGADO</v>
      </c>
      <c r="P301" s="70" t="str">
        <f>'RESUMEN TOTAL'!W364</f>
        <v>APAGADO</v>
      </c>
      <c r="Q301" s="70" t="str">
        <f>'RESUMEN TOTAL'!X364</f>
        <v>APAGADO</v>
      </c>
      <c r="R301" s="70" t="str">
        <f>'RESUMEN TOTAL'!Y364</f>
        <v>APAGADO</v>
      </c>
      <c r="S301" s="70" t="str">
        <f>'RESUMEN TOTAL'!Z364</f>
        <v>APAGADO</v>
      </c>
      <c r="T301" s="70" t="str">
        <f>'RESUMEN TOTAL'!AA364</f>
        <v>APAGADO</v>
      </c>
      <c r="U301" s="70" t="str">
        <f>'RESUMEN TOTAL'!AB364</f>
        <v>APAGADO</v>
      </c>
      <c r="V301" s="70" t="str">
        <f>'RESUMEN TOTAL'!AC364</f>
        <v>APAGADO</v>
      </c>
      <c r="W301" s="70" t="str">
        <f>'RESUMEN TOTAL'!AD364</f>
        <v>APAGADO</v>
      </c>
      <c r="X301" s="70" t="str">
        <f>'RESUMEN TOTAL'!AE364</f>
        <v>APAGADO</v>
      </c>
      <c r="Y301" s="70" t="str">
        <f>'RESUMEN TOTAL'!AF364</f>
        <v>APAGADO</v>
      </c>
      <c r="Z301" s="70">
        <f>'RESUMEN TOTAL'!AG364</f>
        <v>0</v>
      </c>
      <c r="AA301" s="70" t="str">
        <f>'RESUMEN TOTAL'!AH364</f>
        <v>APAGADO</v>
      </c>
      <c r="AB301" s="70" t="str">
        <f>'RESUMEN TOTAL'!AI364</f>
        <v>APAGADO</v>
      </c>
      <c r="AC301" s="70" t="str">
        <f>'RESUMEN TOTAL'!AJ364</f>
        <v>APAGADO</v>
      </c>
      <c r="AD301" s="70" t="str">
        <f>'RESUMEN TOTAL'!AK364</f>
        <v>APAGADO</v>
      </c>
      <c r="AE301" s="70" t="str">
        <f>'RESUMEN TOTAL'!AL364</f>
        <v>APAGADO</v>
      </c>
      <c r="AF301" s="70">
        <f>'RESUMEN TOTAL'!AM364</f>
        <v>0</v>
      </c>
      <c r="AG301" s="70">
        <f>'RESUMEN TOTAL'!AN364</f>
        <v>0</v>
      </c>
      <c r="AH301" s="70">
        <f>'RESUMEN TOTAL'!AO364</f>
        <v>0</v>
      </c>
      <c r="AI301" s="70">
        <f>'RESUMEN TOTAL'!AP364</f>
        <v>0</v>
      </c>
    </row>
    <row r="302" spans="1:35" x14ac:dyDescent="0.25">
      <c r="A302" t="str">
        <f>'RESUMEN TOTAL'!A365</f>
        <v>SAN EDUARDO</v>
      </c>
      <c r="B302" t="str">
        <f>'RESUMEN TOTAL'!B365</f>
        <v>SIR 02</v>
      </c>
      <c r="C302" t="str">
        <f>'RESUMEN TOTAL'!D365</f>
        <v>Victorino de la Plaza y Argentina</v>
      </c>
      <c r="D302" s="30" t="str">
        <f>'RESUMEN TOTAL'!E365</f>
        <v>Domo</v>
      </c>
      <c r="E302" s="30" t="str">
        <f>'RESUMEN TOTAL'!F365</f>
        <v>GPON</v>
      </c>
      <c r="F302" s="70" t="str">
        <f>'RESUMEN TOTAL'!M365</f>
        <v>APAGADO</v>
      </c>
      <c r="G302" s="70" t="str">
        <f>'RESUMEN TOTAL'!N365</f>
        <v>APAGADO</v>
      </c>
      <c r="H302" s="70">
        <f>'RESUMEN TOTAL'!O365</f>
        <v>0</v>
      </c>
      <c r="I302" s="70">
        <f>'RESUMEN TOTAL'!P365</f>
        <v>0</v>
      </c>
      <c r="J302" s="70">
        <f>'RESUMEN TOTAL'!Q365</f>
        <v>0</v>
      </c>
      <c r="K302" s="70">
        <f>'RESUMEN TOTAL'!R365</f>
        <v>0</v>
      </c>
      <c r="L302" s="70">
        <f>'RESUMEN TOTAL'!S365</f>
        <v>0</v>
      </c>
      <c r="M302" s="70">
        <f>'RESUMEN TOTAL'!T365</f>
        <v>0</v>
      </c>
      <c r="N302" s="70">
        <f>'RESUMEN TOTAL'!U365</f>
        <v>0</v>
      </c>
      <c r="O302" s="70">
        <f>'RESUMEN TOTAL'!V365</f>
        <v>0</v>
      </c>
      <c r="P302" s="70">
        <f>'RESUMEN TOTAL'!W365</f>
        <v>0</v>
      </c>
      <c r="Q302" s="70">
        <f>'RESUMEN TOTAL'!X365</f>
        <v>0</v>
      </c>
      <c r="R302" s="70">
        <f>'RESUMEN TOTAL'!Y365</f>
        <v>0</v>
      </c>
      <c r="S302" s="70">
        <f>'RESUMEN TOTAL'!Z365</f>
        <v>0</v>
      </c>
      <c r="T302" s="70">
        <f>'RESUMEN TOTAL'!AA365</f>
        <v>0</v>
      </c>
      <c r="U302" s="70">
        <f>'RESUMEN TOTAL'!AB365</f>
        <v>0</v>
      </c>
      <c r="V302" s="70">
        <f>'RESUMEN TOTAL'!AC365</f>
        <v>0</v>
      </c>
      <c r="W302" s="70">
        <f>'RESUMEN TOTAL'!AD365</f>
        <v>0</v>
      </c>
      <c r="X302" s="70">
        <f>'RESUMEN TOTAL'!AE365</f>
        <v>0</v>
      </c>
      <c r="Y302" s="70">
        <f>'RESUMEN TOTAL'!AF365</f>
        <v>0</v>
      </c>
      <c r="Z302" s="70">
        <f>'RESUMEN TOTAL'!AG365</f>
        <v>0</v>
      </c>
      <c r="AA302" s="70">
        <f>'RESUMEN TOTAL'!AH365</f>
        <v>0</v>
      </c>
      <c r="AB302" s="70">
        <f>'RESUMEN TOTAL'!AI365</f>
        <v>0</v>
      </c>
      <c r="AC302" s="70">
        <f>'RESUMEN TOTAL'!AJ365</f>
        <v>0</v>
      </c>
      <c r="AD302" s="70">
        <f>'RESUMEN TOTAL'!AK365</f>
        <v>0</v>
      </c>
      <c r="AE302" s="70">
        <f>'RESUMEN TOTAL'!AL365</f>
        <v>0</v>
      </c>
      <c r="AF302" s="70">
        <f>'RESUMEN TOTAL'!AM365</f>
        <v>0</v>
      </c>
      <c r="AG302" s="70">
        <f>'RESUMEN TOTAL'!AN365</f>
        <v>0</v>
      </c>
      <c r="AH302" s="70">
        <f>'RESUMEN TOTAL'!AO365</f>
        <v>0</v>
      </c>
      <c r="AI302" s="70">
        <f>'RESUMEN TOTAL'!AP365</f>
        <v>0</v>
      </c>
    </row>
    <row r="303" spans="1:35" x14ac:dyDescent="0.25">
      <c r="A303" t="str">
        <f>'RESUMEN TOTAL'!A366</f>
        <v>SAN EDUARDO</v>
      </c>
      <c r="B303" t="str">
        <f>'RESUMEN TOTAL'!B366</f>
        <v>SIR 03</v>
      </c>
      <c r="C303" t="str">
        <f>'RESUMEN TOTAL'!D366</f>
        <v>MONTES Y LONARDI</v>
      </c>
      <c r="D303" s="30" t="str">
        <f>'RESUMEN TOTAL'!E366</f>
        <v>DOMO</v>
      </c>
      <c r="E303" s="30" t="str">
        <f>'RESUMEN TOTAL'!F366</f>
        <v>Fibra Optica</v>
      </c>
      <c r="F303" s="70">
        <f>'RESUMEN TOTAL'!M366</f>
        <v>0</v>
      </c>
      <c r="G303" s="70">
        <f>'RESUMEN TOTAL'!N366</f>
        <v>0</v>
      </c>
      <c r="H303" s="70">
        <f>'RESUMEN TOTAL'!O366</f>
        <v>0</v>
      </c>
      <c r="I303" s="70">
        <f>'RESUMEN TOTAL'!P366</f>
        <v>0</v>
      </c>
      <c r="J303" s="70">
        <f>'RESUMEN TOTAL'!Q366</f>
        <v>0</v>
      </c>
      <c r="K303" s="70">
        <f>'RESUMEN TOTAL'!R366</f>
        <v>0</v>
      </c>
      <c r="L303" s="70">
        <f>'RESUMEN TOTAL'!S366</f>
        <v>0</v>
      </c>
      <c r="M303" s="70">
        <f>'RESUMEN TOTAL'!T366</f>
        <v>0</v>
      </c>
      <c r="N303" s="70">
        <f>'RESUMEN TOTAL'!U366</f>
        <v>0</v>
      </c>
      <c r="O303" s="70">
        <f>'RESUMEN TOTAL'!V366</f>
        <v>0</v>
      </c>
      <c r="P303" s="70">
        <f>'RESUMEN TOTAL'!W366</f>
        <v>0</v>
      </c>
      <c r="Q303" s="70">
        <f>'RESUMEN TOTAL'!X366</f>
        <v>0</v>
      </c>
      <c r="R303" s="70">
        <f>'RESUMEN TOTAL'!Y366</f>
        <v>0</v>
      </c>
      <c r="S303" s="70">
        <f>'RESUMEN TOTAL'!Z366</f>
        <v>0</v>
      </c>
      <c r="T303" s="70">
        <f>'RESUMEN TOTAL'!AA366</f>
        <v>0</v>
      </c>
      <c r="U303" s="70">
        <f>'RESUMEN TOTAL'!AB366</f>
        <v>0</v>
      </c>
      <c r="V303" s="70">
        <f>'RESUMEN TOTAL'!AC366</f>
        <v>0</v>
      </c>
      <c r="W303" s="70">
        <f>'RESUMEN TOTAL'!AD366</f>
        <v>0</v>
      </c>
      <c r="X303" s="70">
        <f>'RESUMEN TOTAL'!AE366</f>
        <v>0</v>
      </c>
      <c r="Y303" s="70">
        <f>'RESUMEN TOTAL'!AF366</f>
        <v>0</v>
      </c>
      <c r="Z303" s="70">
        <f>'RESUMEN TOTAL'!AG366</f>
        <v>0</v>
      </c>
      <c r="AA303" s="70">
        <f>'RESUMEN TOTAL'!AH366</f>
        <v>0</v>
      </c>
      <c r="AB303" s="70">
        <f>'RESUMEN TOTAL'!AI366</f>
        <v>0</v>
      </c>
      <c r="AC303" s="70">
        <f>'RESUMEN TOTAL'!AJ366</f>
        <v>0</v>
      </c>
      <c r="AD303" s="70">
        <f>'RESUMEN TOTAL'!AK366</f>
        <v>0</v>
      </c>
      <c r="AE303" s="70">
        <f>'RESUMEN TOTAL'!AL366</f>
        <v>0</v>
      </c>
      <c r="AF303" s="70">
        <f>'RESUMEN TOTAL'!AM366</f>
        <v>0</v>
      </c>
      <c r="AG303" s="70">
        <f>'RESUMEN TOTAL'!AN366</f>
        <v>0</v>
      </c>
      <c r="AH303" s="70">
        <f>'RESUMEN TOTAL'!AO366</f>
        <v>0</v>
      </c>
      <c r="AI303" s="70">
        <f>'RESUMEN TOTAL'!AP366</f>
        <v>0</v>
      </c>
    </row>
    <row r="304" spans="1:35" x14ac:dyDescent="0.25">
      <c r="A304" t="str">
        <f>'RESUMEN TOTAL'!A367</f>
        <v>LA SIRENA</v>
      </c>
      <c r="B304" t="str">
        <f>'RESUMEN TOTAL'!B367</f>
        <v>SIR 04</v>
      </c>
      <c r="C304" t="str">
        <f>'RESUMEN TOTAL'!D367</f>
        <v>AV. MONTEVERDE Y MORAN</v>
      </c>
      <c r="D304" s="30" t="str">
        <f>'RESUMEN TOTAL'!E367</f>
        <v>Domo</v>
      </c>
      <c r="E304" s="30" t="str">
        <f>'RESUMEN TOTAL'!F367</f>
        <v>Fibra Optica</v>
      </c>
      <c r="F304" s="70">
        <f>'RESUMEN TOTAL'!M367</f>
        <v>0</v>
      </c>
      <c r="G304" s="70">
        <f>'RESUMEN TOTAL'!N367</f>
        <v>0</v>
      </c>
      <c r="H304" s="70">
        <f>'RESUMEN TOTAL'!O367</f>
        <v>0</v>
      </c>
      <c r="I304" s="70">
        <f>'RESUMEN TOTAL'!P367</f>
        <v>0</v>
      </c>
      <c r="J304" s="70">
        <f>'RESUMEN TOTAL'!Q367</f>
        <v>0</v>
      </c>
      <c r="K304" s="70">
        <f>'RESUMEN TOTAL'!R367</f>
        <v>0</v>
      </c>
      <c r="L304" s="70">
        <f>'RESUMEN TOTAL'!S367</f>
        <v>0</v>
      </c>
      <c r="M304" s="70">
        <f>'RESUMEN TOTAL'!T367</f>
        <v>0</v>
      </c>
      <c r="N304" s="70">
        <f>'RESUMEN TOTAL'!U367</f>
        <v>0</v>
      </c>
      <c r="O304" s="70">
        <f>'RESUMEN TOTAL'!V367</f>
        <v>0</v>
      </c>
      <c r="P304" s="70">
        <f>'RESUMEN TOTAL'!W367</f>
        <v>0</v>
      </c>
      <c r="Q304" s="70">
        <f>'RESUMEN TOTAL'!X367</f>
        <v>0</v>
      </c>
      <c r="R304" s="70">
        <f>'RESUMEN TOTAL'!Y367</f>
        <v>0</v>
      </c>
      <c r="S304" s="70">
        <f>'RESUMEN TOTAL'!Z367</f>
        <v>0</v>
      </c>
      <c r="T304" s="70">
        <f>'RESUMEN TOTAL'!AA367</f>
        <v>0</v>
      </c>
      <c r="U304" s="70">
        <f>'RESUMEN TOTAL'!AB367</f>
        <v>0</v>
      </c>
      <c r="V304" s="70">
        <f>'RESUMEN TOTAL'!AC367</f>
        <v>0</v>
      </c>
      <c r="W304" s="70">
        <f>'RESUMEN TOTAL'!AD367</f>
        <v>0</v>
      </c>
      <c r="X304" s="70">
        <f>'RESUMEN TOTAL'!AE367</f>
        <v>0</v>
      </c>
      <c r="Y304" s="70">
        <f>'RESUMEN TOTAL'!AF367</f>
        <v>0</v>
      </c>
      <c r="Z304" s="70">
        <f>'RESUMEN TOTAL'!AG367</f>
        <v>0</v>
      </c>
      <c r="AA304" s="70">
        <f>'RESUMEN TOTAL'!AH367</f>
        <v>0</v>
      </c>
      <c r="AB304" s="70">
        <f>'RESUMEN TOTAL'!AI367</f>
        <v>0</v>
      </c>
      <c r="AC304" s="70">
        <f>'RESUMEN TOTAL'!AJ367</f>
        <v>0</v>
      </c>
      <c r="AD304" s="70">
        <f>'RESUMEN TOTAL'!AK367</f>
        <v>0</v>
      </c>
      <c r="AE304" s="70">
        <f>'RESUMEN TOTAL'!AL367</f>
        <v>0</v>
      </c>
      <c r="AF304" s="70">
        <f>'RESUMEN TOTAL'!AM367</f>
        <v>0</v>
      </c>
      <c r="AG304" s="70">
        <f>'RESUMEN TOTAL'!AN367</f>
        <v>0</v>
      </c>
      <c r="AH304" s="70">
        <f>'RESUMEN TOTAL'!AO367</f>
        <v>0</v>
      </c>
      <c r="AI304" s="70">
        <f>'RESUMEN TOTAL'!AP367</f>
        <v>0</v>
      </c>
    </row>
    <row r="305" spans="1:35" x14ac:dyDescent="0.25">
      <c r="A305" t="str">
        <f>'RESUMEN TOTAL'!A368</f>
        <v>LA SIRENA</v>
      </c>
      <c r="B305" t="str">
        <f>'RESUMEN TOTAL'!B368</f>
        <v>SIR 05 (FIJA 01)</v>
      </c>
      <c r="C305" t="str">
        <f>'RESUMEN TOTAL'!D368</f>
        <v>AV. MONTEVERDE Y MORAN</v>
      </c>
      <c r="D305" s="30" t="str">
        <f>'RESUMEN TOTAL'!E368</f>
        <v>Fija</v>
      </c>
      <c r="E305" s="30" t="str">
        <f>'RESUMEN TOTAL'!F368</f>
        <v>Fibra Optica</v>
      </c>
      <c r="F305" s="70">
        <f>'RESUMEN TOTAL'!M368</f>
        <v>0</v>
      </c>
      <c r="G305" s="70">
        <f>'RESUMEN TOTAL'!N368</f>
        <v>0</v>
      </c>
      <c r="H305" s="70">
        <f>'RESUMEN TOTAL'!O368</f>
        <v>0</v>
      </c>
      <c r="I305" s="70">
        <f>'RESUMEN TOTAL'!P368</f>
        <v>0</v>
      </c>
      <c r="J305" s="70">
        <f>'RESUMEN TOTAL'!Q368</f>
        <v>0</v>
      </c>
      <c r="K305" s="70">
        <f>'RESUMEN TOTAL'!R368</f>
        <v>0</v>
      </c>
      <c r="L305" s="70">
        <f>'RESUMEN TOTAL'!S368</f>
        <v>0</v>
      </c>
      <c r="M305" s="70">
        <f>'RESUMEN TOTAL'!T368</f>
        <v>0</v>
      </c>
      <c r="N305" s="70">
        <f>'RESUMEN TOTAL'!U368</f>
        <v>0</v>
      </c>
      <c r="O305" s="70">
        <f>'RESUMEN TOTAL'!V368</f>
        <v>0</v>
      </c>
      <c r="P305" s="70">
        <f>'RESUMEN TOTAL'!W368</f>
        <v>0</v>
      </c>
      <c r="Q305" s="70">
        <f>'RESUMEN TOTAL'!X368</f>
        <v>0</v>
      </c>
      <c r="R305" s="70">
        <f>'RESUMEN TOTAL'!Y368</f>
        <v>0</v>
      </c>
      <c r="S305" s="70">
        <f>'RESUMEN TOTAL'!Z368</f>
        <v>0</v>
      </c>
      <c r="T305" s="70">
        <f>'RESUMEN TOTAL'!AA368</f>
        <v>0</v>
      </c>
      <c r="U305" s="70">
        <f>'RESUMEN TOTAL'!AB368</f>
        <v>0</v>
      </c>
      <c r="V305" s="70">
        <f>'RESUMEN TOTAL'!AC368</f>
        <v>0</v>
      </c>
      <c r="W305" s="70">
        <f>'RESUMEN TOTAL'!AD368</f>
        <v>0</v>
      </c>
      <c r="X305" s="70">
        <f>'RESUMEN TOTAL'!AE368</f>
        <v>0</v>
      </c>
      <c r="Y305" s="70">
        <f>'RESUMEN TOTAL'!AF368</f>
        <v>0</v>
      </c>
      <c r="Z305" s="70">
        <f>'RESUMEN TOTAL'!AG368</f>
        <v>0</v>
      </c>
      <c r="AA305" s="70">
        <f>'RESUMEN TOTAL'!AH368</f>
        <v>0</v>
      </c>
      <c r="AB305" s="70">
        <f>'RESUMEN TOTAL'!AI368</f>
        <v>0</v>
      </c>
      <c r="AC305" s="70">
        <f>'RESUMEN TOTAL'!AJ368</f>
        <v>0</v>
      </c>
      <c r="AD305" s="70">
        <f>'RESUMEN TOTAL'!AK368</f>
        <v>0</v>
      </c>
      <c r="AE305" s="70">
        <f>'RESUMEN TOTAL'!AL368</f>
        <v>0</v>
      </c>
      <c r="AF305" s="70">
        <f>'RESUMEN TOTAL'!AM368</f>
        <v>0</v>
      </c>
      <c r="AG305" s="70">
        <f>'RESUMEN TOTAL'!AN368</f>
        <v>0</v>
      </c>
      <c r="AH305" s="70">
        <f>'RESUMEN TOTAL'!AO368</f>
        <v>0</v>
      </c>
      <c r="AI305" s="70">
        <f>'RESUMEN TOTAL'!AP368</f>
        <v>0</v>
      </c>
    </row>
    <row r="306" spans="1:35" x14ac:dyDescent="0.25">
      <c r="A306" t="str">
        <f>'RESUMEN TOTAL'!A369</f>
        <v>LA SIRENA</v>
      </c>
      <c r="B306" t="str">
        <f>'RESUMEN TOTAL'!B369</f>
        <v>SIR 06 (FIJA 02)</v>
      </c>
      <c r="C306" t="str">
        <f>'RESUMEN TOTAL'!D369</f>
        <v>AV. MONTEVERDE Y MORAN</v>
      </c>
      <c r="D306" s="30" t="str">
        <f>'RESUMEN TOTAL'!E369</f>
        <v>Fija</v>
      </c>
      <c r="E306" s="30" t="str">
        <f>'RESUMEN TOTAL'!F369</f>
        <v>Fibra Optica</v>
      </c>
      <c r="F306" s="70">
        <f>'RESUMEN TOTAL'!M369</f>
        <v>0</v>
      </c>
      <c r="G306" s="70">
        <f>'RESUMEN TOTAL'!N369</f>
        <v>0</v>
      </c>
      <c r="H306" s="70">
        <f>'RESUMEN TOTAL'!O369</f>
        <v>0</v>
      </c>
      <c r="I306" s="70">
        <f>'RESUMEN TOTAL'!P369</f>
        <v>0</v>
      </c>
      <c r="J306" s="70">
        <f>'RESUMEN TOTAL'!Q369</f>
        <v>0</v>
      </c>
      <c r="K306" s="70">
        <f>'RESUMEN TOTAL'!R369</f>
        <v>0</v>
      </c>
      <c r="L306" s="70">
        <f>'RESUMEN TOTAL'!S369</f>
        <v>0</v>
      </c>
      <c r="M306" s="70">
        <f>'RESUMEN TOTAL'!T369</f>
        <v>0</v>
      </c>
      <c r="N306" s="70">
        <f>'RESUMEN TOTAL'!U369</f>
        <v>0</v>
      </c>
      <c r="O306" s="70">
        <f>'RESUMEN TOTAL'!V369</f>
        <v>0</v>
      </c>
      <c r="P306" s="70">
        <f>'RESUMEN TOTAL'!W369</f>
        <v>0</v>
      </c>
      <c r="Q306" s="70">
        <f>'RESUMEN TOTAL'!X369</f>
        <v>0</v>
      </c>
      <c r="R306" s="70">
        <f>'RESUMEN TOTAL'!Y369</f>
        <v>0</v>
      </c>
      <c r="S306" s="70">
        <f>'RESUMEN TOTAL'!Z369</f>
        <v>0</v>
      </c>
      <c r="T306" s="70">
        <f>'RESUMEN TOTAL'!AA369</f>
        <v>0</v>
      </c>
      <c r="U306" s="70">
        <f>'RESUMEN TOTAL'!AB369</f>
        <v>0</v>
      </c>
      <c r="V306" s="70">
        <f>'RESUMEN TOTAL'!AC369</f>
        <v>0</v>
      </c>
      <c r="W306" s="70">
        <f>'RESUMEN TOTAL'!AD369</f>
        <v>0</v>
      </c>
      <c r="X306" s="70">
        <f>'RESUMEN TOTAL'!AE369</f>
        <v>0</v>
      </c>
      <c r="Y306" s="70">
        <f>'RESUMEN TOTAL'!AF369</f>
        <v>0</v>
      </c>
      <c r="Z306" s="70">
        <f>'RESUMEN TOTAL'!AG369</f>
        <v>0</v>
      </c>
      <c r="AA306" s="70">
        <f>'RESUMEN TOTAL'!AH369</f>
        <v>0</v>
      </c>
      <c r="AB306" s="70">
        <f>'RESUMEN TOTAL'!AI369</f>
        <v>0</v>
      </c>
      <c r="AC306" s="70">
        <f>'RESUMEN TOTAL'!AJ369</f>
        <v>0</v>
      </c>
      <c r="AD306" s="70">
        <f>'RESUMEN TOTAL'!AK369</f>
        <v>0</v>
      </c>
      <c r="AE306" s="70">
        <f>'RESUMEN TOTAL'!AL369</f>
        <v>0</v>
      </c>
      <c r="AF306" s="70">
        <f>'RESUMEN TOTAL'!AM369</f>
        <v>0</v>
      </c>
      <c r="AG306" s="70">
        <f>'RESUMEN TOTAL'!AN369</f>
        <v>0</v>
      </c>
      <c r="AH306" s="70">
        <f>'RESUMEN TOTAL'!AO369</f>
        <v>0</v>
      </c>
      <c r="AI306" s="70">
        <f>'RESUMEN TOTAL'!AP369</f>
        <v>0</v>
      </c>
    </row>
    <row r="307" spans="1:35" x14ac:dyDescent="0.25">
      <c r="A307" t="str">
        <f>'RESUMEN TOTAL'!A370</f>
        <v>VILLA AURORA</v>
      </c>
      <c r="B307" t="str">
        <f>'RESUMEN TOTAL'!B370</f>
        <v>SIR07 (fija 1)</v>
      </c>
      <c r="C307" t="str">
        <f>'RESUMEN TOTAL'!D370</f>
        <v>MONTEVERDE Y URIBURU</v>
      </c>
      <c r="D307" s="30" t="str">
        <f>'RESUMEN TOTAL'!E370</f>
        <v>Fija</v>
      </c>
      <c r="E307" s="30" t="str">
        <f>'RESUMEN TOTAL'!F370</f>
        <v>Fibra Optica</v>
      </c>
      <c r="F307" s="70">
        <f>'RESUMEN TOTAL'!M370</f>
        <v>0</v>
      </c>
      <c r="G307" s="70">
        <f>'RESUMEN TOTAL'!N370</f>
        <v>0</v>
      </c>
      <c r="H307" s="70">
        <f>'RESUMEN TOTAL'!O370</f>
        <v>0</v>
      </c>
      <c r="I307" s="70">
        <f>'RESUMEN TOTAL'!P370</f>
        <v>0</v>
      </c>
      <c r="J307" s="70">
        <f>'RESUMEN TOTAL'!Q370</f>
        <v>0</v>
      </c>
      <c r="K307" s="70">
        <f>'RESUMEN TOTAL'!R370</f>
        <v>0</v>
      </c>
      <c r="L307" s="70">
        <f>'RESUMEN TOTAL'!S370</f>
        <v>0</v>
      </c>
      <c r="M307" s="70">
        <f>'RESUMEN TOTAL'!T370</f>
        <v>0</v>
      </c>
      <c r="N307" s="70">
        <f>'RESUMEN TOTAL'!U370</f>
        <v>0</v>
      </c>
      <c r="O307" s="70">
        <f>'RESUMEN TOTAL'!V370</f>
        <v>0</v>
      </c>
      <c r="P307" s="70">
        <f>'RESUMEN TOTAL'!W370</f>
        <v>0</v>
      </c>
      <c r="Q307" s="70">
        <f>'RESUMEN TOTAL'!X370</f>
        <v>0</v>
      </c>
      <c r="R307" s="70">
        <f>'RESUMEN TOTAL'!Y370</f>
        <v>0</v>
      </c>
      <c r="S307" s="70">
        <f>'RESUMEN TOTAL'!Z370</f>
        <v>0</v>
      </c>
      <c r="T307" s="70">
        <f>'RESUMEN TOTAL'!AA370</f>
        <v>0</v>
      </c>
      <c r="U307" s="70">
        <f>'RESUMEN TOTAL'!AB370</f>
        <v>0</v>
      </c>
      <c r="V307" s="70">
        <f>'RESUMEN TOTAL'!AC370</f>
        <v>0</v>
      </c>
      <c r="W307" s="70">
        <f>'RESUMEN TOTAL'!AD370</f>
        <v>0</v>
      </c>
      <c r="X307" s="70">
        <f>'RESUMEN TOTAL'!AE370</f>
        <v>0</v>
      </c>
      <c r="Y307" s="70">
        <f>'RESUMEN TOTAL'!AF370</f>
        <v>0</v>
      </c>
      <c r="Z307" s="70">
        <f>'RESUMEN TOTAL'!AG370</f>
        <v>0</v>
      </c>
      <c r="AA307" s="70">
        <f>'RESUMEN TOTAL'!AH370</f>
        <v>0</v>
      </c>
      <c r="AB307" s="70">
        <f>'RESUMEN TOTAL'!AI370</f>
        <v>0</v>
      </c>
      <c r="AC307" s="70">
        <f>'RESUMEN TOTAL'!AJ370</f>
        <v>0</v>
      </c>
      <c r="AD307" s="70">
        <f>'RESUMEN TOTAL'!AK370</f>
        <v>0</v>
      </c>
      <c r="AE307" s="70">
        <f>'RESUMEN TOTAL'!AL370</f>
        <v>0</v>
      </c>
      <c r="AF307" s="70">
        <f>'RESUMEN TOTAL'!AM370</f>
        <v>0</v>
      </c>
      <c r="AG307" s="70">
        <f>'RESUMEN TOTAL'!AN370</f>
        <v>0</v>
      </c>
      <c r="AH307" s="70">
        <f>'RESUMEN TOTAL'!AO370</f>
        <v>0</v>
      </c>
      <c r="AI307" s="70">
        <f>'RESUMEN TOTAL'!AP370</f>
        <v>0</v>
      </c>
    </row>
    <row r="308" spans="1:35" x14ac:dyDescent="0.25">
      <c r="A308" t="str">
        <f>'RESUMEN TOTAL'!A371</f>
        <v>VILLA AURORA</v>
      </c>
      <c r="B308" t="str">
        <f>'RESUMEN TOTAL'!B371</f>
        <v>SIR08 (fija 2)</v>
      </c>
      <c r="C308" t="str">
        <f>'RESUMEN TOTAL'!D371</f>
        <v>MONTEVERDE Y URIBURU</v>
      </c>
      <c r="D308" s="30" t="str">
        <f>'RESUMEN TOTAL'!E371</f>
        <v>Fija</v>
      </c>
      <c r="E308" s="30" t="str">
        <f>'RESUMEN TOTAL'!F371</f>
        <v>Fibra Optica</v>
      </c>
      <c r="F308" s="70">
        <f>'RESUMEN TOTAL'!M371</f>
        <v>0</v>
      </c>
      <c r="G308" s="70">
        <f>'RESUMEN TOTAL'!N371</f>
        <v>0</v>
      </c>
      <c r="H308" s="70">
        <f>'RESUMEN TOTAL'!O371</f>
        <v>0</v>
      </c>
      <c r="I308" s="70">
        <f>'RESUMEN TOTAL'!P371</f>
        <v>0</v>
      </c>
      <c r="J308" s="70">
        <f>'RESUMEN TOTAL'!Q371</f>
        <v>0</v>
      </c>
      <c r="K308" s="70">
        <f>'RESUMEN TOTAL'!R371</f>
        <v>0</v>
      </c>
      <c r="L308" s="70">
        <f>'RESUMEN TOTAL'!S371</f>
        <v>0</v>
      </c>
      <c r="M308" s="70">
        <f>'RESUMEN TOTAL'!T371</f>
        <v>0</v>
      </c>
      <c r="N308" s="70">
        <f>'RESUMEN TOTAL'!U371</f>
        <v>0</v>
      </c>
      <c r="O308" s="70">
        <f>'RESUMEN TOTAL'!V371</f>
        <v>0</v>
      </c>
      <c r="P308" s="70">
        <f>'RESUMEN TOTAL'!W371</f>
        <v>0</v>
      </c>
      <c r="Q308" s="70">
        <f>'RESUMEN TOTAL'!X371</f>
        <v>0</v>
      </c>
      <c r="R308" s="70">
        <f>'RESUMEN TOTAL'!Y371</f>
        <v>0</v>
      </c>
      <c r="S308" s="70">
        <f>'RESUMEN TOTAL'!Z371</f>
        <v>0</v>
      </c>
      <c r="T308" s="70">
        <f>'RESUMEN TOTAL'!AA371</f>
        <v>0</v>
      </c>
      <c r="U308" s="70">
        <f>'RESUMEN TOTAL'!AB371</f>
        <v>0</v>
      </c>
      <c r="V308" s="70">
        <f>'RESUMEN TOTAL'!AC371</f>
        <v>0</v>
      </c>
      <c r="W308" s="70">
        <f>'RESUMEN TOTAL'!AD371</f>
        <v>0</v>
      </c>
      <c r="X308" s="70">
        <f>'RESUMEN TOTAL'!AE371</f>
        <v>0</v>
      </c>
      <c r="Y308" s="70">
        <f>'RESUMEN TOTAL'!AF371</f>
        <v>0</v>
      </c>
      <c r="Z308" s="70">
        <f>'RESUMEN TOTAL'!AG371</f>
        <v>0</v>
      </c>
      <c r="AA308" s="70">
        <f>'RESUMEN TOTAL'!AH371</f>
        <v>0</v>
      </c>
      <c r="AB308" s="70">
        <f>'RESUMEN TOTAL'!AI371</f>
        <v>0</v>
      </c>
      <c r="AC308" s="70">
        <f>'RESUMEN TOTAL'!AJ371</f>
        <v>0</v>
      </c>
      <c r="AD308" s="70">
        <f>'RESUMEN TOTAL'!AK371</f>
        <v>0</v>
      </c>
      <c r="AE308" s="70">
        <f>'RESUMEN TOTAL'!AL371</f>
        <v>0</v>
      </c>
      <c r="AF308" s="70">
        <f>'RESUMEN TOTAL'!AM371</f>
        <v>0</v>
      </c>
      <c r="AG308" s="70">
        <f>'RESUMEN TOTAL'!AN371</f>
        <v>0</v>
      </c>
      <c r="AH308" s="70">
        <f>'RESUMEN TOTAL'!AO371</f>
        <v>0</v>
      </c>
      <c r="AI308" s="70">
        <f>'RESUMEN TOTAL'!AP371</f>
        <v>0</v>
      </c>
    </row>
    <row r="309" spans="1:35" x14ac:dyDescent="0.25">
      <c r="A309" t="str">
        <f>'RESUMEN TOTAL'!A372</f>
        <v>LA SIRENA</v>
      </c>
      <c r="B309" t="str">
        <f>'RESUMEN TOTAL'!B372</f>
        <v>SIR09 (fija 1)</v>
      </c>
      <c r="C309" t="str">
        <f>'RESUMEN TOTAL'!D372</f>
        <v>GUIDO SPANO Y MORAN</v>
      </c>
      <c r="D309" s="30" t="str">
        <f>'RESUMEN TOTAL'!E372</f>
        <v>Fija</v>
      </c>
      <c r="E309" s="30" t="str">
        <f>'RESUMEN TOTAL'!F372</f>
        <v>Fibra Optica</v>
      </c>
      <c r="F309" s="70">
        <f>'RESUMEN TOTAL'!M372</f>
        <v>0</v>
      </c>
      <c r="G309" s="70">
        <f>'RESUMEN TOTAL'!N372</f>
        <v>0</v>
      </c>
      <c r="H309" s="70">
        <f>'RESUMEN TOTAL'!O372</f>
        <v>0</v>
      </c>
      <c r="I309" s="70">
        <f>'RESUMEN TOTAL'!P372</f>
        <v>0</v>
      </c>
      <c r="J309" s="70">
        <f>'RESUMEN TOTAL'!Q372</f>
        <v>0</v>
      </c>
      <c r="K309" s="70">
        <f>'RESUMEN TOTAL'!R372</f>
        <v>0</v>
      </c>
      <c r="L309" s="70">
        <f>'RESUMEN TOTAL'!S372</f>
        <v>0</v>
      </c>
      <c r="M309" s="70">
        <f>'RESUMEN TOTAL'!T372</f>
        <v>0</v>
      </c>
      <c r="N309" s="70">
        <f>'RESUMEN TOTAL'!U372</f>
        <v>0</v>
      </c>
      <c r="O309" s="70">
        <f>'RESUMEN TOTAL'!V372</f>
        <v>0</v>
      </c>
      <c r="P309" s="70">
        <f>'RESUMEN TOTAL'!W372</f>
        <v>0</v>
      </c>
      <c r="Q309" s="70">
        <f>'RESUMEN TOTAL'!X372</f>
        <v>0</v>
      </c>
      <c r="R309" s="70">
        <f>'RESUMEN TOTAL'!Y372</f>
        <v>0</v>
      </c>
      <c r="S309" s="70">
        <f>'RESUMEN TOTAL'!Z372</f>
        <v>0</v>
      </c>
      <c r="T309" s="70">
        <f>'RESUMEN TOTAL'!AA372</f>
        <v>0</v>
      </c>
      <c r="U309" s="70">
        <f>'RESUMEN TOTAL'!AB372</f>
        <v>0</v>
      </c>
      <c r="V309" s="70">
        <f>'RESUMEN TOTAL'!AC372</f>
        <v>0</v>
      </c>
      <c r="W309" s="70">
        <f>'RESUMEN TOTAL'!AD372</f>
        <v>0</v>
      </c>
      <c r="X309" s="70">
        <f>'RESUMEN TOTAL'!AE372</f>
        <v>0</v>
      </c>
      <c r="Y309" s="70">
        <f>'RESUMEN TOTAL'!AF372</f>
        <v>0</v>
      </c>
      <c r="Z309" s="70">
        <f>'RESUMEN TOTAL'!AG372</f>
        <v>0</v>
      </c>
      <c r="AA309" s="70">
        <f>'RESUMEN TOTAL'!AH372</f>
        <v>0</v>
      </c>
      <c r="AB309" s="70">
        <f>'RESUMEN TOTAL'!AI372</f>
        <v>0</v>
      </c>
      <c r="AC309" s="70">
        <f>'RESUMEN TOTAL'!AJ372</f>
        <v>0</v>
      </c>
      <c r="AD309" s="70">
        <f>'RESUMEN TOTAL'!AK372</f>
        <v>0</v>
      </c>
      <c r="AE309" s="70">
        <f>'RESUMEN TOTAL'!AL372</f>
        <v>0</v>
      </c>
      <c r="AF309" s="70">
        <f>'RESUMEN TOTAL'!AM372</f>
        <v>0</v>
      </c>
      <c r="AG309" s="70">
        <f>'RESUMEN TOTAL'!AN372</f>
        <v>0</v>
      </c>
      <c r="AH309" s="70">
        <f>'RESUMEN TOTAL'!AO372</f>
        <v>0</v>
      </c>
      <c r="AI309" s="70">
        <f>'RESUMEN TOTAL'!AP372</f>
        <v>0</v>
      </c>
    </row>
    <row r="310" spans="1:35" x14ac:dyDescent="0.25">
      <c r="A310" t="str">
        <f>'RESUMEN TOTAL'!A373</f>
        <v>LA SIRENA</v>
      </c>
      <c r="B310" t="str">
        <f>'RESUMEN TOTAL'!B373</f>
        <v>SIR10 (fija 2)</v>
      </c>
      <c r="C310" t="str">
        <f>'RESUMEN TOTAL'!D373</f>
        <v>GUIDO SPANO Y MORAN</v>
      </c>
      <c r="D310" s="30" t="str">
        <f>'RESUMEN TOTAL'!E373</f>
        <v>Fija</v>
      </c>
      <c r="E310" s="30" t="str">
        <f>'RESUMEN TOTAL'!F373</f>
        <v>Fibra Optica</v>
      </c>
      <c r="F310" s="70">
        <f>'RESUMEN TOTAL'!M373</f>
        <v>0</v>
      </c>
      <c r="G310" s="70">
        <f>'RESUMEN TOTAL'!N373</f>
        <v>0</v>
      </c>
      <c r="H310" s="70">
        <f>'RESUMEN TOTAL'!O373</f>
        <v>0</v>
      </c>
      <c r="I310" s="70">
        <f>'RESUMEN TOTAL'!P373</f>
        <v>0</v>
      </c>
      <c r="J310" s="70">
        <f>'RESUMEN TOTAL'!Q373</f>
        <v>0</v>
      </c>
      <c r="K310" s="70">
        <f>'RESUMEN TOTAL'!R373</f>
        <v>0</v>
      </c>
      <c r="L310" s="70">
        <f>'RESUMEN TOTAL'!S373</f>
        <v>0</v>
      </c>
      <c r="M310" s="70">
        <f>'RESUMEN TOTAL'!T373</f>
        <v>0</v>
      </c>
      <c r="N310" s="70">
        <f>'RESUMEN TOTAL'!U373</f>
        <v>0</v>
      </c>
      <c r="O310" s="70">
        <f>'RESUMEN TOTAL'!V373</f>
        <v>0</v>
      </c>
      <c r="P310" s="70">
        <f>'RESUMEN TOTAL'!W373</f>
        <v>0</v>
      </c>
      <c r="Q310" s="70">
        <f>'RESUMEN TOTAL'!X373</f>
        <v>0</v>
      </c>
      <c r="R310" s="70">
        <f>'RESUMEN TOTAL'!Y373</f>
        <v>0</v>
      </c>
      <c r="S310" s="70">
        <f>'RESUMEN TOTAL'!Z373</f>
        <v>0</v>
      </c>
      <c r="T310" s="70">
        <f>'RESUMEN TOTAL'!AA373</f>
        <v>0</v>
      </c>
      <c r="U310" s="70">
        <f>'RESUMEN TOTAL'!AB373</f>
        <v>0</v>
      </c>
      <c r="V310" s="70">
        <f>'RESUMEN TOTAL'!AC373</f>
        <v>0</v>
      </c>
      <c r="W310" s="70">
        <f>'RESUMEN TOTAL'!AD373</f>
        <v>0</v>
      </c>
      <c r="X310" s="70">
        <f>'RESUMEN TOTAL'!AE373</f>
        <v>0</v>
      </c>
      <c r="Y310" s="70">
        <f>'RESUMEN TOTAL'!AF373</f>
        <v>0</v>
      </c>
      <c r="Z310" s="70">
        <f>'RESUMEN TOTAL'!AG373</f>
        <v>0</v>
      </c>
      <c r="AA310" s="70">
        <f>'RESUMEN TOTAL'!AH373</f>
        <v>0</v>
      </c>
      <c r="AB310" s="70">
        <f>'RESUMEN TOTAL'!AI373</f>
        <v>0</v>
      </c>
      <c r="AC310" s="70">
        <f>'RESUMEN TOTAL'!AJ373</f>
        <v>0</v>
      </c>
      <c r="AD310" s="70">
        <f>'RESUMEN TOTAL'!AK373</f>
        <v>0</v>
      </c>
      <c r="AE310" s="70">
        <f>'RESUMEN TOTAL'!AL373</f>
        <v>0</v>
      </c>
      <c r="AF310" s="70">
        <f>'RESUMEN TOTAL'!AM373</f>
        <v>0</v>
      </c>
      <c r="AG310" s="70">
        <f>'RESUMEN TOTAL'!AN373</f>
        <v>0</v>
      </c>
      <c r="AH310" s="70">
        <f>'RESUMEN TOTAL'!AO373</f>
        <v>0</v>
      </c>
      <c r="AI310" s="70">
        <f>'RESUMEN TOTAL'!AP373</f>
        <v>0</v>
      </c>
    </row>
    <row r="311" spans="1:35" x14ac:dyDescent="0.25">
      <c r="A311" t="str">
        <f>'RESUMEN TOTAL'!A374</f>
        <v>LA SIRENA</v>
      </c>
      <c r="B311" t="str">
        <f>'RESUMEN TOTAL'!B374</f>
        <v>SIR11 (fija 1)</v>
      </c>
      <c r="C311" t="str">
        <f>'RESUMEN TOTAL'!D374</f>
        <v>LARREA Y GUARDIA NACIONAL</v>
      </c>
      <c r="D311" s="30" t="str">
        <f>'RESUMEN TOTAL'!E374</f>
        <v>Fija</v>
      </c>
      <c r="E311" s="30" t="str">
        <f>'RESUMEN TOTAL'!F374</f>
        <v>Fibra Optica</v>
      </c>
      <c r="F311" s="70">
        <f>'RESUMEN TOTAL'!M374</f>
        <v>0</v>
      </c>
      <c r="G311" s="70">
        <f>'RESUMEN TOTAL'!N374</f>
        <v>0</v>
      </c>
      <c r="H311" s="70">
        <f>'RESUMEN TOTAL'!O374</f>
        <v>0</v>
      </c>
      <c r="I311" s="70">
        <f>'RESUMEN TOTAL'!P374</f>
        <v>0</v>
      </c>
      <c r="J311" s="70">
        <f>'RESUMEN TOTAL'!Q374</f>
        <v>0</v>
      </c>
      <c r="K311" s="70">
        <f>'RESUMEN TOTAL'!R374</f>
        <v>0</v>
      </c>
      <c r="L311" s="70">
        <f>'RESUMEN TOTAL'!S374</f>
        <v>0</v>
      </c>
      <c r="M311" s="70">
        <f>'RESUMEN TOTAL'!T374</f>
        <v>0</v>
      </c>
      <c r="N311" s="70">
        <f>'RESUMEN TOTAL'!U374</f>
        <v>0</v>
      </c>
      <c r="O311" s="70">
        <f>'RESUMEN TOTAL'!V374</f>
        <v>0</v>
      </c>
      <c r="P311" s="70">
        <f>'RESUMEN TOTAL'!W374</f>
        <v>0</v>
      </c>
      <c r="Q311" s="70">
        <f>'RESUMEN TOTAL'!X374</f>
        <v>0</v>
      </c>
      <c r="R311" s="70">
        <f>'RESUMEN TOTAL'!Y374</f>
        <v>0</v>
      </c>
      <c r="S311" s="70">
        <f>'RESUMEN TOTAL'!Z374</f>
        <v>0</v>
      </c>
      <c r="T311" s="70">
        <f>'RESUMEN TOTAL'!AA374</f>
        <v>0</v>
      </c>
      <c r="U311" s="70">
        <f>'RESUMEN TOTAL'!AB374</f>
        <v>0</v>
      </c>
      <c r="V311" s="70">
        <f>'RESUMEN TOTAL'!AC374</f>
        <v>0</v>
      </c>
      <c r="W311" s="70">
        <f>'RESUMEN TOTAL'!AD374</f>
        <v>0</v>
      </c>
      <c r="X311" s="70">
        <f>'RESUMEN TOTAL'!AE374</f>
        <v>0</v>
      </c>
      <c r="Y311" s="70">
        <f>'RESUMEN TOTAL'!AF374</f>
        <v>0</v>
      </c>
      <c r="Z311" s="70">
        <f>'RESUMEN TOTAL'!AG374</f>
        <v>0</v>
      </c>
      <c r="AA311" s="70">
        <f>'RESUMEN TOTAL'!AH374</f>
        <v>0</v>
      </c>
      <c r="AB311" s="70">
        <f>'RESUMEN TOTAL'!AI374</f>
        <v>0</v>
      </c>
      <c r="AC311" s="70">
        <f>'RESUMEN TOTAL'!AJ374</f>
        <v>0</v>
      </c>
      <c r="AD311" s="70">
        <f>'RESUMEN TOTAL'!AK374</f>
        <v>0</v>
      </c>
      <c r="AE311" s="70">
        <f>'RESUMEN TOTAL'!AL374</f>
        <v>0</v>
      </c>
      <c r="AF311" s="70">
        <f>'RESUMEN TOTAL'!AM374</f>
        <v>0</v>
      </c>
      <c r="AG311" s="70">
        <f>'RESUMEN TOTAL'!AN374</f>
        <v>0</v>
      </c>
      <c r="AH311" s="70">
        <f>'RESUMEN TOTAL'!AO374</f>
        <v>0</v>
      </c>
      <c r="AI311" s="70">
        <f>'RESUMEN TOTAL'!AP374</f>
        <v>0</v>
      </c>
    </row>
    <row r="312" spans="1:35" x14ac:dyDescent="0.25">
      <c r="A312" t="str">
        <f>'RESUMEN TOTAL'!A375</f>
        <v>LA SIRENA</v>
      </c>
      <c r="B312" t="str">
        <f>'RESUMEN TOTAL'!B375</f>
        <v>SIR12 (fija 2)</v>
      </c>
      <c r="C312" t="str">
        <f>'RESUMEN TOTAL'!D375</f>
        <v>LARREA Y GUARDIA NACIONAL</v>
      </c>
      <c r="D312" s="30" t="str">
        <f>'RESUMEN TOTAL'!E375</f>
        <v>Fija</v>
      </c>
      <c r="E312" s="30" t="str">
        <f>'RESUMEN TOTAL'!F375</f>
        <v>Fibra Optica</v>
      </c>
      <c r="F312" s="70">
        <f>'RESUMEN TOTAL'!M375</f>
        <v>0</v>
      </c>
      <c r="G312" s="70">
        <f>'RESUMEN TOTAL'!N375</f>
        <v>0</v>
      </c>
      <c r="H312" s="70">
        <f>'RESUMEN TOTAL'!O375</f>
        <v>0</v>
      </c>
      <c r="I312" s="70">
        <f>'RESUMEN TOTAL'!P375</f>
        <v>0</v>
      </c>
      <c r="J312" s="70">
        <f>'RESUMEN TOTAL'!Q375</f>
        <v>0</v>
      </c>
      <c r="K312" s="70">
        <f>'RESUMEN TOTAL'!R375</f>
        <v>0</v>
      </c>
      <c r="L312" s="70">
        <f>'RESUMEN TOTAL'!S375</f>
        <v>0</v>
      </c>
      <c r="M312" s="70">
        <f>'RESUMEN TOTAL'!T375</f>
        <v>0</v>
      </c>
      <c r="N312" s="70">
        <f>'RESUMEN TOTAL'!U375</f>
        <v>0</v>
      </c>
      <c r="O312" s="70">
        <f>'RESUMEN TOTAL'!V375</f>
        <v>0</v>
      </c>
      <c r="P312" s="70">
        <f>'RESUMEN TOTAL'!W375</f>
        <v>0</v>
      </c>
      <c r="Q312" s="70">
        <f>'RESUMEN TOTAL'!X375</f>
        <v>0</v>
      </c>
      <c r="R312" s="70">
        <f>'RESUMEN TOTAL'!Y375</f>
        <v>0</v>
      </c>
      <c r="S312" s="70">
        <f>'RESUMEN TOTAL'!Z375</f>
        <v>0</v>
      </c>
      <c r="T312" s="70">
        <f>'RESUMEN TOTAL'!AA375</f>
        <v>0</v>
      </c>
      <c r="U312" s="70">
        <f>'RESUMEN TOTAL'!AB375</f>
        <v>0</v>
      </c>
      <c r="V312" s="70">
        <f>'RESUMEN TOTAL'!AC375</f>
        <v>0</v>
      </c>
      <c r="W312" s="70">
        <f>'RESUMEN TOTAL'!AD375</f>
        <v>0</v>
      </c>
      <c r="X312" s="70">
        <f>'RESUMEN TOTAL'!AE375</f>
        <v>0</v>
      </c>
      <c r="Y312" s="70">
        <f>'RESUMEN TOTAL'!AF375</f>
        <v>0</v>
      </c>
      <c r="Z312" s="70">
        <f>'RESUMEN TOTAL'!AG375</f>
        <v>0</v>
      </c>
      <c r="AA312" s="70">
        <f>'RESUMEN TOTAL'!AH375</f>
        <v>0</v>
      </c>
      <c r="AB312" s="70">
        <f>'RESUMEN TOTAL'!AI375</f>
        <v>0</v>
      </c>
      <c r="AC312" s="70">
        <f>'RESUMEN TOTAL'!AJ375</f>
        <v>0</v>
      </c>
      <c r="AD312" s="70">
        <f>'RESUMEN TOTAL'!AK375</f>
        <v>0</v>
      </c>
      <c r="AE312" s="70">
        <f>'RESUMEN TOTAL'!AL375</f>
        <v>0</v>
      </c>
      <c r="AF312" s="70">
        <f>'RESUMEN TOTAL'!AM375</f>
        <v>0</v>
      </c>
      <c r="AG312" s="70">
        <f>'RESUMEN TOTAL'!AN375</f>
        <v>0</v>
      </c>
      <c r="AH312" s="70">
        <f>'RESUMEN TOTAL'!AO375</f>
        <v>0</v>
      </c>
      <c r="AI312" s="70">
        <f>'RESUMEN TOTAL'!AP375</f>
        <v>0</v>
      </c>
    </row>
    <row r="313" spans="1:35" x14ac:dyDescent="0.25">
      <c r="A313" t="str">
        <f>'RESUMEN TOTAL'!A376</f>
        <v>VILLA AURORA</v>
      </c>
      <c r="B313" t="str">
        <f>'RESUMEN TOTAL'!B376</f>
        <v>SIR 13</v>
      </c>
      <c r="C313" t="str">
        <f>'RESUMEN TOTAL'!D376</f>
        <v>AV MONTEVERDE Y URIBURU</v>
      </c>
      <c r="D313" s="30" t="str">
        <f>'RESUMEN TOTAL'!E376</f>
        <v>Domo</v>
      </c>
      <c r="E313" s="30" t="str">
        <f>'RESUMEN TOTAL'!F376</f>
        <v>Fibra Optica</v>
      </c>
      <c r="F313" s="70">
        <f>'RESUMEN TOTAL'!M376</f>
        <v>0</v>
      </c>
      <c r="G313" s="70">
        <f>'RESUMEN TOTAL'!N376</f>
        <v>0</v>
      </c>
      <c r="H313" s="70">
        <f>'RESUMEN TOTAL'!O376</f>
        <v>0</v>
      </c>
      <c r="I313" s="70">
        <f>'RESUMEN TOTAL'!P376</f>
        <v>0</v>
      </c>
      <c r="J313" s="70">
        <f>'RESUMEN TOTAL'!Q376</f>
        <v>0</v>
      </c>
      <c r="K313" s="70">
        <f>'RESUMEN TOTAL'!R376</f>
        <v>0</v>
      </c>
      <c r="L313" s="70">
        <f>'RESUMEN TOTAL'!S376</f>
        <v>0</v>
      </c>
      <c r="M313" s="70">
        <f>'RESUMEN TOTAL'!T376</f>
        <v>0</v>
      </c>
      <c r="N313" s="70">
        <f>'RESUMEN TOTAL'!U376</f>
        <v>0</v>
      </c>
      <c r="O313" s="70">
        <f>'RESUMEN TOTAL'!V376</f>
        <v>0</v>
      </c>
      <c r="P313" s="70">
        <f>'RESUMEN TOTAL'!W376</f>
        <v>0</v>
      </c>
      <c r="Q313" s="70">
        <f>'RESUMEN TOTAL'!X376</f>
        <v>0</v>
      </c>
      <c r="R313" s="70">
        <f>'RESUMEN TOTAL'!Y376</f>
        <v>0</v>
      </c>
      <c r="S313" s="70">
        <f>'RESUMEN TOTAL'!Z376</f>
        <v>0</v>
      </c>
      <c r="T313" s="70">
        <f>'RESUMEN TOTAL'!AA376</f>
        <v>0</v>
      </c>
      <c r="U313" s="70">
        <f>'RESUMEN TOTAL'!AB376</f>
        <v>0</v>
      </c>
      <c r="V313" s="70">
        <f>'RESUMEN TOTAL'!AC376</f>
        <v>0</v>
      </c>
      <c r="W313" s="70">
        <f>'RESUMEN TOTAL'!AD376</f>
        <v>0</v>
      </c>
      <c r="X313" s="70">
        <f>'RESUMEN TOTAL'!AE376</f>
        <v>0</v>
      </c>
      <c r="Y313" s="70">
        <f>'RESUMEN TOTAL'!AF376</f>
        <v>0</v>
      </c>
      <c r="Z313" s="70">
        <f>'RESUMEN TOTAL'!AG376</f>
        <v>0</v>
      </c>
      <c r="AA313" s="70">
        <f>'RESUMEN TOTAL'!AH376</f>
        <v>0</v>
      </c>
      <c r="AB313" s="70">
        <f>'RESUMEN TOTAL'!AI376</f>
        <v>0</v>
      </c>
      <c r="AC313" s="70">
        <f>'RESUMEN TOTAL'!AJ376</f>
        <v>0</v>
      </c>
      <c r="AD313" s="70">
        <f>'RESUMEN TOTAL'!AK376</f>
        <v>0</v>
      </c>
      <c r="AE313" s="70">
        <f>'RESUMEN TOTAL'!AL376</f>
        <v>0</v>
      </c>
      <c r="AF313" s="70">
        <f>'RESUMEN TOTAL'!AM376</f>
        <v>0</v>
      </c>
      <c r="AG313" s="70">
        <f>'RESUMEN TOTAL'!AN376</f>
        <v>0</v>
      </c>
      <c r="AH313" s="70">
        <f>'RESUMEN TOTAL'!AO376</f>
        <v>0</v>
      </c>
      <c r="AI313" s="70">
        <f>'RESUMEN TOTAL'!AP376</f>
        <v>0</v>
      </c>
    </row>
    <row r="314" spans="1:35" x14ac:dyDescent="0.25">
      <c r="A314" t="str">
        <f>'RESUMEN TOTAL'!A377</f>
        <v>LA SIRENA</v>
      </c>
      <c r="B314" t="str">
        <f>'RESUMEN TOTAL'!B377</f>
        <v>SIR 14</v>
      </c>
      <c r="C314" t="str">
        <f>'RESUMEN TOTAL'!D377</f>
        <v>MANUEL IGLESIAS Y PEDRAZA</v>
      </c>
      <c r="D314" s="30" t="str">
        <f>'RESUMEN TOTAL'!E377</f>
        <v>Domo</v>
      </c>
      <c r="E314" s="30" t="str">
        <f>'RESUMEN TOTAL'!F377</f>
        <v>Fibra Optica</v>
      </c>
      <c r="F314" s="70">
        <f>'RESUMEN TOTAL'!M377</f>
        <v>0</v>
      </c>
      <c r="G314" s="70">
        <f>'RESUMEN TOTAL'!N377</f>
        <v>0</v>
      </c>
      <c r="H314" s="70">
        <f>'RESUMEN TOTAL'!O377</f>
        <v>0</v>
      </c>
      <c r="I314" s="70">
        <f>'RESUMEN TOTAL'!P377</f>
        <v>0</v>
      </c>
      <c r="J314" s="70">
        <f>'RESUMEN TOTAL'!Q377</f>
        <v>0</v>
      </c>
      <c r="K314" s="70">
        <f>'RESUMEN TOTAL'!R377</f>
        <v>0</v>
      </c>
      <c r="L314" s="70">
        <f>'RESUMEN TOTAL'!S377</f>
        <v>0</v>
      </c>
      <c r="M314" s="70">
        <f>'RESUMEN TOTAL'!T377</f>
        <v>0</v>
      </c>
      <c r="N314" s="70">
        <f>'RESUMEN TOTAL'!U377</f>
        <v>0</v>
      </c>
      <c r="O314" s="70">
        <f>'RESUMEN TOTAL'!V377</f>
        <v>0</v>
      </c>
      <c r="P314" s="70">
        <f>'RESUMEN TOTAL'!W377</f>
        <v>0</v>
      </c>
      <c r="Q314" s="70">
        <f>'RESUMEN TOTAL'!X377</f>
        <v>0</v>
      </c>
      <c r="R314" s="70">
        <f>'RESUMEN TOTAL'!Y377</f>
        <v>0</v>
      </c>
      <c r="S314" s="70">
        <f>'RESUMEN TOTAL'!Z377</f>
        <v>0</v>
      </c>
      <c r="T314" s="70" t="str">
        <f>'RESUMEN TOTAL'!AA377</f>
        <v>APAGADO</v>
      </c>
      <c r="U314" s="70" t="str">
        <f>'RESUMEN TOTAL'!AB377</f>
        <v>APAGADO</v>
      </c>
      <c r="V314" s="70" t="str">
        <f>'RESUMEN TOTAL'!AC377</f>
        <v>APAGADO</v>
      </c>
      <c r="W314" s="70" t="str">
        <f>'RESUMEN TOTAL'!AD377</f>
        <v>APAGADO</v>
      </c>
      <c r="X314" s="70" t="str">
        <f>'RESUMEN TOTAL'!AE377</f>
        <v>APAGADO</v>
      </c>
      <c r="Y314" s="70" t="str">
        <f>'RESUMEN TOTAL'!AF377</f>
        <v>APAGADO</v>
      </c>
      <c r="Z314" s="70" t="str">
        <f>'RESUMEN TOTAL'!AG377</f>
        <v>APAGADO</v>
      </c>
      <c r="AA314" s="70" t="str">
        <f>'RESUMEN TOTAL'!AH377</f>
        <v>APAGADO</v>
      </c>
      <c r="AB314" s="70" t="str">
        <f>'RESUMEN TOTAL'!AI377</f>
        <v>APAGADO</v>
      </c>
      <c r="AC314" s="70" t="str">
        <f>'RESUMEN TOTAL'!AJ377</f>
        <v>APAGADO</v>
      </c>
      <c r="AD314" s="70" t="str">
        <f>'RESUMEN TOTAL'!AK377</f>
        <v>APAGADO</v>
      </c>
      <c r="AE314" s="70" t="str">
        <f>'RESUMEN TOTAL'!AL377</f>
        <v>APAGADO</v>
      </c>
      <c r="AF314" s="70">
        <f>'RESUMEN TOTAL'!AM377</f>
        <v>0</v>
      </c>
      <c r="AG314" s="70">
        <f>'RESUMEN TOTAL'!AN377</f>
        <v>0</v>
      </c>
      <c r="AH314" s="70">
        <f>'RESUMEN TOTAL'!AO377</f>
        <v>0</v>
      </c>
      <c r="AI314" s="70">
        <f>'RESUMEN TOTAL'!AP377</f>
        <v>0</v>
      </c>
    </row>
    <row r="315" spans="1:35" x14ac:dyDescent="0.25">
      <c r="A315" t="str">
        <f>'RESUMEN TOTAL'!A378</f>
        <v>LA SIRENA</v>
      </c>
      <c r="B315" t="str">
        <f>'RESUMEN TOTAL'!B378</f>
        <v>SIR 15</v>
      </c>
      <c r="C315" t="str">
        <f>'RESUMEN TOTAL'!D378</f>
        <v>Monteverde y Azara</v>
      </c>
      <c r="D315" s="30" t="str">
        <f>'RESUMEN TOTAL'!E378</f>
        <v>Domo</v>
      </c>
      <c r="E315" s="30" t="str">
        <f>'RESUMEN TOTAL'!F378</f>
        <v>Fibra Optica</v>
      </c>
      <c r="F315" s="70" t="str">
        <f>'RESUMEN TOTAL'!M378</f>
        <v>APAGADO</v>
      </c>
      <c r="G315" s="70">
        <f>'RESUMEN TOTAL'!N378</f>
        <v>0</v>
      </c>
      <c r="H315" s="70">
        <f>'RESUMEN TOTAL'!O378</f>
        <v>0</v>
      </c>
      <c r="I315" s="70">
        <f>'RESUMEN TOTAL'!P378</f>
        <v>0</v>
      </c>
      <c r="J315" s="70">
        <f>'RESUMEN TOTAL'!Q378</f>
        <v>0</v>
      </c>
      <c r="K315" s="70">
        <f>'RESUMEN TOTAL'!R378</f>
        <v>0</v>
      </c>
      <c r="L315" s="70">
        <f>'RESUMEN TOTAL'!S378</f>
        <v>0</v>
      </c>
      <c r="M315" s="70">
        <f>'RESUMEN TOTAL'!T378</f>
        <v>0</v>
      </c>
      <c r="N315" s="70">
        <f>'RESUMEN TOTAL'!U378</f>
        <v>0</v>
      </c>
      <c r="O315" s="70">
        <f>'RESUMEN TOTAL'!V378</f>
        <v>0</v>
      </c>
      <c r="P315" s="70">
        <f>'RESUMEN TOTAL'!W378</f>
        <v>0</v>
      </c>
      <c r="Q315" s="70">
        <f>'RESUMEN TOTAL'!X378</f>
        <v>0</v>
      </c>
      <c r="R315" s="70">
        <f>'RESUMEN TOTAL'!Y378</f>
        <v>0</v>
      </c>
      <c r="S315" s="70">
        <f>'RESUMEN TOTAL'!Z378</f>
        <v>0</v>
      </c>
      <c r="T315" s="70">
        <f>'RESUMEN TOTAL'!AA378</f>
        <v>0</v>
      </c>
      <c r="U315" s="70">
        <f>'RESUMEN TOTAL'!AB378</f>
        <v>0</v>
      </c>
      <c r="V315" s="70">
        <f>'RESUMEN TOTAL'!AC378</f>
        <v>0</v>
      </c>
      <c r="W315" s="70">
        <f>'RESUMEN TOTAL'!AD378</f>
        <v>0</v>
      </c>
      <c r="X315" s="70">
        <f>'RESUMEN TOTAL'!AE378</f>
        <v>0</v>
      </c>
      <c r="Y315" s="70">
        <f>'RESUMEN TOTAL'!AF378</f>
        <v>0</v>
      </c>
      <c r="Z315" s="70">
        <f>'RESUMEN TOTAL'!AG378</f>
        <v>0</v>
      </c>
      <c r="AA315" s="70" t="str">
        <f>'RESUMEN TOTAL'!AH378</f>
        <v>APAGADO</v>
      </c>
      <c r="AB315" s="70">
        <f>'RESUMEN TOTAL'!AI378</f>
        <v>0</v>
      </c>
      <c r="AC315" s="70">
        <f>'RESUMEN TOTAL'!AJ378</f>
        <v>0</v>
      </c>
      <c r="AD315" s="70">
        <f>'RESUMEN TOTAL'!AK378</f>
        <v>0</v>
      </c>
      <c r="AE315" s="70">
        <f>'RESUMEN TOTAL'!AL378</f>
        <v>0</v>
      </c>
      <c r="AF315" s="70">
        <f>'RESUMEN TOTAL'!AM378</f>
        <v>0</v>
      </c>
      <c r="AG315" s="70">
        <f>'RESUMEN TOTAL'!AN378</f>
        <v>0</v>
      </c>
      <c r="AH315" s="70">
        <f>'RESUMEN TOTAL'!AO378</f>
        <v>0</v>
      </c>
      <c r="AI315" s="70">
        <f>'RESUMEN TOTAL'!AP378</f>
        <v>0</v>
      </c>
    </row>
    <row r="316" spans="1:35" x14ac:dyDescent="0.25">
      <c r="A316" t="str">
        <f>'RESUMEN TOTAL'!A383</f>
        <v>SAN JORGE</v>
      </c>
      <c r="B316" t="str">
        <f>'RESUMEN TOTAL'!B383</f>
        <v>SJO 03</v>
      </c>
      <c r="C316" t="str">
        <f>'RESUMEN TOTAL'!D383</f>
        <v>517 Y 580</v>
      </c>
      <c r="D316" s="30" t="str">
        <f>'RESUMEN TOTAL'!E383</f>
        <v>DOMO</v>
      </c>
      <c r="E316" s="30" t="str">
        <f>'RESUMEN TOTAL'!F383</f>
        <v>Radio</v>
      </c>
      <c r="F316" s="70" t="str">
        <f>'RESUMEN TOTAL'!M383</f>
        <v>APAGADO</v>
      </c>
      <c r="G316" s="70">
        <f>'RESUMEN TOTAL'!N383</f>
        <v>0</v>
      </c>
      <c r="H316" s="70">
        <f>'RESUMEN TOTAL'!O383</f>
        <v>0</v>
      </c>
      <c r="I316" s="70" t="str">
        <f>'RESUMEN TOTAL'!P383</f>
        <v>APAGADO</v>
      </c>
      <c r="J316" s="70" t="str">
        <f>'RESUMEN TOTAL'!Q383</f>
        <v>APAGADO</v>
      </c>
      <c r="K316" s="70" t="str">
        <f>'RESUMEN TOTAL'!R383</f>
        <v>APAGADO</v>
      </c>
      <c r="L316" s="70">
        <f>'RESUMEN TOTAL'!S383</f>
        <v>0</v>
      </c>
      <c r="M316" s="70">
        <f>'RESUMEN TOTAL'!T383</f>
        <v>0</v>
      </c>
      <c r="N316" s="70">
        <f>'RESUMEN TOTAL'!U383</f>
        <v>0</v>
      </c>
      <c r="O316" s="70">
        <f>'RESUMEN TOTAL'!V383</f>
        <v>0</v>
      </c>
      <c r="P316" s="70">
        <f>'RESUMEN TOTAL'!W383</f>
        <v>0</v>
      </c>
      <c r="Q316" s="70">
        <f>'RESUMEN TOTAL'!X383</f>
        <v>0</v>
      </c>
      <c r="R316" s="70">
        <f>'RESUMEN TOTAL'!Y383</f>
        <v>0</v>
      </c>
      <c r="S316" s="70">
        <f>'RESUMEN TOTAL'!Z383</f>
        <v>0</v>
      </c>
      <c r="T316" s="70">
        <f>'RESUMEN TOTAL'!AA383</f>
        <v>0</v>
      </c>
      <c r="U316" s="70" t="str">
        <f>'RESUMEN TOTAL'!AB383</f>
        <v>APAGADO</v>
      </c>
      <c r="V316" s="70" t="str">
        <f>'RESUMEN TOTAL'!AC383</f>
        <v>APAGADO</v>
      </c>
      <c r="W316" s="70" t="str">
        <f>'RESUMEN TOTAL'!AD383</f>
        <v>APAGADO</v>
      </c>
      <c r="X316" s="70" t="str">
        <f>'RESUMEN TOTAL'!AE383</f>
        <v>APAGADO</v>
      </c>
      <c r="Y316" s="70" t="str">
        <f>'RESUMEN TOTAL'!AF383</f>
        <v>APAGADO</v>
      </c>
      <c r="Z316" s="70" t="str">
        <f>'RESUMEN TOTAL'!AG383</f>
        <v>APAGADO</v>
      </c>
      <c r="AA316" s="70" t="str">
        <f>'RESUMEN TOTAL'!AH383</f>
        <v>APAGADO</v>
      </c>
      <c r="AB316" s="70" t="str">
        <f>'RESUMEN TOTAL'!AI383</f>
        <v>APAGADO</v>
      </c>
      <c r="AC316" s="70" t="str">
        <f>'RESUMEN TOTAL'!AJ383</f>
        <v>APAGADO</v>
      </c>
      <c r="AD316" s="70">
        <f>'RESUMEN TOTAL'!AK383</f>
        <v>0</v>
      </c>
      <c r="AE316" s="70">
        <f>'RESUMEN TOTAL'!AL383</f>
        <v>0</v>
      </c>
      <c r="AF316" s="70">
        <f>'RESUMEN TOTAL'!AM383</f>
        <v>0</v>
      </c>
      <c r="AG316" s="70">
        <f>'RESUMEN TOTAL'!AN383</f>
        <v>0</v>
      </c>
      <c r="AH316" s="70">
        <f>'RESUMEN TOTAL'!AO383</f>
        <v>0</v>
      </c>
      <c r="AI316" s="70">
        <f>'RESUMEN TOTAL'!AP383</f>
        <v>0</v>
      </c>
    </row>
    <row r="317" spans="1:35" x14ac:dyDescent="0.25">
      <c r="A317" t="str">
        <f>'RESUMEN TOTAL'!A384</f>
        <v>SAN JORGE</v>
      </c>
      <c r="B317" t="str">
        <f>'RESUMEN TOTAL'!B384</f>
        <v>SJO 04</v>
      </c>
      <c r="C317" t="str">
        <f>'RESUMEN TOTAL'!D384</f>
        <v>552 Y 519</v>
      </c>
      <c r="D317" s="30" t="str">
        <f>'RESUMEN TOTAL'!E384</f>
        <v>DOMO</v>
      </c>
      <c r="E317" s="30" t="str">
        <f>'RESUMEN TOTAL'!F384</f>
        <v>GPON</v>
      </c>
      <c r="F317" s="70">
        <f>'RESUMEN TOTAL'!M384</f>
        <v>0</v>
      </c>
      <c r="G317" s="70">
        <f>'RESUMEN TOTAL'!N384</f>
        <v>0</v>
      </c>
      <c r="H317" s="70">
        <f>'RESUMEN TOTAL'!P384</f>
        <v>0</v>
      </c>
      <c r="I317" s="70" t="e">
        <f>'RESUMEN TOTAL'!#REF!</f>
        <v>#REF!</v>
      </c>
      <c r="J317" s="70">
        <f>'RESUMEN TOTAL'!Q384</f>
        <v>0</v>
      </c>
      <c r="K317" s="70">
        <f>'RESUMEN TOTAL'!R384</f>
        <v>0</v>
      </c>
      <c r="L317" s="70">
        <f>'RESUMEN TOTAL'!S384</f>
        <v>0</v>
      </c>
      <c r="M317" s="70">
        <f>'RESUMEN TOTAL'!T384</f>
        <v>0</v>
      </c>
      <c r="N317" s="70">
        <f>'RESUMEN TOTAL'!U384</f>
        <v>0</v>
      </c>
      <c r="O317" s="70">
        <f>'RESUMEN TOTAL'!V384</f>
        <v>0</v>
      </c>
      <c r="P317" s="70">
        <f>'RESUMEN TOTAL'!W384</f>
        <v>0</v>
      </c>
      <c r="Q317" s="70">
        <f>'RESUMEN TOTAL'!X384</f>
        <v>0</v>
      </c>
      <c r="R317" s="70">
        <f>'RESUMEN TOTAL'!Y384</f>
        <v>0</v>
      </c>
      <c r="S317" s="70">
        <f>'RESUMEN TOTAL'!Z384</f>
        <v>0</v>
      </c>
      <c r="T317" s="70">
        <f>'RESUMEN TOTAL'!AA384</f>
        <v>0</v>
      </c>
      <c r="U317" s="70">
        <f>'RESUMEN TOTAL'!AB384</f>
        <v>0</v>
      </c>
      <c r="V317" s="70">
        <f>'RESUMEN TOTAL'!AC384</f>
        <v>0</v>
      </c>
      <c r="W317" s="70">
        <f>'RESUMEN TOTAL'!AD384</f>
        <v>0</v>
      </c>
      <c r="X317" s="70">
        <f>'RESUMEN TOTAL'!AE384</f>
        <v>0</v>
      </c>
      <c r="Y317" s="70">
        <f>'RESUMEN TOTAL'!AF384</f>
        <v>0</v>
      </c>
      <c r="Z317" s="70">
        <f>'RESUMEN TOTAL'!AG384</f>
        <v>0</v>
      </c>
      <c r="AA317" s="70">
        <f>'RESUMEN TOTAL'!AH384</f>
        <v>0</v>
      </c>
      <c r="AB317" s="70">
        <f>'RESUMEN TOTAL'!AI384</f>
        <v>0</v>
      </c>
      <c r="AC317" s="70">
        <f>'RESUMEN TOTAL'!AJ384</f>
        <v>0</v>
      </c>
      <c r="AD317" s="70">
        <f>'RESUMEN TOTAL'!AK384</f>
        <v>0</v>
      </c>
      <c r="AE317" s="70">
        <f>'RESUMEN TOTAL'!AL384</f>
        <v>0</v>
      </c>
      <c r="AF317" s="70">
        <f>'RESUMEN TOTAL'!AM384</f>
        <v>0</v>
      </c>
      <c r="AG317" s="70">
        <f>'RESUMEN TOTAL'!AN384</f>
        <v>0</v>
      </c>
      <c r="AH317" s="70">
        <f>'RESUMEN TOTAL'!AO384</f>
        <v>0</v>
      </c>
      <c r="AI317" s="70">
        <f>'RESUMEN TOTAL'!AP384</f>
        <v>0</v>
      </c>
    </row>
    <row r="318" spans="1:35" x14ac:dyDescent="0.25">
      <c r="A318" t="str">
        <f>'RESUMEN TOTAL'!A385</f>
        <v>SAN JORGE</v>
      </c>
      <c r="B318" t="str">
        <f>'RESUMEN TOTAL'!B385</f>
        <v>SJO 09 (FIJA 1)</v>
      </c>
      <c r="C318" t="str">
        <f>'RESUMEN TOTAL'!D385</f>
        <v>515 Y 566</v>
      </c>
      <c r="D318" s="30" t="str">
        <f>'RESUMEN TOTAL'!E385</f>
        <v>Fija</v>
      </c>
      <c r="E318" s="30" t="str">
        <f>'RESUMEN TOTAL'!F385</f>
        <v>Radio</v>
      </c>
      <c r="F318" s="70">
        <f>'RESUMEN TOTAL'!M385</f>
        <v>0</v>
      </c>
      <c r="G318" s="70">
        <f>'RESUMEN TOTAL'!N385</f>
        <v>0</v>
      </c>
      <c r="H318" s="70">
        <f>'RESUMEN TOTAL'!O385</f>
        <v>0</v>
      </c>
      <c r="I318" s="70">
        <f>'RESUMEN TOTAL'!P385</f>
        <v>0</v>
      </c>
      <c r="J318" s="70">
        <f>'RESUMEN TOTAL'!Q385</f>
        <v>0</v>
      </c>
      <c r="K318" s="70">
        <f>'RESUMEN TOTAL'!R385</f>
        <v>0</v>
      </c>
      <c r="L318" s="70">
        <f>'RESUMEN TOTAL'!S385</f>
        <v>0</v>
      </c>
      <c r="M318" s="70">
        <f>'RESUMEN TOTAL'!T385</f>
        <v>0</v>
      </c>
      <c r="N318" s="70">
        <f>'RESUMEN TOTAL'!U385</f>
        <v>0</v>
      </c>
      <c r="O318" s="70">
        <f>'RESUMEN TOTAL'!V385</f>
        <v>0</v>
      </c>
      <c r="P318" s="70">
        <f>'RESUMEN TOTAL'!W385</f>
        <v>0</v>
      </c>
      <c r="Q318" s="70">
        <f>'RESUMEN TOTAL'!X385</f>
        <v>0</v>
      </c>
      <c r="R318" s="70">
        <f>'RESUMEN TOTAL'!Y385</f>
        <v>0</v>
      </c>
      <c r="S318" s="70">
        <f>'RESUMEN TOTAL'!Z385</f>
        <v>0</v>
      </c>
      <c r="T318" s="70">
        <f>'RESUMEN TOTAL'!AA385</f>
        <v>0</v>
      </c>
      <c r="U318" s="70">
        <f>'RESUMEN TOTAL'!AB385</f>
        <v>0</v>
      </c>
      <c r="V318" s="70">
        <f>'RESUMEN TOTAL'!AC385</f>
        <v>0</v>
      </c>
      <c r="W318" s="70">
        <f>'RESUMEN TOTAL'!AD385</f>
        <v>0</v>
      </c>
      <c r="X318" s="70">
        <f>'RESUMEN TOTAL'!AE385</f>
        <v>0</v>
      </c>
      <c r="Y318" s="70">
        <f>'RESUMEN TOTAL'!AF385</f>
        <v>0</v>
      </c>
      <c r="Z318" s="70">
        <f>'RESUMEN TOTAL'!AG385</f>
        <v>0</v>
      </c>
      <c r="AA318" s="70">
        <f>'RESUMEN TOTAL'!AH385</f>
        <v>0</v>
      </c>
      <c r="AB318" s="70">
        <f>'RESUMEN TOTAL'!AI385</f>
        <v>0</v>
      </c>
      <c r="AC318" s="70">
        <f>'RESUMEN TOTAL'!AJ385</f>
        <v>0</v>
      </c>
      <c r="AD318" s="70">
        <f>'RESUMEN TOTAL'!AK385</f>
        <v>0</v>
      </c>
      <c r="AE318" s="70">
        <f>'RESUMEN TOTAL'!AL385</f>
        <v>0</v>
      </c>
      <c r="AF318" s="70">
        <f>'RESUMEN TOTAL'!AM385</f>
        <v>0</v>
      </c>
      <c r="AG318" s="70">
        <f>'RESUMEN TOTAL'!AN385</f>
        <v>0</v>
      </c>
      <c r="AH318" s="70">
        <f>'RESUMEN TOTAL'!AO385</f>
        <v>0</v>
      </c>
      <c r="AI318" s="70">
        <f>'RESUMEN TOTAL'!AP385</f>
        <v>0</v>
      </c>
    </row>
    <row r="319" spans="1:35" x14ac:dyDescent="0.25">
      <c r="A319" t="str">
        <f>'RESUMEN TOTAL'!A386</f>
        <v>SAN JORGE</v>
      </c>
      <c r="B319" t="str">
        <f>'RESUMEN TOTAL'!B386</f>
        <v>SJO 10 (FIJA 2)</v>
      </c>
      <c r="C319" t="str">
        <f>'RESUMEN TOTAL'!D386</f>
        <v>515 Y 566</v>
      </c>
      <c r="D319" s="30" t="str">
        <f>'RESUMEN TOTAL'!E386</f>
        <v>Fija</v>
      </c>
      <c r="E319" s="30" t="str">
        <f>'RESUMEN TOTAL'!F386</f>
        <v>Radio</v>
      </c>
      <c r="F319" s="70">
        <f>'RESUMEN TOTAL'!M386</f>
        <v>0</v>
      </c>
      <c r="G319" s="70">
        <f>'RESUMEN TOTAL'!N386</f>
        <v>0</v>
      </c>
      <c r="H319" s="70">
        <f>'RESUMEN TOTAL'!O386</f>
        <v>0</v>
      </c>
      <c r="I319" s="70">
        <f>'RESUMEN TOTAL'!P386</f>
        <v>0</v>
      </c>
      <c r="J319" s="70">
        <f>'RESUMEN TOTAL'!Q386</f>
        <v>0</v>
      </c>
      <c r="K319" s="70">
        <f>'RESUMEN TOTAL'!R386</f>
        <v>0</v>
      </c>
      <c r="L319" s="70">
        <f>'RESUMEN TOTAL'!S386</f>
        <v>0</v>
      </c>
      <c r="M319" s="70">
        <f>'RESUMEN TOTAL'!T386</f>
        <v>0</v>
      </c>
      <c r="N319" s="70">
        <f>'RESUMEN TOTAL'!U386</f>
        <v>0</v>
      </c>
      <c r="O319" s="70">
        <f>'RESUMEN TOTAL'!V386</f>
        <v>0</v>
      </c>
      <c r="P319" s="70">
        <f>'RESUMEN TOTAL'!W386</f>
        <v>0</v>
      </c>
      <c r="Q319" s="70">
        <f>'RESUMEN TOTAL'!X386</f>
        <v>0</v>
      </c>
      <c r="R319" s="70">
        <f>'RESUMEN TOTAL'!Y386</f>
        <v>0</v>
      </c>
      <c r="S319" s="70">
        <f>'RESUMEN TOTAL'!Z386</f>
        <v>0</v>
      </c>
      <c r="T319" s="70">
        <f>'RESUMEN TOTAL'!AA386</f>
        <v>0</v>
      </c>
      <c r="U319" s="70">
        <f>'RESUMEN TOTAL'!AB386</f>
        <v>0</v>
      </c>
      <c r="V319" s="70">
        <f>'RESUMEN TOTAL'!AC386</f>
        <v>0</v>
      </c>
      <c r="W319" s="70">
        <f>'RESUMEN TOTAL'!AD386</f>
        <v>0</v>
      </c>
      <c r="X319" s="70">
        <f>'RESUMEN TOTAL'!AE386</f>
        <v>0</v>
      </c>
      <c r="Y319" s="70">
        <f>'RESUMEN TOTAL'!AF386</f>
        <v>0</v>
      </c>
      <c r="Z319" s="70">
        <f>'RESUMEN TOTAL'!AG386</f>
        <v>0</v>
      </c>
      <c r="AA319" s="70">
        <f>'RESUMEN TOTAL'!AH386</f>
        <v>0</v>
      </c>
      <c r="AB319" s="70">
        <f>'RESUMEN TOTAL'!AI386</f>
        <v>0</v>
      </c>
      <c r="AC319" s="70">
        <f>'RESUMEN TOTAL'!AJ386</f>
        <v>0</v>
      </c>
      <c r="AD319" s="70">
        <f>'RESUMEN TOTAL'!AK386</f>
        <v>0</v>
      </c>
      <c r="AE319" s="70">
        <f>'RESUMEN TOTAL'!AL386</f>
        <v>0</v>
      </c>
      <c r="AF319" s="70">
        <f>'RESUMEN TOTAL'!AM386</f>
        <v>0</v>
      </c>
      <c r="AG319" s="70">
        <f>'RESUMEN TOTAL'!AN386</f>
        <v>0</v>
      </c>
      <c r="AH319" s="70">
        <f>'RESUMEN TOTAL'!AO386</f>
        <v>0</v>
      </c>
      <c r="AI319" s="70">
        <f>'RESUMEN TOTAL'!AP386</f>
        <v>0</v>
      </c>
    </row>
    <row r="320" spans="1:35" x14ac:dyDescent="0.25">
      <c r="A320" t="str">
        <f>'RESUMEN TOTAL'!A387</f>
        <v>SAN JORGE</v>
      </c>
      <c r="B320" t="str">
        <f>'RESUMEN TOTAL'!B387</f>
        <v>SJO01</v>
      </c>
      <c r="C320" t="str">
        <f>'RESUMEN TOTAL'!D387</f>
        <v>Calle 554 y 527</v>
      </c>
      <c r="D320" s="30" t="str">
        <f>'RESUMEN TOTAL'!E387</f>
        <v>Domo</v>
      </c>
      <c r="E320" s="30" t="str">
        <f>'RESUMEN TOTAL'!F387</f>
        <v>PTO A FO</v>
      </c>
      <c r="F320" s="70">
        <f>'RESUMEN TOTAL'!M387</f>
        <v>0</v>
      </c>
      <c r="G320" s="70">
        <f>'RESUMEN TOTAL'!N387</f>
        <v>0</v>
      </c>
      <c r="H320" s="70">
        <f>'RESUMEN TOTAL'!O387</f>
        <v>0</v>
      </c>
      <c r="I320" s="70">
        <f>'RESUMEN TOTAL'!P387</f>
        <v>0</v>
      </c>
      <c r="J320" s="70">
        <f>'RESUMEN TOTAL'!Q387</f>
        <v>0</v>
      </c>
      <c r="K320" s="70">
        <f>'RESUMEN TOTAL'!R387</f>
        <v>0</v>
      </c>
      <c r="L320" s="70">
        <f>'RESUMEN TOTAL'!S387</f>
        <v>0</v>
      </c>
      <c r="M320" s="70">
        <f>'RESUMEN TOTAL'!T387</f>
        <v>0</v>
      </c>
      <c r="N320" s="70">
        <f>'RESUMEN TOTAL'!U387</f>
        <v>0</v>
      </c>
      <c r="O320" s="70">
        <f>'RESUMEN TOTAL'!V387</f>
        <v>0</v>
      </c>
      <c r="P320" s="70">
        <f>'RESUMEN TOTAL'!W387</f>
        <v>0</v>
      </c>
      <c r="Q320" s="70">
        <f>'RESUMEN TOTAL'!X387</f>
        <v>0</v>
      </c>
      <c r="R320" s="70">
        <f>'RESUMEN TOTAL'!Y387</f>
        <v>0</v>
      </c>
      <c r="S320" s="70">
        <f>'RESUMEN TOTAL'!Z387</f>
        <v>0</v>
      </c>
      <c r="T320" s="70">
        <f>'RESUMEN TOTAL'!AA387</f>
        <v>0</v>
      </c>
      <c r="U320" s="70">
        <f>'RESUMEN TOTAL'!AB387</f>
        <v>0</v>
      </c>
      <c r="V320" s="70">
        <f>'RESUMEN TOTAL'!AC387</f>
        <v>0</v>
      </c>
      <c r="W320" s="70">
        <f>'RESUMEN TOTAL'!AD387</f>
        <v>0</v>
      </c>
      <c r="X320" s="70">
        <f>'RESUMEN TOTAL'!AE387</f>
        <v>0</v>
      </c>
      <c r="Y320" s="70">
        <f>'RESUMEN TOTAL'!AF387</f>
        <v>0</v>
      </c>
      <c r="Z320" s="70">
        <f>'RESUMEN TOTAL'!AG387</f>
        <v>0</v>
      </c>
      <c r="AA320" s="70">
        <f>'RESUMEN TOTAL'!AH387</f>
        <v>0</v>
      </c>
      <c r="AB320" s="70">
        <f>'RESUMEN TOTAL'!AI387</f>
        <v>0</v>
      </c>
      <c r="AC320" s="70">
        <f>'RESUMEN TOTAL'!AJ387</f>
        <v>0</v>
      </c>
      <c r="AD320" s="70">
        <f>'RESUMEN TOTAL'!AK387</f>
        <v>0</v>
      </c>
      <c r="AE320" s="70" t="str">
        <f>'RESUMEN TOTAL'!AL387</f>
        <v>APAGADO</v>
      </c>
      <c r="AF320" s="70">
        <f>'RESUMEN TOTAL'!AM387</f>
        <v>0</v>
      </c>
      <c r="AG320" s="70">
        <f>'RESUMEN TOTAL'!AN387</f>
        <v>0</v>
      </c>
      <c r="AH320" s="70">
        <f>'RESUMEN TOTAL'!AO387</f>
        <v>0</v>
      </c>
      <c r="AI320" s="70">
        <f>'RESUMEN TOTAL'!AP387</f>
        <v>0</v>
      </c>
    </row>
    <row r="321" spans="1:35" x14ac:dyDescent="0.25">
      <c r="A321" t="str">
        <f>'RESUMEN TOTAL'!A388</f>
        <v>SAN JORGE</v>
      </c>
      <c r="B321" t="str">
        <f>'RESUMEN TOTAL'!B388</f>
        <v>SJO02</v>
      </c>
      <c r="C321" t="str">
        <f>'RESUMEN TOTAL'!D388</f>
        <v>Calle 554 y 511</v>
      </c>
      <c r="D321" s="30" t="str">
        <f>'RESUMEN TOTAL'!E388</f>
        <v>Domo</v>
      </c>
      <c r="E321" s="30" t="str">
        <f>'RESUMEN TOTAL'!F388</f>
        <v>Radio</v>
      </c>
      <c r="F321" s="70">
        <f>'RESUMEN TOTAL'!M388</f>
        <v>0</v>
      </c>
      <c r="G321" s="70">
        <f>'RESUMEN TOTAL'!N388</f>
        <v>0</v>
      </c>
      <c r="H321" s="70">
        <f>'RESUMEN TOTAL'!P388</f>
        <v>0</v>
      </c>
      <c r="I321" s="70" t="e">
        <f>'RESUMEN TOTAL'!#REF!</f>
        <v>#REF!</v>
      </c>
      <c r="J321" s="70">
        <f>'RESUMEN TOTAL'!Q388</f>
        <v>0</v>
      </c>
      <c r="K321" s="70">
        <f>'RESUMEN TOTAL'!R388</f>
        <v>0</v>
      </c>
      <c r="L321" s="70">
        <f>'RESUMEN TOTAL'!S388</f>
        <v>0</v>
      </c>
      <c r="M321" s="70">
        <f>'RESUMEN TOTAL'!T388</f>
        <v>0</v>
      </c>
      <c r="N321" s="70">
        <f>'RESUMEN TOTAL'!U388</f>
        <v>0</v>
      </c>
      <c r="O321" s="70">
        <f>'RESUMEN TOTAL'!V388</f>
        <v>0</v>
      </c>
      <c r="P321" s="70">
        <f>'RESUMEN TOTAL'!W388</f>
        <v>0</v>
      </c>
      <c r="Q321" s="70">
        <f>'RESUMEN TOTAL'!X388</f>
        <v>0</v>
      </c>
      <c r="R321" s="70">
        <f>'RESUMEN TOTAL'!Y388</f>
        <v>0</v>
      </c>
      <c r="S321" s="70">
        <f>'RESUMEN TOTAL'!Z388</f>
        <v>0</v>
      </c>
      <c r="T321" s="70">
        <f>'RESUMEN TOTAL'!AA388</f>
        <v>0</v>
      </c>
      <c r="U321" s="70">
        <f>'RESUMEN TOTAL'!AB388</f>
        <v>0</v>
      </c>
      <c r="V321" s="70">
        <f>'RESUMEN TOTAL'!AC388</f>
        <v>0</v>
      </c>
      <c r="W321" s="70">
        <f>'RESUMEN TOTAL'!AD388</f>
        <v>0</v>
      </c>
      <c r="X321" s="70">
        <f>'RESUMEN TOTAL'!AE388</f>
        <v>0</v>
      </c>
      <c r="Y321" s="70">
        <f>'RESUMEN TOTAL'!AF388</f>
        <v>0</v>
      </c>
      <c r="Z321" s="70">
        <f>'RESUMEN TOTAL'!AG388</f>
        <v>0</v>
      </c>
      <c r="AA321" s="70">
        <f>'RESUMEN TOTAL'!AH388</f>
        <v>0</v>
      </c>
      <c r="AB321" s="70">
        <f>'RESUMEN TOTAL'!AI388</f>
        <v>0</v>
      </c>
      <c r="AC321" s="70">
        <f>'RESUMEN TOTAL'!AJ388</f>
        <v>0</v>
      </c>
      <c r="AD321" s="70">
        <f>'RESUMEN TOTAL'!AK388</f>
        <v>0</v>
      </c>
      <c r="AE321" s="70">
        <f>'RESUMEN TOTAL'!AL388</f>
        <v>0</v>
      </c>
      <c r="AF321" s="70">
        <f>'RESUMEN TOTAL'!AM388</f>
        <v>0</v>
      </c>
      <c r="AG321" s="70">
        <f>'RESUMEN TOTAL'!AN388</f>
        <v>0</v>
      </c>
      <c r="AH321" s="70">
        <f>'RESUMEN TOTAL'!AO388</f>
        <v>0</v>
      </c>
      <c r="AI321" s="70">
        <f>'RESUMEN TOTAL'!AP388</f>
        <v>0</v>
      </c>
    </row>
    <row r="322" spans="1:35" x14ac:dyDescent="0.25">
      <c r="A322" t="str">
        <f>'RESUMEN TOTAL'!A389</f>
        <v>SAN JORGE</v>
      </c>
      <c r="B322" t="str">
        <f>'RESUMEN TOTAL'!B389</f>
        <v>SJO05 (fija 1)</v>
      </c>
      <c r="C322" t="str">
        <f>'RESUMEN TOTAL'!D389</f>
        <v>511 Y 560</v>
      </c>
      <c r="D322" s="30" t="str">
        <f>'RESUMEN TOTAL'!E389</f>
        <v>Fija</v>
      </c>
      <c r="E322" s="30" t="str">
        <f>'RESUMEN TOTAL'!F389</f>
        <v>Fibra Optica</v>
      </c>
      <c r="F322" s="70" t="str">
        <f>'RESUMEN TOTAL'!M389</f>
        <v>APAGADO</v>
      </c>
      <c r="G322" s="70" t="str">
        <f>'RESUMEN TOTAL'!N389</f>
        <v>APAGADO</v>
      </c>
      <c r="H322" s="70" t="str">
        <f>'RESUMEN TOTAL'!P389</f>
        <v>APAGADO</v>
      </c>
      <c r="I322" s="70" t="e">
        <f>'RESUMEN TOTAL'!#REF!</f>
        <v>#REF!</v>
      </c>
      <c r="J322" s="70" t="str">
        <f>'RESUMEN TOTAL'!Q389</f>
        <v>APAGADO</v>
      </c>
      <c r="K322" s="70" t="str">
        <f>'RESUMEN TOTAL'!R389</f>
        <v>APAGADO</v>
      </c>
      <c r="L322" s="70" t="str">
        <f>'RESUMEN TOTAL'!S389</f>
        <v>APAGADO</v>
      </c>
      <c r="M322" s="70" t="str">
        <f>'RESUMEN TOTAL'!T389</f>
        <v>APAGADO</v>
      </c>
      <c r="N322" s="70" t="str">
        <f>'RESUMEN TOTAL'!U389</f>
        <v>APAGADO</v>
      </c>
      <c r="O322" s="70" t="str">
        <f>'RESUMEN TOTAL'!V389</f>
        <v>APAGADO</v>
      </c>
      <c r="P322" s="70" t="str">
        <f>'RESUMEN TOTAL'!W389</f>
        <v>APAGADO</v>
      </c>
      <c r="Q322" s="70" t="str">
        <f>'RESUMEN TOTAL'!X389</f>
        <v>APAGADO</v>
      </c>
      <c r="R322" s="70" t="str">
        <f>'RESUMEN TOTAL'!Y389</f>
        <v>APAGADO</v>
      </c>
      <c r="S322" s="70" t="str">
        <f>'RESUMEN TOTAL'!Z389</f>
        <v>APAGADO</v>
      </c>
      <c r="T322" s="70" t="str">
        <f>'RESUMEN TOTAL'!AA389</f>
        <v>APAGADO</v>
      </c>
      <c r="U322" s="70" t="str">
        <f>'RESUMEN TOTAL'!AB389</f>
        <v>APAGADO</v>
      </c>
      <c r="V322" s="70" t="str">
        <f>'RESUMEN TOTAL'!AC389</f>
        <v>APAGADO</v>
      </c>
      <c r="W322" s="70" t="str">
        <f>'RESUMEN TOTAL'!AD389</f>
        <v>APAGADO</v>
      </c>
      <c r="X322" s="70" t="str">
        <f>'RESUMEN TOTAL'!AE389</f>
        <v>APAGADO</v>
      </c>
      <c r="Y322" s="70" t="str">
        <f>'RESUMEN TOTAL'!AF389</f>
        <v>APAGADO</v>
      </c>
      <c r="Z322" s="70" t="str">
        <f>'RESUMEN TOTAL'!AG389</f>
        <v>APAGADO</v>
      </c>
      <c r="AA322" s="70" t="str">
        <f>'RESUMEN TOTAL'!AH389</f>
        <v>APAGADO</v>
      </c>
      <c r="AB322" s="70" t="str">
        <f>'RESUMEN TOTAL'!AI389</f>
        <v>APAGADO</v>
      </c>
      <c r="AC322" s="70" t="str">
        <f>'RESUMEN TOTAL'!AJ389</f>
        <v>APAGADO</v>
      </c>
      <c r="AD322" s="70" t="str">
        <f>'RESUMEN TOTAL'!AK389</f>
        <v>APAGADO</v>
      </c>
      <c r="AE322" s="70" t="str">
        <f>'RESUMEN TOTAL'!AL389</f>
        <v>APAGADO</v>
      </c>
      <c r="AF322" s="70">
        <f>'RESUMEN TOTAL'!AM389</f>
        <v>0</v>
      </c>
      <c r="AG322" s="70">
        <f>'RESUMEN TOTAL'!AN389</f>
        <v>0</v>
      </c>
      <c r="AH322" s="70">
        <f>'RESUMEN TOTAL'!AO389</f>
        <v>0</v>
      </c>
      <c r="AI322" s="70">
        <f>'RESUMEN TOTAL'!AP389</f>
        <v>0</v>
      </c>
    </row>
    <row r="323" spans="1:35" x14ac:dyDescent="0.25">
      <c r="A323" t="str">
        <f>'RESUMEN TOTAL'!A390</f>
        <v>SAN JORGE</v>
      </c>
      <c r="B323" t="str">
        <f>'RESUMEN TOTAL'!B390</f>
        <v>SJO06 (fija 2)</v>
      </c>
      <c r="C323" t="str">
        <f>'RESUMEN TOTAL'!D390</f>
        <v>511 Y 560</v>
      </c>
      <c r="D323" s="30" t="str">
        <f>'RESUMEN TOTAL'!E390</f>
        <v>Fija</v>
      </c>
      <c r="E323" s="30" t="str">
        <f>'RESUMEN TOTAL'!F390</f>
        <v>Fibra Optica</v>
      </c>
      <c r="F323" s="70" t="str">
        <f>'RESUMEN TOTAL'!M390</f>
        <v>APAGADO</v>
      </c>
      <c r="G323" s="70" t="str">
        <f>'RESUMEN TOTAL'!N390</f>
        <v>APAGADO</v>
      </c>
      <c r="H323" s="70" t="str">
        <f>'RESUMEN TOTAL'!P390</f>
        <v>APAGADO</v>
      </c>
      <c r="I323" s="70" t="e">
        <f>'RESUMEN TOTAL'!#REF!</f>
        <v>#REF!</v>
      </c>
      <c r="J323" s="70" t="str">
        <f>'RESUMEN TOTAL'!Q390</f>
        <v>APAGADO</v>
      </c>
      <c r="K323" s="70" t="str">
        <f>'RESUMEN TOTAL'!R390</f>
        <v>APAGADO</v>
      </c>
      <c r="L323" s="70" t="str">
        <f>'RESUMEN TOTAL'!S390</f>
        <v>APAGADO</v>
      </c>
      <c r="M323" s="70" t="str">
        <f>'RESUMEN TOTAL'!T390</f>
        <v>APAGADO</v>
      </c>
      <c r="N323" s="70" t="str">
        <f>'RESUMEN TOTAL'!U390</f>
        <v>APAGADO</v>
      </c>
      <c r="O323" s="70" t="str">
        <f>'RESUMEN TOTAL'!V390</f>
        <v>APAGADO</v>
      </c>
      <c r="P323" s="70" t="str">
        <f>'RESUMEN TOTAL'!W390</f>
        <v>APAGADO</v>
      </c>
      <c r="Q323" s="70" t="str">
        <f>'RESUMEN TOTAL'!X390</f>
        <v>APAGADO</v>
      </c>
      <c r="R323" s="70" t="str">
        <f>'RESUMEN TOTAL'!Y390</f>
        <v>APAGADO</v>
      </c>
      <c r="S323" s="70" t="str">
        <f>'RESUMEN TOTAL'!Z390</f>
        <v>APAGADO</v>
      </c>
      <c r="T323" s="70" t="str">
        <f>'RESUMEN TOTAL'!AA390</f>
        <v>APAGADO</v>
      </c>
      <c r="U323" s="70" t="str">
        <f>'RESUMEN TOTAL'!AB390</f>
        <v>APAGADO</v>
      </c>
      <c r="V323" s="70" t="str">
        <f>'RESUMEN TOTAL'!AC390</f>
        <v>APAGADO</v>
      </c>
      <c r="W323" s="70" t="str">
        <f>'RESUMEN TOTAL'!AD390</f>
        <v>APAGADO</v>
      </c>
      <c r="X323" s="70" t="str">
        <f>'RESUMEN TOTAL'!AE390</f>
        <v>APAGADO</v>
      </c>
      <c r="Y323" s="70" t="str">
        <f>'RESUMEN TOTAL'!AF390</f>
        <v>APAGADO</v>
      </c>
      <c r="Z323" s="70" t="str">
        <f>'RESUMEN TOTAL'!AG390</f>
        <v>APAGADO</v>
      </c>
      <c r="AA323" s="70" t="str">
        <f>'RESUMEN TOTAL'!AH390</f>
        <v>APAGADO</v>
      </c>
      <c r="AB323" s="70" t="str">
        <f>'RESUMEN TOTAL'!AI390</f>
        <v>APAGADO</v>
      </c>
      <c r="AC323" s="70" t="str">
        <f>'RESUMEN TOTAL'!AJ390</f>
        <v>APAGADO</v>
      </c>
      <c r="AD323" s="70" t="str">
        <f>'RESUMEN TOTAL'!AK390</f>
        <v>APAGADO</v>
      </c>
      <c r="AE323" s="70" t="str">
        <f>'RESUMEN TOTAL'!AL390</f>
        <v>APAGADO</v>
      </c>
      <c r="AF323" s="70">
        <f>'RESUMEN TOTAL'!AM390</f>
        <v>0</v>
      </c>
      <c r="AG323" s="70">
        <f>'RESUMEN TOTAL'!AN390</f>
        <v>0</v>
      </c>
      <c r="AH323" s="70">
        <f>'RESUMEN TOTAL'!AO390</f>
        <v>0</v>
      </c>
      <c r="AI323" s="70">
        <f>'RESUMEN TOTAL'!AP390</f>
        <v>0</v>
      </c>
    </row>
    <row r="324" spans="1:35" x14ac:dyDescent="0.25">
      <c r="A324" t="str">
        <f>'RESUMEN TOTAL'!A391</f>
        <v>SAN JORGE</v>
      </c>
      <c r="B324" t="str">
        <f>'RESUMEN TOTAL'!B391</f>
        <v>SJO07 (fija 1)</v>
      </c>
      <c r="C324" t="str">
        <f>'RESUMEN TOTAL'!D391</f>
        <v>503 Y 556</v>
      </c>
      <c r="D324" s="30" t="str">
        <f>'RESUMEN TOTAL'!E391</f>
        <v>Fija</v>
      </c>
      <c r="E324" s="30" t="str">
        <f>'RESUMEN TOTAL'!F391</f>
        <v>GPON</v>
      </c>
      <c r="F324" s="70">
        <f>'RESUMEN TOTAL'!M391</f>
        <v>0</v>
      </c>
      <c r="G324" s="70">
        <f>'RESUMEN TOTAL'!N391</f>
        <v>0</v>
      </c>
      <c r="H324" s="70">
        <f>'RESUMEN TOTAL'!P391</f>
        <v>0</v>
      </c>
      <c r="I324" s="70" t="e">
        <f>'RESUMEN TOTAL'!#REF!</f>
        <v>#REF!</v>
      </c>
      <c r="J324" s="70">
        <f>'RESUMEN TOTAL'!Q391</f>
        <v>0</v>
      </c>
      <c r="K324" s="70">
        <f>'RESUMEN TOTAL'!R391</f>
        <v>0</v>
      </c>
      <c r="L324" s="70">
        <f>'RESUMEN TOTAL'!S391</f>
        <v>0</v>
      </c>
      <c r="M324" s="70">
        <f>'RESUMEN TOTAL'!T391</f>
        <v>0</v>
      </c>
      <c r="N324" s="70">
        <f>'RESUMEN TOTAL'!U391</f>
        <v>0</v>
      </c>
      <c r="O324" s="70">
        <f>'RESUMEN TOTAL'!V391</f>
        <v>0</v>
      </c>
      <c r="P324" s="70">
        <f>'RESUMEN TOTAL'!W391</f>
        <v>0</v>
      </c>
      <c r="Q324" s="70">
        <f>'RESUMEN TOTAL'!X391</f>
        <v>0</v>
      </c>
      <c r="R324" s="70">
        <f>'RESUMEN TOTAL'!Y391</f>
        <v>0</v>
      </c>
      <c r="S324" s="70">
        <f>'RESUMEN TOTAL'!Z391</f>
        <v>0</v>
      </c>
      <c r="T324" s="70">
        <f>'RESUMEN TOTAL'!AA391</f>
        <v>0</v>
      </c>
      <c r="U324" s="70">
        <f>'RESUMEN TOTAL'!AB391</f>
        <v>0</v>
      </c>
      <c r="V324" s="70">
        <f>'RESUMEN TOTAL'!AC391</f>
        <v>0</v>
      </c>
      <c r="W324" s="70">
        <f>'RESUMEN TOTAL'!AD391</f>
        <v>0</v>
      </c>
      <c r="X324" s="70">
        <f>'RESUMEN TOTAL'!AE391</f>
        <v>0</v>
      </c>
      <c r="Y324" s="70">
        <f>'RESUMEN TOTAL'!AF391</f>
        <v>0</v>
      </c>
      <c r="Z324" s="70">
        <f>'RESUMEN TOTAL'!AG391</f>
        <v>0</v>
      </c>
      <c r="AA324" s="70">
        <f>'RESUMEN TOTAL'!AH391</f>
        <v>0</v>
      </c>
      <c r="AB324" s="70">
        <f>'RESUMEN TOTAL'!AI391</f>
        <v>0</v>
      </c>
      <c r="AC324" s="70">
        <f>'RESUMEN TOTAL'!AJ391</f>
        <v>0</v>
      </c>
      <c r="AD324" s="70">
        <f>'RESUMEN TOTAL'!AK391</f>
        <v>0</v>
      </c>
      <c r="AE324" s="70">
        <f>'RESUMEN TOTAL'!AL391</f>
        <v>0</v>
      </c>
      <c r="AF324" s="70">
        <f>'RESUMEN TOTAL'!AM391</f>
        <v>0</v>
      </c>
      <c r="AG324" s="70">
        <f>'RESUMEN TOTAL'!AN391</f>
        <v>0</v>
      </c>
      <c r="AH324" s="70">
        <f>'RESUMEN TOTAL'!AO391</f>
        <v>0</v>
      </c>
      <c r="AI324" s="70">
        <f>'RESUMEN TOTAL'!AP391</f>
        <v>0</v>
      </c>
    </row>
    <row r="325" spans="1:35" x14ac:dyDescent="0.25">
      <c r="A325" t="str">
        <f>'RESUMEN TOTAL'!A392</f>
        <v>SAN JORGE</v>
      </c>
      <c r="B325" t="str">
        <f>'RESUMEN TOTAL'!B392</f>
        <v>SJO08 (fija 2)</v>
      </c>
      <c r="C325" t="str">
        <f>'RESUMEN TOTAL'!D392</f>
        <v>503 Y 556</v>
      </c>
      <c r="D325" s="30" t="str">
        <f>'RESUMEN TOTAL'!E392</f>
        <v>Fija</v>
      </c>
      <c r="E325" s="30" t="str">
        <f>'RESUMEN TOTAL'!F392</f>
        <v>GPON</v>
      </c>
      <c r="F325" s="70">
        <f>'RESUMEN TOTAL'!M392</f>
        <v>0</v>
      </c>
      <c r="G325" s="70">
        <f>'RESUMEN TOTAL'!N392</f>
        <v>0</v>
      </c>
      <c r="H325" s="70">
        <f>'RESUMEN TOTAL'!P392</f>
        <v>0</v>
      </c>
      <c r="I325" s="70" t="e">
        <f>'RESUMEN TOTAL'!#REF!</f>
        <v>#REF!</v>
      </c>
      <c r="J325" s="70">
        <f>'RESUMEN TOTAL'!Q392</f>
        <v>0</v>
      </c>
      <c r="K325" s="70">
        <f>'RESUMEN TOTAL'!R392</f>
        <v>0</v>
      </c>
      <c r="L325" s="70">
        <f>'RESUMEN TOTAL'!S392</f>
        <v>0</v>
      </c>
      <c r="M325" s="70">
        <f>'RESUMEN TOTAL'!T392</f>
        <v>0</v>
      </c>
      <c r="N325" s="70">
        <f>'RESUMEN TOTAL'!U392</f>
        <v>0</v>
      </c>
      <c r="O325" s="70">
        <f>'RESUMEN TOTAL'!V392</f>
        <v>0</v>
      </c>
      <c r="P325" s="70">
        <f>'RESUMEN TOTAL'!W392</f>
        <v>0</v>
      </c>
      <c r="Q325" s="70">
        <f>'RESUMEN TOTAL'!X392</f>
        <v>0</v>
      </c>
      <c r="R325" s="70">
        <f>'RESUMEN TOTAL'!Y392</f>
        <v>0</v>
      </c>
      <c r="S325" s="70">
        <f>'RESUMEN TOTAL'!Z392</f>
        <v>0</v>
      </c>
      <c r="T325" s="70">
        <f>'RESUMEN TOTAL'!AA392</f>
        <v>0</v>
      </c>
      <c r="U325" s="70">
        <f>'RESUMEN TOTAL'!AB392</f>
        <v>0</v>
      </c>
      <c r="V325" s="70">
        <f>'RESUMEN TOTAL'!AC392</f>
        <v>0</v>
      </c>
      <c r="W325" s="70">
        <f>'RESUMEN TOTAL'!AD392</f>
        <v>0</v>
      </c>
      <c r="X325" s="70">
        <f>'RESUMEN TOTAL'!AE392</f>
        <v>0</v>
      </c>
      <c r="Y325" s="70">
        <f>'RESUMEN TOTAL'!AF392</f>
        <v>0</v>
      </c>
      <c r="Z325" s="70">
        <f>'RESUMEN TOTAL'!AG392</f>
        <v>0</v>
      </c>
      <c r="AA325" s="70">
        <f>'RESUMEN TOTAL'!AH392</f>
        <v>0</v>
      </c>
      <c r="AB325" s="70">
        <f>'RESUMEN TOTAL'!AI392</f>
        <v>0</v>
      </c>
      <c r="AC325" s="70">
        <f>'RESUMEN TOTAL'!AJ392</f>
        <v>0</v>
      </c>
      <c r="AD325" s="70">
        <f>'RESUMEN TOTAL'!AK392</f>
        <v>0</v>
      </c>
      <c r="AE325" s="70">
        <f>'RESUMEN TOTAL'!AL392</f>
        <v>0</v>
      </c>
      <c r="AF325" s="70">
        <f>'RESUMEN TOTAL'!AM392</f>
        <v>0</v>
      </c>
      <c r="AG325" s="70">
        <f>'RESUMEN TOTAL'!AN392</f>
        <v>0</v>
      </c>
      <c r="AH325" s="70">
        <f>'RESUMEN TOTAL'!AO392</f>
        <v>0</v>
      </c>
      <c r="AI325" s="70">
        <f>'RESUMEN TOTAL'!AP392</f>
        <v>0</v>
      </c>
    </row>
    <row r="326" spans="1:35" x14ac:dyDescent="0.25">
      <c r="A326" t="str">
        <f>'RESUMEN TOTAL'!A397</f>
        <v>SANTO TOMAS</v>
      </c>
      <c r="B326" t="str">
        <f>'RESUMEN TOTAL'!B397</f>
        <v>SJU01</v>
      </c>
      <c r="C326" t="str">
        <f>'RESUMEN TOTAL'!D397</f>
        <v>Ruta 36 y Pte.Peron</v>
      </c>
      <c r="D326" s="30" t="str">
        <f>'RESUMEN TOTAL'!E397</f>
        <v>Domo</v>
      </c>
      <c r="E326" s="30" t="str">
        <f>'RESUMEN TOTAL'!F397</f>
        <v>GPON</v>
      </c>
      <c r="F326" s="70" t="str">
        <f>'RESUMEN TOTAL'!M397</f>
        <v>APAGADO</v>
      </c>
      <c r="G326" s="70" t="str">
        <f>'RESUMEN TOTAL'!N397</f>
        <v>APAGADO</v>
      </c>
      <c r="H326" s="70" t="str">
        <f>'RESUMEN TOTAL'!O397</f>
        <v>APAGADO</v>
      </c>
      <c r="I326" s="70" t="str">
        <f>'RESUMEN TOTAL'!P397</f>
        <v>APAGADO</v>
      </c>
      <c r="J326" s="70" t="str">
        <f>'RESUMEN TOTAL'!Q397</f>
        <v>APAGADO</v>
      </c>
      <c r="K326" s="70" t="str">
        <f>'RESUMEN TOTAL'!R397</f>
        <v>APAGADO</v>
      </c>
      <c r="L326" s="70">
        <f>'RESUMEN TOTAL'!S397</f>
        <v>0</v>
      </c>
      <c r="M326" s="70">
        <f>'RESUMEN TOTAL'!T397</f>
        <v>0</v>
      </c>
      <c r="N326" s="70">
        <f>'RESUMEN TOTAL'!U397</f>
        <v>0</v>
      </c>
      <c r="O326" s="70">
        <f>'RESUMEN TOTAL'!V397</f>
        <v>0</v>
      </c>
      <c r="P326" s="70">
        <f>'RESUMEN TOTAL'!W397</f>
        <v>0</v>
      </c>
      <c r="Q326" s="70">
        <f>'RESUMEN TOTAL'!X397</f>
        <v>0</v>
      </c>
      <c r="R326" s="70">
        <f>'RESUMEN TOTAL'!Y397</f>
        <v>0</v>
      </c>
      <c r="S326" s="70">
        <f>'RESUMEN TOTAL'!Z397</f>
        <v>0</v>
      </c>
      <c r="T326" s="70">
        <f>'RESUMEN TOTAL'!AA397</f>
        <v>0</v>
      </c>
      <c r="U326" s="70">
        <f>'RESUMEN TOTAL'!AB397</f>
        <v>0</v>
      </c>
      <c r="V326" s="70">
        <f>'RESUMEN TOTAL'!AC397</f>
        <v>0</v>
      </c>
      <c r="W326" s="70">
        <f>'RESUMEN TOTAL'!AD397</f>
        <v>0</v>
      </c>
      <c r="X326" s="70">
        <f>'RESUMEN TOTAL'!AE397</f>
        <v>0</v>
      </c>
      <c r="Y326" s="70">
        <f>'RESUMEN TOTAL'!AF397</f>
        <v>0</v>
      </c>
      <c r="Z326" s="70">
        <f>'RESUMEN TOTAL'!AG397</f>
        <v>0</v>
      </c>
      <c r="AA326" s="70">
        <f>'RESUMEN TOTAL'!AH397</f>
        <v>0</v>
      </c>
      <c r="AB326" s="70">
        <f>'RESUMEN TOTAL'!AI397</f>
        <v>0</v>
      </c>
      <c r="AC326" s="70">
        <f>'RESUMEN TOTAL'!AJ397</f>
        <v>0</v>
      </c>
      <c r="AD326" s="70">
        <f>'RESUMEN TOTAL'!AK397</f>
        <v>0</v>
      </c>
      <c r="AE326" s="70">
        <f>'RESUMEN TOTAL'!AL397</f>
        <v>0</v>
      </c>
      <c r="AF326" s="70">
        <f>'RESUMEN TOTAL'!AM397</f>
        <v>0</v>
      </c>
      <c r="AG326" s="70">
        <f>'RESUMEN TOTAL'!AN397</f>
        <v>0</v>
      </c>
      <c r="AH326" s="70">
        <f>'RESUMEN TOTAL'!AO397</f>
        <v>0</v>
      </c>
      <c r="AI326" s="70">
        <f>'RESUMEN TOTAL'!AP397</f>
        <v>0</v>
      </c>
    </row>
    <row r="327" spans="1:35" x14ac:dyDescent="0.25">
      <c r="A327" t="str">
        <f>'RESUMEN TOTAL'!A400</f>
        <v>VILLA GENERAL SAN MARTIN</v>
      </c>
      <c r="B327" t="str">
        <f>'RESUMEN TOTAL'!B400</f>
        <v>SMA01</v>
      </c>
      <c r="C327" t="str">
        <f>'RESUMEN TOTAL'!D400</f>
        <v>Hudson y Montevideo</v>
      </c>
      <c r="D327" s="30" t="str">
        <f>'RESUMEN TOTAL'!E400</f>
        <v>DOMO</v>
      </c>
      <c r="E327" s="30" t="str">
        <f>'RESUMEN TOTAL'!F400</f>
        <v>GPON</v>
      </c>
      <c r="F327" s="70">
        <f>'RESUMEN TOTAL'!M400</f>
        <v>0</v>
      </c>
      <c r="G327" s="70">
        <f>'RESUMEN TOTAL'!N400</f>
        <v>0</v>
      </c>
      <c r="H327" s="70">
        <f>'RESUMEN TOTAL'!O400</f>
        <v>0</v>
      </c>
      <c r="I327" s="70">
        <f>'RESUMEN TOTAL'!P400</f>
        <v>0</v>
      </c>
      <c r="J327" s="70">
        <f>'RESUMEN TOTAL'!Q400</f>
        <v>0</v>
      </c>
      <c r="K327" s="70">
        <f>'RESUMEN TOTAL'!R400</f>
        <v>0</v>
      </c>
      <c r="L327" s="70">
        <f>'RESUMEN TOTAL'!S400</f>
        <v>0</v>
      </c>
      <c r="M327" s="70">
        <f>'RESUMEN TOTAL'!T400</f>
        <v>0</v>
      </c>
      <c r="N327" s="70" t="str">
        <f>'RESUMEN TOTAL'!U400</f>
        <v>APAGADO</v>
      </c>
      <c r="O327" s="70" t="str">
        <f>'RESUMEN TOTAL'!V400</f>
        <v>APAGADO</v>
      </c>
      <c r="P327" s="70" t="str">
        <f>'RESUMEN TOTAL'!W400</f>
        <v>APAGADO</v>
      </c>
      <c r="Q327" s="70" t="str">
        <f>'RESUMEN TOTAL'!X400</f>
        <v>APAGADO</v>
      </c>
      <c r="R327" s="70" t="str">
        <f>'RESUMEN TOTAL'!Y400</f>
        <v>APAGADO</v>
      </c>
      <c r="S327" s="70">
        <f>'RESUMEN TOTAL'!Z400</f>
        <v>0</v>
      </c>
      <c r="T327" s="70">
        <f>'RESUMEN TOTAL'!AA400</f>
        <v>0</v>
      </c>
      <c r="U327" s="70">
        <f>'RESUMEN TOTAL'!AB400</f>
        <v>0</v>
      </c>
      <c r="V327" s="70">
        <f>'RESUMEN TOTAL'!AC400</f>
        <v>0</v>
      </c>
      <c r="W327" s="70">
        <f>'RESUMEN TOTAL'!AD400</f>
        <v>0</v>
      </c>
      <c r="X327" s="70">
        <f>'RESUMEN TOTAL'!AE400</f>
        <v>0</v>
      </c>
      <c r="Y327" s="70">
        <f>'RESUMEN TOTAL'!AF400</f>
        <v>0</v>
      </c>
      <c r="Z327" s="70">
        <f>'RESUMEN TOTAL'!AG400</f>
        <v>0</v>
      </c>
      <c r="AA327" s="70">
        <f>'RESUMEN TOTAL'!AH400</f>
        <v>0</v>
      </c>
      <c r="AB327" s="70">
        <f>'RESUMEN TOTAL'!AI400</f>
        <v>0</v>
      </c>
      <c r="AC327" s="70">
        <f>'RESUMEN TOTAL'!AJ400</f>
        <v>0</v>
      </c>
      <c r="AD327" s="70">
        <f>'RESUMEN TOTAL'!AK400</f>
        <v>0</v>
      </c>
      <c r="AE327" s="70">
        <f>'RESUMEN TOTAL'!AL400</f>
        <v>0</v>
      </c>
      <c r="AF327" s="70">
        <f>'RESUMEN TOTAL'!AM400</f>
        <v>0</v>
      </c>
      <c r="AG327" s="70">
        <f>'RESUMEN TOTAL'!AN400</f>
        <v>0</v>
      </c>
      <c r="AH327" s="70">
        <f>'RESUMEN TOTAL'!AO400</f>
        <v>0</v>
      </c>
      <c r="AI327" s="70">
        <f>'RESUMEN TOTAL'!AP400</f>
        <v>0</v>
      </c>
    </row>
    <row r="328" spans="1:35" x14ac:dyDescent="0.25">
      <c r="A328" t="str">
        <f>'RESUMEN TOTAL'!A401</f>
        <v>VILLA GENERAL SAN MARTIN</v>
      </c>
      <c r="B328" t="str">
        <f>'RESUMEN TOTAL'!B401</f>
        <v>SMA02</v>
      </c>
      <c r="C328" t="str">
        <f>'RESUMEN TOTAL'!D401</f>
        <v>Hudson y San Nicolas</v>
      </c>
      <c r="D328" s="30" t="str">
        <f>'RESUMEN TOTAL'!E401</f>
        <v>Domo</v>
      </c>
      <c r="E328" s="30" t="str">
        <f>'RESUMEN TOTAL'!F401</f>
        <v>GPON</v>
      </c>
      <c r="F328" s="70" t="str">
        <f>'RESUMEN TOTAL'!M401</f>
        <v>APAGADO</v>
      </c>
      <c r="G328" s="70">
        <f>'RESUMEN TOTAL'!N401</f>
        <v>0</v>
      </c>
      <c r="H328" s="70">
        <f>'RESUMEN TOTAL'!O401</f>
        <v>0</v>
      </c>
      <c r="I328" s="70">
        <f>'RESUMEN TOTAL'!P401</f>
        <v>0</v>
      </c>
      <c r="J328" s="70">
        <f>'RESUMEN TOTAL'!Q401</f>
        <v>0</v>
      </c>
      <c r="K328" s="70">
        <f>'RESUMEN TOTAL'!R401</f>
        <v>0</v>
      </c>
      <c r="L328" s="70">
        <f>'RESUMEN TOTAL'!S401</f>
        <v>0</v>
      </c>
      <c r="M328" s="70">
        <f>'RESUMEN TOTAL'!T401</f>
        <v>0</v>
      </c>
      <c r="N328" s="70">
        <f>'RESUMEN TOTAL'!U401</f>
        <v>0</v>
      </c>
      <c r="O328" s="70">
        <f>'RESUMEN TOTAL'!V401</f>
        <v>0</v>
      </c>
      <c r="P328" s="70">
        <f>'RESUMEN TOTAL'!W401</f>
        <v>0</v>
      </c>
      <c r="Q328" s="70">
        <f>'RESUMEN TOTAL'!X401</f>
        <v>0</v>
      </c>
      <c r="R328" s="70">
        <f>'RESUMEN TOTAL'!Y401</f>
        <v>0</v>
      </c>
      <c r="S328" s="70">
        <f>'RESUMEN TOTAL'!Z401</f>
        <v>0</v>
      </c>
      <c r="T328" s="70">
        <f>'RESUMEN TOTAL'!AA401</f>
        <v>0</v>
      </c>
      <c r="U328" s="70">
        <f>'RESUMEN TOTAL'!AB401</f>
        <v>0</v>
      </c>
      <c r="V328" s="70">
        <f>'RESUMEN TOTAL'!AC401</f>
        <v>0</v>
      </c>
      <c r="W328" s="70">
        <f>'RESUMEN TOTAL'!AD401</f>
        <v>0</v>
      </c>
      <c r="X328" s="70">
        <f>'RESUMEN TOTAL'!AE401</f>
        <v>0</v>
      </c>
      <c r="Y328" s="70">
        <f>'RESUMEN TOTAL'!AF401</f>
        <v>0</v>
      </c>
      <c r="Z328" s="70">
        <f>'RESUMEN TOTAL'!AG401</f>
        <v>0</v>
      </c>
      <c r="AA328" s="70">
        <f>'RESUMEN TOTAL'!AH401</f>
        <v>0</v>
      </c>
      <c r="AB328" s="70">
        <f>'RESUMEN TOTAL'!AI401</f>
        <v>0</v>
      </c>
      <c r="AC328" s="70">
        <f>'RESUMEN TOTAL'!AJ401</f>
        <v>0</v>
      </c>
      <c r="AD328" s="70">
        <f>'RESUMEN TOTAL'!AK401</f>
        <v>0</v>
      </c>
      <c r="AE328" s="70">
        <f>'RESUMEN TOTAL'!AL401</f>
        <v>0</v>
      </c>
      <c r="AF328" s="70">
        <f>'RESUMEN TOTAL'!AM401</f>
        <v>0</v>
      </c>
      <c r="AG328" s="70">
        <f>'RESUMEN TOTAL'!AN401</f>
        <v>0</v>
      </c>
      <c r="AH328" s="70">
        <f>'RESUMEN TOTAL'!AO401</f>
        <v>0</v>
      </c>
      <c r="AI328" s="70">
        <f>'RESUMEN TOTAL'!AP401</f>
        <v>0</v>
      </c>
    </row>
    <row r="329" spans="1:35" x14ac:dyDescent="0.25">
      <c r="A329" t="str">
        <f>'RESUMEN TOTAL'!A402</f>
        <v>VILLA GENERAL SAN MARTIN</v>
      </c>
      <c r="B329" t="str">
        <f>'RESUMEN TOTAL'!B402</f>
        <v>SMA 03</v>
      </c>
      <c r="C329" t="str">
        <f>'RESUMEN TOTAL'!D402</f>
        <v>ROSARIO Y SAN NICOLAS</v>
      </c>
      <c r="D329" s="30" t="str">
        <f>'RESUMEN TOTAL'!E402</f>
        <v>Domo</v>
      </c>
      <c r="E329" s="30" t="str">
        <f>'RESUMEN TOTAL'!F402</f>
        <v>Radio</v>
      </c>
      <c r="F329" s="70" t="str">
        <f>'RESUMEN TOTAL'!M402</f>
        <v>APAGADO</v>
      </c>
      <c r="G329" s="70" t="str">
        <f>'RESUMEN TOTAL'!N402</f>
        <v>APAGADO</v>
      </c>
      <c r="H329" s="70" t="str">
        <f>'RESUMEN TOTAL'!O402</f>
        <v>APAGADO</v>
      </c>
      <c r="I329" s="70" t="str">
        <f>'RESUMEN TOTAL'!P402</f>
        <v>APAGADO</v>
      </c>
      <c r="J329" s="70" t="str">
        <f>'RESUMEN TOTAL'!Q402</f>
        <v>APAGADO</v>
      </c>
      <c r="K329" s="70" t="str">
        <f>'RESUMEN TOTAL'!R402</f>
        <v>APAGADO</v>
      </c>
      <c r="L329" s="70" t="str">
        <f>'RESUMEN TOTAL'!S402</f>
        <v>APAGADO</v>
      </c>
      <c r="M329" s="70" t="str">
        <f>'RESUMEN TOTAL'!T402</f>
        <v>APAGADO</v>
      </c>
      <c r="N329" s="70" t="str">
        <f>'RESUMEN TOTAL'!U402</f>
        <v>APAGADO</v>
      </c>
      <c r="O329" s="70" t="str">
        <f>'RESUMEN TOTAL'!V402</f>
        <v>APAGADO</v>
      </c>
      <c r="P329" s="70" t="str">
        <f>'RESUMEN TOTAL'!W402</f>
        <v>APAGADO</v>
      </c>
      <c r="Q329" s="70" t="str">
        <f>'RESUMEN TOTAL'!X402</f>
        <v>APAGADO</v>
      </c>
      <c r="R329" s="70" t="str">
        <f>'RESUMEN TOTAL'!Y402</f>
        <v>APAGADO</v>
      </c>
      <c r="S329" s="70" t="str">
        <f>'RESUMEN TOTAL'!Z402</f>
        <v>APAGADO</v>
      </c>
      <c r="T329" s="70" t="str">
        <f>'RESUMEN TOTAL'!AA402</f>
        <v>APAGADO</v>
      </c>
      <c r="U329" s="70" t="str">
        <f>'RESUMEN TOTAL'!AB402</f>
        <v>APAGADO</v>
      </c>
      <c r="V329" s="70" t="str">
        <f>'RESUMEN TOTAL'!AC402</f>
        <v>APAGADO</v>
      </c>
      <c r="W329" s="70" t="str">
        <f>'RESUMEN TOTAL'!AD402</f>
        <v>APAGADO</v>
      </c>
      <c r="X329" s="70" t="str">
        <f>'RESUMEN TOTAL'!AE402</f>
        <v>APAGADO</v>
      </c>
      <c r="Y329" s="70" t="str">
        <f>'RESUMEN TOTAL'!AF402</f>
        <v>APAGADO</v>
      </c>
      <c r="Z329" s="70" t="str">
        <f>'RESUMEN TOTAL'!AG402</f>
        <v>APAGADO</v>
      </c>
      <c r="AA329" s="70" t="str">
        <f>'RESUMEN TOTAL'!AH402</f>
        <v>APAGADO</v>
      </c>
      <c r="AB329" s="70" t="str">
        <f>'RESUMEN TOTAL'!AI402</f>
        <v>APAGADO</v>
      </c>
      <c r="AC329" s="70">
        <f>'RESUMEN TOTAL'!AJ402</f>
        <v>0</v>
      </c>
      <c r="AD329" s="70" t="str">
        <f>'RESUMEN TOTAL'!AK402</f>
        <v>APAGADO</v>
      </c>
      <c r="AE329" s="70" t="str">
        <f>'RESUMEN TOTAL'!AL402</f>
        <v>APAGADO</v>
      </c>
      <c r="AF329" s="70">
        <f>'RESUMEN TOTAL'!AM402</f>
        <v>0</v>
      </c>
      <c r="AG329" s="70">
        <f>'RESUMEN TOTAL'!AN402</f>
        <v>0</v>
      </c>
      <c r="AH329" s="70">
        <f>'RESUMEN TOTAL'!AO402</f>
        <v>0</v>
      </c>
      <c r="AI329" s="70">
        <f>'RESUMEN TOTAL'!AP402</f>
        <v>0</v>
      </c>
    </row>
    <row r="330" spans="1:35" x14ac:dyDescent="0.25">
      <c r="A330" t="str">
        <f>'RESUMEN TOTAL'!A403</f>
        <v>VILLA GENERAL SAN MARTIN</v>
      </c>
      <c r="B330" t="str">
        <f>'RESUMEN TOTAL'!B403</f>
        <v>SMA 04</v>
      </c>
      <c r="C330" t="str">
        <f>'RESUMEN TOTAL'!D403</f>
        <v>HUDSON Y MONTEVIDEO</v>
      </c>
      <c r="D330" s="30" t="str">
        <f>'RESUMEN TOTAL'!E403</f>
        <v>FIJA</v>
      </c>
      <c r="E330" s="30" t="str">
        <f>'RESUMEN TOTAL'!F403</f>
        <v>GPON</v>
      </c>
      <c r="F330" s="70">
        <f>'RESUMEN TOTAL'!M403</f>
        <v>0</v>
      </c>
      <c r="G330" s="70">
        <f>'RESUMEN TOTAL'!N403</f>
        <v>0</v>
      </c>
      <c r="H330" s="70">
        <f>'RESUMEN TOTAL'!O403</f>
        <v>0</v>
      </c>
      <c r="I330" s="70">
        <f>'RESUMEN TOTAL'!P403</f>
        <v>0</v>
      </c>
      <c r="J330" s="70">
        <f>'RESUMEN TOTAL'!Q403</f>
        <v>0</v>
      </c>
      <c r="K330" s="70">
        <f>'RESUMEN TOTAL'!R403</f>
        <v>0</v>
      </c>
      <c r="L330" s="70">
        <f>'RESUMEN TOTAL'!S403</f>
        <v>0</v>
      </c>
      <c r="M330" s="70">
        <f>'RESUMEN TOTAL'!T403</f>
        <v>0</v>
      </c>
      <c r="N330" s="70" t="str">
        <f>'RESUMEN TOTAL'!U403</f>
        <v>APAGADO</v>
      </c>
      <c r="O330" s="70" t="str">
        <f>'RESUMEN TOTAL'!V403</f>
        <v>APAGADO</v>
      </c>
      <c r="P330" s="70" t="str">
        <f>'RESUMEN TOTAL'!W403</f>
        <v>APAGADO</v>
      </c>
      <c r="Q330" s="70" t="str">
        <f>'RESUMEN TOTAL'!X403</f>
        <v>APAGADO</v>
      </c>
      <c r="R330" s="70">
        <f>'RESUMEN TOTAL'!Y403</f>
        <v>0</v>
      </c>
      <c r="S330" s="70">
        <f>'RESUMEN TOTAL'!Z403</f>
        <v>0</v>
      </c>
      <c r="T330" s="70">
        <f>'RESUMEN TOTAL'!AA403</f>
        <v>0</v>
      </c>
      <c r="U330" s="70">
        <f>'RESUMEN TOTAL'!AB403</f>
        <v>0</v>
      </c>
      <c r="V330" s="70">
        <f>'RESUMEN TOTAL'!AC403</f>
        <v>0</v>
      </c>
      <c r="W330" s="70">
        <f>'RESUMEN TOTAL'!AD403</f>
        <v>0</v>
      </c>
      <c r="X330" s="70">
        <f>'RESUMEN TOTAL'!AE403</f>
        <v>0</v>
      </c>
      <c r="Y330" s="70">
        <f>'RESUMEN TOTAL'!AF403</f>
        <v>0</v>
      </c>
      <c r="Z330" s="70">
        <f>'RESUMEN TOTAL'!AG403</f>
        <v>0</v>
      </c>
      <c r="AA330" s="70">
        <f>'RESUMEN TOTAL'!AH403</f>
        <v>0</v>
      </c>
      <c r="AB330" s="70">
        <f>'RESUMEN TOTAL'!AI403</f>
        <v>0</v>
      </c>
      <c r="AC330" s="70">
        <f>'RESUMEN TOTAL'!AJ403</f>
        <v>0</v>
      </c>
      <c r="AD330" s="70">
        <f>'RESUMEN TOTAL'!AK403</f>
        <v>0</v>
      </c>
      <c r="AE330" s="70">
        <f>'RESUMEN TOTAL'!AL403</f>
        <v>0</v>
      </c>
      <c r="AF330" s="70">
        <f>'RESUMEN TOTAL'!AM403</f>
        <v>0</v>
      </c>
      <c r="AG330" s="70">
        <f>'RESUMEN TOTAL'!AN403</f>
        <v>0</v>
      </c>
      <c r="AH330" s="70">
        <f>'RESUMEN TOTAL'!AO403</f>
        <v>0</v>
      </c>
      <c r="AI330" s="70">
        <f>'RESUMEN TOTAL'!AP403</f>
        <v>0</v>
      </c>
    </row>
    <row r="331" spans="1:35" x14ac:dyDescent="0.25">
      <c r="A331" t="str">
        <f>'RESUMEN TOTAL'!A404</f>
        <v>VILLA GENERAL SAN MARTIN</v>
      </c>
      <c r="B331" t="str">
        <f>'RESUMEN TOTAL'!B404</f>
        <v>SMA05</v>
      </c>
      <c r="C331" t="str">
        <f>'RESUMEN TOTAL'!D404</f>
        <v>MONTEVIDEO Y VILLEGAS</v>
      </c>
      <c r="D331" s="30" t="str">
        <f>'RESUMEN TOTAL'!E404</f>
        <v>DOMO</v>
      </c>
      <c r="E331" s="30" t="str">
        <f>'RESUMEN TOTAL'!F404</f>
        <v>PTO A FO</v>
      </c>
      <c r="F331" s="70">
        <f>'RESUMEN TOTAL'!M404</f>
        <v>0</v>
      </c>
      <c r="G331" s="70">
        <f>'RESUMEN TOTAL'!N404</f>
        <v>0</v>
      </c>
      <c r="H331" s="70">
        <f>'RESUMEN TOTAL'!O404</f>
        <v>0</v>
      </c>
      <c r="I331" s="70">
        <f>'RESUMEN TOTAL'!P404</f>
        <v>0</v>
      </c>
      <c r="J331" s="70">
        <f>'RESUMEN TOTAL'!Q404</f>
        <v>0</v>
      </c>
      <c r="K331" s="70">
        <f>'RESUMEN TOTAL'!R404</f>
        <v>0</v>
      </c>
      <c r="L331" s="70">
        <f>'RESUMEN TOTAL'!S404</f>
        <v>0</v>
      </c>
      <c r="M331" s="70">
        <f>'RESUMEN TOTAL'!T404</f>
        <v>0</v>
      </c>
      <c r="N331" s="70">
        <f>'RESUMEN TOTAL'!U404</f>
        <v>0</v>
      </c>
      <c r="O331" s="70">
        <f>'RESUMEN TOTAL'!V404</f>
        <v>0</v>
      </c>
      <c r="P331" s="70">
        <f>'RESUMEN TOTAL'!W404</f>
        <v>0</v>
      </c>
      <c r="Q331" s="70">
        <f>'RESUMEN TOTAL'!X404</f>
        <v>0</v>
      </c>
      <c r="R331" s="70">
        <f>'RESUMEN TOTAL'!Y404</f>
        <v>0</v>
      </c>
      <c r="S331" s="70">
        <f>'RESUMEN TOTAL'!Z404</f>
        <v>0</v>
      </c>
      <c r="T331" s="70">
        <f>'RESUMEN TOTAL'!AA404</f>
        <v>0</v>
      </c>
      <c r="U331" s="70">
        <f>'RESUMEN TOTAL'!AB404</f>
        <v>0</v>
      </c>
      <c r="V331" s="70">
        <f>'RESUMEN TOTAL'!AC404</f>
        <v>0</v>
      </c>
      <c r="W331" s="70">
        <f>'RESUMEN TOTAL'!AD404</f>
        <v>0</v>
      </c>
      <c r="X331" s="70">
        <f>'RESUMEN TOTAL'!AE404</f>
        <v>0</v>
      </c>
      <c r="Y331" s="70">
        <f>'RESUMEN TOTAL'!AF404</f>
        <v>0</v>
      </c>
      <c r="Z331" s="70">
        <f>'RESUMEN TOTAL'!AG404</f>
        <v>0</v>
      </c>
      <c r="AA331" s="70">
        <f>'RESUMEN TOTAL'!AH404</f>
        <v>0</v>
      </c>
      <c r="AB331" s="70">
        <f>'RESUMEN TOTAL'!AI404</f>
        <v>0</v>
      </c>
      <c r="AC331" s="70">
        <f>'RESUMEN TOTAL'!AJ404</f>
        <v>0</v>
      </c>
      <c r="AD331" s="70">
        <f>'RESUMEN TOTAL'!AK404</f>
        <v>0</v>
      </c>
      <c r="AE331" s="70">
        <f>'RESUMEN TOTAL'!AL404</f>
        <v>0</v>
      </c>
      <c r="AF331" s="70">
        <f>'RESUMEN TOTAL'!AM404</f>
        <v>0</v>
      </c>
      <c r="AG331" s="70">
        <f>'RESUMEN TOTAL'!AN404</f>
        <v>0</v>
      </c>
      <c r="AH331" s="70">
        <f>'RESUMEN TOTAL'!AO404</f>
        <v>0</v>
      </c>
      <c r="AI331" s="70">
        <f>'RESUMEN TOTAL'!AP404</f>
        <v>0</v>
      </c>
    </row>
    <row r="332" spans="1:35" x14ac:dyDescent="0.25">
      <c r="A332" t="str">
        <f>'RESUMEN TOTAL'!A405</f>
        <v>VILLA GENERAL SAN MARTIN</v>
      </c>
      <c r="B332" t="str">
        <f>'RESUMEN TOTAL'!B405</f>
        <v>SMA 06</v>
      </c>
      <c r="C332" t="str">
        <f>'RESUMEN TOTAL'!D405</f>
        <v>AV. HUDSON Y RIO IGUAZU</v>
      </c>
      <c r="D332" s="30" t="str">
        <f>'RESUMEN TOTAL'!E405</f>
        <v>DOMO</v>
      </c>
      <c r="E332" s="30" t="str">
        <f>'RESUMEN TOTAL'!F405</f>
        <v>Fibra Optica</v>
      </c>
      <c r="F332" s="70">
        <f>'RESUMEN TOTAL'!M405</f>
        <v>0</v>
      </c>
      <c r="G332" s="70">
        <f>'RESUMEN TOTAL'!N405</f>
        <v>0</v>
      </c>
      <c r="H332" s="70">
        <f>'RESUMEN TOTAL'!O405</f>
        <v>0</v>
      </c>
      <c r="I332" s="70">
        <f>'RESUMEN TOTAL'!P405</f>
        <v>0</v>
      </c>
      <c r="J332" s="70">
        <f>'RESUMEN TOTAL'!Q405</f>
        <v>0</v>
      </c>
      <c r="K332" s="70">
        <f>'RESUMEN TOTAL'!R405</f>
        <v>0</v>
      </c>
      <c r="L332" s="70">
        <f>'RESUMEN TOTAL'!S405</f>
        <v>0</v>
      </c>
      <c r="M332" s="70">
        <f>'RESUMEN TOTAL'!T405</f>
        <v>0</v>
      </c>
      <c r="N332" s="70">
        <f>'RESUMEN TOTAL'!U405</f>
        <v>0</v>
      </c>
      <c r="O332" s="70">
        <f>'RESUMEN TOTAL'!V405</f>
        <v>0</v>
      </c>
      <c r="P332" s="70">
        <f>'RESUMEN TOTAL'!W405</f>
        <v>0</v>
      </c>
      <c r="Q332" s="70">
        <f>'RESUMEN TOTAL'!X405</f>
        <v>0</v>
      </c>
      <c r="R332" s="70">
        <f>'RESUMEN TOTAL'!Y405</f>
        <v>0</v>
      </c>
      <c r="S332" s="70">
        <f>'RESUMEN TOTAL'!Z405</f>
        <v>0</v>
      </c>
      <c r="T332" s="70">
        <f>'RESUMEN TOTAL'!AA405</f>
        <v>0</v>
      </c>
      <c r="U332" s="70">
        <f>'RESUMEN TOTAL'!AB405</f>
        <v>0</v>
      </c>
      <c r="V332" s="70">
        <f>'RESUMEN TOTAL'!AC405</f>
        <v>0</v>
      </c>
      <c r="W332" s="70">
        <f>'RESUMEN TOTAL'!AD405</f>
        <v>0</v>
      </c>
      <c r="X332" s="70">
        <f>'RESUMEN TOTAL'!AE405</f>
        <v>0</v>
      </c>
      <c r="Y332" s="70">
        <f>'RESUMEN TOTAL'!AF405</f>
        <v>0</v>
      </c>
      <c r="Z332" s="70">
        <f>'RESUMEN TOTAL'!AG405</f>
        <v>0</v>
      </c>
      <c r="AA332" s="70">
        <f>'RESUMEN TOTAL'!AH405</f>
        <v>0</v>
      </c>
      <c r="AB332" s="70">
        <f>'RESUMEN TOTAL'!AI405</f>
        <v>0</v>
      </c>
      <c r="AC332" s="70">
        <f>'RESUMEN TOTAL'!AJ405</f>
        <v>0</v>
      </c>
      <c r="AD332" s="70">
        <f>'RESUMEN TOTAL'!AK405</f>
        <v>0</v>
      </c>
      <c r="AE332" s="70">
        <f>'RESUMEN TOTAL'!AL405</f>
        <v>0</v>
      </c>
      <c r="AF332" s="70">
        <f>'RESUMEN TOTAL'!AM405</f>
        <v>0</v>
      </c>
      <c r="AG332" s="70">
        <f>'RESUMEN TOTAL'!AN405</f>
        <v>0</v>
      </c>
      <c r="AH332" s="70">
        <f>'RESUMEN TOTAL'!AO405</f>
        <v>0</v>
      </c>
      <c r="AI332" s="70">
        <f>'RESUMEN TOTAL'!AP405</f>
        <v>0</v>
      </c>
    </row>
    <row r="333" spans="1:35" x14ac:dyDescent="0.25">
      <c r="A333" t="str">
        <f>'RESUMEN TOTAL'!A406</f>
        <v>VILLA GENERAL SAN MARTIN</v>
      </c>
      <c r="B333" t="str">
        <f>'RESUMEN TOTAL'!B406</f>
        <v>SMA 07</v>
      </c>
      <c r="C333" t="str">
        <f>'RESUMEN TOTAL'!D406</f>
        <v>AV. HUDSON Y RIO TURBIO</v>
      </c>
      <c r="D333" s="30" t="str">
        <f>'RESUMEN TOTAL'!E406</f>
        <v>DOMO</v>
      </c>
      <c r="E333" s="30" t="str">
        <f>'RESUMEN TOTAL'!F406</f>
        <v>GPON</v>
      </c>
      <c r="F333" s="70">
        <f>'RESUMEN TOTAL'!M406</f>
        <v>0</v>
      </c>
      <c r="G333" s="70">
        <f>'RESUMEN TOTAL'!N406</f>
        <v>0</v>
      </c>
      <c r="H333" s="70">
        <f>'RESUMEN TOTAL'!O406</f>
        <v>0</v>
      </c>
      <c r="I333" s="70">
        <f>'RESUMEN TOTAL'!P406</f>
        <v>0</v>
      </c>
      <c r="J333" s="70">
        <f>'RESUMEN TOTAL'!Q406</f>
        <v>0</v>
      </c>
      <c r="K333" s="70">
        <f>'RESUMEN TOTAL'!R406</f>
        <v>0</v>
      </c>
      <c r="L333" s="70">
        <f>'RESUMEN TOTAL'!S406</f>
        <v>0</v>
      </c>
      <c r="M333" s="70">
        <f>'RESUMEN TOTAL'!T406</f>
        <v>0</v>
      </c>
      <c r="N333" s="70">
        <f>'RESUMEN TOTAL'!U406</f>
        <v>0</v>
      </c>
      <c r="O333" s="70">
        <f>'RESUMEN TOTAL'!V406</f>
        <v>0</v>
      </c>
      <c r="P333" s="70">
        <f>'RESUMEN TOTAL'!W406</f>
        <v>0</v>
      </c>
      <c r="Q333" s="70">
        <f>'RESUMEN TOTAL'!X406</f>
        <v>0</v>
      </c>
      <c r="R333" s="70">
        <f>'RESUMEN TOTAL'!Y406</f>
        <v>0</v>
      </c>
      <c r="S333" s="70">
        <f>'RESUMEN TOTAL'!Z406</f>
        <v>0</v>
      </c>
      <c r="T333" s="70">
        <f>'RESUMEN TOTAL'!AA406</f>
        <v>0</v>
      </c>
      <c r="U333" s="70">
        <f>'RESUMEN TOTAL'!AB406</f>
        <v>0</v>
      </c>
      <c r="V333" s="70">
        <f>'RESUMEN TOTAL'!AC406</f>
        <v>0</v>
      </c>
      <c r="W333" s="70">
        <f>'RESUMEN TOTAL'!AD406</f>
        <v>0</v>
      </c>
      <c r="X333" s="70">
        <f>'RESUMEN TOTAL'!AE406</f>
        <v>0</v>
      </c>
      <c r="Y333" s="70">
        <f>'RESUMEN TOTAL'!AF406</f>
        <v>0</v>
      </c>
      <c r="Z333" s="70">
        <f>'RESUMEN TOTAL'!AG406</f>
        <v>0</v>
      </c>
      <c r="AA333" s="70">
        <f>'RESUMEN TOTAL'!AH406</f>
        <v>0</v>
      </c>
      <c r="AB333" s="70">
        <f>'RESUMEN TOTAL'!AI406</f>
        <v>0</v>
      </c>
      <c r="AC333" s="70">
        <f>'RESUMEN TOTAL'!AJ406</f>
        <v>0</v>
      </c>
      <c r="AD333" s="70">
        <f>'RESUMEN TOTAL'!AK406</f>
        <v>0</v>
      </c>
      <c r="AE333" s="70">
        <f>'RESUMEN TOTAL'!AL406</f>
        <v>0</v>
      </c>
      <c r="AF333" s="70">
        <f>'RESUMEN TOTAL'!AM406</f>
        <v>0</v>
      </c>
      <c r="AG333" s="70">
        <f>'RESUMEN TOTAL'!AN406</f>
        <v>0</v>
      </c>
      <c r="AH333" s="70">
        <f>'RESUMEN TOTAL'!AO406</f>
        <v>0</v>
      </c>
      <c r="AI333" s="70">
        <f>'RESUMEN TOTAL'!AP406</f>
        <v>0</v>
      </c>
    </row>
    <row r="334" spans="1:35" x14ac:dyDescent="0.25">
      <c r="A334" t="str">
        <f>'RESUMEN TOTAL'!A407</f>
        <v>SAN MARTIN</v>
      </c>
      <c r="B334" t="str">
        <f>'RESUMEN TOTAL'!B407</f>
        <v>SMA 08</v>
      </c>
      <c r="C334" t="str">
        <f>'RESUMEN TOTAL'!D407</f>
        <v>12 De Octubre y H. Lagos</v>
      </c>
      <c r="D334" s="30" t="str">
        <f>'RESUMEN TOTAL'!E407</f>
        <v>fija</v>
      </c>
      <c r="E334" s="30" t="str">
        <f>'RESUMEN TOTAL'!F407</f>
        <v>Fibra Optica</v>
      </c>
      <c r="F334" s="70">
        <f>'RESUMEN TOTAL'!M407</f>
        <v>0</v>
      </c>
      <c r="G334" s="70">
        <f>'RESUMEN TOTAL'!N407</f>
        <v>0</v>
      </c>
      <c r="H334" s="70">
        <f>'RESUMEN TOTAL'!P407</f>
        <v>0</v>
      </c>
      <c r="I334" s="70" t="e">
        <f>'RESUMEN TOTAL'!#REF!</f>
        <v>#REF!</v>
      </c>
      <c r="J334" s="70">
        <f>'RESUMEN TOTAL'!Q407</f>
        <v>0</v>
      </c>
      <c r="K334" s="70">
        <f>'RESUMEN TOTAL'!R407</f>
        <v>0</v>
      </c>
      <c r="L334" s="70">
        <f>'RESUMEN TOTAL'!S407</f>
        <v>0</v>
      </c>
      <c r="M334" s="70">
        <f>'RESUMEN TOTAL'!T407</f>
        <v>0</v>
      </c>
      <c r="N334" s="70">
        <f>'RESUMEN TOTAL'!U407</f>
        <v>0</v>
      </c>
      <c r="O334" s="70">
        <f>'RESUMEN TOTAL'!V407</f>
        <v>0</v>
      </c>
      <c r="P334" s="70">
        <f>'RESUMEN TOTAL'!W407</f>
        <v>0</v>
      </c>
      <c r="Q334" s="70">
        <f>'RESUMEN TOTAL'!X407</f>
        <v>0</v>
      </c>
      <c r="R334" s="70">
        <f>'RESUMEN TOTAL'!Y407</f>
        <v>0</v>
      </c>
      <c r="S334" s="70">
        <f>'RESUMEN TOTAL'!Z407</f>
        <v>0</v>
      </c>
      <c r="T334" s="70">
        <f>'RESUMEN TOTAL'!AA407</f>
        <v>0</v>
      </c>
      <c r="U334" s="70">
        <f>'RESUMEN TOTAL'!AB407</f>
        <v>0</v>
      </c>
      <c r="V334" s="70">
        <f>'RESUMEN TOTAL'!AC407</f>
        <v>0</v>
      </c>
      <c r="W334" s="70">
        <f>'RESUMEN TOTAL'!AD407</f>
        <v>0</v>
      </c>
      <c r="X334" s="70">
        <f>'RESUMEN TOTAL'!AE407</f>
        <v>0</v>
      </c>
      <c r="Y334" s="70">
        <f>'RESUMEN TOTAL'!AF407</f>
        <v>0</v>
      </c>
      <c r="Z334" s="70">
        <f>'RESUMEN TOTAL'!AG407</f>
        <v>0</v>
      </c>
      <c r="AA334" s="70">
        <f>'RESUMEN TOTAL'!AH407</f>
        <v>0</v>
      </c>
      <c r="AB334" s="70">
        <f>'RESUMEN TOTAL'!AI407</f>
        <v>0</v>
      </c>
      <c r="AC334" s="70">
        <f>'RESUMEN TOTAL'!AJ407</f>
        <v>0</v>
      </c>
      <c r="AD334" s="70">
        <f>'RESUMEN TOTAL'!AK407</f>
        <v>0</v>
      </c>
      <c r="AE334" s="70">
        <f>'RESUMEN TOTAL'!AL407</f>
        <v>0</v>
      </c>
      <c r="AF334" s="70">
        <f>'RESUMEN TOTAL'!AM407</f>
        <v>0</v>
      </c>
      <c r="AG334" s="70">
        <f>'RESUMEN TOTAL'!AN407</f>
        <v>0</v>
      </c>
      <c r="AH334" s="70">
        <f>'RESUMEN TOTAL'!AO407</f>
        <v>0</v>
      </c>
      <c r="AI334" s="70">
        <f>'RESUMEN TOTAL'!AP407</f>
        <v>0</v>
      </c>
    </row>
    <row r="335" spans="1:35" x14ac:dyDescent="0.25">
      <c r="A335" t="str">
        <f>'RESUMEN TOTAL'!A408</f>
        <v>SAN MARTIN</v>
      </c>
      <c r="B335" t="str">
        <f>'RESUMEN TOTAL'!B408</f>
        <v>SMA 09</v>
      </c>
      <c r="C335" t="str">
        <f>'RESUMEN TOTAL'!D408</f>
        <v>12 De Octubre y H. Lagos</v>
      </c>
      <c r="D335" s="30" t="str">
        <f>'RESUMEN TOTAL'!E408</f>
        <v>fija</v>
      </c>
      <c r="E335" s="30" t="str">
        <f>'RESUMEN TOTAL'!F408</f>
        <v>Fibra Optica</v>
      </c>
      <c r="F335" s="70">
        <f>'RESUMEN TOTAL'!M408</f>
        <v>0</v>
      </c>
      <c r="G335" s="70">
        <f>'RESUMEN TOTAL'!N408</f>
        <v>0</v>
      </c>
      <c r="H335" s="70">
        <f>'RESUMEN TOTAL'!P408</f>
        <v>0</v>
      </c>
      <c r="I335" s="70" t="e">
        <f>'RESUMEN TOTAL'!#REF!</f>
        <v>#REF!</v>
      </c>
      <c r="J335" s="70">
        <f>'RESUMEN TOTAL'!Q408</f>
        <v>0</v>
      </c>
      <c r="K335" s="70">
        <f>'RESUMEN TOTAL'!R408</f>
        <v>0</v>
      </c>
      <c r="L335" s="70">
        <f>'RESUMEN TOTAL'!S408</f>
        <v>0</v>
      </c>
      <c r="M335" s="70">
        <f>'RESUMEN TOTAL'!T408</f>
        <v>0</v>
      </c>
      <c r="N335" s="70">
        <f>'RESUMEN TOTAL'!U408</f>
        <v>0</v>
      </c>
      <c r="O335" s="70">
        <f>'RESUMEN TOTAL'!V408</f>
        <v>0</v>
      </c>
      <c r="P335" s="70">
        <f>'RESUMEN TOTAL'!W408</f>
        <v>0</v>
      </c>
      <c r="Q335" s="70">
        <f>'RESUMEN TOTAL'!X408</f>
        <v>0</v>
      </c>
      <c r="R335" s="70">
        <f>'RESUMEN TOTAL'!Y408</f>
        <v>0</v>
      </c>
      <c r="S335" s="70">
        <f>'RESUMEN TOTAL'!Z408</f>
        <v>0</v>
      </c>
      <c r="T335" s="70">
        <f>'RESUMEN TOTAL'!AA408</f>
        <v>0</v>
      </c>
      <c r="U335" s="70">
        <f>'RESUMEN TOTAL'!AB408</f>
        <v>0</v>
      </c>
      <c r="V335" s="70">
        <f>'RESUMEN TOTAL'!AC408</f>
        <v>0</v>
      </c>
      <c r="W335" s="70">
        <f>'RESUMEN TOTAL'!AD408</f>
        <v>0</v>
      </c>
      <c r="X335" s="70">
        <f>'RESUMEN TOTAL'!AE408</f>
        <v>0</v>
      </c>
      <c r="Y335" s="70">
        <f>'RESUMEN TOTAL'!AF408</f>
        <v>0</v>
      </c>
      <c r="Z335" s="70">
        <f>'RESUMEN TOTAL'!AG408</f>
        <v>0</v>
      </c>
      <c r="AA335" s="70">
        <f>'RESUMEN TOTAL'!AH408</f>
        <v>0</v>
      </c>
      <c r="AB335" s="70">
        <f>'RESUMEN TOTAL'!AI408</f>
        <v>0</v>
      </c>
      <c r="AC335" s="70">
        <f>'RESUMEN TOTAL'!AJ408</f>
        <v>0</v>
      </c>
      <c r="AD335" s="70">
        <f>'RESUMEN TOTAL'!AK408</f>
        <v>0</v>
      </c>
      <c r="AE335" s="70">
        <f>'RESUMEN TOTAL'!AL408</f>
        <v>0</v>
      </c>
      <c r="AF335" s="70">
        <f>'RESUMEN TOTAL'!AM408</f>
        <v>0</v>
      </c>
      <c r="AG335" s="70">
        <f>'RESUMEN TOTAL'!AN408</f>
        <v>0</v>
      </c>
      <c r="AH335" s="70">
        <f>'RESUMEN TOTAL'!AO408</f>
        <v>0</v>
      </c>
      <c r="AI335" s="70">
        <f>'RESUMEN TOTAL'!AP408</f>
        <v>0</v>
      </c>
    </row>
    <row r="336" spans="1:35" x14ac:dyDescent="0.25">
      <c r="A336" t="str">
        <f>'RESUMEN TOTAL'!A411</f>
        <v>SAN NICOLAS</v>
      </c>
      <c r="B336" t="str">
        <f>'RESUMEN TOTAL'!B411</f>
        <v>SNI01 (fija 1)</v>
      </c>
      <c r="C336" t="str">
        <f>'RESUMEN TOTAL'!D411</f>
        <v>SARRATEA E/ EEUU DE A. Y AGRELO</v>
      </c>
      <c r="D336" s="30" t="str">
        <f>'RESUMEN TOTAL'!E411</f>
        <v>Fija</v>
      </c>
      <c r="E336" s="30" t="str">
        <f>'RESUMEN TOTAL'!F411</f>
        <v>Fibra Optica</v>
      </c>
      <c r="F336" s="70">
        <f>'RESUMEN TOTAL'!M411</f>
        <v>0</v>
      </c>
      <c r="G336" s="70">
        <f>'RESUMEN TOTAL'!N411</f>
        <v>0</v>
      </c>
      <c r="H336" s="70">
        <f>'RESUMEN TOTAL'!O411</f>
        <v>0</v>
      </c>
      <c r="I336" s="70">
        <f>'RESUMEN TOTAL'!P411</f>
        <v>0</v>
      </c>
      <c r="J336" s="70">
        <f>'RESUMEN TOTAL'!Q411</f>
        <v>0</v>
      </c>
      <c r="K336" s="70" t="str">
        <f>'RESUMEN TOTAL'!R411</f>
        <v>APAGADO</v>
      </c>
      <c r="L336" s="70">
        <f>'RESUMEN TOTAL'!S411</f>
        <v>0</v>
      </c>
      <c r="M336" s="70">
        <f>'RESUMEN TOTAL'!T411</f>
        <v>0</v>
      </c>
      <c r="N336" s="70">
        <f>'RESUMEN TOTAL'!U411</f>
        <v>0</v>
      </c>
      <c r="O336" s="70">
        <f>'RESUMEN TOTAL'!V411</f>
        <v>0</v>
      </c>
      <c r="P336" s="70">
        <f>'RESUMEN TOTAL'!W411</f>
        <v>0</v>
      </c>
      <c r="Q336" s="70">
        <f>'RESUMEN TOTAL'!X411</f>
        <v>0</v>
      </c>
      <c r="R336" s="70">
        <f>'RESUMEN TOTAL'!Y411</f>
        <v>0</v>
      </c>
      <c r="S336" s="70">
        <f>'RESUMEN TOTAL'!Z411</f>
        <v>0</v>
      </c>
      <c r="T336" s="70">
        <f>'RESUMEN TOTAL'!AA411</f>
        <v>0</v>
      </c>
      <c r="U336" s="70">
        <f>'RESUMEN TOTAL'!AB411</f>
        <v>0</v>
      </c>
      <c r="V336" s="70">
        <f>'RESUMEN TOTAL'!AC411</f>
        <v>0</v>
      </c>
      <c r="W336" s="70">
        <f>'RESUMEN TOTAL'!AD411</f>
        <v>0</v>
      </c>
      <c r="X336" s="70">
        <f>'RESUMEN TOTAL'!AE411</f>
        <v>0</v>
      </c>
      <c r="Y336" s="70">
        <f>'RESUMEN TOTAL'!AF411</f>
        <v>0</v>
      </c>
      <c r="Z336" s="70">
        <f>'RESUMEN TOTAL'!AG411</f>
        <v>0</v>
      </c>
      <c r="AA336" s="70">
        <f>'RESUMEN TOTAL'!AH411</f>
        <v>0</v>
      </c>
      <c r="AB336" s="70">
        <f>'RESUMEN TOTAL'!AI411</f>
        <v>0</v>
      </c>
      <c r="AC336" s="70">
        <f>'RESUMEN TOTAL'!AJ411</f>
        <v>0</v>
      </c>
      <c r="AD336" s="70">
        <f>'RESUMEN TOTAL'!AK411</f>
        <v>0</v>
      </c>
      <c r="AE336" s="70">
        <f>'RESUMEN TOTAL'!AL411</f>
        <v>0</v>
      </c>
      <c r="AF336" s="70">
        <f>'RESUMEN TOTAL'!AM411</f>
        <v>0</v>
      </c>
      <c r="AG336" s="70">
        <f>'RESUMEN TOTAL'!AN411</f>
        <v>0</v>
      </c>
      <c r="AH336" s="70">
        <f>'RESUMEN TOTAL'!AO411</f>
        <v>0</v>
      </c>
      <c r="AI336" s="70">
        <f>'RESUMEN TOTAL'!AP411</f>
        <v>0</v>
      </c>
    </row>
    <row r="337" spans="1:35" x14ac:dyDescent="0.25">
      <c r="A337" t="str">
        <f>'RESUMEN TOTAL'!A412</f>
        <v>SAN NICOLAS</v>
      </c>
      <c r="B337" t="str">
        <f>'RESUMEN TOTAL'!B412</f>
        <v>SNI02 (fija 2)</v>
      </c>
      <c r="C337" t="str">
        <f>'RESUMEN TOTAL'!D412</f>
        <v>SARRATEA E/ EEUU DE A. Y AGRELO</v>
      </c>
      <c r="D337" s="30" t="str">
        <f>'RESUMEN TOTAL'!E412</f>
        <v>Fija</v>
      </c>
      <c r="E337" s="30" t="str">
        <f>'RESUMEN TOTAL'!F412</f>
        <v>Fibra Optica</v>
      </c>
      <c r="F337" s="70">
        <f>'RESUMEN TOTAL'!M412</f>
        <v>0</v>
      </c>
      <c r="G337" s="70">
        <f>'RESUMEN TOTAL'!N412</f>
        <v>0</v>
      </c>
      <c r="H337" s="70">
        <f>'RESUMEN TOTAL'!O412</f>
        <v>0</v>
      </c>
      <c r="I337" s="70">
        <f>'RESUMEN TOTAL'!P412</f>
        <v>0</v>
      </c>
      <c r="J337" s="70">
        <f>'RESUMEN TOTAL'!Q412</f>
        <v>0</v>
      </c>
      <c r="K337" s="70" t="str">
        <f>'RESUMEN TOTAL'!R412</f>
        <v>APAGADO</v>
      </c>
      <c r="L337" s="70">
        <f>'RESUMEN TOTAL'!S412</f>
        <v>0</v>
      </c>
      <c r="M337" s="70">
        <f>'RESUMEN TOTAL'!T412</f>
        <v>0</v>
      </c>
      <c r="N337" s="70">
        <f>'RESUMEN TOTAL'!U412</f>
        <v>0</v>
      </c>
      <c r="O337" s="70">
        <f>'RESUMEN TOTAL'!V412</f>
        <v>0</v>
      </c>
      <c r="P337" s="70">
        <f>'RESUMEN TOTAL'!W412</f>
        <v>0</v>
      </c>
      <c r="Q337" s="70">
        <f>'RESUMEN TOTAL'!X412</f>
        <v>0</v>
      </c>
      <c r="R337" s="70">
        <f>'RESUMEN TOTAL'!Y412</f>
        <v>0</v>
      </c>
      <c r="S337" s="70">
        <f>'RESUMEN TOTAL'!Z412</f>
        <v>0</v>
      </c>
      <c r="T337" s="70">
        <f>'RESUMEN TOTAL'!AA412</f>
        <v>0</v>
      </c>
      <c r="U337" s="70">
        <f>'RESUMEN TOTAL'!AB412</f>
        <v>0</v>
      </c>
      <c r="V337" s="70">
        <f>'RESUMEN TOTAL'!AC412</f>
        <v>0</v>
      </c>
      <c r="W337" s="70">
        <f>'RESUMEN TOTAL'!AD412</f>
        <v>0</v>
      </c>
      <c r="X337" s="70">
        <f>'RESUMEN TOTAL'!AE412</f>
        <v>0</v>
      </c>
      <c r="Y337" s="70">
        <f>'RESUMEN TOTAL'!AF412</f>
        <v>0</v>
      </c>
      <c r="Z337" s="70">
        <f>'RESUMEN TOTAL'!AG412</f>
        <v>0</v>
      </c>
      <c r="AA337" s="70">
        <f>'RESUMEN TOTAL'!AH412</f>
        <v>0</v>
      </c>
      <c r="AB337" s="70">
        <f>'RESUMEN TOTAL'!AI412</f>
        <v>0</v>
      </c>
      <c r="AC337" s="70">
        <f>'RESUMEN TOTAL'!AJ412</f>
        <v>0</v>
      </c>
      <c r="AD337" s="70">
        <f>'RESUMEN TOTAL'!AK412</f>
        <v>0</v>
      </c>
      <c r="AE337" s="70">
        <f>'RESUMEN TOTAL'!AL412</f>
        <v>0</v>
      </c>
      <c r="AF337" s="70">
        <f>'RESUMEN TOTAL'!AM412</f>
        <v>0</v>
      </c>
      <c r="AG337" s="70">
        <f>'RESUMEN TOTAL'!AN412</f>
        <v>0</v>
      </c>
      <c r="AH337" s="70">
        <f>'RESUMEN TOTAL'!AO412</f>
        <v>0</v>
      </c>
      <c r="AI337" s="70">
        <f>'RESUMEN TOTAL'!AP412</f>
        <v>0</v>
      </c>
    </row>
    <row r="338" spans="1:35" x14ac:dyDescent="0.25">
      <c r="A338" t="str">
        <f>'RESUMEN TOTAL'!A413</f>
        <v>SAN NICOLAS</v>
      </c>
      <c r="B338" t="str">
        <f>'RESUMEN TOTAL'!B413</f>
        <v>SNI 03 (fija 1)</v>
      </c>
      <c r="C338" t="str">
        <f>'RESUMEN TOTAL'!D413</f>
        <v>SARRATEA Y LOS TREBOLES</v>
      </c>
      <c r="D338" s="30" t="str">
        <f>'RESUMEN TOTAL'!E413</f>
        <v>Fija</v>
      </c>
      <c r="E338" s="30" t="str">
        <f>'RESUMEN TOTAL'!F413</f>
        <v>Fibra Optica</v>
      </c>
      <c r="F338" s="70">
        <f>'RESUMEN TOTAL'!M413</f>
        <v>0</v>
      </c>
      <c r="G338" s="70">
        <f>'RESUMEN TOTAL'!N413</f>
        <v>0</v>
      </c>
      <c r="H338" s="70">
        <f>'RESUMEN TOTAL'!O413</f>
        <v>0</v>
      </c>
      <c r="I338" s="70">
        <f>'RESUMEN TOTAL'!P413</f>
        <v>0</v>
      </c>
      <c r="J338" s="70">
        <f>'RESUMEN TOTAL'!Q413</f>
        <v>0</v>
      </c>
      <c r="K338" s="70" t="str">
        <f>'RESUMEN TOTAL'!R413</f>
        <v>APAGADO</v>
      </c>
      <c r="L338" s="70">
        <f>'RESUMEN TOTAL'!S413</f>
        <v>0</v>
      </c>
      <c r="M338" s="70">
        <f>'RESUMEN TOTAL'!T413</f>
        <v>0</v>
      </c>
      <c r="N338" s="70">
        <f>'RESUMEN TOTAL'!U413</f>
        <v>0</v>
      </c>
      <c r="O338" s="70">
        <f>'RESUMEN TOTAL'!V413</f>
        <v>0</v>
      </c>
      <c r="P338" s="70" t="str">
        <f>'RESUMEN TOTAL'!W413</f>
        <v>APAGADO</v>
      </c>
      <c r="Q338" s="70" t="str">
        <f>'RESUMEN TOTAL'!X413</f>
        <v>APAGADO</v>
      </c>
      <c r="R338" s="70" t="str">
        <f>'RESUMEN TOTAL'!Y413</f>
        <v>APAGADO</v>
      </c>
      <c r="S338" s="70" t="str">
        <f>'RESUMEN TOTAL'!Z413</f>
        <v>APAGADO</v>
      </c>
      <c r="T338" s="70" t="str">
        <f>'RESUMEN TOTAL'!AA413</f>
        <v>APAGADO</v>
      </c>
      <c r="U338" s="70" t="str">
        <f>'RESUMEN TOTAL'!AB413</f>
        <v>APAGADO</v>
      </c>
      <c r="V338" s="70" t="str">
        <f>'RESUMEN TOTAL'!AC413</f>
        <v>APAGADO</v>
      </c>
      <c r="W338" s="70" t="str">
        <f>'RESUMEN TOTAL'!AD413</f>
        <v>APAGADO</v>
      </c>
      <c r="X338" s="70" t="str">
        <f>'RESUMEN TOTAL'!AE413</f>
        <v>APAGADO</v>
      </c>
      <c r="Y338" s="70" t="str">
        <f>'RESUMEN TOTAL'!AF413</f>
        <v>APAGADO</v>
      </c>
      <c r="Z338" s="70" t="str">
        <f>'RESUMEN TOTAL'!AG413</f>
        <v>APAGADO</v>
      </c>
      <c r="AA338" s="70">
        <f>'RESUMEN TOTAL'!AH413</f>
        <v>0</v>
      </c>
      <c r="AB338" s="70">
        <f>'RESUMEN TOTAL'!AI413</f>
        <v>0</v>
      </c>
      <c r="AC338" s="70">
        <f>'RESUMEN TOTAL'!AJ413</f>
        <v>0</v>
      </c>
      <c r="AD338" s="70">
        <f>'RESUMEN TOTAL'!AK413</f>
        <v>0</v>
      </c>
      <c r="AE338" s="70">
        <f>'RESUMEN TOTAL'!AL413</f>
        <v>0</v>
      </c>
      <c r="AF338" s="70">
        <f>'RESUMEN TOTAL'!AM413</f>
        <v>0</v>
      </c>
      <c r="AG338" s="70">
        <f>'RESUMEN TOTAL'!AN413</f>
        <v>0</v>
      </c>
      <c r="AH338" s="70">
        <f>'RESUMEN TOTAL'!AO413</f>
        <v>0</v>
      </c>
      <c r="AI338" s="70">
        <f>'RESUMEN TOTAL'!AP413</f>
        <v>0</v>
      </c>
    </row>
    <row r="339" spans="1:35" x14ac:dyDescent="0.25">
      <c r="A339" t="str">
        <f>'RESUMEN TOTAL'!A414</f>
        <v>SAN NICOLAS</v>
      </c>
      <c r="B339" t="str">
        <f>'RESUMEN TOTAL'!B414</f>
        <v>SNI 04 (fija 2)</v>
      </c>
      <c r="C339" t="str">
        <f>'RESUMEN TOTAL'!D414</f>
        <v>SARRATEA Y LOS TREBOLES</v>
      </c>
      <c r="D339" s="30" t="str">
        <f>'RESUMEN TOTAL'!E414</f>
        <v>Fija</v>
      </c>
      <c r="E339" s="30" t="str">
        <f>'RESUMEN TOTAL'!F414</f>
        <v>Fibra Optica</v>
      </c>
      <c r="F339" s="70">
        <f>'RESUMEN TOTAL'!M414</f>
        <v>0</v>
      </c>
      <c r="G339" s="70">
        <f>'RESUMEN TOTAL'!N414</f>
        <v>0</v>
      </c>
      <c r="H339" s="70">
        <f>'RESUMEN TOTAL'!O414</f>
        <v>0</v>
      </c>
      <c r="I339" s="70">
        <f>'RESUMEN TOTAL'!P414</f>
        <v>0</v>
      </c>
      <c r="J339" s="70">
        <f>'RESUMEN TOTAL'!Q414</f>
        <v>0</v>
      </c>
      <c r="K339" s="70" t="str">
        <f>'RESUMEN TOTAL'!R414</f>
        <v>APAGADO</v>
      </c>
      <c r="L339" s="70">
        <f>'RESUMEN TOTAL'!S414</f>
        <v>0</v>
      </c>
      <c r="M339" s="70">
        <f>'RESUMEN TOTAL'!T414</f>
        <v>0</v>
      </c>
      <c r="N339" s="70">
        <f>'RESUMEN TOTAL'!U414</f>
        <v>0</v>
      </c>
      <c r="O339" s="70">
        <f>'RESUMEN TOTAL'!V414</f>
        <v>0</v>
      </c>
      <c r="P339" s="70" t="str">
        <f>'RESUMEN TOTAL'!W414</f>
        <v>APAGADO</v>
      </c>
      <c r="Q339" s="70" t="str">
        <f>'RESUMEN TOTAL'!X414</f>
        <v>APAGADO</v>
      </c>
      <c r="R339" s="70" t="str">
        <f>'RESUMEN TOTAL'!Y414</f>
        <v>APAGADO</v>
      </c>
      <c r="S339" s="70" t="str">
        <f>'RESUMEN TOTAL'!Z414</f>
        <v>APAGADO</v>
      </c>
      <c r="T339" s="70" t="str">
        <f>'RESUMEN TOTAL'!AA414</f>
        <v>APAGADO</v>
      </c>
      <c r="U339" s="70" t="str">
        <f>'RESUMEN TOTAL'!AB414</f>
        <v>APAGADO</v>
      </c>
      <c r="V339" s="70" t="str">
        <f>'RESUMEN TOTAL'!AC414</f>
        <v>APAGADO</v>
      </c>
      <c r="W339" s="70" t="str">
        <f>'RESUMEN TOTAL'!AD414</f>
        <v>APAGADO</v>
      </c>
      <c r="X339" s="70" t="str">
        <f>'RESUMEN TOTAL'!AE414</f>
        <v>APAGADO</v>
      </c>
      <c r="Y339" s="70" t="str">
        <f>'RESUMEN TOTAL'!AF414</f>
        <v>APAGADO</v>
      </c>
      <c r="Z339" s="70" t="str">
        <f>'RESUMEN TOTAL'!AG414</f>
        <v>APAGADO</v>
      </c>
      <c r="AA339" s="70">
        <f>'RESUMEN TOTAL'!AH414</f>
        <v>0</v>
      </c>
      <c r="AB339" s="70">
        <f>'RESUMEN TOTAL'!AI414</f>
        <v>0</v>
      </c>
      <c r="AC339" s="70">
        <f>'RESUMEN TOTAL'!AJ414</f>
        <v>0</v>
      </c>
      <c r="AD339" s="70">
        <f>'RESUMEN TOTAL'!AK414</f>
        <v>0</v>
      </c>
      <c r="AE339" s="70">
        <f>'RESUMEN TOTAL'!AL414</f>
        <v>0</v>
      </c>
      <c r="AF339" s="70">
        <f>'RESUMEN TOTAL'!AM414</f>
        <v>0</v>
      </c>
      <c r="AG339" s="70">
        <f>'RESUMEN TOTAL'!AN414</f>
        <v>0</v>
      </c>
      <c r="AH339" s="70">
        <f>'RESUMEN TOTAL'!AO414</f>
        <v>0</v>
      </c>
      <c r="AI339" s="70">
        <f>'RESUMEN TOTAL'!AP414</f>
        <v>0</v>
      </c>
    </row>
    <row r="340" spans="1:35" x14ac:dyDescent="0.25">
      <c r="A340" t="str">
        <f>'RESUMEN TOTAL'!A415</f>
        <v>SANTA ROSA</v>
      </c>
      <c r="B340" t="str">
        <f>'RESUMEN TOTAL'!B415</f>
        <v>SRO01</v>
      </c>
      <c r="C340" t="str">
        <f>'RESUMEN TOTAL'!D415</f>
        <v>Yugoslavia y MilÃ¡n</v>
      </c>
      <c r="D340" s="30" t="str">
        <f>'RESUMEN TOTAL'!E415</f>
        <v>Domo</v>
      </c>
      <c r="E340" s="30" t="str">
        <f>'RESUMEN TOTAL'!F415</f>
        <v>PTO A FO</v>
      </c>
      <c r="F340" s="70">
        <f>'RESUMEN TOTAL'!M415</f>
        <v>0</v>
      </c>
      <c r="G340" s="70">
        <f>'RESUMEN TOTAL'!N415</f>
        <v>0</v>
      </c>
      <c r="H340" s="70">
        <f>'RESUMEN TOTAL'!O415</f>
        <v>0</v>
      </c>
      <c r="I340" s="70">
        <f>'RESUMEN TOTAL'!P415</f>
        <v>0</v>
      </c>
      <c r="J340" s="70">
        <f>'RESUMEN TOTAL'!Q415</f>
        <v>0</v>
      </c>
      <c r="K340" s="70">
        <f>'RESUMEN TOTAL'!R415</f>
        <v>0</v>
      </c>
      <c r="L340" s="70">
        <f>'RESUMEN TOTAL'!S415</f>
        <v>0</v>
      </c>
      <c r="M340" s="70">
        <f>'RESUMEN TOTAL'!T415</f>
        <v>0</v>
      </c>
      <c r="N340" s="70">
        <f>'RESUMEN TOTAL'!U415</f>
        <v>0</v>
      </c>
      <c r="O340" s="70">
        <f>'RESUMEN TOTAL'!V415</f>
        <v>0</v>
      </c>
      <c r="P340" s="70">
        <f>'RESUMEN TOTAL'!W415</f>
        <v>0</v>
      </c>
      <c r="Q340" s="70">
        <f>'RESUMEN TOTAL'!X415</f>
        <v>0</v>
      </c>
      <c r="R340" s="70">
        <f>'RESUMEN TOTAL'!Y415</f>
        <v>0</v>
      </c>
      <c r="S340" s="70">
        <f>'RESUMEN TOTAL'!Z415</f>
        <v>0</v>
      </c>
      <c r="T340" s="70">
        <f>'RESUMEN TOTAL'!AA415</f>
        <v>0</v>
      </c>
      <c r="U340" s="70">
        <f>'RESUMEN TOTAL'!AB415</f>
        <v>0</v>
      </c>
      <c r="V340" s="70">
        <f>'RESUMEN TOTAL'!AC415</f>
        <v>0</v>
      </c>
      <c r="W340" s="70">
        <f>'RESUMEN TOTAL'!AD415</f>
        <v>0</v>
      </c>
      <c r="X340" s="70">
        <f>'RESUMEN TOTAL'!AE415</f>
        <v>0</v>
      </c>
      <c r="Y340" s="70">
        <f>'RESUMEN TOTAL'!AF415</f>
        <v>0</v>
      </c>
      <c r="Z340" s="70">
        <f>'RESUMEN TOTAL'!AG415</f>
        <v>0</v>
      </c>
      <c r="AA340" s="70">
        <f>'RESUMEN TOTAL'!AH415</f>
        <v>0</v>
      </c>
      <c r="AB340" s="70">
        <f>'RESUMEN TOTAL'!AI415</f>
        <v>0</v>
      </c>
      <c r="AC340" s="70">
        <f>'RESUMEN TOTAL'!AJ415</f>
        <v>0</v>
      </c>
      <c r="AD340" s="70">
        <f>'RESUMEN TOTAL'!AK415</f>
        <v>0</v>
      </c>
      <c r="AE340" s="70">
        <f>'RESUMEN TOTAL'!AL415</f>
        <v>0</v>
      </c>
      <c r="AF340" s="70">
        <f>'RESUMEN TOTAL'!AM415</f>
        <v>0</v>
      </c>
      <c r="AG340" s="70">
        <f>'RESUMEN TOTAL'!AN415</f>
        <v>0</v>
      </c>
      <c r="AH340" s="70">
        <f>'RESUMEN TOTAL'!AO415</f>
        <v>0</v>
      </c>
      <c r="AI340" s="70">
        <f>'RESUMEN TOTAL'!AP415</f>
        <v>0</v>
      </c>
    </row>
    <row r="341" spans="1:35" x14ac:dyDescent="0.25">
      <c r="A341" t="str">
        <f>'RESUMEN TOTAL'!A416</f>
        <v>ZONA RURAL SANTA ROSA</v>
      </c>
      <c r="B341" t="str">
        <f>'RESUMEN TOTAL'!B416</f>
        <v>SRO02</v>
      </c>
      <c r="C341" t="str">
        <f>'RESUMEN TOTAL'!D416</f>
        <v>Bruselas y Calle 647</v>
      </c>
      <c r="D341" s="30" t="str">
        <f>'RESUMEN TOTAL'!E416</f>
        <v>Domo</v>
      </c>
      <c r="E341" s="30" t="str">
        <f>'RESUMEN TOTAL'!F416</f>
        <v>PTO A FO</v>
      </c>
      <c r="F341" s="70">
        <f>'RESUMEN TOTAL'!M416</f>
        <v>0</v>
      </c>
      <c r="G341" s="70">
        <f>'RESUMEN TOTAL'!N416</f>
        <v>0</v>
      </c>
      <c r="H341" s="70">
        <f>'RESUMEN TOTAL'!O416</f>
        <v>0</v>
      </c>
      <c r="I341" s="70">
        <f>'RESUMEN TOTAL'!P416</f>
        <v>0</v>
      </c>
      <c r="J341" s="70">
        <f>'RESUMEN TOTAL'!Q416</f>
        <v>0</v>
      </c>
      <c r="K341" s="70">
        <f>'RESUMEN TOTAL'!R416</f>
        <v>0</v>
      </c>
      <c r="L341" s="70">
        <f>'RESUMEN TOTAL'!S416</f>
        <v>0</v>
      </c>
      <c r="M341" s="70">
        <f>'RESUMEN TOTAL'!T416</f>
        <v>0</v>
      </c>
      <c r="N341" s="70">
        <f>'RESUMEN TOTAL'!U416</f>
        <v>0</v>
      </c>
      <c r="O341" s="70">
        <f>'RESUMEN TOTAL'!V416</f>
        <v>0</v>
      </c>
      <c r="P341" s="70">
        <f>'RESUMEN TOTAL'!W416</f>
        <v>0</v>
      </c>
      <c r="Q341" s="70">
        <f>'RESUMEN TOTAL'!X416</f>
        <v>0</v>
      </c>
      <c r="R341" s="70">
        <f>'RESUMEN TOTAL'!Y416</f>
        <v>0</v>
      </c>
      <c r="S341" s="70">
        <f>'RESUMEN TOTAL'!Z416</f>
        <v>0</v>
      </c>
      <c r="T341" s="70">
        <f>'RESUMEN TOTAL'!AA416</f>
        <v>0</v>
      </c>
      <c r="U341" s="70">
        <f>'RESUMEN TOTAL'!AB416</f>
        <v>0</v>
      </c>
      <c r="V341" s="70">
        <f>'RESUMEN TOTAL'!AC416</f>
        <v>0</v>
      </c>
      <c r="W341" s="70">
        <f>'RESUMEN TOTAL'!AD416</f>
        <v>0</v>
      </c>
      <c r="X341" s="70">
        <f>'RESUMEN TOTAL'!AE416</f>
        <v>0</v>
      </c>
      <c r="Y341" s="70">
        <f>'RESUMEN TOTAL'!AF416</f>
        <v>0</v>
      </c>
      <c r="Z341" s="70">
        <f>'RESUMEN TOTAL'!AG416</f>
        <v>0</v>
      </c>
      <c r="AA341" s="70">
        <f>'RESUMEN TOTAL'!AH416</f>
        <v>0</v>
      </c>
      <c r="AB341" s="70">
        <f>'RESUMEN TOTAL'!AI416</f>
        <v>0</v>
      </c>
      <c r="AC341" s="70">
        <f>'RESUMEN TOTAL'!AJ416</f>
        <v>0</v>
      </c>
      <c r="AD341" s="70">
        <f>'RESUMEN TOTAL'!AK416</f>
        <v>0</v>
      </c>
      <c r="AE341" s="70">
        <f>'RESUMEN TOTAL'!AL416</f>
        <v>0</v>
      </c>
      <c r="AF341" s="70">
        <f>'RESUMEN TOTAL'!AM416</f>
        <v>0</v>
      </c>
      <c r="AG341" s="70">
        <f>'RESUMEN TOTAL'!AN416</f>
        <v>0</v>
      </c>
      <c r="AH341" s="70">
        <f>'RESUMEN TOTAL'!AO416</f>
        <v>0</v>
      </c>
      <c r="AI341" s="70">
        <f>'RESUMEN TOTAL'!AP416</f>
        <v>0</v>
      </c>
    </row>
    <row r="342" spans="1:35" x14ac:dyDescent="0.25">
      <c r="A342" t="str">
        <f>'RESUMEN TOTAL'!A417</f>
        <v>SANTA ROSA</v>
      </c>
      <c r="B342" t="str">
        <f>'RESUMEN TOTAL'!B417</f>
        <v>SRO03</v>
      </c>
      <c r="C342" t="str">
        <f>'RESUMEN TOTAL'!D417</f>
        <v>Eva Peron y Paysandu</v>
      </c>
      <c r="D342" s="30" t="str">
        <f>'RESUMEN TOTAL'!E417</f>
        <v>Domo</v>
      </c>
      <c r="E342" s="30" t="str">
        <f>'RESUMEN TOTAL'!F417</f>
        <v>GPON</v>
      </c>
      <c r="F342" s="70">
        <f>'RESUMEN TOTAL'!M417</f>
        <v>0</v>
      </c>
      <c r="G342" s="70" t="str">
        <f>'RESUMEN TOTAL'!N417</f>
        <v>APAGADO</v>
      </c>
      <c r="H342" s="70">
        <f>'RESUMEN TOTAL'!O417</f>
        <v>0</v>
      </c>
      <c r="I342" s="70">
        <f>'RESUMEN TOTAL'!P417</f>
        <v>0</v>
      </c>
      <c r="J342" s="70">
        <f>'RESUMEN TOTAL'!Q417</f>
        <v>0</v>
      </c>
      <c r="K342" s="70">
        <f>'RESUMEN TOTAL'!R417</f>
        <v>0</v>
      </c>
      <c r="L342" s="70">
        <f>'RESUMEN TOTAL'!S417</f>
        <v>0</v>
      </c>
      <c r="M342" s="70">
        <f>'RESUMEN TOTAL'!T417</f>
        <v>0</v>
      </c>
      <c r="N342" s="70">
        <f>'RESUMEN TOTAL'!U417</f>
        <v>0</v>
      </c>
      <c r="O342" s="70">
        <f>'RESUMEN TOTAL'!V417</f>
        <v>0</v>
      </c>
      <c r="P342" s="70">
        <f>'RESUMEN TOTAL'!W417</f>
        <v>0</v>
      </c>
      <c r="Q342" s="70">
        <f>'RESUMEN TOTAL'!X417</f>
        <v>0</v>
      </c>
      <c r="R342" s="70">
        <f>'RESUMEN TOTAL'!Y417</f>
        <v>0</v>
      </c>
      <c r="S342" s="70">
        <f>'RESUMEN TOTAL'!Z417</f>
        <v>0</v>
      </c>
      <c r="T342" s="70">
        <f>'RESUMEN TOTAL'!AA417</f>
        <v>0</v>
      </c>
      <c r="U342" s="70">
        <f>'RESUMEN TOTAL'!AB417</f>
        <v>0</v>
      </c>
      <c r="V342" s="70">
        <f>'RESUMEN TOTAL'!AC417</f>
        <v>0</v>
      </c>
      <c r="W342" s="70">
        <f>'RESUMEN TOTAL'!AD417</f>
        <v>0</v>
      </c>
      <c r="X342" s="70">
        <f>'RESUMEN TOTAL'!AE417</f>
        <v>0</v>
      </c>
      <c r="Y342" s="70">
        <f>'RESUMEN TOTAL'!AF417</f>
        <v>0</v>
      </c>
      <c r="Z342" s="70">
        <f>'RESUMEN TOTAL'!AG417</f>
        <v>0</v>
      </c>
      <c r="AA342" s="70">
        <f>'RESUMEN TOTAL'!AH417</f>
        <v>0</v>
      </c>
      <c r="AB342" s="70">
        <f>'RESUMEN TOTAL'!AI417</f>
        <v>0</v>
      </c>
      <c r="AC342" s="70">
        <f>'RESUMEN TOTAL'!AJ417</f>
        <v>0</v>
      </c>
      <c r="AD342" s="70">
        <f>'RESUMEN TOTAL'!AK417</f>
        <v>0</v>
      </c>
      <c r="AE342" s="70">
        <f>'RESUMEN TOTAL'!AL417</f>
        <v>0</v>
      </c>
      <c r="AF342" s="70">
        <f>'RESUMEN TOTAL'!AM417</f>
        <v>0</v>
      </c>
      <c r="AG342" s="70">
        <f>'RESUMEN TOTAL'!AN417</f>
        <v>0</v>
      </c>
      <c r="AH342" s="70">
        <f>'RESUMEN TOTAL'!AO417</f>
        <v>0</v>
      </c>
      <c r="AI342" s="70">
        <f>'RESUMEN TOTAL'!AP417</f>
        <v>0</v>
      </c>
    </row>
    <row r="343" spans="1:35" x14ac:dyDescent="0.25">
      <c r="A343" t="str">
        <f>'RESUMEN TOTAL'!A418</f>
        <v>SANTA ROSA</v>
      </c>
      <c r="B343" t="str">
        <f>'RESUMEN TOTAL'!B418</f>
        <v>SRO 04</v>
      </c>
      <c r="C343" t="str">
        <f>'RESUMEN TOTAL'!D418</f>
        <v>Belgica y Andorra</v>
      </c>
      <c r="D343" s="30" t="str">
        <f>'RESUMEN TOTAL'!E418</f>
        <v>Domo</v>
      </c>
      <c r="E343" s="30" t="str">
        <f>'RESUMEN TOTAL'!F418</f>
        <v>GPON</v>
      </c>
      <c r="F343" s="70">
        <f>'RESUMEN TOTAL'!M418</f>
        <v>0</v>
      </c>
      <c r="G343" s="70">
        <f>'RESUMEN TOTAL'!N418</f>
        <v>0</v>
      </c>
      <c r="H343" s="70">
        <f>'RESUMEN TOTAL'!O418</f>
        <v>0</v>
      </c>
      <c r="I343" s="70">
        <f>'RESUMEN TOTAL'!P418</f>
        <v>0</v>
      </c>
      <c r="J343" s="70">
        <f>'RESUMEN TOTAL'!Q418</f>
        <v>0</v>
      </c>
      <c r="K343" s="70">
        <f>'RESUMEN TOTAL'!R418</f>
        <v>0</v>
      </c>
      <c r="L343" s="70">
        <f>'RESUMEN TOTAL'!S418</f>
        <v>0</v>
      </c>
      <c r="M343" s="70">
        <f>'RESUMEN TOTAL'!T418</f>
        <v>0</v>
      </c>
      <c r="N343" s="70">
        <f>'RESUMEN TOTAL'!U418</f>
        <v>0</v>
      </c>
      <c r="O343" s="70">
        <f>'RESUMEN TOTAL'!V418</f>
        <v>0</v>
      </c>
      <c r="P343" s="70">
        <f>'RESUMEN TOTAL'!W418</f>
        <v>0</v>
      </c>
      <c r="Q343" s="70">
        <f>'RESUMEN TOTAL'!X418</f>
        <v>0</v>
      </c>
      <c r="R343" s="70">
        <f>'RESUMEN TOTAL'!Y418</f>
        <v>0</v>
      </c>
      <c r="S343" s="70">
        <f>'RESUMEN TOTAL'!Z418</f>
        <v>0</v>
      </c>
      <c r="T343" s="70">
        <f>'RESUMEN TOTAL'!AA418</f>
        <v>0</v>
      </c>
      <c r="U343" s="70">
        <f>'RESUMEN TOTAL'!AB418</f>
        <v>0</v>
      </c>
      <c r="V343" s="70">
        <f>'RESUMEN TOTAL'!AC418</f>
        <v>0</v>
      </c>
      <c r="W343" s="70">
        <f>'RESUMEN TOTAL'!AD418</f>
        <v>0</v>
      </c>
      <c r="X343" s="70">
        <f>'RESUMEN TOTAL'!AE418</f>
        <v>0</v>
      </c>
      <c r="Y343" s="70">
        <f>'RESUMEN TOTAL'!AF418</f>
        <v>0</v>
      </c>
      <c r="Z343" s="70">
        <f>'RESUMEN TOTAL'!AG418</f>
        <v>0</v>
      </c>
      <c r="AA343" s="70">
        <f>'RESUMEN TOTAL'!AH418</f>
        <v>0</v>
      </c>
      <c r="AB343" s="70">
        <f>'RESUMEN TOTAL'!AI418</f>
        <v>0</v>
      </c>
      <c r="AC343" s="70">
        <f>'RESUMEN TOTAL'!AJ418</f>
        <v>0</v>
      </c>
      <c r="AD343" s="70">
        <f>'RESUMEN TOTAL'!AK418</f>
        <v>0</v>
      </c>
      <c r="AE343" s="70">
        <f>'RESUMEN TOTAL'!AL418</f>
        <v>0</v>
      </c>
      <c r="AF343" s="70">
        <f>'RESUMEN TOTAL'!AM418</f>
        <v>0</v>
      </c>
      <c r="AG343" s="70">
        <f>'RESUMEN TOTAL'!AN418</f>
        <v>0</v>
      </c>
      <c r="AH343" s="70">
        <f>'RESUMEN TOTAL'!AO418</f>
        <v>0</v>
      </c>
      <c r="AI343" s="70">
        <f>'RESUMEN TOTAL'!AP418</f>
        <v>0</v>
      </c>
    </row>
    <row r="344" spans="1:35" x14ac:dyDescent="0.25">
      <c r="A344" t="str">
        <f>'RESUMEN TOTAL'!A419</f>
        <v>SANTA ROSA</v>
      </c>
      <c r="B344" t="str">
        <f>'RESUMEN TOTAL'!B419</f>
        <v>SRO05</v>
      </c>
      <c r="C344" t="str">
        <f>'RESUMEN TOTAL'!D419</f>
        <v>CAFFERATA Y BONN</v>
      </c>
      <c r="D344" s="30" t="str">
        <f>'RESUMEN TOTAL'!E419</f>
        <v>DOMO</v>
      </c>
      <c r="E344" s="30" t="str">
        <f>'RESUMEN TOTAL'!F419</f>
        <v>Radio</v>
      </c>
      <c r="F344" s="70">
        <f>'RESUMEN TOTAL'!M419</f>
        <v>0</v>
      </c>
      <c r="G344" s="70">
        <f>'RESUMEN TOTAL'!N419</f>
        <v>0</v>
      </c>
      <c r="H344" s="70">
        <f>'RESUMEN TOTAL'!O419</f>
        <v>0</v>
      </c>
      <c r="I344" s="70">
        <f>'RESUMEN TOTAL'!P419</f>
        <v>0</v>
      </c>
      <c r="J344" s="70">
        <f>'RESUMEN TOTAL'!Q419</f>
        <v>0</v>
      </c>
      <c r="K344" s="70">
        <f>'RESUMEN TOTAL'!R419</f>
        <v>0</v>
      </c>
      <c r="L344" s="70">
        <f>'RESUMEN TOTAL'!S419</f>
        <v>0</v>
      </c>
      <c r="M344" s="70">
        <f>'RESUMEN TOTAL'!T419</f>
        <v>0</v>
      </c>
      <c r="N344" s="70">
        <f>'RESUMEN TOTAL'!U419</f>
        <v>0</v>
      </c>
      <c r="O344" s="70">
        <f>'RESUMEN TOTAL'!V419</f>
        <v>0</v>
      </c>
      <c r="P344" s="70">
        <f>'RESUMEN TOTAL'!W419</f>
        <v>0</v>
      </c>
      <c r="Q344" s="70">
        <f>'RESUMEN TOTAL'!X419</f>
        <v>0</v>
      </c>
      <c r="R344" s="70">
        <f>'RESUMEN TOTAL'!Y419</f>
        <v>0</v>
      </c>
      <c r="S344" s="70">
        <f>'RESUMEN TOTAL'!Z419</f>
        <v>0</v>
      </c>
      <c r="T344" s="70">
        <f>'RESUMEN TOTAL'!AA419</f>
        <v>0</v>
      </c>
      <c r="U344" s="70">
        <f>'RESUMEN TOTAL'!AB419</f>
        <v>0</v>
      </c>
      <c r="V344" s="70">
        <f>'RESUMEN TOTAL'!AC419</f>
        <v>0</v>
      </c>
      <c r="W344" s="70">
        <f>'RESUMEN TOTAL'!AD419</f>
        <v>0</v>
      </c>
      <c r="X344" s="70">
        <f>'RESUMEN TOTAL'!AE419</f>
        <v>0</v>
      </c>
      <c r="Y344" s="70">
        <f>'RESUMEN TOTAL'!AF419</f>
        <v>0</v>
      </c>
      <c r="Z344" s="70">
        <f>'RESUMEN TOTAL'!AG419</f>
        <v>0</v>
      </c>
      <c r="AA344" s="70">
        <f>'RESUMEN TOTAL'!AH419</f>
        <v>0</v>
      </c>
      <c r="AB344" s="70">
        <f>'RESUMEN TOTAL'!AI419</f>
        <v>0</v>
      </c>
      <c r="AC344" s="70">
        <f>'RESUMEN TOTAL'!AJ419</f>
        <v>0</v>
      </c>
      <c r="AD344" s="70">
        <f>'RESUMEN TOTAL'!AK419</f>
        <v>0</v>
      </c>
      <c r="AE344" s="70">
        <f>'RESUMEN TOTAL'!AL419</f>
        <v>0</v>
      </c>
      <c r="AF344" s="70">
        <f>'RESUMEN TOTAL'!AM419</f>
        <v>0</v>
      </c>
      <c r="AG344" s="70">
        <f>'RESUMEN TOTAL'!AN419</f>
        <v>0</v>
      </c>
      <c r="AH344" s="70">
        <f>'RESUMEN TOTAL'!AO419</f>
        <v>0</v>
      </c>
      <c r="AI344" s="70">
        <f>'RESUMEN TOTAL'!AP419</f>
        <v>0</v>
      </c>
    </row>
    <row r="345" spans="1:35" x14ac:dyDescent="0.25">
      <c r="A345" t="str">
        <f>'RESUMEN TOTAL'!A420</f>
        <v>SANTA ROSA</v>
      </c>
      <c r="B345" t="str">
        <f>'RESUMEN TOTAL'!B420</f>
        <v>SRO06</v>
      </c>
      <c r="C345" t="str">
        <f>'RESUMEN TOTAL'!D420</f>
        <v>Novak y Bonn</v>
      </c>
      <c r="D345" s="30" t="str">
        <f>'RESUMEN TOTAL'!E420</f>
        <v>Domo</v>
      </c>
      <c r="E345" s="30" t="str">
        <f>'RESUMEN TOTAL'!F420</f>
        <v>Fibra Optica</v>
      </c>
      <c r="F345" s="70">
        <f>'RESUMEN TOTAL'!M420</f>
        <v>0</v>
      </c>
      <c r="G345" s="70">
        <f>'RESUMEN TOTAL'!N420</f>
        <v>0</v>
      </c>
      <c r="H345" s="70">
        <f>'RESUMEN TOTAL'!O420</f>
        <v>0</v>
      </c>
      <c r="I345" s="70">
        <f>'RESUMEN TOTAL'!P420</f>
        <v>0</v>
      </c>
      <c r="J345" s="70">
        <f>'RESUMEN TOTAL'!Q420</f>
        <v>0</v>
      </c>
      <c r="K345" s="70">
        <f>'RESUMEN TOTAL'!R420</f>
        <v>0</v>
      </c>
      <c r="L345" s="70">
        <f>'RESUMEN TOTAL'!S420</f>
        <v>0</v>
      </c>
      <c r="M345" s="70">
        <f>'RESUMEN TOTAL'!T420</f>
        <v>0</v>
      </c>
      <c r="N345" s="70">
        <f>'RESUMEN TOTAL'!U420</f>
        <v>0</v>
      </c>
      <c r="O345" s="70">
        <f>'RESUMEN TOTAL'!V420</f>
        <v>0</v>
      </c>
      <c r="P345" s="70">
        <f>'RESUMEN TOTAL'!W420</f>
        <v>0</v>
      </c>
      <c r="Q345" s="70">
        <f>'RESUMEN TOTAL'!X420</f>
        <v>0</v>
      </c>
      <c r="R345" s="70">
        <f>'RESUMEN TOTAL'!Y420</f>
        <v>0</v>
      </c>
      <c r="S345" s="70">
        <f>'RESUMEN TOTAL'!Z420</f>
        <v>0</v>
      </c>
      <c r="T345" s="70">
        <f>'RESUMEN TOTAL'!AA420</f>
        <v>0</v>
      </c>
      <c r="U345" s="70">
        <f>'RESUMEN TOTAL'!AB420</f>
        <v>0</v>
      </c>
      <c r="V345" s="70">
        <f>'RESUMEN TOTAL'!AC420</f>
        <v>0</v>
      </c>
      <c r="W345" s="70">
        <f>'RESUMEN TOTAL'!AD420</f>
        <v>0</v>
      </c>
      <c r="X345" s="70">
        <f>'RESUMEN TOTAL'!AE420</f>
        <v>0</v>
      </c>
      <c r="Y345" s="70">
        <f>'RESUMEN TOTAL'!AF420</f>
        <v>0</v>
      </c>
      <c r="Z345" s="70">
        <f>'RESUMEN TOTAL'!AG420</f>
        <v>0</v>
      </c>
      <c r="AA345" s="70">
        <f>'RESUMEN TOTAL'!AH420</f>
        <v>0</v>
      </c>
      <c r="AB345" s="70" t="str">
        <f>'RESUMEN TOTAL'!AI420</f>
        <v>APAGADO</v>
      </c>
      <c r="AC345" s="70">
        <f>'RESUMEN TOTAL'!AJ420</f>
        <v>0</v>
      </c>
      <c r="AD345" s="70">
        <f>'RESUMEN TOTAL'!AK420</f>
        <v>0</v>
      </c>
      <c r="AE345" s="70">
        <f>'RESUMEN TOTAL'!AL420</f>
        <v>0</v>
      </c>
      <c r="AF345" s="70">
        <f>'RESUMEN TOTAL'!AM420</f>
        <v>0</v>
      </c>
      <c r="AG345" s="70">
        <f>'RESUMEN TOTAL'!AN420</f>
        <v>0</v>
      </c>
      <c r="AH345" s="70">
        <f>'RESUMEN TOTAL'!AO420</f>
        <v>0</v>
      </c>
      <c r="AI345" s="70">
        <f>'RESUMEN TOTAL'!AP420</f>
        <v>0</v>
      </c>
    </row>
    <row r="346" spans="1:35" x14ac:dyDescent="0.25">
      <c r="A346" t="str">
        <f>'RESUMEN TOTAL'!A421</f>
        <v>SANTA ROSA</v>
      </c>
      <c r="B346" t="str">
        <f>'RESUMEN TOTAL'!B421</f>
        <v>SRO07</v>
      </c>
      <c r="C346" t="str">
        <f>'RESUMEN TOTAL'!D421</f>
        <v>NOVAK Y BELGICA</v>
      </c>
      <c r="D346" s="30" t="str">
        <f>'RESUMEN TOTAL'!E421</f>
        <v>Domo</v>
      </c>
      <c r="E346" s="30" t="str">
        <f>'RESUMEN TOTAL'!F421</f>
        <v>Fibra Optica</v>
      </c>
      <c r="F346" s="70">
        <f>'RESUMEN TOTAL'!M421</f>
        <v>0</v>
      </c>
      <c r="G346" s="70">
        <f>'RESUMEN TOTAL'!N421</f>
        <v>0</v>
      </c>
      <c r="H346" s="70">
        <f>'RESUMEN TOTAL'!O421</f>
        <v>0</v>
      </c>
      <c r="I346" s="70">
        <f>'RESUMEN TOTAL'!P421</f>
        <v>0</v>
      </c>
      <c r="J346" s="70">
        <f>'RESUMEN TOTAL'!Q421</f>
        <v>0</v>
      </c>
      <c r="K346" s="70">
        <f>'RESUMEN TOTAL'!R421</f>
        <v>0</v>
      </c>
      <c r="L346" s="70">
        <f>'RESUMEN TOTAL'!S421</f>
        <v>0</v>
      </c>
      <c r="M346" s="70">
        <f>'RESUMEN TOTAL'!T421</f>
        <v>0</v>
      </c>
      <c r="N346" s="70">
        <f>'RESUMEN TOTAL'!U421</f>
        <v>0</v>
      </c>
      <c r="O346" s="70">
        <f>'RESUMEN TOTAL'!V421</f>
        <v>0</v>
      </c>
      <c r="P346" s="70">
        <f>'RESUMEN TOTAL'!W421</f>
        <v>0</v>
      </c>
      <c r="Q346" s="70">
        <f>'RESUMEN TOTAL'!X421</f>
        <v>0</v>
      </c>
      <c r="R346" s="70">
        <f>'RESUMEN TOTAL'!Y421</f>
        <v>0</v>
      </c>
      <c r="S346" s="70">
        <f>'RESUMEN TOTAL'!Z421</f>
        <v>0</v>
      </c>
      <c r="T346" s="70">
        <f>'RESUMEN TOTAL'!AA421</f>
        <v>0</v>
      </c>
      <c r="U346" s="70">
        <f>'RESUMEN TOTAL'!AB421</f>
        <v>0</v>
      </c>
      <c r="V346" s="70">
        <f>'RESUMEN TOTAL'!AC421</f>
        <v>0</v>
      </c>
      <c r="W346" s="70">
        <f>'RESUMEN TOTAL'!AD421</f>
        <v>0</v>
      </c>
      <c r="X346" s="70">
        <f>'RESUMEN TOTAL'!AE421</f>
        <v>0</v>
      </c>
      <c r="Y346" s="70">
        <f>'RESUMEN TOTAL'!AF421</f>
        <v>0</v>
      </c>
      <c r="Z346" s="70">
        <f>'RESUMEN TOTAL'!AG421</f>
        <v>0</v>
      </c>
      <c r="AA346" s="70">
        <f>'RESUMEN TOTAL'!AH421</f>
        <v>0</v>
      </c>
      <c r="AB346" s="70">
        <f>'RESUMEN TOTAL'!AI421</f>
        <v>0</v>
      </c>
      <c r="AC346" s="70">
        <f>'RESUMEN TOTAL'!AJ421</f>
        <v>0</v>
      </c>
      <c r="AD346" s="70">
        <f>'RESUMEN TOTAL'!AK421</f>
        <v>0</v>
      </c>
      <c r="AE346" s="70">
        <f>'RESUMEN TOTAL'!AL421</f>
        <v>0</v>
      </c>
      <c r="AF346" s="70">
        <f>'RESUMEN TOTAL'!AM421</f>
        <v>0</v>
      </c>
      <c r="AG346" s="70">
        <f>'RESUMEN TOTAL'!AN421</f>
        <v>0</v>
      </c>
      <c r="AH346" s="70">
        <f>'RESUMEN TOTAL'!AO421</f>
        <v>0</v>
      </c>
      <c r="AI346" s="70">
        <f>'RESUMEN TOTAL'!AP421</f>
        <v>0</v>
      </c>
    </row>
    <row r="347" spans="1:35" x14ac:dyDescent="0.25">
      <c r="A347" t="str">
        <f>'RESUMEN TOTAL'!A422</f>
        <v>SANTA ROSA</v>
      </c>
      <c r="B347" t="str">
        <f>'RESUMEN TOTAL'!B422</f>
        <v>SRO 08</v>
      </c>
      <c r="C347" t="str">
        <f>'RESUMEN TOTAL'!D422</f>
        <v>NOVAK E/ DESSY Y BELGICA (POLIDEPORTIVO LA PATRIADA)</v>
      </c>
      <c r="D347" s="30" t="str">
        <f>'RESUMEN TOTAL'!E422</f>
        <v>Domo</v>
      </c>
      <c r="E347" s="30" t="str">
        <f>'RESUMEN TOTAL'!F422</f>
        <v>Fibra Optica</v>
      </c>
      <c r="F347" s="70">
        <f>'RESUMEN TOTAL'!M422</f>
        <v>0</v>
      </c>
      <c r="G347" s="70">
        <f>'RESUMEN TOTAL'!N422</f>
        <v>0</v>
      </c>
      <c r="H347" s="70">
        <f>'RESUMEN TOTAL'!O422</f>
        <v>0</v>
      </c>
      <c r="I347" s="70">
        <f>'RESUMEN TOTAL'!P422</f>
        <v>0</v>
      </c>
      <c r="J347" s="70">
        <f>'RESUMEN TOTAL'!Q422</f>
        <v>0</v>
      </c>
      <c r="K347" s="70">
        <f>'RESUMEN TOTAL'!R422</f>
        <v>0</v>
      </c>
      <c r="L347" s="70">
        <f>'RESUMEN TOTAL'!S422</f>
        <v>0</v>
      </c>
      <c r="M347" s="70">
        <f>'RESUMEN TOTAL'!T422</f>
        <v>0</v>
      </c>
      <c r="N347" s="70">
        <f>'RESUMEN TOTAL'!U422</f>
        <v>0</v>
      </c>
      <c r="O347" s="70">
        <f>'RESUMEN TOTAL'!V422</f>
        <v>0</v>
      </c>
      <c r="P347" s="70">
        <f>'RESUMEN TOTAL'!W422</f>
        <v>0</v>
      </c>
      <c r="Q347" s="70">
        <f>'RESUMEN TOTAL'!X422</f>
        <v>0</v>
      </c>
      <c r="R347" s="70">
        <f>'RESUMEN TOTAL'!Y422</f>
        <v>0</v>
      </c>
      <c r="S347" s="70">
        <f>'RESUMEN TOTAL'!Z422</f>
        <v>0</v>
      </c>
      <c r="T347" s="70">
        <f>'RESUMEN TOTAL'!AA422</f>
        <v>0</v>
      </c>
      <c r="U347" s="70">
        <f>'RESUMEN TOTAL'!AB422</f>
        <v>0</v>
      </c>
      <c r="V347" s="70">
        <f>'RESUMEN TOTAL'!AC422</f>
        <v>0</v>
      </c>
      <c r="W347" s="70">
        <f>'RESUMEN TOTAL'!AD422</f>
        <v>0</v>
      </c>
      <c r="X347" s="70">
        <f>'RESUMEN TOTAL'!AE422</f>
        <v>0</v>
      </c>
      <c r="Y347" s="70">
        <f>'RESUMEN TOTAL'!AF422</f>
        <v>0</v>
      </c>
      <c r="Z347" s="70">
        <f>'RESUMEN TOTAL'!AG422</f>
        <v>0</v>
      </c>
      <c r="AA347" s="70">
        <f>'RESUMEN TOTAL'!AH422</f>
        <v>0</v>
      </c>
      <c r="AB347" s="70" t="str">
        <f>'RESUMEN TOTAL'!AI422</f>
        <v>APAGADO</v>
      </c>
      <c r="AC347" s="70">
        <f>'RESUMEN TOTAL'!AJ422</f>
        <v>0</v>
      </c>
      <c r="AD347" s="70">
        <f>'RESUMEN TOTAL'!AK422</f>
        <v>0</v>
      </c>
      <c r="AE347" s="70">
        <f>'RESUMEN TOTAL'!AL422</f>
        <v>0</v>
      </c>
      <c r="AF347" s="70">
        <f>'RESUMEN TOTAL'!AM422</f>
        <v>0</v>
      </c>
      <c r="AG347" s="70">
        <f>'RESUMEN TOTAL'!AN422</f>
        <v>0</v>
      </c>
      <c r="AH347" s="70">
        <f>'RESUMEN TOTAL'!AO422</f>
        <v>0</v>
      </c>
      <c r="AI347" s="70">
        <f>'RESUMEN TOTAL'!AP422</f>
        <v>0</v>
      </c>
    </row>
    <row r="348" spans="1:35" x14ac:dyDescent="0.25">
      <c r="A348" t="str">
        <f>'RESUMEN TOTAL'!A423</f>
        <v>SANTA ROSA</v>
      </c>
      <c r="B348" t="str">
        <f>'RESUMEN TOTAL'!B423</f>
        <v>SRO09</v>
      </c>
      <c r="C348" t="str">
        <f>'RESUMEN TOTAL'!D423</f>
        <v>BUCAREST E/ ALEMANIA Y CAFFERATA</v>
      </c>
      <c r="D348" s="30" t="str">
        <f>'RESUMEN TOTAL'!E423</f>
        <v>DOMO</v>
      </c>
      <c r="E348" s="30" t="str">
        <f>'RESUMEN TOTAL'!F423</f>
        <v>Radio</v>
      </c>
      <c r="F348" s="70" t="str">
        <f>'RESUMEN TOTAL'!M423</f>
        <v>APAGADO</v>
      </c>
      <c r="G348" s="70" t="str">
        <f>'RESUMEN TOTAL'!N423</f>
        <v>APAGADO</v>
      </c>
      <c r="H348" s="70" t="str">
        <f>'RESUMEN TOTAL'!O423</f>
        <v>APAGADO</v>
      </c>
      <c r="I348" s="70" t="str">
        <f>'RESUMEN TOTAL'!P423</f>
        <v>APAGADO</v>
      </c>
      <c r="J348" s="70" t="str">
        <f>'RESUMEN TOTAL'!Q423</f>
        <v>APAGADO</v>
      </c>
      <c r="K348" s="70" t="str">
        <f>'RESUMEN TOTAL'!R423</f>
        <v>APAGADO</v>
      </c>
      <c r="L348" s="70" t="str">
        <f>'RESUMEN TOTAL'!S423</f>
        <v>APAGADO</v>
      </c>
      <c r="M348" s="70" t="str">
        <f>'RESUMEN TOTAL'!T423</f>
        <v>APAGADO</v>
      </c>
      <c r="N348" s="70" t="str">
        <f>'RESUMEN TOTAL'!U423</f>
        <v>APAGADO</v>
      </c>
      <c r="O348" s="70" t="str">
        <f>'RESUMEN TOTAL'!V423</f>
        <v>APAGADO</v>
      </c>
      <c r="P348" s="70" t="str">
        <f>'RESUMEN TOTAL'!W423</f>
        <v>APAGADO</v>
      </c>
      <c r="Q348" s="70" t="str">
        <f>'RESUMEN TOTAL'!X423</f>
        <v>APAGADO</v>
      </c>
      <c r="R348" s="70" t="str">
        <f>'RESUMEN TOTAL'!Y423</f>
        <v>APAGADO</v>
      </c>
      <c r="S348" s="70" t="str">
        <f>'RESUMEN TOTAL'!Z423</f>
        <v>APAGADO</v>
      </c>
      <c r="T348" s="70" t="str">
        <f>'RESUMEN TOTAL'!AA423</f>
        <v>APAGADO</v>
      </c>
      <c r="U348" s="70" t="str">
        <f>'RESUMEN TOTAL'!AB423</f>
        <v>APAGADO</v>
      </c>
      <c r="V348" s="70" t="str">
        <f>'RESUMEN TOTAL'!AC423</f>
        <v>APAGADO</v>
      </c>
      <c r="W348" s="70" t="str">
        <f>'RESUMEN TOTAL'!AD423</f>
        <v>APAGADO</v>
      </c>
      <c r="X348" s="70" t="str">
        <f>'RESUMEN TOTAL'!AE423</f>
        <v>APAGADO</v>
      </c>
      <c r="Y348" s="70" t="str">
        <f>'RESUMEN TOTAL'!AF423</f>
        <v>APAGADO</v>
      </c>
      <c r="Z348" s="70" t="str">
        <f>'RESUMEN TOTAL'!AG423</f>
        <v>APAGADO</v>
      </c>
      <c r="AA348" s="70">
        <f>'RESUMEN TOTAL'!AH423</f>
        <v>0</v>
      </c>
      <c r="AB348" s="70">
        <f>'RESUMEN TOTAL'!AI423</f>
        <v>0</v>
      </c>
      <c r="AC348" s="70">
        <f>'RESUMEN TOTAL'!AJ423</f>
        <v>0</v>
      </c>
      <c r="AD348" s="70">
        <f>'RESUMEN TOTAL'!AK423</f>
        <v>0</v>
      </c>
      <c r="AE348" s="70" t="str">
        <f>'RESUMEN TOTAL'!AL423</f>
        <v>APAGADO</v>
      </c>
      <c r="AF348" s="70">
        <f>'RESUMEN TOTAL'!AM423</f>
        <v>0</v>
      </c>
      <c r="AG348" s="70">
        <f>'RESUMEN TOTAL'!AN423</f>
        <v>0</v>
      </c>
      <c r="AH348" s="70">
        <f>'RESUMEN TOTAL'!AO423</f>
        <v>0</v>
      </c>
      <c r="AI348" s="70">
        <f>'RESUMEN TOTAL'!AP423</f>
        <v>0</v>
      </c>
    </row>
    <row r="349" spans="1:35" x14ac:dyDescent="0.25">
      <c r="A349" t="str">
        <f>'RESUMEN TOTAL'!A424</f>
        <v>SANTA ROSA</v>
      </c>
      <c r="B349" t="str">
        <f>'RESUMEN TOTAL'!B424</f>
        <v>SRO10</v>
      </c>
      <c r="C349" t="str">
        <f>'RESUMEN TOTAL'!D424</f>
        <v>DINAMARCA Y MILAN</v>
      </c>
      <c r="D349" s="30" t="str">
        <f>'RESUMEN TOTAL'!E424</f>
        <v>DOMO</v>
      </c>
      <c r="E349" s="30" t="str">
        <f>'RESUMEN TOTAL'!F424</f>
        <v>Radio</v>
      </c>
      <c r="F349" s="70">
        <f>'RESUMEN TOTAL'!M424</f>
        <v>0</v>
      </c>
      <c r="G349" s="70">
        <f>'RESUMEN TOTAL'!N424</f>
        <v>0</v>
      </c>
      <c r="H349" s="70">
        <f>'RESUMEN TOTAL'!O424</f>
        <v>0</v>
      </c>
      <c r="I349" s="70">
        <f>'RESUMEN TOTAL'!P424</f>
        <v>0</v>
      </c>
      <c r="J349" s="70">
        <f>'RESUMEN TOTAL'!Q424</f>
        <v>0</v>
      </c>
      <c r="K349" s="70">
        <f>'RESUMEN TOTAL'!R424</f>
        <v>0</v>
      </c>
      <c r="L349" s="70">
        <f>'RESUMEN TOTAL'!S424</f>
        <v>0</v>
      </c>
      <c r="M349" s="70">
        <f>'RESUMEN TOTAL'!T424</f>
        <v>0</v>
      </c>
      <c r="N349" s="70">
        <f>'RESUMEN TOTAL'!U424</f>
        <v>0</v>
      </c>
      <c r="O349" s="70">
        <f>'RESUMEN TOTAL'!V424</f>
        <v>0</v>
      </c>
      <c r="P349" s="70">
        <f>'RESUMEN TOTAL'!W424</f>
        <v>0</v>
      </c>
      <c r="Q349" s="70">
        <f>'RESUMEN TOTAL'!X424</f>
        <v>0</v>
      </c>
      <c r="R349" s="70">
        <f>'RESUMEN TOTAL'!Y424</f>
        <v>0</v>
      </c>
      <c r="S349" s="70">
        <f>'RESUMEN TOTAL'!Z424</f>
        <v>0</v>
      </c>
      <c r="T349" s="70">
        <f>'RESUMEN TOTAL'!AA424</f>
        <v>0</v>
      </c>
      <c r="U349" s="70">
        <f>'RESUMEN TOTAL'!AB424</f>
        <v>0</v>
      </c>
      <c r="V349" s="70">
        <f>'RESUMEN TOTAL'!AC424</f>
        <v>0</v>
      </c>
      <c r="W349" s="70">
        <f>'RESUMEN TOTAL'!AD424</f>
        <v>0</v>
      </c>
      <c r="X349" s="70">
        <f>'RESUMEN TOTAL'!AE424</f>
        <v>0</v>
      </c>
      <c r="Y349" s="70">
        <f>'RESUMEN TOTAL'!AF424</f>
        <v>0</v>
      </c>
      <c r="Z349" s="70">
        <f>'RESUMEN TOTAL'!AG424</f>
        <v>0</v>
      </c>
      <c r="AA349" s="70">
        <f>'RESUMEN TOTAL'!AH424</f>
        <v>0</v>
      </c>
      <c r="AB349" s="70">
        <f>'RESUMEN TOTAL'!AI424</f>
        <v>0</v>
      </c>
      <c r="AC349" s="70">
        <f>'RESUMEN TOTAL'!AJ424</f>
        <v>0</v>
      </c>
      <c r="AD349" s="70">
        <f>'RESUMEN TOTAL'!AK424</f>
        <v>0</v>
      </c>
      <c r="AE349" s="70">
        <f>'RESUMEN TOTAL'!AL424</f>
        <v>0</v>
      </c>
      <c r="AF349" s="70">
        <f>'RESUMEN TOTAL'!AM424</f>
        <v>0</v>
      </c>
      <c r="AG349" s="70">
        <f>'RESUMEN TOTAL'!AN424</f>
        <v>0</v>
      </c>
      <c r="AH349" s="70">
        <f>'RESUMEN TOTAL'!AO424</f>
        <v>0</v>
      </c>
      <c r="AI349" s="70">
        <f>'RESUMEN TOTAL'!AP424</f>
        <v>0</v>
      </c>
    </row>
    <row r="350" spans="1:35" x14ac:dyDescent="0.25">
      <c r="A350" t="str">
        <f>'RESUMEN TOTAL'!A425</f>
        <v>SANTA ROSA</v>
      </c>
      <c r="B350" t="str">
        <f>'RESUMEN TOTAL'!B425</f>
        <v>SRO 11</v>
      </c>
      <c r="C350" t="str">
        <f>'RESUMEN TOTAL'!D425</f>
        <v>MILAN Y MALLORCA</v>
      </c>
      <c r="D350" s="30" t="str">
        <f>'RESUMEN TOTAL'!E425</f>
        <v>DOMO</v>
      </c>
      <c r="E350" s="30" t="str">
        <f>'RESUMEN TOTAL'!F425</f>
        <v>Radio</v>
      </c>
      <c r="F350" s="70">
        <f>'RESUMEN TOTAL'!M425</f>
        <v>0</v>
      </c>
      <c r="G350" s="70">
        <f>'RESUMEN TOTAL'!N425</f>
        <v>0</v>
      </c>
      <c r="H350" s="70">
        <f>'RESUMEN TOTAL'!O425</f>
        <v>0</v>
      </c>
      <c r="I350" s="70">
        <f>'RESUMEN TOTAL'!P425</f>
        <v>0</v>
      </c>
      <c r="J350" s="70">
        <f>'RESUMEN TOTAL'!Q425</f>
        <v>0</v>
      </c>
      <c r="K350" s="70">
        <f>'RESUMEN TOTAL'!R425</f>
        <v>0</v>
      </c>
      <c r="L350" s="70">
        <f>'RESUMEN TOTAL'!S425</f>
        <v>0</v>
      </c>
      <c r="M350" s="70">
        <f>'RESUMEN TOTAL'!T425</f>
        <v>0</v>
      </c>
      <c r="N350" s="70">
        <f>'RESUMEN TOTAL'!U425</f>
        <v>0</v>
      </c>
      <c r="O350" s="70">
        <f>'RESUMEN TOTAL'!V425</f>
        <v>0</v>
      </c>
      <c r="P350" s="70">
        <f>'RESUMEN TOTAL'!W425</f>
        <v>0</v>
      </c>
      <c r="Q350" s="70">
        <f>'RESUMEN TOTAL'!X425</f>
        <v>0</v>
      </c>
      <c r="R350" s="70">
        <f>'RESUMEN TOTAL'!Y425</f>
        <v>0</v>
      </c>
      <c r="S350" s="70">
        <f>'RESUMEN TOTAL'!Z425</f>
        <v>0</v>
      </c>
      <c r="T350" s="70">
        <f>'RESUMEN TOTAL'!AA425</f>
        <v>0</v>
      </c>
      <c r="U350" s="70">
        <f>'RESUMEN TOTAL'!AB425</f>
        <v>0</v>
      </c>
      <c r="V350" s="70">
        <f>'RESUMEN TOTAL'!AC425</f>
        <v>0</v>
      </c>
      <c r="W350" s="70">
        <f>'RESUMEN TOTAL'!AD425</f>
        <v>0</v>
      </c>
      <c r="X350" s="70">
        <f>'RESUMEN TOTAL'!AE425</f>
        <v>0</v>
      </c>
      <c r="Y350" s="70">
        <f>'RESUMEN TOTAL'!AF425</f>
        <v>0</v>
      </c>
      <c r="Z350" s="70">
        <f>'RESUMEN TOTAL'!AG425</f>
        <v>0</v>
      </c>
      <c r="AA350" s="70">
        <f>'RESUMEN TOTAL'!AH425</f>
        <v>0</v>
      </c>
      <c r="AB350" s="70">
        <f>'RESUMEN TOTAL'!AI425</f>
        <v>0</v>
      </c>
      <c r="AC350" s="70">
        <f>'RESUMEN TOTAL'!AJ425</f>
        <v>0</v>
      </c>
      <c r="AD350" s="70">
        <f>'RESUMEN TOTAL'!AK425</f>
        <v>0</v>
      </c>
      <c r="AE350" s="70">
        <f>'RESUMEN TOTAL'!AL425</f>
        <v>0</v>
      </c>
      <c r="AF350" s="70">
        <f>'RESUMEN TOTAL'!AM425</f>
        <v>0</v>
      </c>
      <c r="AG350" s="70">
        <f>'RESUMEN TOTAL'!AN425</f>
        <v>0</v>
      </c>
      <c r="AH350" s="70">
        <f>'RESUMEN TOTAL'!AO425</f>
        <v>0</v>
      </c>
      <c r="AI350" s="70">
        <f>'RESUMEN TOTAL'!AP425</f>
        <v>0</v>
      </c>
    </row>
    <row r="351" spans="1:35" x14ac:dyDescent="0.25">
      <c r="A351" t="str">
        <f>'RESUMEN TOTAL'!A426</f>
        <v>SANTA ROSA</v>
      </c>
      <c r="B351" t="str">
        <f>'RESUMEN TOTAL'!B426</f>
        <v>SRO12</v>
      </c>
      <c r="C351" t="str">
        <f>'RESUMEN TOTAL'!D426</f>
        <v>YUGOSLAVIA Y PAYSANDU</v>
      </c>
      <c r="D351" s="30" t="str">
        <f>'RESUMEN TOTAL'!E426</f>
        <v>DOMO</v>
      </c>
      <c r="E351" s="30" t="str">
        <f>'RESUMEN TOTAL'!F426</f>
        <v>Radio</v>
      </c>
      <c r="F351" s="70">
        <f>'RESUMEN TOTAL'!M426</f>
        <v>0</v>
      </c>
      <c r="G351" s="70">
        <f>'RESUMEN TOTAL'!N426</f>
        <v>0</v>
      </c>
      <c r="H351" s="70">
        <f>'RESUMEN TOTAL'!O426</f>
        <v>0</v>
      </c>
      <c r="I351" s="70">
        <f>'RESUMEN TOTAL'!P426</f>
        <v>0</v>
      </c>
      <c r="J351" s="70">
        <f>'RESUMEN TOTAL'!Q426</f>
        <v>0</v>
      </c>
      <c r="K351" s="70">
        <f>'RESUMEN TOTAL'!R426</f>
        <v>0</v>
      </c>
      <c r="L351" s="70">
        <f>'RESUMEN TOTAL'!S426</f>
        <v>0</v>
      </c>
      <c r="M351" s="70">
        <f>'RESUMEN TOTAL'!T426</f>
        <v>0</v>
      </c>
      <c r="N351" s="70">
        <f>'RESUMEN TOTAL'!U426</f>
        <v>0</v>
      </c>
      <c r="O351" s="70">
        <f>'RESUMEN TOTAL'!V426</f>
        <v>0</v>
      </c>
      <c r="P351" s="70">
        <f>'RESUMEN TOTAL'!W426</f>
        <v>0</v>
      </c>
      <c r="Q351" s="70">
        <f>'RESUMEN TOTAL'!X426</f>
        <v>0</v>
      </c>
      <c r="R351" s="70">
        <f>'RESUMEN TOTAL'!Y426</f>
        <v>0</v>
      </c>
      <c r="S351" s="70">
        <f>'RESUMEN TOTAL'!Z426</f>
        <v>0</v>
      </c>
      <c r="T351" s="70">
        <f>'RESUMEN TOTAL'!AA426</f>
        <v>0</v>
      </c>
      <c r="U351" s="70">
        <f>'RESUMEN TOTAL'!AB426</f>
        <v>0</v>
      </c>
      <c r="V351" s="70">
        <f>'RESUMEN TOTAL'!AC426</f>
        <v>0</v>
      </c>
      <c r="W351" s="70">
        <f>'RESUMEN TOTAL'!AD426</f>
        <v>0</v>
      </c>
      <c r="X351" s="70">
        <f>'RESUMEN TOTAL'!AE426</f>
        <v>0</v>
      </c>
      <c r="Y351" s="70">
        <f>'RESUMEN TOTAL'!AF426</f>
        <v>0</v>
      </c>
      <c r="Z351" s="70">
        <f>'RESUMEN TOTAL'!AG426</f>
        <v>0</v>
      </c>
      <c r="AA351" s="70">
        <f>'RESUMEN TOTAL'!AH426</f>
        <v>0</v>
      </c>
      <c r="AB351" s="70">
        <f>'RESUMEN TOTAL'!AI426</f>
        <v>0</v>
      </c>
      <c r="AC351" s="70">
        <f>'RESUMEN TOTAL'!AJ426</f>
        <v>0</v>
      </c>
      <c r="AD351" s="70">
        <f>'RESUMEN TOTAL'!AK426</f>
        <v>0</v>
      </c>
      <c r="AE351" s="70">
        <f>'RESUMEN TOTAL'!AL426</f>
        <v>0</v>
      </c>
      <c r="AF351" s="70">
        <f>'RESUMEN TOTAL'!AM426</f>
        <v>0</v>
      </c>
      <c r="AG351" s="70">
        <f>'RESUMEN TOTAL'!AN426</f>
        <v>0</v>
      </c>
      <c r="AH351" s="70">
        <f>'RESUMEN TOTAL'!AO426</f>
        <v>0</v>
      </c>
      <c r="AI351" s="70">
        <f>'RESUMEN TOTAL'!AP426</f>
        <v>0</v>
      </c>
    </row>
    <row r="352" spans="1:35" x14ac:dyDescent="0.25">
      <c r="A352" t="str">
        <f>'RESUMEN TOTAL'!A427</f>
        <v>ZONA RURAL SANTA ROSA</v>
      </c>
      <c r="B352" t="str">
        <f>'RESUMEN TOTAL'!B427</f>
        <v>SRO 13 (fija 1)</v>
      </c>
      <c r="C352" t="str">
        <f>'RESUMEN TOTAL'!D427</f>
        <v>BRUSELAS E/ GRECIA Y CHECOSLOVAQUIA</v>
      </c>
      <c r="D352" s="30" t="str">
        <f>'RESUMEN TOTAL'!E427</f>
        <v>Fija</v>
      </c>
      <c r="E352" s="30" t="str">
        <f>'RESUMEN TOTAL'!F427</f>
        <v>PTO A FO</v>
      </c>
      <c r="F352" s="70">
        <f>'RESUMEN TOTAL'!M427</f>
        <v>0</v>
      </c>
      <c r="G352" s="70">
        <f>'RESUMEN TOTAL'!N427</f>
        <v>0</v>
      </c>
      <c r="H352" s="70">
        <f>'RESUMEN TOTAL'!O427</f>
        <v>0</v>
      </c>
      <c r="I352" s="70">
        <f>'RESUMEN TOTAL'!P427</f>
        <v>0</v>
      </c>
      <c r="J352" s="70">
        <f>'RESUMEN TOTAL'!Q427</f>
        <v>0</v>
      </c>
      <c r="K352" s="70">
        <f>'RESUMEN TOTAL'!R427</f>
        <v>0</v>
      </c>
      <c r="L352" s="70">
        <f>'RESUMEN TOTAL'!S427</f>
        <v>0</v>
      </c>
      <c r="M352" s="70">
        <f>'RESUMEN TOTAL'!T427</f>
        <v>0</v>
      </c>
      <c r="N352" s="70">
        <f>'RESUMEN TOTAL'!U427</f>
        <v>0</v>
      </c>
      <c r="O352" s="70">
        <f>'RESUMEN TOTAL'!V427</f>
        <v>0</v>
      </c>
      <c r="P352" s="70">
        <f>'RESUMEN TOTAL'!W427</f>
        <v>0</v>
      </c>
      <c r="Q352" s="70">
        <f>'RESUMEN TOTAL'!X427</f>
        <v>0</v>
      </c>
      <c r="R352" s="70">
        <f>'RESUMEN TOTAL'!Y427</f>
        <v>0</v>
      </c>
      <c r="S352" s="70">
        <f>'RESUMEN TOTAL'!Z427</f>
        <v>0</v>
      </c>
      <c r="T352" s="70">
        <f>'RESUMEN TOTAL'!AA427</f>
        <v>0</v>
      </c>
      <c r="U352" s="70">
        <f>'RESUMEN TOTAL'!AB427</f>
        <v>0</v>
      </c>
      <c r="V352" s="70">
        <f>'RESUMEN TOTAL'!AC427</f>
        <v>0</v>
      </c>
      <c r="W352" s="70">
        <f>'RESUMEN TOTAL'!AD427</f>
        <v>0</v>
      </c>
      <c r="X352" s="70">
        <f>'RESUMEN TOTAL'!AE427</f>
        <v>0</v>
      </c>
      <c r="Y352" s="70">
        <f>'RESUMEN TOTAL'!AF427</f>
        <v>0</v>
      </c>
      <c r="Z352" s="70">
        <f>'RESUMEN TOTAL'!AG427</f>
        <v>0</v>
      </c>
      <c r="AA352" s="70">
        <f>'RESUMEN TOTAL'!AH427</f>
        <v>0</v>
      </c>
      <c r="AB352" s="70">
        <f>'RESUMEN TOTAL'!AI427</f>
        <v>0</v>
      </c>
      <c r="AC352" s="70">
        <f>'RESUMEN TOTAL'!AJ427</f>
        <v>0</v>
      </c>
      <c r="AD352" s="70">
        <f>'RESUMEN TOTAL'!AK427</f>
        <v>0</v>
      </c>
      <c r="AE352" s="70">
        <f>'RESUMEN TOTAL'!AL427</f>
        <v>0</v>
      </c>
      <c r="AF352" s="70">
        <f>'RESUMEN TOTAL'!AM427</f>
        <v>0</v>
      </c>
      <c r="AG352" s="70">
        <f>'RESUMEN TOTAL'!AN427</f>
        <v>0</v>
      </c>
      <c r="AH352" s="70">
        <f>'RESUMEN TOTAL'!AO427</f>
        <v>0</v>
      </c>
      <c r="AI352" s="70">
        <f>'RESUMEN TOTAL'!AP427</f>
        <v>0</v>
      </c>
    </row>
    <row r="353" spans="1:35" x14ac:dyDescent="0.25">
      <c r="A353" t="str">
        <f>'RESUMEN TOTAL'!A428</f>
        <v>ZONA RURAL SANTA ROSA</v>
      </c>
      <c r="B353" t="str">
        <f>'RESUMEN TOTAL'!B428</f>
        <v>SRO 14 (fija 2)</v>
      </c>
      <c r="C353" t="str">
        <f>'RESUMEN TOTAL'!D428</f>
        <v>BRUSELAS E/ GRECIA Y CHECOSLOVAQUIA</v>
      </c>
      <c r="D353" s="30" t="str">
        <f>'RESUMEN TOTAL'!E428</f>
        <v>Fija</v>
      </c>
      <c r="E353" s="30" t="str">
        <f>'RESUMEN TOTAL'!F428</f>
        <v>PTO A FO</v>
      </c>
      <c r="F353" s="70">
        <f>'RESUMEN TOTAL'!M428</f>
        <v>0</v>
      </c>
      <c r="G353" s="70" t="str">
        <f>'RESUMEN TOTAL'!N428</f>
        <v>APAGADO</v>
      </c>
      <c r="H353" s="70" t="str">
        <f>'RESUMEN TOTAL'!O428</f>
        <v>APAGADO</v>
      </c>
      <c r="I353" s="70">
        <f>'RESUMEN TOTAL'!P428</f>
        <v>0</v>
      </c>
      <c r="J353" s="70">
        <f>'RESUMEN TOTAL'!Q428</f>
        <v>0</v>
      </c>
      <c r="K353" s="70">
        <f>'RESUMEN TOTAL'!R428</f>
        <v>0</v>
      </c>
      <c r="L353" s="70" t="str">
        <f>'RESUMEN TOTAL'!S428</f>
        <v>APAGADO</v>
      </c>
      <c r="M353" s="70" t="str">
        <f>'RESUMEN TOTAL'!T428</f>
        <v>APAGADO</v>
      </c>
      <c r="N353" s="70">
        <f>'RESUMEN TOTAL'!U428</f>
        <v>0</v>
      </c>
      <c r="O353" s="70">
        <f>'RESUMEN TOTAL'!V428</f>
        <v>0</v>
      </c>
      <c r="P353" s="70" t="str">
        <f>'RESUMEN TOTAL'!W428</f>
        <v>APAGADO</v>
      </c>
      <c r="Q353" s="70" t="str">
        <f>'RESUMEN TOTAL'!X428</f>
        <v>APAGADO</v>
      </c>
      <c r="R353" s="70" t="str">
        <f>'RESUMEN TOTAL'!Y428</f>
        <v>APAGADO</v>
      </c>
      <c r="S353" s="70" t="str">
        <f>'RESUMEN TOTAL'!Z428</f>
        <v>APAGADO</v>
      </c>
      <c r="T353" s="70">
        <f>'RESUMEN TOTAL'!AA428</f>
        <v>0</v>
      </c>
      <c r="U353" s="70" t="str">
        <f>'RESUMEN TOTAL'!AB428</f>
        <v>APAGADO</v>
      </c>
      <c r="V353" s="70" t="str">
        <f>'RESUMEN TOTAL'!AC428</f>
        <v>APAGADO</v>
      </c>
      <c r="W353" s="70" t="str">
        <f>'RESUMEN TOTAL'!AD428</f>
        <v>APAGADO</v>
      </c>
      <c r="X353" s="70" t="str">
        <f>'RESUMEN TOTAL'!AE428</f>
        <v>APAGADO</v>
      </c>
      <c r="Y353" s="70" t="str">
        <f>'RESUMEN TOTAL'!AF428</f>
        <v>APAGADO</v>
      </c>
      <c r="Z353" s="70" t="str">
        <f>'RESUMEN TOTAL'!AG428</f>
        <v>APAGADO</v>
      </c>
      <c r="AA353" s="70">
        <f>'RESUMEN TOTAL'!AH428</f>
        <v>0</v>
      </c>
      <c r="AB353" s="70">
        <f>'RESUMEN TOTAL'!AI428</f>
        <v>0</v>
      </c>
      <c r="AC353" s="70">
        <f>'RESUMEN TOTAL'!AJ428</f>
        <v>0</v>
      </c>
      <c r="AD353" s="70">
        <f>'RESUMEN TOTAL'!AK428</f>
        <v>0</v>
      </c>
      <c r="AE353" s="70">
        <f>'RESUMEN TOTAL'!AL428</f>
        <v>0</v>
      </c>
      <c r="AF353" s="70">
        <f>'RESUMEN TOTAL'!AM428</f>
        <v>0</v>
      </c>
      <c r="AG353" s="70">
        <f>'RESUMEN TOTAL'!AN428</f>
        <v>0</v>
      </c>
      <c r="AH353" s="70">
        <f>'RESUMEN TOTAL'!AO428</f>
        <v>0</v>
      </c>
      <c r="AI353" s="70">
        <f>'RESUMEN TOTAL'!AP428</f>
        <v>0</v>
      </c>
    </row>
    <row r="354" spans="1:35" x14ac:dyDescent="0.25">
      <c r="A354" t="str">
        <f>'RESUMEN TOTAL'!A429</f>
        <v>SANTA ROSA</v>
      </c>
      <c r="B354" t="str">
        <f>'RESUMEN TOTAL'!B429</f>
        <v>SRO15</v>
      </c>
      <c r="C354" t="str">
        <f>'RESUMEN TOTAL'!D429</f>
        <v>NOVAK Y TIRANA (614)</v>
      </c>
      <c r="D354" s="30" t="str">
        <f>'RESUMEN TOTAL'!E429</f>
        <v>DOMO</v>
      </c>
      <c r="E354" s="30" t="str">
        <f>'RESUMEN TOTAL'!F429</f>
        <v>GPON</v>
      </c>
      <c r="F354" s="70">
        <f>'RESUMEN TOTAL'!M429</f>
        <v>0</v>
      </c>
      <c r="G354" s="70">
        <f>'RESUMEN TOTAL'!N429</f>
        <v>0</v>
      </c>
      <c r="H354" s="70">
        <f>'RESUMEN TOTAL'!O429</f>
        <v>0</v>
      </c>
      <c r="I354" s="70">
        <f>'RESUMEN TOTAL'!P429</f>
        <v>0</v>
      </c>
      <c r="J354" s="70">
        <f>'RESUMEN TOTAL'!Q429</f>
        <v>0</v>
      </c>
      <c r="K354" s="70">
        <f>'RESUMEN TOTAL'!R429</f>
        <v>0</v>
      </c>
      <c r="L354" s="70">
        <f>'RESUMEN TOTAL'!S429</f>
        <v>0</v>
      </c>
      <c r="M354" s="70">
        <f>'RESUMEN TOTAL'!T429</f>
        <v>0</v>
      </c>
      <c r="N354" s="70">
        <f>'RESUMEN TOTAL'!U429</f>
        <v>0</v>
      </c>
      <c r="O354" s="70">
        <f>'RESUMEN TOTAL'!V429</f>
        <v>0</v>
      </c>
      <c r="P354" s="70">
        <f>'RESUMEN TOTAL'!W429</f>
        <v>0</v>
      </c>
      <c r="Q354" s="70">
        <f>'RESUMEN TOTAL'!X429</f>
        <v>0</v>
      </c>
      <c r="R354" s="70">
        <f>'RESUMEN TOTAL'!Y429</f>
        <v>0</v>
      </c>
      <c r="S354" s="70">
        <f>'RESUMEN TOTAL'!Z429</f>
        <v>0</v>
      </c>
      <c r="T354" s="70">
        <f>'RESUMEN TOTAL'!AA429</f>
        <v>0</v>
      </c>
      <c r="U354" s="70">
        <f>'RESUMEN TOTAL'!AB429</f>
        <v>0</v>
      </c>
      <c r="V354" s="70">
        <f>'RESUMEN TOTAL'!AC429</f>
        <v>0</v>
      </c>
      <c r="W354" s="70">
        <f>'RESUMEN TOTAL'!AD429</f>
        <v>0</v>
      </c>
      <c r="X354" s="70">
        <f>'RESUMEN TOTAL'!AE429</f>
        <v>0</v>
      </c>
      <c r="Y354" s="70">
        <f>'RESUMEN TOTAL'!AF429</f>
        <v>0</v>
      </c>
      <c r="Z354" s="70">
        <f>'RESUMEN TOTAL'!AG429</f>
        <v>0</v>
      </c>
      <c r="AA354" s="70">
        <f>'RESUMEN TOTAL'!AH429</f>
        <v>0</v>
      </c>
      <c r="AB354" s="70" t="str">
        <f>'RESUMEN TOTAL'!AI429</f>
        <v>APAGADO</v>
      </c>
      <c r="AC354" s="70" t="str">
        <f>'RESUMEN TOTAL'!AJ429</f>
        <v>APAGADO</v>
      </c>
      <c r="AD354" s="70" t="str">
        <f>'RESUMEN TOTAL'!AK429</f>
        <v>APAGADO</v>
      </c>
      <c r="AE354" s="70" t="str">
        <f>'RESUMEN TOTAL'!AL429</f>
        <v>APAGADO</v>
      </c>
      <c r="AF354" s="70">
        <f>'RESUMEN TOTAL'!AM429</f>
        <v>0</v>
      </c>
      <c r="AG354" s="70">
        <f>'RESUMEN TOTAL'!AN429</f>
        <v>0</v>
      </c>
      <c r="AH354" s="70">
        <f>'RESUMEN TOTAL'!AO429</f>
        <v>0</v>
      </c>
      <c r="AI354" s="70">
        <f>'RESUMEN TOTAL'!AP429</f>
        <v>0</v>
      </c>
    </row>
    <row r="355" spans="1:35" x14ac:dyDescent="0.25">
      <c r="A355" t="str">
        <f>'RESUMEN TOTAL'!A430</f>
        <v>SANTA ROSA</v>
      </c>
      <c r="B355" t="str">
        <f>'RESUMEN TOTAL'!B430</f>
        <v>SRO16 (fija 1)</v>
      </c>
      <c r="C355" t="str">
        <f>'RESUMEN TOTAL'!D430</f>
        <v>ANDORRA E/ BELGICA Y SAN MARINO</v>
      </c>
      <c r="D355" s="30" t="str">
        <f>'RESUMEN TOTAL'!E430</f>
        <v>Fija</v>
      </c>
      <c r="E355" s="30" t="str">
        <f>'RESUMEN TOTAL'!F430</f>
        <v>GPON</v>
      </c>
      <c r="F355" s="70">
        <f>'RESUMEN TOTAL'!M430</f>
        <v>0</v>
      </c>
      <c r="G355" s="70">
        <f>'RESUMEN TOTAL'!N430</f>
        <v>0</v>
      </c>
      <c r="H355" s="70">
        <f>'RESUMEN TOTAL'!O430</f>
        <v>0</v>
      </c>
      <c r="I355" s="70">
        <f>'RESUMEN TOTAL'!P430</f>
        <v>0</v>
      </c>
      <c r="J355" s="70">
        <f>'RESUMEN TOTAL'!Q430</f>
        <v>0</v>
      </c>
      <c r="K355" s="70">
        <f>'RESUMEN TOTAL'!R430</f>
        <v>0</v>
      </c>
      <c r="L355" s="70">
        <f>'RESUMEN TOTAL'!S430</f>
        <v>0</v>
      </c>
      <c r="M355" s="70">
        <f>'RESUMEN TOTAL'!T430</f>
        <v>0</v>
      </c>
      <c r="N355" s="70">
        <f>'RESUMEN TOTAL'!U430</f>
        <v>0</v>
      </c>
      <c r="O355" s="70">
        <f>'RESUMEN TOTAL'!V430</f>
        <v>0</v>
      </c>
      <c r="P355" s="70">
        <f>'RESUMEN TOTAL'!W430</f>
        <v>0</v>
      </c>
      <c r="Q355" s="70">
        <f>'RESUMEN TOTAL'!X430</f>
        <v>0</v>
      </c>
      <c r="R355" s="70">
        <f>'RESUMEN TOTAL'!Y430</f>
        <v>0</v>
      </c>
      <c r="S355" s="70">
        <f>'RESUMEN TOTAL'!Z430</f>
        <v>0</v>
      </c>
      <c r="T355" s="70">
        <f>'RESUMEN TOTAL'!AA430</f>
        <v>0</v>
      </c>
      <c r="U355" s="70">
        <f>'RESUMEN TOTAL'!AB430</f>
        <v>0</v>
      </c>
      <c r="V355" s="70">
        <f>'RESUMEN TOTAL'!AC430</f>
        <v>0</v>
      </c>
      <c r="W355" s="70">
        <f>'RESUMEN TOTAL'!AD430</f>
        <v>0</v>
      </c>
      <c r="X355" s="70">
        <f>'RESUMEN TOTAL'!AE430</f>
        <v>0</v>
      </c>
      <c r="Y355" s="70">
        <f>'RESUMEN TOTAL'!AF430</f>
        <v>0</v>
      </c>
      <c r="Z355" s="70">
        <f>'RESUMEN TOTAL'!AG430</f>
        <v>0</v>
      </c>
      <c r="AA355" s="70">
        <f>'RESUMEN TOTAL'!AH430</f>
        <v>0</v>
      </c>
      <c r="AB355" s="70">
        <f>'RESUMEN TOTAL'!AI430</f>
        <v>0</v>
      </c>
      <c r="AC355" s="70">
        <f>'RESUMEN TOTAL'!AJ430</f>
        <v>0</v>
      </c>
      <c r="AD355" s="70">
        <f>'RESUMEN TOTAL'!AK430</f>
        <v>0</v>
      </c>
      <c r="AE355" s="70">
        <f>'RESUMEN TOTAL'!AL430</f>
        <v>0</v>
      </c>
      <c r="AF355" s="70">
        <f>'RESUMEN TOTAL'!AM430</f>
        <v>0</v>
      </c>
      <c r="AG355" s="70">
        <f>'RESUMEN TOTAL'!AN430</f>
        <v>0</v>
      </c>
      <c r="AH355" s="70">
        <f>'RESUMEN TOTAL'!AO430</f>
        <v>0</v>
      </c>
      <c r="AI355" s="70">
        <f>'RESUMEN TOTAL'!AP430</f>
        <v>0</v>
      </c>
    </row>
    <row r="356" spans="1:35" x14ac:dyDescent="0.25">
      <c r="A356" t="str">
        <f>'RESUMEN TOTAL'!A431</f>
        <v>SANTA ROSA</v>
      </c>
      <c r="B356" t="str">
        <f>'RESUMEN TOTAL'!B431</f>
        <v>SRO17 (fija 2)</v>
      </c>
      <c r="C356" t="str">
        <f>'RESUMEN TOTAL'!D431</f>
        <v>ANDORRA E/ BELGICA Y SAN MARINO</v>
      </c>
      <c r="D356" s="30" t="str">
        <f>'RESUMEN TOTAL'!E431</f>
        <v>Fija</v>
      </c>
      <c r="E356" s="30" t="str">
        <f>'RESUMEN TOTAL'!F431</f>
        <v>GPON</v>
      </c>
      <c r="F356" s="70">
        <f>'RESUMEN TOTAL'!M431</f>
        <v>0</v>
      </c>
      <c r="G356" s="70">
        <f>'RESUMEN TOTAL'!N431</f>
        <v>0</v>
      </c>
      <c r="H356" s="70">
        <f>'RESUMEN TOTAL'!O431</f>
        <v>0</v>
      </c>
      <c r="I356" s="70">
        <f>'RESUMEN TOTAL'!P431</f>
        <v>0</v>
      </c>
      <c r="J356" s="70">
        <f>'RESUMEN TOTAL'!Q431</f>
        <v>0</v>
      </c>
      <c r="K356" s="70">
        <f>'RESUMEN TOTAL'!R431</f>
        <v>0</v>
      </c>
      <c r="L356" s="70">
        <f>'RESUMEN TOTAL'!S431</f>
        <v>0</v>
      </c>
      <c r="M356" s="70">
        <f>'RESUMEN TOTAL'!T431</f>
        <v>0</v>
      </c>
      <c r="N356" s="70">
        <f>'RESUMEN TOTAL'!U431</f>
        <v>0</v>
      </c>
      <c r="O356" s="70">
        <f>'RESUMEN TOTAL'!V431</f>
        <v>0</v>
      </c>
      <c r="P356" s="70">
        <f>'RESUMEN TOTAL'!W431</f>
        <v>0</v>
      </c>
      <c r="Q356" s="70">
        <f>'RESUMEN TOTAL'!X431</f>
        <v>0</v>
      </c>
      <c r="R356" s="70">
        <f>'RESUMEN TOTAL'!Y431</f>
        <v>0</v>
      </c>
      <c r="S356" s="70">
        <f>'RESUMEN TOTAL'!Z431</f>
        <v>0</v>
      </c>
      <c r="T356" s="70">
        <f>'RESUMEN TOTAL'!AA431</f>
        <v>0</v>
      </c>
      <c r="U356" s="70">
        <f>'RESUMEN TOTAL'!AB431</f>
        <v>0</v>
      </c>
      <c r="V356" s="70">
        <f>'RESUMEN TOTAL'!AC431</f>
        <v>0</v>
      </c>
      <c r="W356" s="70">
        <f>'RESUMEN TOTAL'!AD431</f>
        <v>0</v>
      </c>
      <c r="X356" s="70">
        <f>'RESUMEN TOTAL'!AE431</f>
        <v>0</v>
      </c>
      <c r="Y356" s="70">
        <f>'RESUMEN TOTAL'!AF431</f>
        <v>0</v>
      </c>
      <c r="Z356" s="70">
        <f>'RESUMEN TOTAL'!AG431</f>
        <v>0</v>
      </c>
      <c r="AA356" s="70">
        <f>'RESUMEN TOTAL'!AH431</f>
        <v>0</v>
      </c>
      <c r="AB356" s="70">
        <f>'RESUMEN TOTAL'!AI431</f>
        <v>0</v>
      </c>
      <c r="AC356" s="70">
        <f>'RESUMEN TOTAL'!AJ431</f>
        <v>0</v>
      </c>
      <c r="AD356" s="70">
        <f>'RESUMEN TOTAL'!AK431</f>
        <v>0</v>
      </c>
      <c r="AE356" s="70">
        <f>'RESUMEN TOTAL'!AL431</f>
        <v>0</v>
      </c>
      <c r="AF356" s="70">
        <f>'RESUMEN TOTAL'!AM431</f>
        <v>0</v>
      </c>
      <c r="AG356" s="70">
        <f>'RESUMEN TOTAL'!AN431</f>
        <v>0</v>
      </c>
      <c r="AH356" s="70">
        <f>'RESUMEN TOTAL'!AO431</f>
        <v>0</v>
      </c>
      <c r="AI356" s="70">
        <f>'RESUMEN TOTAL'!AP431</f>
        <v>0</v>
      </c>
    </row>
    <row r="357" spans="1:35" x14ac:dyDescent="0.25">
      <c r="A357" t="str">
        <f>'RESUMEN TOTAL'!A432</f>
        <v>SANTA ROSA</v>
      </c>
      <c r="B357" t="str">
        <f>'RESUMEN TOTAL'!B432</f>
        <v>SRO 18 (fija 1)</v>
      </c>
      <c r="C357" t="str">
        <f>'RESUMEN TOTAL'!D432</f>
        <v>GRAN CANARIA Y BUDAPEST</v>
      </c>
      <c r="D357" s="30" t="str">
        <f>'RESUMEN TOTAL'!E432</f>
        <v>Fija</v>
      </c>
      <c r="E357" s="30" t="str">
        <f>'RESUMEN TOTAL'!F432</f>
        <v>Fibra Optica</v>
      </c>
      <c r="F357" s="70">
        <f>'RESUMEN TOTAL'!M432</f>
        <v>0</v>
      </c>
      <c r="G357" s="70">
        <f>'RESUMEN TOTAL'!N432</f>
        <v>0</v>
      </c>
      <c r="H357" s="70">
        <f>'RESUMEN TOTAL'!O432</f>
        <v>0</v>
      </c>
      <c r="I357" s="70">
        <f>'RESUMEN TOTAL'!P432</f>
        <v>0</v>
      </c>
      <c r="J357" s="70">
        <f>'RESUMEN TOTAL'!Q432</f>
        <v>0</v>
      </c>
      <c r="K357" s="70">
        <f>'RESUMEN TOTAL'!R432</f>
        <v>0</v>
      </c>
      <c r="L357" s="70">
        <f>'RESUMEN TOTAL'!S432</f>
        <v>0</v>
      </c>
      <c r="M357" s="70">
        <f>'RESUMEN TOTAL'!T432</f>
        <v>0</v>
      </c>
      <c r="N357" s="70">
        <f>'RESUMEN TOTAL'!U432</f>
        <v>0</v>
      </c>
      <c r="O357" s="70">
        <f>'RESUMEN TOTAL'!V432</f>
        <v>0</v>
      </c>
      <c r="P357" s="70">
        <f>'RESUMEN TOTAL'!W432</f>
        <v>0</v>
      </c>
      <c r="Q357" s="70">
        <f>'RESUMEN TOTAL'!X432</f>
        <v>0</v>
      </c>
      <c r="R357" s="70">
        <f>'RESUMEN TOTAL'!Y432</f>
        <v>0</v>
      </c>
      <c r="S357" s="70">
        <f>'RESUMEN TOTAL'!Z432</f>
        <v>0</v>
      </c>
      <c r="T357" s="70">
        <f>'RESUMEN TOTAL'!AA432</f>
        <v>0</v>
      </c>
      <c r="U357" s="70">
        <f>'RESUMEN TOTAL'!AB432</f>
        <v>0</v>
      </c>
      <c r="V357" s="70">
        <f>'RESUMEN TOTAL'!AC432</f>
        <v>0</v>
      </c>
      <c r="W357" s="70">
        <f>'RESUMEN TOTAL'!AD432</f>
        <v>0</v>
      </c>
      <c r="X357" s="70">
        <f>'RESUMEN TOTAL'!AE432</f>
        <v>0</v>
      </c>
      <c r="Y357" s="70">
        <f>'RESUMEN TOTAL'!AF432</f>
        <v>0</v>
      </c>
      <c r="Z357" s="70">
        <f>'RESUMEN TOTAL'!AG432</f>
        <v>0</v>
      </c>
      <c r="AA357" s="70">
        <f>'RESUMEN TOTAL'!AH432</f>
        <v>0</v>
      </c>
      <c r="AB357" s="70">
        <f>'RESUMEN TOTAL'!AI432</f>
        <v>0</v>
      </c>
      <c r="AC357" s="70">
        <f>'RESUMEN TOTAL'!AJ432</f>
        <v>0</v>
      </c>
      <c r="AD357" s="70">
        <f>'RESUMEN TOTAL'!AK432</f>
        <v>0</v>
      </c>
      <c r="AE357" s="70">
        <f>'RESUMEN TOTAL'!AL432</f>
        <v>0</v>
      </c>
      <c r="AF357" s="70">
        <f>'RESUMEN TOTAL'!AM432</f>
        <v>0</v>
      </c>
      <c r="AG357" s="70">
        <f>'RESUMEN TOTAL'!AN432</f>
        <v>0</v>
      </c>
      <c r="AH357" s="70">
        <f>'RESUMEN TOTAL'!AO432</f>
        <v>0</v>
      </c>
      <c r="AI357" s="70">
        <f>'RESUMEN TOTAL'!AP432</f>
        <v>0</v>
      </c>
    </row>
    <row r="358" spans="1:35" x14ac:dyDescent="0.25">
      <c r="A358" t="str">
        <f>'RESUMEN TOTAL'!A433</f>
        <v>SANTA ROSA</v>
      </c>
      <c r="B358" t="str">
        <f>'RESUMEN TOTAL'!B433</f>
        <v>SRO 19 (fija 2)</v>
      </c>
      <c r="C358" t="str">
        <f>'RESUMEN TOTAL'!D433</f>
        <v>GRAN CANARIA Y BUDAPEST</v>
      </c>
      <c r="D358" s="30" t="str">
        <f>'RESUMEN TOTAL'!E433</f>
        <v>Fija</v>
      </c>
      <c r="E358" s="30" t="str">
        <f>'RESUMEN TOTAL'!F433</f>
        <v>Fibra Optica</v>
      </c>
      <c r="F358" s="70">
        <f>'RESUMEN TOTAL'!M433</f>
        <v>0</v>
      </c>
      <c r="G358" s="70">
        <f>'RESUMEN TOTAL'!N433</f>
        <v>0</v>
      </c>
      <c r="H358" s="70">
        <f>'RESUMEN TOTAL'!O433</f>
        <v>0</v>
      </c>
      <c r="I358" s="70">
        <f>'RESUMEN TOTAL'!P433</f>
        <v>0</v>
      </c>
      <c r="J358" s="70">
        <f>'RESUMEN TOTAL'!Q433</f>
        <v>0</v>
      </c>
      <c r="K358" s="70">
        <f>'RESUMEN TOTAL'!R433</f>
        <v>0</v>
      </c>
      <c r="L358" s="70">
        <f>'RESUMEN TOTAL'!S433</f>
        <v>0</v>
      </c>
      <c r="M358" s="70">
        <f>'RESUMEN TOTAL'!T433</f>
        <v>0</v>
      </c>
      <c r="N358" s="70">
        <f>'RESUMEN TOTAL'!U433</f>
        <v>0</v>
      </c>
      <c r="O358" s="70">
        <f>'RESUMEN TOTAL'!V433</f>
        <v>0</v>
      </c>
      <c r="P358" s="70">
        <f>'RESUMEN TOTAL'!W433</f>
        <v>0</v>
      </c>
      <c r="Q358" s="70">
        <f>'RESUMEN TOTAL'!X433</f>
        <v>0</v>
      </c>
      <c r="R358" s="70">
        <f>'RESUMEN TOTAL'!Y433</f>
        <v>0</v>
      </c>
      <c r="S358" s="70">
        <f>'RESUMEN TOTAL'!Z433</f>
        <v>0</v>
      </c>
      <c r="T358" s="70">
        <f>'RESUMEN TOTAL'!AA433</f>
        <v>0</v>
      </c>
      <c r="U358" s="70">
        <f>'RESUMEN TOTAL'!AB433</f>
        <v>0</v>
      </c>
      <c r="V358" s="70">
        <f>'RESUMEN TOTAL'!AC433</f>
        <v>0</v>
      </c>
      <c r="W358" s="70">
        <f>'RESUMEN TOTAL'!AD433</f>
        <v>0</v>
      </c>
      <c r="X358" s="70">
        <f>'RESUMEN TOTAL'!AE433</f>
        <v>0</v>
      </c>
      <c r="Y358" s="70">
        <f>'RESUMEN TOTAL'!AF433</f>
        <v>0</v>
      </c>
      <c r="Z358" s="70">
        <f>'RESUMEN TOTAL'!AG433</f>
        <v>0</v>
      </c>
      <c r="AA358" s="70">
        <f>'RESUMEN TOTAL'!AH433</f>
        <v>0</v>
      </c>
      <c r="AB358" s="70">
        <f>'RESUMEN TOTAL'!AI433</f>
        <v>0</v>
      </c>
      <c r="AC358" s="70">
        <f>'RESUMEN TOTAL'!AJ433</f>
        <v>0</v>
      </c>
      <c r="AD358" s="70">
        <f>'RESUMEN TOTAL'!AK433</f>
        <v>0</v>
      </c>
      <c r="AE358" s="70">
        <f>'RESUMEN TOTAL'!AL433</f>
        <v>0</v>
      </c>
      <c r="AF358" s="70">
        <f>'RESUMEN TOTAL'!AM433</f>
        <v>0</v>
      </c>
      <c r="AG358" s="70">
        <f>'RESUMEN TOTAL'!AN433</f>
        <v>0</v>
      </c>
      <c r="AH358" s="70">
        <f>'RESUMEN TOTAL'!AO433</f>
        <v>0</v>
      </c>
      <c r="AI358" s="70">
        <f>'RESUMEN TOTAL'!AP433</f>
        <v>0</v>
      </c>
    </row>
    <row r="359" spans="1:35" x14ac:dyDescent="0.25">
      <c r="A359" t="str">
        <f>'RESUMEN TOTAL'!A434</f>
        <v>SANTA ROSA</v>
      </c>
      <c r="B359" t="str">
        <f>'RESUMEN TOTAL'!B434</f>
        <v>SRO20</v>
      </c>
      <c r="C359" t="str">
        <f>'RESUMEN TOTAL'!D434</f>
        <v>NOVAK Y BONN</v>
      </c>
      <c r="D359" s="30" t="str">
        <f>'RESUMEN TOTAL'!E434</f>
        <v>Fija</v>
      </c>
      <c r="E359" s="30" t="str">
        <f>'RESUMEN TOTAL'!F434</f>
        <v>Fibra Optica</v>
      </c>
      <c r="F359" s="70">
        <f>'RESUMEN TOTAL'!M434</f>
        <v>0</v>
      </c>
      <c r="G359" s="70">
        <f>'RESUMEN TOTAL'!N434</f>
        <v>0</v>
      </c>
      <c r="H359" s="70">
        <f>'RESUMEN TOTAL'!O434</f>
        <v>0</v>
      </c>
      <c r="I359" s="70">
        <f>'RESUMEN TOTAL'!P434</f>
        <v>0</v>
      </c>
      <c r="J359" s="70">
        <f>'RESUMEN TOTAL'!Q434</f>
        <v>0</v>
      </c>
      <c r="K359" s="70">
        <f>'RESUMEN TOTAL'!R434</f>
        <v>0</v>
      </c>
      <c r="L359" s="70">
        <f>'RESUMEN TOTAL'!S434</f>
        <v>0</v>
      </c>
      <c r="M359" s="70">
        <f>'RESUMEN TOTAL'!T434</f>
        <v>0</v>
      </c>
      <c r="N359" s="70">
        <f>'RESUMEN TOTAL'!U434</f>
        <v>0</v>
      </c>
      <c r="O359" s="70">
        <f>'RESUMEN TOTAL'!V434</f>
        <v>0</v>
      </c>
      <c r="P359" s="70">
        <f>'RESUMEN TOTAL'!W434</f>
        <v>0</v>
      </c>
      <c r="Q359" s="70">
        <f>'RESUMEN TOTAL'!X434</f>
        <v>0</v>
      </c>
      <c r="R359" s="70">
        <f>'RESUMEN TOTAL'!Y434</f>
        <v>0</v>
      </c>
      <c r="S359" s="70">
        <f>'RESUMEN TOTAL'!Z434</f>
        <v>0</v>
      </c>
      <c r="T359" s="70">
        <f>'RESUMEN TOTAL'!AA434</f>
        <v>0</v>
      </c>
      <c r="U359" s="70">
        <f>'RESUMEN TOTAL'!AB434</f>
        <v>0</v>
      </c>
      <c r="V359" s="70">
        <f>'RESUMEN TOTAL'!AC434</f>
        <v>0</v>
      </c>
      <c r="W359" s="70">
        <f>'RESUMEN TOTAL'!AD434</f>
        <v>0</v>
      </c>
      <c r="X359" s="70">
        <f>'RESUMEN TOTAL'!AE434</f>
        <v>0</v>
      </c>
      <c r="Y359" s="70">
        <f>'RESUMEN TOTAL'!AF434</f>
        <v>0</v>
      </c>
      <c r="Z359" s="70">
        <f>'RESUMEN TOTAL'!AG434</f>
        <v>0</v>
      </c>
      <c r="AA359" s="70">
        <f>'RESUMEN TOTAL'!AH434</f>
        <v>0</v>
      </c>
      <c r="AB359" s="70" t="str">
        <f>'RESUMEN TOTAL'!AI434</f>
        <v>APAGADO</v>
      </c>
      <c r="AC359" s="70">
        <f>'RESUMEN TOTAL'!AJ434</f>
        <v>0</v>
      </c>
      <c r="AD359" s="70">
        <f>'RESUMEN TOTAL'!AK434</f>
        <v>0</v>
      </c>
      <c r="AE359" s="70">
        <f>'RESUMEN TOTAL'!AL434</f>
        <v>0</v>
      </c>
      <c r="AF359" s="70">
        <f>'RESUMEN TOTAL'!AM434</f>
        <v>0</v>
      </c>
      <c r="AG359" s="70">
        <f>'RESUMEN TOTAL'!AN434</f>
        <v>0</v>
      </c>
      <c r="AH359" s="70">
        <f>'RESUMEN TOTAL'!AO434</f>
        <v>0</v>
      </c>
      <c r="AI359" s="70">
        <f>'RESUMEN TOTAL'!AP434</f>
        <v>0</v>
      </c>
    </row>
    <row r="360" spans="1:35" x14ac:dyDescent="0.25">
      <c r="A360" t="str">
        <f>'RESUMEN TOTAL'!A435</f>
        <v>SANTA ROSA</v>
      </c>
      <c r="B360" t="str">
        <f>'RESUMEN TOTAL'!B435</f>
        <v>SRO21</v>
      </c>
      <c r="C360" t="str">
        <f>'RESUMEN TOTAL'!D435</f>
        <v>NOVAK Y BONN</v>
      </c>
      <c r="D360" s="30" t="str">
        <f>'RESUMEN TOTAL'!E435</f>
        <v>Fija</v>
      </c>
      <c r="E360" s="30" t="str">
        <f>'RESUMEN TOTAL'!F435</f>
        <v>Fibra Optica</v>
      </c>
      <c r="F360" s="70" t="str">
        <f>'RESUMEN TOTAL'!M435</f>
        <v>APAGADO</v>
      </c>
      <c r="G360" s="70" t="str">
        <f>'RESUMEN TOTAL'!N435</f>
        <v>APAGADO</v>
      </c>
      <c r="H360" s="70" t="str">
        <f>'RESUMEN TOTAL'!O435</f>
        <v>APAGADO</v>
      </c>
      <c r="I360" s="70" t="str">
        <f>'RESUMEN TOTAL'!P435</f>
        <v>APAGADO</v>
      </c>
      <c r="J360" s="70" t="str">
        <f>'RESUMEN TOTAL'!Q435</f>
        <v>APAGADO</v>
      </c>
      <c r="K360" s="70" t="str">
        <f>'RESUMEN TOTAL'!R435</f>
        <v>APAGADO</v>
      </c>
      <c r="L360" s="70" t="str">
        <f>'RESUMEN TOTAL'!S435</f>
        <v>APAGADO</v>
      </c>
      <c r="M360" s="70" t="str">
        <f>'RESUMEN TOTAL'!T435</f>
        <v>APAGADO</v>
      </c>
      <c r="N360" s="70" t="str">
        <f>'RESUMEN TOTAL'!U435</f>
        <v>APAGADO</v>
      </c>
      <c r="O360" s="70" t="str">
        <f>'RESUMEN TOTAL'!V435</f>
        <v>APAGADO</v>
      </c>
      <c r="P360" s="70" t="str">
        <f>'RESUMEN TOTAL'!W435</f>
        <v>APAGADO</v>
      </c>
      <c r="Q360" s="70" t="str">
        <f>'RESUMEN TOTAL'!X435</f>
        <v>APAGADO</v>
      </c>
      <c r="R360" s="70" t="str">
        <f>'RESUMEN TOTAL'!Y435</f>
        <v>APAGADO</v>
      </c>
      <c r="S360" s="70" t="str">
        <f>'RESUMEN TOTAL'!Z435</f>
        <v>APAGADO</v>
      </c>
      <c r="T360" s="70" t="str">
        <f>'RESUMEN TOTAL'!AA435</f>
        <v>APAGADO</v>
      </c>
      <c r="U360" s="70" t="str">
        <f>'RESUMEN TOTAL'!AB435</f>
        <v>APAGADO</v>
      </c>
      <c r="V360" s="70" t="str">
        <f>'RESUMEN TOTAL'!AC435</f>
        <v>APAGADO</v>
      </c>
      <c r="W360" s="70" t="str">
        <f>'RESUMEN TOTAL'!AD435</f>
        <v>APAGADO</v>
      </c>
      <c r="X360" s="70" t="str">
        <f>'RESUMEN TOTAL'!AE435</f>
        <v>APAGADO</v>
      </c>
      <c r="Y360" s="70" t="str">
        <f>'RESUMEN TOTAL'!AF435</f>
        <v>APAGADO</v>
      </c>
      <c r="Z360" s="70" t="str">
        <f>'RESUMEN TOTAL'!AG435</f>
        <v>APAGADO</v>
      </c>
      <c r="AA360" s="70" t="str">
        <f>'RESUMEN TOTAL'!AH435</f>
        <v>APAGADO</v>
      </c>
      <c r="AB360" s="70" t="str">
        <f>'RESUMEN TOTAL'!AI435</f>
        <v>APAGADO</v>
      </c>
      <c r="AC360" s="70" t="str">
        <f>'RESUMEN TOTAL'!AJ435</f>
        <v>APAGADO</v>
      </c>
      <c r="AD360" s="70" t="str">
        <f>'RESUMEN TOTAL'!AK435</f>
        <v>APAGADO</v>
      </c>
      <c r="AE360" s="70" t="str">
        <f>'RESUMEN TOTAL'!AL435</f>
        <v>APAGADO</v>
      </c>
      <c r="AF360" s="70">
        <f>'RESUMEN TOTAL'!AM435</f>
        <v>0</v>
      </c>
      <c r="AG360" s="70">
        <f>'RESUMEN TOTAL'!AN435</f>
        <v>0</v>
      </c>
      <c r="AH360" s="70">
        <f>'RESUMEN TOTAL'!AO435</f>
        <v>0</v>
      </c>
      <c r="AI360" s="70">
        <f>'RESUMEN TOTAL'!AP435</f>
        <v>0</v>
      </c>
    </row>
    <row r="361" spans="1:35" x14ac:dyDescent="0.25">
      <c r="A361" t="str">
        <f>'RESUMEN TOTAL'!A442</f>
        <v>SAN RUDECINDO</v>
      </c>
      <c r="B361" t="str">
        <f>'RESUMEN TOTAL'!B442</f>
        <v>SRU01 (fija 1)</v>
      </c>
      <c r="C361" t="str">
        <f>'RESUMEN TOTAL'!D442</f>
        <v>HERNANDARIAS Y AMBATO</v>
      </c>
      <c r="D361" s="30" t="str">
        <f>'RESUMEN TOTAL'!E442</f>
        <v>Fija</v>
      </c>
      <c r="E361" s="30" t="str">
        <f>'RESUMEN TOTAL'!F442</f>
        <v>GPON</v>
      </c>
      <c r="F361" s="70">
        <f>'RESUMEN TOTAL'!M442</f>
        <v>0</v>
      </c>
      <c r="G361" s="70">
        <f>'RESUMEN TOTAL'!N442</f>
        <v>0</v>
      </c>
      <c r="H361" s="70">
        <f>'RESUMEN TOTAL'!O442</f>
        <v>0</v>
      </c>
      <c r="I361" s="70">
        <f>'RESUMEN TOTAL'!P442</f>
        <v>0</v>
      </c>
      <c r="J361" s="70">
        <f>'RESUMEN TOTAL'!Q442</f>
        <v>0</v>
      </c>
      <c r="K361" s="70">
        <f>'RESUMEN TOTAL'!R442</f>
        <v>0</v>
      </c>
      <c r="L361" s="70">
        <f>'RESUMEN TOTAL'!S442</f>
        <v>0</v>
      </c>
      <c r="M361" s="70">
        <f>'RESUMEN TOTAL'!T442</f>
        <v>0</v>
      </c>
      <c r="N361" s="70">
        <f>'RESUMEN TOTAL'!U442</f>
        <v>0</v>
      </c>
      <c r="O361" s="70">
        <f>'RESUMEN TOTAL'!V442</f>
        <v>0</v>
      </c>
      <c r="P361" s="70">
        <f>'RESUMEN TOTAL'!W442</f>
        <v>0</v>
      </c>
      <c r="Q361" s="70">
        <f>'RESUMEN TOTAL'!X442</f>
        <v>0</v>
      </c>
      <c r="R361" s="70">
        <f>'RESUMEN TOTAL'!Y442</f>
        <v>0</v>
      </c>
      <c r="S361" s="70">
        <f>'RESUMEN TOTAL'!Z442</f>
        <v>0</v>
      </c>
      <c r="T361" s="70">
        <f>'RESUMEN TOTAL'!AA442</f>
        <v>0</v>
      </c>
      <c r="U361" s="70">
        <f>'RESUMEN TOTAL'!AB442</f>
        <v>0</v>
      </c>
      <c r="V361" s="70">
        <f>'RESUMEN TOTAL'!AC442</f>
        <v>0</v>
      </c>
      <c r="W361" s="70">
        <f>'RESUMEN TOTAL'!AD442</f>
        <v>0</v>
      </c>
      <c r="X361" s="70">
        <f>'RESUMEN TOTAL'!AE442</f>
        <v>0</v>
      </c>
      <c r="Y361" s="70">
        <f>'RESUMEN TOTAL'!AF442</f>
        <v>0</v>
      </c>
      <c r="Z361" s="70">
        <f>'RESUMEN TOTAL'!AG442</f>
        <v>0</v>
      </c>
      <c r="AA361" s="70">
        <f>'RESUMEN TOTAL'!AH442</f>
        <v>0</v>
      </c>
      <c r="AB361" s="70">
        <f>'RESUMEN TOTAL'!AI442</f>
        <v>0</v>
      </c>
      <c r="AC361" s="70">
        <f>'RESUMEN TOTAL'!AJ442</f>
        <v>0</v>
      </c>
      <c r="AD361" s="70">
        <f>'RESUMEN TOTAL'!AK442</f>
        <v>0</v>
      </c>
      <c r="AE361" s="70">
        <f>'RESUMEN TOTAL'!AL442</f>
        <v>0</v>
      </c>
      <c r="AF361" s="70">
        <f>'RESUMEN TOTAL'!AM442</f>
        <v>0</v>
      </c>
      <c r="AG361" s="70">
        <f>'RESUMEN TOTAL'!AN442</f>
        <v>0</v>
      </c>
      <c r="AH361" s="70">
        <f>'RESUMEN TOTAL'!AO442</f>
        <v>0</v>
      </c>
      <c r="AI361" s="70">
        <f>'RESUMEN TOTAL'!AP442</f>
        <v>0</v>
      </c>
    </row>
    <row r="362" spans="1:35" x14ac:dyDescent="0.25">
      <c r="A362" t="str">
        <f>'RESUMEN TOTAL'!A443</f>
        <v>SAN RUDECINDO</v>
      </c>
      <c r="B362" t="str">
        <f>'RESUMEN TOTAL'!B443</f>
        <v>SRU02 (fija 2)</v>
      </c>
      <c r="C362" t="str">
        <f>'RESUMEN TOTAL'!D443</f>
        <v>HERNANDARIAS Y AMBATO</v>
      </c>
      <c r="D362" s="30" t="str">
        <f>'RESUMEN TOTAL'!E443</f>
        <v>Fija</v>
      </c>
      <c r="E362" s="30" t="str">
        <f>'RESUMEN TOTAL'!F443</f>
        <v>GPON</v>
      </c>
      <c r="F362" s="70">
        <f>'RESUMEN TOTAL'!M443</f>
        <v>0</v>
      </c>
      <c r="G362" s="70">
        <f>'RESUMEN TOTAL'!N443</f>
        <v>0</v>
      </c>
      <c r="H362" s="70">
        <f>'RESUMEN TOTAL'!O443</f>
        <v>0</v>
      </c>
      <c r="I362" s="70">
        <f>'RESUMEN TOTAL'!P443</f>
        <v>0</v>
      </c>
      <c r="J362" s="70">
        <f>'RESUMEN TOTAL'!Q443</f>
        <v>0</v>
      </c>
      <c r="K362" s="70">
        <f>'RESUMEN TOTAL'!R443</f>
        <v>0</v>
      </c>
      <c r="L362" s="70">
        <f>'RESUMEN TOTAL'!S443</f>
        <v>0</v>
      </c>
      <c r="M362" s="70">
        <f>'RESUMEN TOTAL'!T443</f>
        <v>0</v>
      </c>
      <c r="N362" s="70">
        <f>'RESUMEN TOTAL'!U443</f>
        <v>0</v>
      </c>
      <c r="O362" s="70">
        <f>'RESUMEN TOTAL'!V443</f>
        <v>0</v>
      </c>
      <c r="P362" s="70">
        <f>'RESUMEN TOTAL'!W443</f>
        <v>0</v>
      </c>
      <c r="Q362" s="70">
        <f>'RESUMEN TOTAL'!X443</f>
        <v>0</v>
      </c>
      <c r="R362" s="70">
        <f>'RESUMEN TOTAL'!Y443</f>
        <v>0</v>
      </c>
      <c r="S362" s="70">
        <f>'RESUMEN TOTAL'!Z443</f>
        <v>0</v>
      </c>
      <c r="T362" s="70">
        <f>'RESUMEN TOTAL'!AA443</f>
        <v>0</v>
      </c>
      <c r="U362" s="70">
        <f>'RESUMEN TOTAL'!AB443</f>
        <v>0</v>
      </c>
      <c r="V362" s="70">
        <f>'RESUMEN TOTAL'!AC443</f>
        <v>0</v>
      </c>
      <c r="W362" s="70">
        <f>'RESUMEN TOTAL'!AD443</f>
        <v>0</v>
      </c>
      <c r="X362" s="70">
        <f>'RESUMEN TOTAL'!AE443</f>
        <v>0</v>
      </c>
      <c r="Y362" s="70">
        <f>'RESUMEN TOTAL'!AF443</f>
        <v>0</v>
      </c>
      <c r="Z362" s="70">
        <f>'RESUMEN TOTAL'!AG443</f>
        <v>0</v>
      </c>
      <c r="AA362" s="70">
        <f>'RESUMEN TOTAL'!AH443</f>
        <v>0</v>
      </c>
      <c r="AB362" s="70">
        <f>'RESUMEN TOTAL'!AI443</f>
        <v>0</v>
      </c>
      <c r="AC362" s="70">
        <f>'RESUMEN TOTAL'!AJ443</f>
        <v>0</v>
      </c>
      <c r="AD362" s="70">
        <f>'RESUMEN TOTAL'!AK443</f>
        <v>0</v>
      </c>
      <c r="AE362" s="70">
        <f>'RESUMEN TOTAL'!AL443</f>
        <v>0</v>
      </c>
      <c r="AF362" s="70">
        <f>'RESUMEN TOTAL'!AM443</f>
        <v>0</v>
      </c>
      <c r="AG362" s="70">
        <f>'RESUMEN TOTAL'!AN443</f>
        <v>0</v>
      </c>
      <c r="AH362" s="70">
        <f>'RESUMEN TOTAL'!AO443</f>
        <v>0</v>
      </c>
      <c r="AI362" s="70">
        <f>'RESUMEN TOTAL'!AP443</f>
        <v>0</v>
      </c>
    </row>
    <row r="363" spans="1:35" x14ac:dyDescent="0.25">
      <c r="A363" t="str">
        <f>'RESUMEN TOTAL'!A444</f>
        <v>SAN RUDECINDO</v>
      </c>
      <c r="B363" t="str">
        <f>'RESUMEN TOTAL'!B444</f>
        <v>SRU03</v>
      </c>
      <c r="C363" t="str">
        <f>'RESUMEN TOTAL'!D444</f>
        <v>SANTA SOFIA Y LUIS AGOTE</v>
      </c>
      <c r="D363" s="30" t="str">
        <f>'RESUMEN TOTAL'!E444</f>
        <v>DOMO</v>
      </c>
      <c r="E363" s="30" t="str">
        <f>'RESUMEN TOTAL'!F444</f>
        <v>GPON</v>
      </c>
      <c r="F363" s="70" t="str">
        <f>'RESUMEN TOTAL'!M444</f>
        <v>APAGADO</v>
      </c>
      <c r="G363" s="70" t="str">
        <f>'RESUMEN TOTAL'!N444</f>
        <v>APAGADO</v>
      </c>
      <c r="H363" s="70" t="str">
        <f>'RESUMEN TOTAL'!O444</f>
        <v>APAGADO</v>
      </c>
      <c r="I363" s="70" t="str">
        <f>'RESUMEN TOTAL'!P444</f>
        <v>APAGADO</v>
      </c>
      <c r="J363" s="70" t="str">
        <f>'RESUMEN TOTAL'!Q444</f>
        <v>APAGADO</v>
      </c>
      <c r="K363" s="70">
        <f>'RESUMEN TOTAL'!R444</f>
        <v>0</v>
      </c>
      <c r="L363" s="70" t="str">
        <f>'RESUMEN TOTAL'!S444</f>
        <v>APAGADO</v>
      </c>
      <c r="M363" s="70" t="str">
        <f>'RESUMEN TOTAL'!T444</f>
        <v>APAGADO</v>
      </c>
      <c r="N363" s="70" t="str">
        <f>'RESUMEN TOTAL'!U444</f>
        <v>APAGADO</v>
      </c>
      <c r="O363" s="70" t="str">
        <f>'RESUMEN TOTAL'!V444</f>
        <v>APAGADO</v>
      </c>
      <c r="P363" s="70">
        <f>'RESUMEN TOTAL'!W444</f>
        <v>0</v>
      </c>
      <c r="Q363" s="70" t="str">
        <f>'RESUMEN TOTAL'!X444</f>
        <v>APAGADO</v>
      </c>
      <c r="R363" s="70" t="str">
        <f>'RESUMEN TOTAL'!Y444</f>
        <v>APAGADO</v>
      </c>
      <c r="S363" s="70" t="str">
        <f>'RESUMEN TOTAL'!Z444</f>
        <v>APAGADO</v>
      </c>
      <c r="T363" s="70" t="str">
        <f>'RESUMEN TOTAL'!AA444</f>
        <v>APAGADO</v>
      </c>
      <c r="U363" s="70" t="str">
        <f>'RESUMEN TOTAL'!AB444</f>
        <v>APAGADO</v>
      </c>
      <c r="V363" s="70" t="str">
        <f>'RESUMEN TOTAL'!AC444</f>
        <v>APAGADO</v>
      </c>
      <c r="W363" s="70">
        <f>'RESUMEN TOTAL'!AD444</f>
        <v>0</v>
      </c>
      <c r="X363" s="70">
        <f>'RESUMEN TOTAL'!AE444</f>
        <v>0</v>
      </c>
      <c r="Y363" s="70">
        <f>'RESUMEN TOTAL'!AF444</f>
        <v>0</v>
      </c>
      <c r="Z363" s="70">
        <f>'RESUMEN TOTAL'!AG444</f>
        <v>0</v>
      </c>
      <c r="AA363" s="70">
        <f>'RESUMEN TOTAL'!AH444</f>
        <v>0</v>
      </c>
      <c r="AB363" s="70" t="str">
        <f>'RESUMEN TOTAL'!AI444</f>
        <v>APAGADO</v>
      </c>
      <c r="AC363" s="70">
        <f>'RESUMEN TOTAL'!AJ444</f>
        <v>0</v>
      </c>
      <c r="AD363" s="70">
        <f>'RESUMEN TOTAL'!AK444</f>
        <v>0</v>
      </c>
      <c r="AE363" s="70">
        <f>'RESUMEN TOTAL'!AL444</f>
        <v>0</v>
      </c>
      <c r="AF363" s="70">
        <f>'RESUMEN TOTAL'!AM444</f>
        <v>0</v>
      </c>
      <c r="AG363" s="70">
        <f>'RESUMEN TOTAL'!AN444</f>
        <v>0</v>
      </c>
      <c r="AH363" s="70">
        <f>'RESUMEN TOTAL'!AO444</f>
        <v>0</v>
      </c>
      <c r="AI363" s="70">
        <f>'RESUMEN TOTAL'!AP444</f>
        <v>0</v>
      </c>
    </row>
    <row r="364" spans="1:35" x14ac:dyDescent="0.25">
      <c r="A364" t="str">
        <f>'RESUMEN TOTAL'!A446</f>
        <v>PRESIDENTE SARMIENTO</v>
      </c>
      <c r="B364" t="str">
        <f>'RESUMEN TOTAL'!B446</f>
        <v>VANG 09</v>
      </c>
      <c r="C364" t="str">
        <f>'RESUMEN TOTAL'!D446</f>
        <v>Ruta 36 y Senzabello</v>
      </c>
      <c r="D364" s="30" t="str">
        <f>'RESUMEN TOTAL'!E446</f>
        <v>Domo</v>
      </c>
      <c r="E364" s="30" t="str">
        <f>'RESUMEN TOTAL'!F446</f>
        <v>PTO A FO</v>
      </c>
      <c r="F364" s="70">
        <f>'RESUMEN TOTAL'!M446</f>
        <v>0</v>
      </c>
      <c r="G364" s="70">
        <f>'RESUMEN TOTAL'!N446</f>
        <v>0</v>
      </c>
      <c r="H364" s="70">
        <f>'RESUMEN TOTAL'!O446</f>
        <v>0</v>
      </c>
      <c r="I364" s="70">
        <f>'RESUMEN TOTAL'!P446</f>
        <v>0</v>
      </c>
      <c r="J364" s="70" t="str">
        <f>'RESUMEN TOTAL'!Q446</f>
        <v>APAGADO</v>
      </c>
      <c r="K364" s="70" t="str">
        <f>'RESUMEN TOTAL'!R446</f>
        <v>APAGADO</v>
      </c>
      <c r="L364" s="70" t="str">
        <f>'RESUMEN TOTAL'!S446</f>
        <v>APAGADO</v>
      </c>
      <c r="M364" s="70" t="str">
        <f>'RESUMEN TOTAL'!T446</f>
        <v>APAGADO</v>
      </c>
      <c r="N364" s="70" t="str">
        <f>'RESUMEN TOTAL'!U446</f>
        <v>APAGADO</v>
      </c>
      <c r="O364" s="70">
        <f>'RESUMEN TOTAL'!V446</f>
        <v>0</v>
      </c>
      <c r="P364" s="70">
        <f>'RESUMEN TOTAL'!W446</f>
        <v>0</v>
      </c>
      <c r="Q364" s="70">
        <f>'RESUMEN TOTAL'!X446</f>
        <v>0</v>
      </c>
      <c r="R364" s="70">
        <f>'RESUMEN TOTAL'!Y446</f>
        <v>0</v>
      </c>
      <c r="S364" s="70">
        <f>'RESUMEN TOTAL'!Z446</f>
        <v>0</v>
      </c>
      <c r="T364" s="70" t="str">
        <f>'RESUMEN TOTAL'!AA446</f>
        <v>APAGADO</v>
      </c>
      <c r="U364" s="70">
        <f>'RESUMEN TOTAL'!AB446</f>
        <v>0</v>
      </c>
      <c r="V364" s="70">
        <f>'RESUMEN TOTAL'!AC446</f>
        <v>0</v>
      </c>
      <c r="W364" s="70">
        <f>'RESUMEN TOTAL'!AD446</f>
        <v>0</v>
      </c>
      <c r="X364" s="70">
        <f>'RESUMEN TOTAL'!AE446</f>
        <v>0</v>
      </c>
      <c r="Y364" s="70">
        <f>'RESUMEN TOTAL'!AF446</f>
        <v>0</v>
      </c>
      <c r="Z364" s="70">
        <f>'RESUMEN TOTAL'!AG446</f>
        <v>0</v>
      </c>
      <c r="AA364" s="70">
        <f>'RESUMEN TOTAL'!AH446</f>
        <v>0</v>
      </c>
      <c r="AB364" s="70">
        <f>'RESUMEN TOTAL'!AI446</f>
        <v>0</v>
      </c>
      <c r="AC364" s="70">
        <f>'RESUMEN TOTAL'!AJ446</f>
        <v>0</v>
      </c>
      <c r="AD364" s="70">
        <f>'RESUMEN TOTAL'!AK446</f>
        <v>0</v>
      </c>
      <c r="AE364" s="70">
        <f>'RESUMEN TOTAL'!AL446</f>
        <v>0</v>
      </c>
      <c r="AF364" s="70">
        <f>'RESUMEN TOTAL'!AM446</f>
        <v>0</v>
      </c>
      <c r="AG364" s="70">
        <f>'RESUMEN TOTAL'!AN446</f>
        <v>0</v>
      </c>
      <c r="AH364" s="70">
        <f>'RESUMEN TOTAL'!AO446</f>
        <v>0</v>
      </c>
      <c r="AI364" s="70">
        <f>'RESUMEN TOTAL'!AP446</f>
        <v>0</v>
      </c>
    </row>
    <row r="365" spans="1:35" x14ac:dyDescent="0.25">
      <c r="A365" t="str">
        <f>'RESUMEN TOTAL'!A447</f>
        <v>VILLA ANGELICA</v>
      </c>
      <c r="B365" t="str">
        <f>'RESUMEN TOTAL'!B447</f>
        <v>VANG01</v>
      </c>
      <c r="C365" t="str">
        <f>'RESUMEN TOTAL'!D447</f>
        <v>SENZABELLO Y REMDIOS DE ESCALADA</v>
      </c>
      <c r="D365" s="30" t="str">
        <f>'RESUMEN TOTAL'!E447</f>
        <v>Domo</v>
      </c>
      <c r="E365" s="30" t="str">
        <f>'RESUMEN TOTAL'!F447</f>
        <v>PTO A FO</v>
      </c>
      <c r="F365" s="70">
        <f>'RESUMEN TOTAL'!M447</f>
        <v>0</v>
      </c>
      <c r="G365" s="70">
        <f>'RESUMEN TOTAL'!N447</f>
        <v>0</v>
      </c>
      <c r="H365" s="70">
        <f>'RESUMEN TOTAL'!O447</f>
        <v>0</v>
      </c>
      <c r="I365" s="70">
        <f>'RESUMEN TOTAL'!P447</f>
        <v>0</v>
      </c>
      <c r="J365" s="70" t="str">
        <f>'RESUMEN TOTAL'!Q447</f>
        <v>APAGADO</v>
      </c>
      <c r="K365" s="70" t="str">
        <f>'RESUMEN TOTAL'!R447</f>
        <v>APAGADO</v>
      </c>
      <c r="L365" s="70" t="str">
        <f>'RESUMEN TOTAL'!S447</f>
        <v>APAGADO</v>
      </c>
      <c r="M365" s="70" t="str">
        <f>'RESUMEN TOTAL'!T447</f>
        <v>APAGADO</v>
      </c>
      <c r="N365" s="70" t="str">
        <f>'RESUMEN TOTAL'!U447</f>
        <v>APAGADO</v>
      </c>
      <c r="O365" s="70">
        <f>'RESUMEN TOTAL'!V447</f>
        <v>0</v>
      </c>
      <c r="P365" s="70">
        <f>'RESUMEN TOTAL'!W447</f>
        <v>0</v>
      </c>
      <c r="Q365" s="70">
        <f>'RESUMEN TOTAL'!X447</f>
        <v>0</v>
      </c>
      <c r="R365" s="70">
        <f>'RESUMEN TOTAL'!Y447</f>
        <v>0</v>
      </c>
      <c r="S365" s="70">
        <f>'RESUMEN TOTAL'!Z447</f>
        <v>0</v>
      </c>
      <c r="T365" s="70" t="str">
        <f>'RESUMEN TOTAL'!AA447</f>
        <v>APAGADO</v>
      </c>
      <c r="U365" s="70">
        <f>'RESUMEN TOTAL'!AB447</f>
        <v>0</v>
      </c>
      <c r="V365" s="70">
        <f>'RESUMEN TOTAL'!AC447</f>
        <v>0</v>
      </c>
      <c r="W365" s="70">
        <f>'RESUMEN TOTAL'!AD447</f>
        <v>0</v>
      </c>
      <c r="X365" s="70">
        <f>'RESUMEN TOTAL'!AE447</f>
        <v>0</v>
      </c>
      <c r="Y365" s="70">
        <f>'RESUMEN TOTAL'!AF447</f>
        <v>0</v>
      </c>
      <c r="Z365" s="70">
        <f>'RESUMEN TOTAL'!AG447</f>
        <v>0</v>
      </c>
      <c r="AA365" s="70">
        <f>'RESUMEN TOTAL'!AH447</f>
        <v>0</v>
      </c>
      <c r="AB365" s="70">
        <f>'RESUMEN TOTAL'!AI447</f>
        <v>0</v>
      </c>
      <c r="AC365" s="70">
        <f>'RESUMEN TOTAL'!AJ447</f>
        <v>0</v>
      </c>
      <c r="AD365" s="70">
        <f>'RESUMEN TOTAL'!AK447</f>
        <v>0</v>
      </c>
      <c r="AE365" s="70">
        <f>'RESUMEN TOTAL'!AL447</f>
        <v>0</v>
      </c>
      <c r="AF365" s="70">
        <f>'RESUMEN TOTAL'!AM447</f>
        <v>0</v>
      </c>
      <c r="AG365" s="70">
        <f>'RESUMEN TOTAL'!AN447</f>
        <v>0</v>
      </c>
      <c r="AH365" s="70">
        <f>'RESUMEN TOTAL'!AO447</f>
        <v>0</v>
      </c>
      <c r="AI365" s="70">
        <f>'RESUMEN TOTAL'!AP447</f>
        <v>0</v>
      </c>
    </row>
    <row r="366" spans="1:35" x14ac:dyDescent="0.25">
      <c r="A366" t="str">
        <f>'RESUMEN TOTAL'!A448</f>
        <v>VILLA ANGELICA</v>
      </c>
      <c r="B366" t="str">
        <f>'RESUMEN TOTAL'!B448</f>
        <v>VANG02</v>
      </c>
      <c r="C366" t="str">
        <f>'RESUMEN TOTAL'!D448</f>
        <v>Thevenet y Ruta 36</v>
      </c>
      <c r="D366" s="30" t="str">
        <f>'RESUMEN TOTAL'!E448</f>
        <v>Domo</v>
      </c>
      <c r="E366" s="30" t="str">
        <f>'RESUMEN TOTAL'!F448</f>
        <v>Fibra Optica</v>
      </c>
      <c r="F366" s="70">
        <f>'RESUMEN TOTAL'!M448</f>
        <v>0</v>
      </c>
      <c r="G366" s="70">
        <f>'RESUMEN TOTAL'!N448</f>
        <v>0</v>
      </c>
      <c r="H366" s="70">
        <f>'RESUMEN TOTAL'!O448</f>
        <v>0</v>
      </c>
      <c r="I366" s="70">
        <f>'RESUMEN TOTAL'!P448</f>
        <v>0</v>
      </c>
      <c r="J366" s="70">
        <f>'RESUMEN TOTAL'!Q448</f>
        <v>0</v>
      </c>
      <c r="K366" s="70">
        <f>'RESUMEN TOTAL'!R448</f>
        <v>0</v>
      </c>
      <c r="L366" s="70">
        <f>'RESUMEN TOTAL'!S448</f>
        <v>0</v>
      </c>
      <c r="M366" s="70">
        <f>'RESUMEN TOTAL'!T448</f>
        <v>0</v>
      </c>
      <c r="N366" s="70">
        <f>'RESUMEN TOTAL'!U448</f>
        <v>0</v>
      </c>
      <c r="O366" s="70">
        <f>'RESUMEN TOTAL'!V448</f>
        <v>0</v>
      </c>
      <c r="P366" s="70">
        <f>'RESUMEN TOTAL'!W448</f>
        <v>0</v>
      </c>
      <c r="Q366" s="70">
        <f>'RESUMEN TOTAL'!X448</f>
        <v>0</v>
      </c>
      <c r="R366" s="70">
        <f>'RESUMEN TOTAL'!Y448</f>
        <v>0</v>
      </c>
      <c r="S366" s="70">
        <f>'RESUMEN TOTAL'!Z448</f>
        <v>0</v>
      </c>
      <c r="T366" s="70">
        <f>'RESUMEN TOTAL'!AA448</f>
        <v>0</v>
      </c>
      <c r="U366" s="70">
        <f>'RESUMEN TOTAL'!AB448</f>
        <v>0</v>
      </c>
      <c r="V366" s="70">
        <f>'RESUMEN TOTAL'!AC448</f>
        <v>0</v>
      </c>
      <c r="W366" s="70">
        <f>'RESUMEN TOTAL'!AD448</f>
        <v>0</v>
      </c>
      <c r="X366" s="70">
        <f>'RESUMEN TOTAL'!AE448</f>
        <v>0</v>
      </c>
      <c r="Y366" s="70">
        <f>'RESUMEN TOTAL'!AF448</f>
        <v>0</v>
      </c>
      <c r="Z366" s="70">
        <f>'RESUMEN TOTAL'!AG448</f>
        <v>0</v>
      </c>
      <c r="AA366" s="70">
        <f>'RESUMEN TOTAL'!AH448</f>
        <v>0</v>
      </c>
      <c r="AB366" s="70">
        <f>'RESUMEN TOTAL'!AI448</f>
        <v>0</v>
      </c>
      <c r="AC366" s="70">
        <f>'RESUMEN TOTAL'!AJ448</f>
        <v>0</v>
      </c>
      <c r="AD366" s="70">
        <f>'RESUMEN TOTAL'!AK448</f>
        <v>0</v>
      </c>
      <c r="AE366" s="70" t="str">
        <f>'RESUMEN TOTAL'!AL448</f>
        <v>APAGADO</v>
      </c>
      <c r="AF366" s="70">
        <f>'RESUMEN TOTAL'!AM448</f>
        <v>0</v>
      </c>
      <c r="AG366" s="70">
        <f>'RESUMEN TOTAL'!AN448</f>
        <v>0</v>
      </c>
      <c r="AH366" s="70">
        <f>'RESUMEN TOTAL'!AO448</f>
        <v>0</v>
      </c>
      <c r="AI366" s="70">
        <f>'RESUMEN TOTAL'!AP448</f>
        <v>0</v>
      </c>
    </row>
    <row r="367" spans="1:35" x14ac:dyDescent="0.25">
      <c r="A367" t="str">
        <f>'RESUMEN TOTAL'!A449</f>
        <v>VILLA DEL PLATA</v>
      </c>
      <c r="B367" t="str">
        <f>'RESUMEN TOTAL'!B449</f>
        <v>VANG03</v>
      </c>
      <c r="C367" t="str">
        <f>'RESUMEN TOTAL'!D449</f>
        <v>Thevenet 1950</v>
      </c>
      <c r="D367" s="30" t="str">
        <f>'RESUMEN TOTAL'!E449</f>
        <v>Domo</v>
      </c>
      <c r="E367" s="30" t="str">
        <f>'RESUMEN TOTAL'!F449</f>
        <v>Fibra Optica</v>
      </c>
      <c r="F367" s="70">
        <f>'RESUMEN TOTAL'!M449</f>
        <v>0</v>
      </c>
      <c r="G367" s="70">
        <f>'RESUMEN TOTAL'!N449</f>
        <v>0</v>
      </c>
      <c r="H367" s="70">
        <f>'RESUMEN TOTAL'!O449</f>
        <v>0</v>
      </c>
      <c r="I367" s="70">
        <f>'RESUMEN TOTAL'!P449</f>
        <v>0</v>
      </c>
      <c r="J367" s="70">
        <f>'RESUMEN TOTAL'!Q449</f>
        <v>0</v>
      </c>
      <c r="K367" s="70">
        <f>'RESUMEN TOTAL'!R449</f>
        <v>0</v>
      </c>
      <c r="L367" s="70">
        <f>'RESUMEN TOTAL'!S449</f>
        <v>0</v>
      </c>
      <c r="M367" s="70">
        <f>'RESUMEN TOTAL'!T449</f>
        <v>0</v>
      </c>
      <c r="N367" s="70">
        <f>'RESUMEN TOTAL'!U449</f>
        <v>0</v>
      </c>
      <c r="O367" s="70">
        <f>'RESUMEN TOTAL'!V449</f>
        <v>0</v>
      </c>
      <c r="P367" s="70">
        <f>'RESUMEN TOTAL'!W449</f>
        <v>0</v>
      </c>
      <c r="Q367" s="70">
        <f>'RESUMEN TOTAL'!X449</f>
        <v>0</v>
      </c>
      <c r="R367" s="70">
        <f>'RESUMEN TOTAL'!Y449</f>
        <v>0</v>
      </c>
      <c r="S367" s="70">
        <f>'RESUMEN TOTAL'!Z449</f>
        <v>0</v>
      </c>
      <c r="T367" s="70">
        <f>'RESUMEN TOTAL'!AA449</f>
        <v>0</v>
      </c>
      <c r="U367" s="70">
        <f>'RESUMEN TOTAL'!AB449</f>
        <v>0</v>
      </c>
      <c r="V367" s="70">
        <f>'RESUMEN TOTAL'!AC449</f>
        <v>0</v>
      </c>
      <c r="W367" s="70">
        <f>'RESUMEN TOTAL'!AD449</f>
        <v>0</v>
      </c>
      <c r="X367" s="70">
        <f>'RESUMEN TOTAL'!AE449</f>
        <v>0</v>
      </c>
      <c r="Y367" s="70">
        <f>'RESUMEN TOTAL'!AF449</f>
        <v>0</v>
      </c>
      <c r="Z367" s="70">
        <f>'RESUMEN TOTAL'!AG449</f>
        <v>0</v>
      </c>
      <c r="AA367" s="70">
        <f>'RESUMEN TOTAL'!AH449</f>
        <v>0</v>
      </c>
      <c r="AB367" s="70">
        <f>'RESUMEN TOTAL'!AI449</f>
        <v>0</v>
      </c>
      <c r="AC367" s="70">
        <f>'RESUMEN TOTAL'!AJ449</f>
        <v>0</v>
      </c>
      <c r="AD367" s="70">
        <f>'RESUMEN TOTAL'!AK449</f>
        <v>0</v>
      </c>
      <c r="AE367" s="70" t="str">
        <f>'RESUMEN TOTAL'!AL449</f>
        <v>APAGADO</v>
      </c>
      <c r="AF367" s="70">
        <f>'RESUMEN TOTAL'!AM449</f>
        <v>0</v>
      </c>
      <c r="AG367" s="70">
        <f>'RESUMEN TOTAL'!AN449</f>
        <v>0</v>
      </c>
      <c r="AH367" s="70">
        <f>'RESUMEN TOTAL'!AO449</f>
        <v>0</v>
      </c>
      <c r="AI367" s="70">
        <f>'RESUMEN TOTAL'!AP449</f>
        <v>0</v>
      </c>
    </row>
    <row r="368" spans="1:35" x14ac:dyDescent="0.25">
      <c r="A368" t="str">
        <f>'RESUMEN TOTAL'!A450</f>
        <v>VILLA ANGELICA</v>
      </c>
      <c r="B368" t="str">
        <f>'RESUMEN TOTAL'!B450</f>
        <v>VANG04</v>
      </c>
      <c r="C368" t="str">
        <f>'RESUMEN TOTAL'!D450</f>
        <v>Storni e/Thevenet y Calle 158</v>
      </c>
      <c r="D368" s="30" t="str">
        <f>'RESUMEN TOTAL'!E450</f>
        <v>DOMO</v>
      </c>
      <c r="E368" s="30" t="str">
        <f>'RESUMEN TOTAL'!F450</f>
        <v>Fibra Optica</v>
      </c>
      <c r="F368" s="70">
        <f>'RESUMEN TOTAL'!M450</f>
        <v>0</v>
      </c>
      <c r="G368" s="70">
        <f>'RESUMEN TOTAL'!N450</f>
        <v>0</v>
      </c>
      <c r="H368" s="70">
        <f>'RESUMEN TOTAL'!O450</f>
        <v>0</v>
      </c>
      <c r="I368" s="70">
        <f>'RESUMEN TOTAL'!P450</f>
        <v>0</v>
      </c>
      <c r="J368" s="70">
        <f>'RESUMEN TOTAL'!Q450</f>
        <v>0</v>
      </c>
      <c r="K368" s="70">
        <f>'RESUMEN TOTAL'!R450</f>
        <v>0</v>
      </c>
      <c r="L368" s="70">
        <f>'RESUMEN TOTAL'!S450</f>
        <v>0</v>
      </c>
      <c r="M368" s="70">
        <f>'RESUMEN TOTAL'!T450</f>
        <v>0</v>
      </c>
      <c r="N368" s="70">
        <f>'RESUMEN TOTAL'!U450</f>
        <v>0</v>
      </c>
      <c r="O368" s="70">
        <f>'RESUMEN TOTAL'!V450</f>
        <v>0</v>
      </c>
      <c r="P368" s="70">
        <f>'RESUMEN TOTAL'!W450</f>
        <v>0</v>
      </c>
      <c r="Q368" s="70">
        <f>'RESUMEN TOTAL'!X450</f>
        <v>0</v>
      </c>
      <c r="R368" s="70">
        <f>'RESUMEN TOTAL'!Y450</f>
        <v>0</v>
      </c>
      <c r="S368" s="70">
        <f>'RESUMEN TOTAL'!Z450</f>
        <v>0</v>
      </c>
      <c r="T368" s="70">
        <f>'RESUMEN TOTAL'!AA450</f>
        <v>0</v>
      </c>
      <c r="U368" s="70">
        <f>'RESUMEN TOTAL'!AB450</f>
        <v>0</v>
      </c>
      <c r="V368" s="70">
        <f>'RESUMEN TOTAL'!AC450</f>
        <v>0</v>
      </c>
      <c r="W368" s="70">
        <f>'RESUMEN TOTAL'!AD450</f>
        <v>0</v>
      </c>
      <c r="X368" s="70">
        <f>'RESUMEN TOTAL'!AE450</f>
        <v>0</v>
      </c>
      <c r="Y368" s="70">
        <f>'RESUMEN TOTAL'!AF450</f>
        <v>0</v>
      </c>
      <c r="Z368" s="70">
        <f>'RESUMEN TOTAL'!AG450</f>
        <v>0</v>
      </c>
      <c r="AA368" s="70">
        <f>'RESUMEN TOTAL'!AH450</f>
        <v>0</v>
      </c>
      <c r="AB368" s="70">
        <f>'RESUMEN TOTAL'!AI450</f>
        <v>0</v>
      </c>
      <c r="AC368" s="70">
        <f>'RESUMEN TOTAL'!AJ450</f>
        <v>0</v>
      </c>
      <c r="AD368" s="70">
        <f>'RESUMEN TOTAL'!AK450</f>
        <v>0</v>
      </c>
      <c r="AE368" s="70" t="str">
        <f>'RESUMEN TOTAL'!AL450</f>
        <v>APAGADO</v>
      </c>
      <c r="AF368" s="70">
        <f>'RESUMEN TOTAL'!AM450</f>
        <v>0</v>
      </c>
      <c r="AG368" s="70">
        <f>'RESUMEN TOTAL'!AN450</f>
        <v>0</v>
      </c>
      <c r="AH368" s="70">
        <f>'RESUMEN TOTAL'!AO450</f>
        <v>0</v>
      </c>
      <c r="AI368" s="70">
        <f>'RESUMEN TOTAL'!AP450</f>
        <v>0</v>
      </c>
    </row>
    <row r="369" spans="1:35" x14ac:dyDescent="0.25">
      <c r="A369" t="str">
        <f>'RESUMEN TOTAL'!A451</f>
        <v>VILLA ANGELICA</v>
      </c>
      <c r="B369" t="str">
        <f>'RESUMEN TOTAL'!B451</f>
        <v>VANG05</v>
      </c>
      <c r="C369" t="str">
        <f>'RESUMEN TOTAL'!D451</f>
        <v>Storni y Thevenet</v>
      </c>
      <c r="D369" s="30" t="str">
        <f>'RESUMEN TOTAL'!E451</f>
        <v>Domo</v>
      </c>
      <c r="E369" s="30" t="str">
        <f>'RESUMEN TOTAL'!F451</f>
        <v>Fibra Optica</v>
      </c>
      <c r="F369" s="70">
        <f>'RESUMEN TOTAL'!M451</f>
        <v>0</v>
      </c>
      <c r="G369" s="70">
        <f>'RESUMEN TOTAL'!N451</f>
        <v>0</v>
      </c>
      <c r="H369" s="70">
        <f>'RESUMEN TOTAL'!O451</f>
        <v>0</v>
      </c>
      <c r="I369" s="70">
        <f>'RESUMEN TOTAL'!P451</f>
        <v>0</v>
      </c>
      <c r="J369" s="70">
        <f>'RESUMEN TOTAL'!Q451</f>
        <v>0</v>
      </c>
      <c r="K369" s="70">
        <f>'RESUMEN TOTAL'!R451</f>
        <v>0</v>
      </c>
      <c r="L369" s="70">
        <f>'RESUMEN TOTAL'!S451</f>
        <v>0</v>
      </c>
      <c r="M369" s="70">
        <f>'RESUMEN TOTAL'!T451</f>
        <v>0</v>
      </c>
      <c r="N369" s="70">
        <f>'RESUMEN TOTAL'!U451</f>
        <v>0</v>
      </c>
      <c r="O369" s="70">
        <f>'RESUMEN TOTAL'!V451</f>
        <v>0</v>
      </c>
      <c r="P369" s="70">
        <f>'RESUMEN TOTAL'!W451</f>
        <v>0</v>
      </c>
      <c r="Q369" s="70">
        <f>'RESUMEN TOTAL'!X451</f>
        <v>0</v>
      </c>
      <c r="R369" s="70">
        <f>'RESUMEN TOTAL'!Y451</f>
        <v>0</v>
      </c>
      <c r="S369" s="70">
        <f>'RESUMEN TOTAL'!Z451</f>
        <v>0</v>
      </c>
      <c r="T369" s="70">
        <f>'RESUMEN TOTAL'!AA451</f>
        <v>0</v>
      </c>
      <c r="U369" s="70">
        <f>'RESUMEN TOTAL'!AB451</f>
        <v>0</v>
      </c>
      <c r="V369" s="70">
        <f>'RESUMEN TOTAL'!AC451</f>
        <v>0</v>
      </c>
      <c r="W369" s="70">
        <f>'RESUMEN TOTAL'!AD451</f>
        <v>0</v>
      </c>
      <c r="X369" s="70">
        <f>'RESUMEN TOTAL'!AE451</f>
        <v>0</v>
      </c>
      <c r="Y369" s="70">
        <f>'RESUMEN TOTAL'!AF451</f>
        <v>0</v>
      </c>
      <c r="Z369" s="70">
        <f>'RESUMEN TOTAL'!AG451</f>
        <v>0</v>
      </c>
      <c r="AA369" s="70">
        <f>'RESUMEN TOTAL'!AH451</f>
        <v>0</v>
      </c>
      <c r="AB369" s="70">
        <f>'RESUMEN TOTAL'!AI451</f>
        <v>0</v>
      </c>
      <c r="AC369" s="70">
        <f>'RESUMEN TOTAL'!AJ451</f>
        <v>0</v>
      </c>
      <c r="AD369" s="70">
        <f>'RESUMEN TOTAL'!AK451</f>
        <v>0</v>
      </c>
      <c r="AE369" s="70">
        <f>'RESUMEN TOTAL'!AL451</f>
        <v>0</v>
      </c>
      <c r="AF369" s="70">
        <f>'RESUMEN TOTAL'!AM451</f>
        <v>0</v>
      </c>
      <c r="AG369" s="70">
        <f>'RESUMEN TOTAL'!AN451</f>
        <v>0</v>
      </c>
      <c r="AH369" s="70">
        <f>'RESUMEN TOTAL'!AO451</f>
        <v>0</v>
      </c>
      <c r="AI369" s="70">
        <f>'RESUMEN TOTAL'!AP451</f>
        <v>0</v>
      </c>
    </row>
    <row r="370" spans="1:35" x14ac:dyDescent="0.25">
      <c r="A370" t="str">
        <f>'RESUMEN TOTAL'!A452</f>
        <v>VILLA ANGELICA</v>
      </c>
      <c r="B370" t="str">
        <f>'RESUMEN TOTAL'!B452</f>
        <v>VANG06</v>
      </c>
      <c r="C370" t="str">
        <f>'RESUMEN TOTAL'!D452</f>
        <v>Arenales e/Thevenet y Calle 158</v>
      </c>
      <c r="D370" s="30" t="str">
        <f>'RESUMEN TOTAL'!E452</f>
        <v>DOMO</v>
      </c>
      <c r="E370" s="30" t="str">
        <f>'RESUMEN TOTAL'!F452</f>
        <v>GPON</v>
      </c>
      <c r="F370" s="70">
        <f>'RESUMEN TOTAL'!M452</f>
        <v>0</v>
      </c>
      <c r="G370" s="70">
        <f>'RESUMEN TOTAL'!N452</f>
        <v>0</v>
      </c>
      <c r="H370" s="70">
        <f>'RESUMEN TOTAL'!O452</f>
        <v>0</v>
      </c>
      <c r="I370" s="70">
        <f>'RESUMEN TOTAL'!P452</f>
        <v>0</v>
      </c>
      <c r="J370" s="70">
        <f>'RESUMEN TOTAL'!Q452</f>
        <v>0</v>
      </c>
      <c r="K370" s="70">
        <f>'RESUMEN TOTAL'!R452</f>
        <v>0</v>
      </c>
      <c r="L370" s="70">
        <f>'RESUMEN TOTAL'!S452</f>
        <v>0</v>
      </c>
      <c r="M370" s="70">
        <f>'RESUMEN TOTAL'!T452</f>
        <v>0</v>
      </c>
      <c r="N370" s="70">
        <f>'RESUMEN TOTAL'!U452</f>
        <v>0</v>
      </c>
      <c r="O370" s="70">
        <f>'RESUMEN TOTAL'!V452</f>
        <v>0</v>
      </c>
      <c r="P370" s="70">
        <f>'RESUMEN TOTAL'!W452</f>
        <v>0</v>
      </c>
      <c r="Q370" s="70">
        <f>'RESUMEN TOTAL'!X452</f>
        <v>0</v>
      </c>
      <c r="R370" s="70">
        <f>'RESUMEN TOTAL'!Y452</f>
        <v>0</v>
      </c>
      <c r="S370" s="70">
        <f>'RESUMEN TOTAL'!Z452</f>
        <v>0</v>
      </c>
      <c r="T370" s="70">
        <f>'RESUMEN TOTAL'!AA452</f>
        <v>0</v>
      </c>
      <c r="U370" s="70">
        <f>'RESUMEN TOTAL'!AB452</f>
        <v>0</v>
      </c>
      <c r="V370" s="70">
        <f>'RESUMEN TOTAL'!AC452</f>
        <v>0</v>
      </c>
      <c r="W370" s="70">
        <f>'RESUMEN TOTAL'!AD452</f>
        <v>0</v>
      </c>
      <c r="X370" s="70">
        <f>'RESUMEN TOTAL'!AE452</f>
        <v>0</v>
      </c>
      <c r="Y370" s="70">
        <f>'RESUMEN TOTAL'!AF452</f>
        <v>0</v>
      </c>
      <c r="Z370" s="70">
        <f>'RESUMEN TOTAL'!AG452</f>
        <v>0</v>
      </c>
      <c r="AA370" s="70">
        <f>'RESUMEN TOTAL'!AH452</f>
        <v>0</v>
      </c>
      <c r="AB370" s="70">
        <f>'RESUMEN TOTAL'!AI452</f>
        <v>0</v>
      </c>
      <c r="AC370" s="70">
        <f>'RESUMEN TOTAL'!AJ452</f>
        <v>0</v>
      </c>
      <c r="AD370" s="70">
        <f>'RESUMEN TOTAL'!AK452</f>
        <v>0</v>
      </c>
      <c r="AE370" s="70">
        <f>'RESUMEN TOTAL'!AL452</f>
        <v>0</v>
      </c>
      <c r="AF370" s="70">
        <f>'RESUMEN TOTAL'!AM452</f>
        <v>0</v>
      </c>
      <c r="AG370" s="70">
        <f>'RESUMEN TOTAL'!AN452</f>
        <v>0</v>
      </c>
      <c r="AH370" s="70">
        <f>'RESUMEN TOTAL'!AO452</f>
        <v>0</v>
      </c>
      <c r="AI370" s="70">
        <f>'RESUMEN TOTAL'!AP452</f>
        <v>0</v>
      </c>
    </row>
    <row r="371" spans="1:35" x14ac:dyDescent="0.25">
      <c r="A371" t="str">
        <f>'RESUMEN TOTAL'!A453</f>
        <v>VILLA ANGELICA</v>
      </c>
      <c r="B371" t="str">
        <f>'RESUMEN TOTAL'!B453</f>
        <v>VANG07</v>
      </c>
      <c r="C371" t="str">
        <f>'RESUMEN TOTAL'!D453</f>
        <v>Arenales y Thevenet</v>
      </c>
      <c r="D371" s="30" t="str">
        <f>'RESUMEN TOTAL'!E453</f>
        <v>Domo</v>
      </c>
      <c r="E371" s="30" t="str">
        <f>'RESUMEN TOTAL'!F453</f>
        <v>GPON</v>
      </c>
      <c r="F371" s="70">
        <f>'RESUMEN TOTAL'!M453</f>
        <v>0</v>
      </c>
      <c r="G371" s="70">
        <f>'RESUMEN TOTAL'!N453</f>
        <v>0</v>
      </c>
      <c r="H371" s="70">
        <f>'RESUMEN TOTAL'!O453</f>
        <v>0</v>
      </c>
      <c r="I371" s="70">
        <f>'RESUMEN TOTAL'!P453</f>
        <v>0</v>
      </c>
      <c r="J371" s="70">
        <f>'RESUMEN TOTAL'!Q453</f>
        <v>0</v>
      </c>
      <c r="K371" s="70">
        <f>'RESUMEN TOTAL'!R453</f>
        <v>0</v>
      </c>
      <c r="L371" s="70">
        <f>'RESUMEN TOTAL'!S453</f>
        <v>0</v>
      </c>
      <c r="M371" s="70">
        <f>'RESUMEN TOTAL'!T453</f>
        <v>0</v>
      </c>
      <c r="N371" s="70">
        <f>'RESUMEN TOTAL'!U453</f>
        <v>0</v>
      </c>
      <c r="O371" s="70">
        <f>'RESUMEN TOTAL'!V453</f>
        <v>0</v>
      </c>
      <c r="P371" s="70">
        <f>'RESUMEN TOTAL'!W453</f>
        <v>0</v>
      </c>
      <c r="Q371" s="70">
        <f>'RESUMEN TOTAL'!X453</f>
        <v>0</v>
      </c>
      <c r="R371" s="70">
        <f>'RESUMEN TOTAL'!Y453</f>
        <v>0</v>
      </c>
      <c r="S371" s="70">
        <f>'RESUMEN TOTAL'!Z453</f>
        <v>0</v>
      </c>
      <c r="T371" s="70">
        <f>'RESUMEN TOTAL'!AA453</f>
        <v>0</v>
      </c>
      <c r="U371" s="70">
        <f>'RESUMEN TOTAL'!AB453</f>
        <v>0</v>
      </c>
      <c r="V371" s="70">
        <f>'RESUMEN TOTAL'!AC453</f>
        <v>0</v>
      </c>
      <c r="W371" s="70">
        <f>'RESUMEN TOTAL'!AD453</f>
        <v>0</v>
      </c>
      <c r="X371" s="70">
        <f>'RESUMEN TOTAL'!AE453</f>
        <v>0</v>
      </c>
      <c r="Y371" s="70">
        <f>'RESUMEN TOTAL'!AF453</f>
        <v>0</v>
      </c>
      <c r="Z371" s="70">
        <f>'RESUMEN TOTAL'!AG453</f>
        <v>0</v>
      </c>
      <c r="AA371" s="70">
        <f>'RESUMEN TOTAL'!AH453</f>
        <v>0</v>
      </c>
      <c r="AB371" s="70">
        <f>'RESUMEN TOTAL'!AI453</f>
        <v>0</v>
      </c>
      <c r="AC371" s="70">
        <f>'RESUMEN TOTAL'!AJ453</f>
        <v>0</v>
      </c>
      <c r="AD371" s="70">
        <f>'RESUMEN TOTAL'!AK453</f>
        <v>0</v>
      </c>
      <c r="AE371" s="70" t="str">
        <f>'RESUMEN TOTAL'!AL453</f>
        <v>APAGADO</v>
      </c>
      <c r="AF371" s="70">
        <f>'RESUMEN TOTAL'!AM453</f>
        <v>0</v>
      </c>
      <c r="AG371" s="70">
        <f>'RESUMEN TOTAL'!AN453</f>
        <v>0</v>
      </c>
      <c r="AH371" s="70">
        <f>'RESUMEN TOTAL'!AO453</f>
        <v>0</v>
      </c>
      <c r="AI371" s="70">
        <f>'RESUMEN TOTAL'!AP453</f>
        <v>0</v>
      </c>
    </row>
    <row r="372" spans="1:35" x14ac:dyDescent="0.25">
      <c r="A372" t="str">
        <f>'RESUMEN TOTAL'!A454</f>
        <v>VILLA ANGELICA</v>
      </c>
      <c r="B372" t="str">
        <f>'RESUMEN TOTAL'!B454</f>
        <v>VANG08</v>
      </c>
      <c r="C372" t="str">
        <f>'RESUMEN TOTAL'!D454</f>
        <v>Calle 158 al 2200</v>
      </c>
      <c r="D372" s="30" t="str">
        <f>'RESUMEN TOTAL'!E454</f>
        <v>Domo</v>
      </c>
      <c r="E372" s="30" t="str">
        <f>'RESUMEN TOTAL'!F454</f>
        <v>PTO A FO</v>
      </c>
      <c r="F372" s="70">
        <f>'RESUMEN TOTAL'!M454</f>
        <v>0</v>
      </c>
      <c r="G372" s="70">
        <f>'RESUMEN TOTAL'!N454</f>
        <v>0</v>
      </c>
      <c r="H372" s="70">
        <f>'RESUMEN TOTAL'!O454</f>
        <v>0</v>
      </c>
      <c r="I372" s="70">
        <f>'RESUMEN TOTAL'!P454</f>
        <v>0</v>
      </c>
      <c r="J372" s="70">
        <f>'RESUMEN TOTAL'!Q454</f>
        <v>0</v>
      </c>
      <c r="K372" s="70">
        <f>'RESUMEN TOTAL'!R454</f>
        <v>0</v>
      </c>
      <c r="L372" s="70">
        <f>'RESUMEN TOTAL'!S454</f>
        <v>0</v>
      </c>
      <c r="M372" s="70">
        <f>'RESUMEN TOTAL'!T454</f>
        <v>0</v>
      </c>
      <c r="N372" s="70">
        <f>'RESUMEN TOTAL'!U454</f>
        <v>0</v>
      </c>
      <c r="O372" s="70">
        <f>'RESUMEN TOTAL'!V454</f>
        <v>0</v>
      </c>
      <c r="P372" s="70">
        <f>'RESUMEN TOTAL'!W454</f>
        <v>0</v>
      </c>
      <c r="Q372" s="70">
        <f>'RESUMEN TOTAL'!X454</f>
        <v>0</v>
      </c>
      <c r="R372" s="70">
        <f>'RESUMEN TOTAL'!Y454</f>
        <v>0</v>
      </c>
      <c r="S372" s="70">
        <f>'RESUMEN TOTAL'!Z454</f>
        <v>0</v>
      </c>
      <c r="T372" s="70">
        <f>'RESUMEN TOTAL'!AA454</f>
        <v>0</v>
      </c>
      <c r="U372" s="70">
        <f>'RESUMEN TOTAL'!AB454</f>
        <v>0</v>
      </c>
      <c r="V372" s="70">
        <f>'RESUMEN TOTAL'!AC454</f>
        <v>0</v>
      </c>
      <c r="W372" s="70">
        <f>'RESUMEN TOTAL'!AD454</f>
        <v>0</v>
      </c>
      <c r="X372" s="70">
        <f>'RESUMEN TOTAL'!AE454</f>
        <v>0</v>
      </c>
      <c r="Y372" s="70">
        <f>'RESUMEN TOTAL'!AF454</f>
        <v>0</v>
      </c>
      <c r="Z372" s="70">
        <f>'RESUMEN TOTAL'!AG454</f>
        <v>0</v>
      </c>
      <c r="AA372" s="70">
        <f>'RESUMEN TOTAL'!AH454</f>
        <v>0</v>
      </c>
      <c r="AB372" s="70">
        <f>'RESUMEN TOTAL'!AI454</f>
        <v>0</v>
      </c>
      <c r="AC372" s="70">
        <f>'RESUMEN TOTAL'!AJ454</f>
        <v>0</v>
      </c>
      <c r="AD372" s="70">
        <f>'RESUMEN TOTAL'!AK454</f>
        <v>0</v>
      </c>
      <c r="AE372" s="70" t="str">
        <f>'RESUMEN TOTAL'!AL454</f>
        <v>APAGADO</v>
      </c>
      <c r="AF372" s="70">
        <f>'RESUMEN TOTAL'!AM454</f>
        <v>0</v>
      </c>
      <c r="AG372" s="70">
        <f>'RESUMEN TOTAL'!AN454</f>
        <v>0</v>
      </c>
      <c r="AH372" s="70">
        <f>'RESUMEN TOTAL'!AO454</f>
        <v>0</v>
      </c>
      <c r="AI372" s="70">
        <f>'RESUMEN TOTAL'!AP454</f>
        <v>0</v>
      </c>
    </row>
    <row r="373" spans="1:35" x14ac:dyDescent="0.25">
      <c r="A373" t="str">
        <f>'RESUMEN TOTAL'!A455</f>
        <v>VILLA ANGELICA</v>
      </c>
      <c r="B373" t="str">
        <f>'RESUMEN TOTAL'!B455</f>
        <v>VANG10</v>
      </c>
      <c r="C373" t="str">
        <f>'RESUMEN TOTAL'!D455</f>
        <v>Senzabello y Braile</v>
      </c>
      <c r="D373" s="30" t="str">
        <f>'RESUMEN TOTAL'!E455</f>
        <v>fija</v>
      </c>
      <c r="E373" s="30" t="str">
        <f>'RESUMEN TOTAL'!F455</f>
        <v>GPON</v>
      </c>
      <c r="F373" s="70">
        <f>'RESUMEN TOTAL'!M455</f>
        <v>0</v>
      </c>
      <c r="G373" s="70">
        <f>'RESUMEN TOTAL'!N455</f>
        <v>0</v>
      </c>
      <c r="H373" s="70">
        <f>'RESUMEN TOTAL'!O455</f>
        <v>0</v>
      </c>
      <c r="I373" s="70">
        <f>'RESUMEN TOTAL'!P455</f>
        <v>0</v>
      </c>
      <c r="J373" s="70">
        <f>'RESUMEN TOTAL'!Q455</f>
        <v>0</v>
      </c>
      <c r="K373" s="70">
        <f>'RESUMEN TOTAL'!R455</f>
        <v>0</v>
      </c>
      <c r="L373" s="70">
        <f>'RESUMEN TOTAL'!S455</f>
        <v>0</v>
      </c>
      <c r="M373" s="70">
        <f>'RESUMEN TOTAL'!T455</f>
        <v>0</v>
      </c>
      <c r="N373" s="70">
        <f>'RESUMEN TOTAL'!U455</f>
        <v>0</v>
      </c>
      <c r="O373" s="70">
        <f>'RESUMEN TOTAL'!V455</f>
        <v>0</v>
      </c>
      <c r="P373" s="70">
        <f>'RESUMEN TOTAL'!W455</f>
        <v>0</v>
      </c>
      <c r="Q373" s="70">
        <f>'RESUMEN TOTAL'!X455</f>
        <v>0</v>
      </c>
      <c r="R373" s="70">
        <f>'RESUMEN TOTAL'!Y455</f>
        <v>0</v>
      </c>
      <c r="S373" s="70">
        <f>'RESUMEN TOTAL'!Z455</f>
        <v>0</v>
      </c>
      <c r="T373" s="70">
        <f>'RESUMEN TOTAL'!AA455</f>
        <v>0</v>
      </c>
      <c r="U373" s="70">
        <f>'RESUMEN TOTAL'!AB455</f>
        <v>0</v>
      </c>
      <c r="V373" s="70">
        <f>'RESUMEN TOTAL'!AC455</f>
        <v>0</v>
      </c>
      <c r="W373" s="70">
        <f>'RESUMEN TOTAL'!AD455</f>
        <v>0</v>
      </c>
      <c r="X373" s="70">
        <f>'RESUMEN TOTAL'!AE455</f>
        <v>0</v>
      </c>
      <c r="Y373" s="70">
        <f>'RESUMEN TOTAL'!AF455</f>
        <v>0</v>
      </c>
      <c r="Z373" s="70">
        <f>'RESUMEN TOTAL'!AG455</f>
        <v>0</v>
      </c>
      <c r="AA373" s="70">
        <f>'RESUMEN TOTAL'!AH455</f>
        <v>0</v>
      </c>
      <c r="AB373" s="70">
        <f>'RESUMEN TOTAL'!AI455</f>
        <v>0</v>
      </c>
      <c r="AC373" s="70">
        <f>'RESUMEN TOTAL'!AJ455</f>
        <v>0</v>
      </c>
      <c r="AD373" s="70">
        <f>'RESUMEN TOTAL'!AK455</f>
        <v>0</v>
      </c>
      <c r="AE373" s="70">
        <f>'RESUMEN TOTAL'!AL455</f>
        <v>0</v>
      </c>
      <c r="AF373" s="70">
        <f>'RESUMEN TOTAL'!AM455</f>
        <v>0</v>
      </c>
      <c r="AG373" s="70">
        <f>'RESUMEN TOTAL'!AN455</f>
        <v>0</v>
      </c>
      <c r="AH373" s="70">
        <f>'RESUMEN TOTAL'!AO455</f>
        <v>0</v>
      </c>
      <c r="AI373" s="70">
        <f>'RESUMEN TOTAL'!AP455</f>
        <v>0</v>
      </c>
    </row>
    <row r="374" spans="1:35" x14ac:dyDescent="0.25">
      <c r="A374" t="str">
        <f>'RESUMEN TOTAL'!A456</f>
        <v>VILLA ANGELICA</v>
      </c>
      <c r="B374" t="str">
        <f>'RESUMEN TOTAL'!B456</f>
        <v>VANG11</v>
      </c>
      <c r="C374" t="str">
        <f>'RESUMEN TOTAL'!D456</f>
        <v>Senzabello y Braile</v>
      </c>
      <c r="D374" s="30" t="str">
        <f>'RESUMEN TOTAL'!E456</f>
        <v>fija</v>
      </c>
      <c r="E374" s="30" t="str">
        <f>'RESUMEN TOTAL'!F456</f>
        <v>Fibra Optica</v>
      </c>
      <c r="F374" s="70">
        <f>'RESUMEN TOTAL'!M456</f>
        <v>0</v>
      </c>
      <c r="G374" s="70">
        <f>'RESUMEN TOTAL'!N456</f>
        <v>0</v>
      </c>
      <c r="H374" s="70">
        <f>'RESUMEN TOTAL'!O456</f>
        <v>0</v>
      </c>
      <c r="I374" s="70">
        <f>'RESUMEN TOTAL'!P456</f>
        <v>0</v>
      </c>
      <c r="J374" s="70">
        <f>'RESUMEN TOTAL'!Q456</f>
        <v>0</v>
      </c>
      <c r="K374" s="70">
        <f>'RESUMEN TOTAL'!R456</f>
        <v>0</v>
      </c>
      <c r="L374" s="70">
        <f>'RESUMEN TOTAL'!S456</f>
        <v>0</v>
      </c>
      <c r="M374" s="70">
        <f>'RESUMEN TOTAL'!T456</f>
        <v>0</v>
      </c>
      <c r="N374" s="70">
        <f>'RESUMEN TOTAL'!U456</f>
        <v>0</v>
      </c>
      <c r="O374" s="70">
        <f>'RESUMEN TOTAL'!V456</f>
        <v>0</v>
      </c>
      <c r="P374" s="70">
        <f>'RESUMEN TOTAL'!W456</f>
        <v>0</v>
      </c>
      <c r="Q374" s="70">
        <f>'RESUMEN TOTAL'!X456</f>
        <v>0</v>
      </c>
      <c r="R374" s="70">
        <f>'RESUMEN TOTAL'!Y456</f>
        <v>0</v>
      </c>
      <c r="S374" s="70">
        <f>'RESUMEN TOTAL'!Z456</f>
        <v>0</v>
      </c>
      <c r="T374" s="70">
        <f>'RESUMEN TOTAL'!AA456</f>
        <v>0</v>
      </c>
      <c r="U374" s="70">
        <f>'RESUMEN TOTAL'!AB456</f>
        <v>0</v>
      </c>
      <c r="V374" s="70">
        <f>'RESUMEN TOTAL'!AC456</f>
        <v>0</v>
      </c>
      <c r="W374" s="70">
        <f>'RESUMEN TOTAL'!AD456</f>
        <v>0</v>
      </c>
      <c r="X374" s="70">
        <f>'RESUMEN TOTAL'!AE456</f>
        <v>0</v>
      </c>
      <c r="Y374" s="70">
        <f>'RESUMEN TOTAL'!AF456</f>
        <v>0</v>
      </c>
      <c r="Z374" s="70">
        <f>'RESUMEN TOTAL'!AG456</f>
        <v>0</v>
      </c>
      <c r="AA374" s="70">
        <f>'RESUMEN TOTAL'!AH456</f>
        <v>0</v>
      </c>
      <c r="AB374" s="70">
        <f>'RESUMEN TOTAL'!AI456</f>
        <v>0</v>
      </c>
      <c r="AC374" s="70">
        <f>'RESUMEN TOTAL'!AJ456</f>
        <v>0</v>
      </c>
      <c r="AD374" s="70">
        <f>'RESUMEN TOTAL'!AK456</f>
        <v>0</v>
      </c>
      <c r="AE374" s="70">
        <f>'RESUMEN TOTAL'!AL456</f>
        <v>0</v>
      </c>
      <c r="AF374" s="70">
        <f>'RESUMEN TOTAL'!AM456</f>
        <v>0</v>
      </c>
      <c r="AG374" s="70">
        <f>'RESUMEN TOTAL'!AN456</f>
        <v>0</v>
      </c>
      <c r="AH374" s="70">
        <f>'RESUMEN TOTAL'!AO456</f>
        <v>0</v>
      </c>
      <c r="AI374" s="70">
        <f>'RESUMEN TOTAL'!AP456</f>
        <v>0</v>
      </c>
    </row>
    <row r="375" spans="1:35" x14ac:dyDescent="0.25">
      <c r="A375" t="str">
        <f>'RESUMEN TOTAL'!A457</f>
        <v>VILLA ANGELICA</v>
      </c>
      <c r="B375" t="str">
        <f>'RESUMEN TOTAL'!B457</f>
        <v>VANG12</v>
      </c>
      <c r="C375" t="str">
        <f>'RESUMEN TOTAL'!D457</f>
        <v>TAPALQUE E/ BOLIVAR Y GORRITI</v>
      </c>
      <c r="D375" s="30" t="str">
        <f>'RESUMEN TOTAL'!E457</f>
        <v>Fija</v>
      </c>
      <c r="E375" s="30" t="str">
        <f>'RESUMEN TOTAL'!F457</f>
        <v>Fibra Optica</v>
      </c>
      <c r="F375" s="70">
        <f>'RESUMEN TOTAL'!M457</f>
        <v>0</v>
      </c>
      <c r="G375" s="70">
        <f>'RESUMEN TOTAL'!N457</f>
        <v>0</v>
      </c>
      <c r="H375" s="70">
        <f>'RESUMEN TOTAL'!O457</f>
        <v>0</v>
      </c>
      <c r="I375" s="70">
        <f>'RESUMEN TOTAL'!P457</f>
        <v>0</v>
      </c>
      <c r="J375" s="70">
        <f>'RESUMEN TOTAL'!Q457</f>
        <v>0</v>
      </c>
      <c r="K375" s="70">
        <f>'RESUMEN TOTAL'!R457</f>
        <v>0</v>
      </c>
      <c r="L375" s="70">
        <f>'RESUMEN TOTAL'!S457</f>
        <v>0</v>
      </c>
      <c r="M375" s="70">
        <f>'RESUMEN TOTAL'!T457</f>
        <v>0</v>
      </c>
      <c r="N375" s="70">
        <f>'RESUMEN TOTAL'!U457</f>
        <v>0</v>
      </c>
      <c r="O375" s="70">
        <f>'RESUMEN TOTAL'!V457</f>
        <v>0</v>
      </c>
      <c r="P375" s="70">
        <f>'RESUMEN TOTAL'!W457</f>
        <v>0</v>
      </c>
      <c r="Q375" s="70">
        <f>'RESUMEN TOTAL'!X457</f>
        <v>0</v>
      </c>
      <c r="R375" s="70">
        <f>'RESUMEN TOTAL'!Y457</f>
        <v>0</v>
      </c>
      <c r="S375" s="70">
        <f>'RESUMEN TOTAL'!Z457</f>
        <v>0</v>
      </c>
      <c r="T375" s="70">
        <f>'RESUMEN TOTAL'!AA457</f>
        <v>0</v>
      </c>
      <c r="U375" s="70">
        <f>'RESUMEN TOTAL'!AB457</f>
        <v>0</v>
      </c>
      <c r="V375" s="70">
        <f>'RESUMEN TOTAL'!AC457</f>
        <v>0</v>
      </c>
      <c r="W375" s="70">
        <f>'RESUMEN TOTAL'!AD457</f>
        <v>0</v>
      </c>
      <c r="X375" s="70">
        <f>'RESUMEN TOTAL'!AE457</f>
        <v>0</v>
      </c>
      <c r="Y375" s="70">
        <f>'RESUMEN TOTAL'!AF457</f>
        <v>0</v>
      </c>
      <c r="Z375" s="70">
        <f>'RESUMEN TOTAL'!AG457</f>
        <v>0</v>
      </c>
      <c r="AA375" s="70">
        <f>'RESUMEN TOTAL'!AH457</f>
        <v>0</v>
      </c>
      <c r="AB375" s="70">
        <f>'RESUMEN TOTAL'!AI457</f>
        <v>0</v>
      </c>
      <c r="AC375" s="70">
        <f>'RESUMEN TOTAL'!AJ457</f>
        <v>0</v>
      </c>
      <c r="AD375" s="70">
        <f>'RESUMEN TOTAL'!AK457</f>
        <v>0</v>
      </c>
      <c r="AE375" s="70">
        <f>'RESUMEN TOTAL'!AL457</f>
        <v>0</v>
      </c>
      <c r="AF375" s="70">
        <f>'RESUMEN TOTAL'!AM457</f>
        <v>0</v>
      </c>
      <c r="AG375" s="70">
        <f>'RESUMEN TOTAL'!AN457</f>
        <v>0</v>
      </c>
      <c r="AH375" s="70">
        <f>'RESUMEN TOTAL'!AO457</f>
        <v>0</v>
      </c>
      <c r="AI375" s="70">
        <f>'RESUMEN TOTAL'!AP457</f>
        <v>0</v>
      </c>
    </row>
    <row r="376" spans="1:35" x14ac:dyDescent="0.25">
      <c r="A376" t="str">
        <f>'RESUMEN TOTAL'!A458</f>
        <v>VILLA ANGELICA</v>
      </c>
      <c r="B376" t="str">
        <f>'RESUMEN TOTAL'!B458</f>
        <v>VANG13</v>
      </c>
      <c r="C376" t="str">
        <f>'RESUMEN TOTAL'!D458</f>
        <v>TAPALQUE E/ BOLIVAR Y GORRITI</v>
      </c>
      <c r="D376" s="30" t="str">
        <f>'RESUMEN TOTAL'!E458</f>
        <v>Fija</v>
      </c>
      <c r="E376" s="30" t="str">
        <f>'RESUMEN TOTAL'!F458</f>
        <v>Fibra Optica</v>
      </c>
      <c r="F376" s="70">
        <f>'RESUMEN TOTAL'!M458</f>
        <v>0</v>
      </c>
      <c r="G376" s="70">
        <f>'RESUMEN TOTAL'!N458</f>
        <v>0</v>
      </c>
      <c r="H376" s="70">
        <f>'RESUMEN TOTAL'!O458</f>
        <v>0</v>
      </c>
      <c r="I376" s="70">
        <f>'RESUMEN TOTAL'!P458</f>
        <v>0</v>
      </c>
      <c r="J376" s="70">
        <f>'RESUMEN TOTAL'!Q458</f>
        <v>0</v>
      </c>
      <c r="K376" s="70">
        <f>'RESUMEN TOTAL'!R458</f>
        <v>0</v>
      </c>
      <c r="L376" s="70">
        <f>'RESUMEN TOTAL'!S458</f>
        <v>0</v>
      </c>
      <c r="M376" s="70">
        <f>'RESUMEN TOTAL'!T458</f>
        <v>0</v>
      </c>
      <c r="N376" s="70">
        <f>'RESUMEN TOTAL'!U458</f>
        <v>0</v>
      </c>
      <c r="O376" s="70">
        <f>'RESUMEN TOTAL'!V458</f>
        <v>0</v>
      </c>
      <c r="P376" s="70">
        <f>'RESUMEN TOTAL'!W458</f>
        <v>0</v>
      </c>
      <c r="Q376" s="70">
        <f>'RESUMEN TOTAL'!X458</f>
        <v>0</v>
      </c>
      <c r="R376" s="70">
        <f>'RESUMEN TOTAL'!Y458</f>
        <v>0</v>
      </c>
      <c r="S376" s="70">
        <f>'RESUMEN TOTAL'!Z458</f>
        <v>0</v>
      </c>
      <c r="T376" s="70">
        <f>'RESUMEN TOTAL'!AA458</f>
        <v>0</v>
      </c>
      <c r="U376" s="70">
        <f>'RESUMEN TOTAL'!AB458</f>
        <v>0</v>
      </c>
      <c r="V376" s="70">
        <f>'RESUMEN TOTAL'!AC458</f>
        <v>0</v>
      </c>
      <c r="W376" s="70">
        <f>'RESUMEN TOTAL'!AD458</f>
        <v>0</v>
      </c>
      <c r="X376" s="70">
        <f>'RESUMEN TOTAL'!AE458</f>
        <v>0</v>
      </c>
      <c r="Y376" s="70">
        <f>'RESUMEN TOTAL'!AF458</f>
        <v>0</v>
      </c>
      <c r="Z376" s="70">
        <f>'RESUMEN TOTAL'!AG458</f>
        <v>0</v>
      </c>
      <c r="AA376" s="70">
        <f>'RESUMEN TOTAL'!AH458</f>
        <v>0</v>
      </c>
      <c r="AB376" s="70">
        <f>'RESUMEN TOTAL'!AI458</f>
        <v>0</v>
      </c>
      <c r="AC376" s="70">
        <f>'RESUMEN TOTAL'!AJ458</f>
        <v>0</v>
      </c>
      <c r="AD376" s="70">
        <f>'RESUMEN TOTAL'!AK458</f>
        <v>0</v>
      </c>
      <c r="AE376" s="70">
        <f>'RESUMEN TOTAL'!AL458</f>
        <v>0</v>
      </c>
      <c r="AF376" s="70">
        <f>'RESUMEN TOTAL'!AM458</f>
        <v>0</v>
      </c>
      <c r="AG376" s="70">
        <f>'RESUMEN TOTAL'!AN458</f>
        <v>0</v>
      </c>
      <c r="AH376" s="70">
        <f>'RESUMEN TOTAL'!AO458</f>
        <v>0</v>
      </c>
      <c r="AI376" s="70">
        <f>'RESUMEN TOTAL'!AP458</f>
        <v>0</v>
      </c>
    </row>
    <row r="377" spans="1:35" x14ac:dyDescent="0.25">
      <c r="A377" t="str">
        <f>'RESUMEN TOTAL'!A465</f>
        <v>VILLA ARGENTINA</v>
      </c>
      <c r="B377" t="str">
        <f>'RESUMEN TOTAL'!B465</f>
        <v>VAR 01</v>
      </c>
      <c r="C377" t="str">
        <f>'RESUMEN TOTAL'!D465</f>
        <v>Calle 519 y 546</v>
      </c>
      <c r="D377" s="30" t="str">
        <f>'RESUMEN TOTAL'!E465</f>
        <v>Domo</v>
      </c>
      <c r="E377" s="30" t="str">
        <f>'RESUMEN TOTAL'!F465</f>
        <v>GPON</v>
      </c>
      <c r="F377" s="70">
        <f>'RESUMEN TOTAL'!M465</f>
        <v>0</v>
      </c>
      <c r="G377" s="70">
        <f>'RESUMEN TOTAL'!N465</f>
        <v>0</v>
      </c>
      <c r="H377" s="70">
        <f>'RESUMEN TOTAL'!O465</f>
        <v>0</v>
      </c>
      <c r="I377" s="70">
        <f>'RESUMEN TOTAL'!P465</f>
        <v>0</v>
      </c>
      <c r="J377" s="70">
        <f>'RESUMEN TOTAL'!Q465</f>
        <v>0</v>
      </c>
      <c r="K377" s="70">
        <f>'RESUMEN TOTAL'!R465</f>
        <v>0</v>
      </c>
      <c r="L377" s="70">
        <f>'RESUMEN TOTAL'!S465</f>
        <v>0</v>
      </c>
      <c r="M377" s="70">
        <f>'RESUMEN TOTAL'!T465</f>
        <v>0</v>
      </c>
      <c r="N377" s="70">
        <f>'RESUMEN TOTAL'!U465</f>
        <v>0</v>
      </c>
      <c r="O377" s="70">
        <f>'RESUMEN TOTAL'!V465</f>
        <v>0</v>
      </c>
      <c r="P377" s="70">
        <f>'RESUMEN TOTAL'!W465</f>
        <v>0</v>
      </c>
      <c r="Q377" s="70">
        <f>'RESUMEN TOTAL'!X465</f>
        <v>0</v>
      </c>
      <c r="R377" s="70">
        <f>'RESUMEN TOTAL'!Y465</f>
        <v>0</v>
      </c>
      <c r="S377" s="70">
        <f>'RESUMEN TOTAL'!Z465</f>
        <v>0</v>
      </c>
      <c r="T377" s="70">
        <f>'RESUMEN TOTAL'!AA465</f>
        <v>0</v>
      </c>
      <c r="U377" s="70">
        <f>'RESUMEN TOTAL'!AB465</f>
        <v>0</v>
      </c>
      <c r="V377" s="70">
        <f>'RESUMEN TOTAL'!AC465</f>
        <v>0</v>
      </c>
      <c r="W377" s="70">
        <f>'RESUMEN TOTAL'!AD465</f>
        <v>0</v>
      </c>
      <c r="X377" s="70">
        <f>'RESUMEN TOTAL'!AE465</f>
        <v>0</v>
      </c>
      <c r="Y377" s="70">
        <f>'RESUMEN TOTAL'!AF465</f>
        <v>0</v>
      </c>
      <c r="Z377" s="70">
        <f>'RESUMEN TOTAL'!AG465</f>
        <v>0</v>
      </c>
      <c r="AA377" s="70">
        <f>'RESUMEN TOTAL'!AH465</f>
        <v>0</v>
      </c>
      <c r="AB377" s="70">
        <f>'RESUMEN TOTAL'!AI465</f>
        <v>0</v>
      </c>
      <c r="AC377" s="70">
        <f>'RESUMEN TOTAL'!AJ465</f>
        <v>0</v>
      </c>
      <c r="AD377" s="70">
        <f>'RESUMEN TOTAL'!AK465</f>
        <v>0</v>
      </c>
      <c r="AE377" s="70">
        <f>'RESUMEN TOTAL'!AL465</f>
        <v>0</v>
      </c>
      <c r="AF377" s="70">
        <f>'RESUMEN TOTAL'!AM465</f>
        <v>0</v>
      </c>
      <c r="AG377" s="70">
        <f>'RESUMEN TOTAL'!AN465</f>
        <v>0</v>
      </c>
      <c r="AH377" s="70">
        <f>'RESUMEN TOTAL'!AO465</f>
        <v>0</v>
      </c>
      <c r="AI377" s="70">
        <f>'RESUMEN TOTAL'!AP465</f>
        <v>0</v>
      </c>
    </row>
    <row r="378" spans="1:35" x14ac:dyDescent="0.25">
      <c r="A378" t="str">
        <f>'RESUMEN TOTAL'!A466</f>
        <v>VILLA ARGENTINA</v>
      </c>
      <c r="B378" t="str">
        <f>'RESUMEN TOTAL'!B466</f>
        <v>VAR 02</v>
      </c>
      <c r="C378" t="str">
        <f>'RESUMEN TOTAL'!D466</f>
        <v>DIAGONAL LOS TILOS Y 542</v>
      </c>
      <c r="D378" s="30" t="str">
        <f>'RESUMEN TOTAL'!E466</f>
        <v>DOMO</v>
      </c>
      <c r="E378" s="30" t="str">
        <f>'RESUMEN TOTAL'!F466</f>
        <v>Radio</v>
      </c>
      <c r="F378" s="70">
        <f>'RESUMEN TOTAL'!M466</f>
        <v>0</v>
      </c>
      <c r="G378" s="70">
        <f>'RESUMEN TOTAL'!N466</f>
        <v>0</v>
      </c>
      <c r="H378" s="70">
        <f>'RESUMEN TOTAL'!O466</f>
        <v>0</v>
      </c>
      <c r="I378" s="70">
        <f>'RESUMEN TOTAL'!P466</f>
        <v>0</v>
      </c>
      <c r="J378" s="70">
        <f>'RESUMEN TOTAL'!Q466</f>
        <v>0</v>
      </c>
      <c r="K378" s="70">
        <f>'RESUMEN TOTAL'!R466</f>
        <v>0</v>
      </c>
      <c r="L378" s="70">
        <f>'RESUMEN TOTAL'!S466</f>
        <v>0</v>
      </c>
      <c r="M378" s="70">
        <f>'RESUMEN TOTAL'!T466</f>
        <v>0</v>
      </c>
      <c r="N378" s="70">
        <f>'RESUMEN TOTAL'!U466</f>
        <v>0</v>
      </c>
      <c r="O378" s="70">
        <f>'RESUMEN TOTAL'!V466</f>
        <v>0</v>
      </c>
      <c r="P378" s="70">
        <f>'RESUMEN TOTAL'!W466</f>
        <v>0</v>
      </c>
      <c r="Q378" s="70">
        <f>'RESUMEN TOTAL'!X466</f>
        <v>0</v>
      </c>
      <c r="R378" s="70">
        <f>'RESUMEN TOTAL'!Y466</f>
        <v>0</v>
      </c>
      <c r="S378" s="70">
        <f>'RESUMEN TOTAL'!Z466</f>
        <v>0</v>
      </c>
      <c r="T378" s="70">
        <f>'RESUMEN TOTAL'!AA466</f>
        <v>0</v>
      </c>
      <c r="U378" s="70">
        <f>'RESUMEN TOTAL'!AB466</f>
        <v>0</v>
      </c>
      <c r="V378" s="70">
        <f>'RESUMEN TOTAL'!AC466</f>
        <v>0</v>
      </c>
      <c r="W378" s="70">
        <f>'RESUMEN TOTAL'!AD466</f>
        <v>0</v>
      </c>
      <c r="X378" s="70">
        <f>'RESUMEN TOTAL'!AE466</f>
        <v>0</v>
      </c>
      <c r="Y378" s="70">
        <f>'RESUMEN TOTAL'!AF466</f>
        <v>0</v>
      </c>
      <c r="Z378" s="70">
        <f>'RESUMEN TOTAL'!AG466</f>
        <v>0</v>
      </c>
      <c r="AA378" s="70">
        <f>'RESUMEN TOTAL'!AH466</f>
        <v>0</v>
      </c>
      <c r="AB378" s="70">
        <f>'RESUMEN TOTAL'!AI466</f>
        <v>0</v>
      </c>
      <c r="AC378" s="70">
        <f>'RESUMEN TOTAL'!AJ466</f>
        <v>0</v>
      </c>
      <c r="AD378" s="70">
        <f>'RESUMEN TOTAL'!AK466</f>
        <v>0</v>
      </c>
      <c r="AE378" s="70">
        <f>'RESUMEN TOTAL'!AL466</f>
        <v>0</v>
      </c>
      <c r="AF378" s="70">
        <f>'RESUMEN TOTAL'!AM466</f>
        <v>0</v>
      </c>
      <c r="AG378" s="70">
        <f>'RESUMEN TOTAL'!AN466</f>
        <v>0</v>
      </c>
      <c r="AH378" s="70">
        <f>'RESUMEN TOTAL'!AO466</f>
        <v>0</v>
      </c>
      <c r="AI378" s="70">
        <f>'RESUMEN TOTAL'!AP466</f>
        <v>0</v>
      </c>
    </row>
    <row r="379" spans="1:35" x14ac:dyDescent="0.25">
      <c r="A379" t="str">
        <f>'RESUMEN TOTAL'!A467</f>
        <v>VILLA ARGENTINA</v>
      </c>
      <c r="B379" t="str">
        <f>'RESUMEN TOTAL'!B467</f>
        <v>VAR03 (fija 1)</v>
      </c>
      <c r="C379" t="str">
        <f>'RESUMEN TOTAL'!D467</f>
        <v>509 y 546</v>
      </c>
      <c r="D379" s="30" t="str">
        <f>'RESUMEN TOTAL'!E467</f>
        <v>Fija</v>
      </c>
      <c r="E379" s="30" t="str">
        <f>'RESUMEN TOTAL'!F467</f>
        <v>Radio</v>
      </c>
      <c r="F379" s="70">
        <f>'RESUMEN TOTAL'!M467</f>
        <v>0</v>
      </c>
      <c r="G379" s="70">
        <f>'RESUMEN TOTAL'!N467</f>
        <v>0</v>
      </c>
      <c r="H379" s="70">
        <f>'RESUMEN TOTAL'!O467</f>
        <v>0</v>
      </c>
      <c r="I379" s="70">
        <f>'RESUMEN TOTAL'!P467</f>
        <v>0</v>
      </c>
      <c r="J379" s="70">
        <f>'RESUMEN TOTAL'!Q467</f>
        <v>0</v>
      </c>
      <c r="K379" s="70">
        <f>'RESUMEN TOTAL'!R467</f>
        <v>0</v>
      </c>
      <c r="L379" s="70">
        <f>'RESUMEN TOTAL'!S467</f>
        <v>0</v>
      </c>
      <c r="M379" s="70">
        <f>'RESUMEN TOTAL'!T467</f>
        <v>0</v>
      </c>
      <c r="N379" s="70">
        <f>'RESUMEN TOTAL'!U467</f>
        <v>0</v>
      </c>
      <c r="O379" s="70">
        <f>'RESUMEN TOTAL'!V467</f>
        <v>0</v>
      </c>
      <c r="P379" s="70">
        <f>'RESUMEN TOTAL'!W467</f>
        <v>0</v>
      </c>
      <c r="Q379" s="70">
        <f>'RESUMEN TOTAL'!X467</f>
        <v>0</v>
      </c>
      <c r="R379" s="70">
        <f>'RESUMEN TOTAL'!Y467</f>
        <v>0</v>
      </c>
      <c r="S379" s="70">
        <f>'RESUMEN TOTAL'!Z467</f>
        <v>0</v>
      </c>
      <c r="T379" s="70">
        <f>'RESUMEN TOTAL'!AA467</f>
        <v>0</v>
      </c>
      <c r="U379" s="70">
        <f>'RESUMEN TOTAL'!AB467</f>
        <v>0</v>
      </c>
      <c r="V379" s="70">
        <f>'RESUMEN TOTAL'!AC467</f>
        <v>0</v>
      </c>
      <c r="W379" s="70">
        <f>'RESUMEN TOTAL'!AD467</f>
        <v>0</v>
      </c>
      <c r="X379" s="70">
        <f>'RESUMEN TOTAL'!AE467</f>
        <v>0</v>
      </c>
      <c r="Y379" s="70">
        <f>'RESUMEN TOTAL'!AF467</f>
        <v>0</v>
      </c>
      <c r="Z379" s="70">
        <f>'RESUMEN TOTAL'!AG467</f>
        <v>0</v>
      </c>
      <c r="AA379" s="70">
        <f>'RESUMEN TOTAL'!AH467</f>
        <v>0</v>
      </c>
      <c r="AB379" s="70">
        <f>'RESUMEN TOTAL'!AI467</f>
        <v>0</v>
      </c>
      <c r="AC379" s="70">
        <f>'RESUMEN TOTAL'!AJ467</f>
        <v>0</v>
      </c>
      <c r="AD379" s="70">
        <f>'RESUMEN TOTAL'!AK467</f>
        <v>0</v>
      </c>
      <c r="AE379" s="70">
        <f>'RESUMEN TOTAL'!AL467</f>
        <v>0</v>
      </c>
      <c r="AF379" s="70">
        <f>'RESUMEN TOTAL'!AM467</f>
        <v>0</v>
      </c>
      <c r="AG379" s="70">
        <f>'RESUMEN TOTAL'!AN467</f>
        <v>0</v>
      </c>
      <c r="AH379" s="70">
        <f>'RESUMEN TOTAL'!AO467</f>
        <v>0</v>
      </c>
      <c r="AI379" s="70">
        <f>'RESUMEN TOTAL'!AP467</f>
        <v>0</v>
      </c>
    </row>
    <row r="380" spans="1:35" x14ac:dyDescent="0.25">
      <c r="A380" t="str">
        <f>'RESUMEN TOTAL'!A468</f>
        <v>VILLA ARGENTINA</v>
      </c>
      <c r="B380" t="str">
        <f>'RESUMEN TOTAL'!B468</f>
        <v>VAR04 (fija 2)</v>
      </c>
      <c r="C380" t="str">
        <f>'RESUMEN TOTAL'!D468</f>
        <v>509 y 546</v>
      </c>
      <c r="D380" s="30" t="str">
        <f>'RESUMEN TOTAL'!E468</f>
        <v>Fija</v>
      </c>
      <c r="E380" s="30" t="str">
        <f>'RESUMEN TOTAL'!F468</f>
        <v>Radio</v>
      </c>
      <c r="F380" s="70">
        <f>'RESUMEN TOTAL'!M468</f>
        <v>0</v>
      </c>
      <c r="G380" s="70">
        <f>'RESUMEN TOTAL'!N468</f>
        <v>0</v>
      </c>
      <c r="H380" s="70">
        <f>'RESUMEN TOTAL'!O468</f>
        <v>0</v>
      </c>
      <c r="I380" s="70">
        <f>'RESUMEN TOTAL'!P468</f>
        <v>0</v>
      </c>
      <c r="J380" s="70">
        <f>'RESUMEN TOTAL'!Q468</f>
        <v>0</v>
      </c>
      <c r="K380" s="70">
        <f>'RESUMEN TOTAL'!R468</f>
        <v>0</v>
      </c>
      <c r="L380" s="70">
        <f>'RESUMEN TOTAL'!S468</f>
        <v>0</v>
      </c>
      <c r="M380" s="70">
        <f>'RESUMEN TOTAL'!T468</f>
        <v>0</v>
      </c>
      <c r="N380" s="70">
        <f>'RESUMEN TOTAL'!U468</f>
        <v>0</v>
      </c>
      <c r="O380" s="70">
        <f>'RESUMEN TOTAL'!V468</f>
        <v>0</v>
      </c>
      <c r="P380" s="70">
        <f>'RESUMEN TOTAL'!W468</f>
        <v>0</v>
      </c>
      <c r="Q380" s="70">
        <f>'RESUMEN TOTAL'!X468</f>
        <v>0</v>
      </c>
      <c r="R380" s="70">
        <f>'RESUMEN TOTAL'!Y468</f>
        <v>0</v>
      </c>
      <c r="S380" s="70">
        <f>'RESUMEN TOTAL'!Z468</f>
        <v>0</v>
      </c>
      <c r="T380" s="70">
        <f>'RESUMEN TOTAL'!AA468</f>
        <v>0</v>
      </c>
      <c r="U380" s="70">
        <f>'RESUMEN TOTAL'!AB468</f>
        <v>0</v>
      </c>
      <c r="V380" s="70">
        <f>'RESUMEN TOTAL'!AC468</f>
        <v>0</v>
      </c>
      <c r="W380" s="70">
        <f>'RESUMEN TOTAL'!AD468</f>
        <v>0</v>
      </c>
      <c r="X380" s="70">
        <f>'RESUMEN TOTAL'!AE468</f>
        <v>0</v>
      </c>
      <c r="Y380" s="70">
        <f>'RESUMEN TOTAL'!AF468</f>
        <v>0</v>
      </c>
      <c r="Z380" s="70">
        <f>'RESUMEN TOTAL'!AG468</f>
        <v>0</v>
      </c>
      <c r="AA380" s="70">
        <f>'RESUMEN TOTAL'!AH468</f>
        <v>0</v>
      </c>
      <c r="AB380" s="70">
        <f>'RESUMEN TOTAL'!AI468</f>
        <v>0</v>
      </c>
      <c r="AC380" s="70">
        <f>'RESUMEN TOTAL'!AJ468</f>
        <v>0</v>
      </c>
      <c r="AD380" s="70">
        <f>'RESUMEN TOTAL'!AK468</f>
        <v>0</v>
      </c>
      <c r="AE380" s="70">
        <f>'RESUMEN TOTAL'!AL468</f>
        <v>0</v>
      </c>
      <c r="AF380" s="70">
        <f>'RESUMEN TOTAL'!AM468</f>
        <v>0</v>
      </c>
      <c r="AG380" s="70">
        <f>'RESUMEN TOTAL'!AN468</f>
        <v>0</v>
      </c>
      <c r="AH380" s="70">
        <f>'RESUMEN TOTAL'!AO468</f>
        <v>0</v>
      </c>
      <c r="AI380" s="70">
        <f>'RESUMEN TOTAL'!AP468</f>
        <v>0</v>
      </c>
    </row>
    <row r="381" spans="1:35" x14ac:dyDescent="0.25">
      <c r="A381" t="str">
        <f>'RESUMEN TOTAL'!A469</f>
        <v>VILLA ARGENTINA</v>
      </c>
      <c r="B381" t="str">
        <f>'RESUMEN TOTAL'!B469</f>
        <v>VAR05 (fija 1)</v>
      </c>
      <c r="C381" t="str">
        <f>'RESUMEN TOTAL'!D469</f>
        <v>511 E/ 544 Y 546</v>
      </c>
      <c r="D381" s="30" t="str">
        <f>'RESUMEN TOTAL'!E469</f>
        <v>Fija</v>
      </c>
      <c r="E381" s="30" t="str">
        <f>'RESUMEN TOTAL'!F469</f>
        <v>Radio</v>
      </c>
      <c r="F381" s="70">
        <f>'RESUMEN TOTAL'!M469</f>
        <v>0</v>
      </c>
      <c r="G381" s="70">
        <f>'RESUMEN TOTAL'!N469</f>
        <v>0</v>
      </c>
      <c r="H381" s="70">
        <f>'RESUMEN TOTAL'!O469</f>
        <v>0</v>
      </c>
      <c r="I381" s="70">
        <f>'RESUMEN TOTAL'!P469</f>
        <v>0</v>
      </c>
      <c r="J381" s="70">
        <f>'RESUMEN TOTAL'!Q469</f>
        <v>0</v>
      </c>
      <c r="K381" s="70">
        <f>'RESUMEN TOTAL'!R469</f>
        <v>0</v>
      </c>
      <c r="L381" s="70">
        <f>'RESUMEN TOTAL'!S469</f>
        <v>0</v>
      </c>
      <c r="M381" s="70">
        <f>'RESUMEN TOTAL'!T469</f>
        <v>0</v>
      </c>
      <c r="N381" s="70">
        <f>'RESUMEN TOTAL'!U469</f>
        <v>0</v>
      </c>
      <c r="O381" s="70">
        <f>'RESUMEN TOTAL'!V469</f>
        <v>0</v>
      </c>
      <c r="P381" s="70">
        <f>'RESUMEN TOTAL'!W469</f>
        <v>0</v>
      </c>
      <c r="Q381" s="70">
        <f>'RESUMEN TOTAL'!X469</f>
        <v>0</v>
      </c>
      <c r="R381" s="70">
        <f>'RESUMEN TOTAL'!Y469</f>
        <v>0</v>
      </c>
      <c r="S381" s="70">
        <f>'RESUMEN TOTAL'!Z469</f>
        <v>0</v>
      </c>
      <c r="T381" s="70">
        <f>'RESUMEN TOTAL'!AA469</f>
        <v>0</v>
      </c>
      <c r="U381" s="70">
        <f>'RESUMEN TOTAL'!AB469</f>
        <v>0</v>
      </c>
      <c r="V381" s="70">
        <f>'RESUMEN TOTAL'!AC469</f>
        <v>0</v>
      </c>
      <c r="W381" s="70">
        <f>'RESUMEN TOTAL'!AD469</f>
        <v>0</v>
      </c>
      <c r="X381" s="70">
        <f>'RESUMEN TOTAL'!AE469</f>
        <v>0</v>
      </c>
      <c r="Y381" s="70">
        <f>'RESUMEN TOTAL'!AF469</f>
        <v>0</v>
      </c>
      <c r="Z381" s="70">
        <f>'RESUMEN TOTAL'!AG469</f>
        <v>0</v>
      </c>
      <c r="AA381" s="70">
        <f>'RESUMEN TOTAL'!AH469</f>
        <v>0</v>
      </c>
      <c r="AB381" s="70">
        <f>'RESUMEN TOTAL'!AI469</f>
        <v>0</v>
      </c>
      <c r="AC381" s="70">
        <f>'RESUMEN TOTAL'!AJ469</f>
        <v>0</v>
      </c>
      <c r="AD381" s="70">
        <f>'RESUMEN TOTAL'!AK469</f>
        <v>0</v>
      </c>
      <c r="AE381" s="70">
        <f>'RESUMEN TOTAL'!AL469</f>
        <v>0</v>
      </c>
      <c r="AF381" s="70">
        <f>'RESUMEN TOTAL'!AM469</f>
        <v>0</v>
      </c>
      <c r="AG381" s="70">
        <f>'RESUMEN TOTAL'!AN469</f>
        <v>0</v>
      </c>
      <c r="AH381" s="70">
        <f>'RESUMEN TOTAL'!AO469</f>
        <v>0</v>
      </c>
      <c r="AI381" s="70">
        <f>'RESUMEN TOTAL'!AP469</f>
        <v>0</v>
      </c>
    </row>
    <row r="382" spans="1:35" x14ac:dyDescent="0.25">
      <c r="A382" t="str">
        <f>'RESUMEN TOTAL'!A470</f>
        <v>VILLA ARGENTINA</v>
      </c>
      <c r="B382" t="str">
        <f>'RESUMEN TOTAL'!B470</f>
        <v>VAR06 (fija 2)</v>
      </c>
      <c r="C382" t="str">
        <f>'RESUMEN TOTAL'!D470</f>
        <v>511 E/ 544 Y 546</v>
      </c>
      <c r="D382" s="30" t="str">
        <f>'RESUMEN TOTAL'!E470</f>
        <v>Fija</v>
      </c>
      <c r="E382" s="30" t="str">
        <f>'RESUMEN TOTAL'!F470</f>
        <v>Radio</v>
      </c>
      <c r="F382" s="70">
        <f>'RESUMEN TOTAL'!M470</f>
        <v>0</v>
      </c>
      <c r="G382" s="70">
        <f>'RESUMEN TOTAL'!N470</f>
        <v>0</v>
      </c>
      <c r="H382" s="70">
        <f>'RESUMEN TOTAL'!O470</f>
        <v>0</v>
      </c>
      <c r="I382" s="70">
        <f>'RESUMEN TOTAL'!P470</f>
        <v>0</v>
      </c>
      <c r="J382" s="70">
        <f>'RESUMEN TOTAL'!Q470</f>
        <v>0</v>
      </c>
      <c r="K382" s="70">
        <f>'RESUMEN TOTAL'!R470</f>
        <v>0</v>
      </c>
      <c r="L382" s="70">
        <f>'RESUMEN TOTAL'!S470</f>
        <v>0</v>
      </c>
      <c r="M382" s="70">
        <f>'RESUMEN TOTAL'!T470</f>
        <v>0</v>
      </c>
      <c r="N382" s="70">
        <f>'RESUMEN TOTAL'!U470</f>
        <v>0</v>
      </c>
      <c r="O382" s="70">
        <f>'RESUMEN TOTAL'!V470</f>
        <v>0</v>
      </c>
      <c r="P382" s="70">
        <f>'RESUMEN TOTAL'!W470</f>
        <v>0</v>
      </c>
      <c r="Q382" s="70">
        <f>'RESUMEN TOTAL'!X470</f>
        <v>0</v>
      </c>
      <c r="R382" s="70">
        <f>'RESUMEN TOTAL'!Y470</f>
        <v>0</v>
      </c>
      <c r="S382" s="70">
        <f>'RESUMEN TOTAL'!Z470</f>
        <v>0</v>
      </c>
      <c r="T382" s="70">
        <f>'RESUMEN TOTAL'!AA470</f>
        <v>0</v>
      </c>
      <c r="U382" s="70">
        <f>'RESUMEN TOTAL'!AB470</f>
        <v>0</v>
      </c>
      <c r="V382" s="70" t="str">
        <f>'RESUMEN TOTAL'!AC470</f>
        <v>APAGADO</v>
      </c>
      <c r="W382" s="70">
        <f>'RESUMEN TOTAL'!AD470</f>
        <v>0</v>
      </c>
      <c r="X382" s="70">
        <f>'RESUMEN TOTAL'!AE470</f>
        <v>0</v>
      </c>
      <c r="Y382" s="70" t="str">
        <f>'RESUMEN TOTAL'!AF470</f>
        <v>APAGADO</v>
      </c>
      <c r="Z382" s="70">
        <f>'RESUMEN TOTAL'!AG470</f>
        <v>0</v>
      </c>
      <c r="AA382" s="70">
        <f>'RESUMEN TOTAL'!AH470</f>
        <v>0</v>
      </c>
      <c r="AB382" s="70">
        <f>'RESUMEN TOTAL'!AI470</f>
        <v>0</v>
      </c>
      <c r="AC382" s="70">
        <f>'RESUMEN TOTAL'!AJ470</f>
        <v>0</v>
      </c>
      <c r="AD382" s="70">
        <f>'RESUMEN TOTAL'!AK470</f>
        <v>0</v>
      </c>
      <c r="AE382" s="70">
        <f>'RESUMEN TOTAL'!AL470</f>
        <v>0</v>
      </c>
      <c r="AF382" s="70">
        <f>'RESUMEN TOTAL'!AM470</f>
        <v>0</v>
      </c>
      <c r="AG382" s="70">
        <f>'RESUMEN TOTAL'!AN470</f>
        <v>0</v>
      </c>
      <c r="AH382" s="70">
        <f>'RESUMEN TOTAL'!AO470</f>
        <v>0</v>
      </c>
      <c r="AI382" s="70">
        <f>'RESUMEN TOTAL'!AP470</f>
        <v>0</v>
      </c>
    </row>
    <row r="383" spans="1:35" x14ac:dyDescent="0.25">
      <c r="A383" t="str">
        <f>'RESUMEN TOTAL'!A471</f>
        <v>VILLA ARGENTINA</v>
      </c>
      <c r="B383" t="str">
        <f>'RESUMEN TOTAL'!B471</f>
        <v>VAR07</v>
      </c>
      <c r="C383" t="str">
        <f>'RESUMEN TOTAL'!D471</f>
        <v>DIAG. LOS TILOS Y 517</v>
      </c>
      <c r="D383" s="30" t="str">
        <f>'RESUMEN TOTAL'!E471</f>
        <v>DOMO</v>
      </c>
      <c r="E383" s="30" t="str">
        <f>'RESUMEN TOTAL'!F471</f>
        <v>Fibra Optica</v>
      </c>
      <c r="F383" s="70">
        <f>'RESUMEN TOTAL'!M471</f>
        <v>0</v>
      </c>
      <c r="G383" s="70">
        <f>'RESUMEN TOTAL'!N471</f>
        <v>0</v>
      </c>
      <c r="H383" s="70">
        <f>'RESUMEN TOTAL'!O471</f>
        <v>0</v>
      </c>
      <c r="I383" s="70">
        <f>'RESUMEN TOTAL'!P471</f>
        <v>0</v>
      </c>
      <c r="J383" s="70">
        <f>'RESUMEN TOTAL'!Q471</f>
        <v>0</v>
      </c>
      <c r="K383" s="70">
        <f>'RESUMEN TOTAL'!R471</f>
        <v>0</v>
      </c>
      <c r="L383" s="70">
        <f>'RESUMEN TOTAL'!S471</f>
        <v>0</v>
      </c>
      <c r="M383" s="70">
        <f>'RESUMEN TOTAL'!T471</f>
        <v>0</v>
      </c>
      <c r="N383" s="70">
        <f>'RESUMEN TOTAL'!U471</f>
        <v>0</v>
      </c>
      <c r="O383" s="70">
        <f>'RESUMEN TOTAL'!V471</f>
        <v>0</v>
      </c>
      <c r="P383" s="70">
        <f>'RESUMEN TOTAL'!W471</f>
        <v>0</v>
      </c>
      <c r="Q383" s="70">
        <f>'RESUMEN TOTAL'!X471</f>
        <v>0</v>
      </c>
      <c r="R383" s="70" t="str">
        <f>'RESUMEN TOTAL'!Y471</f>
        <v>APAGADO</v>
      </c>
      <c r="S383" s="70">
        <f>'RESUMEN TOTAL'!Z471</f>
        <v>0</v>
      </c>
      <c r="T383" s="70">
        <f>'RESUMEN TOTAL'!AA471</f>
        <v>0</v>
      </c>
      <c r="U383" s="70">
        <f>'RESUMEN TOTAL'!AB471</f>
        <v>0</v>
      </c>
      <c r="V383" s="70">
        <f>'RESUMEN TOTAL'!AC471</f>
        <v>0</v>
      </c>
      <c r="W383" s="70">
        <f>'RESUMEN TOTAL'!AD471</f>
        <v>0</v>
      </c>
      <c r="X383" s="70">
        <f>'RESUMEN TOTAL'!AE471</f>
        <v>0</v>
      </c>
      <c r="Y383" s="70">
        <f>'RESUMEN TOTAL'!AF471</f>
        <v>0</v>
      </c>
      <c r="Z383" s="70">
        <f>'RESUMEN TOTAL'!AG471</f>
        <v>0</v>
      </c>
      <c r="AA383" s="70">
        <f>'RESUMEN TOTAL'!AH471</f>
        <v>0</v>
      </c>
      <c r="AB383" s="70">
        <f>'RESUMEN TOTAL'!AI471</f>
        <v>0</v>
      </c>
      <c r="AC383" s="70">
        <f>'RESUMEN TOTAL'!AJ471</f>
        <v>0</v>
      </c>
      <c r="AD383" s="70">
        <f>'RESUMEN TOTAL'!AK471</f>
        <v>0</v>
      </c>
      <c r="AE383" s="70">
        <f>'RESUMEN TOTAL'!AL471</f>
        <v>0</v>
      </c>
      <c r="AF383" s="70">
        <f>'RESUMEN TOTAL'!AM471</f>
        <v>0</v>
      </c>
      <c r="AG383" s="70">
        <f>'RESUMEN TOTAL'!AN471</f>
        <v>0</v>
      </c>
      <c r="AH383" s="70">
        <f>'RESUMEN TOTAL'!AO471</f>
        <v>0</v>
      </c>
      <c r="AI383" s="70">
        <f>'RESUMEN TOTAL'!AP471</f>
        <v>0</v>
      </c>
    </row>
    <row r="384" spans="1:35" x14ac:dyDescent="0.25">
      <c r="A384" t="str">
        <f>'RESUMEN TOTAL'!A472</f>
        <v>VILLA ARGENTINA</v>
      </c>
      <c r="B384" t="str">
        <f>'RESUMEN TOTAL'!B472</f>
        <v>VAR 08 (fija 1)</v>
      </c>
      <c r="C384" t="str">
        <f>'RESUMEN TOTAL'!D472</f>
        <v>534 Y 523</v>
      </c>
      <c r="D384" s="30" t="str">
        <f>'RESUMEN TOTAL'!E472</f>
        <v>Fija</v>
      </c>
      <c r="E384" s="30" t="str">
        <f>'RESUMEN TOTAL'!F472</f>
        <v>Fibra Optica</v>
      </c>
      <c r="F384" s="70">
        <f>'RESUMEN TOTAL'!M472</f>
        <v>0</v>
      </c>
      <c r="G384" s="70">
        <f>'RESUMEN TOTAL'!N472</f>
        <v>0</v>
      </c>
      <c r="H384" s="70">
        <f>'RESUMEN TOTAL'!O472</f>
        <v>0</v>
      </c>
      <c r="I384" s="70">
        <f>'RESUMEN TOTAL'!P472</f>
        <v>0</v>
      </c>
      <c r="J384" s="70">
        <f>'RESUMEN TOTAL'!Q472</f>
        <v>0</v>
      </c>
      <c r="K384" s="70">
        <f>'RESUMEN TOTAL'!R472</f>
        <v>0</v>
      </c>
      <c r="L384" s="70">
        <f>'RESUMEN TOTAL'!S472</f>
        <v>0</v>
      </c>
      <c r="M384" s="70">
        <f>'RESUMEN TOTAL'!T472</f>
        <v>0</v>
      </c>
      <c r="N384" s="70">
        <f>'RESUMEN TOTAL'!U472</f>
        <v>0</v>
      </c>
      <c r="O384" s="70">
        <f>'RESUMEN TOTAL'!V472</f>
        <v>0</v>
      </c>
      <c r="P384" s="70">
        <f>'RESUMEN TOTAL'!W472</f>
        <v>0</v>
      </c>
      <c r="Q384" s="70">
        <f>'RESUMEN TOTAL'!X472</f>
        <v>0</v>
      </c>
      <c r="R384" s="70">
        <f>'RESUMEN TOTAL'!Y472</f>
        <v>0</v>
      </c>
      <c r="S384" s="70">
        <f>'RESUMEN TOTAL'!Z472</f>
        <v>0</v>
      </c>
      <c r="T384" s="70">
        <f>'RESUMEN TOTAL'!AA472</f>
        <v>0</v>
      </c>
      <c r="U384" s="70">
        <f>'RESUMEN TOTAL'!AB472</f>
        <v>0</v>
      </c>
      <c r="V384" s="70">
        <f>'RESUMEN TOTAL'!AC472</f>
        <v>0</v>
      </c>
      <c r="W384" s="70">
        <f>'RESUMEN TOTAL'!AD472</f>
        <v>0</v>
      </c>
      <c r="X384" s="70">
        <f>'RESUMEN TOTAL'!AE472</f>
        <v>0</v>
      </c>
      <c r="Y384" s="70">
        <f>'RESUMEN TOTAL'!AF472</f>
        <v>0</v>
      </c>
      <c r="Z384" s="70">
        <f>'RESUMEN TOTAL'!AG472</f>
        <v>0</v>
      </c>
      <c r="AA384" s="70">
        <f>'RESUMEN TOTAL'!AH472</f>
        <v>0</v>
      </c>
      <c r="AB384" s="70">
        <f>'RESUMEN TOTAL'!AI472</f>
        <v>0</v>
      </c>
      <c r="AC384" s="70">
        <f>'RESUMEN TOTAL'!AJ472</f>
        <v>0</v>
      </c>
      <c r="AD384" s="70">
        <f>'RESUMEN TOTAL'!AK472</f>
        <v>0</v>
      </c>
      <c r="AE384" s="70">
        <f>'RESUMEN TOTAL'!AL472</f>
        <v>0</v>
      </c>
      <c r="AF384" s="70">
        <f>'RESUMEN TOTAL'!AM472</f>
        <v>0</v>
      </c>
      <c r="AG384" s="70">
        <f>'RESUMEN TOTAL'!AN472</f>
        <v>0</v>
      </c>
      <c r="AH384" s="70">
        <f>'RESUMEN TOTAL'!AO472</f>
        <v>0</v>
      </c>
      <c r="AI384" s="70">
        <f>'RESUMEN TOTAL'!AP472</f>
        <v>0</v>
      </c>
    </row>
    <row r="385" spans="1:35" x14ac:dyDescent="0.25">
      <c r="A385" t="str">
        <f>'RESUMEN TOTAL'!A473</f>
        <v>VILLA ARGENTINA</v>
      </c>
      <c r="B385" t="str">
        <f>'RESUMEN TOTAL'!B473</f>
        <v>VAR 09 (fija 2)</v>
      </c>
      <c r="C385" t="str">
        <f>'RESUMEN TOTAL'!D473</f>
        <v>534 Y 523</v>
      </c>
      <c r="D385" s="30" t="str">
        <f>'RESUMEN TOTAL'!E473</f>
        <v>Fija</v>
      </c>
      <c r="E385" s="30" t="str">
        <f>'RESUMEN TOTAL'!F473</f>
        <v>Fibra Optica</v>
      </c>
      <c r="F385" s="70">
        <f>'RESUMEN TOTAL'!M473</f>
        <v>0</v>
      </c>
      <c r="G385" s="70">
        <f>'RESUMEN TOTAL'!N473</f>
        <v>0</v>
      </c>
      <c r="H385" s="70">
        <f>'RESUMEN TOTAL'!O473</f>
        <v>0</v>
      </c>
      <c r="I385" s="70">
        <f>'RESUMEN TOTAL'!P473</f>
        <v>0</v>
      </c>
      <c r="J385" s="70">
        <f>'RESUMEN TOTAL'!Q473</f>
        <v>0</v>
      </c>
      <c r="K385" s="70">
        <f>'RESUMEN TOTAL'!R473</f>
        <v>0</v>
      </c>
      <c r="L385" s="70">
        <f>'RESUMEN TOTAL'!S473</f>
        <v>0</v>
      </c>
      <c r="M385" s="70">
        <f>'RESUMEN TOTAL'!T473</f>
        <v>0</v>
      </c>
      <c r="N385" s="70">
        <f>'RESUMEN TOTAL'!U473</f>
        <v>0</v>
      </c>
      <c r="O385" s="70">
        <f>'RESUMEN TOTAL'!V473</f>
        <v>0</v>
      </c>
      <c r="P385" s="70">
        <f>'RESUMEN TOTAL'!W473</f>
        <v>0</v>
      </c>
      <c r="Q385" s="70">
        <f>'RESUMEN TOTAL'!X473</f>
        <v>0</v>
      </c>
      <c r="R385" s="70">
        <f>'RESUMEN TOTAL'!Y473</f>
        <v>0</v>
      </c>
      <c r="S385" s="70">
        <f>'RESUMEN TOTAL'!Z473</f>
        <v>0</v>
      </c>
      <c r="T385" s="70">
        <f>'RESUMEN TOTAL'!AA473</f>
        <v>0</v>
      </c>
      <c r="U385" s="70">
        <f>'RESUMEN TOTAL'!AB473</f>
        <v>0</v>
      </c>
      <c r="V385" s="70">
        <f>'RESUMEN TOTAL'!AC473</f>
        <v>0</v>
      </c>
      <c r="W385" s="70">
        <f>'RESUMEN TOTAL'!AD473</f>
        <v>0</v>
      </c>
      <c r="X385" s="70">
        <f>'RESUMEN TOTAL'!AE473</f>
        <v>0</v>
      </c>
      <c r="Y385" s="70">
        <f>'RESUMEN TOTAL'!AF473</f>
        <v>0</v>
      </c>
      <c r="Z385" s="70">
        <f>'RESUMEN TOTAL'!AG473</f>
        <v>0</v>
      </c>
      <c r="AA385" s="70">
        <f>'RESUMEN TOTAL'!AH473</f>
        <v>0</v>
      </c>
      <c r="AB385" s="70">
        <f>'RESUMEN TOTAL'!AI473</f>
        <v>0</v>
      </c>
      <c r="AC385" s="70">
        <f>'RESUMEN TOTAL'!AJ473</f>
        <v>0</v>
      </c>
      <c r="AD385" s="70">
        <f>'RESUMEN TOTAL'!AK473</f>
        <v>0</v>
      </c>
      <c r="AE385" s="70">
        <f>'RESUMEN TOTAL'!AL473</f>
        <v>0</v>
      </c>
      <c r="AF385" s="70">
        <f>'RESUMEN TOTAL'!AM473</f>
        <v>0</v>
      </c>
      <c r="AG385" s="70">
        <f>'RESUMEN TOTAL'!AN473</f>
        <v>0</v>
      </c>
      <c r="AH385" s="70">
        <f>'RESUMEN TOTAL'!AO473</f>
        <v>0</v>
      </c>
      <c r="AI385" s="70">
        <f>'RESUMEN TOTAL'!AP473</f>
        <v>0</v>
      </c>
    </row>
    <row r="386" spans="1:35" x14ac:dyDescent="0.25">
      <c r="A386" t="str">
        <f>'RESUMEN TOTAL'!A474</f>
        <v>VILLA ARGENTINA</v>
      </c>
      <c r="B386" t="str">
        <f>'RESUMEN TOTAL'!B474</f>
        <v>VAR10 (fija 1)</v>
      </c>
      <c r="C386" t="str">
        <f>'RESUMEN TOTAL'!D474</f>
        <v>532 A Y 523</v>
      </c>
      <c r="D386" s="30" t="str">
        <f>'RESUMEN TOTAL'!E474</f>
        <v>Fija</v>
      </c>
      <c r="E386" s="30" t="str">
        <f>'RESUMEN TOTAL'!F474</f>
        <v>Fibra Optica</v>
      </c>
      <c r="F386" s="70">
        <f>'RESUMEN TOTAL'!M474</f>
        <v>0</v>
      </c>
      <c r="G386" s="70">
        <f>'RESUMEN TOTAL'!N474</f>
        <v>0</v>
      </c>
      <c r="H386" s="70">
        <f>'RESUMEN TOTAL'!O474</f>
        <v>0</v>
      </c>
      <c r="I386" s="70">
        <f>'RESUMEN TOTAL'!P474</f>
        <v>0</v>
      </c>
      <c r="J386" s="70">
        <f>'RESUMEN TOTAL'!Q474</f>
        <v>0</v>
      </c>
      <c r="K386" s="70">
        <f>'RESUMEN TOTAL'!R474</f>
        <v>0</v>
      </c>
      <c r="L386" s="70">
        <f>'RESUMEN TOTAL'!S474</f>
        <v>0</v>
      </c>
      <c r="M386" s="70">
        <f>'RESUMEN TOTAL'!T474</f>
        <v>0</v>
      </c>
      <c r="N386" s="70">
        <f>'RESUMEN TOTAL'!U474</f>
        <v>0</v>
      </c>
      <c r="O386" s="70">
        <f>'RESUMEN TOTAL'!V474</f>
        <v>0</v>
      </c>
      <c r="P386" s="70">
        <f>'RESUMEN TOTAL'!W474</f>
        <v>0</v>
      </c>
      <c r="Q386" s="70">
        <f>'RESUMEN TOTAL'!X474</f>
        <v>0</v>
      </c>
      <c r="R386" s="70">
        <f>'RESUMEN TOTAL'!Y474</f>
        <v>0</v>
      </c>
      <c r="S386" s="70">
        <f>'RESUMEN TOTAL'!Z474</f>
        <v>0</v>
      </c>
      <c r="T386" s="70">
        <f>'RESUMEN TOTAL'!AA474</f>
        <v>0</v>
      </c>
      <c r="U386" s="70">
        <f>'RESUMEN TOTAL'!AB474</f>
        <v>0</v>
      </c>
      <c r="V386" s="70">
        <f>'RESUMEN TOTAL'!AC474</f>
        <v>0</v>
      </c>
      <c r="W386" s="70">
        <f>'RESUMEN TOTAL'!AD474</f>
        <v>0</v>
      </c>
      <c r="X386" s="70">
        <f>'RESUMEN TOTAL'!AE474</f>
        <v>0</v>
      </c>
      <c r="Y386" s="70">
        <f>'RESUMEN TOTAL'!AF474</f>
        <v>0</v>
      </c>
      <c r="Z386" s="70">
        <f>'RESUMEN TOTAL'!AG474</f>
        <v>0</v>
      </c>
      <c r="AA386" s="70">
        <f>'RESUMEN TOTAL'!AH474</f>
        <v>0</v>
      </c>
      <c r="AB386" s="70">
        <f>'RESUMEN TOTAL'!AI474</f>
        <v>0</v>
      </c>
      <c r="AC386" s="70">
        <f>'RESUMEN TOTAL'!AJ474</f>
        <v>0</v>
      </c>
      <c r="AD386" s="70">
        <f>'RESUMEN TOTAL'!AK474</f>
        <v>0</v>
      </c>
      <c r="AE386" s="70">
        <f>'RESUMEN TOTAL'!AL474</f>
        <v>0</v>
      </c>
      <c r="AF386" s="70">
        <f>'RESUMEN TOTAL'!AM474</f>
        <v>0</v>
      </c>
      <c r="AG386" s="70">
        <f>'RESUMEN TOTAL'!AN474</f>
        <v>0</v>
      </c>
      <c r="AH386" s="70">
        <f>'RESUMEN TOTAL'!AO474</f>
        <v>0</v>
      </c>
      <c r="AI386" s="70">
        <f>'RESUMEN TOTAL'!AP474</f>
        <v>0</v>
      </c>
    </row>
    <row r="387" spans="1:35" x14ac:dyDescent="0.25">
      <c r="A387" t="str">
        <f>'RESUMEN TOTAL'!A475</f>
        <v>VILLA ARGENTINA</v>
      </c>
      <c r="B387" t="str">
        <f>'RESUMEN TOTAL'!B475</f>
        <v>VAR11 (fija 2)</v>
      </c>
      <c r="C387" t="str">
        <f>'RESUMEN TOTAL'!D475</f>
        <v>532 A Y 523</v>
      </c>
      <c r="D387" s="30" t="str">
        <f>'RESUMEN TOTAL'!E475</f>
        <v>Fija</v>
      </c>
      <c r="E387" s="30" t="str">
        <f>'RESUMEN TOTAL'!F475</f>
        <v>Fibra Optica</v>
      </c>
      <c r="F387" s="70">
        <f>'RESUMEN TOTAL'!M475</f>
        <v>0</v>
      </c>
      <c r="G387" s="70">
        <f>'RESUMEN TOTAL'!N475</f>
        <v>0</v>
      </c>
      <c r="H387" s="70">
        <f>'RESUMEN TOTAL'!O475</f>
        <v>0</v>
      </c>
      <c r="I387" s="70">
        <f>'RESUMEN TOTAL'!P475</f>
        <v>0</v>
      </c>
      <c r="J387" s="70">
        <f>'RESUMEN TOTAL'!Q475</f>
        <v>0</v>
      </c>
      <c r="K387" s="70">
        <f>'RESUMEN TOTAL'!R475</f>
        <v>0</v>
      </c>
      <c r="L387" s="70">
        <f>'RESUMEN TOTAL'!S475</f>
        <v>0</v>
      </c>
      <c r="M387" s="70">
        <f>'RESUMEN TOTAL'!T475</f>
        <v>0</v>
      </c>
      <c r="N387" s="70">
        <f>'RESUMEN TOTAL'!U475</f>
        <v>0</v>
      </c>
      <c r="O387" s="70">
        <f>'RESUMEN TOTAL'!V475</f>
        <v>0</v>
      </c>
      <c r="P387" s="70">
        <f>'RESUMEN TOTAL'!W475</f>
        <v>0</v>
      </c>
      <c r="Q387" s="70">
        <f>'RESUMEN TOTAL'!X475</f>
        <v>0</v>
      </c>
      <c r="R387" s="70">
        <f>'RESUMEN TOTAL'!Y475</f>
        <v>0</v>
      </c>
      <c r="S387" s="70">
        <f>'RESUMEN TOTAL'!Z475</f>
        <v>0</v>
      </c>
      <c r="T387" s="70">
        <f>'RESUMEN TOTAL'!AA475</f>
        <v>0</v>
      </c>
      <c r="U387" s="70">
        <f>'RESUMEN TOTAL'!AB475</f>
        <v>0</v>
      </c>
      <c r="V387" s="70">
        <f>'RESUMEN TOTAL'!AC475</f>
        <v>0</v>
      </c>
      <c r="W387" s="70">
        <f>'RESUMEN TOTAL'!AD475</f>
        <v>0</v>
      </c>
      <c r="X387" s="70">
        <f>'RESUMEN TOTAL'!AE475</f>
        <v>0</v>
      </c>
      <c r="Y387" s="70">
        <f>'RESUMEN TOTAL'!AF475</f>
        <v>0</v>
      </c>
      <c r="Z387" s="70">
        <f>'RESUMEN TOTAL'!AG475</f>
        <v>0</v>
      </c>
      <c r="AA387" s="70">
        <f>'RESUMEN TOTAL'!AH475</f>
        <v>0</v>
      </c>
      <c r="AB387" s="70">
        <f>'RESUMEN TOTAL'!AI475</f>
        <v>0</v>
      </c>
      <c r="AC387" s="70">
        <f>'RESUMEN TOTAL'!AJ475</f>
        <v>0</v>
      </c>
      <c r="AD387" s="70">
        <f>'RESUMEN TOTAL'!AK475</f>
        <v>0</v>
      </c>
      <c r="AE387" s="70">
        <f>'RESUMEN TOTAL'!AL475</f>
        <v>0</v>
      </c>
      <c r="AF387" s="70">
        <f>'RESUMEN TOTAL'!AM475</f>
        <v>0</v>
      </c>
      <c r="AG387" s="70">
        <f>'RESUMEN TOTAL'!AN475</f>
        <v>0</v>
      </c>
      <c r="AH387" s="70">
        <f>'RESUMEN TOTAL'!AO475</f>
        <v>0</v>
      </c>
      <c r="AI387" s="70">
        <f>'RESUMEN TOTAL'!AP475</f>
        <v>0</v>
      </c>
    </row>
    <row r="388" spans="1:35" x14ac:dyDescent="0.25">
      <c r="A388" t="str">
        <f>'RESUMEN TOTAL'!A476</f>
        <v>VILLA ARGENTINA</v>
      </c>
      <c r="B388" t="str">
        <f>'RESUMEN TOTAL'!B476</f>
        <v>VAR12</v>
      </c>
      <c r="C388" t="str">
        <f>'RESUMEN TOTAL'!D476</f>
        <v>Calle 527 y Portela</v>
      </c>
      <c r="D388" s="30" t="str">
        <f>'RESUMEN TOTAL'!E476</f>
        <v>Domo</v>
      </c>
      <c r="E388" s="30" t="str">
        <f>'RESUMEN TOTAL'!F476</f>
        <v>Fibra Optica</v>
      </c>
      <c r="F388" s="70">
        <f>'RESUMEN TOTAL'!M476</f>
        <v>0</v>
      </c>
      <c r="G388" s="70">
        <f>'RESUMEN TOTAL'!N476</f>
        <v>0</v>
      </c>
      <c r="H388" s="70">
        <f>'RESUMEN TOTAL'!O476</f>
        <v>0</v>
      </c>
      <c r="I388" s="70">
        <f>'RESUMEN TOTAL'!P476</f>
        <v>0</v>
      </c>
      <c r="J388" s="70">
        <f>'RESUMEN TOTAL'!Q476</f>
        <v>0</v>
      </c>
      <c r="K388" s="70">
        <f>'RESUMEN TOTAL'!R476</f>
        <v>0</v>
      </c>
      <c r="L388" s="70">
        <f>'RESUMEN TOTAL'!S476</f>
        <v>0</v>
      </c>
      <c r="M388" s="70">
        <f>'RESUMEN TOTAL'!T476</f>
        <v>0</v>
      </c>
      <c r="N388" s="70">
        <f>'RESUMEN TOTAL'!U476</f>
        <v>0</v>
      </c>
      <c r="O388" s="70">
        <f>'RESUMEN TOTAL'!V476</f>
        <v>0</v>
      </c>
      <c r="P388" s="70">
        <f>'RESUMEN TOTAL'!W476</f>
        <v>0</v>
      </c>
      <c r="Q388" s="70">
        <f>'RESUMEN TOTAL'!X476</f>
        <v>0</v>
      </c>
      <c r="R388" s="70">
        <f>'RESUMEN TOTAL'!Y476</f>
        <v>0</v>
      </c>
      <c r="S388" s="70">
        <f>'RESUMEN TOTAL'!Z476</f>
        <v>0</v>
      </c>
      <c r="T388" s="70">
        <f>'RESUMEN TOTAL'!AA476</f>
        <v>0</v>
      </c>
      <c r="U388" s="70">
        <f>'RESUMEN TOTAL'!AB476</f>
        <v>0</v>
      </c>
      <c r="V388" s="70">
        <f>'RESUMEN TOTAL'!AC476</f>
        <v>0</v>
      </c>
      <c r="W388" s="70">
        <f>'RESUMEN TOTAL'!AD476</f>
        <v>0</v>
      </c>
      <c r="X388" s="70">
        <f>'RESUMEN TOTAL'!AE476</f>
        <v>0</v>
      </c>
      <c r="Y388" s="70">
        <f>'RESUMEN TOTAL'!AF476</f>
        <v>0</v>
      </c>
      <c r="Z388" s="70">
        <f>'RESUMEN TOTAL'!AG476</f>
        <v>0</v>
      </c>
      <c r="AA388" s="70">
        <f>'RESUMEN TOTAL'!AH476</f>
        <v>0</v>
      </c>
      <c r="AB388" s="70">
        <f>'RESUMEN TOTAL'!AI476</f>
        <v>0</v>
      </c>
      <c r="AC388" s="70">
        <f>'RESUMEN TOTAL'!AJ476</f>
        <v>0</v>
      </c>
      <c r="AD388" s="70">
        <f>'RESUMEN TOTAL'!AK476</f>
        <v>0</v>
      </c>
      <c r="AE388" s="70">
        <f>'RESUMEN TOTAL'!AL476</f>
        <v>0</v>
      </c>
      <c r="AF388" s="70">
        <f>'RESUMEN TOTAL'!AM476</f>
        <v>0</v>
      </c>
      <c r="AG388" s="70">
        <f>'RESUMEN TOTAL'!AN476</f>
        <v>0</v>
      </c>
      <c r="AH388" s="70">
        <f>'RESUMEN TOTAL'!AO476</f>
        <v>0</v>
      </c>
      <c r="AI388" s="70">
        <f>'RESUMEN TOTAL'!AP476</f>
        <v>0</v>
      </c>
    </row>
    <row r="389" spans="1:35" x14ac:dyDescent="0.25">
      <c r="A389" t="str">
        <f>'RESUMEN TOTAL'!A477</f>
        <v>VILLA ARGENTINA</v>
      </c>
      <c r="B389" t="str">
        <f>'RESUMEN TOTAL'!B477</f>
        <v>VAR13</v>
      </c>
      <c r="C389" t="str">
        <f>'RESUMEN TOTAL'!D477</f>
        <v>Calle 527 y 532</v>
      </c>
      <c r="D389" s="30" t="str">
        <f>'RESUMEN TOTAL'!E477</f>
        <v>Domo</v>
      </c>
      <c r="E389" s="30" t="str">
        <f>'RESUMEN TOTAL'!F477</f>
        <v>Fibra Optica</v>
      </c>
      <c r="F389" s="70">
        <f>'RESUMEN TOTAL'!M477</f>
        <v>0</v>
      </c>
      <c r="G389" s="70">
        <f>'RESUMEN TOTAL'!N477</f>
        <v>0</v>
      </c>
      <c r="H389" s="70">
        <f>'RESUMEN TOTAL'!O477</f>
        <v>0</v>
      </c>
      <c r="I389" s="70">
        <f>'RESUMEN TOTAL'!P477</f>
        <v>0</v>
      </c>
      <c r="J389" s="70">
        <f>'RESUMEN TOTAL'!Q477</f>
        <v>0</v>
      </c>
      <c r="K389" s="70">
        <f>'RESUMEN TOTAL'!R477</f>
        <v>0</v>
      </c>
      <c r="L389" s="70">
        <f>'RESUMEN TOTAL'!S477</f>
        <v>0</v>
      </c>
      <c r="M389" s="70">
        <f>'RESUMEN TOTAL'!T477</f>
        <v>0</v>
      </c>
      <c r="N389" s="70">
        <f>'RESUMEN TOTAL'!U477</f>
        <v>0</v>
      </c>
      <c r="O389" s="70">
        <f>'RESUMEN TOTAL'!V477</f>
        <v>0</v>
      </c>
      <c r="P389" s="70">
        <f>'RESUMEN TOTAL'!W477</f>
        <v>0</v>
      </c>
      <c r="Q389" s="70">
        <f>'RESUMEN TOTAL'!X477</f>
        <v>0</v>
      </c>
      <c r="R389" s="70">
        <f>'RESUMEN TOTAL'!Y477</f>
        <v>0</v>
      </c>
      <c r="S389" s="70">
        <f>'RESUMEN TOTAL'!Z477</f>
        <v>0</v>
      </c>
      <c r="T389" s="70">
        <f>'RESUMEN TOTAL'!AA477</f>
        <v>0</v>
      </c>
      <c r="U389" s="70">
        <f>'RESUMEN TOTAL'!AB477</f>
        <v>0</v>
      </c>
      <c r="V389" s="70">
        <f>'RESUMEN TOTAL'!AC477</f>
        <v>0</v>
      </c>
      <c r="W389" s="70">
        <f>'RESUMEN TOTAL'!AD477</f>
        <v>0</v>
      </c>
      <c r="X389" s="70">
        <f>'RESUMEN TOTAL'!AE477</f>
        <v>0</v>
      </c>
      <c r="Y389" s="70">
        <f>'RESUMEN TOTAL'!AF477</f>
        <v>0</v>
      </c>
      <c r="Z389" s="70">
        <f>'RESUMEN TOTAL'!AG477</f>
        <v>0</v>
      </c>
      <c r="AA389" s="70">
        <f>'RESUMEN TOTAL'!AH477</f>
        <v>0</v>
      </c>
      <c r="AB389" s="70">
        <f>'RESUMEN TOTAL'!AI477</f>
        <v>0</v>
      </c>
      <c r="AC389" s="70">
        <f>'RESUMEN TOTAL'!AJ477</f>
        <v>0</v>
      </c>
      <c r="AD389" s="70">
        <f>'RESUMEN TOTAL'!AK477</f>
        <v>0</v>
      </c>
      <c r="AE389" s="70">
        <f>'RESUMEN TOTAL'!AL477</f>
        <v>0</v>
      </c>
      <c r="AF389" s="70">
        <f>'RESUMEN TOTAL'!AM477</f>
        <v>0</v>
      </c>
      <c r="AG389" s="70">
        <f>'RESUMEN TOTAL'!AN477</f>
        <v>0</v>
      </c>
      <c r="AH389" s="70">
        <f>'RESUMEN TOTAL'!AO477</f>
        <v>0</v>
      </c>
      <c r="AI389" s="70">
        <f>'RESUMEN TOTAL'!AP477</f>
        <v>0</v>
      </c>
    </row>
    <row r="390" spans="1:35" x14ac:dyDescent="0.25">
      <c r="A390" t="str">
        <f>'RESUMEN TOTAL'!A478</f>
        <v>VILLA ARGENTINA</v>
      </c>
      <c r="B390" t="str">
        <f>'RESUMEN TOTAL'!B478</f>
        <v>VAR14</v>
      </c>
      <c r="C390" t="str">
        <f>'RESUMEN TOTAL'!D478</f>
        <v>Pportela y 517</v>
      </c>
      <c r="D390" s="30" t="str">
        <f>'RESUMEN TOTAL'!E478</f>
        <v>Domo</v>
      </c>
      <c r="E390" s="30" t="str">
        <f>'RESUMEN TOTAL'!F478</f>
        <v>Fibra Optica</v>
      </c>
      <c r="F390" s="70">
        <f>'RESUMEN TOTAL'!M478</f>
        <v>0</v>
      </c>
      <c r="G390" s="70">
        <f>'RESUMEN TOTAL'!N478</f>
        <v>0</v>
      </c>
      <c r="H390" s="70">
        <f>'RESUMEN TOTAL'!O478</f>
        <v>0</v>
      </c>
      <c r="I390" s="70">
        <f>'RESUMEN TOTAL'!P478</f>
        <v>0</v>
      </c>
      <c r="J390" s="70">
        <f>'RESUMEN TOTAL'!Q478</f>
        <v>0</v>
      </c>
      <c r="K390" s="70">
        <f>'RESUMEN TOTAL'!R478</f>
        <v>0</v>
      </c>
      <c r="L390" s="70">
        <f>'RESUMEN TOTAL'!S478</f>
        <v>0</v>
      </c>
      <c r="M390" s="70">
        <f>'RESUMEN TOTAL'!T478</f>
        <v>0</v>
      </c>
      <c r="N390" s="70">
        <f>'RESUMEN TOTAL'!U478</f>
        <v>0</v>
      </c>
      <c r="O390" s="70">
        <f>'RESUMEN TOTAL'!V478</f>
        <v>0</v>
      </c>
      <c r="P390" s="70">
        <f>'RESUMEN TOTAL'!W478</f>
        <v>0</v>
      </c>
      <c r="Q390" s="70">
        <f>'RESUMEN TOTAL'!X478</f>
        <v>0</v>
      </c>
      <c r="R390" s="70" t="str">
        <f>'RESUMEN TOTAL'!Y478</f>
        <v>APAGADO</v>
      </c>
      <c r="S390" s="70">
        <f>'RESUMEN TOTAL'!Z478</f>
        <v>0</v>
      </c>
      <c r="T390" s="70">
        <f>'RESUMEN TOTAL'!AA478</f>
        <v>0</v>
      </c>
      <c r="U390" s="70">
        <f>'RESUMEN TOTAL'!AB478</f>
        <v>0</v>
      </c>
      <c r="V390" s="70">
        <f>'RESUMEN TOTAL'!AC478</f>
        <v>0</v>
      </c>
      <c r="W390" s="70">
        <f>'RESUMEN TOTAL'!AD478</f>
        <v>0</v>
      </c>
      <c r="X390" s="70">
        <f>'RESUMEN TOTAL'!AE478</f>
        <v>0</v>
      </c>
      <c r="Y390" s="70">
        <f>'RESUMEN TOTAL'!AF478</f>
        <v>0</v>
      </c>
      <c r="Z390" s="70">
        <f>'RESUMEN TOTAL'!AG478</f>
        <v>0</v>
      </c>
      <c r="AA390" s="70">
        <f>'RESUMEN TOTAL'!AH478</f>
        <v>0</v>
      </c>
      <c r="AB390" s="70">
        <f>'RESUMEN TOTAL'!AI478</f>
        <v>0</v>
      </c>
      <c r="AC390" s="70">
        <f>'RESUMEN TOTAL'!AJ478</f>
        <v>0</v>
      </c>
      <c r="AD390" s="70">
        <f>'RESUMEN TOTAL'!AK478</f>
        <v>0</v>
      </c>
      <c r="AE390" s="70">
        <f>'RESUMEN TOTAL'!AL478</f>
        <v>0</v>
      </c>
      <c r="AF390" s="70">
        <f>'RESUMEN TOTAL'!AM478</f>
        <v>0</v>
      </c>
      <c r="AG390" s="70">
        <f>'RESUMEN TOTAL'!AN478</f>
        <v>0</v>
      </c>
      <c r="AH390" s="70">
        <f>'RESUMEN TOTAL'!AO478</f>
        <v>0</v>
      </c>
      <c r="AI390" s="70">
        <f>'RESUMEN TOTAL'!AP478</f>
        <v>0</v>
      </c>
    </row>
    <row r="391" spans="1:35" x14ac:dyDescent="0.25">
      <c r="A391" t="str">
        <f>'RESUMEN TOTAL'!A479</f>
        <v>VILLA VATTEONE</v>
      </c>
      <c r="B391" t="str">
        <f>'RESUMEN TOTAL'!B479</f>
        <v>VAT01</v>
      </c>
      <c r="C391" t="str">
        <f>'RESUMEN TOTAL'!D479</f>
        <v>Montevideo y El ChaÃ±ar</v>
      </c>
      <c r="D391" s="30" t="str">
        <f>'RESUMEN TOTAL'!E479</f>
        <v>Domo</v>
      </c>
      <c r="E391" s="30" t="str">
        <f>'RESUMEN TOTAL'!F479</f>
        <v>Fibra Optica</v>
      </c>
      <c r="F391" s="70">
        <f>'RESUMEN TOTAL'!M479</f>
        <v>0</v>
      </c>
      <c r="G391" s="70">
        <f>'RESUMEN TOTAL'!N479</f>
        <v>0</v>
      </c>
      <c r="H391" s="70">
        <f>'RESUMEN TOTAL'!O479</f>
        <v>0</v>
      </c>
      <c r="I391" s="70">
        <f>'RESUMEN TOTAL'!P479</f>
        <v>0</v>
      </c>
      <c r="J391" s="70">
        <f>'RESUMEN TOTAL'!Q479</f>
        <v>0</v>
      </c>
      <c r="K391" s="70">
        <f>'RESUMEN TOTAL'!R479</f>
        <v>0</v>
      </c>
      <c r="L391" s="70">
        <f>'RESUMEN TOTAL'!S479</f>
        <v>0</v>
      </c>
      <c r="M391" s="70">
        <f>'RESUMEN TOTAL'!T479</f>
        <v>0</v>
      </c>
      <c r="N391" s="70">
        <f>'RESUMEN TOTAL'!U479</f>
        <v>0</v>
      </c>
      <c r="O391" s="70" t="str">
        <f>'RESUMEN TOTAL'!V479</f>
        <v>APAGADO</v>
      </c>
      <c r="P391" s="70" t="str">
        <f>'RESUMEN TOTAL'!W479</f>
        <v>APAGADO</v>
      </c>
      <c r="Q391" s="70" t="str">
        <f>'RESUMEN TOTAL'!X479</f>
        <v>APAGADO</v>
      </c>
      <c r="R391" s="70" t="str">
        <f>'RESUMEN TOTAL'!Y479</f>
        <v>APAGADO</v>
      </c>
      <c r="S391" s="70" t="str">
        <f>'RESUMEN TOTAL'!Z479</f>
        <v>APAGADO</v>
      </c>
      <c r="T391" s="70" t="str">
        <f>'RESUMEN TOTAL'!AA479</f>
        <v>APAGADO</v>
      </c>
      <c r="U391" s="70">
        <f>'RESUMEN TOTAL'!AB479</f>
        <v>0</v>
      </c>
      <c r="V391" s="70">
        <f>'RESUMEN TOTAL'!AC479</f>
        <v>0</v>
      </c>
      <c r="W391" s="70">
        <f>'RESUMEN TOTAL'!AD479</f>
        <v>0</v>
      </c>
      <c r="X391" s="70">
        <f>'RESUMEN TOTAL'!AE479</f>
        <v>0</v>
      </c>
      <c r="Y391" s="70">
        <f>'RESUMEN TOTAL'!AF479</f>
        <v>0</v>
      </c>
      <c r="Z391" s="70">
        <f>'RESUMEN TOTAL'!AG479</f>
        <v>0</v>
      </c>
      <c r="AA391" s="70">
        <f>'RESUMEN TOTAL'!AH479</f>
        <v>0</v>
      </c>
      <c r="AB391" s="70">
        <f>'RESUMEN TOTAL'!AI479</f>
        <v>0</v>
      </c>
      <c r="AC391" s="70">
        <f>'RESUMEN TOTAL'!AJ479</f>
        <v>0</v>
      </c>
      <c r="AD391" s="70">
        <f>'RESUMEN TOTAL'!AK479</f>
        <v>0</v>
      </c>
      <c r="AE391" s="70">
        <f>'RESUMEN TOTAL'!AL479</f>
        <v>0</v>
      </c>
      <c r="AF391" s="70">
        <f>'RESUMEN TOTAL'!AM479</f>
        <v>0</v>
      </c>
      <c r="AG391" s="70">
        <f>'RESUMEN TOTAL'!AN479</f>
        <v>0</v>
      </c>
      <c r="AH391" s="70">
        <f>'RESUMEN TOTAL'!AO479</f>
        <v>0</v>
      </c>
      <c r="AI391" s="70">
        <f>'RESUMEN TOTAL'!AP479</f>
        <v>0</v>
      </c>
    </row>
    <row r="392" spans="1:35" x14ac:dyDescent="0.25">
      <c r="A392" t="str">
        <f>'RESUMEN TOTAL'!A480</f>
        <v>VILLA VATTEONE CENTRO</v>
      </c>
      <c r="B392" t="str">
        <f>'RESUMEN TOTAL'!B480</f>
        <v>VAT02</v>
      </c>
      <c r="C392" t="str">
        <f>'RESUMEN TOTAL'!D480</f>
        <v>Eva Peron y 12 de Octubre</v>
      </c>
      <c r="D392" s="30" t="str">
        <f>'RESUMEN TOTAL'!E480</f>
        <v>Domo</v>
      </c>
      <c r="E392" s="30" t="str">
        <f>'RESUMEN TOTAL'!F480</f>
        <v>Fibra Optica</v>
      </c>
      <c r="F392" s="70">
        <f>'RESUMEN TOTAL'!M480</f>
        <v>0</v>
      </c>
      <c r="G392" s="70">
        <f>'RESUMEN TOTAL'!N480</f>
        <v>0</v>
      </c>
      <c r="H392" s="70">
        <f>'RESUMEN TOTAL'!O480</f>
        <v>0</v>
      </c>
      <c r="I392" s="70">
        <f>'RESUMEN TOTAL'!P480</f>
        <v>0</v>
      </c>
      <c r="J392" s="70">
        <f>'RESUMEN TOTAL'!Q480</f>
        <v>0</v>
      </c>
      <c r="K392" s="70">
        <f>'RESUMEN TOTAL'!R480</f>
        <v>0</v>
      </c>
      <c r="L392" s="70">
        <f>'RESUMEN TOTAL'!S480</f>
        <v>0</v>
      </c>
      <c r="M392" s="70">
        <f>'RESUMEN TOTAL'!T480</f>
        <v>0</v>
      </c>
      <c r="N392" s="70">
        <f>'RESUMEN TOTAL'!U480</f>
        <v>0</v>
      </c>
      <c r="O392" s="70">
        <f>'RESUMEN TOTAL'!V480</f>
        <v>0</v>
      </c>
      <c r="P392" s="70">
        <f>'RESUMEN TOTAL'!W480</f>
        <v>0</v>
      </c>
      <c r="Q392" s="70">
        <f>'RESUMEN TOTAL'!X480</f>
        <v>0</v>
      </c>
      <c r="R392" s="70">
        <f>'RESUMEN TOTAL'!Y480</f>
        <v>0</v>
      </c>
      <c r="S392" s="70">
        <f>'RESUMEN TOTAL'!Z480</f>
        <v>0</v>
      </c>
      <c r="T392" s="70">
        <f>'RESUMEN TOTAL'!AA480</f>
        <v>0</v>
      </c>
      <c r="U392" s="70">
        <f>'RESUMEN TOTAL'!AB480</f>
        <v>0</v>
      </c>
      <c r="V392" s="70">
        <f>'RESUMEN TOTAL'!AC480</f>
        <v>0</v>
      </c>
      <c r="W392" s="70">
        <f>'RESUMEN TOTAL'!AD480</f>
        <v>0</v>
      </c>
      <c r="X392" s="70">
        <f>'RESUMEN TOTAL'!AE480</f>
        <v>0</v>
      </c>
      <c r="Y392" s="70">
        <f>'RESUMEN TOTAL'!AF480</f>
        <v>0</v>
      </c>
      <c r="Z392" s="70">
        <f>'RESUMEN TOTAL'!AG480</f>
        <v>0</v>
      </c>
      <c r="AA392" s="70">
        <f>'RESUMEN TOTAL'!AH480</f>
        <v>0</v>
      </c>
      <c r="AB392" s="70">
        <f>'RESUMEN TOTAL'!AI480</f>
        <v>0</v>
      </c>
      <c r="AC392" s="70">
        <f>'RESUMEN TOTAL'!AJ480</f>
        <v>0</v>
      </c>
      <c r="AD392" s="70">
        <f>'RESUMEN TOTAL'!AK480</f>
        <v>0</v>
      </c>
      <c r="AE392" s="70">
        <f>'RESUMEN TOTAL'!AL480</f>
        <v>0</v>
      </c>
      <c r="AF392" s="70">
        <f>'RESUMEN TOTAL'!AM480</f>
        <v>0</v>
      </c>
      <c r="AG392" s="70">
        <f>'RESUMEN TOTAL'!AN480</f>
        <v>0</v>
      </c>
      <c r="AH392" s="70">
        <f>'RESUMEN TOTAL'!AO480</f>
        <v>0</v>
      </c>
      <c r="AI392" s="70">
        <f>'RESUMEN TOTAL'!AP480</f>
        <v>0</v>
      </c>
    </row>
    <row r="393" spans="1:35" x14ac:dyDescent="0.25">
      <c r="A393" t="str">
        <f>'RESUMEN TOTAL'!A481</f>
        <v>VILLA VATTEONE CENTRO</v>
      </c>
      <c r="B393" t="str">
        <f>'RESUMEN TOTAL'!B481</f>
        <v>VAT03</v>
      </c>
      <c r="C393" t="str">
        <f>'RESUMEN TOTAL'!D481</f>
        <v>Lavalle y Belgrano</v>
      </c>
      <c r="D393" s="30" t="str">
        <f>'RESUMEN TOTAL'!E481</f>
        <v>Domo</v>
      </c>
      <c r="E393" s="30" t="str">
        <f>'RESUMEN TOTAL'!F481</f>
        <v>Fibra Optica</v>
      </c>
      <c r="F393" s="70">
        <f>'RESUMEN TOTAL'!M481</f>
        <v>0</v>
      </c>
      <c r="G393" s="70">
        <f>'RESUMEN TOTAL'!N481</f>
        <v>0</v>
      </c>
      <c r="H393" s="70">
        <f>'RESUMEN TOTAL'!O481</f>
        <v>0</v>
      </c>
      <c r="I393" s="70">
        <f>'RESUMEN TOTAL'!P481</f>
        <v>0</v>
      </c>
      <c r="J393" s="70">
        <f>'RESUMEN TOTAL'!Q481</f>
        <v>0</v>
      </c>
      <c r="K393" s="70">
        <f>'RESUMEN TOTAL'!R481</f>
        <v>0</v>
      </c>
      <c r="L393" s="70">
        <f>'RESUMEN TOTAL'!S481</f>
        <v>0</v>
      </c>
      <c r="M393" s="70">
        <f>'RESUMEN TOTAL'!T481</f>
        <v>0</v>
      </c>
      <c r="N393" s="70">
        <f>'RESUMEN TOTAL'!U481</f>
        <v>0</v>
      </c>
      <c r="O393" s="70">
        <f>'RESUMEN TOTAL'!V481</f>
        <v>0</v>
      </c>
      <c r="P393" s="70">
        <f>'RESUMEN TOTAL'!W481</f>
        <v>0</v>
      </c>
      <c r="Q393" s="70">
        <f>'RESUMEN TOTAL'!X481</f>
        <v>0</v>
      </c>
      <c r="R393" s="70">
        <f>'RESUMEN TOTAL'!Y481</f>
        <v>0</v>
      </c>
      <c r="S393" s="70">
        <f>'RESUMEN TOTAL'!Z481</f>
        <v>0</v>
      </c>
      <c r="T393" s="70">
        <f>'RESUMEN TOTAL'!AA481</f>
        <v>0</v>
      </c>
      <c r="U393" s="70">
        <f>'RESUMEN TOTAL'!AB481</f>
        <v>0</v>
      </c>
      <c r="V393" s="70">
        <f>'RESUMEN TOTAL'!AC481</f>
        <v>0</v>
      </c>
      <c r="W393" s="70">
        <f>'RESUMEN TOTAL'!AD481</f>
        <v>0</v>
      </c>
      <c r="X393" s="70">
        <f>'RESUMEN TOTAL'!AE481</f>
        <v>0</v>
      </c>
      <c r="Y393" s="70">
        <f>'RESUMEN TOTAL'!AF481</f>
        <v>0</v>
      </c>
      <c r="Z393" s="70">
        <f>'RESUMEN TOTAL'!AG481</f>
        <v>0</v>
      </c>
      <c r="AA393" s="70">
        <f>'RESUMEN TOTAL'!AH481</f>
        <v>0</v>
      </c>
      <c r="AB393" s="70">
        <f>'RESUMEN TOTAL'!AI481</f>
        <v>0</v>
      </c>
      <c r="AC393" s="70">
        <f>'RESUMEN TOTAL'!AJ481</f>
        <v>0</v>
      </c>
      <c r="AD393" s="70">
        <f>'RESUMEN TOTAL'!AK481</f>
        <v>0</v>
      </c>
      <c r="AE393" s="70">
        <f>'RESUMEN TOTAL'!AL481</f>
        <v>0</v>
      </c>
      <c r="AF393" s="70">
        <f>'RESUMEN TOTAL'!AM481</f>
        <v>0</v>
      </c>
      <c r="AG393" s="70">
        <f>'RESUMEN TOTAL'!AN481</f>
        <v>0</v>
      </c>
      <c r="AH393" s="70">
        <f>'RESUMEN TOTAL'!AO481</f>
        <v>0</v>
      </c>
      <c r="AI393" s="70">
        <f>'RESUMEN TOTAL'!AP481</f>
        <v>0</v>
      </c>
    </row>
    <row r="394" spans="1:35" x14ac:dyDescent="0.25">
      <c r="A394" t="str">
        <f>'RESUMEN TOTAL'!A482</f>
        <v>VILLA VATTEONE CENTRO</v>
      </c>
      <c r="B394" t="str">
        <f>'RESUMEN TOTAL'!B482</f>
        <v>VAT04</v>
      </c>
      <c r="C394" t="str">
        <f>'RESUMEN TOTAL'!D482</f>
        <v>Lavalle y Entre Rios</v>
      </c>
      <c r="D394" s="30" t="str">
        <f>'RESUMEN TOTAL'!E482</f>
        <v>Domo</v>
      </c>
      <c r="E394" s="30" t="str">
        <f>'RESUMEN TOTAL'!F482</f>
        <v>Fibra Optica</v>
      </c>
      <c r="F394" s="70">
        <f>'RESUMEN TOTAL'!M482</f>
        <v>0</v>
      </c>
      <c r="G394" s="70">
        <f>'RESUMEN TOTAL'!N482</f>
        <v>0</v>
      </c>
      <c r="H394" s="70">
        <f>'RESUMEN TOTAL'!O482</f>
        <v>0</v>
      </c>
      <c r="I394" s="70">
        <f>'RESUMEN TOTAL'!P482</f>
        <v>0</v>
      </c>
      <c r="J394" s="70">
        <f>'RESUMEN TOTAL'!Q482</f>
        <v>0</v>
      </c>
      <c r="K394" s="70">
        <f>'RESUMEN TOTAL'!R482</f>
        <v>0</v>
      </c>
      <c r="L394" s="70">
        <f>'RESUMEN TOTAL'!S482</f>
        <v>0</v>
      </c>
      <c r="M394" s="70">
        <f>'RESUMEN TOTAL'!T482</f>
        <v>0</v>
      </c>
      <c r="N394" s="70">
        <f>'RESUMEN TOTAL'!U482</f>
        <v>0</v>
      </c>
      <c r="O394" s="70">
        <f>'RESUMEN TOTAL'!V482</f>
        <v>0</v>
      </c>
      <c r="P394" s="70">
        <f>'RESUMEN TOTAL'!W482</f>
        <v>0</v>
      </c>
      <c r="Q394" s="70">
        <f>'RESUMEN TOTAL'!X482</f>
        <v>0</v>
      </c>
      <c r="R394" s="70">
        <f>'RESUMEN TOTAL'!Y482</f>
        <v>0</v>
      </c>
      <c r="S394" s="70">
        <f>'RESUMEN TOTAL'!Z482</f>
        <v>0</v>
      </c>
      <c r="T394" s="70">
        <f>'RESUMEN TOTAL'!AA482</f>
        <v>0</v>
      </c>
      <c r="U394" s="70">
        <f>'RESUMEN TOTAL'!AB482</f>
        <v>0</v>
      </c>
      <c r="V394" s="70">
        <f>'RESUMEN TOTAL'!AC482</f>
        <v>0</v>
      </c>
      <c r="W394" s="70">
        <f>'RESUMEN TOTAL'!AD482</f>
        <v>0</v>
      </c>
      <c r="X394" s="70">
        <f>'RESUMEN TOTAL'!AE482</f>
        <v>0</v>
      </c>
      <c r="Y394" s="70">
        <f>'RESUMEN TOTAL'!AF482</f>
        <v>0</v>
      </c>
      <c r="Z394" s="70">
        <f>'RESUMEN TOTAL'!AG482</f>
        <v>0</v>
      </c>
      <c r="AA394" s="70">
        <f>'RESUMEN TOTAL'!AH482</f>
        <v>0</v>
      </c>
      <c r="AB394" s="70">
        <f>'RESUMEN TOTAL'!AI482</f>
        <v>0</v>
      </c>
      <c r="AC394" s="70">
        <f>'RESUMEN TOTAL'!AJ482</f>
        <v>0</v>
      </c>
      <c r="AD394" s="70">
        <f>'RESUMEN TOTAL'!AK482</f>
        <v>0</v>
      </c>
      <c r="AE394" s="70">
        <f>'RESUMEN TOTAL'!AL482</f>
        <v>0</v>
      </c>
      <c r="AF394" s="70">
        <f>'RESUMEN TOTAL'!AM482</f>
        <v>0</v>
      </c>
      <c r="AG394" s="70">
        <f>'RESUMEN TOTAL'!AN482</f>
        <v>0</v>
      </c>
      <c r="AH394" s="70">
        <f>'RESUMEN TOTAL'!AO482</f>
        <v>0</v>
      </c>
      <c r="AI394" s="70">
        <f>'RESUMEN TOTAL'!AP482</f>
        <v>0</v>
      </c>
    </row>
    <row r="395" spans="1:35" x14ac:dyDescent="0.25">
      <c r="A395" t="str">
        <f>'RESUMEN TOTAL'!A483</f>
        <v>VILLA VATTEONE CENTRO</v>
      </c>
      <c r="B395" t="str">
        <f>'RESUMEN TOTAL'!B483</f>
        <v>VAT05</v>
      </c>
      <c r="C395" t="str">
        <f>'RESUMEN TOTAL'!D483</f>
        <v>Lavalle y Colombia</v>
      </c>
      <c r="D395" s="30" t="str">
        <f>'RESUMEN TOTAL'!E483</f>
        <v>Domo</v>
      </c>
      <c r="E395" s="30" t="str">
        <f>'RESUMEN TOTAL'!F483</f>
        <v>GPON</v>
      </c>
      <c r="F395" s="70">
        <f>'RESUMEN TOTAL'!M483</f>
        <v>0</v>
      </c>
      <c r="G395" s="70">
        <f>'RESUMEN TOTAL'!N483</f>
        <v>0</v>
      </c>
      <c r="H395" s="70">
        <f>'RESUMEN TOTAL'!O483</f>
        <v>0</v>
      </c>
      <c r="I395" s="70">
        <f>'RESUMEN TOTAL'!P483</f>
        <v>0</v>
      </c>
      <c r="J395" s="70">
        <f>'RESUMEN TOTAL'!Q483</f>
        <v>0</v>
      </c>
      <c r="K395" s="70">
        <f>'RESUMEN TOTAL'!R483</f>
        <v>0</v>
      </c>
      <c r="L395" s="70">
        <f>'RESUMEN TOTAL'!S483</f>
        <v>0</v>
      </c>
      <c r="M395" s="70">
        <f>'RESUMEN TOTAL'!T483</f>
        <v>0</v>
      </c>
      <c r="N395" s="70">
        <f>'RESUMEN TOTAL'!U483</f>
        <v>0</v>
      </c>
      <c r="O395" s="70">
        <f>'RESUMEN TOTAL'!V483</f>
        <v>0</v>
      </c>
      <c r="P395" s="70">
        <f>'RESUMEN TOTAL'!W483</f>
        <v>0</v>
      </c>
      <c r="Q395" s="70">
        <f>'RESUMEN TOTAL'!X483</f>
        <v>0</v>
      </c>
      <c r="R395" s="70">
        <f>'RESUMEN TOTAL'!Y483</f>
        <v>0</v>
      </c>
      <c r="S395" s="70">
        <f>'RESUMEN TOTAL'!Z483</f>
        <v>0</v>
      </c>
      <c r="T395" s="70">
        <f>'RESUMEN TOTAL'!AA483</f>
        <v>0</v>
      </c>
      <c r="U395" s="70">
        <f>'RESUMEN TOTAL'!AB483</f>
        <v>0</v>
      </c>
      <c r="V395" s="70">
        <f>'RESUMEN TOTAL'!AC483</f>
        <v>0</v>
      </c>
      <c r="W395" s="70">
        <f>'RESUMEN TOTAL'!AD483</f>
        <v>0</v>
      </c>
      <c r="X395" s="70">
        <f>'RESUMEN TOTAL'!AE483</f>
        <v>0</v>
      </c>
      <c r="Y395" s="70">
        <f>'RESUMEN TOTAL'!AF483</f>
        <v>0</v>
      </c>
      <c r="Z395" s="70">
        <f>'RESUMEN TOTAL'!AG483</f>
        <v>0</v>
      </c>
      <c r="AA395" s="70">
        <f>'RESUMEN TOTAL'!AH483</f>
        <v>0</v>
      </c>
      <c r="AB395" s="70">
        <f>'RESUMEN TOTAL'!AI483</f>
        <v>0</v>
      </c>
      <c r="AC395" s="70">
        <f>'RESUMEN TOTAL'!AJ483</f>
        <v>0</v>
      </c>
      <c r="AD395" s="70">
        <f>'RESUMEN TOTAL'!AK483</f>
        <v>0</v>
      </c>
      <c r="AE395" s="70">
        <f>'RESUMEN TOTAL'!AL483</f>
        <v>0</v>
      </c>
      <c r="AF395" s="70">
        <f>'RESUMEN TOTAL'!AM483</f>
        <v>0</v>
      </c>
      <c r="AG395" s="70">
        <f>'RESUMEN TOTAL'!AN483</f>
        <v>0</v>
      </c>
      <c r="AH395" s="70">
        <f>'RESUMEN TOTAL'!AO483</f>
        <v>0</v>
      </c>
      <c r="AI395" s="70">
        <f>'RESUMEN TOTAL'!AP483</f>
        <v>0</v>
      </c>
    </row>
    <row r="396" spans="1:35" x14ac:dyDescent="0.25">
      <c r="A396" t="str">
        <f>'RESUMEN TOTAL'!A484</f>
        <v>VILLA VATTEONE CENTRO</v>
      </c>
      <c r="B396" t="str">
        <f>'RESUMEN TOTAL'!B484</f>
        <v>VAT06</v>
      </c>
      <c r="C396" t="str">
        <f>'RESUMEN TOTAL'!D484</f>
        <v>Eva Peron y Pueyrredon</v>
      </c>
      <c r="D396" s="30" t="str">
        <f>'RESUMEN TOTAL'!E484</f>
        <v>Domo</v>
      </c>
      <c r="E396" s="30" t="str">
        <f>'RESUMEN TOTAL'!F484</f>
        <v>Fibra Optica</v>
      </c>
      <c r="F396" s="70">
        <f>'RESUMEN TOTAL'!M484</f>
        <v>0</v>
      </c>
      <c r="G396" s="70">
        <f>'RESUMEN TOTAL'!N484</f>
        <v>0</v>
      </c>
      <c r="H396" s="70">
        <f>'RESUMEN TOTAL'!O484</f>
        <v>0</v>
      </c>
      <c r="I396" s="70">
        <f>'RESUMEN TOTAL'!P484</f>
        <v>0</v>
      </c>
      <c r="J396" s="70">
        <f>'RESUMEN TOTAL'!Q484</f>
        <v>0</v>
      </c>
      <c r="K396" s="70">
        <f>'RESUMEN TOTAL'!R484</f>
        <v>0</v>
      </c>
      <c r="L396" s="70">
        <f>'RESUMEN TOTAL'!S484</f>
        <v>0</v>
      </c>
      <c r="M396" s="70">
        <f>'RESUMEN TOTAL'!T484</f>
        <v>0</v>
      </c>
      <c r="N396" s="70">
        <f>'RESUMEN TOTAL'!U484</f>
        <v>0</v>
      </c>
      <c r="O396" s="70">
        <f>'RESUMEN TOTAL'!V484</f>
        <v>0</v>
      </c>
      <c r="P396" s="70">
        <f>'RESUMEN TOTAL'!W484</f>
        <v>0</v>
      </c>
      <c r="Q396" s="70">
        <f>'RESUMEN TOTAL'!X484</f>
        <v>0</v>
      </c>
      <c r="R396" s="70">
        <f>'RESUMEN TOTAL'!Y484</f>
        <v>0</v>
      </c>
      <c r="S396" s="70">
        <f>'RESUMEN TOTAL'!Z484</f>
        <v>0</v>
      </c>
      <c r="T396" s="70">
        <f>'RESUMEN TOTAL'!AA484</f>
        <v>0</v>
      </c>
      <c r="U396" s="70">
        <f>'RESUMEN TOTAL'!AB484</f>
        <v>0</v>
      </c>
      <c r="V396" s="70">
        <f>'RESUMEN TOTAL'!AC484</f>
        <v>0</v>
      </c>
      <c r="W396" s="70">
        <f>'RESUMEN TOTAL'!AD484</f>
        <v>0</v>
      </c>
      <c r="X396" s="70">
        <f>'RESUMEN TOTAL'!AE484</f>
        <v>0</v>
      </c>
      <c r="Y396" s="70">
        <f>'RESUMEN TOTAL'!AF484</f>
        <v>0</v>
      </c>
      <c r="Z396" s="70">
        <f>'RESUMEN TOTAL'!AG484</f>
        <v>0</v>
      </c>
      <c r="AA396" s="70">
        <f>'RESUMEN TOTAL'!AH484</f>
        <v>0</v>
      </c>
      <c r="AB396" s="70">
        <f>'RESUMEN TOTAL'!AI484</f>
        <v>0</v>
      </c>
      <c r="AC396" s="70">
        <f>'RESUMEN TOTAL'!AJ484</f>
        <v>0</v>
      </c>
      <c r="AD396" s="70">
        <f>'RESUMEN TOTAL'!AK484</f>
        <v>0</v>
      </c>
      <c r="AE396" s="70">
        <f>'RESUMEN TOTAL'!AL484</f>
        <v>0</v>
      </c>
      <c r="AF396" s="70">
        <f>'RESUMEN TOTAL'!AM484</f>
        <v>0</v>
      </c>
      <c r="AG396" s="70">
        <f>'RESUMEN TOTAL'!AN484</f>
        <v>0</v>
      </c>
      <c r="AH396" s="70">
        <f>'RESUMEN TOTAL'!AO484</f>
        <v>0</v>
      </c>
      <c r="AI396" s="70">
        <f>'RESUMEN TOTAL'!AP484</f>
        <v>0</v>
      </c>
    </row>
    <row r="397" spans="1:35" x14ac:dyDescent="0.25">
      <c r="A397" t="str">
        <f>'RESUMEN TOTAL'!A485</f>
        <v>VILLA VATTEONE CENTRO</v>
      </c>
      <c r="B397" t="str">
        <f>'RESUMEN TOTAL'!B485</f>
        <v>VAT07</v>
      </c>
      <c r="C397" t="str">
        <f>'RESUMEN TOTAL'!D485</f>
        <v>Eva Peron y Lavalle</v>
      </c>
      <c r="D397" s="30" t="str">
        <f>'RESUMEN TOTAL'!E485</f>
        <v>Domo</v>
      </c>
      <c r="E397" s="30" t="str">
        <f>'RESUMEN TOTAL'!F485</f>
        <v>Fibra Optica</v>
      </c>
      <c r="F397" s="70">
        <f>'RESUMEN TOTAL'!M485</f>
        <v>0</v>
      </c>
      <c r="G397" s="70">
        <f>'RESUMEN TOTAL'!N485</f>
        <v>0</v>
      </c>
      <c r="H397" s="70">
        <f>'RESUMEN TOTAL'!O485</f>
        <v>0</v>
      </c>
      <c r="I397" s="70">
        <f>'RESUMEN TOTAL'!P485</f>
        <v>0</v>
      </c>
      <c r="J397" s="70">
        <f>'RESUMEN TOTAL'!Q485</f>
        <v>0</v>
      </c>
      <c r="K397" s="70">
        <f>'RESUMEN TOTAL'!R485</f>
        <v>0</v>
      </c>
      <c r="L397" s="70">
        <f>'RESUMEN TOTAL'!S485</f>
        <v>0</v>
      </c>
      <c r="M397" s="70">
        <f>'RESUMEN TOTAL'!T485</f>
        <v>0</v>
      </c>
      <c r="N397" s="70">
        <f>'RESUMEN TOTAL'!U485</f>
        <v>0</v>
      </c>
      <c r="O397" s="70">
        <f>'RESUMEN TOTAL'!V485</f>
        <v>0</v>
      </c>
      <c r="P397" s="70">
        <f>'RESUMEN TOTAL'!W485</f>
        <v>0</v>
      </c>
      <c r="Q397" s="70">
        <f>'RESUMEN TOTAL'!X485</f>
        <v>0</v>
      </c>
      <c r="R397" s="70">
        <f>'RESUMEN TOTAL'!Y485</f>
        <v>0</v>
      </c>
      <c r="S397" s="70">
        <f>'RESUMEN TOTAL'!Z485</f>
        <v>0</v>
      </c>
      <c r="T397" s="70">
        <f>'RESUMEN TOTAL'!AA485</f>
        <v>0</v>
      </c>
      <c r="U397" s="70">
        <f>'RESUMEN TOTAL'!AB485</f>
        <v>0</v>
      </c>
      <c r="V397" s="70">
        <f>'RESUMEN TOTAL'!AC485</f>
        <v>0</v>
      </c>
      <c r="W397" s="70">
        <f>'RESUMEN TOTAL'!AD485</f>
        <v>0</v>
      </c>
      <c r="X397" s="70">
        <f>'RESUMEN TOTAL'!AE485</f>
        <v>0</v>
      </c>
      <c r="Y397" s="70">
        <f>'RESUMEN TOTAL'!AF485</f>
        <v>0</v>
      </c>
      <c r="Z397" s="70">
        <f>'RESUMEN TOTAL'!AG485</f>
        <v>0</v>
      </c>
      <c r="AA397" s="70">
        <f>'RESUMEN TOTAL'!AH485</f>
        <v>0</v>
      </c>
      <c r="AB397" s="70">
        <f>'RESUMEN TOTAL'!AI485</f>
        <v>0</v>
      </c>
      <c r="AC397" s="70">
        <f>'RESUMEN TOTAL'!AJ485</f>
        <v>0</v>
      </c>
      <c r="AD397" s="70">
        <f>'RESUMEN TOTAL'!AK485</f>
        <v>0</v>
      </c>
      <c r="AE397" s="70">
        <f>'RESUMEN TOTAL'!AL485</f>
        <v>0</v>
      </c>
      <c r="AF397" s="70">
        <f>'RESUMEN TOTAL'!AM485</f>
        <v>0</v>
      </c>
      <c r="AG397" s="70">
        <f>'RESUMEN TOTAL'!AN485</f>
        <v>0</v>
      </c>
      <c r="AH397" s="70">
        <f>'RESUMEN TOTAL'!AO485</f>
        <v>0</v>
      </c>
      <c r="AI397" s="70">
        <f>'RESUMEN TOTAL'!AP485</f>
        <v>0</v>
      </c>
    </row>
    <row r="398" spans="1:35" x14ac:dyDescent="0.25">
      <c r="A398" t="str">
        <f>'RESUMEN TOTAL'!A486</f>
        <v>VILLA VATTEONE</v>
      </c>
      <c r="B398" t="str">
        <f>'RESUMEN TOTAL'!B486</f>
        <v>VAT08</v>
      </c>
      <c r="C398" t="str">
        <f>'RESUMEN TOTAL'!D486</f>
        <v>12 de Octubre y Florida</v>
      </c>
      <c r="D398" s="30" t="str">
        <f>'RESUMEN TOTAL'!E486</f>
        <v>Domo</v>
      </c>
      <c r="E398" s="30" t="str">
        <f>'RESUMEN TOTAL'!F486</f>
        <v>GPON</v>
      </c>
      <c r="F398" s="70">
        <f>'RESUMEN TOTAL'!M486</f>
        <v>0</v>
      </c>
      <c r="G398" s="70">
        <f>'RESUMEN TOTAL'!N486</f>
        <v>0</v>
      </c>
      <c r="H398" s="70">
        <f>'RESUMEN TOTAL'!O486</f>
        <v>0</v>
      </c>
      <c r="I398" s="70">
        <f>'RESUMEN TOTAL'!P486</f>
        <v>0</v>
      </c>
      <c r="J398" s="70">
        <f>'RESUMEN TOTAL'!Q486</f>
        <v>0</v>
      </c>
      <c r="K398" s="70">
        <f>'RESUMEN TOTAL'!R486</f>
        <v>0</v>
      </c>
      <c r="L398" s="70">
        <f>'RESUMEN TOTAL'!S486</f>
        <v>0</v>
      </c>
      <c r="M398" s="70">
        <f>'RESUMEN TOTAL'!T486</f>
        <v>0</v>
      </c>
      <c r="N398" s="70">
        <f>'RESUMEN TOTAL'!U486</f>
        <v>0</v>
      </c>
      <c r="O398" s="70">
        <f>'RESUMEN TOTAL'!V486</f>
        <v>0</v>
      </c>
      <c r="P398" s="70">
        <f>'RESUMEN TOTAL'!W486</f>
        <v>0</v>
      </c>
      <c r="Q398" s="70">
        <f>'RESUMEN TOTAL'!X486</f>
        <v>0</v>
      </c>
      <c r="R398" s="70">
        <f>'RESUMEN TOTAL'!Y486</f>
        <v>0</v>
      </c>
      <c r="S398" s="70">
        <f>'RESUMEN TOTAL'!Z486</f>
        <v>0</v>
      </c>
      <c r="T398" s="70">
        <f>'RESUMEN TOTAL'!AA486</f>
        <v>0</v>
      </c>
      <c r="U398" s="70">
        <f>'RESUMEN TOTAL'!AB486</f>
        <v>0</v>
      </c>
      <c r="V398" s="70">
        <f>'RESUMEN TOTAL'!AC486</f>
        <v>0</v>
      </c>
      <c r="W398" s="70">
        <f>'RESUMEN TOTAL'!AD486</f>
        <v>0</v>
      </c>
      <c r="X398" s="70">
        <f>'RESUMEN TOTAL'!AE486</f>
        <v>0</v>
      </c>
      <c r="Y398" s="70">
        <f>'RESUMEN TOTAL'!AF486</f>
        <v>0</v>
      </c>
      <c r="Z398" s="70">
        <f>'RESUMEN TOTAL'!AG486</f>
        <v>0</v>
      </c>
      <c r="AA398" s="70">
        <f>'RESUMEN TOTAL'!AH486</f>
        <v>0</v>
      </c>
      <c r="AB398" s="70">
        <f>'RESUMEN TOTAL'!AI486</f>
        <v>0</v>
      </c>
      <c r="AC398" s="70">
        <f>'RESUMEN TOTAL'!AJ486</f>
        <v>0</v>
      </c>
      <c r="AD398" s="70">
        <f>'RESUMEN TOTAL'!AK486</f>
        <v>0</v>
      </c>
      <c r="AE398" s="70">
        <f>'RESUMEN TOTAL'!AL486</f>
        <v>0</v>
      </c>
      <c r="AF398" s="70">
        <f>'RESUMEN TOTAL'!AM486</f>
        <v>0</v>
      </c>
      <c r="AG398" s="70">
        <f>'RESUMEN TOTAL'!AN486</f>
        <v>0</v>
      </c>
      <c r="AH398" s="70">
        <f>'RESUMEN TOTAL'!AO486</f>
        <v>0</v>
      </c>
      <c r="AI398" s="70">
        <f>'RESUMEN TOTAL'!AP486</f>
        <v>0</v>
      </c>
    </row>
    <row r="399" spans="1:35" x14ac:dyDescent="0.25">
      <c r="A399" t="str">
        <f>'RESUMEN TOTAL'!A487</f>
        <v>VILLA VATTEONE</v>
      </c>
      <c r="B399" t="str">
        <f>'RESUMEN TOTAL'!B487</f>
        <v>VAT09</v>
      </c>
      <c r="C399" t="str">
        <f>'RESUMEN TOTAL'!D487</f>
        <v>Montevideo y Alsina</v>
      </c>
      <c r="D399" s="30" t="str">
        <f>'RESUMEN TOTAL'!E487</f>
        <v>Domo</v>
      </c>
      <c r="E399" s="30" t="str">
        <f>'RESUMEN TOTAL'!F487</f>
        <v>Fibra Optica</v>
      </c>
      <c r="F399" s="70">
        <f>'RESUMEN TOTAL'!M487</f>
        <v>0</v>
      </c>
      <c r="G399" s="70">
        <f>'RESUMEN TOTAL'!N487</f>
        <v>0</v>
      </c>
      <c r="H399" s="70">
        <f>'RESUMEN TOTAL'!O487</f>
        <v>0</v>
      </c>
      <c r="I399" s="70">
        <f>'RESUMEN TOTAL'!P487</f>
        <v>0</v>
      </c>
      <c r="J399" s="70">
        <f>'RESUMEN TOTAL'!Q487</f>
        <v>0</v>
      </c>
      <c r="K399" s="70">
        <f>'RESUMEN TOTAL'!R487</f>
        <v>0</v>
      </c>
      <c r="L399" s="70">
        <f>'RESUMEN TOTAL'!S487</f>
        <v>0</v>
      </c>
      <c r="M399" s="70">
        <f>'RESUMEN TOTAL'!T487</f>
        <v>0</v>
      </c>
      <c r="N399" s="70">
        <f>'RESUMEN TOTAL'!U487</f>
        <v>0</v>
      </c>
      <c r="O399" s="70">
        <f>'RESUMEN TOTAL'!V487</f>
        <v>0</v>
      </c>
      <c r="P399" s="70">
        <f>'RESUMEN TOTAL'!W487</f>
        <v>0</v>
      </c>
      <c r="Q399" s="70">
        <f>'RESUMEN TOTAL'!X487</f>
        <v>0</v>
      </c>
      <c r="R399" s="70">
        <f>'RESUMEN TOTAL'!Y487</f>
        <v>0</v>
      </c>
      <c r="S399" s="70">
        <f>'RESUMEN TOTAL'!Z487</f>
        <v>0</v>
      </c>
      <c r="T399" s="70">
        <f>'RESUMEN TOTAL'!AA487</f>
        <v>0</v>
      </c>
      <c r="U399" s="70">
        <f>'RESUMEN TOTAL'!AB487</f>
        <v>0</v>
      </c>
      <c r="V399" s="70">
        <f>'RESUMEN TOTAL'!AC487</f>
        <v>0</v>
      </c>
      <c r="W399" s="70">
        <f>'RESUMEN TOTAL'!AD487</f>
        <v>0</v>
      </c>
      <c r="X399" s="70">
        <f>'RESUMEN TOTAL'!AE487</f>
        <v>0</v>
      </c>
      <c r="Y399" s="70">
        <f>'RESUMEN TOTAL'!AF487</f>
        <v>0</v>
      </c>
      <c r="Z399" s="70">
        <f>'RESUMEN TOTAL'!AG487</f>
        <v>0</v>
      </c>
      <c r="AA399" s="70">
        <f>'RESUMEN TOTAL'!AH487</f>
        <v>0</v>
      </c>
      <c r="AB399" s="70">
        <f>'RESUMEN TOTAL'!AI487</f>
        <v>0</v>
      </c>
      <c r="AC399" s="70">
        <f>'RESUMEN TOTAL'!AJ487</f>
        <v>0</v>
      </c>
      <c r="AD399" s="70">
        <f>'RESUMEN TOTAL'!AK487</f>
        <v>0</v>
      </c>
      <c r="AE399" s="70">
        <f>'RESUMEN TOTAL'!AL487</f>
        <v>0</v>
      </c>
      <c r="AF399" s="70">
        <f>'RESUMEN TOTAL'!AM487</f>
        <v>0</v>
      </c>
      <c r="AG399" s="70">
        <f>'RESUMEN TOTAL'!AN487</f>
        <v>0</v>
      </c>
      <c r="AH399" s="70">
        <f>'RESUMEN TOTAL'!AO487</f>
        <v>0</v>
      </c>
      <c r="AI399" s="70">
        <f>'RESUMEN TOTAL'!AP487</f>
        <v>0</v>
      </c>
    </row>
    <row r="400" spans="1:35" x14ac:dyDescent="0.25">
      <c r="A400" t="str">
        <f>'RESUMEN TOTAL'!A488</f>
        <v>VILLA VATTEONE CENTRO</v>
      </c>
      <c r="B400" t="str">
        <f>'RESUMEN TOTAL'!B488</f>
        <v>VAT 10</v>
      </c>
      <c r="C400" t="str">
        <f>'RESUMEN TOTAL'!D488</f>
        <v>Belgrano y Quintana</v>
      </c>
      <c r="D400" s="30" t="str">
        <f>'RESUMEN TOTAL'!E488</f>
        <v>Domo</v>
      </c>
      <c r="E400" s="30" t="str">
        <f>'RESUMEN TOTAL'!F488</f>
        <v>Fibra Optica</v>
      </c>
      <c r="F400" s="70">
        <f>'RESUMEN TOTAL'!M488</f>
        <v>0</v>
      </c>
      <c r="G400" s="70">
        <f>'RESUMEN TOTAL'!N488</f>
        <v>0</v>
      </c>
      <c r="H400" s="70">
        <f>'RESUMEN TOTAL'!O488</f>
        <v>0</v>
      </c>
      <c r="I400" s="70">
        <f>'RESUMEN TOTAL'!P488</f>
        <v>0</v>
      </c>
      <c r="J400" s="70">
        <f>'RESUMEN TOTAL'!Q488</f>
        <v>0</v>
      </c>
      <c r="K400" s="70">
        <f>'RESUMEN TOTAL'!R488</f>
        <v>0</v>
      </c>
      <c r="L400" s="70">
        <f>'RESUMEN TOTAL'!S488</f>
        <v>0</v>
      </c>
      <c r="M400" s="70">
        <f>'RESUMEN TOTAL'!T488</f>
        <v>0</v>
      </c>
      <c r="N400" s="70">
        <f>'RESUMEN TOTAL'!U488</f>
        <v>0</v>
      </c>
      <c r="O400" s="70">
        <f>'RESUMEN TOTAL'!V488</f>
        <v>0</v>
      </c>
      <c r="P400" s="70">
        <f>'RESUMEN TOTAL'!W488</f>
        <v>0</v>
      </c>
      <c r="Q400" s="70">
        <f>'RESUMEN TOTAL'!X488</f>
        <v>0</v>
      </c>
      <c r="R400" s="70">
        <f>'RESUMEN TOTAL'!Y488</f>
        <v>0</v>
      </c>
      <c r="S400" s="70">
        <f>'RESUMEN TOTAL'!Z488</f>
        <v>0</v>
      </c>
      <c r="T400" s="70">
        <f>'RESUMEN TOTAL'!AA488</f>
        <v>0</v>
      </c>
      <c r="U400" s="70">
        <f>'RESUMEN TOTAL'!AB488</f>
        <v>0</v>
      </c>
      <c r="V400" s="70">
        <f>'RESUMEN TOTAL'!AC488</f>
        <v>0</v>
      </c>
      <c r="W400" s="70">
        <f>'RESUMEN TOTAL'!AD488</f>
        <v>0</v>
      </c>
      <c r="X400" s="70">
        <f>'RESUMEN TOTAL'!AE488</f>
        <v>0</v>
      </c>
      <c r="Y400" s="70">
        <f>'RESUMEN TOTAL'!AF488</f>
        <v>0</v>
      </c>
      <c r="Z400" s="70">
        <f>'RESUMEN TOTAL'!AG488</f>
        <v>0</v>
      </c>
      <c r="AA400" s="70">
        <f>'RESUMEN TOTAL'!AH488</f>
        <v>0</v>
      </c>
      <c r="AB400" s="70">
        <f>'RESUMEN TOTAL'!AI488</f>
        <v>0</v>
      </c>
      <c r="AC400" s="70">
        <f>'RESUMEN TOTAL'!AJ488</f>
        <v>0</v>
      </c>
      <c r="AD400" s="70">
        <f>'RESUMEN TOTAL'!AK488</f>
        <v>0</v>
      </c>
      <c r="AE400" s="70">
        <f>'RESUMEN TOTAL'!AL488</f>
        <v>0</v>
      </c>
      <c r="AF400" s="70">
        <f>'RESUMEN TOTAL'!AM488</f>
        <v>0</v>
      </c>
      <c r="AG400" s="70">
        <f>'RESUMEN TOTAL'!AN488</f>
        <v>0</v>
      </c>
      <c r="AH400" s="70">
        <f>'RESUMEN TOTAL'!AO488</f>
        <v>0</v>
      </c>
      <c r="AI400" s="70">
        <f>'RESUMEN TOTAL'!AP488</f>
        <v>0</v>
      </c>
    </row>
    <row r="401" spans="1:35" x14ac:dyDescent="0.25">
      <c r="A401" t="str">
        <f>'RESUMEN TOTAL'!A489</f>
        <v>VILLA VATTEONE</v>
      </c>
      <c r="B401" t="str">
        <f>'RESUMEN TOTAL'!B489</f>
        <v>VAT11</v>
      </c>
      <c r="C401" t="str">
        <f>'RESUMEN TOTAL'!D489</f>
        <v>Mainini y Montevideo</v>
      </c>
      <c r="D401" s="30" t="str">
        <f>'RESUMEN TOTAL'!E489</f>
        <v>Domo</v>
      </c>
      <c r="E401" s="30" t="str">
        <f>'RESUMEN TOTAL'!F489</f>
        <v>GPON</v>
      </c>
      <c r="F401" s="70">
        <f>'RESUMEN TOTAL'!M489</f>
        <v>0</v>
      </c>
      <c r="G401" s="70">
        <f>'RESUMEN TOTAL'!N489</f>
        <v>0</v>
      </c>
      <c r="H401" s="70">
        <f>'RESUMEN TOTAL'!O489</f>
        <v>0</v>
      </c>
      <c r="I401" s="70">
        <f>'RESUMEN TOTAL'!P489</f>
        <v>0</v>
      </c>
      <c r="J401" s="70">
        <f>'RESUMEN TOTAL'!Q489</f>
        <v>0</v>
      </c>
      <c r="K401" s="70">
        <f>'RESUMEN TOTAL'!R489</f>
        <v>0</v>
      </c>
      <c r="L401" s="70">
        <f>'RESUMEN TOTAL'!S489</f>
        <v>0</v>
      </c>
      <c r="M401" s="70">
        <f>'RESUMEN TOTAL'!T489</f>
        <v>0</v>
      </c>
      <c r="N401" s="70">
        <f>'RESUMEN TOTAL'!U489</f>
        <v>0</v>
      </c>
      <c r="O401" s="70" t="str">
        <f>'RESUMEN TOTAL'!V489</f>
        <v>APAGADO</v>
      </c>
      <c r="P401" s="70" t="str">
        <f>'RESUMEN TOTAL'!W489</f>
        <v>APAGADO</v>
      </c>
      <c r="Q401" s="70" t="str">
        <f>'RESUMEN TOTAL'!X489</f>
        <v>APAGADO</v>
      </c>
      <c r="R401" s="70" t="str">
        <f>'RESUMEN TOTAL'!Y489</f>
        <v>APAGADO</v>
      </c>
      <c r="S401" s="70" t="str">
        <f>'RESUMEN TOTAL'!Z489</f>
        <v>APAGADO</v>
      </c>
      <c r="T401" s="70" t="str">
        <f>'RESUMEN TOTAL'!AA489</f>
        <v>APAGADO</v>
      </c>
      <c r="U401" s="70">
        <f>'RESUMEN TOTAL'!AB489</f>
        <v>0</v>
      </c>
      <c r="V401" s="70">
        <f>'RESUMEN TOTAL'!AC489</f>
        <v>0</v>
      </c>
      <c r="W401" s="70">
        <f>'RESUMEN TOTAL'!AD489</f>
        <v>0</v>
      </c>
      <c r="X401" s="70">
        <f>'RESUMEN TOTAL'!AE489</f>
        <v>0</v>
      </c>
      <c r="Y401" s="70">
        <f>'RESUMEN TOTAL'!AF489</f>
        <v>0</v>
      </c>
      <c r="Z401" s="70">
        <f>'RESUMEN TOTAL'!AG489</f>
        <v>0</v>
      </c>
      <c r="AA401" s="70">
        <f>'RESUMEN TOTAL'!AH489</f>
        <v>0</v>
      </c>
      <c r="AB401" s="70">
        <f>'RESUMEN TOTAL'!AI489</f>
        <v>0</v>
      </c>
      <c r="AC401" s="70">
        <f>'RESUMEN TOTAL'!AJ489</f>
        <v>0</v>
      </c>
      <c r="AD401" s="70">
        <f>'RESUMEN TOTAL'!AK489</f>
        <v>0</v>
      </c>
      <c r="AE401" s="70">
        <f>'RESUMEN TOTAL'!AL489</f>
        <v>0</v>
      </c>
      <c r="AF401" s="70">
        <f>'RESUMEN TOTAL'!AM489</f>
        <v>0</v>
      </c>
      <c r="AG401" s="70">
        <f>'RESUMEN TOTAL'!AN489</f>
        <v>0</v>
      </c>
      <c r="AH401" s="70">
        <f>'RESUMEN TOTAL'!AO489</f>
        <v>0</v>
      </c>
      <c r="AI401" s="70">
        <f>'RESUMEN TOTAL'!AP489</f>
        <v>0</v>
      </c>
    </row>
    <row r="402" spans="1:35" x14ac:dyDescent="0.25">
      <c r="A402" t="str">
        <f>'RESUMEN TOTAL'!A490</f>
        <v>VILLA VATTEONE</v>
      </c>
      <c r="B402" t="str">
        <f>'RESUMEN TOTAL'!B490</f>
        <v>VAT12</v>
      </c>
      <c r="C402" t="str">
        <f>'RESUMEN TOTAL'!D490</f>
        <v>12 DE OCTUBRE Y CHACO</v>
      </c>
      <c r="D402" s="30" t="str">
        <f>'RESUMEN TOTAL'!E490</f>
        <v>DOMO</v>
      </c>
      <c r="E402" s="30" t="str">
        <f>'RESUMEN TOTAL'!F490</f>
        <v>PTO A FO</v>
      </c>
      <c r="F402" s="70">
        <f>'RESUMEN TOTAL'!M490</f>
        <v>0</v>
      </c>
      <c r="G402" s="70">
        <f>'RESUMEN TOTAL'!N490</f>
        <v>0</v>
      </c>
      <c r="H402" s="70">
        <f>'RESUMEN TOTAL'!O490</f>
        <v>0</v>
      </c>
      <c r="I402" s="70">
        <f>'RESUMEN TOTAL'!P490</f>
        <v>0</v>
      </c>
      <c r="J402" s="70" t="str">
        <f>'RESUMEN TOTAL'!Q490</f>
        <v>APAGADO</v>
      </c>
      <c r="K402" s="70" t="str">
        <f>'RESUMEN TOTAL'!R490</f>
        <v>APAGADO</v>
      </c>
      <c r="L402" s="70" t="str">
        <f>'RESUMEN TOTAL'!S490</f>
        <v>APAGADO</v>
      </c>
      <c r="M402" s="70" t="str">
        <f>'RESUMEN TOTAL'!T490</f>
        <v>APAGADO</v>
      </c>
      <c r="N402" s="70" t="str">
        <f>'RESUMEN TOTAL'!U490</f>
        <v>APAGADO</v>
      </c>
      <c r="O402" s="70" t="str">
        <f>'RESUMEN TOTAL'!V490</f>
        <v>APAGADO</v>
      </c>
      <c r="P402" s="70" t="str">
        <f>'RESUMEN TOTAL'!W490</f>
        <v>APAGADO</v>
      </c>
      <c r="Q402" s="70" t="str">
        <f>'RESUMEN TOTAL'!X490</f>
        <v>APAGADO</v>
      </c>
      <c r="R402" s="70" t="str">
        <f>'RESUMEN TOTAL'!Y490</f>
        <v>APAGADO</v>
      </c>
      <c r="S402" s="70" t="str">
        <f>'RESUMEN TOTAL'!Z490</f>
        <v>APAGADO</v>
      </c>
      <c r="T402" s="70" t="str">
        <f>'RESUMEN TOTAL'!AA490</f>
        <v>APAGADO</v>
      </c>
      <c r="U402" s="70" t="str">
        <f>'RESUMEN TOTAL'!AB490</f>
        <v>APAGADO</v>
      </c>
      <c r="V402" s="70" t="str">
        <f>'RESUMEN TOTAL'!AC490</f>
        <v>APAGADO</v>
      </c>
      <c r="W402" s="70" t="str">
        <f>'RESUMEN TOTAL'!AD490</f>
        <v>APAGADO</v>
      </c>
      <c r="X402" s="70" t="str">
        <f>'RESUMEN TOTAL'!AE490</f>
        <v>APAGADO</v>
      </c>
      <c r="Y402" s="70" t="str">
        <f>'RESUMEN TOTAL'!AF490</f>
        <v>APAGADO</v>
      </c>
      <c r="Z402" s="70" t="str">
        <f>'RESUMEN TOTAL'!AG490</f>
        <v>APAGADO</v>
      </c>
      <c r="AA402" s="70" t="str">
        <f>'RESUMEN TOTAL'!AH490</f>
        <v>APAGADO</v>
      </c>
      <c r="AB402" s="70" t="str">
        <f>'RESUMEN TOTAL'!AI490</f>
        <v>APAGADO</v>
      </c>
      <c r="AC402" s="70" t="str">
        <f>'RESUMEN TOTAL'!AJ490</f>
        <v>APAGADO</v>
      </c>
      <c r="AD402" s="70" t="str">
        <f>'RESUMEN TOTAL'!AK490</f>
        <v>APAGADO</v>
      </c>
      <c r="AE402" s="70" t="str">
        <f>'RESUMEN TOTAL'!AL490</f>
        <v>APAGADO</v>
      </c>
      <c r="AF402" s="70">
        <f>'RESUMEN TOTAL'!AM490</f>
        <v>0</v>
      </c>
      <c r="AG402" s="70">
        <f>'RESUMEN TOTAL'!AN490</f>
        <v>0</v>
      </c>
      <c r="AH402" s="70">
        <f>'RESUMEN TOTAL'!AO490</f>
        <v>0</v>
      </c>
      <c r="AI402" s="70">
        <f>'RESUMEN TOTAL'!AP490</f>
        <v>0</v>
      </c>
    </row>
    <row r="403" spans="1:35" x14ac:dyDescent="0.25">
      <c r="A403" t="str">
        <f>'RESUMEN TOTAL'!A491</f>
        <v>VILLA VATTEONE CENTRO</v>
      </c>
      <c r="B403" t="str">
        <f>'RESUMEN TOTAL'!B491</f>
        <v>VAT13</v>
      </c>
      <c r="C403" t="str">
        <f>'RESUMEN TOTAL'!D491</f>
        <v>Av.12 de Octubre y Belgrano</v>
      </c>
      <c r="D403" s="30" t="str">
        <f>'RESUMEN TOTAL'!E491</f>
        <v>Domo</v>
      </c>
      <c r="E403" s="30" t="str">
        <f>'RESUMEN TOTAL'!F491</f>
        <v>Fibra Optica</v>
      </c>
      <c r="F403" s="70">
        <f>'RESUMEN TOTAL'!M491</f>
        <v>0</v>
      </c>
      <c r="G403" s="70">
        <f>'RESUMEN TOTAL'!N491</f>
        <v>0</v>
      </c>
      <c r="H403" s="70">
        <f>'RESUMEN TOTAL'!O491</f>
        <v>0</v>
      </c>
      <c r="I403" s="70">
        <f>'RESUMEN TOTAL'!P491</f>
        <v>0</v>
      </c>
      <c r="J403" s="70">
        <f>'RESUMEN TOTAL'!Q491</f>
        <v>0</v>
      </c>
      <c r="K403" s="70">
        <f>'RESUMEN TOTAL'!R491</f>
        <v>0</v>
      </c>
      <c r="L403" s="70">
        <f>'RESUMEN TOTAL'!S491</f>
        <v>0</v>
      </c>
      <c r="M403" s="70">
        <f>'RESUMEN TOTAL'!T491</f>
        <v>0</v>
      </c>
      <c r="N403" s="70">
        <f>'RESUMEN TOTAL'!U491</f>
        <v>0</v>
      </c>
      <c r="O403" s="70" t="str">
        <f>'RESUMEN TOTAL'!V491</f>
        <v>APAGADO</v>
      </c>
      <c r="P403" s="70" t="str">
        <f>'RESUMEN TOTAL'!W491</f>
        <v>APAGADO</v>
      </c>
      <c r="Q403" s="70" t="str">
        <f>'RESUMEN TOTAL'!X491</f>
        <v>APAGADO</v>
      </c>
      <c r="R403" s="70" t="str">
        <f>'RESUMEN TOTAL'!Y491</f>
        <v>APAGADO</v>
      </c>
      <c r="S403" s="70" t="str">
        <f>'RESUMEN TOTAL'!Z491</f>
        <v>APAGADO</v>
      </c>
      <c r="T403" s="70" t="str">
        <f>'RESUMEN TOTAL'!AA491</f>
        <v>APAGADO</v>
      </c>
      <c r="U403" s="70" t="str">
        <f>'RESUMEN TOTAL'!AB491</f>
        <v>APAGADO</v>
      </c>
      <c r="V403" s="70" t="str">
        <f>'RESUMEN TOTAL'!AC491</f>
        <v>APAGADO</v>
      </c>
      <c r="W403" s="70" t="str">
        <f>'RESUMEN TOTAL'!AD491</f>
        <v>APAGADO</v>
      </c>
      <c r="X403" s="70" t="str">
        <f>'RESUMEN TOTAL'!AE491</f>
        <v>APAGADO</v>
      </c>
      <c r="Y403" s="70" t="str">
        <f>'RESUMEN TOTAL'!AF491</f>
        <v>APAGADO</v>
      </c>
      <c r="Z403" s="70" t="str">
        <f>'RESUMEN TOTAL'!AG491</f>
        <v>APAGADO</v>
      </c>
      <c r="AA403" s="70" t="str">
        <f>'RESUMEN TOTAL'!AH491</f>
        <v>APAGADO</v>
      </c>
      <c r="AB403" s="70" t="str">
        <f>'RESUMEN TOTAL'!AI491</f>
        <v>APAGADO</v>
      </c>
      <c r="AC403" s="70" t="str">
        <f>'RESUMEN TOTAL'!AJ491</f>
        <v>APAGADO</v>
      </c>
      <c r="AD403" s="70" t="str">
        <f>'RESUMEN TOTAL'!AK491</f>
        <v>APAGADO</v>
      </c>
      <c r="AE403" s="70" t="str">
        <f>'RESUMEN TOTAL'!AL491</f>
        <v>APAGADO</v>
      </c>
      <c r="AF403" s="70">
        <f>'RESUMEN TOTAL'!AM491</f>
        <v>0</v>
      </c>
      <c r="AG403" s="70">
        <f>'RESUMEN TOTAL'!AN491</f>
        <v>0</v>
      </c>
      <c r="AH403" s="70">
        <f>'RESUMEN TOTAL'!AO491</f>
        <v>0</v>
      </c>
      <c r="AI403" s="70">
        <f>'RESUMEN TOTAL'!AP491</f>
        <v>0</v>
      </c>
    </row>
    <row r="404" spans="1:35" x14ac:dyDescent="0.25">
      <c r="A404" t="str">
        <f>'RESUMEN TOTAL'!A492</f>
        <v>VILLA VATTEONE</v>
      </c>
      <c r="B404" t="str">
        <f>'RESUMEN TOTAL'!B492</f>
        <v>VAT 14</v>
      </c>
      <c r="C404" t="str">
        <f>'RESUMEN TOTAL'!D492</f>
        <v>FLORIDA Y MONTEVIDEO</v>
      </c>
      <c r="D404" s="30" t="str">
        <f>'RESUMEN TOTAL'!E492</f>
        <v>DOMO</v>
      </c>
      <c r="E404" s="30" t="str">
        <f>'RESUMEN TOTAL'!F492</f>
        <v>Fibra Optica</v>
      </c>
      <c r="F404" s="70">
        <f>'RESUMEN TOTAL'!M492</f>
        <v>0</v>
      </c>
      <c r="G404" s="70">
        <f>'RESUMEN TOTAL'!N492</f>
        <v>0</v>
      </c>
      <c r="H404" s="70">
        <f>'RESUMEN TOTAL'!O492</f>
        <v>0</v>
      </c>
      <c r="I404" s="70">
        <f>'RESUMEN TOTAL'!P492</f>
        <v>0</v>
      </c>
      <c r="J404" s="70">
        <f>'RESUMEN TOTAL'!Q492</f>
        <v>0</v>
      </c>
      <c r="K404" s="70">
        <f>'RESUMEN TOTAL'!R492</f>
        <v>0</v>
      </c>
      <c r="L404" s="70">
        <f>'RESUMEN TOTAL'!S492</f>
        <v>0</v>
      </c>
      <c r="M404" s="70">
        <f>'RESUMEN TOTAL'!T492</f>
        <v>0</v>
      </c>
      <c r="N404" s="70">
        <f>'RESUMEN TOTAL'!U492</f>
        <v>0</v>
      </c>
      <c r="O404" s="70" t="str">
        <f>'RESUMEN TOTAL'!V492</f>
        <v>APAGADO</v>
      </c>
      <c r="P404" s="70" t="str">
        <f>'RESUMEN TOTAL'!W492</f>
        <v>APAGADO</v>
      </c>
      <c r="Q404" s="70" t="str">
        <f>'RESUMEN TOTAL'!X492</f>
        <v>APAGADO</v>
      </c>
      <c r="R404" s="70" t="str">
        <f>'RESUMEN TOTAL'!Y492</f>
        <v>APAGADO</v>
      </c>
      <c r="S404" s="70" t="str">
        <f>'RESUMEN TOTAL'!Z492</f>
        <v>APAGADO</v>
      </c>
      <c r="T404" s="70" t="str">
        <f>'RESUMEN TOTAL'!AA492</f>
        <v>APAGADO</v>
      </c>
      <c r="U404" s="70">
        <f>'RESUMEN TOTAL'!AB492</f>
        <v>0</v>
      </c>
      <c r="V404" s="70">
        <f>'RESUMEN TOTAL'!AC492</f>
        <v>0</v>
      </c>
      <c r="W404" s="70">
        <f>'RESUMEN TOTAL'!AD492</f>
        <v>0</v>
      </c>
      <c r="X404" s="70">
        <f>'RESUMEN TOTAL'!AE492</f>
        <v>0</v>
      </c>
      <c r="Y404" s="70">
        <f>'RESUMEN TOTAL'!AF492</f>
        <v>0</v>
      </c>
      <c r="Z404" s="70">
        <f>'RESUMEN TOTAL'!AG492</f>
        <v>0</v>
      </c>
      <c r="AA404" s="70">
        <f>'RESUMEN TOTAL'!AH492</f>
        <v>0</v>
      </c>
      <c r="AB404" s="70">
        <f>'RESUMEN TOTAL'!AI492</f>
        <v>0</v>
      </c>
      <c r="AC404" s="70">
        <f>'RESUMEN TOTAL'!AJ492</f>
        <v>0</v>
      </c>
      <c r="AD404" s="70">
        <f>'RESUMEN TOTAL'!AK492</f>
        <v>0</v>
      </c>
      <c r="AE404" s="70">
        <f>'RESUMEN TOTAL'!AL492</f>
        <v>0</v>
      </c>
      <c r="AF404" s="70">
        <f>'RESUMEN TOTAL'!AM492</f>
        <v>0</v>
      </c>
      <c r="AG404" s="70">
        <f>'RESUMEN TOTAL'!AN492</f>
        <v>0</v>
      </c>
      <c r="AH404" s="70">
        <f>'RESUMEN TOTAL'!AO492</f>
        <v>0</v>
      </c>
      <c r="AI404" s="70">
        <f>'RESUMEN TOTAL'!AP492</f>
        <v>0</v>
      </c>
    </row>
    <row r="405" spans="1:35" x14ac:dyDescent="0.25">
      <c r="A405" t="str">
        <f>'RESUMEN TOTAL'!A493</f>
        <v>VILLA VATTEONE</v>
      </c>
      <c r="B405" t="str">
        <f>'RESUMEN TOTAL'!B493</f>
        <v>VAT 15</v>
      </c>
      <c r="C405" t="str">
        <f>'RESUMEN TOTAL'!D493</f>
        <v>CORRIENTES Y VICENTE LOPEZ</v>
      </c>
      <c r="D405" s="30" t="str">
        <f>'RESUMEN TOTAL'!E493</f>
        <v>DOMO</v>
      </c>
      <c r="E405" s="30" t="str">
        <f>'RESUMEN TOTAL'!F493</f>
        <v>PTO A FO</v>
      </c>
      <c r="F405" s="70">
        <f>'RESUMEN TOTAL'!M493</f>
        <v>0</v>
      </c>
      <c r="G405" s="70">
        <f>'RESUMEN TOTAL'!N493</f>
        <v>0</v>
      </c>
      <c r="H405" s="70">
        <f>'RESUMEN TOTAL'!O493</f>
        <v>0</v>
      </c>
      <c r="I405" s="70">
        <f>'RESUMEN TOTAL'!P493</f>
        <v>0</v>
      </c>
      <c r="J405" s="70">
        <f>'RESUMEN TOTAL'!Q493</f>
        <v>0</v>
      </c>
      <c r="K405" s="70">
        <f>'RESUMEN TOTAL'!R493</f>
        <v>0</v>
      </c>
      <c r="L405" s="70">
        <f>'RESUMEN TOTAL'!S493</f>
        <v>0</v>
      </c>
      <c r="M405" s="70">
        <f>'RESUMEN TOTAL'!T493</f>
        <v>0</v>
      </c>
      <c r="N405" s="70">
        <f>'RESUMEN TOTAL'!U493</f>
        <v>0</v>
      </c>
      <c r="O405" s="70">
        <f>'RESUMEN TOTAL'!V493</f>
        <v>0</v>
      </c>
      <c r="P405" s="70">
        <f>'RESUMEN TOTAL'!W493</f>
        <v>0</v>
      </c>
      <c r="Q405" s="70">
        <f>'RESUMEN TOTAL'!X493</f>
        <v>0</v>
      </c>
      <c r="R405" s="70">
        <f>'RESUMEN TOTAL'!Y493</f>
        <v>0</v>
      </c>
      <c r="S405" s="70">
        <f>'RESUMEN TOTAL'!Z493</f>
        <v>0</v>
      </c>
      <c r="T405" s="70">
        <f>'RESUMEN TOTAL'!AA493</f>
        <v>0</v>
      </c>
      <c r="U405" s="70">
        <f>'RESUMEN TOTAL'!AB493</f>
        <v>0</v>
      </c>
      <c r="V405" s="70">
        <f>'RESUMEN TOTAL'!AC493</f>
        <v>0</v>
      </c>
      <c r="W405" s="70">
        <f>'RESUMEN TOTAL'!AD493</f>
        <v>0</v>
      </c>
      <c r="X405" s="70">
        <f>'RESUMEN TOTAL'!AE493</f>
        <v>0</v>
      </c>
      <c r="Y405" s="70">
        <f>'RESUMEN TOTAL'!AF493</f>
        <v>0</v>
      </c>
      <c r="Z405" s="70">
        <f>'RESUMEN TOTAL'!AG493</f>
        <v>0</v>
      </c>
      <c r="AA405" s="70">
        <f>'RESUMEN TOTAL'!AH493</f>
        <v>0</v>
      </c>
      <c r="AB405" s="70">
        <f>'RESUMEN TOTAL'!AI493</f>
        <v>0</v>
      </c>
      <c r="AC405" s="70">
        <f>'RESUMEN TOTAL'!AJ493</f>
        <v>0</v>
      </c>
      <c r="AD405" s="70">
        <f>'RESUMEN TOTAL'!AK493</f>
        <v>0</v>
      </c>
      <c r="AE405" s="70">
        <f>'RESUMEN TOTAL'!AL493</f>
        <v>0</v>
      </c>
      <c r="AF405" s="70">
        <f>'RESUMEN TOTAL'!AM493</f>
        <v>0</v>
      </c>
      <c r="AG405" s="70">
        <f>'RESUMEN TOTAL'!AN493</f>
        <v>0</v>
      </c>
      <c r="AH405" s="70">
        <f>'RESUMEN TOTAL'!AO493</f>
        <v>0</v>
      </c>
      <c r="AI405" s="70">
        <f>'RESUMEN TOTAL'!AP493</f>
        <v>0</v>
      </c>
    </row>
    <row r="406" spans="1:35" x14ac:dyDescent="0.25">
      <c r="A406" t="str">
        <f>'RESUMEN TOTAL'!A494</f>
        <v>VILLA VATTEONE</v>
      </c>
      <c r="B406" t="str">
        <f>'RESUMEN TOTAL'!B494</f>
        <v>VAT 16</v>
      </c>
      <c r="C406" t="str">
        <f>'RESUMEN TOTAL'!D494</f>
        <v>MONTEVIDEO Y CHACO</v>
      </c>
      <c r="D406" s="30" t="str">
        <f>'RESUMEN TOTAL'!E494</f>
        <v>DOMO</v>
      </c>
      <c r="E406" s="30" t="str">
        <f>'RESUMEN TOTAL'!F494</f>
        <v>PTO A FO</v>
      </c>
      <c r="F406" s="70">
        <f>'RESUMEN TOTAL'!M494</f>
        <v>0</v>
      </c>
      <c r="G406" s="70">
        <f>'RESUMEN TOTAL'!N494</f>
        <v>0</v>
      </c>
      <c r="H406" s="70">
        <f>'RESUMEN TOTAL'!O494</f>
        <v>0</v>
      </c>
      <c r="I406" s="70">
        <f>'RESUMEN TOTAL'!P494</f>
        <v>0</v>
      </c>
      <c r="J406" s="70">
        <f>'RESUMEN TOTAL'!Q494</f>
        <v>0</v>
      </c>
      <c r="K406" s="70">
        <f>'RESUMEN TOTAL'!R494</f>
        <v>0</v>
      </c>
      <c r="L406" s="70">
        <f>'RESUMEN TOTAL'!S494</f>
        <v>0</v>
      </c>
      <c r="M406" s="70">
        <f>'RESUMEN TOTAL'!T494</f>
        <v>0</v>
      </c>
      <c r="N406" s="70">
        <f>'RESUMEN TOTAL'!U494</f>
        <v>0</v>
      </c>
      <c r="O406" s="70">
        <f>'RESUMEN TOTAL'!V494</f>
        <v>0</v>
      </c>
      <c r="P406" s="70">
        <f>'RESUMEN TOTAL'!W494</f>
        <v>0</v>
      </c>
      <c r="Q406" s="70">
        <f>'RESUMEN TOTAL'!X494</f>
        <v>0</v>
      </c>
      <c r="R406" s="70">
        <f>'RESUMEN TOTAL'!Y494</f>
        <v>0</v>
      </c>
      <c r="S406" s="70">
        <f>'RESUMEN TOTAL'!Z494</f>
        <v>0</v>
      </c>
      <c r="T406" s="70">
        <f>'RESUMEN TOTAL'!AA494</f>
        <v>0</v>
      </c>
      <c r="U406" s="70">
        <f>'RESUMEN TOTAL'!AB494</f>
        <v>0</v>
      </c>
      <c r="V406" s="70">
        <f>'RESUMEN TOTAL'!AC494</f>
        <v>0</v>
      </c>
      <c r="W406" s="70">
        <f>'RESUMEN TOTAL'!AD494</f>
        <v>0</v>
      </c>
      <c r="X406" s="70">
        <f>'RESUMEN TOTAL'!AE494</f>
        <v>0</v>
      </c>
      <c r="Y406" s="70">
        <f>'RESUMEN TOTAL'!AF494</f>
        <v>0</v>
      </c>
      <c r="Z406" s="70">
        <f>'RESUMEN TOTAL'!AG494</f>
        <v>0</v>
      </c>
      <c r="AA406" s="70">
        <f>'RESUMEN TOTAL'!AH494</f>
        <v>0</v>
      </c>
      <c r="AB406" s="70">
        <f>'RESUMEN TOTAL'!AI494</f>
        <v>0</v>
      </c>
      <c r="AC406" s="70">
        <f>'RESUMEN TOTAL'!AJ494</f>
        <v>0</v>
      </c>
      <c r="AD406" s="70">
        <f>'RESUMEN TOTAL'!AK494</f>
        <v>0</v>
      </c>
      <c r="AE406" s="70">
        <f>'RESUMEN TOTAL'!AL494</f>
        <v>0</v>
      </c>
      <c r="AF406" s="70">
        <f>'RESUMEN TOTAL'!AM494</f>
        <v>0</v>
      </c>
      <c r="AG406" s="70">
        <f>'RESUMEN TOTAL'!AN494</f>
        <v>0</v>
      </c>
      <c r="AH406" s="70">
        <f>'RESUMEN TOTAL'!AO494</f>
        <v>0</v>
      </c>
      <c r="AI406" s="70">
        <f>'RESUMEN TOTAL'!AP494</f>
        <v>0</v>
      </c>
    </row>
    <row r="407" spans="1:35" x14ac:dyDescent="0.25">
      <c r="A407" t="str">
        <f>'RESUMEN TOTAL'!A495</f>
        <v>VILLA VATTEONE</v>
      </c>
      <c r="B407" t="str">
        <f>'RESUMEN TOTAL'!B495</f>
        <v>VAT 17</v>
      </c>
      <c r="C407" t="str">
        <f>'RESUMEN TOTAL'!D495</f>
        <v>CHAÑAR Y URUGUAY</v>
      </c>
      <c r="D407" s="30" t="str">
        <f>'RESUMEN TOTAL'!E495</f>
        <v>DOMO</v>
      </c>
      <c r="E407" s="30" t="str">
        <f>'RESUMEN TOTAL'!F495</f>
        <v>PTO A FO</v>
      </c>
      <c r="F407" s="70">
        <f>'RESUMEN TOTAL'!M495</f>
        <v>0</v>
      </c>
      <c r="G407" s="70">
        <f>'RESUMEN TOTAL'!N495</f>
        <v>0</v>
      </c>
      <c r="H407" s="70">
        <f>'RESUMEN TOTAL'!O495</f>
        <v>0</v>
      </c>
      <c r="I407" s="70">
        <f>'RESUMEN TOTAL'!P495</f>
        <v>0</v>
      </c>
      <c r="J407" s="70">
        <f>'RESUMEN TOTAL'!Q495</f>
        <v>0</v>
      </c>
      <c r="K407" s="70">
        <f>'RESUMEN TOTAL'!R495</f>
        <v>0</v>
      </c>
      <c r="L407" s="70">
        <f>'RESUMEN TOTAL'!S495</f>
        <v>0</v>
      </c>
      <c r="M407" s="70">
        <f>'RESUMEN TOTAL'!T495</f>
        <v>0</v>
      </c>
      <c r="N407" s="70">
        <f>'RESUMEN TOTAL'!U495</f>
        <v>0</v>
      </c>
      <c r="O407" s="70" t="str">
        <f>'RESUMEN TOTAL'!V495</f>
        <v>APAGADO</v>
      </c>
      <c r="P407" s="70" t="str">
        <f>'RESUMEN TOTAL'!W495</f>
        <v>APAGADO</v>
      </c>
      <c r="Q407" s="70" t="str">
        <f>'RESUMEN TOTAL'!X495</f>
        <v>APAGADO</v>
      </c>
      <c r="R407" s="70" t="str">
        <f>'RESUMEN TOTAL'!Y495</f>
        <v>APAGADO</v>
      </c>
      <c r="S407" s="70" t="str">
        <f>'RESUMEN TOTAL'!Z495</f>
        <v>APAGADO</v>
      </c>
      <c r="T407" s="70" t="str">
        <f>'RESUMEN TOTAL'!AA495</f>
        <v>APAGADO</v>
      </c>
      <c r="U407" s="70">
        <f>'RESUMEN TOTAL'!AB495</f>
        <v>0</v>
      </c>
      <c r="V407" s="70">
        <f>'RESUMEN TOTAL'!AC495</f>
        <v>0</v>
      </c>
      <c r="W407" s="70">
        <f>'RESUMEN TOTAL'!AD495</f>
        <v>0</v>
      </c>
      <c r="X407" s="70">
        <f>'RESUMEN TOTAL'!AE495</f>
        <v>0</v>
      </c>
      <c r="Y407" s="70">
        <f>'RESUMEN TOTAL'!AF495</f>
        <v>0</v>
      </c>
      <c r="Z407" s="70">
        <f>'RESUMEN TOTAL'!AG495</f>
        <v>0</v>
      </c>
      <c r="AA407" s="70">
        <f>'RESUMEN TOTAL'!AH495</f>
        <v>0</v>
      </c>
      <c r="AB407" s="70">
        <f>'RESUMEN TOTAL'!AI495</f>
        <v>0</v>
      </c>
      <c r="AC407" s="70" t="str">
        <f>'RESUMEN TOTAL'!AJ495</f>
        <v>APAGADO</v>
      </c>
      <c r="AD407" s="70">
        <f>'RESUMEN TOTAL'!AK495</f>
        <v>0</v>
      </c>
      <c r="AE407" s="70">
        <f>'RESUMEN TOTAL'!AL495</f>
        <v>0</v>
      </c>
      <c r="AF407" s="70">
        <f>'RESUMEN TOTAL'!AM495</f>
        <v>0</v>
      </c>
      <c r="AG407" s="70">
        <f>'RESUMEN TOTAL'!AN495</f>
        <v>0</v>
      </c>
      <c r="AH407" s="70">
        <f>'RESUMEN TOTAL'!AO495</f>
        <v>0</v>
      </c>
      <c r="AI407" s="70">
        <f>'RESUMEN TOTAL'!AP495</f>
        <v>0</v>
      </c>
    </row>
    <row r="408" spans="1:35" x14ac:dyDescent="0.25">
      <c r="A408" t="str">
        <f>'RESUMEN TOTAL'!A496</f>
        <v>VILLA VATTEONE CENTRO</v>
      </c>
      <c r="B408" t="str">
        <f>'RESUMEN TOTAL'!B496</f>
        <v>VAT18</v>
      </c>
      <c r="C408" t="str">
        <f>'RESUMEN TOTAL'!D496</f>
        <v>LAVALLE Y FONROUGE</v>
      </c>
      <c r="D408" s="30" t="str">
        <f>'RESUMEN TOTAL'!E496</f>
        <v>DOMO</v>
      </c>
      <c r="E408" s="30" t="str">
        <f>'RESUMEN TOTAL'!F496</f>
        <v>PTO A FO</v>
      </c>
      <c r="F408" s="70">
        <f>'RESUMEN TOTAL'!M496</f>
        <v>0</v>
      </c>
      <c r="G408" s="70">
        <f>'RESUMEN TOTAL'!N496</f>
        <v>0</v>
      </c>
      <c r="H408" s="70">
        <f>'RESUMEN TOTAL'!O496</f>
        <v>0</v>
      </c>
      <c r="I408" s="70">
        <f>'RESUMEN TOTAL'!P496</f>
        <v>0</v>
      </c>
      <c r="J408" s="70">
        <f>'RESUMEN TOTAL'!Q496</f>
        <v>0</v>
      </c>
      <c r="K408" s="70">
        <f>'RESUMEN TOTAL'!R496</f>
        <v>0</v>
      </c>
      <c r="L408" s="70">
        <f>'RESUMEN TOTAL'!S496</f>
        <v>0</v>
      </c>
      <c r="M408" s="70">
        <f>'RESUMEN TOTAL'!T496</f>
        <v>0</v>
      </c>
      <c r="N408" s="70">
        <f>'RESUMEN TOTAL'!U496</f>
        <v>0</v>
      </c>
      <c r="O408" s="70">
        <f>'RESUMEN TOTAL'!V496</f>
        <v>0</v>
      </c>
      <c r="P408" s="70">
        <f>'RESUMEN TOTAL'!W496</f>
        <v>0</v>
      </c>
      <c r="Q408" s="70">
        <f>'RESUMEN TOTAL'!X496</f>
        <v>0</v>
      </c>
      <c r="R408" s="70">
        <f>'RESUMEN TOTAL'!Y496</f>
        <v>0</v>
      </c>
      <c r="S408" s="70">
        <f>'RESUMEN TOTAL'!Z496</f>
        <v>0</v>
      </c>
      <c r="T408" s="70">
        <f>'RESUMEN TOTAL'!AA496</f>
        <v>0</v>
      </c>
      <c r="U408" s="70">
        <f>'RESUMEN TOTAL'!AB496</f>
        <v>0</v>
      </c>
      <c r="V408" s="70">
        <f>'RESUMEN TOTAL'!AC496</f>
        <v>0</v>
      </c>
      <c r="W408" s="70">
        <f>'RESUMEN TOTAL'!AD496</f>
        <v>0</v>
      </c>
      <c r="X408" s="70">
        <f>'RESUMEN TOTAL'!AE496</f>
        <v>0</v>
      </c>
      <c r="Y408" s="70">
        <f>'RESUMEN TOTAL'!AF496</f>
        <v>0</v>
      </c>
      <c r="Z408" s="70">
        <f>'RESUMEN TOTAL'!AG496</f>
        <v>0</v>
      </c>
      <c r="AA408" s="70">
        <f>'RESUMEN TOTAL'!AH496</f>
        <v>0</v>
      </c>
      <c r="AB408" s="70">
        <f>'RESUMEN TOTAL'!AI496</f>
        <v>0</v>
      </c>
      <c r="AC408" s="70">
        <f>'RESUMEN TOTAL'!AJ496</f>
        <v>0</v>
      </c>
      <c r="AD408" s="70">
        <f>'RESUMEN TOTAL'!AK496</f>
        <v>0</v>
      </c>
      <c r="AE408" s="70">
        <f>'RESUMEN TOTAL'!AL496</f>
        <v>0</v>
      </c>
      <c r="AF408" s="70">
        <f>'RESUMEN TOTAL'!AM496</f>
        <v>0</v>
      </c>
      <c r="AG408" s="70">
        <f>'RESUMEN TOTAL'!AN496</f>
        <v>0</v>
      </c>
      <c r="AH408" s="70">
        <f>'RESUMEN TOTAL'!AO496</f>
        <v>0</v>
      </c>
      <c r="AI408" s="70">
        <f>'RESUMEN TOTAL'!AP496</f>
        <v>0</v>
      </c>
    </row>
    <row r="409" spans="1:35" x14ac:dyDescent="0.25">
      <c r="A409" t="str">
        <f>'RESUMEN TOTAL'!A497</f>
        <v>VILLA VATTEONE CENTRO</v>
      </c>
      <c r="B409" t="str">
        <f>'RESUMEN TOTAL'!B497</f>
        <v>VAT19</v>
      </c>
      <c r="C409" t="str">
        <f>'RESUMEN TOTAL'!D497</f>
        <v>QUINTANA Y FONROUGE ( TUCUMAN )</v>
      </c>
      <c r="D409" s="30" t="str">
        <f>'RESUMEN TOTAL'!E497</f>
        <v>DOMO</v>
      </c>
      <c r="E409" s="30" t="str">
        <f>'RESUMEN TOTAL'!F497</f>
        <v>Radio</v>
      </c>
      <c r="F409" s="70" t="str">
        <f>'RESUMEN TOTAL'!M497</f>
        <v>APAGADO</v>
      </c>
      <c r="G409" s="70">
        <f>'RESUMEN TOTAL'!N497</f>
        <v>0</v>
      </c>
      <c r="H409" s="70">
        <f>'RESUMEN TOTAL'!O497</f>
        <v>0</v>
      </c>
      <c r="I409" s="70">
        <f>'RESUMEN TOTAL'!P497</f>
        <v>0</v>
      </c>
      <c r="J409" s="70">
        <f>'RESUMEN TOTAL'!Q497</f>
        <v>0</v>
      </c>
      <c r="K409" s="70">
        <f>'RESUMEN TOTAL'!R497</f>
        <v>0</v>
      </c>
      <c r="L409" s="70">
        <f>'RESUMEN TOTAL'!S497</f>
        <v>0</v>
      </c>
      <c r="M409" s="70">
        <f>'RESUMEN TOTAL'!T497</f>
        <v>0</v>
      </c>
      <c r="N409" s="70">
        <f>'RESUMEN TOTAL'!U497</f>
        <v>0</v>
      </c>
      <c r="O409" s="70">
        <f>'RESUMEN TOTAL'!V497</f>
        <v>0</v>
      </c>
      <c r="P409" s="70">
        <f>'RESUMEN TOTAL'!W497</f>
        <v>0</v>
      </c>
      <c r="Q409" s="70">
        <f>'RESUMEN TOTAL'!X497</f>
        <v>0</v>
      </c>
      <c r="R409" s="70">
        <f>'RESUMEN TOTAL'!Y497</f>
        <v>0</v>
      </c>
      <c r="S409" s="70">
        <f>'RESUMEN TOTAL'!Z497</f>
        <v>0</v>
      </c>
      <c r="T409" s="70">
        <f>'RESUMEN TOTAL'!AA497</f>
        <v>0</v>
      </c>
      <c r="U409" s="70">
        <f>'RESUMEN TOTAL'!AB497</f>
        <v>0</v>
      </c>
      <c r="V409" s="70">
        <f>'RESUMEN TOTAL'!AC497</f>
        <v>0</v>
      </c>
      <c r="W409" s="70">
        <f>'RESUMEN TOTAL'!AD497</f>
        <v>0</v>
      </c>
      <c r="X409" s="70">
        <f>'RESUMEN TOTAL'!AE497</f>
        <v>0</v>
      </c>
      <c r="Y409" s="70">
        <f>'RESUMEN TOTAL'!AF497</f>
        <v>0</v>
      </c>
      <c r="Z409" s="70">
        <f>'RESUMEN TOTAL'!AG497</f>
        <v>0</v>
      </c>
      <c r="AA409" s="70">
        <f>'RESUMEN TOTAL'!AH497</f>
        <v>0</v>
      </c>
      <c r="AB409" s="70">
        <f>'RESUMEN TOTAL'!AI497</f>
        <v>0</v>
      </c>
      <c r="AC409" s="70">
        <f>'RESUMEN TOTAL'!AJ497</f>
        <v>0</v>
      </c>
      <c r="AD409" s="70">
        <f>'RESUMEN TOTAL'!AK497</f>
        <v>0</v>
      </c>
      <c r="AE409" s="70">
        <f>'RESUMEN TOTAL'!AL497</f>
        <v>0</v>
      </c>
      <c r="AF409" s="70">
        <f>'RESUMEN TOTAL'!AM497</f>
        <v>0</v>
      </c>
      <c r="AG409" s="70">
        <f>'RESUMEN TOTAL'!AN497</f>
        <v>0</v>
      </c>
      <c r="AH409" s="70">
        <f>'RESUMEN TOTAL'!AO497</f>
        <v>0</v>
      </c>
      <c r="AI409" s="70">
        <f>'RESUMEN TOTAL'!AP497</f>
        <v>0</v>
      </c>
    </row>
    <row r="410" spans="1:35" x14ac:dyDescent="0.25">
      <c r="A410" t="str">
        <f>'RESUMEN TOTAL'!A498</f>
        <v>VILLA VATTEONE</v>
      </c>
      <c r="B410" t="str">
        <f>'RESUMEN TOTAL'!B498</f>
        <v>VAT 20</v>
      </c>
      <c r="C410" t="str">
        <f>'RESUMEN TOTAL'!D498</f>
        <v>URUGUAY Y PILCOMAYO</v>
      </c>
      <c r="D410" s="30" t="str">
        <f>'RESUMEN TOTAL'!E498</f>
        <v>FIJA</v>
      </c>
      <c r="E410" s="30" t="str">
        <f>'RESUMEN TOTAL'!F498</f>
        <v>GPON</v>
      </c>
      <c r="F410" s="70">
        <f>'RESUMEN TOTAL'!M498</f>
        <v>0</v>
      </c>
      <c r="G410" s="70">
        <f>'RESUMEN TOTAL'!N498</f>
        <v>0</v>
      </c>
      <c r="H410" s="70">
        <f>'RESUMEN TOTAL'!O498</f>
        <v>0</v>
      </c>
      <c r="I410" s="70">
        <f>'RESUMEN TOTAL'!P498</f>
        <v>0</v>
      </c>
      <c r="J410" s="70">
        <f>'RESUMEN TOTAL'!Q498</f>
        <v>0</v>
      </c>
      <c r="K410" s="70">
        <f>'RESUMEN TOTAL'!R498</f>
        <v>0</v>
      </c>
      <c r="L410" s="70">
        <f>'RESUMEN TOTAL'!S498</f>
        <v>0</v>
      </c>
      <c r="M410" s="70">
        <f>'RESUMEN TOTAL'!T498</f>
        <v>0</v>
      </c>
      <c r="N410" s="70">
        <f>'RESUMEN TOTAL'!U498</f>
        <v>0</v>
      </c>
      <c r="O410" s="70">
        <f>'RESUMEN TOTAL'!V498</f>
        <v>0</v>
      </c>
      <c r="P410" s="70">
        <f>'RESUMEN TOTAL'!W498</f>
        <v>0</v>
      </c>
      <c r="Q410" s="70">
        <f>'RESUMEN TOTAL'!X498</f>
        <v>0</v>
      </c>
      <c r="R410" s="70">
        <f>'RESUMEN TOTAL'!Y498</f>
        <v>0</v>
      </c>
      <c r="S410" s="70">
        <f>'RESUMEN TOTAL'!Z498</f>
        <v>0</v>
      </c>
      <c r="T410" s="70">
        <f>'RESUMEN TOTAL'!AA498</f>
        <v>0</v>
      </c>
      <c r="U410" s="70">
        <f>'RESUMEN TOTAL'!AB498</f>
        <v>0</v>
      </c>
      <c r="V410" s="70">
        <f>'RESUMEN TOTAL'!AC498</f>
        <v>0</v>
      </c>
      <c r="W410" s="70">
        <f>'RESUMEN TOTAL'!AD498</f>
        <v>0</v>
      </c>
      <c r="X410" s="70">
        <f>'RESUMEN TOTAL'!AE498</f>
        <v>0</v>
      </c>
      <c r="Y410" s="70">
        <f>'RESUMEN TOTAL'!AF498</f>
        <v>0</v>
      </c>
      <c r="Z410" s="70">
        <f>'RESUMEN TOTAL'!AG498</f>
        <v>0</v>
      </c>
      <c r="AA410" s="70">
        <f>'RESUMEN TOTAL'!AH498</f>
        <v>0</v>
      </c>
      <c r="AB410" s="70">
        <f>'RESUMEN TOTAL'!AI498</f>
        <v>0</v>
      </c>
      <c r="AC410" s="70" t="str">
        <f>'RESUMEN TOTAL'!AJ498</f>
        <v>APAGADO</v>
      </c>
      <c r="AD410" s="70">
        <f>'RESUMEN TOTAL'!AK498</f>
        <v>0</v>
      </c>
      <c r="AE410" s="70">
        <f>'RESUMEN TOTAL'!AL498</f>
        <v>0</v>
      </c>
      <c r="AF410" s="70">
        <f>'RESUMEN TOTAL'!AM498</f>
        <v>0</v>
      </c>
      <c r="AG410" s="70">
        <f>'RESUMEN TOTAL'!AN498</f>
        <v>0</v>
      </c>
      <c r="AH410" s="70">
        <f>'RESUMEN TOTAL'!AO498</f>
        <v>0</v>
      </c>
      <c r="AI410" s="70">
        <f>'RESUMEN TOTAL'!AP498</f>
        <v>0</v>
      </c>
    </row>
    <row r="411" spans="1:35" x14ac:dyDescent="0.25">
      <c r="A411" t="str">
        <f>'RESUMEN TOTAL'!A499</f>
        <v>VILLA VATTEONE CENTRO</v>
      </c>
      <c r="B411" t="str">
        <f>'RESUMEN TOTAL'!B499</f>
        <v>VAT 21 (fija 1)</v>
      </c>
      <c r="C411" t="str">
        <f>'RESUMEN TOTAL'!D499</f>
        <v>QUINTANA E/ BELGRANO Y FONROUGE</v>
      </c>
      <c r="D411" s="30" t="str">
        <f>'RESUMEN TOTAL'!E499</f>
        <v>Fija</v>
      </c>
      <c r="E411" s="30" t="str">
        <f>'RESUMEN TOTAL'!F499</f>
        <v>Fibra Optica</v>
      </c>
      <c r="F411" s="70">
        <f>'RESUMEN TOTAL'!M499</f>
        <v>0</v>
      </c>
      <c r="G411" s="70">
        <f>'RESUMEN TOTAL'!N499</f>
        <v>0</v>
      </c>
      <c r="H411" s="70">
        <f>'RESUMEN TOTAL'!O499</f>
        <v>0</v>
      </c>
      <c r="I411" s="70">
        <f>'RESUMEN TOTAL'!P499</f>
        <v>0</v>
      </c>
      <c r="J411" s="70">
        <f>'RESUMEN TOTAL'!Q499</f>
        <v>0</v>
      </c>
      <c r="K411" s="70">
        <f>'RESUMEN TOTAL'!R499</f>
        <v>0</v>
      </c>
      <c r="L411" s="70">
        <f>'RESUMEN TOTAL'!S499</f>
        <v>0</v>
      </c>
      <c r="M411" s="70">
        <f>'RESUMEN TOTAL'!T499</f>
        <v>0</v>
      </c>
      <c r="N411" s="70">
        <f>'RESUMEN TOTAL'!U499</f>
        <v>0</v>
      </c>
      <c r="O411" s="70">
        <f>'RESUMEN TOTAL'!V499</f>
        <v>0</v>
      </c>
      <c r="P411" s="70">
        <f>'RESUMEN TOTAL'!W499</f>
        <v>0</v>
      </c>
      <c r="Q411" s="70">
        <f>'RESUMEN TOTAL'!X499</f>
        <v>0</v>
      </c>
      <c r="R411" s="70">
        <f>'RESUMEN TOTAL'!Y499</f>
        <v>0</v>
      </c>
      <c r="S411" s="70">
        <f>'RESUMEN TOTAL'!Z499</f>
        <v>0</v>
      </c>
      <c r="T411" s="70">
        <f>'RESUMEN TOTAL'!AA499</f>
        <v>0</v>
      </c>
      <c r="U411" s="70">
        <f>'RESUMEN TOTAL'!AB499</f>
        <v>0</v>
      </c>
      <c r="V411" s="70">
        <f>'RESUMEN TOTAL'!AC499</f>
        <v>0</v>
      </c>
      <c r="W411" s="70">
        <f>'RESUMEN TOTAL'!AD499</f>
        <v>0</v>
      </c>
      <c r="X411" s="70">
        <f>'RESUMEN TOTAL'!AE499</f>
        <v>0</v>
      </c>
      <c r="Y411" s="70">
        <f>'RESUMEN TOTAL'!AF499</f>
        <v>0</v>
      </c>
      <c r="Z411" s="70">
        <f>'RESUMEN TOTAL'!AG499</f>
        <v>0</v>
      </c>
      <c r="AA411" s="70">
        <f>'RESUMEN TOTAL'!AH499</f>
        <v>0</v>
      </c>
      <c r="AB411" s="70">
        <f>'RESUMEN TOTAL'!AI499</f>
        <v>0</v>
      </c>
      <c r="AC411" s="70">
        <f>'RESUMEN TOTAL'!AJ499</f>
        <v>0</v>
      </c>
      <c r="AD411" s="70">
        <f>'RESUMEN TOTAL'!AK499</f>
        <v>0</v>
      </c>
      <c r="AE411" s="70">
        <f>'RESUMEN TOTAL'!AL499</f>
        <v>0</v>
      </c>
      <c r="AF411" s="70">
        <f>'RESUMEN TOTAL'!AM499</f>
        <v>0</v>
      </c>
      <c r="AG411" s="70">
        <f>'RESUMEN TOTAL'!AN499</f>
        <v>0</v>
      </c>
      <c r="AH411" s="70">
        <f>'RESUMEN TOTAL'!AO499</f>
        <v>0</v>
      </c>
      <c r="AI411" s="70">
        <f>'RESUMEN TOTAL'!AP499</f>
        <v>0</v>
      </c>
    </row>
    <row r="412" spans="1:35" x14ac:dyDescent="0.25">
      <c r="A412" t="str">
        <f>'RESUMEN TOTAL'!A500</f>
        <v>VILLA VATTEONE CENTRO</v>
      </c>
      <c r="B412" t="str">
        <f>'RESUMEN TOTAL'!B500</f>
        <v>VAT 22 (fija 2)</v>
      </c>
      <c r="C412" t="str">
        <f>'RESUMEN TOTAL'!D500</f>
        <v>QUINTANA E/ BELGRANO Y FONROUGE</v>
      </c>
      <c r="D412" s="30" t="str">
        <f>'RESUMEN TOTAL'!E500</f>
        <v>Fija</v>
      </c>
      <c r="E412" s="30" t="str">
        <f>'RESUMEN TOTAL'!F500</f>
        <v>Fibra Optica</v>
      </c>
      <c r="F412" s="70">
        <f>'RESUMEN TOTAL'!M500</f>
        <v>0</v>
      </c>
      <c r="G412" s="70">
        <f>'RESUMEN TOTAL'!N500</f>
        <v>0</v>
      </c>
      <c r="H412" s="70">
        <f>'RESUMEN TOTAL'!O500</f>
        <v>0</v>
      </c>
      <c r="I412" s="70">
        <f>'RESUMEN TOTAL'!P500</f>
        <v>0</v>
      </c>
      <c r="J412" s="70">
        <f>'RESUMEN TOTAL'!Q500</f>
        <v>0</v>
      </c>
      <c r="K412" s="70">
        <f>'RESUMEN TOTAL'!R500</f>
        <v>0</v>
      </c>
      <c r="L412" s="70">
        <f>'RESUMEN TOTAL'!S500</f>
        <v>0</v>
      </c>
      <c r="M412" s="70">
        <f>'RESUMEN TOTAL'!T500</f>
        <v>0</v>
      </c>
      <c r="N412" s="70">
        <f>'RESUMEN TOTAL'!U500</f>
        <v>0</v>
      </c>
      <c r="O412" s="70">
        <f>'RESUMEN TOTAL'!V500</f>
        <v>0</v>
      </c>
      <c r="P412" s="70">
        <f>'RESUMEN TOTAL'!W500</f>
        <v>0</v>
      </c>
      <c r="Q412" s="70">
        <f>'RESUMEN TOTAL'!X500</f>
        <v>0</v>
      </c>
      <c r="R412" s="70">
        <f>'RESUMEN TOTAL'!Y500</f>
        <v>0</v>
      </c>
      <c r="S412" s="70">
        <f>'RESUMEN TOTAL'!Z500</f>
        <v>0</v>
      </c>
      <c r="T412" s="70">
        <f>'RESUMEN TOTAL'!AA500</f>
        <v>0</v>
      </c>
      <c r="U412" s="70">
        <f>'RESUMEN TOTAL'!AB500</f>
        <v>0</v>
      </c>
      <c r="V412" s="70">
        <f>'RESUMEN TOTAL'!AC500</f>
        <v>0</v>
      </c>
      <c r="W412" s="70">
        <f>'RESUMEN TOTAL'!AD500</f>
        <v>0</v>
      </c>
      <c r="X412" s="70">
        <f>'RESUMEN TOTAL'!AE500</f>
        <v>0</v>
      </c>
      <c r="Y412" s="70">
        <f>'RESUMEN TOTAL'!AF500</f>
        <v>0</v>
      </c>
      <c r="Z412" s="70">
        <f>'RESUMEN TOTAL'!AG500</f>
        <v>0</v>
      </c>
      <c r="AA412" s="70">
        <f>'RESUMEN TOTAL'!AH500</f>
        <v>0</v>
      </c>
      <c r="AB412" s="70">
        <f>'RESUMEN TOTAL'!AI500</f>
        <v>0</v>
      </c>
      <c r="AC412" s="70">
        <f>'RESUMEN TOTAL'!AJ500</f>
        <v>0</v>
      </c>
      <c r="AD412" s="70">
        <f>'RESUMEN TOTAL'!AK500</f>
        <v>0</v>
      </c>
      <c r="AE412" s="70">
        <f>'RESUMEN TOTAL'!AL500</f>
        <v>0</v>
      </c>
      <c r="AF412" s="70">
        <f>'RESUMEN TOTAL'!AM500</f>
        <v>0</v>
      </c>
      <c r="AG412" s="70">
        <f>'RESUMEN TOTAL'!AN500</f>
        <v>0</v>
      </c>
      <c r="AH412" s="70">
        <f>'RESUMEN TOTAL'!AO500</f>
        <v>0</v>
      </c>
      <c r="AI412" s="70">
        <f>'RESUMEN TOTAL'!AP500</f>
        <v>0</v>
      </c>
    </row>
    <row r="413" spans="1:35" x14ac:dyDescent="0.25">
      <c r="A413" t="str">
        <f>'RESUMEN TOTAL'!A501</f>
        <v>VILLA VATTEONE CENTRO</v>
      </c>
      <c r="B413" t="str">
        <f>'RESUMEN TOTAL'!B501</f>
        <v>VAT23 (fija 1)</v>
      </c>
      <c r="C413" t="str">
        <f>'RESUMEN TOTAL'!D501</f>
        <v>EVA PERON Y "EL TUNEL" (BAJO NIVEL)</v>
      </c>
      <c r="D413" s="30" t="str">
        <f>'RESUMEN TOTAL'!E501</f>
        <v>Fija</v>
      </c>
      <c r="E413" s="30" t="str">
        <f>'RESUMEN TOTAL'!F501</f>
        <v>Fibra Optica</v>
      </c>
      <c r="F413" s="70">
        <f>'RESUMEN TOTAL'!M501</f>
        <v>0</v>
      </c>
      <c r="G413" s="70">
        <f>'RESUMEN TOTAL'!N501</f>
        <v>0</v>
      </c>
      <c r="H413" s="70">
        <f>'RESUMEN TOTAL'!O501</f>
        <v>0</v>
      </c>
      <c r="I413" s="70">
        <f>'RESUMEN TOTAL'!P501</f>
        <v>0</v>
      </c>
      <c r="J413" s="70">
        <f>'RESUMEN TOTAL'!Q501</f>
        <v>0</v>
      </c>
      <c r="K413" s="70">
        <f>'RESUMEN TOTAL'!R501</f>
        <v>0</v>
      </c>
      <c r="L413" s="70">
        <f>'RESUMEN TOTAL'!S501</f>
        <v>0</v>
      </c>
      <c r="M413" s="70">
        <f>'RESUMEN TOTAL'!T501</f>
        <v>0</v>
      </c>
      <c r="N413" s="70">
        <f>'RESUMEN TOTAL'!U501</f>
        <v>0</v>
      </c>
      <c r="O413" s="70">
        <f>'RESUMEN TOTAL'!V501</f>
        <v>0</v>
      </c>
      <c r="P413" s="70">
        <f>'RESUMEN TOTAL'!W501</f>
        <v>0</v>
      </c>
      <c r="Q413" s="70">
        <f>'RESUMEN TOTAL'!X501</f>
        <v>0</v>
      </c>
      <c r="R413" s="70">
        <f>'RESUMEN TOTAL'!Y501</f>
        <v>0</v>
      </c>
      <c r="S413" s="70">
        <f>'RESUMEN TOTAL'!Z501</f>
        <v>0</v>
      </c>
      <c r="T413" s="70">
        <f>'RESUMEN TOTAL'!AA501</f>
        <v>0</v>
      </c>
      <c r="U413" s="70">
        <f>'RESUMEN TOTAL'!AB501</f>
        <v>0</v>
      </c>
      <c r="V413" s="70">
        <f>'RESUMEN TOTAL'!AC501</f>
        <v>0</v>
      </c>
      <c r="W413" s="70">
        <f>'RESUMEN TOTAL'!AD501</f>
        <v>0</v>
      </c>
      <c r="X413" s="70">
        <f>'RESUMEN TOTAL'!AE501</f>
        <v>0</v>
      </c>
      <c r="Y413" s="70">
        <f>'RESUMEN TOTAL'!AF501</f>
        <v>0</v>
      </c>
      <c r="Z413" s="70">
        <f>'RESUMEN TOTAL'!AG501</f>
        <v>0</v>
      </c>
      <c r="AA413" s="70">
        <f>'RESUMEN TOTAL'!AH501</f>
        <v>0</v>
      </c>
      <c r="AB413" s="70">
        <f>'RESUMEN TOTAL'!AI501</f>
        <v>0</v>
      </c>
      <c r="AC413" s="70">
        <f>'RESUMEN TOTAL'!AJ501</f>
        <v>0</v>
      </c>
      <c r="AD413" s="70">
        <f>'RESUMEN TOTAL'!AK501</f>
        <v>0</v>
      </c>
      <c r="AE413" s="70">
        <f>'RESUMEN TOTAL'!AL501</f>
        <v>0</v>
      </c>
      <c r="AF413" s="70">
        <f>'RESUMEN TOTAL'!AM501</f>
        <v>0</v>
      </c>
      <c r="AG413" s="70">
        <f>'RESUMEN TOTAL'!AN501</f>
        <v>0</v>
      </c>
      <c r="AH413" s="70">
        <f>'RESUMEN TOTAL'!AO501</f>
        <v>0</v>
      </c>
      <c r="AI413" s="70">
        <f>'RESUMEN TOTAL'!AP501</f>
        <v>0</v>
      </c>
    </row>
    <row r="414" spans="1:35" x14ac:dyDescent="0.25">
      <c r="A414" t="str">
        <f>'RESUMEN TOTAL'!A502</f>
        <v>VILLA VATTEONE CENTRO</v>
      </c>
      <c r="B414" t="str">
        <f>'RESUMEN TOTAL'!B502</f>
        <v>VAT24 (fija 2)</v>
      </c>
      <c r="C414" t="str">
        <f>'RESUMEN TOTAL'!D502</f>
        <v>EVA PERON Y "EL TUNEL" (BAJO NIVEL)</v>
      </c>
      <c r="D414" s="30" t="str">
        <f>'RESUMEN TOTAL'!E502</f>
        <v>Fija</v>
      </c>
      <c r="E414" s="30" t="str">
        <f>'RESUMEN TOTAL'!F502</f>
        <v>Fibra Optica</v>
      </c>
      <c r="F414" s="70">
        <f>'RESUMEN TOTAL'!M502</f>
        <v>0</v>
      </c>
      <c r="G414" s="70">
        <f>'RESUMEN TOTAL'!N502</f>
        <v>0</v>
      </c>
      <c r="H414" s="70">
        <f>'RESUMEN TOTAL'!O502</f>
        <v>0</v>
      </c>
      <c r="I414" s="70">
        <f>'RESUMEN TOTAL'!P502</f>
        <v>0</v>
      </c>
      <c r="J414" s="70">
        <f>'RESUMEN TOTAL'!Q502</f>
        <v>0</v>
      </c>
      <c r="K414" s="70">
        <f>'RESUMEN TOTAL'!R502</f>
        <v>0</v>
      </c>
      <c r="L414" s="70">
        <f>'RESUMEN TOTAL'!S502</f>
        <v>0</v>
      </c>
      <c r="M414" s="70">
        <f>'RESUMEN TOTAL'!T502</f>
        <v>0</v>
      </c>
      <c r="N414" s="70">
        <f>'RESUMEN TOTAL'!U502</f>
        <v>0</v>
      </c>
      <c r="O414" s="70">
        <f>'RESUMEN TOTAL'!V502</f>
        <v>0</v>
      </c>
      <c r="P414" s="70">
        <f>'RESUMEN TOTAL'!W502</f>
        <v>0</v>
      </c>
      <c r="Q414" s="70">
        <f>'RESUMEN TOTAL'!X502</f>
        <v>0</v>
      </c>
      <c r="R414" s="70">
        <f>'RESUMEN TOTAL'!Y502</f>
        <v>0</v>
      </c>
      <c r="S414" s="70">
        <f>'RESUMEN TOTAL'!Z502</f>
        <v>0</v>
      </c>
      <c r="T414" s="70">
        <f>'RESUMEN TOTAL'!AA502</f>
        <v>0</v>
      </c>
      <c r="U414" s="70">
        <f>'RESUMEN TOTAL'!AB502</f>
        <v>0</v>
      </c>
      <c r="V414" s="70">
        <f>'RESUMEN TOTAL'!AC502</f>
        <v>0</v>
      </c>
      <c r="W414" s="70">
        <f>'RESUMEN TOTAL'!AD502</f>
        <v>0</v>
      </c>
      <c r="X414" s="70">
        <f>'RESUMEN TOTAL'!AE502</f>
        <v>0</v>
      </c>
      <c r="Y414" s="70">
        <f>'RESUMEN TOTAL'!AF502</f>
        <v>0</v>
      </c>
      <c r="Z414" s="70">
        <f>'RESUMEN TOTAL'!AG502</f>
        <v>0</v>
      </c>
      <c r="AA414" s="70">
        <f>'RESUMEN TOTAL'!AH502</f>
        <v>0</v>
      </c>
      <c r="AB414" s="70">
        <f>'RESUMEN TOTAL'!AI502</f>
        <v>0</v>
      </c>
      <c r="AC414" s="70">
        <f>'RESUMEN TOTAL'!AJ502</f>
        <v>0</v>
      </c>
      <c r="AD414" s="70">
        <f>'RESUMEN TOTAL'!AK502</f>
        <v>0</v>
      </c>
      <c r="AE414" s="70">
        <f>'RESUMEN TOTAL'!AL502</f>
        <v>0</v>
      </c>
      <c r="AF414" s="70">
        <f>'RESUMEN TOTAL'!AM502</f>
        <v>0</v>
      </c>
      <c r="AG414" s="70">
        <f>'RESUMEN TOTAL'!AN502</f>
        <v>0</v>
      </c>
      <c r="AH414" s="70">
        <f>'RESUMEN TOTAL'!AO502</f>
        <v>0</v>
      </c>
      <c r="AI414" s="70">
        <f>'RESUMEN TOTAL'!AP502</f>
        <v>0</v>
      </c>
    </row>
    <row r="415" spans="1:35" x14ac:dyDescent="0.25">
      <c r="A415" t="str">
        <f>'RESUMEN TOTAL'!A503</f>
        <v>VILLA VATTEONE CENTRO</v>
      </c>
      <c r="B415" t="str">
        <f>'RESUMEN TOTAL'!B503</f>
        <v>VAT 25</v>
      </c>
      <c r="C415" t="str">
        <f>'RESUMEN TOTAL'!D503</f>
        <v>Mainini y Uruguay</v>
      </c>
      <c r="D415" s="30" t="str">
        <f>'RESUMEN TOTAL'!E503</f>
        <v>Fija</v>
      </c>
      <c r="E415" s="30" t="str">
        <f>'RESUMEN TOTAL'!F503</f>
        <v>Fibra Optica</v>
      </c>
      <c r="F415" s="70">
        <f>'RESUMEN TOTAL'!M503</f>
        <v>0</v>
      </c>
      <c r="G415" s="70">
        <f>'RESUMEN TOTAL'!N503</f>
        <v>0</v>
      </c>
      <c r="H415" s="70">
        <f>'RESUMEN TOTAL'!O503</f>
        <v>0</v>
      </c>
      <c r="I415" s="70">
        <f>'RESUMEN TOTAL'!P503</f>
        <v>0</v>
      </c>
      <c r="J415" s="70">
        <f>'RESUMEN TOTAL'!Q503</f>
        <v>0</v>
      </c>
      <c r="K415" s="70">
        <f>'RESUMEN TOTAL'!R503</f>
        <v>0</v>
      </c>
      <c r="L415" s="70">
        <f>'RESUMEN TOTAL'!S503</f>
        <v>0</v>
      </c>
      <c r="M415" s="70">
        <f>'RESUMEN TOTAL'!T503</f>
        <v>0</v>
      </c>
      <c r="N415" s="70">
        <f>'RESUMEN TOTAL'!U503</f>
        <v>0</v>
      </c>
      <c r="O415" s="70" t="str">
        <f>'RESUMEN TOTAL'!V503</f>
        <v>APAGADO</v>
      </c>
      <c r="P415" s="70" t="str">
        <f>'RESUMEN TOTAL'!W503</f>
        <v>APAGADO</v>
      </c>
      <c r="Q415" s="70" t="str">
        <f>'RESUMEN TOTAL'!X503</f>
        <v>APAGADO</v>
      </c>
      <c r="R415" s="70" t="str">
        <f>'RESUMEN TOTAL'!Y503</f>
        <v>APAGADO</v>
      </c>
      <c r="S415" s="70" t="str">
        <f>'RESUMEN TOTAL'!Z503</f>
        <v>APAGADO</v>
      </c>
      <c r="T415" s="70" t="str">
        <f>'RESUMEN TOTAL'!AA503</f>
        <v>APAGADO</v>
      </c>
      <c r="U415" s="70">
        <f>'RESUMEN TOTAL'!AB503</f>
        <v>0</v>
      </c>
      <c r="V415" s="70">
        <f>'RESUMEN TOTAL'!AC503</f>
        <v>0</v>
      </c>
      <c r="W415" s="70">
        <f>'RESUMEN TOTAL'!AD503</f>
        <v>0</v>
      </c>
      <c r="X415" s="70">
        <f>'RESUMEN TOTAL'!AE503</f>
        <v>0</v>
      </c>
      <c r="Y415" s="70">
        <f>'RESUMEN TOTAL'!AF503</f>
        <v>0</v>
      </c>
      <c r="Z415" s="70">
        <f>'RESUMEN TOTAL'!AG503</f>
        <v>0</v>
      </c>
      <c r="AA415" s="70">
        <f>'RESUMEN TOTAL'!AH503</f>
        <v>0</v>
      </c>
      <c r="AB415" s="70">
        <f>'RESUMEN TOTAL'!AI503</f>
        <v>0</v>
      </c>
      <c r="AC415" s="70">
        <f>'RESUMEN TOTAL'!AJ503</f>
        <v>0</v>
      </c>
      <c r="AD415" s="70">
        <f>'RESUMEN TOTAL'!AK503</f>
        <v>0</v>
      </c>
      <c r="AE415" s="70">
        <f>'RESUMEN TOTAL'!AL503</f>
        <v>0</v>
      </c>
      <c r="AF415" s="70">
        <f>'RESUMEN TOTAL'!AM503</f>
        <v>0</v>
      </c>
      <c r="AG415" s="70">
        <f>'RESUMEN TOTAL'!AN503</f>
        <v>0</v>
      </c>
      <c r="AH415" s="70">
        <f>'RESUMEN TOTAL'!AO503</f>
        <v>0</v>
      </c>
      <c r="AI415" s="70">
        <f>'RESUMEN TOTAL'!AP503</f>
        <v>0</v>
      </c>
    </row>
    <row r="416" spans="1:35" x14ac:dyDescent="0.25">
      <c r="A416" t="str">
        <f>'RESUMEN TOTAL'!A504</f>
        <v>VILLA VATTEONE CENTRO</v>
      </c>
      <c r="B416" t="str">
        <f>'RESUMEN TOTAL'!B504</f>
        <v>VAT 26</v>
      </c>
      <c r="C416" t="str">
        <f>'RESUMEN TOTAL'!D504</f>
        <v>Mainini y Uruguay</v>
      </c>
      <c r="D416" s="30" t="str">
        <f>'RESUMEN TOTAL'!E504</f>
        <v>fija</v>
      </c>
      <c r="E416" s="30" t="str">
        <f>'RESUMEN TOTAL'!F504</f>
        <v>Fibra Optica</v>
      </c>
      <c r="F416" s="70">
        <f>'RESUMEN TOTAL'!M504</f>
        <v>0</v>
      </c>
      <c r="G416" s="70">
        <f>'RESUMEN TOTAL'!N504</f>
        <v>0</v>
      </c>
      <c r="H416" s="70">
        <f>'RESUMEN TOTAL'!O504</f>
        <v>0</v>
      </c>
      <c r="I416" s="70">
        <f>'RESUMEN TOTAL'!P504</f>
        <v>0</v>
      </c>
      <c r="J416" s="70">
        <f>'RESUMEN TOTAL'!Q504</f>
        <v>0</v>
      </c>
      <c r="K416" s="70">
        <f>'RESUMEN TOTAL'!R504</f>
        <v>0</v>
      </c>
      <c r="L416" s="70">
        <f>'RESUMEN TOTAL'!S504</f>
        <v>0</v>
      </c>
      <c r="M416" s="70">
        <f>'RESUMEN TOTAL'!T504</f>
        <v>0</v>
      </c>
      <c r="N416" s="70">
        <f>'RESUMEN TOTAL'!U504</f>
        <v>0</v>
      </c>
      <c r="O416" s="70" t="str">
        <f>'RESUMEN TOTAL'!V504</f>
        <v>APAGADO</v>
      </c>
      <c r="P416" s="70" t="str">
        <f>'RESUMEN TOTAL'!W504</f>
        <v>APAGADO</v>
      </c>
      <c r="Q416" s="70" t="str">
        <f>'RESUMEN TOTAL'!X504</f>
        <v>APAGADO</v>
      </c>
      <c r="R416" s="70" t="str">
        <f>'RESUMEN TOTAL'!Y504</f>
        <v>APAGADO</v>
      </c>
      <c r="S416" s="70" t="str">
        <f>'RESUMEN TOTAL'!Z504</f>
        <v>APAGADO</v>
      </c>
      <c r="T416" s="70" t="str">
        <f>'RESUMEN TOTAL'!AA504</f>
        <v>APAGADO</v>
      </c>
      <c r="U416" s="70">
        <f>'RESUMEN TOTAL'!AB504</f>
        <v>0</v>
      </c>
      <c r="V416" s="70">
        <f>'RESUMEN TOTAL'!AC504</f>
        <v>0</v>
      </c>
      <c r="W416" s="70">
        <f>'RESUMEN TOTAL'!AD504</f>
        <v>0</v>
      </c>
      <c r="X416" s="70">
        <f>'RESUMEN TOTAL'!AE504</f>
        <v>0</v>
      </c>
      <c r="Y416" s="70">
        <f>'RESUMEN TOTAL'!AF504</f>
        <v>0</v>
      </c>
      <c r="Z416" s="70">
        <f>'RESUMEN TOTAL'!AG504</f>
        <v>0</v>
      </c>
      <c r="AA416" s="70">
        <f>'RESUMEN TOTAL'!AH504</f>
        <v>0</v>
      </c>
      <c r="AB416" s="70">
        <f>'RESUMEN TOTAL'!AI504</f>
        <v>0</v>
      </c>
      <c r="AC416" s="70">
        <f>'RESUMEN TOTAL'!AJ504</f>
        <v>0</v>
      </c>
      <c r="AD416" s="70">
        <f>'RESUMEN TOTAL'!AK504</f>
        <v>0</v>
      </c>
      <c r="AE416" s="70">
        <f>'RESUMEN TOTAL'!AL504</f>
        <v>0</v>
      </c>
      <c r="AF416" s="70">
        <f>'RESUMEN TOTAL'!AM504</f>
        <v>0</v>
      </c>
      <c r="AG416" s="70">
        <f>'RESUMEN TOTAL'!AN504</f>
        <v>0</v>
      </c>
      <c r="AH416" s="70">
        <f>'RESUMEN TOTAL'!AO504</f>
        <v>0</v>
      </c>
      <c r="AI416" s="70">
        <f>'RESUMEN TOTAL'!AP504</f>
        <v>0</v>
      </c>
    </row>
    <row r="417" spans="1:35" x14ac:dyDescent="0.25">
      <c r="A417" t="str">
        <f>'RESUMEN TOTAL'!A505</f>
        <v>VILLA VATTEONE</v>
      </c>
      <c r="B417" t="str">
        <f>'RESUMEN TOTAL'!B505</f>
        <v>VAT 27</v>
      </c>
      <c r="C417" t="str">
        <f>'RESUMEN TOTAL'!D505</f>
        <v>12 DE OCTUBRE Y ROSARIO</v>
      </c>
      <c r="D417" s="30" t="str">
        <f>'RESUMEN TOTAL'!E505</f>
        <v>DOMO</v>
      </c>
      <c r="E417" s="30" t="str">
        <f>'RESUMEN TOTAL'!F505</f>
        <v>GPON</v>
      </c>
      <c r="F417" s="70">
        <f>'RESUMEN TOTAL'!M505</f>
        <v>0</v>
      </c>
      <c r="G417" s="70">
        <f>'RESUMEN TOTAL'!N505</f>
        <v>0</v>
      </c>
      <c r="H417" s="70">
        <f>'RESUMEN TOTAL'!O505</f>
        <v>0</v>
      </c>
      <c r="I417" s="70">
        <f>'RESUMEN TOTAL'!P505</f>
        <v>0</v>
      </c>
      <c r="J417" s="70">
        <f>'RESUMEN TOTAL'!Q505</f>
        <v>0</v>
      </c>
      <c r="K417" s="70">
        <f>'RESUMEN TOTAL'!R505</f>
        <v>0</v>
      </c>
      <c r="L417" s="70">
        <f>'RESUMEN TOTAL'!S505</f>
        <v>0</v>
      </c>
      <c r="M417" s="70">
        <f>'RESUMEN TOTAL'!T505</f>
        <v>0</v>
      </c>
      <c r="N417" s="70">
        <f>'RESUMEN TOTAL'!U505</f>
        <v>0</v>
      </c>
      <c r="O417" s="70">
        <f>'RESUMEN TOTAL'!V505</f>
        <v>0</v>
      </c>
      <c r="P417" s="70">
        <f>'RESUMEN TOTAL'!W505</f>
        <v>0</v>
      </c>
      <c r="Q417" s="70">
        <f>'RESUMEN TOTAL'!X505</f>
        <v>0</v>
      </c>
      <c r="R417" s="70">
        <f>'RESUMEN TOTAL'!Y505</f>
        <v>0</v>
      </c>
      <c r="S417" s="70">
        <f>'RESUMEN TOTAL'!Z505</f>
        <v>0</v>
      </c>
      <c r="T417" s="70">
        <f>'RESUMEN TOTAL'!AA505</f>
        <v>0</v>
      </c>
      <c r="U417" s="70">
        <f>'RESUMEN TOTAL'!AB505</f>
        <v>0</v>
      </c>
      <c r="V417" s="70">
        <f>'RESUMEN TOTAL'!AC505</f>
        <v>0</v>
      </c>
      <c r="W417" s="70">
        <f>'RESUMEN TOTAL'!AD505</f>
        <v>0</v>
      </c>
      <c r="X417" s="70" t="str">
        <f>'RESUMEN TOTAL'!AE505</f>
        <v>APAGADO</v>
      </c>
      <c r="Y417" s="70" t="str">
        <f>'RESUMEN TOTAL'!AF505</f>
        <v>APAGADO</v>
      </c>
      <c r="Z417" s="70" t="str">
        <f>'RESUMEN TOTAL'!AG505</f>
        <v>APAGADO</v>
      </c>
      <c r="AA417" s="70" t="str">
        <f>'RESUMEN TOTAL'!AH505</f>
        <v>APAGADO</v>
      </c>
      <c r="AB417" s="70" t="str">
        <f>'RESUMEN TOTAL'!AI505</f>
        <v>APAGADO</v>
      </c>
      <c r="AC417" s="70" t="str">
        <f>'RESUMEN TOTAL'!AJ505</f>
        <v>APAGADO</v>
      </c>
      <c r="AD417" s="70" t="str">
        <f>'RESUMEN TOTAL'!AK505</f>
        <v>APAGADO</v>
      </c>
      <c r="AE417" s="70" t="str">
        <f>'RESUMEN TOTAL'!AL505</f>
        <v>APAGADO</v>
      </c>
      <c r="AF417" s="70">
        <f>'RESUMEN TOTAL'!AM505</f>
        <v>0</v>
      </c>
      <c r="AG417" s="70">
        <f>'RESUMEN TOTAL'!AN505</f>
        <v>0</v>
      </c>
      <c r="AH417" s="70">
        <f>'RESUMEN TOTAL'!AO505</f>
        <v>0</v>
      </c>
      <c r="AI417" s="70">
        <f>'RESUMEN TOTAL'!AP505</f>
        <v>0</v>
      </c>
    </row>
    <row r="418" spans="1:35" x14ac:dyDescent="0.25">
      <c r="A418" t="str">
        <f>'RESUMEN TOTAL'!A509</f>
        <v>VILLA AURORA</v>
      </c>
      <c r="B418" t="str">
        <f>'RESUMEN TOTAL'!B509</f>
        <v>VAU 01</v>
      </c>
      <c r="C418" t="str">
        <f>'RESUMEN TOTAL'!D509</f>
        <v>San Martin y Monteverde</v>
      </c>
      <c r="D418" s="30" t="str">
        <f>'RESUMEN TOTAL'!E509</f>
        <v>Domo</v>
      </c>
      <c r="E418" s="30" t="str">
        <f>'RESUMEN TOTAL'!F509</f>
        <v>Fibra Optica</v>
      </c>
      <c r="F418" s="70">
        <f>'RESUMEN TOTAL'!M509</f>
        <v>0</v>
      </c>
      <c r="G418" s="70">
        <f>'RESUMEN TOTAL'!N509</f>
        <v>0</v>
      </c>
      <c r="H418" s="70">
        <f>'RESUMEN TOTAL'!O509</f>
        <v>0</v>
      </c>
      <c r="I418" s="70">
        <f>'RESUMEN TOTAL'!P509</f>
        <v>0</v>
      </c>
      <c r="J418" s="70">
        <f>'RESUMEN TOTAL'!Q509</f>
        <v>0</v>
      </c>
      <c r="K418" s="70">
        <f>'RESUMEN TOTAL'!R509</f>
        <v>0</v>
      </c>
      <c r="L418" s="70">
        <f>'RESUMEN TOTAL'!S509</f>
        <v>0</v>
      </c>
      <c r="M418" s="70">
        <f>'RESUMEN TOTAL'!T509</f>
        <v>0</v>
      </c>
      <c r="N418" s="70">
        <f>'RESUMEN TOTAL'!U509</f>
        <v>0</v>
      </c>
      <c r="O418" s="70">
        <f>'RESUMEN TOTAL'!V509</f>
        <v>0</v>
      </c>
      <c r="P418" s="70">
        <f>'RESUMEN TOTAL'!W509</f>
        <v>0</v>
      </c>
      <c r="Q418" s="70">
        <f>'RESUMEN TOTAL'!X509</f>
        <v>0</v>
      </c>
      <c r="R418" s="70">
        <f>'RESUMEN TOTAL'!Y509</f>
        <v>0</v>
      </c>
      <c r="S418" s="70">
        <f>'RESUMEN TOTAL'!Z509</f>
        <v>0</v>
      </c>
      <c r="T418" s="70">
        <f>'RESUMEN TOTAL'!AA509</f>
        <v>0</v>
      </c>
      <c r="U418" s="70">
        <f>'RESUMEN TOTAL'!AB509</f>
        <v>0</v>
      </c>
      <c r="V418" s="70">
        <f>'RESUMEN TOTAL'!AC509</f>
        <v>0</v>
      </c>
      <c r="W418" s="70">
        <f>'RESUMEN TOTAL'!AD509</f>
        <v>0</v>
      </c>
      <c r="X418" s="70">
        <f>'RESUMEN TOTAL'!AE509</f>
        <v>0</v>
      </c>
      <c r="Y418" s="70">
        <f>'RESUMEN TOTAL'!AF509</f>
        <v>0</v>
      </c>
      <c r="Z418" s="70">
        <f>'RESUMEN TOTAL'!AG509</f>
        <v>0</v>
      </c>
      <c r="AA418" s="70">
        <f>'RESUMEN TOTAL'!AH509</f>
        <v>0</v>
      </c>
      <c r="AB418" s="70">
        <f>'RESUMEN TOTAL'!AI509</f>
        <v>0</v>
      </c>
      <c r="AC418" s="70">
        <f>'RESUMEN TOTAL'!AJ509</f>
        <v>0</v>
      </c>
      <c r="AD418" s="70">
        <f>'RESUMEN TOTAL'!AK509</f>
        <v>0</v>
      </c>
      <c r="AE418" s="70">
        <f>'RESUMEN TOTAL'!AL509</f>
        <v>0</v>
      </c>
      <c r="AF418" s="70">
        <f>'RESUMEN TOTAL'!AM509</f>
        <v>0</v>
      </c>
      <c r="AG418" s="70">
        <f>'RESUMEN TOTAL'!AN509</f>
        <v>0</v>
      </c>
      <c r="AH418" s="70">
        <f>'RESUMEN TOTAL'!AO509</f>
        <v>0</v>
      </c>
      <c r="AI418" s="70">
        <f>'RESUMEN TOTAL'!AP509</f>
        <v>0</v>
      </c>
    </row>
    <row r="419" spans="1:35" x14ac:dyDescent="0.25">
      <c r="A419" t="str">
        <f>'RESUMEN TOTAL'!A510</f>
        <v>SAN EMILIO</v>
      </c>
      <c r="B419" t="str">
        <f>'RESUMEN TOTAL'!B510</f>
        <v>VAU 02</v>
      </c>
      <c r="C419" t="str">
        <f>'RESUMEN TOTAL'!D510</f>
        <v>San Martin y Lope de Vega</v>
      </c>
      <c r="D419" s="30" t="str">
        <f>'RESUMEN TOTAL'!E510</f>
        <v>Domo</v>
      </c>
      <c r="E419" s="30" t="str">
        <f>'RESUMEN TOTAL'!F510</f>
        <v>Fibra Optica</v>
      </c>
      <c r="F419" s="70">
        <f>'RESUMEN TOTAL'!M510</f>
        <v>0</v>
      </c>
      <c r="G419" s="70">
        <f>'RESUMEN TOTAL'!N510</f>
        <v>0</v>
      </c>
      <c r="H419" s="70">
        <f>'RESUMEN TOTAL'!O510</f>
        <v>0</v>
      </c>
      <c r="I419" s="70">
        <f>'RESUMEN TOTAL'!P510</f>
        <v>0</v>
      </c>
      <c r="J419" s="70">
        <f>'RESUMEN TOTAL'!Q510</f>
        <v>0</v>
      </c>
      <c r="K419" s="70">
        <f>'RESUMEN TOTAL'!R510</f>
        <v>0</v>
      </c>
      <c r="L419" s="70">
        <f>'RESUMEN TOTAL'!S510</f>
        <v>0</v>
      </c>
      <c r="M419" s="70">
        <f>'RESUMEN TOTAL'!T510</f>
        <v>0</v>
      </c>
      <c r="N419" s="70">
        <f>'RESUMEN TOTAL'!U510</f>
        <v>0</v>
      </c>
      <c r="O419" s="70">
        <f>'RESUMEN TOTAL'!V510</f>
        <v>0</v>
      </c>
      <c r="P419" s="70">
        <f>'RESUMEN TOTAL'!W510</f>
        <v>0</v>
      </c>
      <c r="Q419" s="70">
        <f>'RESUMEN TOTAL'!X510</f>
        <v>0</v>
      </c>
      <c r="R419" s="70">
        <f>'RESUMEN TOTAL'!Y510</f>
        <v>0</v>
      </c>
      <c r="S419" s="70">
        <f>'RESUMEN TOTAL'!Z510</f>
        <v>0</v>
      </c>
      <c r="T419" s="70">
        <f>'RESUMEN TOTAL'!AA510</f>
        <v>0</v>
      </c>
      <c r="U419" s="70">
        <f>'RESUMEN TOTAL'!AB510</f>
        <v>0</v>
      </c>
      <c r="V419" s="70">
        <f>'RESUMEN TOTAL'!AC510</f>
        <v>0</v>
      </c>
      <c r="W419" s="70">
        <f>'RESUMEN TOTAL'!AD510</f>
        <v>0</v>
      </c>
      <c r="X419" s="70">
        <f>'RESUMEN TOTAL'!AE510</f>
        <v>0</v>
      </c>
      <c r="Y419" s="70">
        <f>'RESUMEN TOTAL'!AF510</f>
        <v>0</v>
      </c>
      <c r="Z419" s="70">
        <f>'RESUMEN TOTAL'!AG510</f>
        <v>0</v>
      </c>
      <c r="AA419" s="70">
        <f>'RESUMEN TOTAL'!AH510</f>
        <v>0</v>
      </c>
      <c r="AB419" s="70">
        <f>'RESUMEN TOTAL'!AI510</f>
        <v>0</v>
      </c>
      <c r="AC419" s="70">
        <f>'RESUMEN TOTAL'!AJ510</f>
        <v>0</v>
      </c>
      <c r="AD419" s="70">
        <f>'RESUMEN TOTAL'!AK510</f>
        <v>0</v>
      </c>
      <c r="AE419" s="70">
        <f>'RESUMEN TOTAL'!AL510</f>
        <v>0</v>
      </c>
      <c r="AF419" s="70">
        <f>'RESUMEN TOTAL'!AM510</f>
        <v>0</v>
      </c>
      <c r="AG419" s="70">
        <f>'RESUMEN TOTAL'!AN510</f>
        <v>0</v>
      </c>
      <c r="AH419" s="70">
        <f>'RESUMEN TOTAL'!AO510</f>
        <v>0</v>
      </c>
      <c r="AI419" s="70">
        <f>'RESUMEN TOTAL'!AP510</f>
        <v>0</v>
      </c>
    </row>
    <row r="420" spans="1:35" x14ac:dyDescent="0.25">
      <c r="A420" t="str">
        <f>'RESUMEN TOTAL'!A511</f>
        <v>VILLA AURORA</v>
      </c>
      <c r="B420" t="str">
        <f>'RESUMEN TOTAL'!B511</f>
        <v>VAU03 (fija 1)</v>
      </c>
      <c r="C420" t="str">
        <f>'RESUMEN TOTAL'!D511</f>
        <v>PIZZURNO Y NUESTRAS MALVINAS</v>
      </c>
      <c r="D420" s="30" t="str">
        <f>'RESUMEN TOTAL'!E511</f>
        <v>Fija</v>
      </c>
      <c r="E420" s="30" t="str">
        <f>'RESUMEN TOTAL'!F511</f>
        <v>Fibra Optica</v>
      </c>
      <c r="F420" s="70">
        <f>'RESUMEN TOTAL'!M511</f>
        <v>0</v>
      </c>
      <c r="G420" s="70">
        <f>'RESUMEN TOTAL'!N511</f>
        <v>0</v>
      </c>
      <c r="H420" s="70">
        <f>'RESUMEN TOTAL'!O511</f>
        <v>0</v>
      </c>
      <c r="I420" s="70">
        <f>'RESUMEN TOTAL'!P511</f>
        <v>0</v>
      </c>
      <c r="J420" s="70">
        <f>'RESUMEN TOTAL'!Q511</f>
        <v>0</v>
      </c>
      <c r="K420" s="70">
        <f>'RESUMEN TOTAL'!R511</f>
        <v>0</v>
      </c>
      <c r="L420" s="70">
        <f>'RESUMEN TOTAL'!S511</f>
        <v>0</v>
      </c>
      <c r="M420" s="70">
        <f>'RESUMEN TOTAL'!T511</f>
        <v>0</v>
      </c>
      <c r="N420" s="70">
        <f>'RESUMEN TOTAL'!U511</f>
        <v>0</v>
      </c>
      <c r="O420" s="70">
        <f>'RESUMEN TOTAL'!V511</f>
        <v>0</v>
      </c>
      <c r="P420" s="70">
        <f>'RESUMEN TOTAL'!W511</f>
        <v>0</v>
      </c>
      <c r="Q420" s="70">
        <f>'RESUMEN TOTAL'!X511</f>
        <v>0</v>
      </c>
      <c r="R420" s="70">
        <f>'RESUMEN TOTAL'!Y511</f>
        <v>0</v>
      </c>
      <c r="S420" s="70">
        <f>'RESUMEN TOTAL'!Z511</f>
        <v>0</v>
      </c>
      <c r="T420" s="70">
        <f>'RESUMEN TOTAL'!AA511</f>
        <v>0</v>
      </c>
      <c r="U420" s="70">
        <f>'RESUMEN TOTAL'!AB511</f>
        <v>0</v>
      </c>
      <c r="V420" s="70">
        <f>'RESUMEN TOTAL'!AC511</f>
        <v>0</v>
      </c>
      <c r="W420" s="70">
        <f>'RESUMEN TOTAL'!AD511</f>
        <v>0</v>
      </c>
      <c r="X420" s="70">
        <f>'RESUMEN TOTAL'!AE511</f>
        <v>0</v>
      </c>
      <c r="Y420" s="70">
        <f>'RESUMEN TOTAL'!AF511</f>
        <v>0</v>
      </c>
      <c r="Z420" s="70">
        <f>'RESUMEN TOTAL'!AG511</f>
        <v>0</v>
      </c>
      <c r="AA420" s="70">
        <f>'RESUMEN TOTAL'!AH511</f>
        <v>0</v>
      </c>
      <c r="AB420" s="70">
        <f>'RESUMEN TOTAL'!AI511</f>
        <v>0</v>
      </c>
      <c r="AC420" s="70">
        <f>'RESUMEN TOTAL'!AJ511</f>
        <v>0</v>
      </c>
      <c r="AD420" s="70">
        <f>'RESUMEN TOTAL'!AK511</f>
        <v>0</v>
      </c>
      <c r="AE420" s="70">
        <f>'RESUMEN TOTAL'!AL511</f>
        <v>0</v>
      </c>
      <c r="AF420" s="70">
        <f>'RESUMEN TOTAL'!AM511</f>
        <v>0</v>
      </c>
      <c r="AG420" s="70">
        <f>'RESUMEN TOTAL'!AN511</f>
        <v>0</v>
      </c>
      <c r="AH420" s="70">
        <f>'RESUMEN TOTAL'!AO511</f>
        <v>0</v>
      </c>
      <c r="AI420" s="70">
        <f>'RESUMEN TOTAL'!AP511</f>
        <v>0</v>
      </c>
    </row>
    <row r="421" spans="1:35" x14ac:dyDescent="0.25">
      <c r="A421" t="str">
        <f>'RESUMEN TOTAL'!A512</f>
        <v>VILLA AURORA</v>
      </c>
      <c r="B421" t="str">
        <f>'RESUMEN TOTAL'!B512</f>
        <v>VAU04 (fija 2)</v>
      </c>
      <c r="C421" t="str">
        <f>'RESUMEN TOTAL'!D512</f>
        <v>PIZZURNO Y NUESTRAS MALVINAS</v>
      </c>
      <c r="D421" s="30" t="str">
        <f>'RESUMEN TOTAL'!E512</f>
        <v>Fija</v>
      </c>
      <c r="E421" s="30" t="str">
        <f>'RESUMEN TOTAL'!F512</f>
        <v>Fibra Optica</v>
      </c>
      <c r="F421" s="70">
        <f>'RESUMEN TOTAL'!M512</f>
        <v>0</v>
      </c>
      <c r="G421" s="70">
        <f>'RESUMEN TOTAL'!N512</f>
        <v>0</v>
      </c>
      <c r="H421" s="70">
        <f>'RESUMEN TOTAL'!O512</f>
        <v>0</v>
      </c>
      <c r="I421" s="70">
        <f>'RESUMEN TOTAL'!P512</f>
        <v>0</v>
      </c>
      <c r="J421" s="70">
        <f>'RESUMEN TOTAL'!Q512</f>
        <v>0</v>
      </c>
      <c r="K421" s="70">
        <f>'RESUMEN TOTAL'!R512</f>
        <v>0</v>
      </c>
      <c r="L421" s="70">
        <f>'RESUMEN TOTAL'!S512</f>
        <v>0</v>
      </c>
      <c r="M421" s="70">
        <f>'RESUMEN TOTAL'!T512</f>
        <v>0</v>
      </c>
      <c r="N421" s="70">
        <f>'RESUMEN TOTAL'!U512</f>
        <v>0</v>
      </c>
      <c r="O421" s="70">
        <f>'RESUMEN TOTAL'!V512</f>
        <v>0</v>
      </c>
      <c r="P421" s="70">
        <f>'RESUMEN TOTAL'!W512</f>
        <v>0</v>
      </c>
      <c r="Q421" s="70">
        <f>'RESUMEN TOTAL'!X512</f>
        <v>0</v>
      </c>
      <c r="R421" s="70">
        <f>'RESUMEN TOTAL'!Y512</f>
        <v>0</v>
      </c>
      <c r="S421" s="70">
        <f>'RESUMEN TOTAL'!Z512</f>
        <v>0</v>
      </c>
      <c r="T421" s="70">
        <f>'RESUMEN TOTAL'!AA512</f>
        <v>0</v>
      </c>
      <c r="U421" s="70">
        <f>'RESUMEN TOTAL'!AB512</f>
        <v>0</v>
      </c>
      <c r="V421" s="70">
        <f>'RESUMEN TOTAL'!AC512</f>
        <v>0</v>
      </c>
      <c r="W421" s="70">
        <f>'RESUMEN TOTAL'!AD512</f>
        <v>0</v>
      </c>
      <c r="X421" s="70">
        <f>'RESUMEN TOTAL'!AE512</f>
        <v>0</v>
      </c>
      <c r="Y421" s="70">
        <f>'RESUMEN TOTAL'!AF512</f>
        <v>0</v>
      </c>
      <c r="Z421" s="70">
        <f>'RESUMEN TOTAL'!AG512</f>
        <v>0</v>
      </c>
      <c r="AA421" s="70">
        <f>'RESUMEN TOTAL'!AH512</f>
        <v>0</v>
      </c>
      <c r="AB421" s="70">
        <f>'RESUMEN TOTAL'!AI512</f>
        <v>0</v>
      </c>
      <c r="AC421" s="70">
        <f>'RESUMEN TOTAL'!AJ512</f>
        <v>0</v>
      </c>
      <c r="AD421" s="70">
        <f>'RESUMEN TOTAL'!AK512</f>
        <v>0</v>
      </c>
      <c r="AE421" s="70">
        <f>'RESUMEN TOTAL'!AL512</f>
        <v>0</v>
      </c>
      <c r="AF421" s="70">
        <f>'RESUMEN TOTAL'!AM512</f>
        <v>0</v>
      </c>
      <c r="AG421" s="70">
        <f>'RESUMEN TOTAL'!AN512</f>
        <v>0</v>
      </c>
      <c r="AH421" s="70">
        <f>'RESUMEN TOTAL'!AO512</f>
        <v>0</v>
      </c>
      <c r="AI421" s="70">
        <f>'RESUMEN TOTAL'!AP512</f>
        <v>0</v>
      </c>
    </row>
    <row r="422" spans="1:35" x14ac:dyDescent="0.25">
      <c r="A422" t="str">
        <f>'RESUMEN TOTAL'!A513</f>
        <v>VILLA AURORA</v>
      </c>
      <c r="B422" t="str">
        <f>'RESUMEN TOTAL'!B513</f>
        <v>VAU05 (fija 1)</v>
      </c>
      <c r="C422" t="str">
        <f>'RESUMEN TOTAL'!D513</f>
        <v>GUIDO SPANO Y VICTORINO DE LA PLAZA</v>
      </c>
      <c r="D422" s="30" t="str">
        <f>'RESUMEN TOTAL'!E513</f>
        <v>Fija</v>
      </c>
      <c r="E422" s="30" t="str">
        <f>'RESUMEN TOTAL'!F513</f>
        <v>Fibra Optica</v>
      </c>
      <c r="F422" s="70">
        <f>'RESUMEN TOTAL'!M513</f>
        <v>0</v>
      </c>
      <c r="G422" s="70">
        <f>'RESUMEN TOTAL'!N513</f>
        <v>0</v>
      </c>
      <c r="H422" s="70">
        <f>'RESUMEN TOTAL'!O513</f>
        <v>0</v>
      </c>
      <c r="I422" s="70">
        <f>'RESUMEN TOTAL'!P513</f>
        <v>0</v>
      </c>
      <c r="J422" s="70">
        <f>'RESUMEN TOTAL'!Q513</f>
        <v>0</v>
      </c>
      <c r="K422" s="70">
        <f>'RESUMEN TOTAL'!R513</f>
        <v>0</v>
      </c>
      <c r="L422" s="70">
        <f>'RESUMEN TOTAL'!S513</f>
        <v>0</v>
      </c>
      <c r="M422" s="70">
        <f>'RESUMEN TOTAL'!T513</f>
        <v>0</v>
      </c>
      <c r="N422" s="70">
        <f>'RESUMEN TOTAL'!U513</f>
        <v>0</v>
      </c>
      <c r="O422" s="70">
        <f>'RESUMEN TOTAL'!V513</f>
        <v>0</v>
      </c>
      <c r="P422" s="70">
        <f>'RESUMEN TOTAL'!W513</f>
        <v>0</v>
      </c>
      <c r="Q422" s="70">
        <f>'RESUMEN TOTAL'!X513</f>
        <v>0</v>
      </c>
      <c r="R422" s="70">
        <f>'RESUMEN TOTAL'!Y513</f>
        <v>0</v>
      </c>
      <c r="S422" s="70">
        <f>'RESUMEN TOTAL'!Z513</f>
        <v>0</v>
      </c>
      <c r="T422" s="70">
        <f>'RESUMEN TOTAL'!AA513</f>
        <v>0</v>
      </c>
      <c r="U422" s="70">
        <f>'RESUMEN TOTAL'!AB513</f>
        <v>0</v>
      </c>
      <c r="V422" s="70">
        <f>'RESUMEN TOTAL'!AC513</f>
        <v>0</v>
      </c>
      <c r="W422" s="70">
        <f>'RESUMEN TOTAL'!AD513</f>
        <v>0</v>
      </c>
      <c r="X422" s="70">
        <f>'RESUMEN TOTAL'!AE513</f>
        <v>0</v>
      </c>
      <c r="Y422" s="70">
        <f>'RESUMEN TOTAL'!AF513</f>
        <v>0</v>
      </c>
      <c r="Z422" s="70">
        <f>'RESUMEN TOTAL'!AG513</f>
        <v>0</v>
      </c>
      <c r="AA422" s="70">
        <f>'RESUMEN TOTAL'!AH513</f>
        <v>0</v>
      </c>
      <c r="AB422" s="70">
        <f>'RESUMEN TOTAL'!AI513</f>
        <v>0</v>
      </c>
      <c r="AC422" s="70">
        <f>'RESUMEN TOTAL'!AJ513</f>
        <v>0</v>
      </c>
      <c r="AD422" s="70">
        <f>'RESUMEN TOTAL'!AK513</f>
        <v>0</v>
      </c>
      <c r="AE422" s="70">
        <f>'RESUMEN TOTAL'!AL513</f>
        <v>0</v>
      </c>
      <c r="AF422" s="70">
        <f>'RESUMEN TOTAL'!AM513</f>
        <v>0</v>
      </c>
      <c r="AG422" s="70">
        <f>'RESUMEN TOTAL'!AN513</f>
        <v>0</v>
      </c>
      <c r="AH422" s="70">
        <f>'RESUMEN TOTAL'!AO513</f>
        <v>0</v>
      </c>
      <c r="AI422" s="70">
        <f>'RESUMEN TOTAL'!AP513</f>
        <v>0</v>
      </c>
    </row>
    <row r="423" spans="1:35" x14ac:dyDescent="0.25">
      <c r="A423" t="str">
        <f>'RESUMEN TOTAL'!A514</f>
        <v>VILLA AURORA</v>
      </c>
      <c r="B423" t="str">
        <f>'RESUMEN TOTAL'!B514</f>
        <v>VAU06 (fija 2)</v>
      </c>
      <c r="C423" t="str">
        <f>'RESUMEN TOTAL'!D514</f>
        <v>GUIDO SPANO Y VICTORINO DE LA PLAZA</v>
      </c>
      <c r="D423" s="30" t="str">
        <f>'RESUMEN TOTAL'!E514</f>
        <v>Fija</v>
      </c>
      <c r="E423" s="30" t="str">
        <f>'RESUMEN TOTAL'!F514</f>
        <v>Fibra Optica</v>
      </c>
      <c r="F423" s="70">
        <f>'RESUMEN TOTAL'!M514</f>
        <v>0</v>
      </c>
      <c r="G423" s="70">
        <f>'RESUMEN TOTAL'!N514</f>
        <v>0</v>
      </c>
      <c r="H423" s="70">
        <f>'RESUMEN TOTAL'!O514</f>
        <v>0</v>
      </c>
      <c r="I423" s="70">
        <f>'RESUMEN TOTAL'!P514</f>
        <v>0</v>
      </c>
      <c r="J423" s="70">
        <f>'RESUMEN TOTAL'!Q514</f>
        <v>0</v>
      </c>
      <c r="K423" s="70">
        <f>'RESUMEN TOTAL'!R514</f>
        <v>0</v>
      </c>
      <c r="L423" s="70">
        <f>'RESUMEN TOTAL'!S514</f>
        <v>0</v>
      </c>
      <c r="M423" s="70">
        <f>'RESUMEN TOTAL'!T514</f>
        <v>0</v>
      </c>
      <c r="N423" s="70">
        <f>'RESUMEN TOTAL'!U514</f>
        <v>0</v>
      </c>
      <c r="O423" s="70">
        <f>'RESUMEN TOTAL'!V514</f>
        <v>0</v>
      </c>
      <c r="P423" s="70">
        <f>'RESUMEN TOTAL'!W514</f>
        <v>0</v>
      </c>
      <c r="Q423" s="70">
        <f>'RESUMEN TOTAL'!X514</f>
        <v>0</v>
      </c>
      <c r="R423" s="70">
        <f>'RESUMEN TOTAL'!Y514</f>
        <v>0</v>
      </c>
      <c r="S423" s="70">
        <f>'RESUMEN TOTAL'!Z514</f>
        <v>0</v>
      </c>
      <c r="T423" s="70">
        <f>'RESUMEN TOTAL'!AA514</f>
        <v>0</v>
      </c>
      <c r="U423" s="70">
        <f>'RESUMEN TOTAL'!AB514</f>
        <v>0</v>
      </c>
      <c r="V423" s="70">
        <f>'RESUMEN TOTAL'!AC514</f>
        <v>0</v>
      </c>
      <c r="W423" s="70">
        <f>'RESUMEN TOTAL'!AD514</f>
        <v>0</v>
      </c>
      <c r="X423" s="70">
        <f>'RESUMEN TOTAL'!AE514</f>
        <v>0</v>
      </c>
      <c r="Y423" s="70">
        <f>'RESUMEN TOTAL'!AF514</f>
        <v>0</v>
      </c>
      <c r="Z423" s="70">
        <f>'RESUMEN TOTAL'!AG514</f>
        <v>0</v>
      </c>
      <c r="AA423" s="70">
        <f>'RESUMEN TOTAL'!AH514</f>
        <v>0</v>
      </c>
      <c r="AB423" s="70">
        <f>'RESUMEN TOTAL'!AI514</f>
        <v>0</v>
      </c>
      <c r="AC423" s="70">
        <f>'RESUMEN TOTAL'!AJ514</f>
        <v>0</v>
      </c>
      <c r="AD423" s="70">
        <f>'RESUMEN TOTAL'!AK514</f>
        <v>0</v>
      </c>
      <c r="AE423" s="70">
        <f>'RESUMEN TOTAL'!AL514</f>
        <v>0</v>
      </c>
      <c r="AF423" s="70">
        <f>'RESUMEN TOTAL'!AM514</f>
        <v>0</v>
      </c>
      <c r="AG423" s="70">
        <f>'RESUMEN TOTAL'!AN514</f>
        <v>0</v>
      </c>
      <c r="AH423" s="70">
        <f>'RESUMEN TOTAL'!AO514</f>
        <v>0</v>
      </c>
      <c r="AI423" s="70">
        <f>'RESUMEN TOTAL'!AP514</f>
        <v>0</v>
      </c>
    </row>
    <row r="424" spans="1:35" x14ac:dyDescent="0.25">
      <c r="A424" t="str">
        <f>'RESUMEN TOTAL'!A515</f>
        <v>VILLA AURORA</v>
      </c>
      <c r="B424" t="str">
        <f>'RESUMEN TOTAL'!B515</f>
        <v>VAU 07</v>
      </c>
      <c r="C424" t="str">
        <f>'RESUMEN TOTAL'!D515</f>
        <v>VICTORINO DE LA PLAZA Y MONTEVERDE</v>
      </c>
      <c r="D424" s="30" t="str">
        <f>'RESUMEN TOTAL'!E515</f>
        <v>Domo</v>
      </c>
      <c r="E424" s="30" t="str">
        <f>'RESUMEN TOTAL'!F515</f>
        <v>Fibra Optica</v>
      </c>
      <c r="F424" s="70" t="str">
        <f>'RESUMEN TOTAL'!M515</f>
        <v>APAGADO</v>
      </c>
      <c r="G424" s="70" t="str">
        <f>'RESUMEN TOTAL'!N515</f>
        <v>APAGADO</v>
      </c>
      <c r="H424" s="70" t="str">
        <f>'RESUMEN TOTAL'!O515</f>
        <v>APAGADO</v>
      </c>
      <c r="I424" s="70">
        <f>'RESUMEN TOTAL'!P515</f>
        <v>0</v>
      </c>
      <c r="J424" s="70">
        <f>'RESUMEN TOTAL'!Q515</f>
        <v>0</v>
      </c>
      <c r="K424" s="70">
        <f>'RESUMEN TOTAL'!R515</f>
        <v>0</v>
      </c>
      <c r="L424" s="70">
        <f>'RESUMEN TOTAL'!S515</f>
        <v>0</v>
      </c>
      <c r="M424" s="70">
        <f>'RESUMEN TOTAL'!T515</f>
        <v>0</v>
      </c>
      <c r="N424" s="70">
        <f>'RESUMEN TOTAL'!U515</f>
        <v>0</v>
      </c>
      <c r="O424" s="70">
        <f>'RESUMEN TOTAL'!V515</f>
        <v>0</v>
      </c>
      <c r="P424" s="70">
        <f>'RESUMEN TOTAL'!W515</f>
        <v>0</v>
      </c>
      <c r="Q424" s="70">
        <f>'RESUMEN TOTAL'!X515</f>
        <v>0</v>
      </c>
      <c r="R424" s="70">
        <f>'RESUMEN TOTAL'!Y515</f>
        <v>0</v>
      </c>
      <c r="S424" s="70">
        <f>'RESUMEN TOTAL'!Z515</f>
        <v>0</v>
      </c>
      <c r="T424" s="70">
        <f>'RESUMEN TOTAL'!AA515</f>
        <v>0</v>
      </c>
      <c r="U424" s="70">
        <f>'RESUMEN TOTAL'!AB515</f>
        <v>0</v>
      </c>
      <c r="V424" s="70">
        <f>'RESUMEN TOTAL'!AC515</f>
        <v>0</v>
      </c>
      <c r="W424" s="70">
        <f>'RESUMEN TOTAL'!AD515</f>
        <v>0</v>
      </c>
      <c r="X424" s="70">
        <f>'RESUMEN TOTAL'!AE515</f>
        <v>0</v>
      </c>
      <c r="Y424" s="70">
        <f>'RESUMEN TOTAL'!AF515</f>
        <v>0</v>
      </c>
      <c r="Z424" s="70">
        <f>'RESUMEN TOTAL'!AG515</f>
        <v>0</v>
      </c>
      <c r="AA424" s="70">
        <f>'RESUMEN TOTAL'!AH515</f>
        <v>0</v>
      </c>
      <c r="AB424" s="70">
        <f>'RESUMEN TOTAL'!AI515</f>
        <v>0</v>
      </c>
      <c r="AC424" s="70">
        <f>'RESUMEN TOTAL'!AJ515</f>
        <v>0</v>
      </c>
      <c r="AD424" s="70">
        <f>'RESUMEN TOTAL'!AK515</f>
        <v>0</v>
      </c>
      <c r="AE424" s="70">
        <f>'RESUMEN TOTAL'!AL515</f>
        <v>0</v>
      </c>
      <c r="AF424" s="70">
        <f>'RESUMEN TOTAL'!AM515</f>
        <v>0</v>
      </c>
      <c r="AG424" s="70">
        <f>'RESUMEN TOTAL'!AN515</f>
        <v>0</v>
      </c>
      <c r="AH424" s="70">
        <f>'RESUMEN TOTAL'!AO515</f>
        <v>0</v>
      </c>
      <c r="AI424" s="70">
        <f>'RESUMEN TOTAL'!AP515</f>
        <v>0</v>
      </c>
    </row>
    <row r="425" spans="1:35" x14ac:dyDescent="0.25">
      <c r="A425" t="str">
        <f>'RESUMEN TOTAL'!A516</f>
        <v>VILLA AURORA</v>
      </c>
      <c r="B425" t="str">
        <f>'RESUMEN TOTAL'!B516</f>
        <v>VAU08</v>
      </c>
      <c r="C425" t="str">
        <f>'RESUMEN TOTAL'!D516</f>
        <v>MONTEVERDE Y WASHINGTON</v>
      </c>
      <c r="D425" s="30" t="str">
        <f>'RESUMEN TOTAL'!E516</f>
        <v>DOMO</v>
      </c>
      <c r="E425" s="30" t="str">
        <f>'RESUMEN TOTAL'!F516</f>
        <v>Fibra Optica</v>
      </c>
      <c r="F425" s="70">
        <f>'RESUMEN TOTAL'!M516</f>
        <v>0</v>
      </c>
      <c r="G425" s="70">
        <f>'RESUMEN TOTAL'!N516</f>
        <v>0</v>
      </c>
      <c r="H425" s="70">
        <f>'RESUMEN TOTAL'!O516</f>
        <v>0</v>
      </c>
      <c r="I425" s="70">
        <f>'RESUMEN TOTAL'!P516</f>
        <v>0</v>
      </c>
      <c r="J425" s="70">
        <f>'RESUMEN TOTAL'!Q516</f>
        <v>0</v>
      </c>
      <c r="K425" s="70">
        <f>'RESUMEN TOTAL'!R516</f>
        <v>0</v>
      </c>
      <c r="L425" s="70">
        <f>'RESUMEN TOTAL'!S516</f>
        <v>0</v>
      </c>
      <c r="M425" s="70">
        <f>'RESUMEN TOTAL'!T516</f>
        <v>0</v>
      </c>
      <c r="N425" s="70">
        <f>'RESUMEN TOTAL'!U516</f>
        <v>0</v>
      </c>
      <c r="O425" s="70">
        <f>'RESUMEN TOTAL'!V516</f>
        <v>0</v>
      </c>
      <c r="P425" s="70">
        <f>'RESUMEN TOTAL'!W516</f>
        <v>0</v>
      </c>
      <c r="Q425" s="70">
        <f>'RESUMEN TOTAL'!X516</f>
        <v>0</v>
      </c>
      <c r="R425" s="70">
        <f>'RESUMEN TOTAL'!Y516</f>
        <v>0</v>
      </c>
      <c r="S425" s="70">
        <f>'RESUMEN TOTAL'!Z516</f>
        <v>0</v>
      </c>
      <c r="T425" s="70">
        <f>'RESUMEN TOTAL'!AA516</f>
        <v>0</v>
      </c>
      <c r="U425" s="70">
        <f>'RESUMEN TOTAL'!AB516</f>
        <v>0</v>
      </c>
      <c r="V425" s="70">
        <f>'RESUMEN TOTAL'!AC516</f>
        <v>0</v>
      </c>
      <c r="W425" s="70">
        <f>'RESUMEN TOTAL'!AD516</f>
        <v>0</v>
      </c>
      <c r="X425" s="70">
        <f>'RESUMEN TOTAL'!AE516</f>
        <v>0</v>
      </c>
      <c r="Y425" s="70">
        <f>'RESUMEN TOTAL'!AF516</f>
        <v>0</v>
      </c>
      <c r="Z425" s="70">
        <f>'RESUMEN TOTAL'!AG516</f>
        <v>0</v>
      </c>
      <c r="AA425" s="70">
        <f>'RESUMEN TOTAL'!AH516</f>
        <v>0</v>
      </c>
      <c r="AB425" s="70">
        <f>'RESUMEN TOTAL'!AI516</f>
        <v>0</v>
      </c>
      <c r="AC425" s="70">
        <f>'RESUMEN TOTAL'!AJ516</f>
        <v>0</v>
      </c>
      <c r="AD425" s="70">
        <f>'RESUMEN TOTAL'!AK516</f>
        <v>0</v>
      </c>
      <c r="AE425" s="70">
        <f>'RESUMEN TOTAL'!AL516</f>
        <v>0</v>
      </c>
      <c r="AF425" s="70">
        <f>'RESUMEN TOTAL'!AM516</f>
        <v>0</v>
      </c>
      <c r="AG425" s="70">
        <f>'RESUMEN TOTAL'!AN516</f>
        <v>0</v>
      </c>
      <c r="AH425" s="70">
        <f>'RESUMEN TOTAL'!AO516</f>
        <v>0</v>
      </c>
      <c r="AI425" s="70">
        <f>'RESUMEN TOTAL'!AP516</f>
        <v>0</v>
      </c>
    </row>
    <row r="426" spans="1:35" x14ac:dyDescent="0.25">
      <c r="A426" t="str">
        <f>'RESUMEN TOTAL'!A518</f>
        <v>VILLA DEL PLATA</v>
      </c>
      <c r="B426" t="str">
        <f>'RESUMEN TOTAL'!B518</f>
        <v>VDPL02</v>
      </c>
      <c r="C426" t="str">
        <f>'RESUMEN TOTAL'!D518</f>
        <v>Thevenet y Berutti</v>
      </c>
      <c r="D426" s="30" t="str">
        <f>'RESUMEN TOTAL'!E518</f>
        <v>Domo</v>
      </c>
      <c r="E426" s="30" t="str">
        <f>'RESUMEN TOTAL'!F518</f>
        <v>Fibra Optica</v>
      </c>
      <c r="F426" s="70">
        <f>'RESUMEN TOTAL'!M518</f>
        <v>0</v>
      </c>
      <c r="G426" s="70">
        <f>'RESUMEN TOTAL'!N518</f>
        <v>0</v>
      </c>
      <c r="H426" s="70">
        <f>'RESUMEN TOTAL'!O518</f>
        <v>0</v>
      </c>
      <c r="I426" s="70">
        <f>'RESUMEN TOTAL'!P518</f>
        <v>0</v>
      </c>
      <c r="J426" s="70">
        <f>'RESUMEN TOTAL'!Q518</f>
        <v>0</v>
      </c>
      <c r="K426" s="70">
        <f>'RESUMEN TOTAL'!R518</f>
        <v>0</v>
      </c>
      <c r="L426" s="70">
        <f>'RESUMEN TOTAL'!S518</f>
        <v>0</v>
      </c>
      <c r="M426" s="70">
        <f>'RESUMEN TOTAL'!T518</f>
        <v>0</v>
      </c>
      <c r="N426" s="70">
        <f>'RESUMEN TOTAL'!U518</f>
        <v>0</v>
      </c>
      <c r="O426" s="70">
        <f>'RESUMEN TOTAL'!V518</f>
        <v>0</v>
      </c>
      <c r="P426" s="70">
        <f>'RESUMEN TOTAL'!W518</f>
        <v>0</v>
      </c>
      <c r="Q426" s="70">
        <f>'RESUMEN TOTAL'!X518</f>
        <v>0</v>
      </c>
      <c r="R426" s="70">
        <f>'RESUMEN TOTAL'!Y518</f>
        <v>0</v>
      </c>
      <c r="S426" s="70">
        <f>'RESUMEN TOTAL'!Z518</f>
        <v>0</v>
      </c>
      <c r="T426" s="70">
        <f>'RESUMEN TOTAL'!AA518</f>
        <v>0</v>
      </c>
      <c r="U426" s="70">
        <f>'RESUMEN TOTAL'!AB518</f>
        <v>0</v>
      </c>
      <c r="V426" s="70">
        <f>'RESUMEN TOTAL'!AC518</f>
        <v>0</v>
      </c>
      <c r="W426" s="70">
        <f>'RESUMEN TOTAL'!AD518</f>
        <v>0</v>
      </c>
      <c r="X426" s="70">
        <f>'RESUMEN TOTAL'!AE518</f>
        <v>0</v>
      </c>
      <c r="Y426" s="70">
        <f>'RESUMEN TOTAL'!AF518</f>
        <v>0</v>
      </c>
      <c r="Z426" s="70">
        <f>'RESUMEN TOTAL'!AG518</f>
        <v>0</v>
      </c>
      <c r="AA426" s="70">
        <f>'RESUMEN TOTAL'!AH518</f>
        <v>0</v>
      </c>
      <c r="AB426" s="70">
        <f>'RESUMEN TOTAL'!AI518</f>
        <v>0</v>
      </c>
      <c r="AC426" s="70">
        <f>'RESUMEN TOTAL'!AJ518</f>
        <v>0</v>
      </c>
      <c r="AD426" s="70">
        <f>'RESUMEN TOTAL'!AK518</f>
        <v>0</v>
      </c>
      <c r="AE426" s="70" t="str">
        <f>'RESUMEN TOTAL'!AL518</f>
        <v>APAGADO</v>
      </c>
      <c r="AF426" s="70">
        <f>'RESUMEN TOTAL'!AM518</f>
        <v>0</v>
      </c>
      <c r="AG426" s="70">
        <f>'RESUMEN TOTAL'!AN518</f>
        <v>0</v>
      </c>
      <c r="AH426" s="70">
        <f>'RESUMEN TOTAL'!AO518</f>
        <v>0</v>
      </c>
      <c r="AI426" s="70">
        <f>'RESUMEN TOTAL'!AP518</f>
        <v>0</v>
      </c>
    </row>
    <row r="427" spans="1:35" x14ac:dyDescent="0.25">
      <c r="A427" t="str">
        <f>'RESUMEN TOTAL'!A519</f>
        <v>VILLA DEL PLATA</v>
      </c>
      <c r="B427" t="str">
        <f>'RESUMEN TOTAL'!B519</f>
        <v>VDPL03</v>
      </c>
      <c r="C427" t="str">
        <f>'RESUMEN TOTAL'!D519</f>
        <v>Neuquen y Alvarado</v>
      </c>
      <c r="D427" s="30" t="str">
        <f>'RESUMEN TOTAL'!E519</f>
        <v>Domo</v>
      </c>
      <c r="E427" s="30" t="str">
        <f>'RESUMEN TOTAL'!F519</f>
        <v>GPON</v>
      </c>
      <c r="F427" s="70">
        <f>'RESUMEN TOTAL'!M519</f>
        <v>0</v>
      </c>
      <c r="G427" s="70">
        <f>'RESUMEN TOTAL'!N519</f>
        <v>0</v>
      </c>
      <c r="H427" s="70">
        <f>'RESUMEN TOTAL'!O519</f>
        <v>0</v>
      </c>
      <c r="I427" s="70">
        <f>'RESUMEN TOTAL'!P519</f>
        <v>0</v>
      </c>
      <c r="J427" s="70">
        <f>'RESUMEN TOTAL'!Q519</f>
        <v>0</v>
      </c>
      <c r="K427" s="70">
        <f>'RESUMEN TOTAL'!R519</f>
        <v>0</v>
      </c>
      <c r="L427" s="70">
        <f>'RESUMEN TOTAL'!S519</f>
        <v>0</v>
      </c>
      <c r="M427" s="70">
        <f>'RESUMEN TOTAL'!T519</f>
        <v>0</v>
      </c>
      <c r="N427" s="70">
        <f>'RESUMEN TOTAL'!U519</f>
        <v>0</v>
      </c>
      <c r="O427" s="70">
        <f>'RESUMEN TOTAL'!V519</f>
        <v>0</v>
      </c>
      <c r="P427" s="70">
        <f>'RESUMEN TOTAL'!W519</f>
        <v>0</v>
      </c>
      <c r="Q427" s="70">
        <f>'RESUMEN TOTAL'!X519</f>
        <v>0</v>
      </c>
      <c r="R427" s="70">
        <f>'RESUMEN TOTAL'!Y519</f>
        <v>0</v>
      </c>
      <c r="S427" s="70">
        <f>'RESUMEN TOTAL'!Z519</f>
        <v>0</v>
      </c>
      <c r="T427" s="70">
        <f>'RESUMEN TOTAL'!AA519</f>
        <v>0</v>
      </c>
      <c r="U427" s="70">
        <f>'RESUMEN TOTAL'!AB519</f>
        <v>0</v>
      </c>
      <c r="V427" s="70">
        <f>'RESUMEN TOTAL'!AC519</f>
        <v>0</v>
      </c>
      <c r="W427" s="70">
        <f>'RESUMEN TOTAL'!AD519</f>
        <v>0</v>
      </c>
      <c r="X427" s="70">
        <f>'RESUMEN TOTAL'!AE519</f>
        <v>0</v>
      </c>
      <c r="Y427" s="70">
        <f>'RESUMEN TOTAL'!AF519</f>
        <v>0</v>
      </c>
      <c r="Z427" s="70">
        <f>'RESUMEN TOTAL'!AG519</f>
        <v>0</v>
      </c>
      <c r="AA427" s="70">
        <f>'RESUMEN TOTAL'!AH519</f>
        <v>0</v>
      </c>
      <c r="AB427" s="70">
        <f>'RESUMEN TOTAL'!AI519</f>
        <v>0</v>
      </c>
      <c r="AC427" s="70">
        <f>'RESUMEN TOTAL'!AJ519</f>
        <v>0</v>
      </c>
      <c r="AD427" s="70">
        <f>'RESUMEN TOTAL'!AK519</f>
        <v>0</v>
      </c>
      <c r="AE427" s="70">
        <f>'RESUMEN TOTAL'!AL519</f>
        <v>0</v>
      </c>
      <c r="AF427" s="70">
        <f>'RESUMEN TOTAL'!AM519</f>
        <v>0</v>
      </c>
      <c r="AG427" s="70">
        <f>'RESUMEN TOTAL'!AN519</f>
        <v>0</v>
      </c>
      <c r="AH427" s="70">
        <f>'RESUMEN TOTAL'!AO519</f>
        <v>0</v>
      </c>
      <c r="AI427" s="70">
        <f>'RESUMEN TOTAL'!AP519</f>
        <v>0</v>
      </c>
    </row>
    <row r="428" spans="1:35" x14ac:dyDescent="0.25">
      <c r="A428" t="str">
        <f>'RESUMEN TOTAL'!A520</f>
        <v>VILLA DEL PLATA</v>
      </c>
      <c r="B428" t="str">
        <f>'RESUMEN TOTAL'!B520</f>
        <v>VDPL04</v>
      </c>
      <c r="C428" t="str">
        <f>'RESUMEN TOTAL'!D520</f>
        <v>Neuquen y Diagonal Guemes</v>
      </c>
      <c r="D428" s="30" t="str">
        <f>'RESUMEN TOTAL'!E520</f>
        <v>Domo</v>
      </c>
      <c r="E428" s="30" t="str">
        <f>'RESUMEN TOTAL'!F520</f>
        <v>GPON</v>
      </c>
      <c r="F428" s="70" t="str">
        <f>'RESUMEN TOTAL'!M520</f>
        <v>APAGADO</v>
      </c>
      <c r="G428" s="70" t="str">
        <f>'RESUMEN TOTAL'!N520</f>
        <v>APAGADO</v>
      </c>
      <c r="H428" s="70" t="str">
        <f>'RESUMEN TOTAL'!O520</f>
        <v>APAGADO</v>
      </c>
      <c r="I428" s="70">
        <f>'RESUMEN TOTAL'!P520</f>
        <v>0</v>
      </c>
      <c r="J428" s="70">
        <f>'RESUMEN TOTAL'!Q520</f>
        <v>0</v>
      </c>
      <c r="K428" s="70">
        <f>'RESUMEN TOTAL'!R520</f>
        <v>0</v>
      </c>
      <c r="L428" s="70">
        <f>'RESUMEN TOTAL'!S520</f>
        <v>0</v>
      </c>
      <c r="M428" s="70">
        <f>'RESUMEN TOTAL'!T520</f>
        <v>0</v>
      </c>
      <c r="N428" s="70">
        <f>'RESUMEN TOTAL'!U520</f>
        <v>0</v>
      </c>
      <c r="O428" s="70">
        <f>'RESUMEN TOTAL'!V520</f>
        <v>0</v>
      </c>
      <c r="P428" s="70">
        <f>'RESUMEN TOTAL'!W520</f>
        <v>0</v>
      </c>
      <c r="Q428" s="70">
        <f>'RESUMEN TOTAL'!X520</f>
        <v>0</v>
      </c>
      <c r="R428" s="70">
        <f>'RESUMEN TOTAL'!Y520</f>
        <v>0</v>
      </c>
      <c r="S428" s="70">
        <f>'RESUMEN TOTAL'!Z520</f>
        <v>0</v>
      </c>
      <c r="T428" s="70">
        <f>'RESUMEN TOTAL'!AA520</f>
        <v>0</v>
      </c>
      <c r="U428" s="70">
        <f>'RESUMEN TOTAL'!AB520</f>
        <v>0</v>
      </c>
      <c r="V428" s="70">
        <f>'RESUMEN TOTAL'!AC520</f>
        <v>0</v>
      </c>
      <c r="W428" s="70">
        <f>'RESUMEN TOTAL'!AD520</f>
        <v>0</v>
      </c>
      <c r="X428" s="70">
        <f>'RESUMEN TOTAL'!AE520</f>
        <v>0</v>
      </c>
      <c r="Y428" s="70">
        <f>'RESUMEN TOTAL'!AF520</f>
        <v>0</v>
      </c>
      <c r="Z428" s="70">
        <f>'RESUMEN TOTAL'!AG520</f>
        <v>0</v>
      </c>
      <c r="AA428" s="70">
        <f>'RESUMEN TOTAL'!AH520</f>
        <v>0</v>
      </c>
      <c r="AB428" s="70">
        <f>'RESUMEN TOTAL'!AI520</f>
        <v>0</v>
      </c>
      <c r="AC428" s="70">
        <f>'RESUMEN TOTAL'!AJ520</f>
        <v>0</v>
      </c>
      <c r="AD428" s="70">
        <f>'RESUMEN TOTAL'!AK520</f>
        <v>0</v>
      </c>
      <c r="AE428" s="70">
        <f>'RESUMEN TOTAL'!AL520</f>
        <v>0</v>
      </c>
      <c r="AF428" s="70">
        <f>'RESUMEN TOTAL'!AM520</f>
        <v>0</v>
      </c>
      <c r="AG428" s="70">
        <f>'RESUMEN TOTAL'!AN520</f>
        <v>0</v>
      </c>
      <c r="AH428" s="70">
        <f>'RESUMEN TOTAL'!AO520</f>
        <v>0</v>
      </c>
      <c r="AI428" s="70">
        <f>'RESUMEN TOTAL'!AP520</f>
        <v>0</v>
      </c>
    </row>
    <row r="429" spans="1:35" x14ac:dyDescent="0.25">
      <c r="A429" t="str">
        <f>'RESUMEN TOTAL'!A521</f>
        <v>VILLA DEL PLATA</v>
      </c>
      <c r="B429" t="str">
        <f>'RESUMEN TOTAL'!B521</f>
        <v>VDPL05</v>
      </c>
      <c r="C429" t="str">
        <f>'RESUMEN TOTAL'!D521</f>
        <v>Ruta 36 y Abraham</v>
      </c>
      <c r="D429" s="30" t="str">
        <f>'RESUMEN TOTAL'!E521</f>
        <v>Domo</v>
      </c>
      <c r="E429" s="30" t="str">
        <f>'RESUMEN TOTAL'!F521</f>
        <v>PTO A FO</v>
      </c>
      <c r="F429" s="70">
        <f>'RESUMEN TOTAL'!M521</f>
        <v>0</v>
      </c>
      <c r="G429" s="70">
        <f>'RESUMEN TOTAL'!N521</f>
        <v>0</v>
      </c>
      <c r="H429" s="70">
        <f>'RESUMEN TOTAL'!O521</f>
        <v>0</v>
      </c>
      <c r="I429" s="70">
        <f>'RESUMEN TOTAL'!P521</f>
        <v>0</v>
      </c>
      <c r="J429" s="70">
        <f>'RESUMEN TOTAL'!Q521</f>
        <v>0</v>
      </c>
      <c r="K429" s="70">
        <f>'RESUMEN TOTAL'!R521</f>
        <v>0</v>
      </c>
      <c r="L429" s="70">
        <f>'RESUMEN TOTAL'!S521</f>
        <v>0</v>
      </c>
      <c r="M429" s="70">
        <f>'RESUMEN TOTAL'!T521</f>
        <v>0</v>
      </c>
      <c r="N429" s="70">
        <f>'RESUMEN TOTAL'!U521</f>
        <v>0</v>
      </c>
      <c r="O429" s="70">
        <f>'RESUMEN TOTAL'!V521</f>
        <v>0</v>
      </c>
      <c r="P429" s="70">
        <f>'RESUMEN TOTAL'!W521</f>
        <v>0</v>
      </c>
      <c r="Q429" s="70">
        <f>'RESUMEN TOTAL'!X521</f>
        <v>0</v>
      </c>
      <c r="R429" s="70">
        <f>'RESUMEN TOTAL'!Y521</f>
        <v>0</v>
      </c>
      <c r="S429" s="70">
        <f>'RESUMEN TOTAL'!Z521</f>
        <v>0</v>
      </c>
      <c r="T429" s="70">
        <f>'RESUMEN TOTAL'!AA521</f>
        <v>0</v>
      </c>
      <c r="U429" s="70">
        <f>'RESUMEN TOTAL'!AB521</f>
        <v>0</v>
      </c>
      <c r="V429" s="70" t="str">
        <f>'RESUMEN TOTAL'!AC521</f>
        <v xml:space="preserve"> </v>
      </c>
      <c r="W429" s="70">
        <f>'RESUMEN TOTAL'!AD521</f>
        <v>0</v>
      </c>
      <c r="X429" s="70">
        <f>'RESUMEN TOTAL'!AE521</f>
        <v>0</v>
      </c>
      <c r="Y429" s="70">
        <f>'RESUMEN TOTAL'!AF521</f>
        <v>0</v>
      </c>
      <c r="Z429" s="70">
        <f>'RESUMEN TOTAL'!AG521</f>
        <v>0</v>
      </c>
      <c r="AA429" s="70">
        <f>'RESUMEN TOTAL'!AH521</f>
        <v>0</v>
      </c>
      <c r="AB429" s="70">
        <f>'RESUMEN TOTAL'!AI521</f>
        <v>0</v>
      </c>
      <c r="AC429" s="70">
        <f>'RESUMEN TOTAL'!AJ521</f>
        <v>0</v>
      </c>
      <c r="AD429" s="70">
        <f>'RESUMEN TOTAL'!AK521</f>
        <v>0</v>
      </c>
      <c r="AE429" s="70" t="str">
        <f>'RESUMEN TOTAL'!AL521</f>
        <v>APAGADO</v>
      </c>
      <c r="AF429" s="70">
        <f>'RESUMEN TOTAL'!AM521</f>
        <v>0</v>
      </c>
      <c r="AG429" s="70">
        <f>'RESUMEN TOTAL'!AN521</f>
        <v>0</v>
      </c>
      <c r="AH429" s="70">
        <f>'RESUMEN TOTAL'!AO521</f>
        <v>0</v>
      </c>
      <c r="AI429" s="70">
        <f>'RESUMEN TOTAL'!AP521</f>
        <v>0</v>
      </c>
    </row>
    <row r="430" spans="1:35" x14ac:dyDescent="0.25">
      <c r="A430" t="str">
        <f>'RESUMEN TOTAL'!A522</f>
        <v>VILLA ANGELICA</v>
      </c>
      <c r="B430" t="str">
        <f>'RESUMEN TOTAL'!B522</f>
        <v>VDPL06</v>
      </c>
      <c r="C430" t="str">
        <f>'RESUMEN TOTAL'!D522</f>
        <v>Thevenet e/ Islas Orcadas y Gardel</v>
      </c>
      <c r="D430" s="30" t="str">
        <f>'RESUMEN TOTAL'!E522</f>
        <v>Domo</v>
      </c>
      <c r="E430" s="30" t="str">
        <f>'RESUMEN TOTAL'!F522</f>
        <v>GPON</v>
      </c>
      <c r="F430" s="70">
        <f>'RESUMEN TOTAL'!M522</f>
        <v>0</v>
      </c>
      <c r="G430" s="70">
        <f>'RESUMEN TOTAL'!N522</f>
        <v>0</v>
      </c>
      <c r="H430" s="70">
        <f>'RESUMEN TOTAL'!O522</f>
        <v>0</v>
      </c>
      <c r="I430" s="70">
        <f>'RESUMEN TOTAL'!P522</f>
        <v>0</v>
      </c>
      <c r="J430" s="70">
        <f>'RESUMEN TOTAL'!Q522</f>
        <v>0</v>
      </c>
      <c r="K430" s="70">
        <f>'RESUMEN TOTAL'!R522</f>
        <v>0</v>
      </c>
      <c r="L430" s="70">
        <f>'RESUMEN TOTAL'!S522</f>
        <v>0</v>
      </c>
      <c r="M430" s="70">
        <f>'RESUMEN TOTAL'!T522</f>
        <v>0</v>
      </c>
      <c r="N430" s="70">
        <f>'RESUMEN TOTAL'!U522</f>
        <v>0</v>
      </c>
      <c r="O430" s="70">
        <f>'RESUMEN TOTAL'!V522</f>
        <v>0</v>
      </c>
      <c r="P430" s="70">
        <f>'RESUMEN TOTAL'!W522</f>
        <v>0</v>
      </c>
      <c r="Q430" s="70">
        <f>'RESUMEN TOTAL'!X522</f>
        <v>0</v>
      </c>
      <c r="R430" s="70">
        <f>'RESUMEN TOTAL'!Y522</f>
        <v>0</v>
      </c>
      <c r="S430" s="70">
        <f>'RESUMEN TOTAL'!Z522</f>
        <v>0</v>
      </c>
      <c r="T430" s="70">
        <f>'RESUMEN TOTAL'!AA522</f>
        <v>0</v>
      </c>
      <c r="U430" s="70">
        <f>'RESUMEN TOTAL'!AB522</f>
        <v>0</v>
      </c>
      <c r="V430" s="70">
        <f>'RESUMEN TOTAL'!AC522</f>
        <v>0</v>
      </c>
      <c r="W430" s="70">
        <f>'RESUMEN TOTAL'!AD522</f>
        <v>0</v>
      </c>
      <c r="X430" s="70">
        <f>'RESUMEN TOTAL'!AE522</f>
        <v>0</v>
      </c>
      <c r="Y430" s="70">
        <f>'RESUMEN TOTAL'!AF522</f>
        <v>0</v>
      </c>
      <c r="Z430" s="70">
        <f>'RESUMEN TOTAL'!AG522</f>
        <v>0</v>
      </c>
      <c r="AA430" s="70">
        <f>'RESUMEN TOTAL'!AH522</f>
        <v>0</v>
      </c>
      <c r="AB430" s="70">
        <f>'RESUMEN TOTAL'!AI522</f>
        <v>0</v>
      </c>
      <c r="AC430" s="70">
        <f>'RESUMEN TOTAL'!AJ522</f>
        <v>0</v>
      </c>
      <c r="AD430" s="70">
        <f>'RESUMEN TOTAL'!AK522</f>
        <v>0</v>
      </c>
      <c r="AE430" s="70">
        <f>'RESUMEN TOTAL'!AL522</f>
        <v>0</v>
      </c>
      <c r="AF430" s="70">
        <f>'RESUMEN TOTAL'!AM522</f>
        <v>0</v>
      </c>
      <c r="AG430" s="70">
        <f>'RESUMEN TOTAL'!AN522</f>
        <v>0</v>
      </c>
      <c r="AH430" s="70">
        <f>'RESUMEN TOTAL'!AO522</f>
        <v>0</v>
      </c>
      <c r="AI430" s="70">
        <f>'RESUMEN TOTAL'!AP522</f>
        <v>0</v>
      </c>
    </row>
    <row r="431" spans="1:35" x14ac:dyDescent="0.25">
      <c r="A431" t="str">
        <f>'RESUMEN TOTAL'!A523</f>
        <v>VILLA ANGELICA</v>
      </c>
      <c r="B431" t="str">
        <f>'RESUMEN TOTAL'!B523</f>
        <v>VDPL07</v>
      </c>
      <c r="C431" t="str">
        <f>'RESUMEN TOTAL'!D523</f>
        <v>Berutti y Casares</v>
      </c>
      <c r="D431" s="30" t="str">
        <f>'RESUMEN TOTAL'!E523</f>
        <v>DOMO</v>
      </c>
      <c r="E431" s="30" t="str">
        <f>'RESUMEN TOTAL'!F523</f>
        <v>GPON</v>
      </c>
      <c r="F431" s="70">
        <f>'RESUMEN TOTAL'!M523</f>
        <v>0</v>
      </c>
      <c r="G431" s="70">
        <f>'RESUMEN TOTAL'!N523</f>
        <v>0</v>
      </c>
      <c r="H431" s="70">
        <f>'RESUMEN TOTAL'!O523</f>
        <v>0</v>
      </c>
      <c r="I431" s="70">
        <f>'RESUMEN TOTAL'!P523</f>
        <v>0</v>
      </c>
      <c r="J431" s="70">
        <f>'RESUMEN TOTAL'!Q523</f>
        <v>0</v>
      </c>
      <c r="K431" s="70">
        <f>'RESUMEN TOTAL'!R523</f>
        <v>0</v>
      </c>
      <c r="L431" s="70">
        <f>'RESUMEN TOTAL'!S523</f>
        <v>0</v>
      </c>
      <c r="M431" s="70">
        <f>'RESUMEN TOTAL'!T523</f>
        <v>0</v>
      </c>
      <c r="N431" s="70">
        <f>'RESUMEN TOTAL'!U523</f>
        <v>0</v>
      </c>
      <c r="O431" s="70">
        <f>'RESUMEN TOTAL'!V523</f>
        <v>0</v>
      </c>
      <c r="P431" s="70">
        <f>'RESUMEN TOTAL'!W523</f>
        <v>0</v>
      </c>
      <c r="Q431" s="70">
        <f>'RESUMEN TOTAL'!X523</f>
        <v>0</v>
      </c>
      <c r="R431" s="70">
        <f>'RESUMEN TOTAL'!Y523</f>
        <v>0</v>
      </c>
      <c r="S431" s="70">
        <f>'RESUMEN TOTAL'!Z523</f>
        <v>0</v>
      </c>
      <c r="T431" s="70">
        <f>'RESUMEN TOTAL'!AA523</f>
        <v>0</v>
      </c>
      <c r="U431" s="70">
        <f>'RESUMEN TOTAL'!AB523</f>
        <v>0</v>
      </c>
      <c r="V431" s="70">
        <f>'RESUMEN TOTAL'!AC523</f>
        <v>0</v>
      </c>
      <c r="W431" s="70">
        <f>'RESUMEN TOTAL'!AD523</f>
        <v>0</v>
      </c>
      <c r="X431" s="70">
        <f>'RESUMEN TOTAL'!AE523</f>
        <v>0</v>
      </c>
      <c r="Y431" s="70">
        <f>'RESUMEN TOTAL'!AF523</f>
        <v>0</v>
      </c>
      <c r="Z431" s="70">
        <f>'RESUMEN TOTAL'!AG523</f>
        <v>0</v>
      </c>
      <c r="AA431" s="70">
        <f>'RESUMEN TOTAL'!AH523</f>
        <v>0</v>
      </c>
      <c r="AB431" s="70">
        <f>'RESUMEN TOTAL'!AI523</f>
        <v>0</v>
      </c>
      <c r="AC431" s="70" t="str">
        <f>'RESUMEN TOTAL'!AJ523</f>
        <v>APAGADO</v>
      </c>
      <c r="AD431" s="70">
        <f>'RESUMEN TOTAL'!AK523</f>
        <v>0</v>
      </c>
      <c r="AE431" s="70">
        <f>'RESUMEN TOTAL'!AL523</f>
        <v>0</v>
      </c>
      <c r="AF431" s="70">
        <f>'RESUMEN TOTAL'!AM523</f>
        <v>0</v>
      </c>
      <c r="AG431" s="70">
        <f>'RESUMEN TOTAL'!AN523</f>
        <v>0</v>
      </c>
      <c r="AH431" s="70">
        <f>'RESUMEN TOTAL'!AO523</f>
        <v>0</v>
      </c>
      <c r="AI431" s="70">
        <f>'RESUMEN TOTAL'!AP523</f>
        <v>0</v>
      </c>
    </row>
    <row r="432" spans="1:35" x14ac:dyDescent="0.25">
      <c r="A432" t="str">
        <f>'RESUMEN TOTAL'!A525</f>
        <v>VILLA HUDSON</v>
      </c>
      <c r="B432" t="str">
        <f>'RESUMEN TOTAL'!B525</f>
        <v>VHS 01</v>
      </c>
      <c r="C432" t="str">
        <f>'RESUMEN TOTAL'!D525</f>
        <v>AV. HUDSON Y AV. LUJAN</v>
      </c>
      <c r="D432" s="30" t="str">
        <f>'RESUMEN TOTAL'!E525</f>
        <v>DOMO</v>
      </c>
      <c r="E432" s="30" t="str">
        <f>'RESUMEN TOTAL'!F525</f>
        <v>GPON</v>
      </c>
      <c r="F432" s="70">
        <f>'RESUMEN TOTAL'!M525</f>
        <v>0</v>
      </c>
      <c r="G432" s="70">
        <f>'RESUMEN TOTAL'!N525</f>
        <v>0</v>
      </c>
      <c r="H432" s="70">
        <f>'RESUMEN TOTAL'!O525</f>
        <v>0</v>
      </c>
      <c r="I432" s="70">
        <f>'RESUMEN TOTAL'!P525</f>
        <v>0</v>
      </c>
      <c r="J432" s="70">
        <f>'RESUMEN TOTAL'!Q525</f>
        <v>0</v>
      </c>
      <c r="K432" s="70">
        <f>'RESUMEN TOTAL'!R525</f>
        <v>0</v>
      </c>
      <c r="L432" s="70">
        <f>'RESUMEN TOTAL'!S525</f>
        <v>0</v>
      </c>
      <c r="M432" s="70">
        <f>'RESUMEN TOTAL'!T525</f>
        <v>0</v>
      </c>
      <c r="N432" s="70">
        <f>'RESUMEN TOTAL'!U525</f>
        <v>0</v>
      </c>
      <c r="O432" s="70">
        <f>'RESUMEN TOTAL'!V525</f>
        <v>0</v>
      </c>
      <c r="P432" s="70">
        <f>'RESUMEN TOTAL'!W525</f>
        <v>0</v>
      </c>
      <c r="Q432" s="70">
        <f>'RESUMEN TOTAL'!X525</f>
        <v>0</v>
      </c>
      <c r="R432" s="70">
        <f>'RESUMEN TOTAL'!Y525</f>
        <v>0</v>
      </c>
      <c r="S432" s="70">
        <f>'RESUMEN TOTAL'!Z525</f>
        <v>0</v>
      </c>
      <c r="T432" s="70">
        <f>'RESUMEN TOTAL'!AA525</f>
        <v>0</v>
      </c>
      <c r="U432" s="70">
        <f>'RESUMEN TOTAL'!AB525</f>
        <v>0</v>
      </c>
      <c r="V432" s="70">
        <f>'RESUMEN TOTAL'!AC525</f>
        <v>0</v>
      </c>
      <c r="W432" s="70">
        <f>'RESUMEN TOTAL'!AD525</f>
        <v>0</v>
      </c>
      <c r="X432" s="70">
        <f>'RESUMEN TOTAL'!AE525</f>
        <v>0</v>
      </c>
      <c r="Y432" s="70">
        <f>'RESUMEN TOTAL'!AF525</f>
        <v>0</v>
      </c>
      <c r="Z432" s="70">
        <f>'RESUMEN TOTAL'!AG525</f>
        <v>0</v>
      </c>
      <c r="AA432" s="70">
        <f>'RESUMEN TOTAL'!AH525</f>
        <v>0</v>
      </c>
      <c r="AB432" s="70">
        <f>'RESUMEN TOTAL'!AI525</f>
        <v>0</v>
      </c>
      <c r="AC432" s="70">
        <f>'RESUMEN TOTAL'!AJ525</f>
        <v>0</v>
      </c>
      <c r="AD432" s="70">
        <f>'RESUMEN TOTAL'!AK525</f>
        <v>0</v>
      </c>
      <c r="AE432" s="70">
        <f>'RESUMEN TOTAL'!AL525</f>
        <v>0</v>
      </c>
      <c r="AF432" s="70">
        <f>'RESUMEN TOTAL'!AM525</f>
        <v>0</v>
      </c>
      <c r="AG432" s="70">
        <f>'RESUMEN TOTAL'!AN525</f>
        <v>0</v>
      </c>
      <c r="AH432" s="70">
        <f>'RESUMEN TOTAL'!AO525</f>
        <v>0</v>
      </c>
      <c r="AI432" s="70">
        <f>'RESUMEN TOTAL'!AP525</f>
        <v>0</v>
      </c>
    </row>
    <row r="433" spans="1:35" x14ac:dyDescent="0.25">
      <c r="A433" t="str">
        <f>'RESUMEN TOTAL'!A526</f>
        <v>VILLA HUDSON</v>
      </c>
      <c r="B433" t="str">
        <f>'RESUMEN TOTAL'!B526</f>
        <v>VHS 02</v>
      </c>
      <c r="C433" t="str">
        <f>'RESUMEN TOTAL'!D526</f>
        <v>AV. LUJAN Y CALLE 909 A</v>
      </c>
      <c r="D433" s="30" t="str">
        <f>'RESUMEN TOTAL'!E526</f>
        <v>DOMO</v>
      </c>
      <c r="E433" s="30" t="str">
        <f>'RESUMEN TOTAL'!F526</f>
        <v>GPON</v>
      </c>
      <c r="F433" s="70">
        <f>'RESUMEN TOTAL'!M526</f>
        <v>0</v>
      </c>
      <c r="G433" s="70">
        <f>'RESUMEN TOTAL'!N526</f>
        <v>0</v>
      </c>
      <c r="H433" s="70">
        <f>'RESUMEN TOTAL'!O526</f>
        <v>0</v>
      </c>
      <c r="I433" s="70">
        <f>'RESUMEN TOTAL'!P526</f>
        <v>0</v>
      </c>
      <c r="J433" s="70">
        <f>'RESUMEN TOTAL'!Q526</f>
        <v>0</v>
      </c>
      <c r="K433" s="70" t="str">
        <f>'RESUMEN TOTAL'!R526</f>
        <v>APAGADO</v>
      </c>
      <c r="L433" s="70" t="str">
        <f>'RESUMEN TOTAL'!S526</f>
        <v>APAGADO</v>
      </c>
      <c r="M433" s="70" t="str">
        <f>'RESUMEN TOTAL'!T526</f>
        <v>APAGADO</v>
      </c>
      <c r="N433" s="70">
        <f>'RESUMEN TOTAL'!U526</f>
        <v>0</v>
      </c>
      <c r="O433" s="70">
        <f>'RESUMEN TOTAL'!V526</f>
        <v>0</v>
      </c>
      <c r="P433" s="70">
        <f>'RESUMEN TOTAL'!W526</f>
        <v>0</v>
      </c>
      <c r="Q433" s="70" t="str">
        <f>'RESUMEN TOTAL'!X526</f>
        <v>APAGADO</v>
      </c>
      <c r="R433" s="70">
        <f>'RESUMEN TOTAL'!Y526</f>
        <v>0</v>
      </c>
      <c r="S433" s="70">
        <f>'RESUMEN TOTAL'!Z526</f>
        <v>0</v>
      </c>
      <c r="T433" s="70">
        <f>'RESUMEN TOTAL'!AA526</f>
        <v>0</v>
      </c>
      <c r="U433" s="70">
        <f>'RESUMEN TOTAL'!AB526</f>
        <v>0</v>
      </c>
      <c r="V433" s="70">
        <f>'RESUMEN TOTAL'!AC526</f>
        <v>0</v>
      </c>
      <c r="W433" s="70">
        <f>'RESUMEN TOTAL'!AD526</f>
        <v>0</v>
      </c>
      <c r="X433" s="70">
        <f>'RESUMEN TOTAL'!AE526</f>
        <v>0</v>
      </c>
      <c r="Y433" s="70">
        <f>'RESUMEN TOTAL'!AF526</f>
        <v>0</v>
      </c>
      <c r="Z433" s="70">
        <f>'RESUMEN TOTAL'!AG526</f>
        <v>0</v>
      </c>
      <c r="AA433" s="70">
        <f>'RESUMEN TOTAL'!AH526</f>
        <v>0</v>
      </c>
      <c r="AB433" s="70">
        <f>'RESUMEN TOTAL'!AI526</f>
        <v>0</v>
      </c>
      <c r="AC433" s="70">
        <f>'RESUMEN TOTAL'!AJ526</f>
        <v>0</v>
      </c>
      <c r="AD433" s="70">
        <f>'RESUMEN TOTAL'!AK526</f>
        <v>0</v>
      </c>
      <c r="AE433" s="70">
        <f>'RESUMEN TOTAL'!AL526</f>
        <v>0</v>
      </c>
      <c r="AF433" s="70">
        <f>'RESUMEN TOTAL'!AM526</f>
        <v>0</v>
      </c>
      <c r="AG433" s="70">
        <f>'RESUMEN TOTAL'!AN526</f>
        <v>0</v>
      </c>
      <c r="AH433" s="70">
        <f>'RESUMEN TOTAL'!AO526</f>
        <v>0</v>
      </c>
      <c r="AI433" s="70">
        <f>'RESUMEN TOTAL'!AP526</f>
        <v>0</v>
      </c>
    </row>
    <row r="434" spans="1:35" x14ac:dyDescent="0.25">
      <c r="A434" t="str">
        <f>'RESUMEN TOTAL'!A527</f>
        <v>VILLA HUDSON</v>
      </c>
      <c r="B434" t="str">
        <f>'RESUMEN TOTAL'!B527</f>
        <v>VHS 03 (fija 1)</v>
      </c>
      <c r="C434" t="str">
        <f>'RESUMEN TOTAL'!D527</f>
        <v>AV. HUDSON Y LOS INMIGRANTES</v>
      </c>
      <c r="D434" s="30" t="str">
        <f>'RESUMEN TOTAL'!E527</f>
        <v>Fija</v>
      </c>
      <c r="E434" s="30" t="str">
        <f>'RESUMEN TOTAL'!F527</f>
        <v>GPON</v>
      </c>
      <c r="F434" s="70">
        <f>'RESUMEN TOTAL'!M527</f>
        <v>0</v>
      </c>
      <c r="G434" s="70">
        <f>'RESUMEN TOTAL'!N527</f>
        <v>0</v>
      </c>
      <c r="H434" s="70">
        <f>'RESUMEN TOTAL'!O527</f>
        <v>0</v>
      </c>
      <c r="I434" s="70">
        <f>'RESUMEN TOTAL'!P527</f>
        <v>0</v>
      </c>
      <c r="J434" s="70">
        <f>'RESUMEN TOTAL'!Q527</f>
        <v>0</v>
      </c>
      <c r="K434" s="70">
        <f>'RESUMEN TOTAL'!R527</f>
        <v>0</v>
      </c>
      <c r="L434" s="70">
        <f>'RESUMEN TOTAL'!S527</f>
        <v>0</v>
      </c>
      <c r="M434" s="70">
        <f>'RESUMEN TOTAL'!T527</f>
        <v>0</v>
      </c>
      <c r="N434" s="70">
        <f>'RESUMEN TOTAL'!U527</f>
        <v>0</v>
      </c>
      <c r="O434" s="70">
        <f>'RESUMEN TOTAL'!V527</f>
        <v>0</v>
      </c>
      <c r="P434" s="70">
        <f>'RESUMEN TOTAL'!W527</f>
        <v>0</v>
      </c>
      <c r="Q434" s="70">
        <f>'RESUMEN TOTAL'!X527</f>
        <v>0</v>
      </c>
      <c r="R434" s="70">
        <f>'RESUMEN TOTAL'!Y527</f>
        <v>0</v>
      </c>
      <c r="S434" s="70">
        <f>'RESUMEN TOTAL'!Z527</f>
        <v>0</v>
      </c>
      <c r="T434" s="70">
        <f>'RESUMEN TOTAL'!AA527</f>
        <v>0</v>
      </c>
      <c r="U434" s="70">
        <f>'RESUMEN TOTAL'!AB527</f>
        <v>0</v>
      </c>
      <c r="V434" s="70">
        <f>'RESUMEN TOTAL'!AC527</f>
        <v>0</v>
      </c>
      <c r="W434" s="70">
        <f>'RESUMEN TOTAL'!AD527</f>
        <v>0</v>
      </c>
      <c r="X434" s="70">
        <f>'RESUMEN TOTAL'!AE527</f>
        <v>0</v>
      </c>
      <c r="Y434" s="70">
        <f>'RESUMEN TOTAL'!AF527</f>
        <v>0</v>
      </c>
      <c r="Z434" s="70">
        <f>'RESUMEN TOTAL'!AG527</f>
        <v>0</v>
      </c>
      <c r="AA434" s="70">
        <f>'RESUMEN TOTAL'!AH527</f>
        <v>0</v>
      </c>
      <c r="AB434" s="70">
        <f>'RESUMEN TOTAL'!AI527</f>
        <v>0</v>
      </c>
      <c r="AC434" s="70">
        <f>'RESUMEN TOTAL'!AJ527</f>
        <v>0</v>
      </c>
      <c r="AD434" s="70">
        <f>'RESUMEN TOTAL'!AK527</f>
        <v>0</v>
      </c>
      <c r="AE434" s="70">
        <f>'RESUMEN TOTAL'!AL527</f>
        <v>0</v>
      </c>
      <c r="AF434" s="70">
        <f>'RESUMEN TOTAL'!AM527</f>
        <v>0</v>
      </c>
      <c r="AG434" s="70">
        <f>'RESUMEN TOTAL'!AN527</f>
        <v>0</v>
      </c>
      <c r="AH434" s="70">
        <f>'RESUMEN TOTAL'!AO527</f>
        <v>0</v>
      </c>
      <c r="AI434" s="70">
        <f>'RESUMEN TOTAL'!AP527</f>
        <v>0</v>
      </c>
    </row>
    <row r="435" spans="1:35" x14ac:dyDescent="0.25">
      <c r="A435" t="str">
        <f>'RESUMEN TOTAL'!A528</f>
        <v>VILLA HUDSON</v>
      </c>
      <c r="B435" t="str">
        <f>'RESUMEN TOTAL'!B528</f>
        <v>VHS 04 (fija 2)</v>
      </c>
      <c r="C435" t="str">
        <f>'RESUMEN TOTAL'!D528</f>
        <v>AV. HUDSON Y LOS INMIGRANTES</v>
      </c>
      <c r="D435" s="30" t="str">
        <f>'RESUMEN TOTAL'!E528</f>
        <v>Fija</v>
      </c>
      <c r="E435" s="30" t="str">
        <f>'RESUMEN TOTAL'!F528</f>
        <v>GPON</v>
      </c>
      <c r="F435" s="70">
        <f>'RESUMEN TOTAL'!M528</f>
        <v>0</v>
      </c>
      <c r="G435" s="70">
        <f>'RESUMEN TOTAL'!N528</f>
        <v>0</v>
      </c>
      <c r="H435" s="70">
        <f>'RESUMEN TOTAL'!O528</f>
        <v>0</v>
      </c>
      <c r="I435" s="70">
        <f>'RESUMEN TOTAL'!P528</f>
        <v>0</v>
      </c>
      <c r="J435" s="70">
        <f>'RESUMEN TOTAL'!Q528</f>
        <v>0</v>
      </c>
      <c r="K435" s="70">
        <f>'RESUMEN TOTAL'!R528</f>
        <v>0</v>
      </c>
      <c r="L435" s="70">
        <f>'RESUMEN TOTAL'!S528</f>
        <v>0</v>
      </c>
      <c r="M435" s="70">
        <f>'RESUMEN TOTAL'!T528</f>
        <v>0</v>
      </c>
      <c r="N435" s="70">
        <f>'RESUMEN TOTAL'!U528</f>
        <v>0</v>
      </c>
      <c r="O435" s="70">
        <f>'RESUMEN TOTAL'!V528</f>
        <v>0</v>
      </c>
      <c r="P435" s="70">
        <f>'RESUMEN TOTAL'!W528</f>
        <v>0</v>
      </c>
      <c r="Q435" s="70">
        <f>'RESUMEN TOTAL'!X528</f>
        <v>0</v>
      </c>
      <c r="R435" s="70">
        <f>'RESUMEN TOTAL'!Y528</f>
        <v>0</v>
      </c>
      <c r="S435" s="70">
        <f>'RESUMEN TOTAL'!Z528</f>
        <v>0</v>
      </c>
      <c r="T435" s="70">
        <f>'RESUMEN TOTAL'!AA528</f>
        <v>0</v>
      </c>
      <c r="U435" s="70">
        <f>'RESUMEN TOTAL'!AB528</f>
        <v>0</v>
      </c>
      <c r="V435" s="70">
        <f>'RESUMEN TOTAL'!AC528</f>
        <v>0</v>
      </c>
      <c r="W435" s="70">
        <f>'RESUMEN TOTAL'!AD528</f>
        <v>0</v>
      </c>
      <c r="X435" s="70">
        <f>'RESUMEN TOTAL'!AE528</f>
        <v>0</v>
      </c>
      <c r="Y435" s="70">
        <f>'RESUMEN TOTAL'!AF528</f>
        <v>0</v>
      </c>
      <c r="Z435" s="70">
        <f>'RESUMEN TOTAL'!AG528</f>
        <v>0</v>
      </c>
      <c r="AA435" s="70">
        <f>'RESUMEN TOTAL'!AH528</f>
        <v>0</v>
      </c>
      <c r="AB435" s="70">
        <f>'RESUMEN TOTAL'!AI528</f>
        <v>0</v>
      </c>
      <c r="AC435" s="70">
        <f>'RESUMEN TOTAL'!AJ528</f>
        <v>0</v>
      </c>
      <c r="AD435" s="70">
        <f>'RESUMEN TOTAL'!AK528</f>
        <v>0</v>
      </c>
      <c r="AE435" s="70">
        <f>'RESUMEN TOTAL'!AL528</f>
        <v>0</v>
      </c>
      <c r="AF435" s="70">
        <f>'RESUMEN TOTAL'!AM528</f>
        <v>0</v>
      </c>
      <c r="AG435" s="70">
        <f>'RESUMEN TOTAL'!AN528</f>
        <v>0</v>
      </c>
      <c r="AH435" s="70">
        <f>'RESUMEN TOTAL'!AO528</f>
        <v>0</v>
      </c>
      <c r="AI435" s="70">
        <f>'RESUMEN TOTAL'!AP528</f>
        <v>0</v>
      </c>
    </row>
    <row r="436" spans="1:35" x14ac:dyDescent="0.25">
      <c r="A436" t="str">
        <f>'RESUMEN TOTAL'!A532</f>
        <v>VILLA ARIAS</v>
      </c>
      <c r="B436" t="str">
        <f>'RESUMEN TOTAL'!B532</f>
        <v>VLA 01 (fija 1)</v>
      </c>
      <c r="C436" t="str">
        <f>'RESUMEN TOTAL'!D532</f>
        <v>820 Y SOLER</v>
      </c>
      <c r="D436" s="30" t="str">
        <f>'RESUMEN TOTAL'!E532</f>
        <v>Fija</v>
      </c>
      <c r="E436" s="30" t="str">
        <f>'RESUMEN TOTAL'!F532</f>
        <v>GPON</v>
      </c>
      <c r="F436" s="70" t="str">
        <f>'RESUMEN TOTAL'!M532</f>
        <v>APAGADO</v>
      </c>
      <c r="G436" s="70" t="str">
        <f>'RESUMEN TOTAL'!N532</f>
        <v>APAGADO</v>
      </c>
      <c r="H436" s="70" t="str">
        <f>'RESUMEN TOTAL'!O532</f>
        <v>APAGADO</v>
      </c>
      <c r="I436" s="70" t="str">
        <f>'RESUMEN TOTAL'!P532</f>
        <v>APAGADO</v>
      </c>
      <c r="J436" s="70" t="str">
        <f>'RESUMEN TOTAL'!Q532</f>
        <v>APAGADO</v>
      </c>
      <c r="K436" s="70" t="str">
        <f>'RESUMEN TOTAL'!R532</f>
        <v>APAGADO</v>
      </c>
      <c r="L436" s="70" t="str">
        <f>'RESUMEN TOTAL'!S532</f>
        <v>APAGADO</v>
      </c>
      <c r="M436" s="70" t="str">
        <f>'RESUMEN TOTAL'!T532</f>
        <v>APAGADO</v>
      </c>
      <c r="N436" s="70" t="str">
        <f>'RESUMEN TOTAL'!U532</f>
        <v>APAGADO</v>
      </c>
      <c r="O436" s="70" t="str">
        <f>'RESUMEN TOTAL'!V532</f>
        <v>APAGADO</v>
      </c>
      <c r="P436" s="70">
        <f>'RESUMEN TOTAL'!W532</f>
        <v>0</v>
      </c>
      <c r="Q436" s="70">
        <f>'RESUMEN TOTAL'!X532</f>
        <v>0</v>
      </c>
      <c r="R436" s="70">
        <f>'RESUMEN TOTAL'!Y532</f>
        <v>0</v>
      </c>
      <c r="S436" s="70">
        <f>'RESUMEN TOTAL'!Z532</f>
        <v>0</v>
      </c>
      <c r="T436" s="70">
        <f>'RESUMEN TOTAL'!AA532</f>
        <v>0</v>
      </c>
      <c r="U436" s="70">
        <f>'RESUMEN TOTAL'!AB532</f>
        <v>0</v>
      </c>
      <c r="V436" s="70">
        <f>'RESUMEN TOTAL'!AC532</f>
        <v>0</v>
      </c>
      <c r="W436" s="70">
        <f>'RESUMEN TOTAL'!AD532</f>
        <v>0</v>
      </c>
      <c r="X436" s="70">
        <f>'RESUMEN TOTAL'!AE532</f>
        <v>0</v>
      </c>
      <c r="Y436" s="70">
        <f>'RESUMEN TOTAL'!AF532</f>
        <v>0</v>
      </c>
      <c r="Z436" s="70">
        <f>'RESUMEN TOTAL'!AG532</f>
        <v>0</v>
      </c>
      <c r="AA436" s="70">
        <f>'RESUMEN TOTAL'!AH532</f>
        <v>0</v>
      </c>
      <c r="AB436" s="70">
        <f>'RESUMEN TOTAL'!AI532</f>
        <v>0</v>
      </c>
      <c r="AC436" s="70">
        <f>'RESUMEN TOTAL'!AJ532</f>
        <v>0</v>
      </c>
      <c r="AD436" s="70">
        <f>'RESUMEN TOTAL'!AK532</f>
        <v>0</v>
      </c>
      <c r="AE436" s="70">
        <f>'RESUMEN TOTAL'!AL532</f>
        <v>0</v>
      </c>
      <c r="AF436" s="70">
        <f>'RESUMEN TOTAL'!AM532</f>
        <v>0</v>
      </c>
      <c r="AG436" s="70">
        <f>'RESUMEN TOTAL'!AN532</f>
        <v>0</v>
      </c>
      <c r="AH436" s="70">
        <f>'RESUMEN TOTAL'!AO532</f>
        <v>0</v>
      </c>
      <c r="AI436" s="70">
        <f>'RESUMEN TOTAL'!AP532</f>
        <v>0</v>
      </c>
    </row>
    <row r="437" spans="1:35" x14ac:dyDescent="0.25">
      <c r="A437" t="str">
        <f>'RESUMEN TOTAL'!A533</f>
        <v>VILLA ARIAS</v>
      </c>
      <c r="B437" t="str">
        <f>'RESUMEN TOTAL'!B533</f>
        <v>VLA 02</v>
      </c>
      <c r="C437" t="str">
        <f>'RESUMEN TOTAL'!D533</f>
        <v>ESPORA Y HUDSON</v>
      </c>
      <c r="D437" s="30" t="str">
        <f>'RESUMEN TOTAL'!E533</f>
        <v>DOMO</v>
      </c>
      <c r="E437" s="30" t="str">
        <f>'RESUMEN TOTAL'!F533</f>
        <v>Fibra Optica</v>
      </c>
      <c r="F437" s="70">
        <f>'RESUMEN TOTAL'!M533</f>
        <v>0</v>
      </c>
      <c r="G437" s="70">
        <f>'RESUMEN TOTAL'!N533</f>
        <v>0</v>
      </c>
      <c r="H437" s="70">
        <f>'RESUMEN TOTAL'!O533</f>
        <v>0</v>
      </c>
      <c r="I437" s="70">
        <f>'RESUMEN TOTAL'!P533</f>
        <v>0</v>
      </c>
      <c r="J437" s="70">
        <f>'RESUMEN TOTAL'!Q533</f>
        <v>0</v>
      </c>
      <c r="K437" s="70">
        <f>'RESUMEN TOTAL'!R533</f>
        <v>0</v>
      </c>
      <c r="L437" s="70">
        <f>'RESUMEN TOTAL'!S533</f>
        <v>0</v>
      </c>
      <c r="M437" s="70">
        <f>'RESUMEN TOTAL'!T533</f>
        <v>0</v>
      </c>
      <c r="N437" s="70">
        <f>'RESUMEN TOTAL'!U533</f>
        <v>0</v>
      </c>
      <c r="O437" s="70">
        <f>'RESUMEN TOTAL'!V533</f>
        <v>0</v>
      </c>
      <c r="P437" s="70">
        <f>'RESUMEN TOTAL'!W533</f>
        <v>0</v>
      </c>
      <c r="Q437" s="70">
        <f>'RESUMEN TOTAL'!X533</f>
        <v>0</v>
      </c>
      <c r="R437" s="70">
        <f>'RESUMEN TOTAL'!Y533</f>
        <v>0</v>
      </c>
      <c r="S437" s="70">
        <f>'RESUMEN TOTAL'!Z533</f>
        <v>0</v>
      </c>
      <c r="T437" s="70">
        <f>'RESUMEN TOTAL'!AA533</f>
        <v>0</v>
      </c>
      <c r="U437" s="70">
        <f>'RESUMEN TOTAL'!AB533</f>
        <v>0</v>
      </c>
      <c r="V437" s="70">
        <f>'RESUMEN TOTAL'!AC533</f>
        <v>0</v>
      </c>
      <c r="W437" s="70">
        <f>'RESUMEN TOTAL'!AD533</f>
        <v>0</v>
      </c>
      <c r="X437" s="70">
        <f>'RESUMEN TOTAL'!AE533</f>
        <v>0</v>
      </c>
      <c r="Y437" s="70">
        <f>'RESUMEN TOTAL'!AF533</f>
        <v>0</v>
      </c>
      <c r="Z437" s="70">
        <f>'RESUMEN TOTAL'!AG533</f>
        <v>0</v>
      </c>
      <c r="AA437" s="70">
        <f>'RESUMEN TOTAL'!AH533</f>
        <v>0</v>
      </c>
      <c r="AB437" s="70">
        <f>'RESUMEN TOTAL'!AI533</f>
        <v>0</v>
      </c>
      <c r="AC437" s="70">
        <f>'RESUMEN TOTAL'!AJ533</f>
        <v>0</v>
      </c>
      <c r="AD437" s="70">
        <f>'RESUMEN TOTAL'!AK533</f>
        <v>0</v>
      </c>
      <c r="AE437" s="70">
        <f>'RESUMEN TOTAL'!AL533</f>
        <v>0</v>
      </c>
      <c r="AF437" s="70">
        <f>'RESUMEN TOTAL'!AM533</f>
        <v>0</v>
      </c>
      <c r="AG437" s="70">
        <f>'RESUMEN TOTAL'!AN533</f>
        <v>0</v>
      </c>
      <c r="AH437" s="70">
        <f>'RESUMEN TOTAL'!AO533</f>
        <v>0</v>
      </c>
      <c r="AI437" s="70">
        <f>'RESUMEN TOTAL'!AP533</f>
        <v>0</v>
      </c>
    </row>
    <row r="438" spans="1:35" x14ac:dyDescent="0.25">
      <c r="A438" t="str">
        <f>'RESUMEN TOTAL'!A534</f>
        <v>VILLA ARIAS</v>
      </c>
      <c r="B438" t="str">
        <f>'RESUMEN TOTAL'!B534</f>
        <v>VLA03 (fija 2)</v>
      </c>
      <c r="C438" t="str">
        <f>'RESUMEN TOTAL'!D534</f>
        <v>820 y SOLER</v>
      </c>
      <c r="D438" s="30" t="str">
        <f>'RESUMEN TOTAL'!E534</f>
        <v>Fija</v>
      </c>
      <c r="E438" s="30" t="str">
        <f>'RESUMEN TOTAL'!F534</f>
        <v>GPON</v>
      </c>
      <c r="F438" s="70" t="str">
        <f>'RESUMEN TOTAL'!M534</f>
        <v>APAGADO</v>
      </c>
      <c r="G438" s="70" t="str">
        <f>'RESUMEN TOTAL'!N534</f>
        <v>APAGADO</v>
      </c>
      <c r="H438" s="70" t="str">
        <f>'RESUMEN TOTAL'!O534</f>
        <v>APAGADO</v>
      </c>
      <c r="I438" s="70" t="str">
        <f>'RESUMEN TOTAL'!P534</f>
        <v>APAGADO</v>
      </c>
      <c r="J438" s="70" t="str">
        <f>'RESUMEN TOTAL'!Q534</f>
        <v>APAGADO</v>
      </c>
      <c r="K438" s="70" t="str">
        <f>'RESUMEN TOTAL'!R534</f>
        <v>APAGADO</v>
      </c>
      <c r="L438" s="70" t="str">
        <f>'RESUMEN TOTAL'!S534</f>
        <v>APAGADO</v>
      </c>
      <c r="M438" s="70" t="str">
        <f>'RESUMEN TOTAL'!T534</f>
        <v>APAGADO</v>
      </c>
      <c r="N438" s="70" t="str">
        <f>'RESUMEN TOTAL'!U534</f>
        <v>APAGADO</v>
      </c>
      <c r="O438" s="70" t="str">
        <f>'RESUMEN TOTAL'!V534</f>
        <v>APAGADO</v>
      </c>
      <c r="P438" s="70">
        <f>'RESUMEN TOTAL'!W534</f>
        <v>0</v>
      </c>
      <c r="Q438" s="70">
        <f>'RESUMEN TOTAL'!X534</f>
        <v>0</v>
      </c>
      <c r="R438" s="70">
        <f>'RESUMEN TOTAL'!Y534</f>
        <v>0</v>
      </c>
      <c r="S438" s="70">
        <f>'RESUMEN TOTAL'!Z534</f>
        <v>0</v>
      </c>
      <c r="T438" s="70">
        <f>'RESUMEN TOTAL'!AA534</f>
        <v>0</v>
      </c>
      <c r="U438" s="70">
        <f>'RESUMEN TOTAL'!AB534</f>
        <v>0</v>
      </c>
      <c r="V438" s="70">
        <f>'RESUMEN TOTAL'!AC534</f>
        <v>0</v>
      </c>
      <c r="W438" s="70">
        <f>'RESUMEN TOTAL'!AD534</f>
        <v>0</v>
      </c>
      <c r="X438" s="70">
        <f>'RESUMEN TOTAL'!AE534</f>
        <v>0</v>
      </c>
      <c r="Y438" s="70">
        <f>'RESUMEN TOTAL'!AF534</f>
        <v>0</v>
      </c>
      <c r="Z438" s="70">
        <f>'RESUMEN TOTAL'!AG534</f>
        <v>0</v>
      </c>
      <c r="AA438" s="70">
        <f>'RESUMEN TOTAL'!AH534</f>
        <v>0</v>
      </c>
      <c r="AB438" s="70">
        <f>'RESUMEN TOTAL'!AI534</f>
        <v>0</v>
      </c>
      <c r="AC438" s="70">
        <f>'RESUMEN TOTAL'!AJ534</f>
        <v>0</v>
      </c>
      <c r="AD438" s="70">
        <f>'RESUMEN TOTAL'!AK534</f>
        <v>0</v>
      </c>
      <c r="AE438" s="70">
        <f>'RESUMEN TOTAL'!AL534</f>
        <v>0</v>
      </c>
      <c r="AF438" s="70">
        <f>'RESUMEN TOTAL'!AM534</f>
        <v>0</v>
      </c>
      <c r="AG438" s="70">
        <f>'RESUMEN TOTAL'!AN534</f>
        <v>0</v>
      </c>
      <c r="AH438" s="70">
        <f>'RESUMEN TOTAL'!AO534</f>
        <v>0</v>
      </c>
      <c r="AI438" s="70">
        <f>'RESUMEN TOTAL'!AP534</f>
        <v>0</v>
      </c>
    </row>
    <row r="439" spans="1:35" x14ac:dyDescent="0.25">
      <c r="A439" t="str">
        <f>'RESUMEN TOTAL'!A535</f>
        <v>VILLA ARIAS</v>
      </c>
      <c r="B439" t="str">
        <f>'RESUMEN TOTAL'!B535</f>
        <v>VLA04</v>
      </c>
      <c r="C439" t="str">
        <f>'RESUMEN TOTAL'!D535</f>
        <v>ESPORA Y MARTIN GRASS</v>
      </c>
      <c r="D439" s="30" t="str">
        <f>'RESUMEN TOTAL'!E535</f>
        <v>DOMO</v>
      </c>
      <c r="E439" s="30" t="str">
        <f>'RESUMEN TOTAL'!F535</f>
        <v>Fibra Optica</v>
      </c>
      <c r="F439" s="70">
        <f>'RESUMEN TOTAL'!M535</f>
        <v>0</v>
      </c>
      <c r="G439" s="70">
        <f>'RESUMEN TOTAL'!N535</f>
        <v>0</v>
      </c>
      <c r="H439" s="70">
        <f>'RESUMEN TOTAL'!O535</f>
        <v>0</v>
      </c>
      <c r="I439" s="70">
        <f>'RESUMEN TOTAL'!P535</f>
        <v>0</v>
      </c>
      <c r="J439" s="70">
        <f>'RESUMEN TOTAL'!Q535</f>
        <v>0</v>
      </c>
      <c r="K439" s="70">
        <f>'RESUMEN TOTAL'!R535</f>
        <v>0</v>
      </c>
      <c r="L439" s="70">
        <f>'RESUMEN TOTAL'!S535</f>
        <v>0</v>
      </c>
      <c r="M439" s="70">
        <f>'RESUMEN TOTAL'!T535</f>
        <v>0</v>
      </c>
      <c r="N439" s="70">
        <f>'RESUMEN TOTAL'!U535</f>
        <v>0</v>
      </c>
      <c r="O439" s="70">
        <f>'RESUMEN TOTAL'!V535</f>
        <v>0</v>
      </c>
      <c r="P439" s="70">
        <f>'RESUMEN TOTAL'!W535</f>
        <v>0</v>
      </c>
      <c r="Q439" s="70">
        <f>'RESUMEN TOTAL'!X535</f>
        <v>0</v>
      </c>
      <c r="R439" s="70">
        <f>'RESUMEN TOTAL'!Y535</f>
        <v>0</v>
      </c>
      <c r="S439" s="70">
        <f>'RESUMEN TOTAL'!Z535</f>
        <v>0</v>
      </c>
      <c r="T439" s="70">
        <f>'RESUMEN TOTAL'!AA535</f>
        <v>0</v>
      </c>
      <c r="U439" s="70">
        <f>'RESUMEN TOTAL'!AB535</f>
        <v>0</v>
      </c>
      <c r="V439" s="70">
        <f>'RESUMEN TOTAL'!AC535</f>
        <v>0</v>
      </c>
      <c r="W439" s="70">
        <f>'RESUMEN TOTAL'!AD535</f>
        <v>0</v>
      </c>
      <c r="X439" s="70">
        <f>'RESUMEN TOTAL'!AE535</f>
        <v>0</v>
      </c>
      <c r="Y439" s="70">
        <f>'RESUMEN TOTAL'!AF535</f>
        <v>0</v>
      </c>
      <c r="Z439" s="70">
        <f>'RESUMEN TOTAL'!AG535</f>
        <v>0</v>
      </c>
      <c r="AA439" s="70">
        <f>'RESUMEN TOTAL'!AH535</f>
        <v>0</v>
      </c>
      <c r="AB439" s="70">
        <f>'RESUMEN TOTAL'!AI535</f>
        <v>0</v>
      </c>
      <c r="AC439" s="70">
        <f>'RESUMEN TOTAL'!AJ535</f>
        <v>0</v>
      </c>
      <c r="AD439" s="70">
        <f>'RESUMEN TOTAL'!AK535</f>
        <v>0</v>
      </c>
      <c r="AE439" s="70">
        <f>'RESUMEN TOTAL'!AL535</f>
        <v>0</v>
      </c>
      <c r="AF439" s="70">
        <f>'RESUMEN TOTAL'!AM535</f>
        <v>0</v>
      </c>
      <c r="AG439" s="70">
        <f>'RESUMEN TOTAL'!AN535</f>
        <v>0</v>
      </c>
      <c r="AH439" s="70">
        <f>'RESUMEN TOTAL'!AO535</f>
        <v>0</v>
      </c>
      <c r="AI439" s="70">
        <f>'RESUMEN TOTAL'!AP535</f>
        <v>0</v>
      </c>
    </row>
    <row r="440" spans="1:35" x14ac:dyDescent="0.25">
      <c r="A440" t="str">
        <f>'RESUMEN TOTAL'!A536</f>
        <v>VILLA ARIAS</v>
      </c>
      <c r="B440" t="str">
        <f>'RESUMEN TOTAL'!B536</f>
        <v>VLA05</v>
      </c>
      <c r="C440" t="str">
        <f>'RESUMEN TOTAL'!D536</f>
        <v>ESPORA Y 802</v>
      </c>
      <c r="D440" s="30" t="str">
        <f>'RESUMEN TOTAL'!E536</f>
        <v>DOMO</v>
      </c>
      <c r="E440" s="30" t="str">
        <f>'RESUMEN TOTAL'!F536</f>
        <v>GPON</v>
      </c>
      <c r="F440" s="70">
        <f>'RESUMEN TOTAL'!M536</f>
        <v>0</v>
      </c>
      <c r="G440" s="70">
        <f>'RESUMEN TOTAL'!N536</f>
        <v>0</v>
      </c>
      <c r="H440" s="70">
        <f>'RESUMEN TOTAL'!O536</f>
        <v>0</v>
      </c>
      <c r="I440" s="70">
        <f>'RESUMEN TOTAL'!P536</f>
        <v>0</v>
      </c>
      <c r="J440" s="70">
        <f>'RESUMEN TOTAL'!Q536</f>
        <v>0</v>
      </c>
      <c r="K440" s="70">
        <f>'RESUMEN TOTAL'!R536</f>
        <v>0</v>
      </c>
      <c r="L440" s="70">
        <f>'RESUMEN TOTAL'!S536</f>
        <v>0</v>
      </c>
      <c r="M440" s="70">
        <f>'RESUMEN TOTAL'!T536</f>
        <v>0</v>
      </c>
      <c r="N440" s="70">
        <f>'RESUMEN TOTAL'!U536</f>
        <v>0</v>
      </c>
      <c r="O440" s="70">
        <f>'RESUMEN TOTAL'!V536</f>
        <v>0</v>
      </c>
      <c r="P440" s="70">
        <f>'RESUMEN TOTAL'!W536</f>
        <v>0</v>
      </c>
      <c r="Q440" s="70">
        <f>'RESUMEN TOTAL'!X536</f>
        <v>0</v>
      </c>
      <c r="R440" s="70">
        <f>'RESUMEN TOTAL'!Y536</f>
        <v>0</v>
      </c>
      <c r="S440" s="70">
        <f>'RESUMEN TOTAL'!Z536</f>
        <v>0</v>
      </c>
      <c r="T440" s="70">
        <f>'RESUMEN TOTAL'!AA536</f>
        <v>0</v>
      </c>
      <c r="U440" s="70">
        <f>'RESUMEN TOTAL'!AB536</f>
        <v>0</v>
      </c>
      <c r="V440" s="70">
        <f>'RESUMEN TOTAL'!AC536</f>
        <v>0</v>
      </c>
      <c r="W440" s="70">
        <f>'RESUMEN TOTAL'!AD536</f>
        <v>0</v>
      </c>
      <c r="X440" s="70">
        <f>'RESUMEN TOTAL'!AE536</f>
        <v>0</v>
      </c>
      <c r="Y440" s="70">
        <f>'RESUMEN TOTAL'!AF536</f>
        <v>0</v>
      </c>
      <c r="Z440" s="70">
        <f>'RESUMEN TOTAL'!AG536</f>
        <v>0</v>
      </c>
      <c r="AA440" s="70">
        <f>'RESUMEN TOTAL'!AH536</f>
        <v>0</v>
      </c>
      <c r="AB440" s="70">
        <f>'RESUMEN TOTAL'!AI536</f>
        <v>0</v>
      </c>
      <c r="AC440" s="70">
        <f>'RESUMEN TOTAL'!AJ536</f>
        <v>0</v>
      </c>
      <c r="AD440" s="70">
        <f>'RESUMEN TOTAL'!AK536</f>
        <v>0</v>
      </c>
      <c r="AE440" s="70">
        <f>'RESUMEN TOTAL'!AL536</f>
        <v>0</v>
      </c>
      <c r="AF440" s="70">
        <f>'RESUMEN TOTAL'!AM536</f>
        <v>0</v>
      </c>
      <c r="AG440" s="70">
        <f>'RESUMEN TOTAL'!AN536</f>
        <v>0</v>
      </c>
      <c r="AH440" s="70">
        <f>'RESUMEN TOTAL'!AO536</f>
        <v>0</v>
      </c>
      <c r="AI440" s="70">
        <f>'RESUMEN TOTAL'!AP536</f>
        <v>0</v>
      </c>
    </row>
    <row r="441" spans="1:35" x14ac:dyDescent="0.25">
      <c r="A441" t="str">
        <f>'RESUMEN TOTAL'!A538</f>
        <v>VILLA MONICA NUEVA</v>
      </c>
      <c r="B441" t="str">
        <f>'RESUMEN TOTAL'!B538</f>
        <v>VMO 02</v>
      </c>
      <c r="C441" t="str">
        <f>'RESUMEN TOTAL'!D538</f>
        <v>Rio Carapachay y Oroño</v>
      </c>
      <c r="D441" s="30" t="str">
        <f>'RESUMEN TOTAL'!E538</f>
        <v>Domo</v>
      </c>
      <c r="E441" s="30" t="str">
        <f>'RESUMEN TOTAL'!F538</f>
        <v>Radio</v>
      </c>
      <c r="F441" s="70">
        <f>'RESUMEN TOTAL'!M538</f>
        <v>0</v>
      </c>
      <c r="G441" s="70">
        <f>'RESUMEN TOTAL'!N538</f>
        <v>0</v>
      </c>
      <c r="H441" s="70">
        <f>'RESUMEN TOTAL'!O538</f>
        <v>0</v>
      </c>
      <c r="I441" s="70">
        <f>'RESUMEN TOTAL'!P538</f>
        <v>0</v>
      </c>
      <c r="J441" s="70">
        <f>'RESUMEN TOTAL'!Q538</f>
        <v>0</v>
      </c>
      <c r="K441" s="70">
        <f>'RESUMEN TOTAL'!R538</f>
        <v>0</v>
      </c>
      <c r="L441" s="70">
        <f>'RESUMEN TOTAL'!S538</f>
        <v>0</v>
      </c>
      <c r="M441" s="70">
        <f>'RESUMEN TOTAL'!T538</f>
        <v>0</v>
      </c>
      <c r="N441" s="70">
        <f>'RESUMEN TOTAL'!U538</f>
        <v>0</v>
      </c>
      <c r="O441" s="70">
        <f>'RESUMEN TOTAL'!V538</f>
        <v>0</v>
      </c>
      <c r="P441" s="70">
        <f>'RESUMEN TOTAL'!W538</f>
        <v>0</v>
      </c>
      <c r="Q441" s="70">
        <f>'RESUMEN TOTAL'!X538</f>
        <v>0</v>
      </c>
      <c r="R441" s="70">
        <f>'RESUMEN TOTAL'!Y538</f>
        <v>0</v>
      </c>
      <c r="S441" s="70">
        <f>'RESUMEN TOTAL'!Z538</f>
        <v>0</v>
      </c>
      <c r="T441" s="70">
        <f>'RESUMEN TOTAL'!AA538</f>
        <v>0</v>
      </c>
      <c r="U441" s="70">
        <f>'RESUMEN TOTAL'!AB538</f>
        <v>0</v>
      </c>
      <c r="V441" s="70">
        <f>'RESUMEN TOTAL'!AC538</f>
        <v>0</v>
      </c>
      <c r="W441" s="70">
        <f>'RESUMEN TOTAL'!AD538</f>
        <v>0</v>
      </c>
      <c r="X441" s="70">
        <f>'RESUMEN TOTAL'!AE538</f>
        <v>0</v>
      </c>
      <c r="Y441" s="70">
        <f>'RESUMEN TOTAL'!AF538</f>
        <v>0</v>
      </c>
      <c r="Z441" s="70">
        <f>'RESUMEN TOTAL'!AG538</f>
        <v>0</v>
      </c>
      <c r="AA441" s="70">
        <f>'RESUMEN TOTAL'!AH538</f>
        <v>0</v>
      </c>
      <c r="AB441" s="70">
        <f>'RESUMEN TOTAL'!AI538</f>
        <v>0</v>
      </c>
      <c r="AC441" s="70">
        <f>'RESUMEN TOTAL'!AJ538</f>
        <v>0</v>
      </c>
      <c r="AD441" s="70">
        <f>'RESUMEN TOTAL'!AK538</f>
        <v>0</v>
      </c>
      <c r="AE441" s="70">
        <f>'RESUMEN TOTAL'!AL538</f>
        <v>0</v>
      </c>
      <c r="AF441" s="70">
        <f>'RESUMEN TOTAL'!AM538</f>
        <v>0</v>
      </c>
      <c r="AG441" s="70">
        <f>'RESUMEN TOTAL'!AN538</f>
        <v>0</v>
      </c>
      <c r="AH441" s="70">
        <f>'RESUMEN TOTAL'!AO538</f>
        <v>0</v>
      </c>
      <c r="AI441" s="70">
        <f>'RESUMEN TOTAL'!AP538</f>
        <v>0</v>
      </c>
    </row>
    <row r="442" spans="1:35" x14ac:dyDescent="0.25">
      <c r="A442" t="str">
        <f>'RESUMEN TOTAL'!A539</f>
        <v>VILLA MONICA NUEVA</v>
      </c>
      <c r="B442" t="str">
        <f>'RESUMEN TOTAL'!B539</f>
        <v>VMO 03 (fija 1)</v>
      </c>
      <c r="C442" t="str">
        <f>'RESUMEN TOTAL'!D539</f>
        <v>EVA PERON E/ OROÑO Y 734 A</v>
      </c>
      <c r="D442" s="30" t="str">
        <f>'RESUMEN TOTAL'!E539</f>
        <v>Fija</v>
      </c>
      <c r="E442" s="30" t="str">
        <f>'RESUMEN TOTAL'!F539</f>
        <v>Fibra Optica</v>
      </c>
      <c r="F442" s="70">
        <f>'RESUMEN TOTAL'!M539</f>
        <v>0</v>
      </c>
      <c r="G442" s="70">
        <f>'RESUMEN TOTAL'!N539</f>
        <v>0</v>
      </c>
      <c r="H442" s="70">
        <f>'RESUMEN TOTAL'!O539</f>
        <v>0</v>
      </c>
      <c r="I442" s="70">
        <f>'RESUMEN TOTAL'!P539</f>
        <v>0</v>
      </c>
      <c r="J442" s="70">
        <f>'RESUMEN TOTAL'!Q539</f>
        <v>0</v>
      </c>
      <c r="K442" s="70">
        <f>'RESUMEN TOTAL'!R539</f>
        <v>0</v>
      </c>
      <c r="L442" s="70">
        <f>'RESUMEN TOTAL'!S539</f>
        <v>0</v>
      </c>
      <c r="M442" s="70">
        <f>'RESUMEN TOTAL'!T539</f>
        <v>0</v>
      </c>
      <c r="N442" s="70">
        <f>'RESUMEN TOTAL'!U539</f>
        <v>0</v>
      </c>
      <c r="O442" s="70">
        <f>'RESUMEN TOTAL'!V539</f>
        <v>0</v>
      </c>
      <c r="P442" s="70">
        <f>'RESUMEN TOTAL'!W539</f>
        <v>0</v>
      </c>
      <c r="Q442" s="70">
        <f>'RESUMEN TOTAL'!X539</f>
        <v>0</v>
      </c>
      <c r="R442" s="70">
        <f>'RESUMEN TOTAL'!Y539</f>
        <v>0</v>
      </c>
      <c r="S442" s="70">
        <f>'RESUMEN TOTAL'!Z539</f>
        <v>0</v>
      </c>
      <c r="T442" s="70">
        <f>'RESUMEN TOTAL'!AA539</f>
        <v>0</v>
      </c>
      <c r="U442" s="70">
        <f>'RESUMEN TOTAL'!AB539</f>
        <v>0</v>
      </c>
      <c r="V442" s="70">
        <f>'RESUMEN TOTAL'!AC539</f>
        <v>0</v>
      </c>
      <c r="W442" s="70">
        <f>'RESUMEN TOTAL'!AD539</f>
        <v>0</v>
      </c>
      <c r="X442" s="70">
        <f>'RESUMEN TOTAL'!AE539</f>
        <v>0</v>
      </c>
      <c r="Y442" s="70">
        <f>'RESUMEN TOTAL'!AF539</f>
        <v>0</v>
      </c>
      <c r="Z442" s="70">
        <f>'RESUMEN TOTAL'!AG539</f>
        <v>0</v>
      </c>
      <c r="AA442" s="70">
        <f>'RESUMEN TOTAL'!AH539</f>
        <v>0</v>
      </c>
      <c r="AB442" s="70">
        <f>'RESUMEN TOTAL'!AI539</f>
        <v>0</v>
      </c>
      <c r="AC442" s="70">
        <f>'RESUMEN TOTAL'!AJ539</f>
        <v>0</v>
      </c>
      <c r="AD442" s="70">
        <f>'RESUMEN TOTAL'!AK539</f>
        <v>0</v>
      </c>
      <c r="AE442" s="70">
        <f>'RESUMEN TOTAL'!AL539</f>
        <v>0</v>
      </c>
      <c r="AF442" s="70">
        <f>'RESUMEN TOTAL'!AM539</f>
        <v>0</v>
      </c>
      <c r="AG442" s="70">
        <f>'RESUMEN TOTAL'!AN539</f>
        <v>0</v>
      </c>
      <c r="AH442" s="70">
        <f>'RESUMEN TOTAL'!AO539</f>
        <v>0</v>
      </c>
      <c r="AI442" s="70">
        <f>'RESUMEN TOTAL'!AP539</f>
        <v>0</v>
      </c>
    </row>
    <row r="443" spans="1:35" x14ac:dyDescent="0.25">
      <c r="A443" t="str">
        <f>'RESUMEN TOTAL'!A540</f>
        <v>VILLA MONICA NUEVA</v>
      </c>
      <c r="B443" t="str">
        <f>'RESUMEN TOTAL'!B540</f>
        <v>VMO 04 (fija 2)</v>
      </c>
      <c r="C443" t="str">
        <f>'RESUMEN TOTAL'!D540</f>
        <v>EVA PERON E/ OROÑO Y 734 A</v>
      </c>
      <c r="D443" s="30" t="str">
        <f>'RESUMEN TOTAL'!E540</f>
        <v>Fija</v>
      </c>
      <c r="E443" s="30" t="str">
        <f>'RESUMEN TOTAL'!F540</f>
        <v>Fibra Optica</v>
      </c>
      <c r="F443" s="70">
        <f>'RESUMEN TOTAL'!M540</f>
        <v>0</v>
      </c>
      <c r="G443" s="70">
        <f>'RESUMEN TOTAL'!N540</f>
        <v>0</v>
      </c>
      <c r="H443" s="70">
        <f>'RESUMEN TOTAL'!O540</f>
        <v>0</v>
      </c>
      <c r="I443" s="70">
        <f>'RESUMEN TOTAL'!P540</f>
        <v>0</v>
      </c>
      <c r="J443" s="70">
        <f>'RESUMEN TOTAL'!Q540</f>
        <v>0</v>
      </c>
      <c r="K443" s="70">
        <f>'RESUMEN TOTAL'!R540</f>
        <v>0</v>
      </c>
      <c r="L443" s="70">
        <f>'RESUMEN TOTAL'!S540</f>
        <v>0</v>
      </c>
      <c r="M443" s="70">
        <f>'RESUMEN TOTAL'!T540</f>
        <v>0</v>
      </c>
      <c r="N443" s="70">
        <f>'RESUMEN TOTAL'!U540</f>
        <v>0</v>
      </c>
      <c r="O443" s="70">
        <f>'RESUMEN TOTAL'!V540</f>
        <v>0</v>
      </c>
      <c r="P443" s="70">
        <f>'RESUMEN TOTAL'!W540</f>
        <v>0</v>
      </c>
      <c r="Q443" s="70">
        <f>'RESUMEN TOTAL'!X540</f>
        <v>0</v>
      </c>
      <c r="R443" s="70">
        <f>'RESUMEN TOTAL'!Y540</f>
        <v>0</v>
      </c>
      <c r="S443" s="70">
        <f>'RESUMEN TOTAL'!Z540</f>
        <v>0</v>
      </c>
      <c r="T443" s="70">
        <f>'RESUMEN TOTAL'!AA540</f>
        <v>0</v>
      </c>
      <c r="U443" s="70">
        <f>'RESUMEN TOTAL'!AB540</f>
        <v>0</v>
      </c>
      <c r="V443" s="70">
        <f>'RESUMEN TOTAL'!AC540</f>
        <v>0</v>
      </c>
      <c r="W443" s="70">
        <f>'RESUMEN TOTAL'!AD540</f>
        <v>0</v>
      </c>
      <c r="X443" s="70" t="str">
        <f>'RESUMEN TOTAL'!AE540</f>
        <v>APAGADO</v>
      </c>
      <c r="Y443" s="70">
        <f>'RESUMEN TOTAL'!AF540</f>
        <v>0</v>
      </c>
      <c r="Z443" s="70">
        <f>'RESUMEN TOTAL'!AG540</f>
        <v>0</v>
      </c>
      <c r="AA443" s="70">
        <f>'RESUMEN TOTAL'!AH540</f>
        <v>0</v>
      </c>
      <c r="AB443" s="70">
        <f>'RESUMEN TOTAL'!AI540</f>
        <v>0</v>
      </c>
      <c r="AC443" s="70">
        <f>'RESUMEN TOTAL'!AJ540</f>
        <v>0</v>
      </c>
      <c r="AD443" s="70">
        <f>'RESUMEN TOTAL'!AK540</f>
        <v>0</v>
      </c>
      <c r="AE443" s="70">
        <f>'RESUMEN TOTAL'!AL540</f>
        <v>0</v>
      </c>
      <c r="AF443" s="70">
        <f>'RESUMEN TOTAL'!AM540</f>
        <v>0</v>
      </c>
      <c r="AG443" s="70">
        <f>'RESUMEN TOTAL'!AN540</f>
        <v>0</v>
      </c>
      <c r="AH443" s="70">
        <f>'RESUMEN TOTAL'!AO540</f>
        <v>0</v>
      </c>
      <c r="AI443" s="70">
        <f>'RESUMEN TOTAL'!AP540</f>
        <v>0</v>
      </c>
    </row>
    <row r="444" spans="1:35" x14ac:dyDescent="0.25">
      <c r="A444" t="str">
        <f>'RESUMEN TOTAL'!A541</f>
        <v>VILLA MONICA NUEVA</v>
      </c>
      <c r="B444" t="str">
        <f>'RESUMEN TOTAL'!B541</f>
        <v>VMO 05</v>
      </c>
      <c r="C444" t="str">
        <f>'RESUMEN TOTAL'!D541</f>
        <v>OROÑO Y EVA PERON</v>
      </c>
      <c r="D444" s="30" t="str">
        <f>'RESUMEN TOTAL'!E541</f>
        <v>DOMO</v>
      </c>
      <c r="E444" s="30" t="str">
        <f>'RESUMEN TOTAL'!F541</f>
        <v>Fibra Optica</v>
      </c>
      <c r="F444" s="70">
        <f>'RESUMEN TOTAL'!M541</f>
        <v>0</v>
      </c>
      <c r="G444" s="70">
        <f>'RESUMEN TOTAL'!N541</f>
        <v>0</v>
      </c>
      <c r="H444" s="70">
        <f>'RESUMEN TOTAL'!O541</f>
        <v>0</v>
      </c>
      <c r="I444" s="70">
        <f>'RESUMEN TOTAL'!P541</f>
        <v>0</v>
      </c>
      <c r="J444" s="70">
        <f>'RESUMEN TOTAL'!Q541</f>
        <v>0</v>
      </c>
      <c r="K444" s="70">
        <f>'RESUMEN TOTAL'!R541</f>
        <v>0</v>
      </c>
      <c r="L444" s="70">
        <f>'RESUMEN TOTAL'!S541</f>
        <v>0</v>
      </c>
      <c r="M444" s="70">
        <f>'RESUMEN TOTAL'!T541</f>
        <v>0</v>
      </c>
      <c r="N444" s="70">
        <f>'RESUMEN TOTAL'!U541</f>
        <v>0</v>
      </c>
      <c r="O444" s="70">
        <f>'RESUMEN TOTAL'!V541</f>
        <v>0</v>
      </c>
      <c r="P444" s="70">
        <f>'RESUMEN TOTAL'!W541</f>
        <v>0</v>
      </c>
      <c r="Q444" s="70">
        <f>'RESUMEN TOTAL'!X541</f>
        <v>0</v>
      </c>
      <c r="R444" s="70">
        <f>'RESUMEN TOTAL'!Y541</f>
        <v>0</v>
      </c>
      <c r="S444" s="70">
        <f>'RESUMEN TOTAL'!Z541</f>
        <v>0</v>
      </c>
      <c r="T444" s="70">
        <f>'RESUMEN TOTAL'!AA541</f>
        <v>0</v>
      </c>
      <c r="U444" s="70">
        <f>'RESUMEN TOTAL'!AB541</f>
        <v>0</v>
      </c>
      <c r="V444" s="70">
        <f>'RESUMEN TOTAL'!AC541</f>
        <v>0</v>
      </c>
      <c r="W444" s="70">
        <f>'RESUMEN TOTAL'!AD541</f>
        <v>0</v>
      </c>
      <c r="X444" s="70">
        <f>'RESUMEN TOTAL'!AE541</f>
        <v>0</v>
      </c>
      <c r="Y444" s="70">
        <f>'RESUMEN TOTAL'!AF541</f>
        <v>0</v>
      </c>
      <c r="Z444" s="70">
        <f>'RESUMEN TOTAL'!AG541</f>
        <v>0</v>
      </c>
      <c r="AA444" s="70">
        <f>'RESUMEN TOTAL'!AH541</f>
        <v>0</v>
      </c>
      <c r="AB444" s="70">
        <f>'RESUMEN TOTAL'!AI541</f>
        <v>0</v>
      </c>
      <c r="AC444" s="70">
        <f>'RESUMEN TOTAL'!AJ541</f>
        <v>0</v>
      </c>
      <c r="AD444" s="70">
        <f>'RESUMEN TOTAL'!AK541</f>
        <v>0</v>
      </c>
      <c r="AE444" s="70">
        <f>'RESUMEN TOTAL'!AL541</f>
        <v>0</v>
      </c>
      <c r="AF444" s="70">
        <f>'RESUMEN TOTAL'!AM541</f>
        <v>0</v>
      </c>
      <c r="AG444" s="70">
        <f>'RESUMEN TOTAL'!AN541</f>
        <v>0</v>
      </c>
      <c r="AH444" s="70">
        <f>'RESUMEN TOTAL'!AO541</f>
        <v>0</v>
      </c>
      <c r="AI444" s="70">
        <f>'RESUMEN TOTAL'!AP541</f>
        <v>0</v>
      </c>
    </row>
    <row r="445" spans="1:35" x14ac:dyDescent="0.25">
      <c r="A445" t="str">
        <f>'RESUMEN TOTAL'!A542</f>
        <v>VILLA MONICA NUEVA</v>
      </c>
      <c r="B445" t="str">
        <f>'RESUMEN TOTAL'!B542</f>
        <v>VMO01</v>
      </c>
      <c r="C445" t="str">
        <f>'RESUMEN TOTAL'!D542</f>
        <v>Eva Peron y Monseñor de las Casas</v>
      </c>
      <c r="D445" s="30" t="str">
        <f>'RESUMEN TOTAL'!E542</f>
        <v>DOMO</v>
      </c>
      <c r="E445" s="30" t="str">
        <f>'RESUMEN TOTAL'!F542</f>
        <v>Fibra Optica</v>
      </c>
      <c r="F445" s="70" t="str">
        <f>'RESUMEN TOTAL'!M542</f>
        <v>APAGADO</v>
      </c>
      <c r="G445" s="70" t="str">
        <f>'RESUMEN TOTAL'!N542</f>
        <v>APAGADO</v>
      </c>
      <c r="H445" s="70" t="str">
        <f>'RESUMEN TOTAL'!O542</f>
        <v>APAGADO</v>
      </c>
      <c r="I445" s="70" t="str">
        <f>'RESUMEN TOTAL'!P542</f>
        <v>APAGADO</v>
      </c>
      <c r="J445" s="70" t="str">
        <f>'RESUMEN TOTAL'!Q542</f>
        <v>APAGADO</v>
      </c>
      <c r="K445" s="70" t="str">
        <f>'RESUMEN TOTAL'!R542</f>
        <v>APAGADO</v>
      </c>
      <c r="L445" s="70">
        <f>'RESUMEN TOTAL'!S542</f>
        <v>0</v>
      </c>
      <c r="M445" s="70" t="str">
        <f>'RESUMEN TOTAL'!T542</f>
        <v>APAGADO</v>
      </c>
      <c r="N445" s="70" t="str">
        <f>'RESUMEN TOTAL'!U542</f>
        <v>APAGADO</v>
      </c>
      <c r="O445" s="70" t="str">
        <f>'RESUMEN TOTAL'!V542</f>
        <v>APAGADO</v>
      </c>
      <c r="P445" s="70" t="str">
        <f>'RESUMEN TOTAL'!W542</f>
        <v>APAGADO</v>
      </c>
      <c r="Q445" s="70" t="str">
        <f>'RESUMEN TOTAL'!X542</f>
        <v>APAGADO</v>
      </c>
      <c r="R445" s="70" t="str">
        <f>'RESUMEN TOTAL'!Y542</f>
        <v>APAGADO</v>
      </c>
      <c r="S445" s="70" t="str">
        <f>'RESUMEN TOTAL'!Z542</f>
        <v>APAGADO</v>
      </c>
      <c r="T445" s="70" t="str">
        <f>'RESUMEN TOTAL'!AA542</f>
        <v>APAGADO</v>
      </c>
      <c r="U445" s="70" t="str">
        <f>'RESUMEN TOTAL'!AB542</f>
        <v>APAGADO</v>
      </c>
      <c r="V445" s="70" t="str">
        <f>'RESUMEN TOTAL'!AC542</f>
        <v>APAGADO</v>
      </c>
      <c r="W445" s="70" t="str">
        <f>'RESUMEN TOTAL'!AD542</f>
        <v>APAGADO</v>
      </c>
      <c r="X445" s="70" t="str">
        <f>'RESUMEN TOTAL'!AE542</f>
        <v>APAGADO</v>
      </c>
      <c r="Y445" s="70" t="str">
        <f>'RESUMEN TOTAL'!AF542</f>
        <v>APAGADO</v>
      </c>
      <c r="Z445" s="70" t="str">
        <f>'RESUMEN TOTAL'!AG542</f>
        <v>APAGADO</v>
      </c>
      <c r="AA445" s="70" t="str">
        <f>'RESUMEN TOTAL'!AH542</f>
        <v>APAGADO</v>
      </c>
      <c r="AB445" s="70" t="str">
        <f>'RESUMEN TOTAL'!AI542</f>
        <v>APAGADO</v>
      </c>
      <c r="AC445" s="70" t="str">
        <f>'RESUMEN TOTAL'!AJ542</f>
        <v>APAGADO</v>
      </c>
      <c r="AD445" s="70" t="str">
        <f>'RESUMEN TOTAL'!AK542</f>
        <v>APAGADO</v>
      </c>
      <c r="AE445" s="70" t="str">
        <f>'RESUMEN TOTAL'!AL542</f>
        <v>APAGADO</v>
      </c>
      <c r="AF445" s="70">
        <f>'RESUMEN TOTAL'!AM542</f>
        <v>0</v>
      </c>
      <c r="AG445" s="70">
        <f>'RESUMEN TOTAL'!AN542</f>
        <v>0</v>
      </c>
      <c r="AH445" s="70">
        <f>'RESUMEN TOTAL'!AO542</f>
        <v>0</v>
      </c>
      <c r="AI445" s="70">
        <f>'RESUMEN TOTAL'!AP542</f>
        <v>0</v>
      </c>
    </row>
    <row r="446" spans="1:35" x14ac:dyDescent="0.25">
      <c r="A446" t="str">
        <f>'RESUMEN TOTAL'!A543</f>
        <v>VILLA MONICA VIEJA</v>
      </c>
      <c r="B446" t="str">
        <f>'RESUMEN TOTAL'!B543</f>
        <v>VMOV01 (fija 1)</v>
      </c>
      <c r="C446" t="str">
        <f>'RESUMEN TOTAL'!D543</f>
        <v>ATENAS E/ CAFFERATA Y ALEMANIA</v>
      </c>
      <c r="D446" s="30" t="str">
        <f>'RESUMEN TOTAL'!E543</f>
        <v>Fija</v>
      </c>
      <c r="E446" s="30" t="str">
        <f>'RESUMEN TOTAL'!F543</f>
        <v>Fibra Optica</v>
      </c>
      <c r="F446" s="70">
        <f>'RESUMEN TOTAL'!M543</f>
        <v>0</v>
      </c>
      <c r="G446" s="70">
        <f>'RESUMEN TOTAL'!N543</f>
        <v>0</v>
      </c>
      <c r="H446" s="70">
        <f>'RESUMEN TOTAL'!O543</f>
        <v>0</v>
      </c>
      <c r="I446" s="70">
        <f>'RESUMEN TOTAL'!P543</f>
        <v>0</v>
      </c>
      <c r="J446" s="70">
        <f>'RESUMEN TOTAL'!Q543</f>
        <v>0</v>
      </c>
      <c r="K446" s="70">
        <f>'RESUMEN TOTAL'!R543</f>
        <v>0</v>
      </c>
      <c r="L446" s="70">
        <f>'RESUMEN TOTAL'!S543</f>
        <v>0</v>
      </c>
      <c r="M446" s="70">
        <f>'RESUMEN TOTAL'!T543</f>
        <v>0</v>
      </c>
      <c r="N446" s="70">
        <f>'RESUMEN TOTAL'!U543</f>
        <v>0</v>
      </c>
      <c r="O446" s="70">
        <f>'RESUMEN TOTAL'!V543</f>
        <v>0</v>
      </c>
      <c r="P446" s="70">
        <f>'RESUMEN TOTAL'!W543</f>
        <v>0</v>
      </c>
      <c r="Q446" s="70">
        <f>'RESUMEN TOTAL'!X543</f>
        <v>0</v>
      </c>
      <c r="R446" s="70">
        <f>'RESUMEN TOTAL'!Y543</f>
        <v>0</v>
      </c>
      <c r="S446" s="70">
        <f>'RESUMEN TOTAL'!Z543</f>
        <v>0</v>
      </c>
      <c r="T446" s="70">
        <f>'RESUMEN TOTAL'!AA543</f>
        <v>0</v>
      </c>
      <c r="U446" s="70">
        <f>'RESUMEN TOTAL'!AB543</f>
        <v>0</v>
      </c>
      <c r="V446" s="70">
        <f>'RESUMEN TOTAL'!AC543</f>
        <v>0</v>
      </c>
      <c r="W446" s="70">
        <f>'RESUMEN TOTAL'!AD543</f>
        <v>0</v>
      </c>
      <c r="X446" s="70">
        <f>'RESUMEN TOTAL'!AE543</f>
        <v>0</v>
      </c>
      <c r="Y446" s="70">
        <f>'RESUMEN TOTAL'!AF543</f>
        <v>0</v>
      </c>
      <c r="Z446" s="70">
        <f>'RESUMEN TOTAL'!AG543</f>
        <v>0</v>
      </c>
      <c r="AA446" s="70">
        <f>'RESUMEN TOTAL'!AH543</f>
        <v>0</v>
      </c>
      <c r="AB446" s="70">
        <f>'RESUMEN TOTAL'!AI543</f>
        <v>0</v>
      </c>
      <c r="AC446" s="70">
        <f>'RESUMEN TOTAL'!AJ543</f>
        <v>0</v>
      </c>
      <c r="AD446" s="70">
        <f>'RESUMEN TOTAL'!AK543</f>
        <v>0</v>
      </c>
      <c r="AE446" s="70">
        <f>'RESUMEN TOTAL'!AL543</f>
        <v>0</v>
      </c>
      <c r="AF446" s="70">
        <f>'RESUMEN TOTAL'!AM543</f>
        <v>0</v>
      </c>
      <c r="AG446" s="70">
        <f>'RESUMEN TOTAL'!AN543</f>
        <v>0</v>
      </c>
      <c r="AH446" s="70">
        <f>'RESUMEN TOTAL'!AO543</f>
        <v>0</v>
      </c>
      <c r="AI446" s="70">
        <f>'RESUMEN TOTAL'!AP543</f>
        <v>0</v>
      </c>
    </row>
    <row r="447" spans="1:35" x14ac:dyDescent="0.25">
      <c r="A447" t="str">
        <f>'RESUMEN TOTAL'!A544</f>
        <v>VILLA MONICA VIEJA</v>
      </c>
      <c r="B447" t="str">
        <f>'RESUMEN TOTAL'!B544</f>
        <v>VMOV 02 (fija 2)</v>
      </c>
      <c r="C447" t="str">
        <f>'RESUMEN TOTAL'!D544</f>
        <v>ATENAS E/ CAFFERATA Y ALEMANIA</v>
      </c>
      <c r="D447" s="30" t="str">
        <f>'RESUMEN TOTAL'!E544</f>
        <v>Fija</v>
      </c>
      <c r="E447" s="30" t="str">
        <f>'RESUMEN TOTAL'!F544</f>
        <v>Fibra Optica</v>
      </c>
      <c r="F447" s="70">
        <f>'RESUMEN TOTAL'!M544</f>
        <v>0</v>
      </c>
      <c r="G447" s="70">
        <f>'RESUMEN TOTAL'!N544</f>
        <v>0</v>
      </c>
      <c r="H447" s="70">
        <f>'RESUMEN TOTAL'!O544</f>
        <v>0</v>
      </c>
      <c r="I447" s="70">
        <f>'RESUMEN TOTAL'!P544</f>
        <v>0</v>
      </c>
      <c r="J447" s="70">
        <f>'RESUMEN TOTAL'!Q544</f>
        <v>0</v>
      </c>
      <c r="K447" s="70">
        <f>'RESUMEN TOTAL'!R544</f>
        <v>0</v>
      </c>
      <c r="L447" s="70">
        <f>'RESUMEN TOTAL'!S544</f>
        <v>0</v>
      </c>
      <c r="M447" s="70">
        <f>'RESUMEN TOTAL'!T544</f>
        <v>0</v>
      </c>
      <c r="N447" s="70">
        <f>'RESUMEN TOTAL'!U544</f>
        <v>0</v>
      </c>
      <c r="O447" s="70">
        <f>'RESUMEN TOTAL'!V544</f>
        <v>0</v>
      </c>
      <c r="P447" s="70">
        <f>'RESUMEN TOTAL'!W544</f>
        <v>0</v>
      </c>
      <c r="Q447" s="70">
        <f>'RESUMEN TOTAL'!X544</f>
        <v>0</v>
      </c>
      <c r="R447" s="70">
        <f>'RESUMEN TOTAL'!Y544</f>
        <v>0</v>
      </c>
      <c r="S447" s="70">
        <f>'RESUMEN TOTAL'!Z544</f>
        <v>0</v>
      </c>
      <c r="T447" s="70">
        <f>'RESUMEN TOTAL'!AA544</f>
        <v>0</v>
      </c>
      <c r="U447" s="70">
        <f>'RESUMEN TOTAL'!AB544</f>
        <v>0</v>
      </c>
      <c r="V447" s="70">
        <f>'RESUMEN TOTAL'!AC544</f>
        <v>0</v>
      </c>
      <c r="W447" s="70">
        <f>'RESUMEN TOTAL'!AD544</f>
        <v>0</v>
      </c>
      <c r="X447" s="70">
        <f>'RESUMEN TOTAL'!AE544</f>
        <v>0</v>
      </c>
      <c r="Y447" s="70">
        <f>'RESUMEN TOTAL'!AF544</f>
        <v>0</v>
      </c>
      <c r="Z447" s="70">
        <f>'RESUMEN TOTAL'!AG544</f>
        <v>0</v>
      </c>
      <c r="AA447" s="70">
        <f>'RESUMEN TOTAL'!AH544</f>
        <v>0</v>
      </c>
      <c r="AB447" s="70">
        <f>'RESUMEN TOTAL'!AI544</f>
        <v>0</v>
      </c>
      <c r="AC447" s="70">
        <f>'RESUMEN TOTAL'!AJ544</f>
        <v>0</v>
      </c>
      <c r="AD447" s="70">
        <f>'RESUMEN TOTAL'!AK544</f>
        <v>0</v>
      </c>
      <c r="AE447" s="70">
        <f>'RESUMEN TOTAL'!AL544</f>
        <v>0</v>
      </c>
      <c r="AF447" s="70">
        <f>'RESUMEN TOTAL'!AM544</f>
        <v>0</v>
      </c>
      <c r="AG447" s="70">
        <f>'RESUMEN TOTAL'!AN544</f>
        <v>0</v>
      </c>
      <c r="AH447" s="70">
        <f>'RESUMEN TOTAL'!AO544</f>
        <v>0</v>
      </c>
      <c r="AI447" s="70">
        <f>'RESUMEN TOTAL'!AP544</f>
        <v>0</v>
      </c>
    </row>
    <row r="448" spans="1:35" x14ac:dyDescent="0.25">
      <c r="A448" t="str">
        <f>'RESUMEN TOTAL'!A545</f>
        <v>VILLA MONICA VIEJA</v>
      </c>
      <c r="B448" t="str">
        <f>'RESUMEN TOTAL'!B545</f>
        <v>VMOV 03 (fija 1)</v>
      </c>
      <c r="C448" t="str">
        <f>'RESUMEN TOTAL'!D545</f>
        <v>ROMA E/ HOLANDA Y CAFFERATA</v>
      </c>
      <c r="D448" s="30" t="str">
        <f>'RESUMEN TOTAL'!E545</f>
        <v>Fija</v>
      </c>
      <c r="E448" s="30" t="str">
        <f>'RESUMEN TOTAL'!F545</f>
        <v>Fibra Optica</v>
      </c>
      <c r="F448" s="70">
        <f>'RESUMEN TOTAL'!M545</f>
        <v>0</v>
      </c>
      <c r="G448" s="70">
        <f>'RESUMEN TOTAL'!N545</f>
        <v>0</v>
      </c>
      <c r="H448" s="70">
        <f>'RESUMEN TOTAL'!O545</f>
        <v>0</v>
      </c>
      <c r="I448" s="70">
        <f>'RESUMEN TOTAL'!P545</f>
        <v>0</v>
      </c>
      <c r="J448" s="70">
        <f>'RESUMEN TOTAL'!Q545</f>
        <v>0</v>
      </c>
      <c r="K448" s="70">
        <f>'RESUMEN TOTAL'!R545</f>
        <v>0</v>
      </c>
      <c r="L448" s="70">
        <f>'RESUMEN TOTAL'!S545</f>
        <v>0</v>
      </c>
      <c r="M448" s="70">
        <f>'RESUMEN TOTAL'!T545</f>
        <v>0</v>
      </c>
      <c r="N448" s="70">
        <f>'RESUMEN TOTAL'!U545</f>
        <v>0</v>
      </c>
      <c r="O448" s="70">
        <f>'RESUMEN TOTAL'!V545</f>
        <v>0</v>
      </c>
      <c r="P448" s="70">
        <f>'RESUMEN TOTAL'!W545</f>
        <v>0</v>
      </c>
      <c r="Q448" s="70">
        <f>'RESUMEN TOTAL'!X545</f>
        <v>0</v>
      </c>
      <c r="R448" s="70">
        <f>'RESUMEN TOTAL'!Y545</f>
        <v>0</v>
      </c>
      <c r="S448" s="70">
        <f>'RESUMEN TOTAL'!Z545</f>
        <v>0</v>
      </c>
      <c r="T448" s="70">
        <f>'RESUMEN TOTAL'!AA545</f>
        <v>0</v>
      </c>
      <c r="U448" s="70">
        <f>'RESUMEN TOTAL'!AB545</f>
        <v>0</v>
      </c>
      <c r="V448" s="70">
        <f>'RESUMEN TOTAL'!AC545</f>
        <v>0</v>
      </c>
      <c r="W448" s="70">
        <f>'RESUMEN TOTAL'!AD545</f>
        <v>0</v>
      </c>
      <c r="X448" s="70">
        <f>'RESUMEN TOTAL'!AE545</f>
        <v>0</v>
      </c>
      <c r="Y448" s="70">
        <f>'RESUMEN TOTAL'!AF545</f>
        <v>0</v>
      </c>
      <c r="Z448" s="70">
        <f>'RESUMEN TOTAL'!AG545</f>
        <v>0</v>
      </c>
      <c r="AA448" s="70">
        <f>'RESUMEN TOTAL'!AH545</f>
        <v>0</v>
      </c>
      <c r="AB448" s="70">
        <f>'RESUMEN TOTAL'!AI545</f>
        <v>0</v>
      </c>
      <c r="AC448" s="70">
        <f>'RESUMEN TOTAL'!AJ545</f>
        <v>0</v>
      </c>
      <c r="AD448" s="70">
        <f>'RESUMEN TOTAL'!AK545</f>
        <v>0</v>
      </c>
      <c r="AE448" s="70">
        <f>'RESUMEN TOTAL'!AL545</f>
        <v>0</v>
      </c>
      <c r="AF448" s="70">
        <f>'RESUMEN TOTAL'!AM545</f>
        <v>0</v>
      </c>
      <c r="AG448" s="70">
        <f>'RESUMEN TOTAL'!AN545</f>
        <v>0</v>
      </c>
      <c r="AH448" s="70">
        <f>'RESUMEN TOTAL'!AO545</f>
        <v>0</v>
      </c>
      <c r="AI448" s="70">
        <f>'RESUMEN TOTAL'!AP545</f>
        <v>0</v>
      </c>
    </row>
    <row r="449" spans="1:35" x14ac:dyDescent="0.25">
      <c r="A449" t="str">
        <f>'RESUMEN TOTAL'!A546</f>
        <v>VILLA MONICA VIEJA</v>
      </c>
      <c r="B449" t="str">
        <f>'RESUMEN TOTAL'!B546</f>
        <v>VMOV04 (fija 2)</v>
      </c>
      <c r="C449" t="str">
        <f>'RESUMEN TOTAL'!D546</f>
        <v>ROMA E/ HOLANDA Y CAFFERATA</v>
      </c>
      <c r="D449" s="30" t="str">
        <f>'RESUMEN TOTAL'!E546</f>
        <v>Fija</v>
      </c>
      <c r="E449" s="30" t="str">
        <f>'RESUMEN TOTAL'!F546</f>
        <v>Fibra Optica</v>
      </c>
      <c r="F449" s="70">
        <f>'RESUMEN TOTAL'!M546</f>
        <v>0</v>
      </c>
      <c r="G449" s="70">
        <f>'RESUMEN TOTAL'!N546</f>
        <v>0</v>
      </c>
      <c r="H449" s="70">
        <f>'RESUMEN TOTAL'!O546</f>
        <v>0</v>
      </c>
      <c r="I449" s="70">
        <f>'RESUMEN TOTAL'!P546</f>
        <v>0</v>
      </c>
      <c r="J449" s="70">
        <f>'RESUMEN TOTAL'!Q546</f>
        <v>0</v>
      </c>
      <c r="K449" s="70">
        <f>'RESUMEN TOTAL'!R546</f>
        <v>0</v>
      </c>
      <c r="L449" s="70">
        <f>'RESUMEN TOTAL'!S546</f>
        <v>0</v>
      </c>
      <c r="M449" s="70">
        <f>'RESUMEN TOTAL'!T546</f>
        <v>0</v>
      </c>
      <c r="N449" s="70">
        <f>'RESUMEN TOTAL'!U546</f>
        <v>0</v>
      </c>
      <c r="O449" s="70">
        <f>'RESUMEN TOTAL'!V546</f>
        <v>0</v>
      </c>
      <c r="P449" s="70">
        <f>'RESUMEN TOTAL'!W546</f>
        <v>0</v>
      </c>
      <c r="Q449" s="70">
        <f>'RESUMEN TOTAL'!X546</f>
        <v>0</v>
      </c>
      <c r="R449" s="70">
        <f>'RESUMEN TOTAL'!Y546</f>
        <v>0</v>
      </c>
      <c r="S449" s="70">
        <f>'RESUMEN TOTAL'!Z546</f>
        <v>0</v>
      </c>
      <c r="T449" s="70">
        <f>'RESUMEN TOTAL'!AA546</f>
        <v>0</v>
      </c>
      <c r="U449" s="70">
        <f>'RESUMEN TOTAL'!AB546</f>
        <v>0</v>
      </c>
      <c r="V449" s="70">
        <f>'RESUMEN TOTAL'!AC546</f>
        <v>0</v>
      </c>
      <c r="W449" s="70">
        <f>'RESUMEN TOTAL'!AD546</f>
        <v>0</v>
      </c>
      <c r="X449" s="70">
        <f>'RESUMEN TOTAL'!AE546</f>
        <v>0</v>
      </c>
      <c r="Y449" s="70">
        <f>'RESUMEN TOTAL'!AF546</f>
        <v>0</v>
      </c>
      <c r="Z449" s="70">
        <f>'RESUMEN TOTAL'!AG546</f>
        <v>0</v>
      </c>
      <c r="AA449" s="70">
        <f>'RESUMEN TOTAL'!AH546</f>
        <v>0</v>
      </c>
      <c r="AB449" s="70">
        <f>'RESUMEN TOTAL'!AI546</f>
        <v>0</v>
      </c>
      <c r="AC449" s="70">
        <f>'RESUMEN TOTAL'!AJ546</f>
        <v>0</v>
      </c>
      <c r="AD449" s="70">
        <f>'RESUMEN TOTAL'!AK546</f>
        <v>0</v>
      </c>
      <c r="AE449" s="70">
        <f>'RESUMEN TOTAL'!AL546</f>
        <v>0</v>
      </c>
      <c r="AF449" s="70">
        <f>'RESUMEN TOTAL'!AM546</f>
        <v>0</v>
      </c>
      <c r="AG449" s="70">
        <f>'RESUMEN TOTAL'!AN546</f>
        <v>0</v>
      </c>
      <c r="AH449" s="70">
        <f>'RESUMEN TOTAL'!AO546</f>
        <v>0</v>
      </c>
      <c r="AI449" s="70">
        <f>'RESUMEN TOTAL'!AP546</f>
        <v>0</v>
      </c>
    </row>
    <row r="450" spans="1:35" x14ac:dyDescent="0.25">
      <c r="A450" t="str">
        <f>'RESUMEN TOTAL'!A547</f>
        <v>VILLA SAN LUIS</v>
      </c>
      <c r="B450" t="str">
        <f>'RESUMEN TOTAL'!B547</f>
        <v>VSL 01</v>
      </c>
      <c r="C450" t="str">
        <f>'RESUMEN TOTAL'!D547</f>
        <v>AV. HUDSON Y CACHEUTA</v>
      </c>
      <c r="D450" s="30" t="str">
        <f>'RESUMEN TOTAL'!E547</f>
        <v>DOMO</v>
      </c>
      <c r="E450" s="30" t="str">
        <f>'RESUMEN TOTAL'!F547</f>
        <v>GPON</v>
      </c>
      <c r="F450" s="70">
        <f>'RESUMEN TOTAL'!M547</f>
        <v>0</v>
      </c>
      <c r="G450" s="70">
        <f>'RESUMEN TOTAL'!N547</f>
        <v>0</v>
      </c>
      <c r="H450" s="70">
        <f>'RESUMEN TOTAL'!O547</f>
        <v>0</v>
      </c>
      <c r="I450" s="70">
        <f>'RESUMEN TOTAL'!P547</f>
        <v>0</v>
      </c>
      <c r="J450" s="70">
        <f>'RESUMEN TOTAL'!Q547</f>
        <v>0</v>
      </c>
      <c r="K450" s="70">
        <f>'RESUMEN TOTAL'!R547</f>
        <v>0</v>
      </c>
      <c r="L450" s="70" t="str">
        <f>'RESUMEN TOTAL'!S547</f>
        <v>APAGADO</v>
      </c>
      <c r="M450" s="70" t="str">
        <f>'RESUMEN TOTAL'!T547</f>
        <v>APAGADO</v>
      </c>
      <c r="N450" s="70" t="str">
        <f>'RESUMEN TOTAL'!U547</f>
        <v>APAGADO</v>
      </c>
      <c r="O450" s="70" t="str">
        <f>'RESUMEN TOTAL'!V547</f>
        <v>APAGADO</v>
      </c>
      <c r="P450" s="70">
        <f>'RESUMEN TOTAL'!W547</f>
        <v>0</v>
      </c>
      <c r="Q450" s="70" t="str">
        <f>'RESUMEN TOTAL'!X547</f>
        <v>APAGADO</v>
      </c>
      <c r="R450" s="70">
        <f>'RESUMEN TOTAL'!Y547</f>
        <v>0</v>
      </c>
      <c r="S450" s="70">
        <f>'RESUMEN TOTAL'!Z547</f>
        <v>0</v>
      </c>
      <c r="T450" s="70">
        <f>'RESUMEN TOTAL'!AA547</f>
        <v>0</v>
      </c>
      <c r="U450" s="70">
        <f>'RESUMEN TOTAL'!AB547</f>
        <v>0</v>
      </c>
      <c r="V450" s="70">
        <f>'RESUMEN TOTAL'!AC547</f>
        <v>0</v>
      </c>
      <c r="W450" s="70">
        <f>'RESUMEN TOTAL'!AD547</f>
        <v>0</v>
      </c>
      <c r="X450" s="70">
        <f>'RESUMEN TOTAL'!AE547</f>
        <v>0</v>
      </c>
      <c r="Y450" s="70">
        <f>'RESUMEN TOTAL'!AF547</f>
        <v>0</v>
      </c>
      <c r="Z450" s="70">
        <f>'RESUMEN TOTAL'!AG547</f>
        <v>0</v>
      </c>
      <c r="AA450" s="70">
        <f>'RESUMEN TOTAL'!AH547</f>
        <v>0</v>
      </c>
      <c r="AB450" s="70">
        <f>'RESUMEN TOTAL'!AI547</f>
        <v>0</v>
      </c>
      <c r="AC450" s="70">
        <f>'RESUMEN TOTAL'!AJ547</f>
        <v>0</v>
      </c>
      <c r="AD450" s="70">
        <f>'RESUMEN TOTAL'!AK547</f>
        <v>0</v>
      </c>
      <c r="AE450" s="70">
        <f>'RESUMEN TOTAL'!AL547</f>
        <v>0</v>
      </c>
      <c r="AF450" s="70">
        <f>'RESUMEN TOTAL'!AM547</f>
        <v>0</v>
      </c>
      <c r="AG450" s="70">
        <f>'RESUMEN TOTAL'!AN547</f>
        <v>0</v>
      </c>
      <c r="AH450" s="70">
        <f>'RESUMEN TOTAL'!AO547</f>
        <v>0</v>
      </c>
      <c r="AI450" s="70">
        <f>'RESUMEN TOTAL'!AP547</f>
        <v>0</v>
      </c>
    </row>
    <row r="451" spans="1:35" x14ac:dyDescent="0.25">
      <c r="A451" t="str">
        <f>'RESUMEN TOTAL'!A548</f>
        <v>VILLA SUSANA</v>
      </c>
      <c r="B451" t="str">
        <f>'RESUMEN TOTAL'!B548</f>
        <v>VSU01</v>
      </c>
      <c r="C451" t="str">
        <f>'RESUMEN TOTAL'!D548</f>
        <v>CJAL. JUAN BROWN Y SANTA FE</v>
      </c>
      <c r="D451" s="30" t="str">
        <f>'RESUMEN TOTAL'!E548</f>
        <v>DOMO</v>
      </c>
      <c r="E451" s="30" t="str">
        <f>'RESUMEN TOTAL'!F548</f>
        <v>Radio</v>
      </c>
      <c r="F451" s="70">
        <f>'RESUMEN TOTAL'!M548</f>
        <v>0</v>
      </c>
      <c r="G451" s="70">
        <f>'RESUMEN TOTAL'!N548</f>
        <v>0</v>
      </c>
      <c r="H451" s="70">
        <f>'RESUMEN TOTAL'!O548</f>
        <v>0</v>
      </c>
      <c r="I451" s="70">
        <f>'RESUMEN TOTAL'!P548</f>
        <v>0</v>
      </c>
      <c r="J451" s="70">
        <f>'RESUMEN TOTAL'!Q548</f>
        <v>0</v>
      </c>
      <c r="K451" s="70">
        <f>'RESUMEN TOTAL'!R548</f>
        <v>0</v>
      </c>
      <c r="L451" s="70">
        <f>'RESUMEN TOTAL'!S548</f>
        <v>0</v>
      </c>
      <c r="M451" s="70">
        <f>'RESUMEN TOTAL'!T548</f>
        <v>0</v>
      </c>
      <c r="N451" s="70">
        <f>'RESUMEN TOTAL'!U548</f>
        <v>0</v>
      </c>
      <c r="O451" s="70">
        <f>'RESUMEN TOTAL'!V548</f>
        <v>0</v>
      </c>
      <c r="P451" s="70">
        <f>'RESUMEN TOTAL'!W548</f>
        <v>0</v>
      </c>
      <c r="Q451" s="70">
        <f>'RESUMEN TOTAL'!X548</f>
        <v>0</v>
      </c>
      <c r="R451" s="70">
        <f>'RESUMEN TOTAL'!Y548</f>
        <v>0</v>
      </c>
      <c r="S451" s="70">
        <f>'RESUMEN TOTAL'!Z548</f>
        <v>0</v>
      </c>
      <c r="T451" s="70">
        <f>'RESUMEN TOTAL'!AA548</f>
        <v>0</v>
      </c>
      <c r="U451" s="70">
        <f>'RESUMEN TOTAL'!AB548</f>
        <v>0</v>
      </c>
      <c r="V451" s="70">
        <f>'RESUMEN TOTAL'!AC548</f>
        <v>0</v>
      </c>
      <c r="W451" s="70">
        <f>'RESUMEN TOTAL'!AD548</f>
        <v>0</v>
      </c>
      <c r="X451" s="70">
        <f>'RESUMEN TOTAL'!AE548</f>
        <v>0</v>
      </c>
      <c r="Y451" s="70">
        <f>'RESUMEN TOTAL'!AF548</f>
        <v>0</v>
      </c>
      <c r="Z451" s="70">
        <f>'RESUMEN TOTAL'!AG548</f>
        <v>0</v>
      </c>
      <c r="AA451" s="70">
        <f>'RESUMEN TOTAL'!AH548</f>
        <v>0</v>
      </c>
      <c r="AB451" s="70">
        <f>'RESUMEN TOTAL'!AI548</f>
        <v>0</v>
      </c>
      <c r="AC451" s="70">
        <f>'RESUMEN TOTAL'!AJ548</f>
        <v>0</v>
      </c>
      <c r="AD451" s="70">
        <f>'RESUMEN TOTAL'!AK548</f>
        <v>0</v>
      </c>
      <c r="AE451" s="70">
        <f>'RESUMEN TOTAL'!AL548</f>
        <v>0</v>
      </c>
      <c r="AF451" s="70">
        <f>'RESUMEN TOTAL'!AM548</f>
        <v>0</v>
      </c>
      <c r="AG451" s="70">
        <f>'RESUMEN TOTAL'!AN548</f>
        <v>0</v>
      </c>
      <c r="AH451" s="70">
        <f>'RESUMEN TOTAL'!AO548</f>
        <v>0</v>
      </c>
      <c r="AI451" s="70">
        <f>'RESUMEN TOTAL'!AP548</f>
        <v>0</v>
      </c>
    </row>
    <row r="452" spans="1:35" x14ac:dyDescent="0.25">
      <c r="A452" t="str">
        <f>'RESUMEN TOTAL'!A549</f>
        <v>VILLA SUSANA</v>
      </c>
      <c r="B452" t="str">
        <f>'RESUMEN TOTAL'!B549</f>
        <v>VSU 02</v>
      </c>
      <c r="C452" t="str">
        <f>'RESUMEN TOTAL'!D549</f>
        <v>CABELLO Y SANTA FE</v>
      </c>
      <c r="D452" s="30" t="str">
        <f>'RESUMEN TOTAL'!E549</f>
        <v>DOMO</v>
      </c>
      <c r="E452" s="30" t="str">
        <f>'RESUMEN TOTAL'!F549</f>
        <v>Radio</v>
      </c>
      <c r="F452" s="70">
        <f>'RESUMEN TOTAL'!M549</f>
        <v>0</v>
      </c>
      <c r="G452" s="70">
        <f>'RESUMEN TOTAL'!N549</f>
        <v>0</v>
      </c>
      <c r="H452" s="70">
        <f>'RESUMEN TOTAL'!O549</f>
        <v>0</v>
      </c>
      <c r="I452" s="70">
        <f>'RESUMEN TOTAL'!P549</f>
        <v>0</v>
      </c>
      <c r="J452" s="70">
        <f>'RESUMEN TOTAL'!Q549</f>
        <v>0</v>
      </c>
      <c r="K452" s="70">
        <f>'RESUMEN TOTAL'!R549</f>
        <v>0</v>
      </c>
      <c r="L452" s="70">
        <f>'RESUMEN TOTAL'!S549</f>
        <v>0</v>
      </c>
      <c r="M452" s="70">
        <f>'RESUMEN TOTAL'!T549</f>
        <v>0</v>
      </c>
      <c r="N452" s="70">
        <f>'RESUMEN TOTAL'!U549</f>
        <v>0</v>
      </c>
      <c r="O452" s="70">
        <f>'RESUMEN TOTAL'!V549</f>
        <v>0</v>
      </c>
      <c r="P452" s="70">
        <f>'RESUMEN TOTAL'!W549</f>
        <v>0</v>
      </c>
      <c r="Q452" s="70">
        <f>'RESUMEN TOTAL'!X549</f>
        <v>0</v>
      </c>
      <c r="R452" s="70">
        <f>'RESUMEN TOTAL'!Y549</f>
        <v>0</v>
      </c>
      <c r="S452" s="70">
        <f>'RESUMEN TOTAL'!Z549</f>
        <v>0</v>
      </c>
      <c r="T452" s="70">
        <f>'RESUMEN TOTAL'!AA549</f>
        <v>0</v>
      </c>
      <c r="U452" s="70">
        <f>'RESUMEN TOTAL'!AB549</f>
        <v>0</v>
      </c>
      <c r="V452" s="70">
        <f>'RESUMEN TOTAL'!AC549</f>
        <v>0</v>
      </c>
      <c r="W452" s="70">
        <f>'RESUMEN TOTAL'!AD549</f>
        <v>0</v>
      </c>
      <c r="X452" s="70">
        <f>'RESUMEN TOTAL'!AE549</f>
        <v>0</v>
      </c>
      <c r="Y452" s="70">
        <f>'RESUMEN TOTAL'!AF549</f>
        <v>0</v>
      </c>
      <c r="Z452" s="70">
        <f>'RESUMEN TOTAL'!AG549</f>
        <v>0</v>
      </c>
      <c r="AA452" s="70">
        <f>'RESUMEN TOTAL'!AH549</f>
        <v>0</v>
      </c>
      <c r="AB452" s="70">
        <f>'RESUMEN TOTAL'!AI549</f>
        <v>0</v>
      </c>
      <c r="AC452" s="70">
        <f>'RESUMEN TOTAL'!AJ549</f>
        <v>0</v>
      </c>
      <c r="AD452" s="70">
        <f>'RESUMEN TOTAL'!AK549</f>
        <v>0</v>
      </c>
      <c r="AE452" s="70">
        <f>'RESUMEN TOTAL'!AL549</f>
        <v>0</v>
      </c>
      <c r="AF452" s="70">
        <f>'RESUMEN TOTAL'!AM549</f>
        <v>0</v>
      </c>
      <c r="AG452" s="70">
        <f>'RESUMEN TOTAL'!AN549</f>
        <v>0</v>
      </c>
      <c r="AH452" s="70">
        <f>'RESUMEN TOTAL'!AO549</f>
        <v>0</v>
      </c>
      <c r="AI452" s="70">
        <f>'RESUMEN TOTAL'!AP549</f>
        <v>0</v>
      </c>
    </row>
    <row r="453" spans="1:35" x14ac:dyDescent="0.25">
      <c r="A453" t="str">
        <f>'RESUMEN TOTAL'!A550</f>
        <v>VILLA SUSANA</v>
      </c>
      <c r="B453" t="str">
        <f>'RESUMEN TOTAL'!B550</f>
        <v>VSU 03</v>
      </c>
      <c r="C453" t="str">
        <f>'RESUMEN TOTAL'!D550</f>
        <v>EE.UU Y SERRANO</v>
      </c>
      <c r="D453" s="30" t="str">
        <f>'RESUMEN TOTAL'!E550</f>
        <v>DOMO</v>
      </c>
      <c r="E453" s="30" t="str">
        <f>'RESUMEN TOTAL'!F550</f>
        <v>Radio</v>
      </c>
      <c r="F453" s="70">
        <f>'RESUMEN TOTAL'!M550</f>
        <v>0</v>
      </c>
      <c r="G453" s="70">
        <f>'RESUMEN TOTAL'!N550</f>
        <v>0</v>
      </c>
      <c r="H453" s="70">
        <f>'RESUMEN TOTAL'!O550</f>
        <v>0</v>
      </c>
      <c r="I453" s="70">
        <f>'RESUMEN TOTAL'!P550</f>
        <v>0</v>
      </c>
      <c r="J453" s="70">
        <f>'RESUMEN TOTAL'!Q550</f>
        <v>0</v>
      </c>
      <c r="K453" s="70">
        <f>'RESUMEN TOTAL'!R550</f>
        <v>0</v>
      </c>
      <c r="L453" s="70">
        <f>'RESUMEN TOTAL'!S550</f>
        <v>0</v>
      </c>
      <c r="M453" s="70">
        <f>'RESUMEN TOTAL'!T550</f>
        <v>0</v>
      </c>
      <c r="N453" s="70">
        <f>'RESUMEN TOTAL'!U550</f>
        <v>0</v>
      </c>
      <c r="O453" s="70">
        <f>'RESUMEN TOTAL'!V550</f>
        <v>0</v>
      </c>
      <c r="P453" s="70">
        <f>'RESUMEN TOTAL'!W550</f>
        <v>0</v>
      </c>
      <c r="Q453" s="70">
        <f>'RESUMEN TOTAL'!X550</f>
        <v>0</v>
      </c>
      <c r="R453" s="70">
        <f>'RESUMEN TOTAL'!Y550</f>
        <v>0</v>
      </c>
      <c r="S453" s="70">
        <f>'RESUMEN TOTAL'!Z550</f>
        <v>0</v>
      </c>
      <c r="T453" s="70">
        <f>'RESUMEN TOTAL'!AA550</f>
        <v>0</v>
      </c>
      <c r="U453" s="70">
        <f>'RESUMEN TOTAL'!AB550</f>
        <v>0</v>
      </c>
      <c r="V453" s="70">
        <f>'RESUMEN TOTAL'!AC550</f>
        <v>0</v>
      </c>
      <c r="W453" s="70">
        <f>'RESUMEN TOTAL'!AD550</f>
        <v>0</v>
      </c>
      <c r="X453" s="70">
        <f>'RESUMEN TOTAL'!AE550</f>
        <v>0</v>
      </c>
      <c r="Y453" s="70">
        <f>'RESUMEN TOTAL'!AF550</f>
        <v>0</v>
      </c>
      <c r="Z453" s="70">
        <f>'RESUMEN TOTAL'!AG550</f>
        <v>0</v>
      </c>
      <c r="AA453" s="70">
        <f>'RESUMEN TOTAL'!AH550</f>
        <v>0</v>
      </c>
      <c r="AB453" s="70">
        <f>'RESUMEN TOTAL'!AI550</f>
        <v>0</v>
      </c>
      <c r="AC453" s="70">
        <f>'RESUMEN TOTAL'!AJ550</f>
        <v>0</v>
      </c>
      <c r="AD453" s="70">
        <f>'RESUMEN TOTAL'!AK550</f>
        <v>0</v>
      </c>
      <c r="AE453" s="70">
        <f>'RESUMEN TOTAL'!AL550</f>
        <v>0</v>
      </c>
      <c r="AF453" s="70">
        <f>'RESUMEN TOTAL'!AM550</f>
        <v>0</v>
      </c>
      <c r="AG453" s="70">
        <f>'RESUMEN TOTAL'!AN550</f>
        <v>0</v>
      </c>
      <c r="AH453" s="70">
        <f>'RESUMEN TOTAL'!AO550</f>
        <v>0</v>
      </c>
      <c r="AI453" s="70">
        <f>'RESUMEN TOTAL'!AP550</f>
        <v>0</v>
      </c>
    </row>
    <row r="454" spans="1:35" x14ac:dyDescent="0.25">
      <c r="A454" t="str">
        <f>'RESUMEN TOTAL'!A551</f>
        <v>VILLA SUSANA</v>
      </c>
      <c r="B454" t="str">
        <f>'RESUMEN TOTAL'!B551</f>
        <v>VSU 04</v>
      </c>
      <c r="C454" t="str">
        <f>'RESUMEN TOTAL'!D551</f>
        <v>Aniceto Diaz y Cordoba</v>
      </c>
      <c r="D454" s="30" t="str">
        <f>'RESUMEN TOTAL'!E551</f>
        <v>fija</v>
      </c>
      <c r="E454" s="30" t="str">
        <f>'RESUMEN TOTAL'!F551</f>
        <v>Fibra Optica</v>
      </c>
      <c r="F454" s="70" t="str">
        <f>'RESUMEN TOTAL'!M551</f>
        <v>APAGADO</v>
      </c>
      <c r="G454" s="70" t="str">
        <f>'RESUMEN TOTAL'!N551</f>
        <v>APAGADO</v>
      </c>
      <c r="H454" s="70" t="str">
        <f>'RESUMEN TOTAL'!O551</f>
        <v>APAGADO</v>
      </c>
      <c r="I454" s="70" t="str">
        <f>'RESUMEN TOTAL'!P551</f>
        <v>APAGADO</v>
      </c>
      <c r="J454" s="70" t="str">
        <f>'RESUMEN TOTAL'!Q551</f>
        <v>APAGADO</v>
      </c>
      <c r="K454" s="70" t="str">
        <f>'RESUMEN TOTAL'!R551</f>
        <v>APAGADO</v>
      </c>
      <c r="L454" s="70" t="str">
        <f>'RESUMEN TOTAL'!S551</f>
        <v>APAGADO</v>
      </c>
      <c r="M454" s="70">
        <f>'RESUMEN TOTAL'!T551</f>
        <v>0</v>
      </c>
      <c r="N454" s="70">
        <f>'RESUMEN TOTAL'!U551</f>
        <v>0</v>
      </c>
      <c r="O454" s="70">
        <f>'RESUMEN TOTAL'!V551</f>
        <v>0</v>
      </c>
      <c r="P454" s="70">
        <f>'RESUMEN TOTAL'!W551</f>
        <v>0</v>
      </c>
      <c r="Q454" s="70">
        <f>'RESUMEN TOTAL'!X551</f>
        <v>0</v>
      </c>
      <c r="R454" s="70">
        <f>'RESUMEN TOTAL'!Y551</f>
        <v>0</v>
      </c>
      <c r="S454" s="70">
        <f>'RESUMEN TOTAL'!Z551</f>
        <v>0</v>
      </c>
      <c r="T454" s="70">
        <f>'RESUMEN TOTAL'!AA551</f>
        <v>0</v>
      </c>
      <c r="U454" s="70">
        <f>'RESUMEN TOTAL'!AB551</f>
        <v>0</v>
      </c>
      <c r="V454" s="70">
        <f>'RESUMEN TOTAL'!AC551</f>
        <v>0</v>
      </c>
      <c r="W454" s="70">
        <f>'RESUMEN TOTAL'!AD551</f>
        <v>0</v>
      </c>
      <c r="X454" s="70">
        <f>'RESUMEN TOTAL'!AE551</f>
        <v>0</v>
      </c>
      <c r="Y454" s="70">
        <f>'RESUMEN TOTAL'!AF551</f>
        <v>0</v>
      </c>
      <c r="Z454" s="70">
        <f>'RESUMEN TOTAL'!AG551</f>
        <v>0</v>
      </c>
      <c r="AA454" s="70">
        <f>'RESUMEN TOTAL'!AH551</f>
        <v>0</v>
      </c>
      <c r="AB454" s="70">
        <f>'RESUMEN TOTAL'!AI551</f>
        <v>0</v>
      </c>
      <c r="AC454" s="70">
        <f>'RESUMEN TOTAL'!AJ551</f>
        <v>0</v>
      </c>
      <c r="AD454" s="70">
        <f>'RESUMEN TOTAL'!AK551</f>
        <v>0</v>
      </c>
      <c r="AE454" s="70">
        <f>'RESUMEN TOTAL'!AL551</f>
        <v>0</v>
      </c>
      <c r="AF454" s="70">
        <f>'RESUMEN TOTAL'!AM551</f>
        <v>0</v>
      </c>
      <c r="AG454" s="70">
        <f>'RESUMEN TOTAL'!AN551</f>
        <v>0</v>
      </c>
      <c r="AH454" s="70">
        <f>'RESUMEN TOTAL'!AO551</f>
        <v>0</v>
      </c>
      <c r="AI454" s="70">
        <f>'RESUMEN TOTAL'!AP551</f>
        <v>0</v>
      </c>
    </row>
    <row r="455" spans="1:35" x14ac:dyDescent="0.25">
      <c r="A455" t="str">
        <f>'RESUMEN TOTAL'!A552</f>
        <v>VILLA SUSANA</v>
      </c>
      <c r="B455" t="str">
        <f>'RESUMEN TOTAL'!B552</f>
        <v>VSU 05</v>
      </c>
      <c r="C455" t="str">
        <f>'RESUMEN TOTAL'!D552</f>
        <v>Aniceto Diaz y Cordoba</v>
      </c>
      <c r="D455" s="30" t="str">
        <f>'RESUMEN TOTAL'!E552</f>
        <v>fija</v>
      </c>
      <c r="E455" s="30" t="str">
        <f>'RESUMEN TOTAL'!F552</f>
        <v>Fibra Optica</v>
      </c>
      <c r="F455" s="70" t="str">
        <f>'RESUMEN TOTAL'!M552</f>
        <v>APAGADO</v>
      </c>
      <c r="G455" s="70" t="str">
        <f>'RESUMEN TOTAL'!N552</f>
        <v>APAGADO</v>
      </c>
      <c r="H455" s="70" t="str">
        <f>'RESUMEN TOTAL'!O552</f>
        <v>APAGADO</v>
      </c>
      <c r="I455" s="70" t="str">
        <f>'RESUMEN TOTAL'!P552</f>
        <v>APAGADO</v>
      </c>
      <c r="J455" s="70" t="str">
        <f>'RESUMEN TOTAL'!Q552</f>
        <v>APAGADO</v>
      </c>
      <c r="K455" s="70" t="str">
        <f>'RESUMEN TOTAL'!R552</f>
        <v>APAGADO</v>
      </c>
      <c r="L455" s="70" t="str">
        <f>'RESUMEN TOTAL'!S552</f>
        <v>APAGADO</v>
      </c>
      <c r="M455" s="70">
        <f>'RESUMEN TOTAL'!T552</f>
        <v>0</v>
      </c>
      <c r="N455" s="70">
        <f>'RESUMEN TOTAL'!U552</f>
        <v>0</v>
      </c>
      <c r="O455" s="70">
        <f>'RESUMEN TOTAL'!V552</f>
        <v>0</v>
      </c>
      <c r="P455" s="70">
        <f>'RESUMEN TOTAL'!W552</f>
        <v>0</v>
      </c>
      <c r="Q455" s="70">
        <f>'RESUMEN TOTAL'!X552</f>
        <v>0</v>
      </c>
      <c r="R455" s="70">
        <f>'RESUMEN TOTAL'!Y552</f>
        <v>0</v>
      </c>
      <c r="S455" s="70">
        <f>'RESUMEN TOTAL'!Z552</f>
        <v>0</v>
      </c>
      <c r="T455" s="70">
        <f>'RESUMEN TOTAL'!AA552</f>
        <v>0</v>
      </c>
      <c r="U455" s="70">
        <f>'RESUMEN TOTAL'!AB552</f>
        <v>0</v>
      </c>
      <c r="V455" s="70">
        <f>'RESUMEN TOTAL'!AC552</f>
        <v>0</v>
      </c>
      <c r="W455" s="70">
        <f>'RESUMEN TOTAL'!AD552</f>
        <v>0</v>
      </c>
      <c r="X455" s="70">
        <f>'RESUMEN TOTAL'!AE552</f>
        <v>0</v>
      </c>
      <c r="Y455" s="70">
        <f>'RESUMEN TOTAL'!AF552</f>
        <v>0</v>
      </c>
      <c r="Z455" s="70">
        <f>'RESUMEN TOTAL'!AG552</f>
        <v>0</v>
      </c>
      <c r="AA455" s="70">
        <f>'RESUMEN TOTAL'!AH552</f>
        <v>0</v>
      </c>
      <c r="AB455" s="70">
        <f>'RESUMEN TOTAL'!AI552</f>
        <v>0</v>
      </c>
      <c r="AC455" s="70">
        <f>'RESUMEN TOTAL'!AJ552</f>
        <v>0</v>
      </c>
      <c r="AD455" s="70">
        <f>'RESUMEN TOTAL'!AK552</f>
        <v>0</v>
      </c>
      <c r="AE455" s="70">
        <f>'RESUMEN TOTAL'!AL552</f>
        <v>0</v>
      </c>
      <c r="AF455" s="70">
        <f>'RESUMEN TOTAL'!AM552</f>
        <v>0</v>
      </c>
      <c r="AG455" s="70">
        <f>'RESUMEN TOTAL'!AN552</f>
        <v>0</v>
      </c>
      <c r="AH455" s="70">
        <f>'RESUMEN TOTAL'!AO552</f>
        <v>0</v>
      </c>
      <c r="AI455" s="70">
        <f>'RESUMEN TOTAL'!AP552</f>
        <v>0</v>
      </c>
    </row>
    <row r="456" spans="1:35" x14ac:dyDescent="0.25">
      <c r="A456" t="str">
        <f>'RESUMEN TOTAL'!A553</f>
        <v>VILLA SUSANA</v>
      </c>
      <c r="B456" t="str">
        <f>'RESUMEN TOTAL'!B553</f>
        <v>VSU 06</v>
      </c>
      <c r="C456" t="str">
        <f>'RESUMEN TOTAL'!D553</f>
        <v>EE.UU Y BROWN</v>
      </c>
      <c r="D456" s="30" t="str">
        <f>'RESUMEN TOTAL'!E553</f>
        <v>DOMO</v>
      </c>
      <c r="E456" s="30" t="str">
        <f>'RESUMEN TOTAL'!F553</f>
        <v>Fibra Optica</v>
      </c>
      <c r="F456" s="70" t="str">
        <f>'RESUMEN TOTAL'!M553</f>
        <v>APAGADO</v>
      </c>
      <c r="G456" s="70" t="str">
        <f>'RESUMEN TOTAL'!N553</f>
        <v>APAGADO</v>
      </c>
      <c r="H456" s="70" t="str">
        <f>'RESUMEN TOTAL'!O553</f>
        <v>APAGADO</v>
      </c>
      <c r="I456" s="70" t="str">
        <f>'RESUMEN TOTAL'!P553</f>
        <v>APAGADO</v>
      </c>
      <c r="J456" s="70" t="str">
        <f>'RESUMEN TOTAL'!Q553</f>
        <v>APAGADO</v>
      </c>
      <c r="K456" s="70" t="str">
        <f>'RESUMEN TOTAL'!R553</f>
        <v>APAGADO</v>
      </c>
      <c r="L456" s="70" t="str">
        <f>'RESUMEN TOTAL'!S553</f>
        <v>APAGADO</v>
      </c>
      <c r="M456" s="70">
        <f>'RESUMEN TOTAL'!T553</f>
        <v>0</v>
      </c>
      <c r="N456" s="70">
        <f>'RESUMEN TOTAL'!U553</f>
        <v>0</v>
      </c>
      <c r="O456" s="70">
        <f>'RESUMEN TOTAL'!V553</f>
        <v>0</v>
      </c>
      <c r="P456" s="70">
        <f>'RESUMEN TOTAL'!W553</f>
        <v>0</v>
      </c>
      <c r="Q456" s="70">
        <f>'RESUMEN TOTAL'!X553</f>
        <v>0</v>
      </c>
      <c r="R456" s="70">
        <f>'RESUMEN TOTAL'!Y553</f>
        <v>0</v>
      </c>
      <c r="S456" s="70">
        <f>'RESUMEN TOTAL'!Z553</f>
        <v>0</v>
      </c>
      <c r="T456" s="70">
        <f>'RESUMEN TOTAL'!AA553</f>
        <v>0</v>
      </c>
      <c r="U456" s="70">
        <f>'RESUMEN TOTAL'!AB553</f>
        <v>0</v>
      </c>
      <c r="V456" s="70">
        <f>'RESUMEN TOTAL'!AC553</f>
        <v>0</v>
      </c>
      <c r="W456" s="70">
        <f>'RESUMEN TOTAL'!AD553</f>
        <v>0</v>
      </c>
      <c r="X456" s="70">
        <f>'RESUMEN TOTAL'!AE553</f>
        <v>0</v>
      </c>
      <c r="Y456" s="70">
        <f>'RESUMEN TOTAL'!AF553</f>
        <v>0</v>
      </c>
      <c r="Z456" s="70">
        <f>'RESUMEN TOTAL'!AG553</f>
        <v>0</v>
      </c>
      <c r="AA456" s="70">
        <f>'RESUMEN TOTAL'!AH553</f>
        <v>0</v>
      </c>
      <c r="AB456" s="70">
        <f>'RESUMEN TOTAL'!AI553</f>
        <v>0</v>
      </c>
      <c r="AC456" s="70">
        <f>'RESUMEN TOTAL'!AJ553</f>
        <v>0</v>
      </c>
      <c r="AD456" s="70">
        <f>'RESUMEN TOTAL'!AK553</f>
        <v>0</v>
      </c>
      <c r="AE456" s="70">
        <f>'RESUMEN TOTAL'!AL553</f>
        <v>0</v>
      </c>
      <c r="AF456" s="70">
        <f>'RESUMEN TOTAL'!AM553</f>
        <v>0</v>
      </c>
      <c r="AG456" s="70">
        <f>'RESUMEN TOTAL'!AN553</f>
        <v>0</v>
      </c>
      <c r="AH456" s="70">
        <f>'RESUMEN TOTAL'!AO553</f>
        <v>0</v>
      </c>
      <c r="AI456" s="70">
        <f>'RESUMEN TOTAL'!AP553</f>
        <v>0</v>
      </c>
    </row>
    <row r="457" spans="1:35" x14ac:dyDescent="0.25">
      <c r="A457" t="str">
        <f>'RESUMEN TOTAL'!A555</f>
        <v>ZEBALLOS</v>
      </c>
      <c r="B457" t="str">
        <f>'RESUMEN TOTAL'!B555</f>
        <v>ZEB02</v>
      </c>
      <c r="C457" t="str">
        <f>'RESUMEN TOTAL'!D555</f>
        <v>Quinquela Martin y Sgo. del Estero</v>
      </c>
      <c r="D457" s="30" t="str">
        <f>'RESUMEN TOTAL'!E555</f>
        <v>Domo</v>
      </c>
      <c r="E457" s="30" t="str">
        <f>'RESUMEN TOTAL'!F555</f>
        <v>GPON</v>
      </c>
      <c r="F457" s="70">
        <f>'RESUMEN TOTAL'!M555</f>
        <v>0</v>
      </c>
      <c r="G457" s="70">
        <f>'RESUMEN TOTAL'!N555</f>
        <v>0</v>
      </c>
      <c r="H457" s="70">
        <f>'RESUMEN TOTAL'!O555</f>
        <v>0</v>
      </c>
      <c r="I457" s="70">
        <f>'RESUMEN TOTAL'!P555</f>
        <v>0</v>
      </c>
      <c r="J457" s="70">
        <f>'RESUMEN TOTAL'!Q555</f>
        <v>0</v>
      </c>
      <c r="K457" s="70">
        <f>'RESUMEN TOTAL'!R555</f>
        <v>0</v>
      </c>
      <c r="L457" s="70">
        <f>'RESUMEN TOTAL'!S555</f>
        <v>0</v>
      </c>
      <c r="M457" s="70">
        <f>'RESUMEN TOTAL'!T555</f>
        <v>0</v>
      </c>
      <c r="N457" s="70">
        <f>'RESUMEN TOTAL'!U555</f>
        <v>0</v>
      </c>
      <c r="O457" s="70">
        <f>'RESUMEN TOTAL'!V555</f>
        <v>0</v>
      </c>
      <c r="P457" s="70">
        <f>'RESUMEN TOTAL'!W555</f>
        <v>0</v>
      </c>
      <c r="Q457" s="70">
        <f>'RESUMEN TOTAL'!X555</f>
        <v>0</v>
      </c>
      <c r="R457" s="70">
        <f>'RESUMEN TOTAL'!Y555</f>
        <v>0</v>
      </c>
      <c r="S457" s="70">
        <f>'RESUMEN TOTAL'!Z555</f>
        <v>0</v>
      </c>
      <c r="T457" s="70">
        <f>'RESUMEN TOTAL'!AA555</f>
        <v>0</v>
      </c>
      <c r="U457" s="70">
        <f>'RESUMEN TOTAL'!AB555</f>
        <v>0</v>
      </c>
      <c r="V457" s="70">
        <f>'RESUMEN TOTAL'!AC555</f>
        <v>0</v>
      </c>
      <c r="W457" s="70">
        <f>'RESUMEN TOTAL'!AD555</f>
        <v>0</v>
      </c>
      <c r="X457" s="70">
        <f>'RESUMEN TOTAL'!AE555</f>
        <v>0</v>
      </c>
      <c r="Y457" s="70">
        <f>'RESUMEN TOTAL'!AF555</f>
        <v>0</v>
      </c>
      <c r="Z457" s="70">
        <f>'RESUMEN TOTAL'!AG555</f>
        <v>0</v>
      </c>
      <c r="AA457" s="70">
        <f>'RESUMEN TOTAL'!AH555</f>
        <v>0</v>
      </c>
      <c r="AB457" s="70">
        <f>'RESUMEN TOTAL'!AI555</f>
        <v>0</v>
      </c>
      <c r="AC457" s="70">
        <f>'RESUMEN TOTAL'!AJ555</f>
        <v>0</v>
      </c>
      <c r="AD457" s="70">
        <f>'RESUMEN TOTAL'!AK555</f>
        <v>0</v>
      </c>
      <c r="AE457" s="70" t="str">
        <f>'RESUMEN TOTAL'!AL555</f>
        <v>APAGADO</v>
      </c>
      <c r="AF457" s="70">
        <f>'RESUMEN TOTAL'!AM555</f>
        <v>0</v>
      </c>
      <c r="AG457" s="70">
        <f>'RESUMEN TOTAL'!AN555</f>
        <v>0</v>
      </c>
      <c r="AH457" s="70">
        <f>'RESUMEN TOTAL'!AO555</f>
        <v>0</v>
      </c>
      <c r="AI457" s="70">
        <f>'RESUMEN TOTAL'!AP555</f>
        <v>0</v>
      </c>
    </row>
    <row r="458" spans="1:35" x14ac:dyDescent="0.25">
      <c r="A458" t="str">
        <f>'RESUMEN TOTAL'!A556</f>
        <v>9 DE JULIO</v>
      </c>
      <c r="B458" t="str">
        <f>'RESUMEN TOTAL'!B556</f>
        <v>ZEB03</v>
      </c>
      <c r="C458" t="str">
        <f>'RESUMEN TOTAL'!D556</f>
        <v>Quinquela Martin y Pte. Peron</v>
      </c>
      <c r="D458" s="30" t="str">
        <f>'RESUMEN TOTAL'!E556</f>
        <v>Domo</v>
      </c>
      <c r="E458" s="30" t="str">
        <f>'RESUMEN TOTAL'!F556</f>
        <v>GPON</v>
      </c>
      <c r="F458" s="70">
        <f>'RESUMEN TOTAL'!M556</f>
        <v>0</v>
      </c>
      <c r="G458" s="70">
        <f>'RESUMEN TOTAL'!N556</f>
        <v>0</v>
      </c>
      <c r="H458" s="70">
        <f>'RESUMEN TOTAL'!O556</f>
        <v>0</v>
      </c>
      <c r="I458" s="70">
        <f>'RESUMEN TOTAL'!P556</f>
        <v>0</v>
      </c>
      <c r="J458" s="70">
        <f>'RESUMEN TOTAL'!Q556</f>
        <v>0</v>
      </c>
      <c r="K458" s="70">
        <f>'RESUMEN TOTAL'!R556</f>
        <v>0</v>
      </c>
      <c r="L458" s="70">
        <f>'RESUMEN TOTAL'!S556</f>
        <v>0</v>
      </c>
      <c r="M458" s="70">
        <f>'RESUMEN TOTAL'!T556</f>
        <v>0</v>
      </c>
      <c r="N458" s="70">
        <f>'RESUMEN TOTAL'!U556</f>
        <v>0</v>
      </c>
      <c r="O458" s="70">
        <f>'RESUMEN TOTAL'!V556</f>
        <v>0</v>
      </c>
      <c r="P458" s="70">
        <f>'RESUMEN TOTAL'!W556</f>
        <v>0</v>
      </c>
      <c r="Q458" s="70">
        <f>'RESUMEN TOTAL'!X556</f>
        <v>0</v>
      </c>
      <c r="R458" s="70">
        <f>'RESUMEN TOTAL'!Y556</f>
        <v>0</v>
      </c>
      <c r="S458" s="70">
        <f>'RESUMEN TOTAL'!Z556</f>
        <v>0</v>
      </c>
      <c r="T458" s="70">
        <f>'RESUMEN TOTAL'!AA556</f>
        <v>0</v>
      </c>
      <c r="U458" s="70">
        <f>'RESUMEN TOTAL'!AB556</f>
        <v>0</v>
      </c>
      <c r="V458" s="70">
        <f>'RESUMEN TOTAL'!AC556</f>
        <v>0</v>
      </c>
      <c r="W458" s="70">
        <f>'RESUMEN TOTAL'!AD556</f>
        <v>0</v>
      </c>
      <c r="X458" s="70">
        <f>'RESUMEN TOTAL'!AE556</f>
        <v>0</v>
      </c>
      <c r="Y458" s="70">
        <f>'RESUMEN TOTAL'!AF556</f>
        <v>0</v>
      </c>
      <c r="Z458" s="70">
        <f>'RESUMEN TOTAL'!AG556</f>
        <v>0</v>
      </c>
      <c r="AA458" s="70">
        <f>'RESUMEN TOTAL'!AH556</f>
        <v>0</v>
      </c>
      <c r="AB458" s="70">
        <f>'RESUMEN TOTAL'!AI556</f>
        <v>0</v>
      </c>
      <c r="AC458" s="70">
        <f>'RESUMEN TOTAL'!AJ556</f>
        <v>0</v>
      </c>
      <c r="AD458" s="70">
        <f>'RESUMEN TOTAL'!AK556</f>
        <v>0</v>
      </c>
      <c r="AE458" s="70">
        <f>'RESUMEN TOTAL'!AL556</f>
        <v>0</v>
      </c>
      <c r="AF458" s="70">
        <f>'RESUMEN TOTAL'!AM556</f>
        <v>0</v>
      </c>
      <c r="AG458" s="70">
        <f>'RESUMEN TOTAL'!AN556</f>
        <v>0</v>
      </c>
      <c r="AH458" s="70">
        <f>'RESUMEN TOTAL'!AO556</f>
        <v>0</v>
      </c>
      <c r="AI458" s="70">
        <f>'RESUMEN TOTAL'!AP556</f>
        <v>0</v>
      </c>
    </row>
    <row r="459" spans="1:35" x14ac:dyDescent="0.25">
      <c r="A459" t="str">
        <f>'RESUMEN TOTAL'!A557</f>
        <v>ZEBALLOS</v>
      </c>
      <c r="B459" t="str">
        <f>'RESUMEN TOTAL'!B557</f>
        <v>ZEB04</v>
      </c>
      <c r="C459" t="str">
        <f>'RESUMEN TOTAL'!D557</f>
        <v>THEVENET Y DIAGONAL GRANADEROS</v>
      </c>
      <c r="D459" s="30" t="str">
        <f>'RESUMEN TOTAL'!E557</f>
        <v>DOMO</v>
      </c>
      <c r="E459" s="30" t="str">
        <f>'RESUMEN TOTAL'!F557</f>
        <v>GPON</v>
      </c>
      <c r="F459" s="70">
        <f>'RESUMEN TOTAL'!M557</f>
        <v>0</v>
      </c>
      <c r="G459" s="70">
        <f>'RESUMEN TOTAL'!N557</f>
        <v>0</v>
      </c>
      <c r="H459" s="70">
        <f>'RESUMEN TOTAL'!O557</f>
        <v>0</v>
      </c>
      <c r="I459" s="70">
        <f>'RESUMEN TOTAL'!P557</f>
        <v>0</v>
      </c>
      <c r="J459" s="70">
        <f>'RESUMEN TOTAL'!Q557</f>
        <v>0</v>
      </c>
      <c r="K459" s="70">
        <f>'RESUMEN TOTAL'!R557</f>
        <v>0</v>
      </c>
      <c r="L459" s="70">
        <f>'RESUMEN TOTAL'!S557</f>
        <v>0</v>
      </c>
      <c r="M459" s="70">
        <f>'RESUMEN TOTAL'!T557</f>
        <v>0</v>
      </c>
      <c r="N459" s="70">
        <f>'RESUMEN TOTAL'!U557</f>
        <v>0</v>
      </c>
      <c r="O459" s="70">
        <f>'RESUMEN TOTAL'!V557</f>
        <v>0</v>
      </c>
      <c r="P459" s="70">
        <f>'RESUMEN TOTAL'!W557</f>
        <v>0</v>
      </c>
      <c r="Q459" s="70">
        <f>'RESUMEN TOTAL'!X557</f>
        <v>0</v>
      </c>
      <c r="R459" s="70">
        <f>'RESUMEN TOTAL'!Y557</f>
        <v>0</v>
      </c>
      <c r="S459" s="70">
        <f>'RESUMEN TOTAL'!Z557</f>
        <v>0</v>
      </c>
      <c r="T459" s="70">
        <f>'RESUMEN TOTAL'!AA557</f>
        <v>0</v>
      </c>
      <c r="U459" s="70">
        <f>'RESUMEN TOTAL'!AB557</f>
        <v>0</v>
      </c>
      <c r="V459" s="70">
        <f>'RESUMEN TOTAL'!AC557</f>
        <v>0</v>
      </c>
      <c r="W459" s="70">
        <f>'RESUMEN TOTAL'!AD557</f>
        <v>0</v>
      </c>
      <c r="X459" s="70">
        <f>'RESUMEN TOTAL'!AE557</f>
        <v>0</v>
      </c>
      <c r="Y459" s="70">
        <f>'RESUMEN TOTAL'!AF557</f>
        <v>0</v>
      </c>
      <c r="Z459" s="70">
        <f>'RESUMEN TOTAL'!AG557</f>
        <v>0</v>
      </c>
      <c r="AA459" s="70">
        <f>'RESUMEN TOTAL'!AH557</f>
        <v>0</v>
      </c>
      <c r="AB459" s="70">
        <f>'RESUMEN TOTAL'!AI557</f>
        <v>0</v>
      </c>
      <c r="AC459" s="70">
        <f>'RESUMEN TOTAL'!AJ557</f>
        <v>0</v>
      </c>
      <c r="AD459" s="70">
        <f>'RESUMEN TOTAL'!AK557</f>
        <v>0</v>
      </c>
      <c r="AE459" s="70">
        <f>'RESUMEN TOTAL'!AL557</f>
        <v>0</v>
      </c>
      <c r="AF459" s="70">
        <f>'RESUMEN TOTAL'!AM557</f>
        <v>0</v>
      </c>
      <c r="AG459" s="70">
        <f>'RESUMEN TOTAL'!AN557</f>
        <v>0</v>
      </c>
      <c r="AH459" s="70">
        <f>'RESUMEN TOTAL'!AO557</f>
        <v>0</v>
      </c>
      <c r="AI459" s="70">
        <f>'RESUMEN TOTAL'!AP557</f>
        <v>0</v>
      </c>
    </row>
    <row r="460" spans="1:35" x14ac:dyDescent="0.25">
      <c r="A460" t="str">
        <f>'RESUMEN TOTAL'!A558</f>
        <v>ZEBALLOS</v>
      </c>
      <c r="B460" t="str">
        <f>'RESUMEN TOTAL'!B558</f>
        <v>ZEB 05</v>
      </c>
      <c r="C460" t="str">
        <f>'RESUMEN TOTAL'!D558</f>
        <v>DIAG. GRANADEROS Y 214 BIS</v>
      </c>
      <c r="D460" s="30" t="str">
        <f>'RESUMEN TOTAL'!E558</f>
        <v>Domo</v>
      </c>
      <c r="E460" s="30" t="str">
        <f>'RESUMEN TOTAL'!F558</f>
        <v>GPON</v>
      </c>
      <c r="F460" s="70">
        <f>'RESUMEN TOTAL'!M558</f>
        <v>0</v>
      </c>
      <c r="G460" s="70">
        <f>'RESUMEN TOTAL'!N558</f>
        <v>0</v>
      </c>
      <c r="H460" s="70">
        <f>'RESUMEN TOTAL'!O558</f>
        <v>0</v>
      </c>
      <c r="I460" s="70">
        <f>'RESUMEN TOTAL'!P558</f>
        <v>0</v>
      </c>
      <c r="J460" s="70">
        <f>'RESUMEN TOTAL'!Q558</f>
        <v>0</v>
      </c>
      <c r="K460" s="70" t="str">
        <f>'RESUMEN TOTAL'!R558</f>
        <v>APAGADO</v>
      </c>
      <c r="L460" s="70" t="str">
        <f>'RESUMEN TOTAL'!S558</f>
        <v>APAGADO</v>
      </c>
      <c r="M460" s="70" t="str">
        <f>'RESUMEN TOTAL'!T558</f>
        <v>APAGADO</v>
      </c>
      <c r="N460" s="70" t="str">
        <f>'RESUMEN TOTAL'!U558</f>
        <v>APAGADO</v>
      </c>
      <c r="O460" s="70" t="str">
        <f>'RESUMEN TOTAL'!V558</f>
        <v>APAGADO</v>
      </c>
      <c r="P460" s="70" t="str">
        <f>'RESUMEN TOTAL'!W558</f>
        <v>APAGADO</v>
      </c>
      <c r="Q460" s="70" t="str">
        <f>'RESUMEN TOTAL'!X558</f>
        <v>APAGADO</v>
      </c>
      <c r="R460" s="70" t="str">
        <f>'RESUMEN TOTAL'!Y558</f>
        <v>APAGADO</v>
      </c>
      <c r="S460" s="70" t="str">
        <f>'RESUMEN TOTAL'!Z558</f>
        <v>APAGADO</v>
      </c>
      <c r="T460" s="70" t="str">
        <f>'RESUMEN TOTAL'!AA558</f>
        <v>APAGADO</v>
      </c>
      <c r="U460" s="70" t="str">
        <f>'RESUMEN TOTAL'!AB558</f>
        <v>APAGADO</v>
      </c>
      <c r="V460" s="70" t="str">
        <f>'RESUMEN TOTAL'!AC558</f>
        <v>APAGADO</v>
      </c>
      <c r="W460" s="70">
        <f>'RESUMEN TOTAL'!AD558</f>
        <v>0</v>
      </c>
      <c r="X460" s="70">
        <f>'RESUMEN TOTAL'!AE558</f>
        <v>0</v>
      </c>
      <c r="Y460" s="70">
        <f>'RESUMEN TOTAL'!AF558</f>
        <v>0</v>
      </c>
      <c r="Z460" s="70">
        <f>'RESUMEN TOTAL'!AG558</f>
        <v>0</v>
      </c>
      <c r="AA460" s="70" t="str">
        <f>'RESUMEN TOTAL'!AH558</f>
        <v>APAGADO</v>
      </c>
      <c r="AB460" s="70" t="str">
        <f>'RESUMEN TOTAL'!AI558</f>
        <v>APAGADO</v>
      </c>
      <c r="AC460" s="70" t="str">
        <f>'RESUMEN TOTAL'!AJ558</f>
        <v>APAGADO</v>
      </c>
      <c r="AD460" s="70" t="str">
        <f>'RESUMEN TOTAL'!AK558</f>
        <v>APAGADO</v>
      </c>
      <c r="AE460" s="70" t="str">
        <f>'RESUMEN TOTAL'!AL558</f>
        <v>APAGADO</v>
      </c>
      <c r="AF460" s="70">
        <f>'RESUMEN TOTAL'!AM558</f>
        <v>0</v>
      </c>
      <c r="AG460" s="70">
        <f>'RESUMEN TOTAL'!AN558</f>
        <v>0</v>
      </c>
      <c r="AH460" s="70">
        <f>'RESUMEN TOTAL'!AO558</f>
        <v>0</v>
      </c>
      <c r="AI460" s="70">
        <f>'RESUMEN TOTAL'!AP558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TOTAL'!A645</f>
        <v>0</v>
      </c>
      <c r="B549">
        <f>'RESUMEN TOTAL'!B645</f>
        <v>0</v>
      </c>
      <c r="C549">
        <f>'RESUMEN TOTAL'!D645</f>
        <v>0</v>
      </c>
      <c r="D549" s="30">
        <f>'RESUMEN TOTAL'!E645</f>
        <v>0</v>
      </c>
      <c r="E549" s="30">
        <f>'RESUMEN TOTAL'!F645</f>
        <v>0</v>
      </c>
      <c r="F549" s="70">
        <f>'RESUMEN TOTAL'!M645</f>
        <v>0</v>
      </c>
      <c r="G549" s="70">
        <f>'RESUMEN TOTAL'!N645</f>
        <v>0</v>
      </c>
      <c r="H549" s="70">
        <f>'RESUMEN TOTAL'!O645</f>
        <v>0</v>
      </c>
      <c r="I549" s="70">
        <f>'RESUMEN TOTAL'!P645</f>
        <v>0</v>
      </c>
      <c r="J549" s="70">
        <f>'RESUMEN TOTAL'!Q645</f>
        <v>0</v>
      </c>
      <c r="K549" s="70">
        <f>'RESUMEN TOTAL'!R645</f>
        <v>0</v>
      </c>
      <c r="L549" s="70">
        <f>'RESUMEN TOTAL'!S645</f>
        <v>0</v>
      </c>
      <c r="M549" s="70">
        <f>'RESUMEN TOTAL'!T645</f>
        <v>0</v>
      </c>
      <c r="N549" s="70">
        <f>'RESUMEN TOTAL'!U645</f>
        <v>0</v>
      </c>
      <c r="O549" s="70">
        <f>'RESUMEN TOTAL'!V645</f>
        <v>0</v>
      </c>
      <c r="P549" s="70">
        <f>'RESUMEN TOTAL'!W645</f>
        <v>0</v>
      </c>
      <c r="Q549" s="70">
        <f>'RESUMEN TOTAL'!X645</f>
        <v>0</v>
      </c>
      <c r="R549" s="70">
        <f>'RESUMEN TOTAL'!Y645</f>
        <v>0</v>
      </c>
      <c r="S549" s="70">
        <f>'RESUMEN TOTAL'!Z645</f>
        <v>0</v>
      </c>
      <c r="T549" s="70">
        <f>'RESUMEN TOTAL'!AA645</f>
        <v>0</v>
      </c>
      <c r="U549" s="70">
        <f>'RESUMEN TOTAL'!AB645</f>
        <v>0</v>
      </c>
      <c r="V549" s="70">
        <f>'RESUMEN TOTAL'!AC645</f>
        <v>0</v>
      </c>
      <c r="W549" s="70">
        <f>'RESUMEN TOTAL'!AD645</f>
        <v>0</v>
      </c>
      <c r="X549" s="70">
        <f>'RESUMEN TOTAL'!AE645</f>
        <v>0</v>
      </c>
      <c r="Y549" s="70">
        <f>'RESUMEN TOTAL'!AF645</f>
        <v>0</v>
      </c>
      <c r="Z549" s="70">
        <f>'RESUMEN TOTAL'!AG645</f>
        <v>0</v>
      </c>
      <c r="AA549" s="70">
        <f>'RESUMEN TOTAL'!AH645</f>
        <v>0</v>
      </c>
      <c r="AB549" s="70">
        <f>'RESUMEN TOTAL'!AI645</f>
        <v>0</v>
      </c>
      <c r="AC549" s="70">
        <f>'RESUMEN TOTAL'!AJ645</f>
        <v>0</v>
      </c>
      <c r="AD549" s="70">
        <f>'RESUMEN TOTAL'!AK645</f>
        <v>0</v>
      </c>
      <c r="AE549" s="70">
        <f>'RESUMEN TOTAL'!AL645</f>
        <v>0</v>
      </c>
      <c r="AF549" s="70">
        <f>'RESUMEN TOTAL'!AM645</f>
        <v>0</v>
      </c>
      <c r="AG549" s="70">
        <f>'RESUMEN TOTAL'!AN645</f>
        <v>0</v>
      </c>
      <c r="AH549" s="70">
        <f>'RESUMEN TOTAL'!AO645</f>
        <v>0</v>
      </c>
      <c r="AI549" s="70">
        <f>'RESUMEN TOTAL'!AP645</f>
        <v>0</v>
      </c>
    </row>
    <row r="550" spans="1:35" x14ac:dyDescent="0.25">
      <c r="A550">
        <f>'RESUMEN TOTAL'!A646</f>
        <v>0</v>
      </c>
      <c r="B550">
        <f>'RESUMEN TOTAL'!B646</f>
        <v>0</v>
      </c>
      <c r="C550">
        <f>'RESUMEN TOTAL'!D646</f>
        <v>0</v>
      </c>
      <c r="D550" s="30">
        <f>'RESUMEN TOTAL'!E646</f>
        <v>0</v>
      </c>
      <c r="E550" s="30">
        <f>'RESUMEN TOTAL'!F646</f>
        <v>0</v>
      </c>
      <c r="F550" s="70">
        <f>'RESUMEN TOTAL'!M646</f>
        <v>0</v>
      </c>
      <c r="G550" s="70">
        <f>'RESUMEN TOTAL'!N646</f>
        <v>0</v>
      </c>
      <c r="H550" s="70">
        <f>'RESUMEN TOTAL'!O646</f>
        <v>0</v>
      </c>
      <c r="I550" s="70">
        <f>'RESUMEN TOTAL'!P646</f>
        <v>0</v>
      </c>
      <c r="J550" s="70">
        <f>'RESUMEN TOTAL'!Q646</f>
        <v>0</v>
      </c>
      <c r="K550" s="70">
        <f>'RESUMEN TOTAL'!R646</f>
        <v>0</v>
      </c>
      <c r="L550" s="70">
        <f>'RESUMEN TOTAL'!S646</f>
        <v>0</v>
      </c>
      <c r="M550" s="70">
        <f>'RESUMEN TOTAL'!T646</f>
        <v>0</v>
      </c>
      <c r="N550" s="70">
        <f>'RESUMEN TOTAL'!U646</f>
        <v>0</v>
      </c>
      <c r="O550" s="70">
        <f>'RESUMEN TOTAL'!V646</f>
        <v>0</v>
      </c>
      <c r="P550" s="70">
        <f>'RESUMEN TOTAL'!W646</f>
        <v>0</v>
      </c>
      <c r="Q550" s="70">
        <f>'RESUMEN TOTAL'!X646</f>
        <v>0</v>
      </c>
      <c r="R550" s="70">
        <f>'RESUMEN TOTAL'!Y646</f>
        <v>0</v>
      </c>
      <c r="S550" s="70">
        <f>'RESUMEN TOTAL'!Z646</f>
        <v>0</v>
      </c>
      <c r="T550" s="70">
        <f>'RESUMEN TOTAL'!AA646</f>
        <v>0</v>
      </c>
      <c r="U550" s="70">
        <f>'RESUMEN TOTAL'!AB646</f>
        <v>0</v>
      </c>
      <c r="V550" s="70">
        <f>'RESUMEN TOTAL'!AC646</f>
        <v>0</v>
      </c>
      <c r="W550" s="70">
        <f>'RESUMEN TOTAL'!AD646</f>
        <v>0</v>
      </c>
      <c r="X550" s="70">
        <f>'RESUMEN TOTAL'!AE646</f>
        <v>0</v>
      </c>
      <c r="Y550" s="70">
        <f>'RESUMEN TOTAL'!AF646</f>
        <v>0</v>
      </c>
      <c r="Z550" s="70">
        <f>'RESUMEN TOTAL'!AG646</f>
        <v>0</v>
      </c>
      <c r="AA550" s="70">
        <f>'RESUMEN TOTAL'!AH646</f>
        <v>0</v>
      </c>
      <c r="AB550" s="70">
        <f>'RESUMEN TOTAL'!AI646</f>
        <v>0</v>
      </c>
      <c r="AC550" s="70">
        <f>'RESUMEN TOTAL'!AJ646</f>
        <v>0</v>
      </c>
      <c r="AD550" s="70">
        <f>'RESUMEN TOTAL'!AK646</f>
        <v>0</v>
      </c>
      <c r="AE550" s="70">
        <f>'RESUMEN TOTAL'!AL646</f>
        <v>0</v>
      </c>
      <c r="AF550" s="70">
        <f>'RESUMEN TOTAL'!AM646</f>
        <v>0</v>
      </c>
      <c r="AG550" s="70">
        <f>'RESUMEN TOTAL'!AN646</f>
        <v>0</v>
      </c>
      <c r="AH550" s="70">
        <f>'RESUMEN TOTAL'!AO646</f>
        <v>0</v>
      </c>
      <c r="AI550" s="70">
        <f>'RESUMEN TOTAL'!AP646</f>
        <v>0</v>
      </c>
    </row>
    <row r="551" spans="1:35" x14ac:dyDescent="0.25">
      <c r="A551">
        <f>'RESUMEN TOTAL'!A647</f>
        <v>0</v>
      </c>
      <c r="B551">
        <f>'RESUMEN TOTAL'!B647</f>
        <v>0</v>
      </c>
      <c r="C551">
        <f>'RESUMEN TOTAL'!D647</f>
        <v>0</v>
      </c>
      <c r="D551" s="30">
        <f>'RESUMEN TOTAL'!E647</f>
        <v>0</v>
      </c>
      <c r="E551" s="30">
        <f>'RESUMEN TOTAL'!F647</f>
        <v>0</v>
      </c>
      <c r="F551" s="70">
        <f>'RESUMEN TOTAL'!M647</f>
        <v>0</v>
      </c>
      <c r="G551" s="70">
        <f>'RESUMEN TOTAL'!N647</f>
        <v>0</v>
      </c>
      <c r="H551" s="70">
        <f>'RESUMEN TOTAL'!O647</f>
        <v>0</v>
      </c>
      <c r="I551" s="70">
        <f>'RESUMEN TOTAL'!P647</f>
        <v>0</v>
      </c>
      <c r="J551" s="70">
        <f>'RESUMEN TOTAL'!Q647</f>
        <v>0</v>
      </c>
      <c r="K551" s="70">
        <f>'RESUMEN TOTAL'!R647</f>
        <v>0</v>
      </c>
      <c r="L551" s="70">
        <f>'RESUMEN TOTAL'!S647</f>
        <v>0</v>
      </c>
      <c r="M551" s="70">
        <f>'RESUMEN TOTAL'!T647</f>
        <v>0</v>
      </c>
      <c r="N551" s="70">
        <f>'RESUMEN TOTAL'!U647</f>
        <v>0</v>
      </c>
      <c r="O551" s="70">
        <f>'RESUMEN TOTAL'!V647</f>
        <v>0</v>
      </c>
      <c r="P551" s="70">
        <f>'RESUMEN TOTAL'!W647</f>
        <v>0</v>
      </c>
      <c r="Q551" s="70">
        <f>'RESUMEN TOTAL'!X647</f>
        <v>0</v>
      </c>
      <c r="R551" s="70">
        <f>'RESUMEN TOTAL'!Y647</f>
        <v>0</v>
      </c>
      <c r="S551" s="70">
        <f>'RESUMEN TOTAL'!Z647</f>
        <v>0</v>
      </c>
      <c r="T551" s="70">
        <f>'RESUMEN TOTAL'!AA647</f>
        <v>0</v>
      </c>
      <c r="U551" s="70">
        <f>'RESUMEN TOTAL'!AB647</f>
        <v>0</v>
      </c>
      <c r="V551" s="70">
        <f>'RESUMEN TOTAL'!AC647</f>
        <v>0</v>
      </c>
      <c r="W551" s="70">
        <f>'RESUMEN TOTAL'!AD647</f>
        <v>0</v>
      </c>
      <c r="X551" s="70">
        <f>'RESUMEN TOTAL'!AE647</f>
        <v>0</v>
      </c>
      <c r="Y551" s="70">
        <f>'RESUMEN TOTAL'!AF647</f>
        <v>0</v>
      </c>
      <c r="Z551" s="70">
        <f>'RESUMEN TOTAL'!AG647</f>
        <v>0</v>
      </c>
      <c r="AA551" s="70">
        <f>'RESUMEN TOTAL'!AH647</f>
        <v>0</v>
      </c>
      <c r="AB551" s="70">
        <f>'RESUMEN TOTAL'!AI647</f>
        <v>0</v>
      </c>
      <c r="AC551" s="70">
        <f>'RESUMEN TOTAL'!AJ647</f>
        <v>0</v>
      </c>
      <c r="AD551" s="70">
        <f>'RESUMEN TOTAL'!AK647</f>
        <v>0</v>
      </c>
      <c r="AE551" s="70">
        <f>'RESUMEN TOTAL'!AL647</f>
        <v>0</v>
      </c>
      <c r="AF551" s="70">
        <f>'RESUMEN TOTAL'!AM647</f>
        <v>0</v>
      </c>
      <c r="AG551" s="70">
        <f>'RESUMEN TOTAL'!AN647</f>
        <v>0</v>
      </c>
      <c r="AH551" s="70">
        <f>'RESUMEN TOTAL'!AO647</f>
        <v>0</v>
      </c>
      <c r="AI551" s="70">
        <f>'RESUMEN TOTAL'!AP647</f>
        <v>0</v>
      </c>
    </row>
    <row r="552" spans="1:35" x14ac:dyDescent="0.25">
      <c r="A552">
        <f>'RESUMEN TOTAL'!A648</f>
        <v>0</v>
      </c>
      <c r="B552">
        <f>'RESUMEN TOTAL'!B648</f>
        <v>0</v>
      </c>
      <c r="C552">
        <f>'RESUMEN TOTAL'!D648</f>
        <v>0</v>
      </c>
      <c r="D552" s="30">
        <f>'RESUMEN TOTAL'!E648</f>
        <v>0</v>
      </c>
      <c r="E552" s="30">
        <f>'RESUMEN TOTAL'!F648</f>
        <v>0</v>
      </c>
      <c r="F552" s="70">
        <f>'RESUMEN TOTAL'!M648</f>
        <v>0</v>
      </c>
      <c r="G552" s="70">
        <f>'RESUMEN TOTAL'!N648</f>
        <v>0</v>
      </c>
      <c r="H552" s="70">
        <f>'RESUMEN TOTAL'!O648</f>
        <v>0</v>
      </c>
      <c r="I552" s="70">
        <f>'RESUMEN TOTAL'!P648</f>
        <v>0</v>
      </c>
      <c r="J552" s="70">
        <f>'RESUMEN TOTAL'!Q648</f>
        <v>0</v>
      </c>
      <c r="K552" s="70">
        <f>'RESUMEN TOTAL'!R648</f>
        <v>0</v>
      </c>
      <c r="L552" s="70">
        <f>'RESUMEN TOTAL'!S648</f>
        <v>0</v>
      </c>
      <c r="M552" s="70">
        <f>'RESUMEN TOTAL'!T648</f>
        <v>0</v>
      </c>
      <c r="N552" s="70">
        <f>'RESUMEN TOTAL'!U648</f>
        <v>0</v>
      </c>
      <c r="O552" s="70">
        <f>'RESUMEN TOTAL'!V648</f>
        <v>0</v>
      </c>
      <c r="P552" s="70">
        <f>'RESUMEN TOTAL'!W648</f>
        <v>0</v>
      </c>
      <c r="Q552" s="70">
        <f>'RESUMEN TOTAL'!X648</f>
        <v>0</v>
      </c>
      <c r="R552" s="70">
        <f>'RESUMEN TOTAL'!Y648</f>
        <v>0</v>
      </c>
      <c r="S552" s="70">
        <f>'RESUMEN TOTAL'!Z648</f>
        <v>0</v>
      </c>
      <c r="T552" s="70">
        <f>'RESUMEN TOTAL'!AA648</f>
        <v>0</v>
      </c>
      <c r="U552" s="70">
        <f>'RESUMEN TOTAL'!AB648</f>
        <v>0</v>
      </c>
      <c r="V552" s="70">
        <f>'RESUMEN TOTAL'!AC648</f>
        <v>0</v>
      </c>
      <c r="W552" s="70">
        <f>'RESUMEN TOTAL'!AD648</f>
        <v>0</v>
      </c>
      <c r="X552" s="70">
        <f>'RESUMEN TOTAL'!AE648</f>
        <v>0</v>
      </c>
      <c r="Y552" s="70">
        <f>'RESUMEN TOTAL'!AF648</f>
        <v>0</v>
      </c>
      <c r="Z552" s="70">
        <f>'RESUMEN TOTAL'!AG648</f>
        <v>0</v>
      </c>
      <c r="AA552" s="70">
        <f>'RESUMEN TOTAL'!AH648</f>
        <v>0</v>
      </c>
      <c r="AB552" s="70">
        <f>'RESUMEN TOTAL'!AI648</f>
        <v>0</v>
      </c>
      <c r="AC552" s="70">
        <f>'RESUMEN TOTAL'!AJ648</f>
        <v>0</v>
      </c>
      <c r="AD552" s="70">
        <f>'RESUMEN TOTAL'!AK648</f>
        <v>0</v>
      </c>
      <c r="AE552" s="70">
        <f>'RESUMEN TOTAL'!AL648</f>
        <v>0</v>
      </c>
      <c r="AF552" s="70">
        <f>'RESUMEN TOTAL'!AM648</f>
        <v>0</v>
      </c>
      <c r="AG552" s="70">
        <f>'RESUMEN TOTAL'!AN648</f>
        <v>0</v>
      </c>
      <c r="AH552" s="70">
        <f>'RESUMEN TOTAL'!AO648</f>
        <v>0</v>
      </c>
      <c r="AI552" s="70">
        <f>'RESUMEN TOTAL'!AP648</f>
        <v>0</v>
      </c>
    </row>
    <row r="553" spans="1:35" x14ac:dyDescent="0.25">
      <c r="A553">
        <f>'RESUMEN TOTAL'!A649</f>
        <v>0</v>
      </c>
      <c r="B553">
        <f>'RESUMEN TOTAL'!B649</f>
        <v>0</v>
      </c>
      <c r="C553">
        <f>'RESUMEN TOTAL'!D649</f>
        <v>0</v>
      </c>
      <c r="D553" s="30">
        <f>'RESUMEN TOTAL'!E649</f>
        <v>0</v>
      </c>
      <c r="E553" s="30">
        <f>'RESUMEN TOTAL'!F649</f>
        <v>0</v>
      </c>
      <c r="F553" s="70">
        <f>'RESUMEN TOTAL'!M649</f>
        <v>0</v>
      </c>
      <c r="G553" s="70">
        <f>'RESUMEN TOTAL'!N649</f>
        <v>0</v>
      </c>
      <c r="H553" s="70">
        <f>'RESUMEN TOTAL'!O649</f>
        <v>0</v>
      </c>
      <c r="I553" s="70">
        <f>'RESUMEN TOTAL'!P649</f>
        <v>0</v>
      </c>
      <c r="J553" s="70">
        <f>'RESUMEN TOTAL'!Q649</f>
        <v>0</v>
      </c>
      <c r="K553" s="70">
        <f>'RESUMEN TOTAL'!R649</f>
        <v>0</v>
      </c>
      <c r="L553" s="70">
        <f>'RESUMEN TOTAL'!S649</f>
        <v>0</v>
      </c>
      <c r="M553" s="70">
        <f>'RESUMEN TOTAL'!T649</f>
        <v>0</v>
      </c>
      <c r="N553" s="70">
        <f>'RESUMEN TOTAL'!U649</f>
        <v>0</v>
      </c>
      <c r="O553" s="70">
        <f>'RESUMEN TOTAL'!V649</f>
        <v>0</v>
      </c>
      <c r="P553" s="70">
        <f>'RESUMEN TOTAL'!W649</f>
        <v>0</v>
      </c>
      <c r="Q553" s="70">
        <f>'RESUMEN TOTAL'!X649</f>
        <v>0</v>
      </c>
      <c r="R553" s="70">
        <f>'RESUMEN TOTAL'!Y649</f>
        <v>0</v>
      </c>
      <c r="S553" s="70">
        <f>'RESUMEN TOTAL'!Z649</f>
        <v>0</v>
      </c>
      <c r="T553" s="70">
        <f>'RESUMEN TOTAL'!AA649</f>
        <v>0</v>
      </c>
      <c r="U553" s="70">
        <f>'RESUMEN TOTAL'!AB649</f>
        <v>0</v>
      </c>
      <c r="V553" s="70">
        <f>'RESUMEN TOTAL'!AC649</f>
        <v>0</v>
      </c>
      <c r="W553" s="70">
        <f>'RESUMEN TOTAL'!AD649</f>
        <v>0</v>
      </c>
      <c r="X553" s="70">
        <f>'RESUMEN TOTAL'!AE649</f>
        <v>0</v>
      </c>
      <c r="Y553" s="70">
        <f>'RESUMEN TOTAL'!AF649</f>
        <v>0</v>
      </c>
      <c r="Z553" s="70">
        <f>'RESUMEN TOTAL'!AG649</f>
        <v>0</v>
      </c>
      <c r="AA553" s="70">
        <f>'RESUMEN TOTAL'!AH649</f>
        <v>0</v>
      </c>
      <c r="AB553" s="70">
        <f>'RESUMEN TOTAL'!AI649</f>
        <v>0</v>
      </c>
      <c r="AC553" s="70">
        <f>'RESUMEN TOTAL'!AJ649</f>
        <v>0</v>
      </c>
      <c r="AD553" s="70">
        <f>'RESUMEN TOTAL'!AK649</f>
        <v>0</v>
      </c>
      <c r="AE553" s="70">
        <f>'RESUMEN TOTAL'!AL649</f>
        <v>0</v>
      </c>
      <c r="AF553" s="70">
        <f>'RESUMEN TOTAL'!AM649</f>
        <v>0</v>
      </c>
      <c r="AG553" s="70">
        <f>'RESUMEN TOTAL'!AN649</f>
        <v>0</v>
      </c>
      <c r="AH553" s="70">
        <f>'RESUMEN TOTAL'!AO649</f>
        <v>0</v>
      </c>
      <c r="AI553" s="70">
        <f>'RESUMEN TOTAL'!AP649</f>
        <v>0</v>
      </c>
    </row>
    <row r="554" spans="1:35" x14ac:dyDescent="0.25">
      <c r="A554">
        <f>'RESUMEN TOTAL'!A650</f>
        <v>0</v>
      </c>
      <c r="B554">
        <f>'RESUMEN TOTAL'!B650</f>
        <v>0</v>
      </c>
      <c r="C554">
        <f>'RESUMEN TOTAL'!D650</f>
        <v>0</v>
      </c>
      <c r="D554" s="30">
        <f>'RESUMEN TOTAL'!E650</f>
        <v>0</v>
      </c>
      <c r="E554" s="30">
        <f>'RESUMEN TOTAL'!F650</f>
        <v>0</v>
      </c>
      <c r="F554" s="70">
        <f>'RESUMEN TOTAL'!M650</f>
        <v>0</v>
      </c>
      <c r="G554" s="70">
        <f>'RESUMEN TOTAL'!N650</f>
        <v>0</v>
      </c>
      <c r="H554" s="70">
        <f>'RESUMEN TOTAL'!O650</f>
        <v>0</v>
      </c>
      <c r="I554" s="70">
        <f>'RESUMEN TOTAL'!P650</f>
        <v>0</v>
      </c>
      <c r="J554" s="70">
        <f>'RESUMEN TOTAL'!Q650</f>
        <v>0</v>
      </c>
      <c r="K554" s="70">
        <f>'RESUMEN TOTAL'!R650</f>
        <v>0</v>
      </c>
      <c r="L554" s="70">
        <f>'RESUMEN TOTAL'!S650</f>
        <v>0</v>
      </c>
      <c r="M554" s="70">
        <f>'RESUMEN TOTAL'!T650</f>
        <v>0</v>
      </c>
      <c r="N554" s="70">
        <f>'RESUMEN TOTAL'!U650</f>
        <v>0</v>
      </c>
      <c r="O554" s="70">
        <f>'RESUMEN TOTAL'!V650</f>
        <v>0</v>
      </c>
      <c r="P554" s="70">
        <f>'RESUMEN TOTAL'!W650</f>
        <v>0</v>
      </c>
      <c r="Q554" s="70">
        <f>'RESUMEN TOTAL'!X650</f>
        <v>0</v>
      </c>
      <c r="R554" s="70">
        <f>'RESUMEN TOTAL'!Y650</f>
        <v>0</v>
      </c>
      <c r="S554" s="70">
        <f>'RESUMEN TOTAL'!Z650</f>
        <v>0</v>
      </c>
      <c r="T554" s="70">
        <f>'RESUMEN TOTAL'!AA650</f>
        <v>0</v>
      </c>
      <c r="U554" s="70">
        <f>'RESUMEN TOTAL'!AB650</f>
        <v>0</v>
      </c>
      <c r="V554" s="70">
        <f>'RESUMEN TOTAL'!AC650</f>
        <v>0</v>
      </c>
      <c r="W554" s="70">
        <f>'RESUMEN TOTAL'!AD650</f>
        <v>0</v>
      </c>
      <c r="X554" s="70">
        <f>'RESUMEN TOTAL'!AE650</f>
        <v>0</v>
      </c>
      <c r="Y554" s="70">
        <f>'RESUMEN TOTAL'!AF650</f>
        <v>0</v>
      </c>
      <c r="Z554" s="70">
        <f>'RESUMEN TOTAL'!AG650</f>
        <v>0</v>
      </c>
      <c r="AA554" s="70">
        <f>'RESUMEN TOTAL'!AH650</f>
        <v>0</v>
      </c>
      <c r="AB554" s="70">
        <f>'RESUMEN TOTAL'!AI650</f>
        <v>0</v>
      </c>
      <c r="AC554" s="70">
        <f>'RESUMEN TOTAL'!AJ650</f>
        <v>0</v>
      </c>
      <c r="AD554" s="70">
        <f>'RESUMEN TOTAL'!AK650</f>
        <v>0</v>
      </c>
      <c r="AE554" s="70">
        <f>'RESUMEN TOTAL'!AL650</f>
        <v>0</v>
      </c>
      <c r="AF554" s="70">
        <f>'RESUMEN TOTAL'!AM650</f>
        <v>0</v>
      </c>
      <c r="AG554" s="70">
        <f>'RESUMEN TOTAL'!AN650</f>
        <v>0</v>
      </c>
      <c r="AH554" s="70">
        <f>'RESUMEN TOTAL'!AO650</f>
        <v>0</v>
      </c>
      <c r="AI554" s="70">
        <f>'RESUMEN TOTAL'!AP650</f>
        <v>0</v>
      </c>
    </row>
    <row r="555" spans="1:35" x14ac:dyDescent="0.25">
      <c r="A555">
        <f>'RESUMEN TOTAL'!A651</f>
        <v>0</v>
      </c>
      <c r="B555">
        <f>'RESUMEN TOTAL'!B651</f>
        <v>0</v>
      </c>
      <c r="C555">
        <f>'RESUMEN TOTAL'!D651</f>
        <v>0</v>
      </c>
      <c r="D555" s="30">
        <f>'RESUMEN TOTAL'!E651</f>
        <v>0</v>
      </c>
      <c r="E555" s="30">
        <f>'RESUMEN TOTAL'!F651</f>
        <v>0</v>
      </c>
      <c r="F555" s="70">
        <f>'RESUMEN TOTAL'!M651</f>
        <v>0</v>
      </c>
      <c r="G555" s="70">
        <f>'RESUMEN TOTAL'!N651</f>
        <v>0</v>
      </c>
      <c r="H555" s="70">
        <f>'RESUMEN TOTAL'!O651</f>
        <v>0</v>
      </c>
      <c r="I555" s="70">
        <f>'RESUMEN TOTAL'!P651</f>
        <v>0</v>
      </c>
      <c r="J555" s="70">
        <f>'RESUMEN TOTAL'!Q651</f>
        <v>0</v>
      </c>
      <c r="K555" s="70">
        <f>'RESUMEN TOTAL'!R651</f>
        <v>0</v>
      </c>
      <c r="L555" s="70">
        <f>'RESUMEN TOTAL'!S651</f>
        <v>0</v>
      </c>
      <c r="M555" s="70">
        <f>'RESUMEN TOTAL'!T651</f>
        <v>0</v>
      </c>
      <c r="N555" s="70">
        <f>'RESUMEN TOTAL'!U651</f>
        <v>0</v>
      </c>
      <c r="O555" s="70">
        <f>'RESUMEN TOTAL'!V651</f>
        <v>0</v>
      </c>
      <c r="P555" s="70">
        <f>'RESUMEN TOTAL'!W651</f>
        <v>0</v>
      </c>
      <c r="Q555" s="70">
        <f>'RESUMEN TOTAL'!X651</f>
        <v>0</v>
      </c>
      <c r="R555" s="70">
        <f>'RESUMEN TOTAL'!Y651</f>
        <v>0</v>
      </c>
      <c r="S555" s="70">
        <f>'RESUMEN TOTAL'!Z651</f>
        <v>0</v>
      </c>
      <c r="T555" s="70">
        <f>'RESUMEN TOTAL'!AA651</f>
        <v>0</v>
      </c>
      <c r="U555" s="70">
        <f>'RESUMEN TOTAL'!AB651</f>
        <v>0</v>
      </c>
      <c r="V555" s="70">
        <f>'RESUMEN TOTAL'!AC651</f>
        <v>0</v>
      </c>
      <c r="W555" s="70">
        <f>'RESUMEN TOTAL'!AD651</f>
        <v>0</v>
      </c>
      <c r="X555" s="70">
        <f>'RESUMEN TOTAL'!AE651</f>
        <v>0</v>
      </c>
      <c r="Y555" s="70">
        <f>'RESUMEN TOTAL'!AF651</f>
        <v>0</v>
      </c>
      <c r="Z555" s="70">
        <f>'RESUMEN TOTAL'!AG651</f>
        <v>0</v>
      </c>
      <c r="AA555" s="70">
        <f>'RESUMEN TOTAL'!AH651</f>
        <v>0</v>
      </c>
      <c r="AB555" s="70">
        <f>'RESUMEN TOTAL'!AI651</f>
        <v>0</v>
      </c>
      <c r="AC555" s="70">
        <f>'RESUMEN TOTAL'!AJ651</f>
        <v>0</v>
      </c>
      <c r="AD555" s="70">
        <f>'RESUMEN TOTAL'!AK651</f>
        <v>0</v>
      </c>
      <c r="AE555" s="70">
        <f>'RESUMEN TOTAL'!AL651</f>
        <v>0</v>
      </c>
      <c r="AF555" s="70">
        <f>'RESUMEN TOTAL'!AM651</f>
        <v>0</v>
      </c>
      <c r="AG555" s="70">
        <f>'RESUMEN TOTAL'!AN651</f>
        <v>0</v>
      </c>
      <c r="AH555" s="70">
        <f>'RESUMEN TOTAL'!AO651</f>
        <v>0</v>
      </c>
      <c r="AI555" s="70">
        <f>'RESUMEN TOTAL'!AP651</f>
        <v>0</v>
      </c>
    </row>
    <row r="556" spans="1:35" x14ac:dyDescent="0.25">
      <c r="A556">
        <f>'RESUMEN TOTAL'!A652</f>
        <v>0</v>
      </c>
      <c r="B556">
        <f>'RESUMEN TOTAL'!B652</f>
        <v>0</v>
      </c>
      <c r="C556">
        <f>'RESUMEN TOTAL'!D652</f>
        <v>0</v>
      </c>
      <c r="D556" s="30">
        <f>'RESUMEN TOTAL'!E652</f>
        <v>0</v>
      </c>
      <c r="E556" s="30">
        <f>'RESUMEN TOTAL'!F652</f>
        <v>0</v>
      </c>
      <c r="F556" s="70">
        <f>'RESUMEN TOTAL'!M652</f>
        <v>0</v>
      </c>
      <c r="G556" s="70">
        <f>'RESUMEN TOTAL'!N652</f>
        <v>0</v>
      </c>
      <c r="H556" s="70">
        <f>'RESUMEN TOTAL'!O652</f>
        <v>0</v>
      </c>
      <c r="I556" s="70">
        <f>'RESUMEN TOTAL'!P652</f>
        <v>0</v>
      </c>
      <c r="J556" s="70">
        <f>'RESUMEN TOTAL'!Q652</f>
        <v>0</v>
      </c>
      <c r="K556" s="70">
        <f>'RESUMEN TOTAL'!R652</f>
        <v>0</v>
      </c>
      <c r="L556" s="70">
        <f>'RESUMEN TOTAL'!S652</f>
        <v>0</v>
      </c>
      <c r="M556" s="70">
        <f>'RESUMEN TOTAL'!T652</f>
        <v>0</v>
      </c>
      <c r="N556" s="70">
        <f>'RESUMEN TOTAL'!U652</f>
        <v>0</v>
      </c>
      <c r="O556" s="70">
        <f>'RESUMEN TOTAL'!V652</f>
        <v>0</v>
      </c>
      <c r="P556" s="70">
        <f>'RESUMEN TOTAL'!W652</f>
        <v>0</v>
      </c>
      <c r="Q556" s="70">
        <f>'RESUMEN TOTAL'!X652</f>
        <v>0</v>
      </c>
      <c r="R556" s="70">
        <f>'RESUMEN TOTAL'!Y652</f>
        <v>0</v>
      </c>
      <c r="S556" s="70">
        <f>'RESUMEN TOTAL'!Z652</f>
        <v>0</v>
      </c>
      <c r="T556" s="70">
        <f>'RESUMEN TOTAL'!AA652</f>
        <v>0</v>
      </c>
      <c r="U556" s="70">
        <f>'RESUMEN TOTAL'!AB652</f>
        <v>0</v>
      </c>
      <c r="V556" s="70">
        <f>'RESUMEN TOTAL'!AC652</f>
        <v>0</v>
      </c>
      <c r="W556" s="70">
        <f>'RESUMEN TOTAL'!AD652</f>
        <v>0</v>
      </c>
      <c r="X556" s="70">
        <f>'RESUMEN TOTAL'!AE652</f>
        <v>0</v>
      </c>
      <c r="Y556" s="70">
        <f>'RESUMEN TOTAL'!AF652</f>
        <v>0</v>
      </c>
      <c r="Z556" s="70">
        <f>'RESUMEN TOTAL'!AG652</f>
        <v>0</v>
      </c>
      <c r="AA556" s="70">
        <f>'RESUMEN TOTAL'!AH652</f>
        <v>0</v>
      </c>
      <c r="AB556" s="70">
        <f>'RESUMEN TOTAL'!AI652</f>
        <v>0</v>
      </c>
      <c r="AC556" s="70">
        <f>'RESUMEN TOTAL'!AJ652</f>
        <v>0</v>
      </c>
      <c r="AD556" s="70">
        <f>'RESUMEN TOTAL'!AK652</f>
        <v>0</v>
      </c>
      <c r="AE556" s="70">
        <f>'RESUMEN TOTAL'!AL652</f>
        <v>0</v>
      </c>
      <c r="AF556" s="70">
        <f>'RESUMEN TOTAL'!AM652</f>
        <v>0</v>
      </c>
      <c r="AG556" s="70">
        <f>'RESUMEN TOTAL'!AN652</f>
        <v>0</v>
      </c>
      <c r="AH556" s="70">
        <f>'RESUMEN TOTAL'!AO652</f>
        <v>0</v>
      </c>
      <c r="AI556" s="70">
        <f>'RESUMEN TOTAL'!AP652</f>
        <v>0</v>
      </c>
    </row>
    <row r="557" spans="1:35" x14ac:dyDescent="0.25">
      <c r="A557">
        <f>'RESUMEN TOTAL'!A653</f>
        <v>0</v>
      </c>
      <c r="B557">
        <f>'RESUMEN TOTAL'!B653</f>
        <v>0</v>
      </c>
      <c r="C557">
        <f>'RESUMEN TOTAL'!D653</f>
        <v>0</v>
      </c>
      <c r="D557" s="30">
        <f>'RESUMEN TOTAL'!E653</f>
        <v>0</v>
      </c>
      <c r="E557" s="30">
        <f>'RESUMEN TOTAL'!F653</f>
        <v>0</v>
      </c>
      <c r="F557" s="70">
        <f>'RESUMEN TOTAL'!M653</f>
        <v>0</v>
      </c>
      <c r="G557" s="70">
        <f>'RESUMEN TOTAL'!N653</f>
        <v>0</v>
      </c>
      <c r="H557" s="70">
        <f>'RESUMEN TOTAL'!O653</f>
        <v>0</v>
      </c>
      <c r="I557" s="70">
        <f>'RESUMEN TOTAL'!P653</f>
        <v>0</v>
      </c>
      <c r="J557" s="70">
        <f>'RESUMEN TOTAL'!Q653</f>
        <v>0</v>
      </c>
      <c r="K557" s="70">
        <f>'RESUMEN TOTAL'!R653</f>
        <v>0</v>
      </c>
      <c r="L557" s="70">
        <f>'RESUMEN TOTAL'!S653</f>
        <v>0</v>
      </c>
      <c r="M557" s="70">
        <f>'RESUMEN TOTAL'!T653</f>
        <v>0</v>
      </c>
      <c r="N557" s="70">
        <f>'RESUMEN TOTAL'!U653</f>
        <v>0</v>
      </c>
      <c r="O557" s="70">
        <f>'RESUMEN TOTAL'!V653</f>
        <v>0</v>
      </c>
      <c r="P557" s="70">
        <f>'RESUMEN TOTAL'!W653</f>
        <v>0</v>
      </c>
      <c r="Q557" s="70">
        <f>'RESUMEN TOTAL'!X653</f>
        <v>0</v>
      </c>
      <c r="R557" s="70">
        <f>'RESUMEN TOTAL'!Y653</f>
        <v>0</v>
      </c>
      <c r="S557" s="70">
        <f>'RESUMEN TOTAL'!Z653</f>
        <v>0</v>
      </c>
      <c r="T557" s="70">
        <f>'RESUMEN TOTAL'!AA653</f>
        <v>0</v>
      </c>
      <c r="U557" s="70">
        <f>'RESUMEN TOTAL'!AB653</f>
        <v>0</v>
      </c>
      <c r="V557" s="70">
        <f>'RESUMEN TOTAL'!AC653</f>
        <v>0</v>
      </c>
      <c r="W557" s="70">
        <f>'RESUMEN TOTAL'!AD653</f>
        <v>0</v>
      </c>
      <c r="X557" s="70">
        <f>'RESUMEN TOTAL'!AE653</f>
        <v>0</v>
      </c>
      <c r="Y557" s="70">
        <f>'RESUMEN TOTAL'!AF653</f>
        <v>0</v>
      </c>
      <c r="Z557" s="70">
        <f>'RESUMEN TOTAL'!AG653</f>
        <v>0</v>
      </c>
      <c r="AA557" s="70">
        <f>'RESUMEN TOTAL'!AH653</f>
        <v>0</v>
      </c>
      <c r="AB557" s="70">
        <f>'RESUMEN TOTAL'!AI653</f>
        <v>0</v>
      </c>
      <c r="AC557" s="70">
        <f>'RESUMEN TOTAL'!AJ653</f>
        <v>0</v>
      </c>
      <c r="AD557" s="70">
        <f>'RESUMEN TOTAL'!AK653</f>
        <v>0</v>
      </c>
      <c r="AE557" s="70">
        <f>'RESUMEN TOTAL'!AL653</f>
        <v>0</v>
      </c>
      <c r="AF557" s="70">
        <f>'RESUMEN TOTAL'!AM653</f>
        <v>0</v>
      </c>
      <c r="AG557" s="70">
        <f>'RESUMEN TOTAL'!AN653</f>
        <v>0</v>
      </c>
      <c r="AH557" s="70">
        <f>'RESUMEN TOTAL'!AO653</f>
        <v>0</v>
      </c>
      <c r="AI557" s="70">
        <f>'RESUMEN TOTAL'!AP653</f>
        <v>0</v>
      </c>
    </row>
    <row r="558" spans="1:35" x14ac:dyDescent="0.25">
      <c r="A558">
        <f>'RESUMEN TOTAL'!A654</f>
        <v>0</v>
      </c>
      <c r="B558">
        <f>'RESUMEN TOTAL'!B654</f>
        <v>0</v>
      </c>
      <c r="C558">
        <f>'RESUMEN TOTAL'!D654</f>
        <v>0</v>
      </c>
      <c r="D558" s="30">
        <f>'RESUMEN TOTAL'!E654</f>
        <v>0</v>
      </c>
      <c r="E558" s="30">
        <f>'RESUMEN TOTAL'!F654</f>
        <v>0</v>
      </c>
      <c r="F558" s="70">
        <f>'RESUMEN TOTAL'!M654</f>
        <v>0</v>
      </c>
      <c r="G558" s="70">
        <f>'RESUMEN TOTAL'!N654</f>
        <v>0</v>
      </c>
      <c r="H558" s="70">
        <f>'RESUMEN TOTAL'!O654</f>
        <v>0</v>
      </c>
      <c r="I558" s="70">
        <f>'RESUMEN TOTAL'!P654</f>
        <v>0</v>
      </c>
      <c r="J558" s="70">
        <f>'RESUMEN TOTAL'!Q654</f>
        <v>0</v>
      </c>
      <c r="K558" s="70">
        <f>'RESUMEN TOTAL'!R654</f>
        <v>0</v>
      </c>
      <c r="L558" s="70">
        <f>'RESUMEN TOTAL'!S654</f>
        <v>0</v>
      </c>
      <c r="M558" s="70">
        <f>'RESUMEN TOTAL'!T654</f>
        <v>0</v>
      </c>
      <c r="N558" s="70">
        <f>'RESUMEN TOTAL'!U654</f>
        <v>0</v>
      </c>
      <c r="O558" s="70">
        <f>'RESUMEN TOTAL'!V654</f>
        <v>0</v>
      </c>
      <c r="P558" s="70">
        <f>'RESUMEN TOTAL'!W654</f>
        <v>0</v>
      </c>
      <c r="Q558" s="70">
        <f>'RESUMEN TOTAL'!X654</f>
        <v>0</v>
      </c>
      <c r="R558" s="70">
        <f>'RESUMEN TOTAL'!Y654</f>
        <v>0</v>
      </c>
      <c r="S558" s="70">
        <f>'RESUMEN TOTAL'!Z654</f>
        <v>0</v>
      </c>
      <c r="T558" s="70">
        <f>'RESUMEN TOTAL'!AA654</f>
        <v>0</v>
      </c>
      <c r="U558" s="70">
        <f>'RESUMEN TOTAL'!AB654</f>
        <v>0</v>
      </c>
      <c r="V558" s="70">
        <f>'RESUMEN TOTAL'!AC654</f>
        <v>0</v>
      </c>
      <c r="W558" s="70">
        <f>'RESUMEN TOTAL'!AD654</f>
        <v>0</v>
      </c>
      <c r="X558" s="70">
        <f>'RESUMEN TOTAL'!AE654</f>
        <v>0</v>
      </c>
      <c r="Y558" s="70">
        <f>'RESUMEN TOTAL'!AF654</f>
        <v>0</v>
      </c>
      <c r="Z558" s="70">
        <f>'RESUMEN TOTAL'!AG654</f>
        <v>0</v>
      </c>
      <c r="AA558" s="70">
        <f>'RESUMEN TOTAL'!AH654</f>
        <v>0</v>
      </c>
      <c r="AB558" s="70">
        <f>'RESUMEN TOTAL'!AI654</f>
        <v>0</v>
      </c>
      <c r="AC558" s="70">
        <f>'RESUMEN TOTAL'!AJ654</f>
        <v>0</v>
      </c>
      <c r="AD558" s="70">
        <f>'RESUMEN TOTAL'!AK654</f>
        <v>0</v>
      </c>
      <c r="AE558" s="70">
        <f>'RESUMEN TOTAL'!AL654</f>
        <v>0</v>
      </c>
      <c r="AF558" s="70">
        <f>'RESUMEN TOTAL'!AM654</f>
        <v>0</v>
      </c>
      <c r="AG558" s="70">
        <f>'RESUMEN TOTAL'!AN654</f>
        <v>0</v>
      </c>
      <c r="AH558" s="70">
        <f>'RESUMEN TOTAL'!AO654</f>
        <v>0</v>
      </c>
      <c r="AI558" s="70">
        <f>'RESUMEN TOTAL'!AP654</f>
        <v>0</v>
      </c>
    </row>
    <row r="559" spans="1:35" x14ac:dyDescent="0.25">
      <c r="A559">
        <f>'RESUMEN TOTAL'!A655</f>
        <v>0</v>
      </c>
      <c r="B559">
        <f>'RESUMEN TOTAL'!B655</f>
        <v>0</v>
      </c>
      <c r="C559">
        <f>'RESUMEN TOTAL'!D655</f>
        <v>0</v>
      </c>
      <c r="D559" s="30">
        <f>'RESUMEN TOTAL'!E655</f>
        <v>0</v>
      </c>
      <c r="E559" s="30">
        <f>'RESUMEN TOTAL'!F655</f>
        <v>0</v>
      </c>
      <c r="F559" s="70">
        <f>'RESUMEN TOTAL'!M655</f>
        <v>0</v>
      </c>
      <c r="G559" s="70">
        <f>'RESUMEN TOTAL'!N655</f>
        <v>0</v>
      </c>
      <c r="H559" s="70">
        <f>'RESUMEN TOTAL'!O655</f>
        <v>0</v>
      </c>
      <c r="I559" s="70">
        <f>'RESUMEN TOTAL'!P655</f>
        <v>0</v>
      </c>
      <c r="J559" s="70">
        <f>'RESUMEN TOTAL'!Q655</f>
        <v>0</v>
      </c>
      <c r="K559" s="70">
        <f>'RESUMEN TOTAL'!R655</f>
        <v>0</v>
      </c>
      <c r="L559" s="70">
        <f>'RESUMEN TOTAL'!S655</f>
        <v>0</v>
      </c>
      <c r="M559" s="70">
        <f>'RESUMEN TOTAL'!T655</f>
        <v>0</v>
      </c>
      <c r="N559" s="70">
        <f>'RESUMEN TOTAL'!U655</f>
        <v>0</v>
      </c>
      <c r="O559" s="70">
        <f>'RESUMEN TOTAL'!V655</f>
        <v>0</v>
      </c>
      <c r="P559" s="70">
        <f>'RESUMEN TOTAL'!W655</f>
        <v>0</v>
      </c>
      <c r="Q559" s="70">
        <f>'RESUMEN TOTAL'!X655</f>
        <v>0</v>
      </c>
      <c r="R559" s="70">
        <f>'RESUMEN TOTAL'!Y655</f>
        <v>0</v>
      </c>
      <c r="S559" s="70">
        <f>'RESUMEN TOTAL'!Z655</f>
        <v>0</v>
      </c>
      <c r="T559" s="70">
        <f>'RESUMEN TOTAL'!AA655</f>
        <v>0</v>
      </c>
      <c r="U559" s="70">
        <f>'RESUMEN TOTAL'!AB655</f>
        <v>0</v>
      </c>
      <c r="V559" s="70">
        <f>'RESUMEN TOTAL'!AC655</f>
        <v>0</v>
      </c>
      <c r="W559" s="70">
        <f>'RESUMEN TOTAL'!AD655</f>
        <v>0</v>
      </c>
      <c r="X559" s="70">
        <f>'RESUMEN TOTAL'!AE655</f>
        <v>0</v>
      </c>
      <c r="Y559" s="70">
        <f>'RESUMEN TOTAL'!AF655</f>
        <v>0</v>
      </c>
      <c r="Z559" s="70">
        <f>'RESUMEN TOTAL'!AG655</f>
        <v>0</v>
      </c>
      <c r="AA559" s="70">
        <f>'RESUMEN TOTAL'!AH655</f>
        <v>0</v>
      </c>
      <c r="AB559" s="70">
        <f>'RESUMEN TOTAL'!AI655</f>
        <v>0</v>
      </c>
      <c r="AC559" s="70">
        <f>'RESUMEN TOTAL'!AJ655</f>
        <v>0</v>
      </c>
      <c r="AD559" s="70">
        <f>'RESUMEN TOTAL'!AK655</f>
        <v>0</v>
      </c>
      <c r="AE559" s="70">
        <f>'RESUMEN TOTAL'!AL655</f>
        <v>0</v>
      </c>
      <c r="AF559" s="70">
        <f>'RESUMEN TOTAL'!AM655</f>
        <v>0</v>
      </c>
      <c r="AG559" s="70">
        <f>'RESUMEN TOTAL'!AN655</f>
        <v>0</v>
      </c>
      <c r="AH559" s="70">
        <f>'RESUMEN TOTAL'!AO655</f>
        <v>0</v>
      </c>
      <c r="AI559" s="70">
        <f>'RESUMEN TOTAL'!AP655</f>
        <v>0</v>
      </c>
    </row>
    <row r="560" spans="1:35" x14ac:dyDescent="0.25">
      <c r="A560">
        <f>'RESUMEN TOTAL'!A656</f>
        <v>0</v>
      </c>
      <c r="B560">
        <f>'RESUMEN TOTAL'!B656</f>
        <v>0</v>
      </c>
      <c r="C560">
        <f>'RESUMEN TOTAL'!D656</f>
        <v>0</v>
      </c>
      <c r="D560" s="30">
        <f>'RESUMEN TOTAL'!E656</f>
        <v>0</v>
      </c>
      <c r="E560" s="30">
        <f>'RESUMEN TOTAL'!F656</f>
        <v>0</v>
      </c>
      <c r="F560" s="70">
        <f>'RESUMEN TOTAL'!M656</f>
        <v>0</v>
      </c>
      <c r="G560" s="70">
        <f>'RESUMEN TOTAL'!N656</f>
        <v>0</v>
      </c>
      <c r="H560" s="70">
        <f>'RESUMEN TOTAL'!O656</f>
        <v>0</v>
      </c>
      <c r="I560" s="70">
        <f>'RESUMEN TOTAL'!P656</f>
        <v>0</v>
      </c>
      <c r="J560" s="70">
        <f>'RESUMEN TOTAL'!Q656</f>
        <v>0</v>
      </c>
      <c r="K560" s="70">
        <f>'RESUMEN TOTAL'!R656</f>
        <v>0</v>
      </c>
      <c r="L560" s="70">
        <f>'RESUMEN TOTAL'!S656</f>
        <v>0</v>
      </c>
      <c r="M560" s="70">
        <f>'RESUMEN TOTAL'!T656</f>
        <v>0</v>
      </c>
      <c r="N560" s="70">
        <f>'RESUMEN TOTAL'!U656</f>
        <v>0</v>
      </c>
      <c r="O560" s="70">
        <f>'RESUMEN TOTAL'!V656</f>
        <v>0</v>
      </c>
      <c r="P560" s="70">
        <f>'RESUMEN TOTAL'!W656</f>
        <v>0</v>
      </c>
      <c r="Q560" s="70">
        <f>'RESUMEN TOTAL'!X656</f>
        <v>0</v>
      </c>
      <c r="R560" s="70">
        <f>'RESUMEN TOTAL'!Y656</f>
        <v>0</v>
      </c>
      <c r="S560" s="70">
        <f>'RESUMEN TOTAL'!Z656</f>
        <v>0</v>
      </c>
      <c r="T560" s="70">
        <f>'RESUMEN TOTAL'!AA656</f>
        <v>0</v>
      </c>
      <c r="U560" s="70">
        <f>'RESUMEN TOTAL'!AB656</f>
        <v>0</v>
      </c>
      <c r="V560" s="70">
        <f>'RESUMEN TOTAL'!AC656</f>
        <v>0</v>
      </c>
      <c r="W560" s="70">
        <f>'RESUMEN TOTAL'!AD656</f>
        <v>0</v>
      </c>
      <c r="X560" s="70">
        <f>'RESUMEN TOTAL'!AE656</f>
        <v>0</v>
      </c>
      <c r="Y560" s="70">
        <f>'RESUMEN TOTAL'!AF656</f>
        <v>0</v>
      </c>
      <c r="Z560" s="70">
        <f>'RESUMEN TOTAL'!AG656</f>
        <v>0</v>
      </c>
      <c r="AA560" s="70">
        <f>'RESUMEN TOTAL'!AH656</f>
        <v>0</v>
      </c>
      <c r="AB560" s="70">
        <f>'RESUMEN TOTAL'!AI656</f>
        <v>0</v>
      </c>
      <c r="AC560" s="70">
        <f>'RESUMEN TOTAL'!AJ656</f>
        <v>0</v>
      </c>
      <c r="AD560" s="70">
        <f>'RESUMEN TOTAL'!AK656</f>
        <v>0</v>
      </c>
      <c r="AE560" s="70">
        <f>'RESUMEN TOTAL'!AL656</f>
        <v>0</v>
      </c>
      <c r="AF560" s="70">
        <f>'RESUMEN TOTAL'!AM656</f>
        <v>0</v>
      </c>
      <c r="AG560" s="70">
        <f>'RESUMEN TOTAL'!AN656</f>
        <v>0</v>
      </c>
      <c r="AH560" s="70">
        <f>'RESUMEN TOTAL'!AO656</f>
        <v>0</v>
      </c>
      <c r="AI560" s="70">
        <f>'RESUMEN TOTAL'!AP656</f>
        <v>0</v>
      </c>
    </row>
    <row r="561" spans="1:35" x14ac:dyDescent="0.25">
      <c r="A561">
        <f>'RESUMEN TOTAL'!A657</f>
        <v>0</v>
      </c>
      <c r="B561">
        <f>'RESUMEN TOTAL'!B657</f>
        <v>0</v>
      </c>
      <c r="C561">
        <f>'RESUMEN TOTAL'!D657</f>
        <v>0</v>
      </c>
      <c r="D561" s="30">
        <f>'RESUMEN TOTAL'!E657</f>
        <v>0</v>
      </c>
      <c r="E561" s="30">
        <f>'RESUMEN TOTAL'!F657</f>
        <v>0</v>
      </c>
      <c r="F561" s="70">
        <f>'RESUMEN TOTAL'!M657</f>
        <v>0</v>
      </c>
      <c r="G561" s="70">
        <f>'RESUMEN TOTAL'!N657</f>
        <v>0</v>
      </c>
      <c r="H561" s="70">
        <f>'RESUMEN TOTAL'!O657</f>
        <v>0</v>
      </c>
      <c r="I561" s="70">
        <f>'RESUMEN TOTAL'!P657</f>
        <v>0</v>
      </c>
      <c r="J561" s="70">
        <f>'RESUMEN TOTAL'!Q657</f>
        <v>0</v>
      </c>
      <c r="K561" s="70">
        <f>'RESUMEN TOTAL'!R657</f>
        <v>0</v>
      </c>
      <c r="L561" s="70">
        <f>'RESUMEN TOTAL'!S657</f>
        <v>0</v>
      </c>
      <c r="M561" s="70">
        <f>'RESUMEN TOTAL'!T657</f>
        <v>0</v>
      </c>
      <c r="N561" s="70">
        <f>'RESUMEN TOTAL'!U657</f>
        <v>0</v>
      </c>
      <c r="O561" s="70">
        <f>'RESUMEN TOTAL'!V657</f>
        <v>0</v>
      </c>
      <c r="P561" s="70">
        <f>'RESUMEN TOTAL'!W657</f>
        <v>0</v>
      </c>
      <c r="Q561" s="70">
        <f>'RESUMEN TOTAL'!X657</f>
        <v>0</v>
      </c>
      <c r="R561" s="70">
        <f>'RESUMEN TOTAL'!Y657</f>
        <v>0</v>
      </c>
      <c r="S561" s="70">
        <f>'RESUMEN TOTAL'!Z657</f>
        <v>0</v>
      </c>
      <c r="T561" s="70">
        <f>'RESUMEN TOTAL'!AA657</f>
        <v>0</v>
      </c>
      <c r="U561" s="70">
        <f>'RESUMEN TOTAL'!AB657</f>
        <v>0</v>
      </c>
      <c r="V561" s="70">
        <f>'RESUMEN TOTAL'!AC657</f>
        <v>0</v>
      </c>
      <c r="W561" s="70">
        <f>'RESUMEN TOTAL'!AD657</f>
        <v>0</v>
      </c>
      <c r="X561" s="70">
        <f>'RESUMEN TOTAL'!AE657</f>
        <v>0</v>
      </c>
      <c r="Y561" s="70">
        <f>'RESUMEN TOTAL'!AF657</f>
        <v>0</v>
      </c>
      <c r="Z561" s="70">
        <f>'RESUMEN TOTAL'!AG657</f>
        <v>0</v>
      </c>
      <c r="AA561" s="70">
        <f>'RESUMEN TOTAL'!AH657</f>
        <v>0</v>
      </c>
      <c r="AB561" s="70">
        <f>'RESUMEN TOTAL'!AI657</f>
        <v>0</v>
      </c>
      <c r="AC561" s="70">
        <f>'RESUMEN TOTAL'!AJ657</f>
        <v>0</v>
      </c>
      <c r="AD561" s="70">
        <f>'RESUMEN TOTAL'!AK657</f>
        <v>0</v>
      </c>
      <c r="AE561" s="70">
        <f>'RESUMEN TOTAL'!AL657</f>
        <v>0</v>
      </c>
      <c r="AF561" s="70">
        <f>'RESUMEN TOTAL'!AM657</f>
        <v>0</v>
      </c>
      <c r="AG561" s="70">
        <f>'RESUMEN TOTAL'!AN657</f>
        <v>0</v>
      </c>
      <c r="AH561" s="70">
        <f>'RESUMEN TOTAL'!AO657</f>
        <v>0</v>
      </c>
      <c r="AI561" s="70">
        <f>'RESUMEN TOTAL'!AP657</f>
        <v>0</v>
      </c>
    </row>
    <row r="562" spans="1:35" x14ac:dyDescent="0.25">
      <c r="A562">
        <f>'RESUMEN TOTAL'!A658</f>
        <v>0</v>
      </c>
      <c r="B562">
        <f>'RESUMEN TOTAL'!B658</f>
        <v>0</v>
      </c>
      <c r="C562">
        <f>'RESUMEN TOTAL'!D658</f>
        <v>0</v>
      </c>
      <c r="D562" s="30">
        <f>'RESUMEN TOTAL'!E658</f>
        <v>0</v>
      </c>
      <c r="E562" s="30">
        <f>'RESUMEN TOTAL'!F658</f>
        <v>0</v>
      </c>
      <c r="F562" s="70">
        <f>'RESUMEN TOTAL'!M658</f>
        <v>0</v>
      </c>
      <c r="G562" s="70">
        <f>'RESUMEN TOTAL'!N658</f>
        <v>0</v>
      </c>
      <c r="H562" s="70">
        <f>'RESUMEN TOTAL'!O658</f>
        <v>0</v>
      </c>
      <c r="I562" s="70">
        <f>'RESUMEN TOTAL'!P658</f>
        <v>0</v>
      </c>
      <c r="J562" s="70">
        <f>'RESUMEN TOTAL'!Q658</f>
        <v>0</v>
      </c>
      <c r="K562" s="70">
        <f>'RESUMEN TOTAL'!R658</f>
        <v>0</v>
      </c>
      <c r="L562" s="70">
        <f>'RESUMEN TOTAL'!S658</f>
        <v>0</v>
      </c>
      <c r="M562" s="70">
        <f>'RESUMEN TOTAL'!T658</f>
        <v>0</v>
      </c>
      <c r="N562" s="70">
        <f>'RESUMEN TOTAL'!U658</f>
        <v>0</v>
      </c>
      <c r="O562" s="70">
        <f>'RESUMEN TOTAL'!V658</f>
        <v>0</v>
      </c>
      <c r="P562" s="70">
        <f>'RESUMEN TOTAL'!W658</f>
        <v>0</v>
      </c>
      <c r="Q562" s="70">
        <f>'RESUMEN TOTAL'!X658</f>
        <v>0</v>
      </c>
      <c r="R562" s="70">
        <f>'RESUMEN TOTAL'!Y658</f>
        <v>0</v>
      </c>
      <c r="S562" s="70">
        <f>'RESUMEN TOTAL'!Z658</f>
        <v>0</v>
      </c>
      <c r="T562" s="70">
        <f>'RESUMEN TOTAL'!AA658</f>
        <v>0</v>
      </c>
      <c r="U562" s="70">
        <f>'RESUMEN TOTAL'!AB658</f>
        <v>0</v>
      </c>
      <c r="V562" s="70">
        <f>'RESUMEN TOTAL'!AC658</f>
        <v>0</v>
      </c>
      <c r="W562" s="70">
        <f>'RESUMEN TOTAL'!AD658</f>
        <v>0</v>
      </c>
      <c r="X562" s="70">
        <f>'RESUMEN TOTAL'!AE658</f>
        <v>0</v>
      </c>
      <c r="Y562" s="70">
        <f>'RESUMEN TOTAL'!AF658</f>
        <v>0</v>
      </c>
      <c r="Z562" s="70">
        <f>'RESUMEN TOTAL'!AG658</f>
        <v>0</v>
      </c>
      <c r="AA562" s="70">
        <f>'RESUMEN TOTAL'!AH658</f>
        <v>0</v>
      </c>
      <c r="AB562" s="70">
        <f>'RESUMEN TOTAL'!AI658</f>
        <v>0</v>
      </c>
      <c r="AC562" s="70">
        <f>'RESUMEN TOTAL'!AJ658</f>
        <v>0</v>
      </c>
      <c r="AD562" s="70">
        <f>'RESUMEN TOTAL'!AK658</f>
        <v>0</v>
      </c>
      <c r="AE562" s="70">
        <f>'RESUMEN TOTAL'!AL658</f>
        <v>0</v>
      </c>
      <c r="AF562" s="70">
        <f>'RESUMEN TOTAL'!AM658</f>
        <v>0</v>
      </c>
      <c r="AG562" s="70">
        <f>'RESUMEN TOTAL'!AN658</f>
        <v>0</v>
      </c>
      <c r="AH562" s="70">
        <f>'RESUMEN TOTAL'!AO658</f>
        <v>0</v>
      </c>
      <c r="AI562" s="70">
        <f>'RESUMEN TOTAL'!AP658</f>
        <v>0</v>
      </c>
    </row>
    <row r="563" spans="1:35" x14ac:dyDescent="0.25">
      <c r="A563">
        <f>'RESUMEN TOTAL'!A659</f>
        <v>0</v>
      </c>
      <c r="B563">
        <f>'RESUMEN TOTAL'!B659</f>
        <v>0</v>
      </c>
      <c r="C563">
        <f>'RESUMEN TOTAL'!D659</f>
        <v>0</v>
      </c>
      <c r="D563" s="30">
        <f>'RESUMEN TOTAL'!E659</f>
        <v>0</v>
      </c>
      <c r="E563" s="30">
        <f>'RESUMEN TOTAL'!F659</f>
        <v>0</v>
      </c>
      <c r="F563" s="70">
        <f>'RESUMEN TOTAL'!M659</f>
        <v>0</v>
      </c>
      <c r="G563" s="70">
        <f>'RESUMEN TOTAL'!N659</f>
        <v>0</v>
      </c>
      <c r="H563" s="70">
        <f>'RESUMEN TOTAL'!O659</f>
        <v>0</v>
      </c>
      <c r="I563" s="70">
        <f>'RESUMEN TOTAL'!P659</f>
        <v>0</v>
      </c>
      <c r="J563" s="70">
        <f>'RESUMEN TOTAL'!Q659</f>
        <v>0</v>
      </c>
      <c r="K563" s="70">
        <f>'RESUMEN TOTAL'!R659</f>
        <v>0</v>
      </c>
      <c r="L563" s="70">
        <f>'RESUMEN TOTAL'!S659</f>
        <v>0</v>
      </c>
      <c r="M563" s="70">
        <f>'RESUMEN TOTAL'!T659</f>
        <v>0</v>
      </c>
      <c r="N563" s="70">
        <f>'RESUMEN TOTAL'!U659</f>
        <v>0</v>
      </c>
      <c r="O563" s="70">
        <f>'RESUMEN TOTAL'!V659</f>
        <v>0</v>
      </c>
      <c r="P563" s="70">
        <f>'RESUMEN TOTAL'!W659</f>
        <v>0</v>
      </c>
      <c r="Q563" s="70">
        <f>'RESUMEN TOTAL'!X659</f>
        <v>0</v>
      </c>
      <c r="R563" s="70">
        <f>'RESUMEN TOTAL'!Y659</f>
        <v>0</v>
      </c>
      <c r="S563" s="70">
        <f>'RESUMEN TOTAL'!Z659</f>
        <v>0</v>
      </c>
      <c r="T563" s="70">
        <f>'RESUMEN TOTAL'!AA659</f>
        <v>0</v>
      </c>
      <c r="U563" s="70">
        <f>'RESUMEN TOTAL'!AB659</f>
        <v>0</v>
      </c>
      <c r="V563" s="70">
        <f>'RESUMEN TOTAL'!AC659</f>
        <v>0</v>
      </c>
      <c r="W563" s="70">
        <f>'RESUMEN TOTAL'!AD659</f>
        <v>0</v>
      </c>
      <c r="X563" s="70">
        <f>'RESUMEN TOTAL'!AE659</f>
        <v>0</v>
      </c>
      <c r="Y563" s="70">
        <f>'RESUMEN TOTAL'!AF659</f>
        <v>0</v>
      </c>
      <c r="Z563" s="70">
        <f>'RESUMEN TOTAL'!AG659</f>
        <v>0</v>
      </c>
      <c r="AA563" s="70">
        <f>'RESUMEN TOTAL'!AH659</f>
        <v>0</v>
      </c>
      <c r="AB563" s="70">
        <f>'RESUMEN TOTAL'!AI659</f>
        <v>0</v>
      </c>
      <c r="AC563" s="70">
        <f>'RESUMEN TOTAL'!AJ659</f>
        <v>0</v>
      </c>
      <c r="AD563" s="70">
        <f>'RESUMEN TOTAL'!AK659</f>
        <v>0</v>
      </c>
      <c r="AE563" s="70">
        <f>'RESUMEN TOTAL'!AL659</f>
        <v>0</v>
      </c>
      <c r="AF563" s="70">
        <f>'RESUMEN TOTAL'!AM659</f>
        <v>0</v>
      </c>
      <c r="AG563" s="70">
        <f>'RESUMEN TOTAL'!AN659</f>
        <v>0</v>
      </c>
      <c r="AH563" s="70">
        <f>'RESUMEN TOTAL'!AO659</f>
        <v>0</v>
      </c>
      <c r="AI563" s="70">
        <f>'RESUMEN TOTAL'!AP659</f>
        <v>0</v>
      </c>
    </row>
    <row r="564" spans="1:35" x14ac:dyDescent="0.25">
      <c r="A564">
        <f>'RESUMEN TOTAL'!A660</f>
        <v>0</v>
      </c>
      <c r="B564">
        <f>'RESUMEN TOTAL'!B660</f>
        <v>0</v>
      </c>
      <c r="C564">
        <f>'RESUMEN TOTAL'!D660</f>
        <v>0</v>
      </c>
      <c r="D564" s="30">
        <f>'RESUMEN TOTAL'!E660</f>
        <v>0</v>
      </c>
      <c r="E564" s="30">
        <f>'RESUMEN TOTAL'!F660</f>
        <v>0</v>
      </c>
      <c r="F564" s="70">
        <f>'RESUMEN TOTAL'!M660</f>
        <v>0</v>
      </c>
      <c r="G564" s="70">
        <f>'RESUMEN TOTAL'!N660</f>
        <v>0</v>
      </c>
      <c r="H564" s="70">
        <f>'RESUMEN TOTAL'!O660</f>
        <v>0</v>
      </c>
      <c r="I564" s="70">
        <f>'RESUMEN TOTAL'!P660</f>
        <v>0</v>
      </c>
      <c r="J564" s="70">
        <f>'RESUMEN TOTAL'!Q660</f>
        <v>0</v>
      </c>
      <c r="K564" s="70">
        <f>'RESUMEN TOTAL'!R660</f>
        <v>0</v>
      </c>
      <c r="L564" s="70">
        <f>'RESUMEN TOTAL'!S660</f>
        <v>0</v>
      </c>
      <c r="M564" s="70">
        <f>'RESUMEN TOTAL'!T660</f>
        <v>0</v>
      </c>
      <c r="N564" s="70">
        <f>'RESUMEN TOTAL'!U660</f>
        <v>0</v>
      </c>
      <c r="O564" s="70">
        <f>'RESUMEN TOTAL'!V660</f>
        <v>0</v>
      </c>
      <c r="P564" s="70">
        <f>'RESUMEN TOTAL'!W660</f>
        <v>0</v>
      </c>
      <c r="Q564" s="70">
        <f>'RESUMEN TOTAL'!X660</f>
        <v>0</v>
      </c>
      <c r="R564" s="70">
        <f>'RESUMEN TOTAL'!Y660</f>
        <v>0</v>
      </c>
      <c r="S564" s="70">
        <f>'RESUMEN TOTAL'!Z660</f>
        <v>0</v>
      </c>
      <c r="T564" s="70">
        <f>'RESUMEN TOTAL'!AA660</f>
        <v>0</v>
      </c>
      <c r="U564" s="70">
        <f>'RESUMEN TOTAL'!AB660</f>
        <v>0</v>
      </c>
      <c r="V564" s="70">
        <f>'RESUMEN TOTAL'!AC660</f>
        <v>0</v>
      </c>
      <c r="W564" s="70">
        <f>'RESUMEN TOTAL'!AD660</f>
        <v>0</v>
      </c>
      <c r="X564" s="70">
        <f>'RESUMEN TOTAL'!AE660</f>
        <v>0</v>
      </c>
      <c r="Y564" s="70">
        <f>'RESUMEN TOTAL'!AF660</f>
        <v>0</v>
      </c>
      <c r="Z564" s="70">
        <f>'RESUMEN TOTAL'!AG660</f>
        <v>0</v>
      </c>
      <c r="AA564" s="70">
        <f>'RESUMEN TOTAL'!AH660</f>
        <v>0</v>
      </c>
      <c r="AB564" s="70">
        <f>'RESUMEN TOTAL'!AI660</f>
        <v>0</v>
      </c>
      <c r="AC564" s="70">
        <f>'RESUMEN TOTAL'!AJ660</f>
        <v>0</v>
      </c>
      <c r="AD564" s="70">
        <f>'RESUMEN TOTAL'!AK660</f>
        <v>0</v>
      </c>
      <c r="AE564" s="70">
        <f>'RESUMEN TOTAL'!AL660</f>
        <v>0</v>
      </c>
      <c r="AF564" s="70">
        <f>'RESUMEN TOTAL'!AM660</f>
        <v>0</v>
      </c>
      <c r="AG564" s="70">
        <f>'RESUMEN TOTAL'!AN660</f>
        <v>0</v>
      </c>
      <c r="AH564" s="70">
        <f>'RESUMEN TOTAL'!AO660</f>
        <v>0</v>
      </c>
      <c r="AI564" s="70">
        <f>'RESUMEN TOTAL'!AP660</f>
        <v>0</v>
      </c>
    </row>
    <row r="565" spans="1:35" x14ac:dyDescent="0.25">
      <c r="A565">
        <f>'RESUMEN TOTAL'!A661</f>
        <v>0</v>
      </c>
      <c r="B565">
        <f>'RESUMEN TOTAL'!B661</f>
        <v>0</v>
      </c>
      <c r="C565">
        <f>'RESUMEN TOTAL'!D661</f>
        <v>0</v>
      </c>
      <c r="D565" s="30">
        <f>'RESUMEN TOTAL'!E661</f>
        <v>0</v>
      </c>
      <c r="E565" s="30">
        <f>'RESUMEN TOTAL'!F661</f>
        <v>0</v>
      </c>
      <c r="F565" s="70">
        <f>'RESUMEN TOTAL'!M661</f>
        <v>0</v>
      </c>
      <c r="G565" s="70">
        <f>'RESUMEN TOTAL'!N661</f>
        <v>0</v>
      </c>
      <c r="H565" s="70">
        <f>'RESUMEN TOTAL'!O661</f>
        <v>0</v>
      </c>
      <c r="I565" s="70">
        <f>'RESUMEN TOTAL'!P661</f>
        <v>0</v>
      </c>
      <c r="J565" s="70">
        <f>'RESUMEN TOTAL'!Q661</f>
        <v>0</v>
      </c>
      <c r="K565" s="70">
        <f>'RESUMEN TOTAL'!R661</f>
        <v>0</v>
      </c>
      <c r="L565" s="70">
        <f>'RESUMEN TOTAL'!S661</f>
        <v>0</v>
      </c>
      <c r="M565" s="70">
        <f>'RESUMEN TOTAL'!T661</f>
        <v>0</v>
      </c>
      <c r="N565" s="70">
        <f>'RESUMEN TOTAL'!U661</f>
        <v>0</v>
      </c>
      <c r="O565" s="70">
        <f>'RESUMEN TOTAL'!V661</f>
        <v>0</v>
      </c>
      <c r="P565" s="70">
        <f>'RESUMEN TOTAL'!W661</f>
        <v>0</v>
      </c>
      <c r="Q565" s="70">
        <f>'RESUMEN TOTAL'!X661</f>
        <v>0</v>
      </c>
      <c r="R565" s="70">
        <f>'RESUMEN TOTAL'!Y661</f>
        <v>0</v>
      </c>
      <c r="S565" s="70">
        <f>'RESUMEN TOTAL'!Z661</f>
        <v>0</v>
      </c>
      <c r="T565" s="70">
        <f>'RESUMEN TOTAL'!AA661</f>
        <v>0</v>
      </c>
      <c r="U565" s="70">
        <f>'RESUMEN TOTAL'!AB661</f>
        <v>0</v>
      </c>
      <c r="V565" s="70">
        <f>'RESUMEN TOTAL'!AC661</f>
        <v>0</v>
      </c>
      <c r="W565" s="70">
        <f>'RESUMEN TOTAL'!AD661</f>
        <v>0</v>
      </c>
      <c r="X565" s="70">
        <f>'RESUMEN TOTAL'!AE661</f>
        <v>0</v>
      </c>
      <c r="Y565" s="70">
        <f>'RESUMEN TOTAL'!AF661</f>
        <v>0</v>
      </c>
      <c r="Z565" s="70">
        <f>'RESUMEN TOTAL'!AG661</f>
        <v>0</v>
      </c>
      <c r="AA565" s="70">
        <f>'RESUMEN TOTAL'!AH661</f>
        <v>0</v>
      </c>
      <c r="AB565" s="70">
        <f>'RESUMEN TOTAL'!AI661</f>
        <v>0</v>
      </c>
      <c r="AC565" s="70">
        <f>'RESUMEN TOTAL'!AJ661</f>
        <v>0</v>
      </c>
      <c r="AD565" s="70">
        <f>'RESUMEN TOTAL'!AK661</f>
        <v>0</v>
      </c>
      <c r="AE565" s="70">
        <f>'RESUMEN TOTAL'!AL661</f>
        <v>0</v>
      </c>
      <c r="AF565" s="70">
        <f>'RESUMEN TOTAL'!AM661</f>
        <v>0</v>
      </c>
      <c r="AG565" s="70">
        <f>'RESUMEN TOTAL'!AN661</f>
        <v>0</v>
      </c>
      <c r="AH565" s="70">
        <f>'RESUMEN TOTAL'!AO661</f>
        <v>0</v>
      </c>
      <c r="AI565" s="70">
        <f>'RESUMEN TOTAL'!AP661</f>
        <v>0</v>
      </c>
    </row>
    <row r="566" spans="1:35" x14ac:dyDescent="0.25">
      <c r="A566">
        <f>'RESUMEN TOTAL'!A662</f>
        <v>0</v>
      </c>
      <c r="B566">
        <f>'RESUMEN TOTAL'!B662</f>
        <v>0</v>
      </c>
      <c r="C566">
        <f>'RESUMEN TOTAL'!D662</f>
        <v>0</v>
      </c>
      <c r="D566" s="30">
        <f>'RESUMEN TOTAL'!E662</f>
        <v>0</v>
      </c>
      <c r="E566" s="30">
        <f>'RESUMEN TOTAL'!F662</f>
        <v>0</v>
      </c>
      <c r="F566" s="70">
        <f>'RESUMEN TOTAL'!M662</f>
        <v>0</v>
      </c>
      <c r="G566" s="70">
        <f>'RESUMEN TOTAL'!N662</f>
        <v>0</v>
      </c>
      <c r="H566" s="70">
        <f>'RESUMEN TOTAL'!O662</f>
        <v>0</v>
      </c>
      <c r="I566" s="70">
        <f>'RESUMEN TOTAL'!P662</f>
        <v>0</v>
      </c>
      <c r="J566" s="70">
        <f>'RESUMEN TOTAL'!Q662</f>
        <v>0</v>
      </c>
      <c r="K566" s="70">
        <f>'RESUMEN TOTAL'!R662</f>
        <v>0</v>
      </c>
      <c r="L566" s="70">
        <f>'RESUMEN TOTAL'!S662</f>
        <v>0</v>
      </c>
      <c r="M566" s="70">
        <f>'RESUMEN TOTAL'!T662</f>
        <v>0</v>
      </c>
      <c r="N566" s="70">
        <f>'RESUMEN TOTAL'!U662</f>
        <v>0</v>
      </c>
      <c r="O566" s="70">
        <f>'RESUMEN TOTAL'!V662</f>
        <v>0</v>
      </c>
      <c r="P566" s="70">
        <f>'RESUMEN TOTAL'!W662</f>
        <v>0</v>
      </c>
      <c r="Q566" s="70">
        <f>'RESUMEN TOTAL'!X662</f>
        <v>0</v>
      </c>
      <c r="R566" s="70">
        <f>'RESUMEN TOTAL'!Y662</f>
        <v>0</v>
      </c>
      <c r="S566" s="70">
        <f>'RESUMEN TOTAL'!Z662</f>
        <v>0</v>
      </c>
      <c r="T566" s="70">
        <f>'RESUMEN TOTAL'!AA662</f>
        <v>0</v>
      </c>
      <c r="U566" s="70">
        <f>'RESUMEN TOTAL'!AB662</f>
        <v>0</v>
      </c>
      <c r="V566" s="70">
        <f>'RESUMEN TOTAL'!AC662</f>
        <v>0</v>
      </c>
      <c r="W566" s="70">
        <f>'RESUMEN TOTAL'!AD662</f>
        <v>0</v>
      </c>
      <c r="X566" s="70">
        <f>'RESUMEN TOTAL'!AE662</f>
        <v>0</v>
      </c>
      <c r="Y566" s="70">
        <f>'RESUMEN TOTAL'!AF662</f>
        <v>0</v>
      </c>
      <c r="Z566" s="70">
        <f>'RESUMEN TOTAL'!AG662</f>
        <v>0</v>
      </c>
      <c r="AA566" s="70">
        <f>'RESUMEN TOTAL'!AH662</f>
        <v>0</v>
      </c>
      <c r="AB566" s="70">
        <f>'RESUMEN TOTAL'!AI662</f>
        <v>0</v>
      </c>
      <c r="AC566" s="70">
        <f>'RESUMEN TOTAL'!AJ662</f>
        <v>0</v>
      </c>
      <c r="AD566" s="70">
        <f>'RESUMEN TOTAL'!AK662</f>
        <v>0</v>
      </c>
      <c r="AE566" s="70">
        <f>'RESUMEN TOTAL'!AL662</f>
        <v>0</v>
      </c>
      <c r="AF566" s="70">
        <f>'RESUMEN TOTAL'!AM662</f>
        <v>0</v>
      </c>
      <c r="AG566" s="70">
        <f>'RESUMEN TOTAL'!AN662</f>
        <v>0</v>
      </c>
      <c r="AH566" s="70">
        <f>'RESUMEN TOTAL'!AO662</f>
        <v>0</v>
      </c>
      <c r="AI566" s="70">
        <f>'RESUMEN TOTAL'!AP662</f>
        <v>0</v>
      </c>
    </row>
    <row r="567" spans="1:35" x14ac:dyDescent="0.25">
      <c r="A567">
        <f>'RESUMEN TOTAL'!A663</f>
        <v>0</v>
      </c>
      <c r="B567">
        <f>'RESUMEN TOTAL'!B663</f>
        <v>0</v>
      </c>
      <c r="C567">
        <f>'RESUMEN TOTAL'!D663</f>
        <v>0</v>
      </c>
      <c r="D567" s="30">
        <f>'RESUMEN TOTAL'!E663</f>
        <v>0</v>
      </c>
      <c r="E567" s="30">
        <f>'RESUMEN TOTAL'!F663</f>
        <v>0</v>
      </c>
      <c r="F567" s="70">
        <f>'RESUMEN TOTAL'!M663</f>
        <v>0</v>
      </c>
      <c r="G567" s="70">
        <f>'RESUMEN TOTAL'!N663</f>
        <v>0</v>
      </c>
      <c r="H567" s="70">
        <f>'RESUMEN TOTAL'!O663</f>
        <v>0</v>
      </c>
      <c r="I567" s="70">
        <f>'RESUMEN TOTAL'!P663</f>
        <v>0</v>
      </c>
      <c r="J567" s="70">
        <f>'RESUMEN TOTAL'!Q663</f>
        <v>0</v>
      </c>
      <c r="K567" s="70">
        <f>'RESUMEN TOTAL'!R663</f>
        <v>0</v>
      </c>
      <c r="L567" s="70">
        <f>'RESUMEN TOTAL'!S663</f>
        <v>0</v>
      </c>
      <c r="M567" s="70">
        <f>'RESUMEN TOTAL'!T663</f>
        <v>0</v>
      </c>
      <c r="N567" s="70">
        <f>'RESUMEN TOTAL'!U663</f>
        <v>0</v>
      </c>
      <c r="O567" s="70">
        <f>'RESUMEN TOTAL'!V663</f>
        <v>0</v>
      </c>
      <c r="P567" s="70">
        <f>'RESUMEN TOTAL'!W663</f>
        <v>0</v>
      </c>
      <c r="Q567" s="70">
        <f>'RESUMEN TOTAL'!X663</f>
        <v>0</v>
      </c>
      <c r="R567" s="70">
        <f>'RESUMEN TOTAL'!Y663</f>
        <v>0</v>
      </c>
      <c r="S567" s="70">
        <f>'RESUMEN TOTAL'!Z663</f>
        <v>0</v>
      </c>
      <c r="T567" s="70">
        <f>'RESUMEN TOTAL'!AA663</f>
        <v>0</v>
      </c>
      <c r="U567" s="70">
        <f>'RESUMEN TOTAL'!AB663</f>
        <v>0</v>
      </c>
      <c r="V567" s="70">
        <f>'RESUMEN TOTAL'!AC663</f>
        <v>0</v>
      </c>
      <c r="W567" s="70">
        <f>'RESUMEN TOTAL'!AD663</f>
        <v>0</v>
      </c>
      <c r="X567" s="70">
        <f>'RESUMEN TOTAL'!AE663</f>
        <v>0</v>
      </c>
      <c r="Y567" s="70">
        <f>'RESUMEN TOTAL'!AF663</f>
        <v>0</v>
      </c>
      <c r="Z567" s="70">
        <f>'RESUMEN TOTAL'!AG663</f>
        <v>0</v>
      </c>
      <c r="AA567" s="70">
        <f>'RESUMEN TOTAL'!AH663</f>
        <v>0</v>
      </c>
      <c r="AB567" s="70">
        <f>'RESUMEN TOTAL'!AI663</f>
        <v>0</v>
      </c>
      <c r="AC567" s="70">
        <f>'RESUMEN TOTAL'!AJ663</f>
        <v>0</v>
      </c>
      <c r="AD567" s="70">
        <f>'RESUMEN TOTAL'!AK663</f>
        <v>0</v>
      </c>
      <c r="AE567" s="70">
        <f>'RESUMEN TOTAL'!AL663</f>
        <v>0</v>
      </c>
      <c r="AF567" s="70">
        <f>'RESUMEN TOTAL'!AM663</f>
        <v>0</v>
      </c>
      <c r="AG567" s="70">
        <f>'RESUMEN TOTAL'!AN663</f>
        <v>0</v>
      </c>
      <c r="AH567" s="70">
        <f>'RESUMEN TOTAL'!AO663</f>
        <v>0</v>
      </c>
      <c r="AI567" s="70">
        <f>'RESUMEN TOTAL'!AP663</f>
        <v>0</v>
      </c>
    </row>
    <row r="568" spans="1:35" x14ac:dyDescent="0.25">
      <c r="A568">
        <f>'RESUMEN TOTAL'!A664</f>
        <v>0</v>
      </c>
      <c r="B568">
        <f>'RESUMEN TOTAL'!B664</f>
        <v>0</v>
      </c>
      <c r="C568">
        <f>'RESUMEN TOTAL'!D664</f>
        <v>0</v>
      </c>
      <c r="D568" s="30">
        <f>'RESUMEN TOTAL'!E664</f>
        <v>0</v>
      </c>
      <c r="E568" s="30">
        <f>'RESUMEN TOTAL'!F664</f>
        <v>0</v>
      </c>
      <c r="F568" s="70">
        <f>'RESUMEN TOTAL'!M664</f>
        <v>0</v>
      </c>
      <c r="G568" s="70">
        <f>'RESUMEN TOTAL'!N664</f>
        <v>0</v>
      </c>
      <c r="H568" s="70">
        <f>'RESUMEN TOTAL'!O664</f>
        <v>0</v>
      </c>
      <c r="I568" s="70">
        <f>'RESUMEN TOTAL'!P664</f>
        <v>0</v>
      </c>
      <c r="J568" s="70">
        <f>'RESUMEN TOTAL'!Q664</f>
        <v>0</v>
      </c>
      <c r="K568" s="70">
        <f>'RESUMEN TOTAL'!R664</f>
        <v>0</v>
      </c>
      <c r="L568" s="70">
        <f>'RESUMEN TOTAL'!S664</f>
        <v>0</v>
      </c>
      <c r="M568" s="70">
        <f>'RESUMEN TOTAL'!T664</f>
        <v>0</v>
      </c>
      <c r="N568" s="70">
        <f>'RESUMEN TOTAL'!U664</f>
        <v>0</v>
      </c>
      <c r="O568" s="70">
        <f>'RESUMEN TOTAL'!V664</f>
        <v>0</v>
      </c>
      <c r="P568" s="70">
        <f>'RESUMEN TOTAL'!W664</f>
        <v>0</v>
      </c>
      <c r="Q568" s="70">
        <f>'RESUMEN TOTAL'!X664</f>
        <v>0</v>
      </c>
      <c r="R568" s="70">
        <f>'RESUMEN TOTAL'!Y664</f>
        <v>0</v>
      </c>
      <c r="S568" s="70">
        <f>'RESUMEN TOTAL'!Z664</f>
        <v>0</v>
      </c>
      <c r="T568" s="70">
        <f>'RESUMEN TOTAL'!AA664</f>
        <v>0</v>
      </c>
      <c r="U568" s="70">
        <f>'RESUMEN TOTAL'!AB664</f>
        <v>0</v>
      </c>
      <c r="V568" s="70">
        <f>'RESUMEN TOTAL'!AC664</f>
        <v>0</v>
      </c>
      <c r="W568" s="70">
        <f>'RESUMEN TOTAL'!AD664</f>
        <v>0</v>
      </c>
      <c r="X568" s="70">
        <f>'RESUMEN TOTAL'!AE664</f>
        <v>0</v>
      </c>
      <c r="Y568" s="70">
        <f>'RESUMEN TOTAL'!AF664</f>
        <v>0</v>
      </c>
      <c r="Z568" s="70">
        <f>'RESUMEN TOTAL'!AG664</f>
        <v>0</v>
      </c>
      <c r="AA568" s="70">
        <f>'RESUMEN TOTAL'!AH664</f>
        <v>0</v>
      </c>
      <c r="AB568" s="70">
        <f>'RESUMEN TOTAL'!AI664</f>
        <v>0</v>
      </c>
      <c r="AC568" s="70">
        <f>'RESUMEN TOTAL'!AJ664</f>
        <v>0</v>
      </c>
      <c r="AD568" s="70">
        <f>'RESUMEN TOTAL'!AK664</f>
        <v>0</v>
      </c>
      <c r="AE568" s="70">
        <f>'RESUMEN TOTAL'!AL664</f>
        <v>0</v>
      </c>
      <c r="AF568" s="70">
        <f>'RESUMEN TOTAL'!AM664</f>
        <v>0</v>
      </c>
      <c r="AG568" s="70">
        <f>'RESUMEN TOTAL'!AN664</f>
        <v>0</v>
      </c>
      <c r="AH568" s="70">
        <f>'RESUMEN TOTAL'!AO664</f>
        <v>0</v>
      </c>
      <c r="AI568" s="70">
        <f>'RESUMEN TOTAL'!AP664</f>
        <v>0</v>
      </c>
    </row>
    <row r="569" spans="1:35" x14ac:dyDescent="0.25">
      <c r="A569">
        <f>'RESUMEN TOTAL'!A665</f>
        <v>0</v>
      </c>
      <c r="B569">
        <f>'RESUMEN TOTAL'!B665</f>
        <v>0</v>
      </c>
      <c r="C569">
        <f>'RESUMEN TOTAL'!D665</f>
        <v>0</v>
      </c>
      <c r="D569" s="30">
        <f>'RESUMEN TOTAL'!E665</f>
        <v>0</v>
      </c>
      <c r="E569" s="30">
        <f>'RESUMEN TOTAL'!F665</f>
        <v>0</v>
      </c>
      <c r="F569" s="70">
        <f>'RESUMEN TOTAL'!M665</f>
        <v>0</v>
      </c>
      <c r="G569" s="70">
        <f>'RESUMEN TOTAL'!N665</f>
        <v>0</v>
      </c>
      <c r="H569" s="70">
        <f>'RESUMEN TOTAL'!O665</f>
        <v>0</v>
      </c>
      <c r="I569" s="70">
        <f>'RESUMEN TOTAL'!P665</f>
        <v>0</v>
      </c>
      <c r="J569" s="70">
        <f>'RESUMEN TOTAL'!Q665</f>
        <v>0</v>
      </c>
      <c r="K569" s="70">
        <f>'RESUMEN TOTAL'!R665</f>
        <v>0</v>
      </c>
      <c r="L569" s="70">
        <f>'RESUMEN TOTAL'!S665</f>
        <v>0</v>
      </c>
      <c r="M569" s="70">
        <f>'RESUMEN TOTAL'!T665</f>
        <v>0</v>
      </c>
      <c r="N569" s="70">
        <f>'RESUMEN TOTAL'!U665</f>
        <v>0</v>
      </c>
      <c r="O569" s="70">
        <f>'RESUMEN TOTAL'!V665</f>
        <v>0</v>
      </c>
      <c r="P569" s="70">
        <f>'RESUMEN TOTAL'!W665</f>
        <v>0</v>
      </c>
      <c r="Q569" s="70">
        <f>'RESUMEN TOTAL'!X665</f>
        <v>0</v>
      </c>
      <c r="R569" s="70">
        <f>'RESUMEN TOTAL'!Y665</f>
        <v>0</v>
      </c>
      <c r="S569" s="70">
        <f>'RESUMEN TOTAL'!Z665</f>
        <v>0</v>
      </c>
      <c r="T569" s="70">
        <f>'RESUMEN TOTAL'!AA665</f>
        <v>0</v>
      </c>
      <c r="U569" s="70">
        <f>'RESUMEN TOTAL'!AB665</f>
        <v>0</v>
      </c>
      <c r="V569" s="70">
        <f>'RESUMEN TOTAL'!AC665</f>
        <v>0</v>
      </c>
      <c r="W569" s="70">
        <f>'RESUMEN TOTAL'!AD665</f>
        <v>0</v>
      </c>
      <c r="X569" s="70">
        <f>'RESUMEN TOTAL'!AE665</f>
        <v>0</v>
      </c>
      <c r="Y569" s="70">
        <f>'RESUMEN TOTAL'!AF665</f>
        <v>0</v>
      </c>
      <c r="Z569" s="70">
        <f>'RESUMEN TOTAL'!AG665</f>
        <v>0</v>
      </c>
      <c r="AA569" s="70">
        <f>'RESUMEN TOTAL'!AH665</f>
        <v>0</v>
      </c>
      <c r="AB569" s="70">
        <f>'RESUMEN TOTAL'!AI665</f>
        <v>0</v>
      </c>
      <c r="AC569" s="70">
        <f>'RESUMEN TOTAL'!AJ665</f>
        <v>0</v>
      </c>
      <c r="AD569" s="70">
        <f>'RESUMEN TOTAL'!AK665</f>
        <v>0</v>
      </c>
      <c r="AE569" s="70">
        <f>'RESUMEN TOTAL'!AL665</f>
        <v>0</v>
      </c>
      <c r="AF569" s="70">
        <f>'RESUMEN TOTAL'!AM665</f>
        <v>0</v>
      </c>
      <c r="AG569" s="70">
        <f>'RESUMEN TOTAL'!AN665</f>
        <v>0</v>
      </c>
      <c r="AH569" s="70">
        <f>'RESUMEN TOTAL'!AO665</f>
        <v>0</v>
      </c>
      <c r="AI569" s="70">
        <f>'RESUMEN TOTAL'!AP665</f>
        <v>0</v>
      </c>
    </row>
    <row r="570" spans="1:35" x14ac:dyDescent="0.25">
      <c r="A570">
        <f>'RESUMEN TOTAL'!A666</f>
        <v>0</v>
      </c>
      <c r="B570">
        <f>'RESUMEN TOTAL'!B666</f>
        <v>0</v>
      </c>
      <c r="C570">
        <f>'RESUMEN TOTAL'!D666</f>
        <v>0</v>
      </c>
      <c r="D570" s="30">
        <f>'RESUMEN TOTAL'!E666</f>
        <v>0</v>
      </c>
      <c r="E570" s="30">
        <f>'RESUMEN TOTAL'!F666</f>
        <v>0</v>
      </c>
      <c r="F570" s="70">
        <f>'RESUMEN TOTAL'!M666</f>
        <v>0</v>
      </c>
      <c r="G570" s="70">
        <f>'RESUMEN TOTAL'!N666</f>
        <v>0</v>
      </c>
      <c r="H570" s="70">
        <f>'RESUMEN TOTAL'!O666</f>
        <v>0</v>
      </c>
      <c r="I570" s="70">
        <f>'RESUMEN TOTAL'!P666</f>
        <v>0</v>
      </c>
      <c r="J570" s="70">
        <f>'RESUMEN TOTAL'!Q666</f>
        <v>0</v>
      </c>
      <c r="K570" s="70">
        <f>'RESUMEN TOTAL'!R666</f>
        <v>0</v>
      </c>
      <c r="L570" s="70">
        <f>'RESUMEN TOTAL'!S666</f>
        <v>0</v>
      </c>
      <c r="M570" s="70">
        <f>'RESUMEN TOTAL'!T666</f>
        <v>0</v>
      </c>
      <c r="N570" s="70">
        <f>'RESUMEN TOTAL'!U666</f>
        <v>0</v>
      </c>
      <c r="O570" s="70">
        <f>'RESUMEN TOTAL'!V666</f>
        <v>0</v>
      </c>
      <c r="P570" s="70">
        <f>'RESUMEN TOTAL'!W666</f>
        <v>0</v>
      </c>
      <c r="Q570" s="70">
        <f>'RESUMEN TOTAL'!X666</f>
        <v>0</v>
      </c>
      <c r="R570" s="70">
        <f>'RESUMEN TOTAL'!Y666</f>
        <v>0</v>
      </c>
      <c r="S570" s="70">
        <f>'RESUMEN TOTAL'!Z666</f>
        <v>0</v>
      </c>
      <c r="T570" s="70">
        <f>'RESUMEN TOTAL'!AA666</f>
        <v>0</v>
      </c>
      <c r="U570" s="70">
        <f>'RESUMEN TOTAL'!AB666</f>
        <v>0</v>
      </c>
      <c r="V570" s="70">
        <f>'RESUMEN TOTAL'!AC666</f>
        <v>0</v>
      </c>
      <c r="W570" s="70">
        <f>'RESUMEN TOTAL'!AD666</f>
        <v>0</v>
      </c>
      <c r="X570" s="70">
        <f>'RESUMEN TOTAL'!AE666</f>
        <v>0</v>
      </c>
      <c r="Y570" s="70">
        <f>'RESUMEN TOTAL'!AF666</f>
        <v>0</v>
      </c>
      <c r="Z570" s="70">
        <f>'RESUMEN TOTAL'!AG666</f>
        <v>0</v>
      </c>
      <c r="AA570" s="70">
        <f>'RESUMEN TOTAL'!AH666</f>
        <v>0</v>
      </c>
      <c r="AB570" s="70">
        <f>'RESUMEN TOTAL'!AI666</f>
        <v>0</v>
      </c>
      <c r="AC570" s="70">
        <f>'RESUMEN TOTAL'!AJ666</f>
        <v>0</v>
      </c>
      <c r="AD570" s="70">
        <f>'RESUMEN TOTAL'!AK666</f>
        <v>0</v>
      </c>
      <c r="AE570" s="70">
        <f>'RESUMEN TOTAL'!AL666</f>
        <v>0</v>
      </c>
      <c r="AF570" s="70">
        <f>'RESUMEN TOTAL'!AM666</f>
        <v>0</v>
      </c>
      <c r="AG570" s="70">
        <f>'RESUMEN TOTAL'!AN666</f>
        <v>0</v>
      </c>
      <c r="AH570" s="70">
        <f>'RESUMEN TOTAL'!AO666</f>
        <v>0</v>
      </c>
      <c r="AI570" s="70">
        <f>'RESUMEN TOTAL'!AP666</f>
        <v>0</v>
      </c>
    </row>
    <row r="571" spans="1:35" x14ac:dyDescent="0.25">
      <c r="A571">
        <f>'RESUMEN TOTAL'!A667</f>
        <v>0</v>
      </c>
      <c r="B571">
        <f>'RESUMEN TOTAL'!B667</f>
        <v>0</v>
      </c>
      <c r="C571">
        <f>'RESUMEN TOTAL'!D667</f>
        <v>0</v>
      </c>
      <c r="D571" s="30">
        <f>'RESUMEN TOTAL'!E667</f>
        <v>0</v>
      </c>
      <c r="E571" s="30">
        <f>'RESUMEN TOTAL'!F667</f>
        <v>0</v>
      </c>
      <c r="F571" s="70">
        <f>'RESUMEN TOTAL'!M667</f>
        <v>0</v>
      </c>
      <c r="G571" s="70">
        <f>'RESUMEN TOTAL'!N667</f>
        <v>0</v>
      </c>
      <c r="H571" s="70">
        <f>'RESUMEN TOTAL'!O667</f>
        <v>0</v>
      </c>
      <c r="I571" s="70">
        <f>'RESUMEN TOTAL'!P667</f>
        <v>0</v>
      </c>
      <c r="J571" s="70">
        <f>'RESUMEN TOTAL'!Q667</f>
        <v>0</v>
      </c>
      <c r="K571" s="70">
        <f>'RESUMEN TOTAL'!R667</f>
        <v>0</v>
      </c>
      <c r="L571" s="70">
        <f>'RESUMEN TOTAL'!S667</f>
        <v>0</v>
      </c>
      <c r="M571" s="70">
        <f>'RESUMEN TOTAL'!T667</f>
        <v>0</v>
      </c>
      <c r="N571" s="70">
        <f>'RESUMEN TOTAL'!U667</f>
        <v>0</v>
      </c>
      <c r="O571" s="70">
        <f>'RESUMEN TOTAL'!V667</f>
        <v>0</v>
      </c>
      <c r="P571" s="70">
        <f>'RESUMEN TOTAL'!W667</f>
        <v>0</v>
      </c>
      <c r="Q571" s="70">
        <f>'RESUMEN TOTAL'!X667</f>
        <v>0</v>
      </c>
      <c r="R571" s="70">
        <f>'RESUMEN TOTAL'!Y667</f>
        <v>0</v>
      </c>
      <c r="S571" s="70">
        <f>'RESUMEN TOTAL'!Z667</f>
        <v>0</v>
      </c>
      <c r="T571" s="70">
        <f>'RESUMEN TOTAL'!AA667</f>
        <v>0</v>
      </c>
      <c r="U571" s="70">
        <f>'RESUMEN TOTAL'!AB667</f>
        <v>0</v>
      </c>
      <c r="V571" s="70">
        <f>'RESUMEN TOTAL'!AC667</f>
        <v>0</v>
      </c>
      <c r="W571" s="70">
        <f>'RESUMEN TOTAL'!AD667</f>
        <v>0</v>
      </c>
      <c r="X571" s="70">
        <f>'RESUMEN TOTAL'!AE667</f>
        <v>0</v>
      </c>
      <c r="Y571" s="70">
        <f>'RESUMEN TOTAL'!AF667</f>
        <v>0</v>
      </c>
      <c r="Z571" s="70">
        <f>'RESUMEN TOTAL'!AG667</f>
        <v>0</v>
      </c>
      <c r="AA571" s="70">
        <f>'RESUMEN TOTAL'!AH667</f>
        <v>0</v>
      </c>
      <c r="AB571" s="70">
        <f>'RESUMEN TOTAL'!AI667</f>
        <v>0</v>
      </c>
      <c r="AC571" s="70">
        <f>'RESUMEN TOTAL'!AJ667</f>
        <v>0</v>
      </c>
      <c r="AD571" s="70">
        <f>'RESUMEN TOTAL'!AK667</f>
        <v>0</v>
      </c>
      <c r="AE571" s="70">
        <f>'RESUMEN TOTAL'!AL667</f>
        <v>0</v>
      </c>
      <c r="AF571" s="70">
        <f>'RESUMEN TOTAL'!AM667</f>
        <v>0</v>
      </c>
      <c r="AG571" s="70">
        <f>'RESUMEN TOTAL'!AN667</f>
        <v>0</v>
      </c>
      <c r="AH571" s="70">
        <f>'RESUMEN TOTAL'!AO667</f>
        <v>0</v>
      </c>
      <c r="AI571" s="70">
        <f>'RESUMEN TOTAL'!AP667</f>
        <v>0</v>
      </c>
    </row>
    <row r="572" spans="1:35" x14ac:dyDescent="0.25">
      <c r="A572">
        <f>'RESUMEN TOTAL'!A668</f>
        <v>0</v>
      </c>
      <c r="B572">
        <f>'RESUMEN TOTAL'!B668</f>
        <v>0</v>
      </c>
      <c r="C572">
        <f>'RESUMEN TOTAL'!D668</f>
        <v>0</v>
      </c>
      <c r="D572" s="30">
        <f>'RESUMEN TOTAL'!E668</f>
        <v>0</v>
      </c>
      <c r="E572" s="30">
        <f>'RESUMEN TOTAL'!F668</f>
        <v>0</v>
      </c>
      <c r="F572" s="70">
        <f>'RESUMEN TOTAL'!M668</f>
        <v>0</v>
      </c>
      <c r="G572" s="70">
        <f>'RESUMEN TOTAL'!N668</f>
        <v>0</v>
      </c>
      <c r="H572" s="70">
        <f>'RESUMEN TOTAL'!O668</f>
        <v>0</v>
      </c>
      <c r="I572" s="70">
        <f>'RESUMEN TOTAL'!P668</f>
        <v>0</v>
      </c>
      <c r="J572" s="70">
        <f>'RESUMEN TOTAL'!Q668</f>
        <v>0</v>
      </c>
      <c r="K572" s="70">
        <f>'RESUMEN TOTAL'!R668</f>
        <v>0</v>
      </c>
      <c r="L572" s="70">
        <f>'RESUMEN TOTAL'!S668</f>
        <v>0</v>
      </c>
      <c r="M572" s="70">
        <f>'RESUMEN TOTAL'!T668</f>
        <v>0</v>
      </c>
      <c r="N572" s="70">
        <f>'RESUMEN TOTAL'!U668</f>
        <v>0</v>
      </c>
      <c r="O572" s="70">
        <f>'RESUMEN TOTAL'!V668</f>
        <v>0</v>
      </c>
      <c r="P572" s="70">
        <f>'RESUMEN TOTAL'!W668</f>
        <v>0</v>
      </c>
      <c r="Q572" s="70">
        <f>'RESUMEN TOTAL'!X668</f>
        <v>0</v>
      </c>
      <c r="R572" s="70">
        <f>'RESUMEN TOTAL'!Y668</f>
        <v>0</v>
      </c>
      <c r="S572" s="70">
        <f>'RESUMEN TOTAL'!Z668</f>
        <v>0</v>
      </c>
      <c r="T572" s="70">
        <f>'RESUMEN TOTAL'!AA668</f>
        <v>0</v>
      </c>
      <c r="U572" s="70">
        <f>'RESUMEN TOTAL'!AB668</f>
        <v>0</v>
      </c>
      <c r="V572" s="70">
        <f>'RESUMEN TOTAL'!AC668</f>
        <v>0</v>
      </c>
      <c r="W572" s="70">
        <f>'RESUMEN TOTAL'!AD668</f>
        <v>0</v>
      </c>
      <c r="X572" s="70">
        <f>'RESUMEN TOTAL'!AE668</f>
        <v>0</v>
      </c>
      <c r="Y572" s="70">
        <f>'RESUMEN TOTAL'!AF668</f>
        <v>0</v>
      </c>
      <c r="Z572" s="70">
        <f>'RESUMEN TOTAL'!AG668</f>
        <v>0</v>
      </c>
      <c r="AA572" s="70">
        <f>'RESUMEN TOTAL'!AH668</f>
        <v>0</v>
      </c>
      <c r="AB572" s="70">
        <f>'RESUMEN TOTAL'!AI668</f>
        <v>0</v>
      </c>
      <c r="AC572" s="70">
        <f>'RESUMEN TOTAL'!AJ668</f>
        <v>0</v>
      </c>
      <c r="AD572" s="70">
        <f>'RESUMEN TOTAL'!AK668</f>
        <v>0</v>
      </c>
      <c r="AE572" s="70">
        <f>'RESUMEN TOTAL'!AL668</f>
        <v>0</v>
      </c>
      <c r="AF572" s="70">
        <f>'RESUMEN TOTAL'!AM668</f>
        <v>0</v>
      </c>
      <c r="AG572" s="70">
        <f>'RESUMEN TOTAL'!AN668</f>
        <v>0</v>
      </c>
      <c r="AH572" s="70">
        <f>'RESUMEN TOTAL'!AO668</f>
        <v>0</v>
      </c>
      <c r="AI572" s="70">
        <f>'RESUMEN TOTAL'!AP668</f>
        <v>0</v>
      </c>
    </row>
    <row r="573" spans="1:35" x14ac:dyDescent="0.25">
      <c r="A573">
        <f>'RESUMEN TOTAL'!A669</f>
        <v>0</v>
      </c>
      <c r="B573">
        <f>'RESUMEN TOTAL'!B669</f>
        <v>0</v>
      </c>
      <c r="C573">
        <f>'RESUMEN TOTAL'!D669</f>
        <v>0</v>
      </c>
      <c r="D573" s="30">
        <f>'RESUMEN TOTAL'!E669</f>
        <v>0</v>
      </c>
      <c r="E573" s="30">
        <f>'RESUMEN TOTAL'!F669</f>
        <v>0</v>
      </c>
      <c r="F573" s="70">
        <f>'RESUMEN TOTAL'!M669</f>
        <v>0</v>
      </c>
      <c r="G573" s="70">
        <f>'RESUMEN TOTAL'!N669</f>
        <v>0</v>
      </c>
      <c r="H573" s="70">
        <f>'RESUMEN TOTAL'!O669</f>
        <v>0</v>
      </c>
      <c r="I573" s="70">
        <f>'RESUMEN TOTAL'!P669</f>
        <v>0</v>
      </c>
      <c r="J573" s="70">
        <f>'RESUMEN TOTAL'!Q669</f>
        <v>0</v>
      </c>
      <c r="K573" s="70">
        <f>'RESUMEN TOTAL'!R669</f>
        <v>0</v>
      </c>
      <c r="L573" s="70">
        <f>'RESUMEN TOTAL'!S669</f>
        <v>0</v>
      </c>
      <c r="M573" s="70">
        <f>'RESUMEN TOTAL'!T669</f>
        <v>0</v>
      </c>
      <c r="N573" s="70">
        <f>'RESUMEN TOTAL'!U669</f>
        <v>0</v>
      </c>
      <c r="O573" s="70">
        <f>'RESUMEN TOTAL'!V669</f>
        <v>0</v>
      </c>
      <c r="P573" s="70">
        <f>'RESUMEN TOTAL'!W669</f>
        <v>0</v>
      </c>
      <c r="Q573" s="70">
        <f>'RESUMEN TOTAL'!X669</f>
        <v>0</v>
      </c>
      <c r="R573" s="70">
        <f>'RESUMEN TOTAL'!Y669</f>
        <v>0</v>
      </c>
      <c r="S573" s="70">
        <f>'RESUMEN TOTAL'!Z669</f>
        <v>0</v>
      </c>
      <c r="T573" s="70">
        <f>'RESUMEN TOTAL'!AA669</f>
        <v>0</v>
      </c>
      <c r="U573" s="70">
        <f>'RESUMEN TOTAL'!AB669</f>
        <v>0</v>
      </c>
      <c r="V573" s="70">
        <f>'RESUMEN TOTAL'!AC669</f>
        <v>0</v>
      </c>
      <c r="W573" s="70">
        <f>'RESUMEN TOTAL'!AD669</f>
        <v>0</v>
      </c>
      <c r="X573" s="70">
        <f>'RESUMEN TOTAL'!AE669</f>
        <v>0</v>
      </c>
      <c r="Y573" s="70">
        <f>'RESUMEN TOTAL'!AF669</f>
        <v>0</v>
      </c>
      <c r="Z573" s="70">
        <f>'RESUMEN TOTAL'!AG669</f>
        <v>0</v>
      </c>
      <c r="AA573" s="70">
        <f>'RESUMEN TOTAL'!AH669</f>
        <v>0</v>
      </c>
      <c r="AB573" s="70">
        <f>'RESUMEN TOTAL'!AI669</f>
        <v>0</v>
      </c>
      <c r="AC573" s="70">
        <f>'RESUMEN TOTAL'!AJ669</f>
        <v>0</v>
      </c>
      <c r="AD573" s="70">
        <f>'RESUMEN TOTAL'!AK669</f>
        <v>0</v>
      </c>
      <c r="AE573" s="70">
        <f>'RESUMEN TOTAL'!AL669</f>
        <v>0</v>
      </c>
      <c r="AF573" s="70">
        <f>'RESUMEN TOTAL'!AM669</f>
        <v>0</v>
      </c>
      <c r="AG573" s="70">
        <f>'RESUMEN TOTAL'!AN669</f>
        <v>0</v>
      </c>
      <c r="AH573" s="70">
        <f>'RESUMEN TOTAL'!AO669</f>
        <v>0</v>
      </c>
      <c r="AI573" s="70">
        <f>'RESUMEN TOTAL'!AP669</f>
        <v>0</v>
      </c>
    </row>
    <row r="574" spans="1:35" x14ac:dyDescent="0.25">
      <c r="A574">
        <f>'RESUMEN TOTAL'!A670</f>
        <v>0</v>
      </c>
      <c r="B574">
        <f>'RESUMEN TOTAL'!B670</f>
        <v>0</v>
      </c>
      <c r="C574">
        <f>'RESUMEN TOTAL'!D670</f>
        <v>0</v>
      </c>
      <c r="D574" s="30">
        <f>'RESUMEN TOTAL'!E670</f>
        <v>0</v>
      </c>
      <c r="E574" s="30">
        <f>'RESUMEN TOTAL'!F670</f>
        <v>0</v>
      </c>
      <c r="F574" s="70">
        <f>'RESUMEN TOTAL'!M670</f>
        <v>0</v>
      </c>
      <c r="G574" s="70">
        <f>'RESUMEN TOTAL'!N670</f>
        <v>0</v>
      </c>
      <c r="H574" s="70">
        <f>'RESUMEN TOTAL'!O670</f>
        <v>0</v>
      </c>
      <c r="I574" s="70">
        <f>'RESUMEN TOTAL'!P670</f>
        <v>0</v>
      </c>
      <c r="J574" s="70">
        <f>'RESUMEN TOTAL'!Q670</f>
        <v>0</v>
      </c>
      <c r="K574" s="70">
        <f>'RESUMEN TOTAL'!R670</f>
        <v>0</v>
      </c>
      <c r="L574" s="70">
        <f>'RESUMEN TOTAL'!S670</f>
        <v>0</v>
      </c>
      <c r="M574" s="70">
        <f>'RESUMEN TOTAL'!T670</f>
        <v>0</v>
      </c>
      <c r="N574" s="70">
        <f>'RESUMEN TOTAL'!U670</f>
        <v>0</v>
      </c>
      <c r="O574" s="70">
        <f>'RESUMEN TOTAL'!V670</f>
        <v>0</v>
      </c>
      <c r="P574" s="70">
        <f>'RESUMEN TOTAL'!W670</f>
        <v>0</v>
      </c>
      <c r="Q574" s="70">
        <f>'RESUMEN TOTAL'!X670</f>
        <v>0</v>
      </c>
      <c r="R574" s="70">
        <f>'RESUMEN TOTAL'!Y670</f>
        <v>0</v>
      </c>
      <c r="S574" s="70">
        <f>'RESUMEN TOTAL'!Z670</f>
        <v>0</v>
      </c>
      <c r="T574" s="70">
        <f>'RESUMEN TOTAL'!AA670</f>
        <v>0</v>
      </c>
      <c r="U574" s="70">
        <f>'RESUMEN TOTAL'!AB670</f>
        <v>0</v>
      </c>
      <c r="V574" s="70">
        <f>'RESUMEN TOTAL'!AC670</f>
        <v>0</v>
      </c>
      <c r="W574" s="70">
        <f>'RESUMEN TOTAL'!AD670</f>
        <v>0</v>
      </c>
      <c r="X574" s="70">
        <f>'RESUMEN TOTAL'!AE670</f>
        <v>0</v>
      </c>
      <c r="Y574" s="70">
        <f>'RESUMEN TOTAL'!AF670</f>
        <v>0</v>
      </c>
      <c r="Z574" s="70">
        <f>'RESUMEN TOTAL'!AG670</f>
        <v>0</v>
      </c>
      <c r="AA574" s="70">
        <f>'RESUMEN TOTAL'!AH670</f>
        <v>0</v>
      </c>
      <c r="AB574" s="70">
        <f>'RESUMEN TOTAL'!AI670</f>
        <v>0</v>
      </c>
      <c r="AC574" s="70">
        <f>'RESUMEN TOTAL'!AJ670</f>
        <v>0</v>
      </c>
      <c r="AD574" s="70">
        <f>'RESUMEN TOTAL'!AK670</f>
        <v>0</v>
      </c>
      <c r="AE574" s="70">
        <f>'RESUMEN TOTAL'!AL670</f>
        <v>0</v>
      </c>
      <c r="AF574" s="70">
        <f>'RESUMEN TOTAL'!AM670</f>
        <v>0</v>
      </c>
      <c r="AG574" s="70">
        <f>'RESUMEN TOTAL'!AN670</f>
        <v>0</v>
      </c>
      <c r="AH574" s="70">
        <f>'RESUMEN TOTAL'!AO670</f>
        <v>0</v>
      </c>
      <c r="AI574" s="70">
        <f>'RESUMEN TOTAL'!AP670</f>
        <v>0</v>
      </c>
    </row>
    <row r="575" spans="1:35" x14ac:dyDescent="0.25">
      <c r="A575">
        <f>'RESUMEN TOTAL'!A671</f>
        <v>0</v>
      </c>
      <c r="B575">
        <f>'RESUMEN TOTAL'!B671</f>
        <v>0</v>
      </c>
      <c r="C575">
        <f>'RESUMEN TOTAL'!D671</f>
        <v>0</v>
      </c>
      <c r="D575" s="30">
        <f>'RESUMEN TOTAL'!E671</f>
        <v>0</v>
      </c>
      <c r="E575" s="30">
        <f>'RESUMEN TOTAL'!F671</f>
        <v>0</v>
      </c>
      <c r="F575" s="70">
        <f>'RESUMEN TOTAL'!M671</f>
        <v>0</v>
      </c>
      <c r="G575" s="70">
        <f>'RESUMEN TOTAL'!N671</f>
        <v>0</v>
      </c>
      <c r="H575" s="70">
        <f>'RESUMEN TOTAL'!O671</f>
        <v>0</v>
      </c>
      <c r="I575" s="70">
        <f>'RESUMEN TOTAL'!P671</f>
        <v>0</v>
      </c>
      <c r="J575" s="70">
        <f>'RESUMEN TOTAL'!Q671</f>
        <v>0</v>
      </c>
      <c r="K575" s="70">
        <f>'RESUMEN TOTAL'!R671</f>
        <v>0</v>
      </c>
      <c r="L575" s="70">
        <f>'RESUMEN TOTAL'!S671</f>
        <v>0</v>
      </c>
      <c r="M575" s="70">
        <f>'RESUMEN TOTAL'!T671</f>
        <v>0</v>
      </c>
      <c r="N575" s="70">
        <f>'RESUMEN TOTAL'!U671</f>
        <v>0</v>
      </c>
      <c r="O575" s="70">
        <f>'RESUMEN TOTAL'!V671</f>
        <v>0</v>
      </c>
      <c r="P575" s="70">
        <f>'RESUMEN TOTAL'!W671</f>
        <v>0</v>
      </c>
      <c r="Q575" s="70">
        <f>'RESUMEN TOTAL'!X671</f>
        <v>0</v>
      </c>
      <c r="R575" s="70">
        <f>'RESUMEN TOTAL'!Y671</f>
        <v>0</v>
      </c>
      <c r="S575" s="70">
        <f>'RESUMEN TOTAL'!Z671</f>
        <v>0</v>
      </c>
      <c r="T575" s="70">
        <f>'RESUMEN TOTAL'!AA671</f>
        <v>0</v>
      </c>
      <c r="U575" s="70">
        <f>'RESUMEN TOTAL'!AB671</f>
        <v>0</v>
      </c>
      <c r="V575" s="70">
        <f>'RESUMEN TOTAL'!AC671</f>
        <v>0</v>
      </c>
      <c r="W575" s="70">
        <f>'RESUMEN TOTAL'!AD671</f>
        <v>0</v>
      </c>
      <c r="X575" s="70">
        <f>'RESUMEN TOTAL'!AE671</f>
        <v>0</v>
      </c>
      <c r="Y575" s="70">
        <f>'RESUMEN TOTAL'!AF671</f>
        <v>0</v>
      </c>
      <c r="Z575" s="70">
        <f>'RESUMEN TOTAL'!AG671</f>
        <v>0</v>
      </c>
      <c r="AA575" s="70">
        <f>'RESUMEN TOTAL'!AH671</f>
        <v>0</v>
      </c>
      <c r="AB575" s="70">
        <f>'RESUMEN TOTAL'!AI671</f>
        <v>0</v>
      </c>
      <c r="AC575" s="70">
        <f>'RESUMEN TOTAL'!AJ671</f>
        <v>0</v>
      </c>
      <c r="AD575" s="70">
        <f>'RESUMEN TOTAL'!AK671</f>
        <v>0</v>
      </c>
      <c r="AE575" s="70">
        <f>'RESUMEN TOTAL'!AL671</f>
        <v>0</v>
      </c>
      <c r="AF575" s="70">
        <f>'RESUMEN TOTAL'!AM671</f>
        <v>0</v>
      </c>
      <c r="AG575" s="70">
        <f>'RESUMEN TOTAL'!AN671</f>
        <v>0</v>
      </c>
      <c r="AH575" s="70">
        <f>'RESUMEN TOTAL'!AO671</f>
        <v>0</v>
      </c>
      <c r="AI575" s="70">
        <f>'RESUMEN TOTAL'!AP671</f>
        <v>0</v>
      </c>
    </row>
    <row r="576" spans="1:35" x14ac:dyDescent="0.25">
      <c r="A576">
        <f>'RESUMEN TOTAL'!A672</f>
        <v>0</v>
      </c>
      <c r="B576">
        <f>'RESUMEN TOTAL'!B672</f>
        <v>0</v>
      </c>
      <c r="C576">
        <f>'RESUMEN TOTAL'!D672</f>
        <v>0</v>
      </c>
      <c r="D576" s="30">
        <f>'RESUMEN TOTAL'!E672</f>
        <v>0</v>
      </c>
      <c r="E576" s="30">
        <f>'RESUMEN TOTAL'!F672</f>
        <v>0</v>
      </c>
      <c r="F576" s="70">
        <f>'RESUMEN TOTAL'!M672</f>
        <v>0</v>
      </c>
      <c r="G576" s="70">
        <f>'RESUMEN TOTAL'!N672</f>
        <v>0</v>
      </c>
      <c r="H576" s="70">
        <f>'RESUMEN TOTAL'!O672</f>
        <v>0</v>
      </c>
      <c r="I576" s="70">
        <f>'RESUMEN TOTAL'!P672</f>
        <v>0</v>
      </c>
      <c r="J576" s="70">
        <f>'RESUMEN TOTAL'!Q672</f>
        <v>0</v>
      </c>
      <c r="K576" s="70">
        <f>'RESUMEN TOTAL'!R672</f>
        <v>0</v>
      </c>
      <c r="L576" s="70">
        <f>'RESUMEN TOTAL'!S672</f>
        <v>0</v>
      </c>
      <c r="M576" s="70">
        <f>'RESUMEN TOTAL'!T672</f>
        <v>0</v>
      </c>
      <c r="N576" s="70">
        <f>'RESUMEN TOTAL'!U672</f>
        <v>0</v>
      </c>
      <c r="O576" s="70">
        <f>'RESUMEN TOTAL'!V672</f>
        <v>0</v>
      </c>
      <c r="P576" s="70">
        <f>'RESUMEN TOTAL'!W672</f>
        <v>0</v>
      </c>
      <c r="Q576" s="70">
        <f>'RESUMEN TOTAL'!X672</f>
        <v>0</v>
      </c>
      <c r="R576" s="70">
        <f>'RESUMEN TOTAL'!Y672</f>
        <v>0</v>
      </c>
      <c r="S576" s="70">
        <f>'RESUMEN TOTAL'!Z672</f>
        <v>0</v>
      </c>
      <c r="T576" s="70">
        <f>'RESUMEN TOTAL'!AA672</f>
        <v>0</v>
      </c>
      <c r="U576" s="70">
        <f>'RESUMEN TOTAL'!AB672</f>
        <v>0</v>
      </c>
      <c r="V576" s="70">
        <f>'RESUMEN TOTAL'!AC672</f>
        <v>0</v>
      </c>
      <c r="W576" s="70">
        <f>'RESUMEN TOTAL'!AD672</f>
        <v>0</v>
      </c>
      <c r="X576" s="70">
        <f>'RESUMEN TOTAL'!AE672</f>
        <v>0</v>
      </c>
      <c r="Y576" s="70">
        <f>'RESUMEN TOTAL'!AF672</f>
        <v>0</v>
      </c>
      <c r="Z576" s="70">
        <f>'RESUMEN TOTAL'!AG672</f>
        <v>0</v>
      </c>
      <c r="AA576" s="70">
        <f>'RESUMEN TOTAL'!AH672</f>
        <v>0</v>
      </c>
      <c r="AB576" s="70">
        <f>'RESUMEN TOTAL'!AI672</f>
        <v>0</v>
      </c>
      <c r="AC576" s="70">
        <f>'RESUMEN TOTAL'!AJ672</f>
        <v>0</v>
      </c>
      <c r="AD576" s="70">
        <f>'RESUMEN TOTAL'!AK672</f>
        <v>0</v>
      </c>
      <c r="AE576" s="70">
        <f>'RESUMEN TOTAL'!AL672</f>
        <v>0</v>
      </c>
      <c r="AF576" s="70">
        <f>'RESUMEN TOTAL'!AM672</f>
        <v>0</v>
      </c>
      <c r="AG576" s="70">
        <f>'RESUMEN TOTAL'!AN672</f>
        <v>0</v>
      </c>
      <c r="AH576" s="70">
        <f>'RESUMEN TOTAL'!AO672</f>
        <v>0</v>
      </c>
      <c r="AI576" s="70">
        <f>'RESUMEN TOTAL'!AP672</f>
        <v>0</v>
      </c>
    </row>
    <row r="577" spans="1:35" x14ac:dyDescent="0.25">
      <c r="A577">
        <f>'RESUMEN TOTAL'!A673</f>
        <v>0</v>
      </c>
      <c r="B577">
        <f>'RESUMEN TOTAL'!B673</f>
        <v>0</v>
      </c>
      <c r="C577">
        <f>'RESUMEN TOTAL'!D673</f>
        <v>0</v>
      </c>
      <c r="D577" s="30">
        <f>'RESUMEN TOTAL'!E673</f>
        <v>0</v>
      </c>
      <c r="E577" s="30">
        <f>'RESUMEN TOTAL'!F673</f>
        <v>0</v>
      </c>
      <c r="F577" s="70">
        <f>'RESUMEN TOTAL'!M673</f>
        <v>0</v>
      </c>
      <c r="G577" s="70">
        <f>'RESUMEN TOTAL'!N673</f>
        <v>0</v>
      </c>
      <c r="H577" s="70">
        <f>'RESUMEN TOTAL'!O673</f>
        <v>0</v>
      </c>
      <c r="I577" s="70">
        <f>'RESUMEN TOTAL'!P673</f>
        <v>0</v>
      </c>
      <c r="J577" s="70">
        <f>'RESUMEN TOTAL'!Q673</f>
        <v>0</v>
      </c>
      <c r="K577" s="70">
        <f>'RESUMEN TOTAL'!R673</f>
        <v>0</v>
      </c>
      <c r="L577" s="70">
        <f>'RESUMEN TOTAL'!S673</f>
        <v>0</v>
      </c>
      <c r="M577" s="70">
        <f>'RESUMEN TOTAL'!T673</f>
        <v>0</v>
      </c>
      <c r="N577" s="70">
        <f>'RESUMEN TOTAL'!U673</f>
        <v>0</v>
      </c>
      <c r="O577" s="70">
        <f>'RESUMEN TOTAL'!V673</f>
        <v>0</v>
      </c>
      <c r="P577" s="70">
        <f>'RESUMEN TOTAL'!W673</f>
        <v>0</v>
      </c>
      <c r="Q577" s="70">
        <f>'RESUMEN TOTAL'!X673</f>
        <v>0</v>
      </c>
      <c r="R577" s="70">
        <f>'RESUMEN TOTAL'!Y673</f>
        <v>0</v>
      </c>
      <c r="S577" s="70">
        <f>'RESUMEN TOTAL'!Z673</f>
        <v>0</v>
      </c>
      <c r="T577" s="70">
        <f>'RESUMEN TOTAL'!AA673</f>
        <v>0</v>
      </c>
      <c r="U577" s="70">
        <f>'RESUMEN TOTAL'!AB673</f>
        <v>0</v>
      </c>
      <c r="V577" s="70">
        <f>'RESUMEN TOTAL'!AC673</f>
        <v>0</v>
      </c>
      <c r="W577" s="70">
        <f>'RESUMEN TOTAL'!AD673</f>
        <v>0</v>
      </c>
      <c r="X577" s="70">
        <f>'RESUMEN TOTAL'!AE673</f>
        <v>0</v>
      </c>
      <c r="Y577" s="70">
        <f>'RESUMEN TOTAL'!AF673</f>
        <v>0</v>
      </c>
      <c r="Z577" s="70">
        <f>'RESUMEN TOTAL'!AG673</f>
        <v>0</v>
      </c>
      <c r="AA577" s="70">
        <f>'RESUMEN TOTAL'!AH673</f>
        <v>0</v>
      </c>
      <c r="AB577" s="70">
        <f>'RESUMEN TOTAL'!AI673</f>
        <v>0</v>
      </c>
      <c r="AC577" s="70">
        <f>'RESUMEN TOTAL'!AJ673</f>
        <v>0</v>
      </c>
      <c r="AD577" s="70">
        <f>'RESUMEN TOTAL'!AK673</f>
        <v>0</v>
      </c>
      <c r="AE577" s="70">
        <f>'RESUMEN TOTAL'!AL673</f>
        <v>0</v>
      </c>
      <c r="AF577" s="70">
        <f>'RESUMEN TOTAL'!AM673</f>
        <v>0</v>
      </c>
      <c r="AG577" s="70">
        <f>'RESUMEN TOTAL'!AN673</f>
        <v>0</v>
      </c>
      <c r="AH577" s="70">
        <f>'RESUMEN TOTAL'!AO673</f>
        <v>0</v>
      </c>
      <c r="AI577" s="70">
        <f>'RESUMEN TOTAL'!AP673</f>
        <v>0</v>
      </c>
    </row>
    <row r="578" spans="1:35" x14ac:dyDescent="0.25">
      <c r="A578">
        <f>'RESUMEN TOTAL'!A674</f>
        <v>0</v>
      </c>
      <c r="B578">
        <f>'RESUMEN TOTAL'!B674</f>
        <v>0</v>
      </c>
      <c r="C578">
        <f>'RESUMEN TOTAL'!D674</f>
        <v>0</v>
      </c>
      <c r="D578" s="30">
        <f>'RESUMEN TOTAL'!E674</f>
        <v>0</v>
      </c>
      <c r="E578" s="30">
        <f>'RESUMEN TOTAL'!F674</f>
        <v>0</v>
      </c>
      <c r="F578" s="70">
        <f>'RESUMEN TOTAL'!M674</f>
        <v>0</v>
      </c>
      <c r="G578" s="70">
        <f>'RESUMEN TOTAL'!N674</f>
        <v>0</v>
      </c>
      <c r="H578" s="70">
        <f>'RESUMEN TOTAL'!O674</f>
        <v>0</v>
      </c>
      <c r="I578" s="70">
        <f>'RESUMEN TOTAL'!P674</f>
        <v>0</v>
      </c>
      <c r="J578" s="70">
        <f>'RESUMEN TOTAL'!Q674</f>
        <v>0</v>
      </c>
      <c r="K578" s="70">
        <f>'RESUMEN TOTAL'!R674</f>
        <v>0</v>
      </c>
      <c r="L578" s="70">
        <f>'RESUMEN TOTAL'!S674</f>
        <v>0</v>
      </c>
      <c r="M578" s="70">
        <f>'RESUMEN TOTAL'!T674</f>
        <v>0</v>
      </c>
      <c r="N578" s="70">
        <f>'RESUMEN TOTAL'!U674</f>
        <v>0</v>
      </c>
      <c r="O578" s="70">
        <f>'RESUMEN TOTAL'!V674</f>
        <v>0</v>
      </c>
      <c r="P578" s="70">
        <f>'RESUMEN TOTAL'!W674</f>
        <v>0</v>
      </c>
      <c r="Q578" s="70">
        <f>'RESUMEN TOTAL'!X674</f>
        <v>0</v>
      </c>
      <c r="R578" s="70">
        <f>'RESUMEN TOTAL'!Y674</f>
        <v>0</v>
      </c>
      <c r="S578" s="70">
        <f>'RESUMEN TOTAL'!Z674</f>
        <v>0</v>
      </c>
      <c r="T578" s="70">
        <f>'RESUMEN TOTAL'!AA674</f>
        <v>0</v>
      </c>
      <c r="U578" s="70">
        <f>'RESUMEN TOTAL'!AB674</f>
        <v>0</v>
      </c>
      <c r="V578" s="70">
        <f>'RESUMEN TOTAL'!AC674</f>
        <v>0</v>
      </c>
      <c r="W578" s="70">
        <f>'RESUMEN TOTAL'!AD674</f>
        <v>0</v>
      </c>
      <c r="X578" s="70">
        <f>'RESUMEN TOTAL'!AE674</f>
        <v>0</v>
      </c>
      <c r="Y578" s="70">
        <f>'RESUMEN TOTAL'!AF674</f>
        <v>0</v>
      </c>
      <c r="Z578" s="70">
        <f>'RESUMEN TOTAL'!AG674</f>
        <v>0</v>
      </c>
      <c r="AA578" s="70">
        <f>'RESUMEN TOTAL'!AH674</f>
        <v>0</v>
      </c>
      <c r="AB578" s="70">
        <f>'RESUMEN TOTAL'!AI674</f>
        <v>0</v>
      </c>
      <c r="AC578" s="70">
        <f>'RESUMEN TOTAL'!AJ674</f>
        <v>0</v>
      </c>
      <c r="AD578" s="70">
        <f>'RESUMEN TOTAL'!AK674</f>
        <v>0</v>
      </c>
      <c r="AE578" s="70">
        <f>'RESUMEN TOTAL'!AL674</f>
        <v>0</v>
      </c>
      <c r="AF578" s="70">
        <f>'RESUMEN TOTAL'!AM674</f>
        <v>0</v>
      </c>
      <c r="AG578" s="70">
        <f>'RESUMEN TOTAL'!AN674</f>
        <v>0</v>
      </c>
      <c r="AH578" s="70">
        <f>'RESUMEN TOTAL'!AO674</f>
        <v>0</v>
      </c>
      <c r="AI578" s="70">
        <f>'RESUMEN TOTAL'!AP674</f>
        <v>0</v>
      </c>
    </row>
    <row r="579" spans="1:35" x14ac:dyDescent="0.25">
      <c r="A579">
        <f>'RESUMEN TOTAL'!A675</f>
        <v>0</v>
      </c>
      <c r="B579">
        <f>'RESUMEN TOTAL'!B675</f>
        <v>0</v>
      </c>
      <c r="C579">
        <f>'RESUMEN TOTAL'!D675</f>
        <v>0</v>
      </c>
      <c r="D579" s="30">
        <f>'RESUMEN TOTAL'!E675</f>
        <v>0</v>
      </c>
      <c r="E579" s="30">
        <f>'RESUMEN TOTAL'!F675</f>
        <v>0</v>
      </c>
      <c r="F579" s="70">
        <f>'RESUMEN TOTAL'!M675</f>
        <v>0</v>
      </c>
      <c r="G579" s="70">
        <f>'RESUMEN TOTAL'!N675</f>
        <v>0</v>
      </c>
      <c r="H579" s="70">
        <f>'RESUMEN TOTAL'!O675</f>
        <v>0</v>
      </c>
      <c r="I579" s="70">
        <f>'RESUMEN TOTAL'!P675</f>
        <v>0</v>
      </c>
      <c r="J579" s="70">
        <f>'RESUMEN TOTAL'!Q675</f>
        <v>0</v>
      </c>
      <c r="K579" s="70">
        <f>'RESUMEN TOTAL'!R675</f>
        <v>0</v>
      </c>
      <c r="L579" s="70">
        <f>'RESUMEN TOTAL'!S675</f>
        <v>0</v>
      </c>
      <c r="M579" s="70">
        <f>'RESUMEN TOTAL'!T675</f>
        <v>0</v>
      </c>
      <c r="N579" s="70">
        <f>'RESUMEN TOTAL'!U675</f>
        <v>0</v>
      </c>
      <c r="O579" s="70">
        <f>'RESUMEN TOTAL'!V675</f>
        <v>0</v>
      </c>
      <c r="P579" s="70">
        <f>'RESUMEN TOTAL'!W675</f>
        <v>0</v>
      </c>
      <c r="Q579" s="70">
        <f>'RESUMEN TOTAL'!X675</f>
        <v>0</v>
      </c>
      <c r="R579" s="70">
        <f>'RESUMEN TOTAL'!Y675</f>
        <v>0</v>
      </c>
      <c r="S579" s="70">
        <f>'RESUMEN TOTAL'!Z675</f>
        <v>0</v>
      </c>
      <c r="T579" s="70">
        <f>'RESUMEN TOTAL'!AA675</f>
        <v>0</v>
      </c>
      <c r="U579" s="70">
        <f>'RESUMEN TOTAL'!AB675</f>
        <v>0</v>
      </c>
      <c r="V579" s="70">
        <f>'RESUMEN TOTAL'!AC675</f>
        <v>0</v>
      </c>
      <c r="W579" s="70">
        <f>'RESUMEN TOTAL'!AD675</f>
        <v>0</v>
      </c>
      <c r="X579" s="70">
        <f>'RESUMEN TOTAL'!AE675</f>
        <v>0</v>
      </c>
      <c r="Y579" s="70">
        <f>'RESUMEN TOTAL'!AF675</f>
        <v>0</v>
      </c>
      <c r="Z579" s="70">
        <f>'RESUMEN TOTAL'!AG675</f>
        <v>0</v>
      </c>
      <c r="AA579" s="70">
        <f>'RESUMEN TOTAL'!AH675</f>
        <v>0</v>
      </c>
      <c r="AB579" s="70">
        <f>'RESUMEN TOTAL'!AI675</f>
        <v>0</v>
      </c>
      <c r="AC579" s="70">
        <f>'RESUMEN TOTAL'!AJ675</f>
        <v>0</v>
      </c>
      <c r="AD579" s="70">
        <f>'RESUMEN TOTAL'!AK675</f>
        <v>0</v>
      </c>
      <c r="AE579" s="70">
        <f>'RESUMEN TOTAL'!AL675</f>
        <v>0</v>
      </c>
      <c r="AF579" s="70">
        <f>'RESUMEN TOTAL'!AM675</f>
        <v>0</v>
      </c>
      <c r="AG579" s="70">
        <f>'RESUMEN TOTAL'!AN675</f>
        <v>0</v>
      </c>
      <c r="AH579" s="70">
        <f>'RESUMEN TOTAL'!AO675</f>
        <v>0</v>
      </c>
      <c r="AI579" s="70">
        <f>'RESUMEN TOTAL'!AP675</f>
        <v>0</v>
      </c>
    </row>
    <row r="580" spans="1:35" x14ac:dyDescent="0.25">
      <c r="A580">
        <f>'RESUMEN TOTAL'!A676</f>
        <v>0</v>
      </c>
      <c r="B580">
        <f>'RESUMEN TOTAL'!B676</f>
        <v>0</v>
      </c>
      <c r="C580">
        <f>'RESUMEN TOTAL'!D676</f>
        <v>0</v>
      </c>
      <c r="D580" s="30">
        <f>'RESUMEN TOTAL'!E676</f>
        <v>0</v>
      </c>
      <c r="E580" s="30">
        <f>'RESUMEN TOTAL'!F676</f>
        <v>0</v>
      </c>
      <c r="F580" s="70">
        <f>'RESUMEN TOTAL'!M676</f>
        <v>0</v>
      </c>
      <c r="G580" s="70">
        <f>'RESUMEN TOTAL'!N676</f>
        <v>0</v>
      </c>
      <c r="H580" s="70">
        <f>'RESUMEN TOTAL'!O676</f>
        <v>0</v>
      </c>
      <c r="I580" s="70">
        <f>'RESUMEN TOTAL'!P676</f>
        <v>0</v>
      </c>
      <c r="J580" s="70">
        <f>'RESUMEN TOTAL'!Q676</f>
        <v>0</v>
      </c>
      <c r="K580" s="70">
        <f>'RESUMEN TOTAL'!R676</f>
        <v>0</v>
      </c>
      <c r="L580" s="70">
        <f>'RESUMEN TOTAL'!S676</f>
        <v>0</v>
      </c>
      <c r="M580" s="70">
        <f>'RESUMEN TOTAL'!T676</f>
        <v>0</v>
      </c>
      <c r="N580" s="70">
        <f>'RESUMEN TOTAL'!U676</f>
        <v>0</v>
      </c>
      <c r="O580" s="70">
        <f>'RESUMEN TOTAL'!V676</f>
        <v>0</v>
      </c>
      <c r="P580" s="70">
        <f>'RESUMEN TOTAL'!W676</f>
        <v>0</v>
      </c>
      <c r="Q580" s="70">
        <f>'RESUMEN TOTAL'!X676</f>
        <v>0</v>
      </c>
      <c r="R580" s="70">
        <f>'RESUMEN TOTAL'!Y676</f>
        <v>0</v>
      </c>
      <c r="S580" s="70">
        <f>'RESUMEN TOTAL'!Z676</f>
        <v>0</v>
      </c>
      <c r="T580" s="70">
        <f>'RESUMEN TOTAL'!AA676</f>
        <v>0</v>
      </c>
      <c r="U580" s="70">
        <f>'RESUMEN TOTAL'!AB676</f>
        <v>0</v>
      </c>
      <c r="V580" s="70">
        <f>'RESUMEN TOTAL'!AC676</f>
        <v>0</v>
      </c>
      <c r="W580" s="70">
        <f>'RESUMEN TOTAL'!AD676</f>
        <v>0</v>
      </c>
      <c r="X580" s="70">
        <f>'RESUMEN TOTAL'!AE676</f>
        <v>0</v>
      </c>
      <c r="Y580" s="70">
        <f>'RESUMEN TOTAL'!AF676</f>
        <v>0</v>
      </c>
      <c r="Z580" s="70">
        <f>'RESUMEN TOTAL'!AG676</f>
        <v>0</v>
      </c>
      <c r="AA580" s="70">
        <f>'RESUMEN TOTAL'!AH676</f>
        <v>0</v>
      </c>
      <c r="AB580" s="70">
        <f>'RESUMEN TOTAL'!AI676</f>
        <v>0</v>
      </c>
      <c r="AC580" s="70">
        <f>'RESUMEN TOTAL'!AJ676</f>
        <v>0</v>
      </c>
      <c r="AD580" s="70">
        <f>'RESUMEN TOTAL'!AK676</f>
        <v>0</v>
      </c>
      <c r="AE580" s="70">
        <f>'RESUMEN TOTAL'!AL676</f>
        <v>0</v>
      </c>
      <c r="AF580" s="70">
        <f>'RESUMEN TOTAL'!AM676</f>
        <v>0</v>
      </c>
      <c r="AG580" s="70">
        <f>'RESUMEN TOTAL'!AN676</f>
        <v>0</v>
      </c>
      <c r="AH580" s="70">
        <f>'RESUMEN TOTAL'!AO676</f>
        <v>0</v>
      </c>
      <c r="AI580" s="70">
        <f>'RESUMEN TOTAL'!AP676</f>
        <v>0</v>
      </c>
    </row>
    <row r="581" spans="1:35" x14ac:dyDescent="0.25">
      <c r="A581">
        <f>'RESUMEN TOTAL'!A677</f>
        <v>0</v>
      </c>
      <c r="B581">
        <f>'RESUMEN TOTAL'!B677</f>
        <v>0</v>
      </c>
      <c r="C581">
        <f>'RESUMEN TOTAL'!D677</f>
        <v>0</v>
      </c>
      <c r="D581" s="30">
        <f>'RESUMEN TOTAL'!E677</f>
        <v>0</v>
      </c>
      <c r="E581" s="30">
        <f>'RESUMEN TOTAL'!F677</f>
        <v>0</v>
      </c>
      <c r="F581" s="70">
        <f>'RESUMEN TOTAL'!M677</f>
        <v>0</v>
      </c>
      <c r="G581" s="70">
        <f>'RESUMEN TOTAL'!N677</f>
        <v>0</v>
      </c>
      <c r="H581" s="70">
        <f>'RESUMEN TOTAL'!O677</f>
        <v>0</v>
      </c>
      <c r="I581" s="70">
        <f>'RESUMEN TOTAL'!P677</f>
        <v>0</v>
      </c>
      <c r="J581" s="70">
        <f>'RESUMEN TOTAL'!Q677</f>
        <v>0</v>
      </c>
      <c r="K581" s="70">
        <f>'RESUMEN TOTAL'!R677</f>
        <v>0</v>
      </c>
      <c r="L581" s="70">
        <f>'RESUMEN TOTAL'!S677</f>
        <v>0</v>
      </c>
      <c r="M581" s="70">
        <f>'RESUMEN TOTAL'!T677</f>
        <v>0</v>
      </c>
      <c r="N581" s="70">
        <f>'RESUMEN TOTAL'!U677</f>
        <v>0</v>
      </c>
      <c r="O581" s="70">
        <f>'RESUMEN TOTAL'!V677</f>
        <v>0</v>
      </c>
      <c r="P581" s="70">
        <f>'RESUMEN TOTAL'!W677</f>
        <v>0</v>
      </c>
      <c r="Q581" s="70">
        <f>'RESUMEN TOTAL'!X677</f>
        <v>0</v>
      </c>
      <c r="R581" s="70">
        <f>'RESUMEN TOTAL'!Y677</f>
        <v>0</v>
      </c>
      <c r="S581" s="70">
        <f>'RESUMEN TOTAL'!Z677</f>
        <v>0</v>
      </c>
      <c r="T581" s="70">
        <f>'RESUMEN TOTAL'!AA677</f>
        <v>0</v>
      </c>
      <c r="U581" s="70">
        <f>'RESUMEN TOTAL'!AB677</f>
        <v>0</v>
      </c>
      <c r="V581" s="70">
        <f>'RESUMEN TOTAL'!AC677</f>
        <v>0</v>
      </c>
      <c r="W581" s="70">
        <f>'RESUMEN TOTAL'!AD677</f>
        <v>0</v>
      </c>
      <c r="X581" s="70">
        <f>'RESUMEN TOTAL'!AE677</f>
        <v>0</v>
      </c>
      <c r="Y581" s="70">
        <f>'RESUMEN TOTAL'!AF677</f>
        <v>0</v>
      </c>
      <c r="Z581" s="70">
        <f>'RESUMEN TOTAL'!AG677</f>
        <v>0</v>
      </c>
      <c r="AA581" s="70">
        <f>'RESUMEN TOTAL'!AH677</f>
        <v>0</v>
      </c>
      <c r="AB581" s="70">
        <f>'RESUMEN TOTAL'!AI677</f>
        <v>0</v>
      </c>
      <c r="AC581" s="70">
        <f>'RESUMEN TOTAL'!AJ677</f>
        <v>0</v>
      </c>
      <c r="AD581" s="70">
        <f>'RESUMEN TOTAL'!AK677</f>
        <v>0</v>
      </c>
      <c r="AE581" s="70">
        <f>'RESUMEN TOTAL'!AL677</f>
        <v>0</v>
      </c>
      <c r="AF581" s="70">
        <f>'RESUMEN TOTAL'!AM677</f>
        <v>0</v>
      </c>
      <c r="AG581" s="70">
        <f>'RESUMEN TOTAL'!AN677</f>
        <v>0</v>
      </c>
      <c r="AH581" s="70">
        <f>'RESUMEN TOTAL'!AO677</f>
        <v>0</v>
      </c>
      <c r="AI581" s="70">
        <f>'RESUMEN TOTAL'!AP677</f>
        <v>0</v>
      </c>
    </row>
    <row r="582" spans="1:35" x14ac:dyDescent="0.25">
      <c r="A582">
        <f>'RESUMEN TOTAL'!A678</f>
        <v>0</v>
      </c>
      <c r="B582">
        <f>'RESUMEN TOTAL'!B678</f>
        <v>0</v>
      </c>
      <c r="C582">
        <f>'RESUMEN TOTAL'!D678</f>
        <v>0</v>
      </c>
      <c r="D582" s="30">
        <f>'RESUMEN TOTAL'!E678</f>
        <v>0</v>
      </c>
      <c r="E582" s="30">
        <f>'RESUMEN TOTAL'!F678</f>
        <v>0</v>
      </c>
      <c r="F582" s="70">
        <f>'RESUMEN TOTAL'!M678</f>
        <v>0</v>
      </c>
      <c r="G582" s="70">
        <f>'RESUMEN TOTAL'!N678</f>
        <v>0</v>
      </c>
      <c r="H582" s="70">
        <f>'RESUMEN TOTAL'!O678</f>
        <v>0</v>
      </c>
      <c r="I582" s="70">
        <f>'RESUMEN TOTAL'!P678</f>
        <v>0</v>
      </c>
      <c r="J582" s="70">
        <f>'RESUMEN TOTAL'!Q678</f>
        <v>0</v>
      </c>
      <c r="K582" s="70">
        <f>'RESUMEN TOTAL'!R678</f>
        <v>0</v>
      </c>
      <c r="L582" s="70">
        <f>'RESUMEN TOTAL'!S678</f>
        <v>0</v>
      </c>
      <c r="M582" s="70">
        <f>'RESUMEN TOTAL'!T678</f>
        <v>0</v>
      </c>
      <c r="N582" s="70">
        <f>'RESUMEN TOTAL'!U678</f>
        <v>0</v>
      </c>
      <c r="O582" s="70">
        <f>'RESUMEN TOTAL'!V678</f>
        <v>0</v>
      </c>
      <c r="P582" s="70">
        <f>'RESUMEN TOTAL'!W678</f>
        <v>0</v>
      </c>
      <c r="Q582" s="70">
        <f>'RESUMEN TOTAL'!X678</f>
        <v>0</v>
      </c>
      <c r="R582" s="70">
        <f>'RESUMEN TOTAL'!Y678</f>
        <v>0</v>
      </c>
      <c r="S582" s="70">
        <f>'RESUMEN TOTAL'!Z678</f>
        <v>0</v>
      </c>
      <c r="T582" s="70">
        <f>'RESUMEN TOTAL'!AA678</f>
        <v>0</v>
      </c>
      <c r="U582" s="70">
        <f>'RESUMEN TOTAL'!AB678</f>
        <v>0</v>
      </c>
      <c r="V582" s="70">
        <f>'RESUMEN TOTAL'!AC678</f>
        <v>0</v>
      </c>
      <c r="W582" s="70">
        <f>'RESUMEN TOTAL'!AD678</f>
        <v>0</v>
      </c>
      <c r="X582" s="70">
        <f>'RESUMEN TOTAL'!AE678</f>
        <v>0</v>
      </c>
      <c r="Y582" s="70">
        <f>'RESUMEN TOTAL'!AF678</f>
        <v>0</v>
      </c>
      <c r="Z582" s="70">
        <f>'RESUMEN TOTAL'!AG678</f>
        <v>0</v>
      </c>
      <c r="AA582" s="70">
        <f>'RESUMEN TOTAL'!AH678</f>
        <v>0</v>
      </c>
      <c r="AB582" s="70">
        <f>'RESUMEN TOTAL'!AI678</f>
        <v>0</v>
      </c>
      <c r="AC582" s="70">
        <f>'RESUMEN TOTAL'!AJ678</f>
        <v>0</v>
      </c>
      <c r="AD582" s="70">
        <f>'RESUMEN TOTAL'!AK678</f>
        <v>0</v>
      </c>
      <c r="AE582" s="70">
        <f>'RESUMEN TOTAL'!AL678</f>
        <v>0</v>
      </c>
      <c r="AF582" s="70">
        <f>'RESUMEN TOTAL'!AM678</f>
        <v>0</v>
      </c>
      <c r="AG582" s="70">
        <f>'RESUMEN TOTAL'!AN678</f>
        <v>0</v>
      </c>
      <c r="AH582" s="70">
        <f>'RESUMEN TOTAL'!AO678</f>
        <v>0</v>
      </c>
      <c r="AI582" s="70">
        <f>'RESUMEN TOTAL'!AP678</f>
        <v>0</v>
      </c>
    </row>
    <row r="583" spans="1:35" x14ac:dyDescent="0.25">
      <c r="A583">
        <f>'RESUMEN TOTAL'!A679</f>
        <v>0</v>
      </c>
      <c r="B583">
        <f>'RESUMEN TOTAL'!B679</f>
        <v>0</v>
      </c>
      <c r="C583">
        <f>'RESUMEN TOTAL'!D679</f>
        <v>0</v>
      </c>
      <c r="D583" s="30">
        <f>'RESUMEN TOTAL'!E679</f>
        <v>0</v>
      </c>
      <c r="E583" s="30">
        <f>'RESUMEN TOTAL'!F679</f>
        <v>0</v>
      </c>
      <c r="F583" s="70">
        <f>'RESUMEN TOTAL'!M679</f>
        <v>0</v>
      </c>
      <c r="G583" s="70">
        <f>'RESUMEN TOTAL'!N679</f>
        <v>0</v>
      </c>
      <c r="H583" s="70">
        <f>'RESUMEN TOTAL'!O679</f>
        <v>0</v>
      </c>
      <c r="I583" s="70">
        <f>'RESUMEN TOTAL'!P679</f>
        <v>0</v>
      </c>
      <c r="J583" s="70">
        <f>'RESUMEN TOTAL'!Q679</f>
        <v>0</v>
      </c>
      <c r="K583" s="70">
        <f>'RESUMEN TOTAL'!R679</f>
        <v>0</v>
      </c>
      <c r="L583" s="70">
        <f>'RESUMEN TOTAL'!S679</f>
        <v>0</v>
      </c>
      <c r="M583" s="70">
        <f>'RESUMEN TOTAL'!T679</f>
        <v>0</v>
      </c>
      <c r="N583" s="70">
        <f>'RESUMEN TOTAL'!U679</f>
        <v>0</v>
      </c>
      <c r="O583" s="70">
        <f>'RESUMEN TOTAL'!V679</f>
        <v>0</v>
      </c>
      <c r="P583" s="70">
        <f>'RESUMEN TOTAL'!W679</f>
        <v>0</v>
      </c>
      <c r="Q583" s="70">
        <f>'RESUMEN TOTAL'!X679</f>
        <v>0</v>
      </c>
      <c r="R583" s="70">
        <f>'RESUMEN TOTAL'!Y679</f>
        <v>0</v>
      </c>
      <c r="S583" s="70">
        <f>'RESUMEN TOTAL'!Z679</f>
        <v>0</v>
      </c>
      <c r="T583" s="70">
        <f>'RESUMEN TOTAL'!AA679</f>
        <v>0</v>
      </c>
      <c r="U583" s="70">
        <f>'RESUMEN TOTAL'!AB679</f>
        <v>0</v>
      </c>
      <c r="V583" s="70">
        <f>'RESUMEN TOTAL'!AC679</f>
        <v>0</v>
      </c>
      <c r="W583" s="70">
        <f>'RESUMEN TOTAL'!AD679</f>
        <v>0</v>
      </c>
      <c r="X583" s="70">
        <f>'RESUMEN TOTAL'!AE679</f>
        <v>0</v>
      </c>
      <c r="Y583" s="70">
        <f>'RESUMEN TOTAL'!AF679</f>
        <v>0</v>
      </c>
      <c r="Z583" s="70">
        <f>'RESUMEN TOTAL'!AG679</f>
        <v>0</v>
      </c>
      <c r="AA583" s="70">
        <f>'RESUMEN TOTAL'!AH679</f>
        <v>0</v>
      </c>
      <c r="AB583" s="70">
        <f>'RESUMEN TOTAL'!AI679</f>
        <v>0</v>
      </c>
      <c r="AC583" s="70">
        <f>'RESUMEN TOTAL'!AJ679</f>
        <v>0</v>
      </c>
      <c r="AD583" s="70">
        <f>'RESUMEN TOTAL'!AK679</f>
        <v>0</v>
      </c>
      <c r="AE583" s="70">
        <f>'RESUMEN TOTAL'!AL679</f>
        <v>0</v>
      </c>
      <c r="AF583" s="70">
        <f>'RESUMEN TOTAL'!AM679</f>
        <v>0</v>
      </c>
      <c r="AG583" s="70">
        <f>'RESUMEN TOTAL'!AN679</f>
        <v>0</v>
      </c>
      <c r="AH583" s="70">
        <f>'RESUMEN TOTAL'!AO679</f>
        <v>0</v>
      </c>
      <c r="AI583" s="70">
        <f>'RESUMEN TOTAL'!AP679</f>
        <v>0</v>
      </c>
    </row>
    <row r="584" spans="1:35" x14ac:dyDescent="0.25">
      <c r="A584">
        <f>'RESUMEN TOTAL'!A680</f>
        <v>0</v>
      </c>
      <c r="B584">
        <f>'RESUMEN TOTAL'!B680</f>
        <v>0</v>
      </c>
      <c r="C584">
        <f>'RESUMEN TOTAL'!D680</f>
        <v>0</v>
      </c>
      <c r="D584" s="30">
        <f>'RESUMEN TOTAL'!E680</f>
        <v>0</v>
      </c>
      <c r="E584" s="30">
        <f>'RESUMEN TOTAL'!F680</f>
        <v>0</v>
      </c>
      <c r="F584" s="70">
        <f>'RESUMEN TOTAL'!M680</f>
        <v>0</v>
      </c>
      <c r="G584" s="70">
        <f>'RESUMEN TOTAL'!N680</f>
        <v>0</v>
      </c>
      <c r="H584" s="70">
        <f>'RESUMEN TOTAL'!O680</f>
        <v>0</v>
      </c>
      <c r="I584" s="70">
        <f>'RESUMEN TOTAL'!P680</f>
        <v>0</v>
      </c>
      <c r="J584" s="70">
        <f>'RESUMEN TOTAL'!Q680</f>
        <v>0</v>
      </c>
      <c r="K584" s="70">
        <f>'RESUMEN TOTAL'!R680</f>
        <v>0</v>
      </c>
      <c r="L584" s="70">
        <f>'RESUMEN TOTAL'!S680</f>
        <v>0</v>
      </c>
      <c r="M584" s="70">
        <f>'RESUMEN TOTAL'!T680</f>
        <v>0</v>
      </c>
      <c r="N584" s="70">
        <f>'RESUMEN TOTAL'!U680</f>
        <v>0</v>
      </c>
      <c r="O584" s="70">
        <f>'RESUMEN TOTAL'!V680</f>
        <v>0</v>
      </c>
      <c r="P584" s="70">
        <f>'RESUMEN TOTAL'!W680</f>
        <v>0</v>
      </c>
      <c r="Q584" s="70">
        <f>'RESUMEN TOTAL'!X680</f>
        <v>0</v>
      </c>
      <c r="R584" s="70">
        <f>'RESUMEN TOTAL'!Y680</f>
        <v>0</v>
      </c>
      <c r="S584" s="70">
        <f>'RESUMEN TOTAL'!Z680</f>
        <v>0</v>
      </c>
      <c r="T584" s="70">
        <f>'RESUMEN TOTAL'!AA680</f>
        <v>0</v>
      </c>
      <c r="U584" s="70">
        <f>'RESUMEN TOTAL'!AB680</f>
        <v>0</v>
      </c>
      <c r="V584" s="70">
        <f>'RESUMEN TOTAL'!AC680</f>
        <v>0</v>
      </c>
      <c r="W584" s="70">
        <f>'RESUMEN TOTAL'!AD680</f>
        <v>0</v>
      </c>
      <c r="X584" s="70">
        <f>'RESUMEN TOTAL'!AE680</f>
        <v>0</v>
      </c>
      <c r="Y584" s="70">
        <f>'RESUMEN TOTAL'!AF680</f>
        <v>0</v>
      </c>
      <c r="Z584" s="70">
        <f>'RESUMEN TOTAL'!AG680</f>
        <v>0</v>
      </c>
      <c r="AA584" s="70">
        <f>'RESUMEN TOTAL'!AH680</f>
        <v>0</v>
      </c>
      <c r="AB584" s="70">
        <f>'RESUMEN TOTAL'!AI680</f>
        <v>0</v>
      </c>
      <c r="AC584" s="70">
        <f>'RESUMEN TOTAL'!AJ680</f>
        <v>0</v>
      </c>
      <c r="AD584" s="70">
        <f>'RESUMEN TOTAL'!AK680</f>
        <v>0</v>
      </c>
      <c r="AE584" s="70">
        <f>'RESUMEN TOTAL'!AL680</f>
        <v>0</v>
      </c>
      <c r="AF584" s="70">
        <f>'RESUMEN TOTAL'!AM680</f>
        <v>0</v>
      </c>
      <c r="AG584" s="70">
        <f>'RESUMEN TOTAL'!AN680</f>
        <v>0</v>
      </c>
      <c r="AH584" s="70">
        <f>'RESUMEN TOTAL'!AO680</f>
        <v>0</v>
      </c>
      <c r="AI584" s="70">
        <f>'RESUMEN TOTAL'!AP680</f>
        <v>0</v>
      </c>
    </row>
    <row r="585" spans="1:35" x14ac:dyDescent="0.25">
      <c r="A585">
        <f>'RESUMEN TOTAL'!A681</f>
        <v>0</v>
      </c>
      <c r="B585">
        <f>'RESUMEN TOTAL'!B681</f>
        <v>0</v>
      </c>
      <c r="C585">
        <f>'RESUMEN TOTAL'!D681</f>
        <v>0</v>
      </c>
      <c r="D585" s="30">
        <f>'RESUMEN TOTAL'!E681</f>
        <v>0</v>
      </c>
      <c r="E585" s="30">
        <f>'RESUMEN TOTAL'!F681</f>
        <v>0</v>
      </c>
      <c r="F585" s="70">
        <f>'RESUMEN TOTAL'!M681</f>
        <v>0</v>
      </c>
      <c r="G585" s="70">
        <f>'RESUMEN TOTAL'!N681</f>
        <v>0</v>
      </c>
      <c r="H585" s="70">
        <f>'RESUMEN TOTAL'!O681</f>
        <v>0</v>
      </c>
      <c r="I585" s="70">
        <f>'RESUMEN TOTAL'!P681</f>
        <v>0</v>
      </c>
      <c r="J585" s="70">
        <f>'RESUMEN TOTAL'!Q681</f>
        <v>0</v>
      </c>
      <c r="K585" s="70">
        <f>'RESUMEN TOTAL'!R681</f>
        <v>0</v>
      </c>
      <c r="L585" s="70">
        <f>'RESUMEN TOTAL'!S681</f>
        <v>0</v>
      </c>
      <c r="M585" s="70">
        <f>'RESUMEN TOTAL'!T681</f>
        <v>0</v>
      </c>
      <c r="N585" s="70">
        <f>'RESUMEN TOTAL'!U681</f>
        <v>0</v>
      </c>
      <c r="O585" s="70">
        <f>'RESUMEN TOTAL'!V681</f>
        <v>0</v>
      </c>
      <c r="P585" s="70">
        <f>'RESUMEN TOTAL'!W681</f>
        <v>0</v>
      </c>
      <c r="Q585" s="70">
        <f>'RESUMEN TOTAL'!X681</f>
        <v>0</v>
      </c>
      <c r="R585" s="70">
        <f>'RESUMEN TOTAL'!Y681</f>
        <v>0</v>
      </c>
      <c r="S585" s="70">
        <f>'RESUMEN TOTAL'!Z681</f>
        <v>0</v>
      </c>
      <c r="T585" s="70">
        <f>'RESUMEN TOTAL'!AA681</f>
        <v>0</v>
      </c>
      <c r="U585" s="70">
        <f>'RESUMEN TOTAL'!AB681</f>
        <v>0</v>
      </c>
      <c r="V585" s="70">
        <f>'RESUMEN TOTAL'!AC681</f>
        <v>0</v>
      </c>
      <c r="W585" s="70">
        <f>'RESUMEN TOTAL'!AD681</f>
        <v>0</v>
      </c>
      <c r="X585" s="70">
        <f>'RESUMEN TOTAL'!AE681</f>
        <v>0</v>
      </c>
      <c r="Y585" s="70">
        <f>'RESUMEN TOTAL'!AF681</f>
        <v>0</v>
      </c>
      <c r="Z585" s="70">
        <f>'RESUMEN TOTAL'!AG681</f>
        <v>0</v>
      </c>
      <c r="AA585" s="70">
        <f>'RESUMEN TOTAL'!AH681</f>
        <v>0</v>
      </c>
      <c r="AB585" s="70">
        <f>'RESUMEN TOTAL'!AI681</f>
        <v>0</v>
      </c>
      <c r="AC585" s="70">
        <f>'RESUMEN TOTAL'!AJ681</f>
        <v>0</v>
      </c>
      <c r="AD585" s="70">
        <f>'RESUMEN TOTAL'!AK681</f>
        <v>0</v>
      </c>
      <c r="AE585" s="70">
        <f>'RESUMEN TOTAL'!AL681</f>
        <v>0</v>
      </c>
      <c r="AF585" s="70">
        <f>'RESUMEN TOTAL'!AM681</f>
        <v>0</v>
      </c>
      <c r="AG585" s="70">
        <f>'RESUMEN TOTAL'!AN681</f>
        <v>0</v>
      </c>
      <c r="AH585" s="70">
        <f>'RESUMEN TOTAL'!AO681</f>
        <v>0</v>
      </c>
      <c r="AI585" s="70">
        <f>'RESUMEN TOTAL'!AP681</f>
        <v>0</v>
      </c>
    </row>
    <row r="586" spans="1:35" x14ac:dyDescent="0.25">
      <c r="A586">
        <f>'RESUMEN TOTAL'!A682</f>
        <v>0</v>
      </c>
      <c r="B586">
        <f>'RESUMEN TOTAL'!B682</f>
        <v>0</v>
      </c>
      <c r="C586">
        <f>'RESUMEN TOTAL'!D682</f>
        <v>0</v>
      </c>
      <c r="D586" s="30">
        <f>'RESUMEN TOTAL'!E682</f>
        <v>0</v>
      </c>
      <c r="E586" s="30">
        <f>'RESUMEN TOTAL'!F682</f>
        <v>0</v>
      </c>
      <c r="F586" s="70">
        <f>'RESUMEN TOTAL'!M682</f>
        <v>0</v>
      </c>
      <c r="G586" s="70">
        <f>'RESUMEN TOTAL'!N682</f>
        <v>0</v>
      </c>
      <c r="H586" s="70">
        <f>'RESUMEN TOTAL'!O682</f>
        <v>0</v>
      </c>
      <c r="I586" s="70">
        <f>'RESUMEN TOTAL'!P682</f>
        <v>0</v>
      </c>
      <c r="J586" s="70">
        <f>'RESUMEN TOTAL'!Q682</f>
        <v>0</v>
      </c>
      <c r="K586" s="70">
        <f>'RESUMEN TOTAL'!R682</f>
        <v>0</v>
      </c>
      <c r="L586" s="70">
        <f>'RESUMEN TOTAL'!S682</f>
        <v>0</v>
      </c>
      <c r="M586" s="70">
        <f>'RESUMEN TOTAL'!T682</f>
        <v>0</v>
      </c>
      <c r="N586" s="70">
        <f>'RESUMEN TOTAL'!U682</f>
        <v>0</v>
      </c>
      <c r="O586" s="70">
        <f>'RESUMEN TOTAL'!V682</f>
        <v>0</v>
      </c>
      <c r="P586" s="70">
        <f>'RESUMEN TOTAL'!W682</f>
        <v>0</v>
      </c>
      <c r="Q586" s="70">
        <f>'RESUMEN TOTAL'!X682</f>
        <v>0</v>
      </c>
      <c r="R586" s="70">
        <f>'RESUMEN TOTAL'!Y682</f>
        <v>0</v>
      </c>
      <c r="S586" s="70">
        <f>'RESUMEN TOTAL'!Z682</f>
        <v>0</v>
      </c>
      <c r="T586" s="70">
        <f>'RESUMEN TOTAL'!AA682</f>
        <v>0</v>
      </c>
      <c r="U586" s="70">
        <f>'RESUMEN TOTAL'!AB682</f>
        <v>0</v>
      </c>
      <c r="V586" s="70">
        <f>'RESUMEN TOTAL'!AC682</f>
        <v>0</v>
      </c>
      <c r="W586" s="70">
        <f>'RESUMEN TOTAL'!AD682</f>
        <v>0</v>
      </c>
      <c r="X586" s="70">
        <f>'RESUMEN TOTAL'!AE682</f>
        <v>0</v>
      </c>
      <c r="Y586" s="70">
        <f>'RESUMEN TOTAL'!AF682</f>
        <v>0</v>
      </c>
      <c r="Z586" s="70">
        <f>'RESUMEN TOTAL'!AG682</f>
        <v>0</v>
      </c>
      <c r="AA586" s="70">
        <f>'RESUMEN TOTAL'!AH682</f>
        <v>0</v>
      </c>
      <c r="AB586" s="70">
        <f>'RESUMEN TOTAL'!AI682</f>
        <v>0</v>
      </c>
      <c r="AC586" s="70">
        <f>'RESUMEN TOTAL'!AJ682</f>
        <v>0</v>
      </c>
      <c r="AD586" s="70">
        <f>'RESUMEN TOTAL'!AK682</f>
        <v>0</v>
      </c>
      <c r="AE586" s="70">
        <f>'RESUMEN TOTAL'!AL682</f>
        <v>0</v>
      </c>
      <c r="AF586" s="70">
        <f>'RESUMEN TOTAL'!AM682</f>
        <v>0</v>
      </c>
      <c r="AG586" s="70">
        <f>'RESUMEN TOTAL'!AN682</f>
        <v>0</v>
      </c>
      <c r="AH586" s="70">
        <f>'RESUMEN TOTAL'!AO682</f>
        <v>0</v>
      </c>
      <c r="AI586" s="70">
        <f>'RESUMEN TOTAL'!AP682</f>
        <v>0</v>
      </c>
    </row>
    <row r="587" spans="1:35" x14ac:dyDescent="0.25">
      <c r="A587">
        <f>'RESUMEN TOTAL'!A683</f>
        <v>0</v>
      </c>
      <c r="B587">
        <f>'RESUMEN TOTAL'!B683</f>
        <v>0</v>
      </c>
      <c r="C587">
        <f>'RESUMEN TOTAL'!D683</f>
        <v>0</v>
      </c>
      <c r="D587" s="30">
        <f>'RESUMEN TOTAL'!E683</f>
        <v>0</v>
      </c>
      <c r="E587" s="30">
        <f>'RESUMEN TOTAL'!F683</f>
        <v>0</v>
      </c>
      <c r="F587" s="70">
        <f>'RESUMEN TOTAL'!M683</f>
        <v>0</v>
      </c>
      <c r="G587" s="70">
        <f>'RESUMEN TOTAL'!N683</f>
        <v>0</v>
      </c>
      <c r="H587" s="70">
        <f>'RESUMEN TOTAL'!O683</f>
        <v>0</v>
      </c>
      <c r="I587" s="70">
        <f>'RESUMEN TOTAL'!P683</f>
        <v>0</v>
      </c>
      <c r="J587" s="70">
        <f>'RESUMEN TOTAL'!Q683</f>
        <v>0</v>
      </c>
      <c r="K587" s="70">
        <f>'RESUMEN TOTAL'!R683</f>
        <v>0</v>
      </c>
      <c r="L587" s="70">
        <f>'RESUMEN TOTAL'!S683</f>
        <v>0</v>
      </c>
      <c r="M587" s="70">
        <f>'RESUMEN TOTAL'!T683</f>
        <v>0</v>
      </c>
      <c r="N587" s="70">
        <f>'RESUMEN TOTAL'!U683</f>
        <v>0</v>
      </c>
      <c r="O587" s="70">
        <f>'RESUMEN TOTAL'!V683</f>
        <v>0</v>
      </c>
      <c r="P587" s="70">
        <f>'RESUMEN TOTAL'!W683</f>
        <v>0</v>
      </c>
      <c r="Q587" s="70">
        <f>'RESUMEN TOTAL'!X683</f>
        <v>0</v>
      </c>
      <c r="R587" s="70">
        <f>'RESUMEN TOTAL'!Y683</f>
        <v>0</v>
      </c>
      <c r="S587" s="70">
        <f>'RESUMEN TOTAL'!Z683</f>
        <v>0</v>
      </c>
      <c r="T587" s="70">
        <f>'RESUMEN TOTAL'!AA683</f>
        <v>0</v>
      </c>
      <c r="U587" s="70">
        <f>'RESUMEN TOTAL'!AB683</f>
        <v>0</v>
      </c>
      <c r="V587" s="70">
        <f>'RESUMEN TOTAL'!AC683</f>
        <v>0</v>
      </c>
      <c r="W587" s="70">
        <f>'RESUMEN TOTAL'!AD683</f>
        <v>0</v>
      </c>
      <c r="X587" s="70">
        <f>'RESUMEN TOTAL'!AE683</f>
        <v>0</v>
      </c>
      <c r="Y587" s="70">
        <f>'RESUMEN TOTAL'!AF683</f>
        <v>0</v>
      </c>
      <c r="Z587" s="70">
        <f>'RESUMEN TOTAL'!AG683</f>
        <v>0</v>
      </c>
      <c r="AA587" s="70">
        <f>'RESUMEN TOTAL'!AH683</f>
        <v>0</v>
      </c>
      <c r="AB587" s="70">
        <f>'RESUMEN TOTAL'!AI683</f>
        <v>0</v>
      </c>
      <c r="AC587" s="70">
        <f>'RESUMEN TOTAL'!AJ683</f>
        <v>0</v>
      </c>
      <c r="AD587" s="70">
        <f>'RESUMEN TOTAL'!AK683</f>
        <v>0</v>
      </c>
      <c r="AE587" s="70">
        <f>'RESUMEN TOTAL'!AL683</f>
        <v>0</v>
      </c>
      <c r="AF587" s="70">
        <f>'RESUMEN TOTAL'!AM683</f>
        <v>0</v>
      </c>
      <c r="AG587" s="70">
        <f>'RESUMEN TOTAL'!AN683</f>
        <v>0</v>
      </c>
      <c r="AH587" s="70">
        <f>'RESUMEN TOTAL'!AO683</f>
        <v>0</v>
      </c>
      <c r="AI587" s="70">
        <f>'RESUMEN TOTAL'!AP683</f>
        <v>0</v>
      </c>
    </row>
    <row r="588" spans="1:35" x14ac:dyDescent="0.25">
      <c r="A588">
        <f>'RESUMEN TOTAL'!A684</f>
        <v>0</v>
      </c>
      <c r="B588">
        <f>'RESUMEN TOTAL'!B684</f>
        <v>0</v>
      </c>
      <c r="C588">
        <f>'RESUMEN TOTAL'!D684</f>
        <v>0</v>
      </c>
      <c r="D588" s="30">
        <f>'RESUMEN TOTAL'!E684</f>
        <v>0</v>
      </c>
      <c r="E588" s="30">
        <f>'RESUMEN TOTAL'!F684</f>
        <v>0</v>
      </c>
      <c r="F588" s="70">
        <f>'RESUMEN TOTAL'!M684</f>
        <v>0</v>
      </c>
      <c r="G588" s="70">
        <f>'RESUMEN TOTAL'!N684</f>
        <v>0</v>
      </c>
      <c r="H588" s="70">
        <f>'RESUMEN TOTAL'!O684</f>
        <v>0</v>
      </c>
      <c r="I588" s="70">
        <f>'RESUMEN TOTAL'!P684</f>
        <v>0</v>
      </c>
      <c r="J588" s="70">
        <f>'RESUMEN TOTAL'!Q684</f>
        <v>0</v>
      </c>
      <c r="K588" s="70">
        <f>'RESUMEN TOTAL'!R684</f>
        <v>0</v>
      </c>
      <c r="L588" s="70">
        <f>'RESUMEN TOTAL'!S684</f>
        <v>0</v>
      </c>
      <c r="M588" s="70">
        <f>'RESUMEN TOTAL'!T684</f>
        <v>0</v>
      </c>
      <c r="N588" s="70">
        <f>'RESUMEN TOTAL'!U684</f>
        <v>0</v>
      </c>
      <c r="O588" s="70">
        <f>'RESUMEN TOTAL'!V684</f>
        <v>0</v>
      </c>
      <c r="P588" s="70">
        <f>'RESUMEN TOTAL'!W684</f>
        <v>0</v>
      </c>
      <c r="Q588" s="70">
        <f>'RESUMEN TOTAL'!X684</f>
        <v>0</v>
      </c>
      <c r="R588" s="70">
        <f>'RESUMEN TOTAL'!Y684</f>
        <v>0</v>
      </c>
      <c r="S588" s="70">
        <f>'RESUMEN TOTAL'!Z684</f>
        <v>0</v>
      </c>
      <c r="T588" s="70">
        <f>'RESUMEN TOTAL'!AA684</f>
        <v>0</v>
      </c>
      <c r="U588" s="70">
        <f>'RESUMEN TOTAL'!AB684</f>
        <v>0</v>
      </c>
      <c r="V588" s="70">
        <f>'RESUMEN TOTAL'!AC684</f>
        <v>0</v>
      </c>
      <c r="W588" s="70">
        <f>'RESUMEN TOTAL'!AD684</f>
        <v>0</v>
      </c>
      <c r="X588" s="70">
        <f>'RESUMEN TOTAL'!AE684</f>
        <v>0</v>
      </c>
      <c r="Y588" s="70">
        <f>'RESUMEN TOTAL'!AF684</f>
        <v>0</v>
      </c>
      <c r="Z588" s="70">
        <f>'RESUMEN TOTAL'!AG684</f>
        <v>0</v>
      </c>
      <c r="AA588" s="70">
        <f>'RESUMEN TOTAL'!AH684</f>
        <v>0</v>
      </c>
      <c r="AB588" s="70">
        <f>'RESUMEN TOTAL'!AI684</f>
        <v>0</v>
      </c>
      <c r="AC588" s="70">
        <f>'RESUMEN TOTAL'!AJ684</f>
        <v>0</v>
      </c>
      <c r="AD588" s="70">
        <f>'RESUMEN TOTAL'!AK684</f>
        <v>0</v>
      </c>
      <c r="AE588" s="70">
        <f>'RESUMEN TOTAL'!AL684</f>
        <v>0</v>
      </c>
      <c r="AF588" s="70">
        <f>'RESUMEN TOTAL'!AM684</f>
        <v>0</v>
      </c>
      <c r="AG588" s="70">
        <f>'RESUMEN TOTAL'!AN684</f>
        <v>0</v>
      </c>
      <c r="AH588" s="70">
        <f>'RESUMEN TOTAL'!AO684</f>
        <v>0</v>
      </c>
      <c r="AI588" s="70">
        <f>'RESUMEN TOTAL'!AP684</f>
        <v>0</v>
      </c>
    </row>
    <row r="589" spans="1:35" x14ac:dyDescent="0.25">
      <c r="A589">
        <f>'RESUMEN TOTAL'!A685</f>
        <v>0</v>
      </c>
      <c r="B589">
        <f>'RESUMEN TOTAL'!B685</f>
        <v>0</v>
      </c>
      <c r="C589">
        <f>'RESUMEN TOTAL'!D685</f>
        <v>0</v>
      </c>
      <c r="D589" s="30">
        <f>'RESUMEN TOTAL'!E685</f>
        <v>0</v>
      </c>
      <c r="E589" s="30">
        <f>'RESUMEN TOTAL'!F685</f>
        <v>0</v>
      </c>
      <c r="F589" s="70">
        <f>'RESUMEN TOTAL'!M685</f>
        <v>0</v>
      </c>
      <c r="G589" s="70">
        <f>'RESUMEN TOTAL'!N685</f>
        <v>0</v>
      </c>
      <c r="H589" s="70">
        <f>'RESUMEN TOTAL'!O685</f>
        <v>0</v>
      </c>
      <c r="I589" s="70">
        <f>'RESUMEN TOTAL'!P685</f>
        <v>0</v>
      </c>
      <c r="J589" s="70">
        <f>'RESUMEN TOTAL'!Q685</f>
        <v>0</v>
      </c>
      <c r="K589" s="70">
        <f>'RESUMEN TOTAL'!R685</f>
        <v>0</v>
      </c>
      <c r="L589" s="70">
        <f>'RESUMEN TOTAL'!S685</f>
        <v>0</v>
      </c>
      <c r="M589" s="70">
        <f>'RESUMEN TOTAL'!T685</f>
        <v>0</v>
      </c>
      <c r="N589" s="70">
        <f>'RESUMEN TOTAL'!U685</f>
        <v>0</v>
      </c>
      <c r="O589" s="70">
        <f>'RESUMEN TOTAL'!V685</f>
        <v>0</v>
      </c>
      <c r="P589" s="70">
        <f>'RESUMEN TOTAL'!W685</f>
        <v>0</v>
      </c>
      <c r="Q589" s="70">
        <f>'RESUMEN TOTAL'!X685</f>
        <v>0</v>
      </c>
      <c r="R589" s="70">
        <f>'RESUMEN TOTAL'!Y685</f>
        <v>0</v>
      </c>
      <c r="S589" s="70">
        <f>'RESUMEN TOTAL'!Z685</f>
        <v>0</v>
      </c>
      <c r="T589" s="70">
        <f>'RESUMEN TOTAL'!AA685</f>
        <v>0</v>
      </c>
      <c r="U589" s="70">
        <f>'RESUMEN TOTAL'!AB685</f>
        <v>0</v>
      </c>
      <c r="V589" s="70">
        <f>'RESUMEN TOTAL'!AC685</f>
        <v>0</v>
      </c>
      <c r="W589" s="70">
        <f>'RESUMEN TOTAL'!AD685</f>
        <v>0</v>
      </c>
      <c r="X589" s="70">
        <f>'RESUMEN TOTAL'!AE685</f>
        <v>0</v>
      </c>
      <c r="Y589" s="70">
        <f>'RESUMEN TOTAL'!AF685</f>
        <v>0</v>
      </c>
      <c r="Z589" s="70">
        <f>'RESUMEN TOTAL'!AG685</f>
        <v>0</v>
      </c>
      <c r="AA589" s="70">
        <f>'RESUMEN TOTAL'!AH685</f>
        <v>0</v>
      </c>
      <c r="AB589" s="70">
        <f>'RESUMEN TOTAL'!AI685</f>
        <v>0</v>
      </c>
      <c r="AC589" s="70">
        <f>'RESUMEN TOTAL'!AJ685</f>
        <v>0</v>
      </c>
      <c r="AD589" s="70">
        <f>'RESUMEN TOTAL'!AK685</f>
        <v>0</v>
      </c>
      <c r="AE589" s="70">
        <f>'RESUMEN TOTAL'!AL685</f>
        <v>0</v>
      </c>
      <c r="AF589" s="70">
        <f>'RESUMEN TOTAL'!AM685</f>
        <v>0</v>
      </c>
      <c r="AG589" s="70">
        <f>'RESUMEN TOTAL'!AN685</f>
        <v>0</v>
      </c>
      <c r="AH589" s="70">
        <f>'RESUMEN TOTAL'!AO685</f>
        <v>0</v>
      </c>
      <c r="AI589" s="70">
        <f>'RESUMEN TOTAL'!AP685</f>
        <v>0</v>
      </c>
    </row>
    <row r="590" spans="1:35" x14ac:dyDescent="0.25">
      <c r="A590">
        <f>'RESUMEN TOTAL'!A686</f>
        <v>0</v>
      </c>
      <c r="B590">
        <f>'RESUMEN TOTAL'!B686</f>
        <v>0</v>
      </c>
      <c r="C590">
        <f>'RESUMEN TOTAL'!D686</f>
        <v>0</v>
      </c>
      <c r="D590" s="30">
        <f>'RESUMEN TOTAL'!E686</f>
        <v>0</v>
      </c>
      <c r="E590" s="30">
        <f>'RESUMEN TOTAL'!F686</f>
        <v>0</v>
      </c>
      <c r="F590" s="70">
        <f>'RESUMEN TOTAL'!M686</f>
        <v>0</v>
      </c>
      <c r="G590" s="70">
        <f>'RESUMEN TOTAL'!N686</f>
        <v>0</v>
      </c>
      <c r="H590" s="70">
        <f>'RESUMEN TOTAL'!O686</f>
        <v>0</v>
      </c>
      <c r="I590" s="70">
        <f>'RESUMEN TOTAL'!P686</f>
        <v>0</v>
      </c>
      <c r="J590" s="70">
        <f>'RESUMEN TOTAL'!Q686</f>
        <v>0</v>
      </c>
      <c r="K590" s="70">
        <f>'RESUMEN TOTAL'!R686</f>
        <v>0</v>
      </c>
      <c r="L590" s="70">
        <f>'RESUMEN TOTAL'!S686</f>
        <v>0</v>
      </c>
      <c r="M590" s="70">
        <f>'RESUMEN TOTAL'!T686</f>
        <v>0</v>
      </c>
      <c r="N590" s="70">
        <f>'RESUMEN TOTAL'!U686</f>
        <v>0</v>
      </c>
      <c r="O590" s="70">
        <f>'RESUMEN TOTAL'!V686</f>
        <v>0</v>
      </c>
      <c r="P590" s="70">
        <f>'RESUMEN TOTAL'!W686</f>
        <v>0</v>
      </c>
      <c r="Q590" s="70">
        <f>'RESUMEN TOTAL'!X686</f>
        <v>0</v>
      </c>
      <c r="R590" s="70">
        <f>'RESUMEN TOTAL'!Y686</f>
        <v>0</v>
      </c>
      <c r="S590" s="70">
        <f>'RESUMEN TOTAL'!Z686</f>
        <v>0</v>
      </c>
      <c r="T590" s="70">
        <f>'RESUMEN TOTAL'!AA686</f>
        <v>0</v>
      </c>
      <c r="U590" s="70">
        <f>'RESUMEN TOTAL'!AB686</f>
        <v>0</v>
      </c>
      <c r="V590" s="70">
        <f>'RESUMEN TOTAL'!AC686</f>
        <v>0</v>
      </c>
      <c r="W590" s="70">
        <f>'RESUMEN TOTAL'!AD686</f>
        <v>0</v>
      </c>
      <c r="X590" s="70">
        <f>'RESUMEN TOTAL'!AE686</f>
        <v>0</v>
      </c>
      <c r="Y590" s="70">
        <f>'RESUMEN TOTAL'!AF686</f>
        <v>0</v>
      </c>
      <c r="Z590" s="70">
        <f>'RESUMEN TOTAL'!AG686</f>
        <v>0</v>
      </c>
      <c r="AA590" s="70">
        <f>'RESUMEN TOTAL'!AH686</f>
        <v>0</v>
      </c>
      <c r="AB590" s="70">
        <f>'RESUMEN TOTAL'!AI686</f>
        <v>0</v>
      </c>
      <c r="AC590" s="70">
        <f>'RESUMEN TOTAL'!AJ686</f>
        <v>0</v>
      </c>
      <c r="AD590" s="70">
        <f>'RESUMEN TOTAL'!AK686</f>
        <v>0</v>
      </c>
      <c r="AE590" s="70">
        <f>'RESUMEN TOTAL'!AL686</f>
        <v>0</v>
      </c>
      <c r="AF590" s="70">
        <f>'RESUMEN TOTAL'!AM686</f>
        <v>0</v>
      </c>
      <c r="AG590" s="70">
        <f>'RESUMEN TOTAL'!AN686</f>
        <v>0</v>
      </c>
      <c r="AH590" s="70">
        <f>'RESUMEN TOTAL'!AO686</f>
        <v>0</v>
      </c>
      <c r="AI590" s="70">
        <f>'RESUMEN TOTAL'!AP686</f>
        <v>0</v>
      </c>
    </row>
    <row r="591" spans="1:35" x14ac:dyDescent="0.25">
      <c r="A591">
        <f>'RESUMEN TOTAL'!A687</f>
        <v>0</v>
      </c>
      <c r="B591">
        <f>'RESUMEN TOTAL'!B687</f>
        <v>0</v>
      </c>
      <c r="C591">
        <f>'RESUMEN TOTAL'!D687</f>
        <v>0</v>
      </c>
      <c r="D591" s="30">
        <f>'RESUMEN TOTAL'!E687</f>
        <v>0</v>
      </c>
      <c r="E591" s="30">
        <f>'RESUMEN TOTAL'!F687</f>
        <v>0</v>
      </c>
      <c r="F591" s="70">
        <f>'RESUMEN TOTAL'!M687</f>
        <v>0</v>
      </c>
      <c r="G591" s="70">
        <f>'RESUMEN TOTAL'!N687</f>
        <v>0</v>
      </c>
      <c r="H591" s="70">
        <f>'RESUMEN TOTAL'!O687</f>
        <v>0</v>
      </c>
      <c r="I591" s="70">
        <f>'RESUMEN TOTAL'!P687</f>
        <v>0</v>
      </c>
      <c r="J591" s="70">
        <f>'RESUMEN TOTAL'!Q687</f>
        <v>0</v>
      </c>
      <c r="K591" s="70">
        <f>'RESUMEN TOTAL'!R687</f>
        <v>0</v>
      </c>
      <c r="L591" s="70">
        <f>'RESUMEN TOTAL'!S687</f>
        <v>0</v>
      </c>
      <c r="M591" s="70">
        <f>'RESUMEN TOTAL'!T687</f>
        <v>0</v>
      </c>
      <c r="N591" s="70">
        <f>'RESUMEN TOTAL'!U687</f>
        <v>0</v>
      </c>
      <c r="O591" s="70">
        <f>'RESUMEN TOTAL'!V687</f>
        <v>0</v>
      </c>
      <c r="P591" s="70">
        <f>'RESUMEN TOTAL'!W687</f>
        <v>0</v>
      </c>
      <c r="Q591" s="70">
        <f>'RESUMEN TOTAL'!X687</f>
        <v>0</v>
      </c>
      <c r="R591" s="70">
        <f>'RESUMEN TOTAL'!Y687</f>
        <v>0</v>
      </c>
      <c r="S591" s="70">
        <f>'RESUMEN TOTAL'!Z687</f>
        <v>0</v>
      </c>
      <c r="T591" s="70">
        <f>'RESUMEN TOTAL'!AA687</f>
        <v>0</v>
      </c>
      <c r="U591" s="70">
        <f>'RESUMEN TOTAL'!AB687</f>
        <v>0</v>
      </c>
      <c r="V591" s="70">
        <f>'RESUMEN TOTAL'!AC687</f>
        <v>0</v>
      </c>
      <c r="W591" s="70">
        <f>'RESUMEN TOTAL'!AD687</f>
        <v>0</v>
      </c>
      <c r="X591" s="70">
        <f>'RESUMEN TOTAL'!AE687</f>
        <v>0</v>
      </c>
      <c r="Y591" s="70">
        <f>'RESUMEN TOTAL'!AF687</f>
        <v>0</v>
      </c>
      <c r="Z591" s="70">
        <f>'RESUMEN TOTAL'!AG687</f>
        <v>0</v>
      </c>
      <c r="AA591" s="70">
        <f>'RESUMEN TOTAL'!AH687</f>
        <v>0</v>
      </c>
      <c r="AB591" s="70">
        <f>'RESUMEN TOTAL'!AI687</f>
        <v>0</v>
      </c>
      <c r="AC591" s="70">
        <f>'RESUMEN TOTAL'!AJ687</f>
        <v>0</v>
      </c>
      <c r="AD591" s="70">
        <f>'RESUMEN TOTAL'!AK687</f>
        <v>0</v>
      </c>
      <c r="AE591" s="70">
        <f>'RESUMEN TOTAL'!AL687</f>
        <v>0</v>
      </c>
      <c r="AF591" s="70">
        <f>'RESUMEN TOTAL'!AM687</f>
        <v>0</v>
      </c>
      <c r="AG591" s="70">
        <f>'RESUMEN TOTAL'!AN687</f>
        <v>0</v>
      </c>
      <c r="AH591" s="70">
        <f>'RESUMEN TOTAL'!AO687</f>
        <v>0</v>
      </c>
      <c r="AI591" s="70">
        <f>'RESUMEN TOTAL'!AP687</f>
        <v>0</v>
      </c>
    </row>
    <row r="592" spans="1:35" x14ac:dyDescent="0.25">
      <c r="A592">
        <f>'RESUMEN TOTAL'!A688</f>
        <v>0</v>
      </c>
      <c r="B592">
        <f>'RESUMEN TOTAL'!B688</f>
        <v>0</v>
      </c>
      <c r="C592">
        <f>'RESUMEN TOTAL'!D688</f>
        <v>0</v>
      </c>
      <c r="D592" s="30">
        <f>'RESUMEN TOTAL'!E688</f>
        <v>0</v>
      </c>
      <c r="E592" s="30">
        <f>'RESUMEN TOTAL'!F688</f>
        <v>0</v>
      </c>
      <c r="F592" s="70">
        <f>'RESUMEN TOTAL'!M688</f>
        <v>0</v>
      </c>
      <c r="G592" s="70">
        <f>'RESUMEN TOTAL'!N688</f>
        <v>0</v>
      </c>
      <c r="H592" s="70">
        <f>'RESUMEN TOTAL'!O688</f>
        <v>0</v>
      </c>
      <c r="I592" s="70">
        <f>'RESUMEN TOTAL'!P688</f>
        <v>0</v>
      </c>
      <c r="J592" s="70">
        <f>'RESUMEN TOTAL'!Q688</f>
        <v>0</v>
      </c>
      <c r="K592" s="70">
        <f>'RESUMEN TOTAL'!R688</f>
        <v>0</v>
      </c>
      <c r="L592" s="70">
        <f>'RESUMEN TOTAL'!S688</f>
        <v>0</v>
      </c>
      <c r="M592" s="70">
        <f>'RESUMEN TOTAL'!T688</f>
        <v>0</v>
      </c>
      <c r="N592" s="70">
        <f>'RESUMEN TOTAL'!U688</f>
        <v>0</v>
      </c>
      <c r="O592" s="70">
        <f>'RESUMEN TOTAL'!V688</f>
        <v>0</v>
      </c>
      <c r="P592" s="70">
        <f>'RESUMEN TOTAL'!W688</f>
        <v>0</v>
      </c>
      <c r="Q592" s="70">
        <f>'RESUMEN TOTAL'!X688</f>
        <v>0</v>
      </c>
      <c r="R592" s="70">
        <f>'RESUMEN TOTAL'!Y688</f>
        <v>0</v>
      </c>
      <c r="S592" s="70">
        <f>'RESUMEN TOTAL'!Z688</f>
        <v>0</v>
      </c>
      <c r="T592" s="70">
        <f>'RESUMEN TOTAL'!AA688</f>
        <v>0</v>
      </c>
      <c r="U592" s="70">
        <f>'RESUMEN TOTAL'!AB688</f>
        <v>0</v>
      </c>
      <c r="V592" s="70">
        <f>'RESUMEN TOTAL'!AC688</f>
        <v>0</v>
      </c>
      <c r="W592" s="70">
        <f>'RESUMEN TOTAL'!AD688</f>
        <v>0</v>
      </c>
      <c r="X592" s="70">
        <f>'RESUMEN TOTAL'!AE688</f>
        <v>0</v>
      </c>
      <c r="Y592" s="70">
        <f>'RESUMEN TOTAL'!AF688</f>
        <v>0</v>
      </c>
      <c r="Z592" s="70">
        <f>'RESUMEN TOTAL'!AG688</f>
        <v>0</v>
      </c>
      <c r="AA592" s="70">
        <f>'RESUMEN TOTAL'!AH688</f>
        <v>0</v>
      </c>
      <c r="AB592" s="70">
        <f>'RESUMEN TOTAL'!AI688</f>
        <v>0</v>
      </c>
      <c r="AC592" s="70">
        <f>'RESUMEN TOTAL'!AJ688</f>
        <v>0</v>
      </c>
      <c r="AD592" s="70">
        <f>'RESUMEN TOTAL'!AK688</f>
        <v>0</v>
      </c>
      <c r="AE592" s="70">
        <f>'RESUMEN TOTAL'!AL688</f>
        <v>0</v>
      </c>
      <c r="AF592" s="70">
        <f>'RESUMEN TOTAL'!AM688</f>
        <v>0</v>
      </c>
      <c r="AG592" s="70">
        <f>'RESUMEN TOTAL'!AN688</f>
        <v>0</v>
      </c>
      <c r="AH592" s="70">
        <f>'RESUMEN TOTAL'!AO688</f>
        <v>0</v>
      </c>
      <c r="AI592" s="70">
        <f>'RESUMEN TOTAL'!AP688</f>
        <v>0</v>
      </c>
    </row>
    <row r="593" spans="1:35" x14ac:dyDescent="0.25">
      <c r="A593">
        <f>'RESUMEN TOTAL'!A689</f>
        <v>0</v>
      </c>
      <c r="B593">
        <f>'RESUMEN TOTAL'!B689</f>
        <v>0</v>
      </c>
      <c r="C593">
        <f>'RESUMEN TOTAL'!D689</f>
        <v>0</v>
      </c>
      <c r="D593" s="30">
        <f>'RESUMEN TOTAL'!E689</f>
        <v>0</v>
      </c>
      <c r="E593" s="30">
        <f>'RESUMEN TOTAL'!F689</f>
        <v>0</v>
      </c>
      <c r="F593" s="70">
        <f>'RESUMEN TOTAL'!M689</f>
        <v>0</v>
      </c>
      <c r="G593" s="70">
        <f>'RESUMEN TOTAL'!N689</f>
        <v>0</v>
      </c>
      <c r="H593" s="70">
        <f>'RESUMEN TOTAL'!O689</f>
        <v>0</v>
      </c>
      <c r="I593" s="70">
        <f>'RESUMEN TOTAL'!P689</f>
        <v>0</v>
      </c>
      <c r="J593" s="70">
        <f>'RESUMEN TOTAL'!Q689</f>
        <v>0</v>
      </c>
      <c r="K593" s="70">
        <f>'RESUMEN TOTAL'!R689</f>
        <v>0</v>
      </c>
      <c r="L593" s="70">
        <f>'RESUMEN TOTAL'!S689</f>
        <v>0</v>
      </c>
      <c r="M593" s="70">
        <f>'RESUMEN TOTAL'!T689</f>
        <v>0</v>
      </c>
      <c r="N593" s="70">
        <f>'RESUMEN TOTAL'!U689</f>
        <v>0</v>
      </c>
      <c r="O593" s="70">
        <f>'RESUMEN TOTAL'!V689</f>
        <v>0</v>
      </c>
      <c r="P593" s="70">
        <f>'RESUMEN TOTAL'!W689</f>
        <v>0</v>
      </c>
      <c r="Q593" s="70">
        <f>'RESUMEN TOTAL'!X689</f>
        <v>0</v>
      </c>
      <c r="R593" s="70">
        <f>'RESUMEN TOTAL'!Y689</f>
        <v>0</v>
      </c>
      <c r="S593" s="70">
        <f>'RESUMEN TOTAL'!Z689</f>
        <v>0</v>
      </c>
      <c r="T593" s="70">
        <f>'RESUMEN TOTAL'!AA689</f>
        <v>0</v>
      </c>
      <c r="U593" s="70">
        <f>'RESUMEN TOTAL'!AB689</f>
        <v>0</v>
      </c>
      <c r="V593" s="70">
        <f>'RESUMEN TOTAL'!AC689</f>
        <v>0</v>
      </c>
      <c r="W593" s="70">
        <f>'RESUMEN TOTAL'!AD689</f>
        <v>0</v>
      </c>
      <c r="X593" s="70">
        <f>'RESUMEN TOTAL'!AE689</f>
        <v>0</v>
      </c>
      <c r="Y593" s="70">
        <f>'RESUMEN TOTAL'!AF689</f>
        <v>0</v>
      </c>
      <c r="Z593" s="70">
        <f>'RESUMEN TOTAL'!AG689</f>
        <v>0</v>
      </c>
      <c r="AA593" s="70">
        <f>'RESUMEN TOTAL'!AH689</f>
        <v>0</v>
      </c>
      <c r="AB593" s="70">
        <f>'RESUMEN TOTAL'!AI689</f>
        <v>0</v>
      </c>
      <c r="AC593" s="70">
        <f>'RESUMEN TOTAL'!AJ689</f>
        <v>0</v>
      </c>
      <c r="AD593" s="70">
        <f>'RESUMEN TOTAL'!AK689</f>
        <v>0</v>
      </c>
      <c r="AE593" s="70">
        <f>'RESUMEN TOTAL'!AL689</f>
        <v>0</v>
      </c>
      <c r="AF593" s="70">
        <f>'RESUMEN TOTAL'!AM689</f>
        <v>0</v>
      </c>
      <c r="AG593" s="70">
        <f>'RESUMEN TOTAL'!AN689</f>
        <v>0</v>
      </c>
      <c r="AH593" s="70">
        <f>'RESUMEN TOTAL'!AO689</f>
        <v>0</v>
      </c>
      <c r="AI593" s="70">
        <f>'RESUMEN TOTAL'!AP689</f>
        <v>0</v>
      </c>
    </row>
    <row r="594" spans="1:35" x14ac:dyDescent="0.25">
      <c r="A594">
        <f>'RESUMEN TOTAL'!A690</f>
        <v>0</v>
      </c>
      <c r="B594">
        <f>'RESUMEN TOTAL'!B690</f>
        <v>0</v>
      </c>
      <c r="C594">
        <f>'RESUMEN TOTAL'!D690</f>
        <v>0</v>
      </c>
      <c r="D594" s="30">
        <f>'RESUMEN TOTAL'!E690</f>
        <v>0</v>
      </c>
      <c r="E594" s="30">
        <f>'RESUMEN TOTAL'!F690</f>
        <v>0</v>
      </c>
      <c r="F594" s="70">
        <f>'RESUMEN TOTAL'!M690</f>
        <v>0</v>
      </c>
      <c r="G594" s="70">
        <f>'RESUMEN TOTAL'!N690</f>
        <v>0</v>
      </c>
      <c r="H594" s="70">
        <f>'RESUMEN TOTAL'!O690</f>
        <v>0</v>
      </c>
      <c r="I594" s="70">
        <f>'RESUMEN TOTAL'!P690</f>
        <v>0</v>
      </c>
      <c r="J594" s="70">
        <f>'RESUMEN TOTAL'!Q690</f>
        <v>0</v>
      </c>
      <c r="K594" s="70">
        <f>'RESUMEN TOTAL'!R690</f>
        <v>0</v>
      </c>
      <c r="L594" s="70">
        <f>'RESUMEN TOTAL'!S690</f>
        <v>0</v>
      </c>
      <c r="M594" s="70">
        <f>'RESUMEN TOTAL'!T690</f>
        <v>0</v>
      </c>
      <c r="N594" s="70">
        <f>'RESUMEN TOTAL'!U690</f>
        <v>0</v>
      </c>
      <c r="O594" s="70">
        <f>'RESUMEN TOTAL'!V690</f>
        <v>0</v>
      </c>
      <c r="P594" s="70">
        <f>'RESUMEN TOTAL'!W690</f>
        <v>0</v>
      </c>
      <c r="Q594" s="70">
        <f>'RESUMEN TOTAL'!X690</f>
        <v>0</v>
      </c>
      <c r="R594" s="70">
        <f>'RESUMEN TOTAL'!Y690</f>
        <v>0</v>
      </c>
      <c r="S594" s="70">
        <f>'RESUMEN TOTAL'!Z690</f>
        <v>0</v>
      </c>
      <c r="T594" s="70">
        <f>'RESUMEN TOTAL'!AA690</f>
        <v>0</v>
      </c>
      <c r="U594" s="70">
        <f>'RESUMEN TOTAL'!AB690</f>
        <v>0</v>
      </c>
      <c r="V594" s="70">
        <f>'RESUMEN TOTAL'!AC690</f>
        <v>0</v>
      </c>
      <c r="W594" s="70">
        <f>'RESUMEN TOTAL'!AD690</f>
        <v>0</v>
      </c>
      <c r="X594" s="70">
        <f>'RESUMEN TOTAL'!AE690</f>
        <v>0</v>
      </c>
      <c r="Y594" s="70">
        <f>'RESUMEN TOTAL'!AF690</f>
        <v>0</v>
      </c>
      <c r="Z594" s="70">
        <f>'RESUMEN TOTAL'!AG690</f>
        <v>0</v>
      </c>
      <c r="AA594" s="70">
        <f>'RESUMEN TOTAL'!AH690</f>
        <v>0</v>
      </c>
      <c r="AB594" s="70">
        <f>'RESUMEN TOTAL'!AI690</f>
        <v>0</v>
      </c>
      <c r="AC594" s="70">
        <f>'RESUMEN TOTAL'!AJ690</f>
        <v>0</v>
      </c>
      <c r="AD594" s="70">
        <f>'RESUMEN TOTAL'!AK690</f>
        <v>0</v>
      </c>
      <c r="AE594" s="70">
        <f>'RESUMEN TOTAL'!AL690</f>
        <v>0</v>
      </c>
      <c r="AF594" s="70">
        <f>'RESUMEN TOTAL'!AM690</f>
        <v>0</v>
      </c>
      <c r="AG594" s="70">
        <f>'RESUMEN TOTAL'!AN690</f>
        <v>0</v>
      </c>
      <c r="AH594" s="70">
        <f>'RESUMEN TOTAL'!AO690</f>
        <v>0</v>
      </c>
      <c r="AI594" s="70">
        <f>'RESUMEN TOTAL'!AP690</f>
        <v>0</v>
      </c>
    </row>
    <row r="595" spans="1:35" x14ac:dyDescent="0.25">
      <c r="A595">
        <f>'RESUMEN TOTAL'!A691</f>
        <v>0</v>
      </c>
      <c r="B595">
        <f>'RESUMEN TOTAL'!B691</f>
        <v>0</v>
      </c>
      <c r="C595">
        <f>'RESUMEN TOTAL'!D691</f>
        <v>0</v>
      </c>
      <c r="D595" s="30">
        <f>'RESUMEN TOTAL'!E691</f>
        <v>0</v>
      </c>
      <c r="E595" s="30">
        <f>'RESUMEN TOTAL'!F691</f>
        <v>0</v>
      </c>
      <c r="F595" s="70">
        <f>'RESUMEN TOTAL'!M691</f>
        <v>0</v>
      </c>
      <c r="G595" s="70">
        <f>'RESUMEN TOTAL'!N691</f>
        <v>0</v>
      </c>
      <c r="H595" s="70">
        <f>'RESUMEN TOTAL'!O691</f>
        <v>0</v>
      </c>
      <c r="I595" s="70">
        <f>'RESUMEN TOTAL'!P691</f>
        <v>0</v>
      </c>
      <c r="J595" s="70">
        <f>'RESUMEN TOTAL'!Q691</f>
        <v>0</v>
      </c>
      <c r="K595" s="70">
        <f>'RESUMEN TOTAL'!R691</f>
        <v>0</v>
      </c>
      <c r="L595" s="70">
        <f>'RESUMEN TOTAL'!S691</f>
        <v>0</v>
      </c>
      <c r="M595" s="70">
        <f>'RESUMEN TOTAL'!T691</f>
        <v>0</v>
      </c>
      <c r="N595" s="70">
        <f>'RESUMEN TOTAL'!U691</f>
        <v>0</v>
      </c>
      <c r="O595" s="70">
        <f>'RESUMEN TOTAL'!V691</f>
        <v>0</v>
      </c>
      <c r="P595" s="70">
        <f>'RESUMEN TOTAL'!W691</f>
        <v>0</v>
      </c>
      <c r="Q595" s="70">
        <f>'RESUMEN TOTAL'!X691</f>
        <v>0</v>
      </c>
      <c r="R595" s="70">
        <f>'RESUMEN TOTAL'!Y691</f>
        <v>0</v>
      </c>
      <c r="S595" s="70">
        <f>'RESUMEN TOTAL'!Z691</f>
        <v>0</v>
      </c>
      <c r="T595" s="70">
        <f>'RESUMEN TOTAL'!AA691</f>
        <v>0</v>
      </c>
      <c r="U595" s="70">
        <f>'RESUMEN TOTAL'!AB691</f>
        <v>0</v>
      </c>
      <c r="V595" s="70">
        <f>'RESUMEN TOTAL'!AC691</f>
        <v>0</v>
      </c>
      <c r="W595" s="70">
        <f>'RESUMEN TOTAL'!AD691</f>
        <v>0</v>
      </c>
      <c r="X595" s="70">
        <f>'RESUMEN TOTAL'!AE691</f>
        <v>0</v>
      </c>
      <c r="Y595" s="70">
        <f>'RESUMEN TOTAL'!AF691</f>
        <v>0</v>
      </c>
      <c r="Z595" s="70">
        <f>'RESUMEN TOTAL'!AG691</f>
        <v>0</v>
      </c>
      <c r="AA595" s="70">
        <f>'RESUMEN TOTAL'!AH691</f>
        <v>0</v>
      </c>
      <c r="AB595" s="70">
        <f>'RESUMEN TOTAL'!AI691</f>
        <v>0</v>
      </c>
      <c r="AC595" s="70">
        <f>'RESUMEN TOTAL'!AJ691</f>
        <v>0</v>
      </c>
      <c r="AD595" s="70">
        <f>'RESUMEN TOTAL'!AK691</f>
        <v>0</v>
      </c>
      <c r="AE595" s="70">
        <f>'RESUMEN TOTAL'!AL691</f>
        <v>0</v>
      </c>
      <c r="AF595" s="70">
        <f>'RESUMEN TOTAL'!AM691</f>
        <v>0</v>
      </c>
      <c r="AG595" s="70">
        <f>'RESUMEN TOTAL'!AN691</f>
        <v>0</v>
      </c>
      <c r="AH595" s="70">
        <f>'RESUMEN TOTAL'!AO691</f>
        <v>0</v>
      </c>
      <c r="AI595" s="70">
        <f>'RESUMEN TOTAL'!AP691</f>
        <v>0</v>
      </c>
    </row>
    <row r="596" spans="1:35" x14ac:dyDescent="0.25">
      <c r="A596">
        <f>'RESUMEN TOTAL'!A692</f>
        <v>0</v>
      </c>
      <c r="B596">
        <f>'RESUMEN TOTAL'!B692</f>
        <v>0</v>
      </c>
      <c r="C596">
        <f>'RESUMEN TOTAL'!D692</f>
        <v>0</v>
      </c>
      <c r="D596" s="30">
        <f>'RESUMEN TOTAL'!E692</f>
        <v>0</v>
      </c>
      <c r="E596" s="30">
        <f>'RESUMEN TOTAL'!F692</f>
        <v>0</v>
      </c>
      <c r="F596" s="70">
        <f>'RESUMEN TOTAL'!M692</f>
        <v>0</v>
      </c>
      <c r="G596" s="70">
        <f>'RESUMEN TOTAL'!N692</f>
        <v>0</v>
      </c>
      <c r="H596" s="70">
        <f>'RESUMEN TOTAL'!O692</f>
        <v>0</v>
      </c>
      <c r="I596" s="70">
        <f>'RESUMEN TOTAL'!P692</f>
        <v>0</v>
      </c>
      <c r="J596" s="70">
        <f>'RESUMEN TOTAL'!Q692</f>
        <v>0</v>
      </c>
      <c r="K596" s="70">
        <f>'RESUMEN TOTAL'!R692</f>
        <v>0</v>
      </c>
      <c r="L596" s="70">
        <f>'RESUMEN TOTAL'!S692</f>
        <v>0</v>
      </c>
      <c r="M596" s="70">
        <f>'RESUMEN TOTAL'!T692</f>
        <v>0</v>
      </c>
      <c r="N596" s="70">
        <f>'RESUMEN TOTAL'!U692</f>
        <v>0</v>
      </c>
      <c r="O596" s="70">
        <f>'RESUMEN TOTAL'!V692</f>
        <v>0</v>
      </c>
      <c r="P596" s="70">
        <f>'RESUMEN TOTAL'!W692</f>
        <v>0</v>
      </c>
      <c r="Q596" s="70">
        <f>'RESUMEN TOTAL'!X692</f>
        <v>0</v>
      </c>
      <c r="R596" s="70">
        <f>'RESUMEN TOTAL'!Y692</f>
        <v>0</v>
      </c>
      <c r="S596" s="70">
        <f>'RESUMEN TOTAL'!Z692</f>
        <v>0</v>
      </c>
      <c r="T596" s="70">
        <f>'RESUMEN TOTAL'!AA692</f>
        <v>0</v>
      </c>
      <c r="U596" s="70">
        <f>'RESUMEN TOTAL'!AB692</f>
        <v>0</v>
      </c>
      <c r="V596" s="70">
        <f>'RESUMEN TOTAL'!AC692</f>
        <v>0</v>
      </c>
      <c r="W596" s="70">
        <f>'RESUMEN TOTAL'!AD692</f>
        <v>0</v>
      </c>
      <c r="X596" s="70">
        <f>'RESUMEN TOTAL'!AE692</f>
        <v>0</v>
      </c>
      <c r="Y596" s="70">
        <f>'RESUMEN TOTAL'!AF692</f>
        <v>0</v>
      </c>
      <c r="Z596" s="70">
        <f>'RESUMEN TOTAL'!AG692</f>
        <v>0</v>
      </c>
      <c r="AA596" s="70">
        <f>'RESUMEN TOTAL'!AH692</f>
        <v>0</v>
      </c>
      <c r="AB596" s="70">
        <f>'RESUMEN TOTAL'!AI692</f>
        <v>0</v>
      </c>
      <c r="AC596" s="70">
        <f>'RESUMEN TOTAL'!AJ692</f>
        <v>0</v>
      </c>
      <c r="AD596" s="70">
        <f>'RESUMEN TOTAL'!AK692</f>
        <v>0</v>
      </c>
      <c r="AE596" s="70">
        <f>'RESUMEN TOTAL'!AL692</f>
        <v>0</v>
      </c>
      <c r="AF596" s="70">
        <f>'RESUMEN TOTAL'!AM692</f>
        <v>0</v>
      </c>
      <c r="AG596" s="70">
        <f>'RESUMEN TOTAL'!AN692</f>
        <v>0</v>
      </c>
      <c r="AH596" s="70">
        <f>'RESUMEN TOTAL'!AO692</f>
        <v>0</v>
      </c>
      <c r="AI596" s="70">
        <f>'RESUMEN TOTAL'!AP692</f>
        <v>0</v>
      </c>
    </row>
    <row r="597" spans="1:35" x14ac:dyDescent="0.25">
      <c r="A597">
        <f>'RESUMEN TOTAL'!A693</f>
        <v>0</v>
      </c>
      <c r="B597">
        <f>'RESUMEN TOTAL'!B693</f>
        <v>0</v>
      </c>
      <c r="C597">
        <f>'RESUMEN TOTAL'!D693</f>
        <v>0</v>
      </c>
      <c r="D597" s="30">
        <f>'RESUMEN TOTAL'!E693</f>
        <v>0</v>
      </c>
      <c r="E597" s="30">
        <f>'RESUMEN TOTAL'!F693</f>
        <v>0</v>
      </c>
      <c r="F597" s="70">
        <f>'RESUMEN TOTAL'!M693</f>
        <v>0</v>
      </c>
      <c r="G597" s="70">
        <f>'RESUMEN TOTAL'!N693</f>
        <v>0</v>
      </c>
      <c r="H597" s="70">
        <f>'RESUMEN TOTAL'!O693</f>
        <v>0</v>
      </c>
      <c r="I597" s="70">
        <f>'RESUMEN TOTAL'!P693</f>
        <v>0</v>
      </c>
      <c r="J597" s="70">
        <f>'RESUMEN TOTAL'!Q693</f>
        <v>0</v>
      </c>
      <c r="K597" s="70">
        <f>'RESUMEN TOTAL'!R693</f>
        <v>0</v>
      </c>
      <c r="L597" s="70">
        <f>'RESUMEN TOTAL'!S693</f>
        <v>0</v>
      </c>
      <c r="M597" s="70">
        <f>'RESUMEN TOTAL'!T693</f>
        <v>0</v>
      </c>
      <c r="N597" s="70">
        <f>'RESUMEN TOTAL'!U693</f>
        <v>0</v>
      </c>
      <c r="O597" s="70">
        <f>'RESUMEN TOTAL'!V693</f>
        <v>0</v>
      </c>
      <c r="P597" s="70">
        <f>'RESUMEN TOTAL'!W693</f>
        <v>0</v>
      </c>
      <c r="Q597" s="70">
        <f>'RESUMEN TOTAL'!X693</f>
        <v>0</v>
      </c>
      <c r="R597" s="70">
        <f>'RESUMEN TOTAL'!Y693</f>
        <v>0</v>
      </c>
      <c r="S597" s="70">
        <f>'RESUMEN TOTAL'!Z693</f>
        <v>0</v>
      </c>
      <c r="T597" s="70">
        <f>'RESUMEN TOTAL'!AA693</f>
        <v>0</v>
      </c>
      <c r="U597" s="70">
        <f>'RESUMEN TOTAL'!AB693</f>
        <v>0</v>
      </c>
      <c r="V597" s="70">
        <f>'RESUMEN TOTAL'!AC693</f>
        <v>0</v>
      </c>
      <c r="W597" s="70">
        <f>'RESUMEN TOTAL'!AD693</f>
        <v>0</v>
      </c>
      <c r="X597" s="70">
        <f>'RESUMEN TOTAL'!AE693</f>
        <v>0</v>
      </c>
      <c r="Y597" s="70">
        <f>'RESUMEN TOTAL'!AF693</f>
        <v>0</v>
      </c>
      <c r="Z597" s="70">
        <f>'RESUMEN TOTAL'!AG693</f>
        <v>0</v>
      </c>
      <c r="AA597" s="70">
        <f>'RESUMEN TOTAL'!AH693</f>
        <v>0</v>
      </c>
      <c r="AB597" s="70">
        <f>'RESUMEN TOTAL'!AI693</f>
        <v>0</v>
      </c>
      <c r="AC597" s="70">
        <f>'RESUMEN TOTAL'!AJ693</f>
        <v>0</v>
      </c>
      <c r="AD597" s="70">
        <f>'RESUMEN TOTAL'!AK693</f>
        <v>0</v>
      </c>
      <c r="AE597" s="70">
        <f>'RESUMEN TOTAL'!AL693</f>
        <v>0</v>
      </c>
      <c r="AF597" s="70">
        <f>'RESUMEN TOTAL'!AM693</f>
        <v>0</v>
      </c>
      <c r="AG597" s="70">
        <f>'RESUMEN TOTAL'!AN693</f>
        <v>0</v>
      </c>
      <c r="AH597" s="70">
        <f>'RESUMEN TOTAL'!AO693</f>
        <v>0</v>
      </c>
      <c r="AI597" s="70">
        <f>'RESUMEN TOTAL'!AP693</f>
        <v>0</v>
      </c>
    </row>
    <row r="598" spans="1:35" x14ac:dyDescent="0.25">
      <c r="A598">
        <f>'RESUMEN TOTAL'!A694</f>
        <v>0</v>
      </c>
      <c r="B598">
        <f>'RESUMEN TOTAL'!B694</f>
        <v>0</v>
      </c>
      <c r="C598">
        <f>'RESUMEN TOTAL'!D694</f>
        <v>0</v>
      </c>
      <c r="D598" s="30">
        <f>'RESUMEN TOTAL'!E694</f>
        <v>0</v>
      </c>
      <c r="E598" s="30">
        <f>'RESUMEN TOTAL'!F694</f>
        <v>0</v>
      </c>
      <c r="F598" s="70">
        <f>'RESUMEN TOTAL'!M694</f>
        <v>0</v>
      </c>
      <c r="G598" s="70">
        <f>'RESUMEN TOTAL'!N694</f>
        <v>0</v>
      </c>
      <c r="H598" s="70">
        <f>'RESUMEN TOTAL'!O694</f>
        <v>0</v>
      </c>
      <c r="I598" s="70">
        <f>'RESUMEN TOTAL'!P694</f>
        <v>0</v>
      </c>
      <c r="J598" s="70">
        <f>'RESUMEN TOTAL'!Q694</f>
        <v>0</v>
      </c>
      <c r="K598" s="70">
        <f>'RESUMEN TOTAL'!R694</f>
        <v>0</v>
      </c>
      <c r="L598" s="70">
        <f>'RESUMEN TOTAL'!S694</f>
        <v>0</v>
      </c>
      <c r="M598" s="70">
        <f>'RESUMEN TOTAL'!T694</f>
        <v>0</v>
      </c>
      <c r="N598" s="70">
        <f>'RESUMEN TOTAL'!U694</f>
        <v>0</v>
      </c>
      <c r="O598" s="70">
        <f>'RESUMEN TOTAL'!V694</f>
        <v>0</v>
      </c>
      <c r="P598" s="70">
        <f>'RESUMEN TOTAL'!W694</f>
        <v>0</v>
      </c>
      <c r="Q598" s="70">
        <f>'RESUMEN TOTAL'!X694</f>
        <v>0</v>
      </c>
      <c r="R598" s="70">
        <f>'RESUMEN TOTAL'!Y694</f>
        <v>0</v>
      </c>
      <c r="S598" s="70">
        <f>'RESUMEN TOTAL'!Z694</f>
        <v>0</v>
      </c>
      <c r="T598" s="70">
        <f>'RESUMEN TOTAL'!AA694</f>
        <v>0</v>
      </c>
      <c r="U598" s="70">
        <f>'RESUMEN TOTAL'!AB694</f>
        <v>0</v>
      </c>
      <c r="V598" s="70">
        <f>'RESUMEN TOTAL'!AC694</f>
        <v>0</v>
      </c>
      <c r="W598" s="70">
        <f>'RESUMEN TOTAL'!AD694</f>
        <v>0</v>
      </c>
      <c r="X598" s="70">
        <f>'RESUMEN TOTAL'!AE694</f>
        <v>0</v>
      </c>
      <c r="Y598" s="70">
        <f>'RESUMEN TOTAL'!AF694</f>
        <v>0</v>
      </c>
      <c r="Z598" s="70">
        <f>'RESUMEN TOTAL'!AG694</f>
        <v>0</v>
      </c>
      <c r="AA598" s="70">
        <f>'RESUMEN TOTAL'!AH694</f>
        <v>0</v>
      </c>
      <c r="AB598" s="70">
        <f>'RESUMEN TOTAL'!AI694</f>
        <v>0</v>
      </c>
      <c r="AC598" s="70">
        <f>'RESUMEN TOTAL'!AJ694</f>
        <v>0</v>
      </c>
      <c r="AD598" s="70">
        <f>'RESUMEN TOTAL'!AK694</f>
        <v>0</v>
      </c>
      <c r="AE598" s="70">
        <f>'RESUMEN TOTAL'!AL694</f>
        <v>0</v>
      </c>
      <c r="AF598" s="70">
        <f>'RESUMEN TOTAL'!AM694</f>
        <v>0</v>
      </c>
      <c r="AG598" s="70">
        <f>'RESUMEN TOTAL'!AN694</f>
        <v>0</v>
      </c>
      <c r="AH598" s="70">
        <f>'RESUMEN TOTAL'!AO694</f>
        <v>0</v>
      </c>
      <c r="AI598" s="70">
        <f>'RESUMEN TOTAL'!AP694</f>
        <v>0</v>
      </c>
    </row>
    <row r="599" spans="1:35" x14ac:dyDescent="0.25">
      <c r="A599">
        <f>'RESUMEN TOTAL'!A695</f>
        <v>0</v>
      </c>
      <c r="B599">
        <f>'RESUMEN TOTAL'!B695</f>
        <v>0</v>
      </c>
      <c r="C599">
        <f>'RESUMEN TOTAL'!D695</f>
        <v>0</v>
      </c>
      <c r="D599" s="30">
        <f>'RESUMEN TOTAL'!E695</f>
        <v>0</v>
      </c>
      <c r="E599" s="30">
        <f>'RESUMEN TOTAL'!F695</f>
        <v>0</v>
      </c>
      <c r="F599" s="70">
        <f>'RESUMEN TOTAL'!M695</f>
        <v>0</v>
      </c>
      <c r="G599" s="70">
        <f>'RESUMEN TOTAL'!N695</f>
        <v>0</v>
      </c>
      <c r="H599" s="70">
        <f>'RESUMEN TOTAL'!O695</f>
        <v>0</v>
      </c>
      <c r="I599" s="70">
        <f>'RESUMEN TOTAL'!P695</f>
        <v>0</v>
      </c>
      <c r="J599" s="70">
        <f>'RESUMEN TOTAL'!Q695</f>
        <v>0</v>
      </c>
      <c r="K599" s="70">
        <f>'RESUMEN TOTAL'!R695</f>
        <v>0</v>
      </c>
      <c r="L599" s="70">
        <f>'RESUMEN TOTAL'!S695</f>
        <v>0</v>
      </c>
      <c r="M599" s="70">
        <f>'RESUMEN TOTAL'!T695</f>
        <v>0</v>
      </c>
      <c r="N599" s="70">
        <f>'RESUMEN TOTAL'!U695</f>
        <v>0</v>
      </c>
      <c r="O599" s="70">
        <f>'RESUMEN TOTAL'!V695</f>
        <v>0</v>
      </c>
      <c r="P599" s="70">
        <f>'RESUMEN TOTAL'!W695</f>
        <v>0</v>
      </c>
      <c r="Q599" s="70">
        <f>'RESUMEN TOTAL'!X695</f>
        <v>0</v>
      </c>
      <c r="R599" s="70">
        <f>'RESUMEN TOTAL'!Y695</f>
        <v>0</v>
      </c>
      <c r="S599" s="70">
        <f>'RESUMEN TOTAL'!Z695</f>
        <v>0</v>
      </c>
      <c r="T599" s="70">
        <f>'RESUMEN TOTAL'!AA695</f>
        <v>0</v>
      </c>
      <c r="U599" s="70">
        <f>'RESUMEN TOTAL'!AB695</f>
        <v>0</v>
      </c>
      <c r="V599" s="70">
        <f>'RESUMEN TOTAL'!AC695</f>
        <v>0</v>
      </c>
      <c r="W599" s="70">
        <f>'RESUMEN TOTAL'!AD695</f>
        <v>0</v>
      </c>
      <c r="X599" s="70">
        <f>'RESUMEN TOTAL'!AE695</f>
        <v>0</v>
      </c>
      <c r="Y599" s="70">
        <f>'RESUMEN TOTAL'!AF695</f>
        <v>0</v>
      </c>
      <c r="Z599" s="70">
        <f>'RESUMEN TOTAL'!AG695</f>
        <v>0</v>
      </c>
      <c r="AA599" s="70">
        <f>'RESUMEN TOTAL'!AH695</f>
        <v>0</v>
      </c>
      <c r="AB599" s="70">
        <f>'RESUMEN TOTAL'!AI695</f>
        <v>0</v>
      </c>
      <c r="AC599" s="70">
        <f>'RESUMEN TOTAL'!AJ695</f>
        <v>0</v>
      </c>
      <c r="AD599" s="70">
        <f>'RESUMEN TOTAL'!AK695</f>
        <v>0</v>
      </c>
      <c r="AE599" s="70">
        <f>'RESUMEN TOTAL'!AL695</f>
        <v>0</v>
      </c>
      <c r="AF599" s="70">
        <f>'RESUMEN TOTAL'!AM695</f>
        <v>0</v>
      </c>
      <c r="AG599" s="70">
        <f>'RESUMEN TOTAL'!AN695</f>
        <v>0</v>
      </c>
      <c r="AH599" s="70">
        <f>'RESUMEN TOTAL'!AO695</f>
        <v>0</v>
      </c>
      <c r="AI599" s="70">
        <f>'RESUMEN TOTAL'!AP695</f>
        <v>0</v>
      </c>
    </row>
    <row r="600" spans="1:35" x14ac:dyDescent="0.25">
      <c r="A600">
        <f>'RESUMEN TOTAL'!A696</f>
        <v>0</v>
      </c>
      <c r="B600">
        <f>'RESUMEN TOTAL'!B696</f>
        <v>0</v>
      </c>
      <c r="C600">
        <f>'RESUMEN TOTAL'!D696</f>
        <v>0</v>
      </c>
      <c r="D600" s="30">
        <f>'RESUMEN TOTAL'!E696</f>
        <v>0</v>
      </c>
      <c r="E600" s="30">
        <f>'RESUMEN TOTAL'!F696</f>
        <v>0</v>
      </c>
      <c r="F600" s="70">
        <f>'RESUMEN TOTAL'!M696</f>
        <v>0</v>
      </c>
      <c r="G600" s="70">
        <f>'RESUMEN TOTAL'!N696</f>
        <v>0</v>
      </c>
      <c r="H600" s="70">
        <f>'RESUMEN TOTAL'!O696</f>
        <v>0</v>
      </c>
      <c r="I600" s="70">
        <f>'RESUMEN TOTAL'!P696</f>
        <v>0</v>
      </c>
      <c r="J600" s="70">
        <f>'RESUMEN TOTAL'!Q696</f>
        <v>0</v>
      </c>
      <c r="K600" s="70">
        <f>'RESUMEN TOTAL'!R696</f>
        <v>0</v>
      </c>
      <c r="L600" s="70">
        <f>'RESUMEN TOTAL'!S696</f>
        <v>0</v>
      </c>
      <c r="M600" s="70">
        <f>'RESUMEN TOTAL'!T696</f>
        <v>0</v>
      </c>
      <c r="N600" s="70">
        <f>'RESUMEN TOTAL'!U696</f>
        <v>0</v>
      </c>
      <c r="O600" s="70">
        <f>'RESUMEN TOTAL'!V696</f>
        <v>0</v>
      </c>
      <c r="P600" s="70">
        <f>'RESUMEN TOTAL'!W696</f>
        <v>0</v>
      </c>
      <c r="Q600" s="70">
        <f>'RESUMEN TOTAL'!X696</f>
        <v>0</v>
      </c>
      <c r="R600" s="70">
        <f>'RESUMEN TOTAL'!Y696</f>
        <v>0</v>
      </c>
      <c r="S600" s="70">
        <f>'RESUMEN TOTAL'!Z696</f>
        <v>0</v>
      </c>
      <c r="T600" s="70">
        <f>'RESUMEN TOTAL'!AA696</f>
        <v>0</v>
      </c>
      <c r="U600" s="70">
        <f>'RESUMEN TOTAL'!AB696</f>
        <v>0</v>
      </c>
      <c r="V600" s="70">
        <f>'RESUMEN TOTAL'!AC696</f>
        <v>0</v>
      </c>
      <c r="W600" s="70">
        <f>'RESUMEN TOTAL'!AD696</f>
        <v>0</v>
      </c>
      <c r="X600" s="70">
        <f>'RESUMEN TOTAL'!AE696</f>
        <v>0</v>
      </c>
      <c r="Y600" s="70">
        <f>'RESUMEN TOTAL'!AF696</f>
        <v>0</v>
      </c>
      <c r="Z600" s="70">
        <f>'RESUMEN TOTAL'!AG696</f>
        <v>0</v>
      </c>
      <c r="AA600" s="70">
        <f>'RESUMEN TOTAL'!AH696</f>
        <v>0</v>
      </c>
      <c r="AB600" s="70">
        <f>'RESUMEN TOTAL'!AI696</f>
        <v>0</v>
      </c>
      <c r="AC600" s="70">
        <f>'RESUMEN TOTAL'!AJ696</f>
        <v>0</v>
      </c>
      <c r="AD600" s="70">
        <f>'RESUMEN TOTAL'!AK696</f>
        <v>0</v>
      </c>
      <c r="AE600" s="70">
        <f>'RESUMEN TOTAL'!AL696</f>
        <v>0</v>
      </c>
      <c r="AF600" s="70">
        <f>'RESUMEN TOTAL'!AM696</f>
        <v>0</v>
      </c>
      <c r="AG600" s="70">
        <f>'RESUMEN TOTAL'!AN696</f>
        <v>0</v>
      </c>
      <c r="AH600" s="70">
        <f>'RESUMEN TOTAL'!AO696</f>
        <v>0</v>
      </c>
      <c r="AI600" s="70">
        <f>'RESUMEN TOTAL'!AP696</f>
        <v>0</v>
      </c>
    </row>
    <row r="601" spans="1:35" x14ac:dyDescent="0.25">
      <c r="A601">
        <f>'RESUMEN TOTAL'!A697</f>
        <v>0</v>
      </c>
      <c r="B601">
        <f>'RESUMEN TOTAL'!B697</f>
        <v>0</v>
      </c>
      <c r="C601">
        <f>'RESUMEN TOTAL'!D697</f>
        <v>0</v>
      </c>
      <c r="D601" s="30">
        <f>'RESUMEN TOTAL'!E697</f>
        <v>0</v>
      </c>
      <c r="E601" s="30">
        <f>'RESUMEN TOTAL'!F697</f>
        <v>0</v>
      </c>
      <c r="F601" s="70">
        <f>'RESUMEN TOTAL'!M697</f>
        <v>0</v>
      </c>
      <c r="G601" s="70">
        <f>'RESUMEN TOTAL'!N697</f>
        <v>0</v>
      </c>
      <c r="H601" s="70">
        <f>'RESUMEN TOTAL'!O697</f>
        <v>0</v>
      </c>
      <c r="I601" s="70">
        <f>'RESUMEN TOTAL'!P697</f>
        <v>0</v>
      </c>
      <c r="J601" s="70">
        <f>'RESUMEN TOTAL'!Q697</f>
        <v>0</v>
      </c>
      <c r="K601" s="70">
        <f>'RESUMEN TOTAL'!R697</f>
        <v>0</v>
      </c>
      <c r="L601" s="70">
        <f>'RESUMEN TOTAL'!S697</f>
        <v>0</v>
      </c>
      <c r="M601" s="70">
        <f>'RESUMEN TOTAL'!T697</f>
        <v>0</v>
      </c>
      <c r="N601" s="70">
        <f>'RESUMEN TOTAL'!U697</f>
        <v>0</v>
      </c>
      <c r="O601" s="70">
        <f>'RESUMEN TOTAL'!V697</f>
        <v>0</v>
      </c>
      <c r="P601" s="70">
        <f>'RESUMEN TOTAL'!W697</f>
        <v>0</v>
      </c>
      <c r="Q601" s="70">
        <f>'RESUMEN TOTAL'!X697</f>
        <v>0</v>
      </c>
      <c r="R601" s="70">
        <f>'RESUMEN TOTAL'!Y697</f>
        <v>0</v>
      </c>
      <c r="S601" s="70">
        <f>'RESUMEN TOTAL'!Z697</f>
        <v>0</v>
      </c>
      <c r="T601" s="70">
        <f>'RESUMEN TOTAL'!AA697</f>
        <v>0</v>
      </c>
      <c r="U601" s="70">
        <f>'RESUMEN TOTAL'!AB697</f>
        <v>0</v>
      </c>
      <c r="V601" s="70">
        <f>'RESUMEN TOTAL'!AC697</f>
        <v>0</v>
      </c>
      <c r="W601" s="70">
        <f>'RESUMEN TOTAL'!AD697</f>
        <v>0</v>
      </c>
      <c r="X601" s="70">
        <f>'RESUMEN TOTAL'!AE697</f>
        <v>0</v>
      </c>
      <c r="Y601" s="70">
        <f>'RESUMEN TOTAL'!AF697</f>
        <v>0</v>
      </c>
      <c r="Z601" s="70">
        <f>'RESUMEN TOTAL'!AG697</f>
        <v>0</v>
      </c>
      <c r="AA601" s="70">
        <f>'RESUMEN TOTAL'!AH697</f>
        <v>0</v>
      </c>
      <c r="AB601" s="70">
        <f>'RESUMEN TOTAL'!AI697</f>
        <v>0</v>
      </c>
      <c r="AC601" s="70">
        <f>'RESUMEN TOTAL'!AJ697</f>
        <v>0</v>
      </c>
      <c r="AD601" s="70">
        <f>'RESUMEN TOTAL'!AK697</f>
        <v>0</v>
      </c>
      <c r="AE601" s="70">
        <f>'RESUMEN TOTAL'!AL697</f>
        <v>0</v>
      </c>
      <c r="AF601" s="70">
        <f>'RESUMEN TOTAL'!AM697</f>
        <v>0</v>
      </c>
      <c r="AG601" s="70">
        <f>'RESUMEN TOTAL'!AN697</f>
        <v>0</v>
      </c>
      <c r="AH601" s="70">
        <f>'RESUMEN TOTAL'!AO697</f>
        <v>0</v>
      </c>
      <c r="AI601" s="70">
        <f>'RESUMEN TOTAL'!AP697</f>
        <v>0</v>
      </c>
    </row>
    <row r="602" spans="1:35" x14ac:dyDescent="0.25">
      <c r="A602">
        <f>'RESUMEN TOTAL'!A698</f>
        <v>0</v>
      </c>
      <c r="B602">
        <f>'RESUMEN TOTAL'!B698</f>
        <v>0</v>
      </c>
      <c r="C602">
        <f>'RESUMEN TOTAL'!D698</f>
        <v>0</v>
      </c>
      <c r="D602" s="30">
        <f>'RESUMEN TOTAL'!E698</f>
        <v>0</v>
      </c>
      <c r="E602" s="30">
        <f>'RESUMEN TOTAL'!F698</f>
        <v>0</v>
      </c>
      <c r="F602" s="70">
        <f>'RESUMEN TOTAL'!M698</f>
        <v>0</v>
      </c>
      <c r="G602" s="70">
        <f>'RESUMEN TOTAL'!N698</f>
        <v>0</v>
      </c>
      <c r="H602" s="70">
        <f>'RESUMEN TOTAL'!O698</f>
        <v>0</v>
      </c>
      <c r="I602" s="70">
        <f>'RESUMEN TOTAL'!P698</f>
        <v>0</v>
      </c>
      <c r="J602" s="70">
        <f>'RESUMEN TOTAL'!Q698</f>
        <v>0</v>
      </c>
      <c r="K602" s="70">
        <f>'RESUMEN TOTAL'!R698</f>
        <v>0</v>
      </c>
      <c r="L602" s="70">
        <f>'RESUMEN TOTAL'!S698</f>
        <v>0</v>
      </c>
      <c r="M602" s="70">
        <f>'RESUMEN TOTAL'!T698</f>
        <v>0</v>
      </c>
      <c r="N602" s="70">
        <f>'RESUMEN TOTAL'!U698</f>
        <v>0</v>
      </c>
      <c r="O602" s="70">
        <f>'RESUMEN TOTAL'!V698</f>
        <v>0</v>
      </c>
      <c r="P602" s="70">
        <f>'RESUMEN TOTAL'!W698</f>
        <v>0</v>
      </c>
      <c r="Q602" s="70">
        <f>'RESUMEN TOTAL'!X698</f>
        <v>0</v>
      </c>
      <c r="R602" s="70">
        <f>'RESUMEN TOTAL'!Y698</f>
        <v>0</v>
      </c>
      <c r="S602" s="70">
        <f>'RESUMEN TOTAL'!Z698</f>
        <v>0</v>
      </c>
      <c r="T602" s="70">
        <f>'RESUMEN TOTAL'!AA698</f>
        <v>0</v>
      </c>
      <c r="U602" s="70">
        <f>'RESUMEN TOTAL'!AB698</f>
        <v>0</v>
      </c>
      <c r="V602" s="70">
        <f>'RESUMEN TOTAL'!AC698</f>
        <v>0</v>
      </c>
      <c r="W602" s="70">
        <f>'RESUMEN TOTAL'!AD698</f>
        <v>0</v>
      </c>
      <c r="X602" s="70">
        <f>'RESUMEN TOTAL'!AE698</f>
        <v>0</v>
      </c>
      <c r="Y602" s="70">
        <f>'RESUMEN TOTAL'!AF698</f>
        <v>0</v>
      </c>
      <c r="Z602" s="70">
        <f>'RESUMEN TOTAL'!AG698</f>
        <v>0</v>
      </c>
      <c r="AA602" s="70">
        <f>'RESUMEN TOTAL'!AH698</f>
        <v>0</v>
      </c>
      <c r="AB602" s="70">
        <f>'RESUMEN TOTAL'!AI698</f>
        <v>0</v>
      </c>
      <c r="AC602" s="70">
        <f>'RESUMEN TOTAL'!AJ698</f>
        <v>0</v>
      </c>
      <c r="AD602" s="70">
        <f>'RESUMEN TOTAL'!AK698</f>
        <v>0</v>
      </c>
      <c r="AE602" s="70">
        <f>'RESUMEN TOTAL'!AL698</f>
        <v>0</v>
      </c>
      <c r="AF602" s="70">
        <f>'RESUMEN TOTAL'!AM698</f>
        <v>0</v>
      </c>
      <c r="AG602" s="70">
        <f>'RESUMEN TOTAL'!AN698</f>
        <v>0</v>
      </c>
      <c r="AH602" s="70">
        <f>'RESUMEN TOTAL'!AO698</f>
        <v>0</v>
      </c>
      <c r="AI602" s="70">
        <f>'RESUMEN TOTAL'!AP698</f>
        <v>0</v>
      </c>
    </row>
    <row r="603" spans="1:35" x14ac:dyDescent="0.25">
      <c r="A603">
        <f>'RESUMEN TOTAL'!A699</f>
        <v>0</v>
      </c>
      <c r="B603">
        <f>'RESUMEN TOTAL'!B699</f>
        <v>0</v>
      </c>
      <c r="C603">
        <f>'RESUMEN TOTAL'!D699</f>
        <v>0</v>
      </c>
      <c r="D603" s="30">
        <f>'RESUMEN TOTAL'!E699</f>
        <v>0</v>
      </c>
      <c r="E603" s="30">
        <f>'RESUMEN TOTAL'!F699</f>
        <v>0</v>
      </c>
      <c r="F603" s="70">
        <f>'RESUMEN TOTAL'!M699</f>
        <v>0</v>
      </c>
      <c r="G603" s="70">
        <f>'RESUMEN TOTAL'!N699</f>
        <v>0</v>
      </c>
      <c r="H603" s="70">
        <f>'RESUMEN TOTAL'!O699</f>
        <v>0</v>
      </c>
      <c r="I603" s="70">
        <f>'RESUMEN TOTAL'!P699</f>
        <v>0</v>
      </c>
      <c r="J603" s="70">
        <f>'RESUMEN TOTAL'!Q699</f>
        <v>0</v>
      </c>
      <c r="K603" s="70">
        <f>'RESUMEN TOTAL'!R699</f>
        <v>0</v>
      </c>
      <c r="L603" s="70">
        <f>'RESUMEN TOTAL'!S699</f>
        <v>0</v>
      </c>
      <c r="M603" s="70">
        <f>'RESUMEN TOTAL'!T699</f>
        <v>0</v>
      </c>
      <c r="N603" s="70">
        <f>'RESUMEN TOTAL'!U699</f>
        <v>0</v>
      </c>
      <c r="O603" s="70">
        <f>'RESUMEN TOTAL'!V699</f>
        <v>0</v>
      </c>
      <c r="P603" s="70">
        <f>'RESUMEN TOTAL'!W699</f>
        <v>0</v>
      </c>
      <c r="Q603" s="70">
        <f>'RESUMEN TOTAL'!X699</f>
        <v>0</v>
      </c>
      <c r="R603" s="70">
        <f>'RESUMEN TOTAL'!Y699</f>
        <v>0</v>
      </c>
      <c r="S603" s="70">
        <f>'RESUMEN TOTAL'!Z699</f>
        <v>0</v>
      </c>
      <c r="T603" s="70">
        <f>'RESUMEN TOTAL'!AA699</f>
        <v>0</v>
      </c>
      <c r="U603" s="70">
        <f>'RESUMEN TOTAL'!AB699</f>
        <v>0</v>
      </c>
      <c r="V603" s="70">
        <f>'RESUMEN TOTAL'!AC699</f>
        <v>0</v>
      </c>
      <c r="W603" s="70">
        <f>'RESUMEN TOTAL'!AD699</f>
        <v>0</v>
      </c>
      <c r="X603" s="70">
        <f>'RESUMEN TOTAL'!AE699</f>
        <v>0</v>
      </c>
      <c r="Y603" s="70">
        <f>'RESUMEN TOTAL'!AF699</f>
        <v>0</v>
      </c>
      <c r="Z603" s="70">
        <f>'RESUMEN TOTAL'!AG699</f>
        <v>0</v>
      </c>
      <c r="AA603" s="70">
        <f>'RESUMEN TOTAL'!AH699</f>
        <v>0</v>
      </c>
      <c r="AB603" s="70">
        <f>'RESUMEN TOTAL'!AI699</f>
        <v>0</v>
      </c>
      <c r="AC603" s="70">
        <f>'RESUMEN TOTAL'!AJ699</f>
        <v>0</v>
      </c>
      <c r="AD603" s="70">
        <f>'RESUMEN TOTAL'!AK699</f>
        <v>0</v>
      </c>
      <c r="AE603" s="70">
        <f>'RESUMEN TOTAL'!AL699</f>
        <v>0</v>
      </c>
      <c r="AF603" s="70">
        <f>'RESUMEN TOTAL'!AM699</f>
        <v>0</v>
      </c>
      <c r="AG603" s="70">
        <f>'RESUMEN TOTAL'!AN699</f>
        <v>0</v>
      </c>
      <c r="AH603" s="70">
        <f>'RESUMEN TOTAL'!AO699</f>
        <v>0</v>
      </c>
      <c r="AI603" s="70">
        <f>'RESUMEN TOTAL'!AP699</f>
        <v>0</v>
      </c>
    </row>
    <row r="604" spans="1:35" x14ac:dyDescent="0.25">
      <c r="A604">
        <f>'RESUMEN TOTAL'!A700</f>
        <v>0</v>
      </c>
      <c r="B604">
        <f>'RESUMEN TOTAL'!B700</f>
        <v>0</v>
      </c>
      <c r="C604">
        <f>'RESUMEN TOTAL'!D700</f>
        <v>0</v>
      </c>
      <c r="D604" s="30">
        <f>'RESUMEN TOTAL'!E700</f>
        <v>0</v>
      </c>
      <c r="E604" s="30">
        <f>'RESUMEN TOTAL'!F700</f>
        <v>0</v>
      </c>
      <c r="F604" s="70">
        <f>'RESUMEN TOTAL'!M700</f>
        <v>0</v>
      </c>
      <c r="G604" s="70">
        <f>'RESUMEN TOTAL'!N700</f>
        <v>0</v>
      </c>
      <c r="H604" s="70">
        <f>'RESUMEN TOTAL'!O700</f>
        <v>0</v>
      </c>
      <c r="I604" s="70">
        <f>'RESUMEN TOTAL'!P700</f>
        <v>0</v>
      </c>
      <c r="J604" s="70">
        <f>'RESUMEN TOTAL'!Q700</f>
        <v>0</v>
      </c>
      <c r="K604" s="70">
        <f>'RESUMEN TOTAL'!R700</f>
        <v>0</v>
      </c>
      <c r="L604" s="70">
        <f>'RESUMEN TOTAL'!S700</f>
        <v>0</v>
      </c>
      <c r="M604" s="70">
        <f>'RESUMEN TOTAL'!T700</f>
        <v>0</v>
      </c>
      <c r="N604" s="70">
        <f>'RESUMEN TOTAL'!U700</f>
        <v>0</v>
      </c>
      <c r="O604" s="70">
        <f>'RESUMEN TOTAL'!V700</f>
        <v>0</v>
      </c>
      <c r="P604" s="70">
        <f>'RESUMEN TOTAL'!W700</f>
        <v>0</v>
      </c>
      <c r="Q604" s="70">
        <f>'RESUMEN TOTAL'!X700</f>
        <v>0</v>
      </c>
      <c r="R604" s="70">
        <f>'RESUMEN TOTAL'!Y700</f>
        <v>0</v>
      </c>
      <c r="S604" s="70">
        <f>'RESUMEN TOTAL'!Z700</f>
        <v>0</v>
      </c>
      <c r="T604" s="70">
        <f>'RESUMEN TOTAL'!AA700</f>
        <v>0</v>
      </c>
      <c r="U604" s="70">
        <f>'RESUMEN TOTAL'!AB700</f>
        <v>0</v>
      </c>
      <c r="V604" s="70">
        <f>'RESUMEN TOTAL'!AC700</f>
        <v>0</v>
      </c>
      <c r="W604" s="70">
        <f>'RESUMEN TOTAL'!AD700</f>
        <v>0</v>
      </c>
      <c r="X604" s="70">
        <f>'RESUMEN TOTAL'!AE700</f>
        <v>0</v>
      </c>
      <c r="Y604" s="70">
        <f>'RESUMEN TOTAL'!AF700</f>
        <v>0</v>
      </c>
      <c r="Z604" s="70">
        <f>'RESUMEN TOTAL'!AG700</f>
        <v>0</v>
      </c>
      <c r="AA604" s="70">
        <f>'RESUMEN TOTAL'!AH700</f>
        <v>0</v>
      </c>
      <c r="AB604" s="70">
        <f>'RESUMEN TOTAL'!AI700</f>
        <v>0</v>
      </c>
      <c r="AC604" s="70">
        <f>'RESUMEN TOTAL'!AJ700</f>
        <v>0</v>
      </c>
      <c r="AD604" s="70">
        <f>'RESUMEN TOTAL'!AK700</f>
        <v>0</v>
      </c>
      <c r="AE604" s="70">
        <f>'RESUMEN TOTAL'!AL700</f>
        <v>0</v>
      </c>
      <c r="AF604" s="70">
        <f>'RESUMEN TOTAL'!AM700</f>
        <v>0</v>
      </c>
      <c r="AG604" s="70">
        <f>'RESUMEN TOTAL'!AN700</f>
        <v>0</v>
      </c>
      <c r="AH604" s="70">
        <f>'RESUMEN TOTAL'!AO700</f>
        <v>0</v>
      </c>
      <c r="AI604" s="70">
        <f>'RESUMEN TOTAL'!AP700</f>
        <v>0</v>
      </c>
    </row>
    <row r="605" spans="1:35" x14ac:dyDescent="0.25">
      <c r="A605">
        <f>'RESUMEN TOTAL'!A701</f>
        <v>0</v>
      </c>
      <c r="B605">
        <f>'RESUMEN TOTAL'!B701</f>
        <v>0</v>
      </c>
      <c r="C605">
        <f>'RESUMEN TOTAL'!D701</f>
        <v>0</v>
      </c>
      <c r="D605" s="30">
        <f>'RESUMEN TOTAL'!E701</f>
        <v>0</v>
      </c>
      <c r="E605" s="30">
        <f>'RESUMEN TOTAL'!F701</f>
        <v>0</v>
      </c>
      <c r="F605" s="70">
        <f>'RESUMEN TOTAL'!M701</f>
        <v>0</v>
      </c>
      <c r="G605" s="70">
        <f>'RESUMEN TOTAL'!N701</f>
        <v>0</v>
      </c>
      <c r="H605" s="70">
        <f>'RESUMEN TOTAL'!O701</f>
        <v>0</v>
      </c>
      <c r="I605" s="70">
        <f>'RESUMEN TOTAL'!P701</f>
        <v>0</v>
      </c>
      <c r="J605" s="70">
        <f>'RESUMEN TOTAL'!Q701</f>
        <v>0</v>
      </c>
      <c r="K605" s="70">
        <f>'RESUMEN TOTAL'!R701</f>
        <v>0</v>
      </c>
      <c r="L605" s="70">
        <f>'RESUMEN TOTAL'!S701</f>
        <v>0</v>
      </c>
      <c r="M605" s="70">
        <f>'RESUMEN TOTAL'!T701</f>
        <v>0</v>
      </c>
      <c r="N605" s="70">
        <f>'RESUMEN TOTAL'!U701</f>
        <v>0</v>
      </c>
      <c r="O605" s="70">
        <f>'RESUMEN TOTAL'!V701</f>
        <v>0</v>
      </c>
      <c r="P605" s="70">
        <f>'RESUMEN TOTAL'!W701</f>
        <v>0</v>
      </c>
      <c r="Q605" s="70">
        <f>'RESUMEN TOTAL'!X701</f>
        <v>0</v>
      </c>
      <c r="R605" s="70">
        <f>'RESUMEN TOTAL'!Y701</f>
        <v>0</v>
      </c>
      <c r="S605" s="70">
        <f>'RESUMEN TOTAL'!Z701</f>
        <v>0</v>
      </c>
      <c r="T605" s="70">
        <f>'RESUMEN TOTAL'!AA701</f>
        <v>0</v>
      </c>
      <c r="U605" s="70">
        <f>'RESUMEN TOTAL'!AB701</f>
        <v>0</v>
      </c>
      <c r="V605" s="70">
        <f>'RESUMEN TOTAL'!AC701</f>
        <v>0</v>
      </c>
      <c r="W605" s="70">
        <f>'RESUMEN TOTAL'!AD701</f>
        <v>0</v>
      </c>
      <c r="X605" s="70">
        <f>'RESUMEN TOTAL'!AE701</f>
        <v>0</v>
      </c>
      <c r="Y605" s="70">
        <f>'RESUMEN TOTAL'!AF701</f>
        <v>0</v>
      </c>
      <c r="Z605" s="70">
        <f>'RESUMEN TOTAL'!AG701</f>
        <v>0</v>
      </c>
      <c r="AA605" s="70">
        <f>'RESUMEN TOTAL'!AH701</f>
        <v>0</v>
      </c>
      <c r="AB605" s="70">
        <f>'RESUMEN TOTAL'!AI701</f>
        <v>0</v>
      </c>
      <c r="AC605" s="70">
        <f>'RESUMEN TOTAL'!AJ701</f>
        <v>0</v>
      </c>
      <c r="AD605" s="70">
        <f>'RESUMEN TOTAL'!AK701</f>
        <v>0</v>
      </c>
      <c r="AE605" s="70">
        <f>'RESUMEN TOTAL'!AL701</f>
        <v>0</v>
      </c>
      <c r="AF605" s="70">
        <f>'RESUMEN TOTAL'!AM701</f>
        <v>0</v>
      </c>
      <c r="AG605" s="70">
        <f>'RESUMEN TOTAL'!AN701</f>
        <v>0</v>
      </c>
      <c r="AH605" s="70">
        <f>'RESUMEN TOTAL'!AO701</f>
        <v>0</v>
      </c>
      <c r="AI605" s="70">
        <f>'RESUMEN TOTAL'!AP701</f>
        <v>0</v>
      </c>
    </row>
    <row r="606" spans="1:35" x14ac:dyDescent="0.25">
      <c r="A606">
        <f>'RESUMEN TOTAL'!A702</f>
        <v>0</v>
      </c>
      <c r="B606">
        <f>'RESUMEN TOTAL'!B702</f>
        <v>0</v>
      </c>
      <c r="C606">
        <f>'RESUMEN TOTAL'!D702</f>
        <v>0</v>
      </c>
      <c r="D606" s="30">
        <f>'RESUMEN TOTAL'!E702</f>
        <v>0</v>
      </c>
      <c r="E606" s="30">
        <f>'RESUMEN TOTAL'!F702</f>
        <v>0</v>
      </c>
      <c r="F606" s="70">
        <f>'RESUMEN TOTAL'!M702</f>
        <v>0</v>
      </c>
      <c r="G606" s="70">
        <f>'RESUMEN TOTAL'!N702</f>
        <v>0</v>
      </c>
      <c r="H606" s="70">
        <f>'RESUMEN TOTAL'!O702</f>
        <v>0</v>
      </c>
      <c r="I606" s="70">
        <f>'RESUMEN TOTAL'!P702</f>
        <v>0</v>
      </c>
      <c r="J606" s="70">
        <f>'RESUMEN TOTAL'!Q702</f>
        <v>0</v>
      </c>
      <c r="K606" s="70">
        <f>'RESUMEN TOTAL'!R702</f>
        <v>0</v>
      </c>
      <c r="L606" s="70">
        <f>'RESUMEN TOTAL'!S702</f>
        <v>0</v>
      </c>
      <c r="M606" s="70">
        <f>'RESUMEN TOTAL'!T702</f>
        <v>0</v>
      </c>
      <c r="N606" s="70">
        <f>'RESUMEN TOTAL'!U702</f>
        <v>0</v>
      </c>
      <c r="O606" s="70">
        <f>'RESUMEN TOTAL'!V702</f>
        <v>0</v>
      </c>
      <c r="P606" s="70">
        <f>'RESUMEN TOTAL'!W702</f>
        <v>0</v>
      </c>
      <c r="Q606" s="70">
        <f>'RESUMEN TOTAL'!X702</f>
        <v>0</v>
      </c>
      <c r="R606" s="70">
        <f>'RESUMEN TOTAL'!Y702</f>
        <v>0</v>
      </c>
      <c r="S606" s="70">
        <f>'RESUMEN TOTAL'!Z702</f>
        <v>0</v>
      </c>
      <c r="T606" s="70">
        <f>'RESUMEN TOTAL'!AA702</f>
        <v>0</v>
      </c>
      <c r="U606" s="70">
        <f>'RESUMEN TOTAL'!AB702</f>
        <v>0</v>
      </c>
      <c r="V606" s="70">
        <f>'RESUMEN TOTAL'!AC702</f>
        <v>0</v>
      </c>
      <c r="W606" s="70">
        <f>'RESUMEN TOTAL'!AD702</f>
        <v>0</v>
      </c>
      <c r="X606" s="70">
        <f>'RESUMEN TOTAL'!AE702</f>
        <v>0</v>
      </c>
      <c r="Y606" s="70">
        <f>'RESUMEN TOTAL'!AF702</f>
        <v>0</v>
      </c>
      <c r="Z606" s="70">
        <f>'RESUMEN TOTAL'!AG702</f>
        <v>0</v>
      </c>
      <c r="AA606" s="70">
        <f>'RESUMEN TOTAL'!AH702</f>
        <v>0</v>
      </c>
      <c r="AB606" s="70">
        <f>'RESUMEN TOTAL'!AI702</f>
        <v>0</v>
      </c>
      <c r="AC606" s="70">
        <f>'RESUMEN TOTAL'!AJ702</f>
        <v>0</v>
      </c>
      <c r="AD606" s="70">
        <f>'RESUMEN TOTAL'!AK702</f>
        <v>0</v>
      </c>
      <c r="AE606" s="70">
        <f>'RESUMEN TOTAL'!AL702</f>
        <v>0</v>
      </c>
      <c r="AF606" s="70">
        <f>'RESUMEN TOTAL'!AM702</f>
        <v>0</v>
      </c>
      <c r="AG606" s="70">
        <f>'RESUMEN TOTAL'!AN702</f>
        <v>0</v>
      </c>
      <c r="AH606" s="70">
        <f>'RESUMEN TOTAL'!AO702</f>
        <v>0</v>
      </c>
      <c r="AI606" s="70">
        <f>'RESUMEN TOTAL'!AP702</f>
        <v>0</v>
      </c>
    </row>
    <row r="607" spans="1:35" x14ac:dyDescent="0.25">
      <c r="A607">
        <f>'RESUMEN TOTAL'!A703</f>
        <v>0</v>
      </c>
      <c r="B607">
        <f>'RESUMEN TOTAL'!B703</f>
        <v>0</v>
      </c>
      <c r="C607">
        <f>'RESUMEN TOTAL'!D703</f>
        <v>0</v>
      </c>
      <c r="D607" s="30">
        <f>'RESUMEN TOTAL'!E703</f>
        <v>0</v>
      </c>
      <c r="E607" s="30">
        <f>'RESUMEN TOTAL'!F703</f>
        <v>0</v>
      </c>
      <c r="F607" s="70">
        <f>'RESUMEN TOTAL'!M703</f>
        <v>0</v>
      </c>
      <c r="G607" s="70">
        <f>'RESUMEN TOTAL'!N703</f>
        <v>0</v>
      </c>
      <c r="H607" s="70">
        <f>'RESUMEN TOTAL'!O703</f>
        <v>0</v>
      </c>
      <c r="I607" s="70">
        <f>'RESUMEN TOTAL'!P703</f>
        <v>0</v>
      </c>
      <c r="J607" s="70">
        <f>'RESUMEN TOTAL'!Q703</f>
        <v>0</v>
      </c>
      <c r="K607" s="70">
        <f>'RESUMEN TOTAL'!R703</f>
        <v>0</v>
      </c>
      <c r="L607" s="70">
        <f>'RESUMEN TOTAL'!S703</f>
        <v>0</v>
      </c>
      <c r="M607" s="70">
        <f>'RESUMEN TOTAL'!T703</f>
        <v>0</v>
      </c>
      <c r="N607" s="70">
        <f>'RESUMEN TOTAL'!U703</f>
        <v>0</v>
      </c>
      <c r="O607" s="70">
        <f>'RESUMEN TOTAL'!V703</f>
        <v>0</v>
      </c>
      <c r="P607" s="70">
        <f>'RESUMEN TOTAL'!W703</f>
        <v>0</v>
      </c>
      <c r="Q607" s="70">
        <f>'RESUMEN TOTAL'!X703</f>
        <v>0</v>
      </c>
      <c r="R607" s="70">
        <f>'RESUMEN TOTAL'!Y703</f>
        <v>0</v>
      </c>
      <c r="S607" s="70">
        <f>'RESUMEN TOTAL'!Z703</f>
        <v>0</v>
      </c>
      <c r="T607" s="70">
        <f>'RESUMEN TOTAL'!AA703</f>
        <v>0</v>
      </c>
      <c r="U607" s="70">
        <f>'RESUMEN TOTAL'!AB703</f>
        <v>0</v>
      </c>
      <c r="V607" s="70">
        <f>'RESUMEN TOTAL'!AC703</f>
        <v>0</v>
      </c>
      <c r="W607" s="70">
        <f>'RESUMEN TOTAL'!AD703</f>
        <v>0</v>
      </c>
      <c r="X607" s="70">
        <f>'RESUMEN TOTAL'!AE703</f>
        <v>0</v>
      </c>
      <c r="Y607" s="70">
        <f>'RESUMEN TOTAL'!AF703</f>
        <v>0</v>
      </c>
      <c r="Z607" s="70">
        <f>'RESUMEN TOTAL'!AG703</f>
        <v>0</v>
      </c>
      <c r="AA607" s="70">
        <f>'RESUMEN TOTAL'!AH703</f>
        <v>0</v>
      </c>
      <c r="AB607" s="70">
        <f>'RESUMEN TOTAL'!AI703</f>
        <v>0</v>
      </c>
      <c r="AC607" s="70">
        <f>'RESUMEN TOTAL'!AJ703</f>
        <v>0</v>
      </c>
      <c r="AD607" s="70">
        <f>'RESUMEN TOTAL'!AK703</f>
        <v>0</v>
      </c>
      <c r="AE607" s="70">
        <f>'RESUMEN TOTAL'!AL703</f>
        <v>0</v>
      </c>
      <c r="AF607" s="70">
        <f>'RESUMEN TOTAL'!AM703</f>
        <v>0</v>
      </c>
      <c r="AG607" s="70">
        <f>'RESUMEN TOTAL'!AN703</f>
        <v>0</v>
      </c>
      <c r="AH607" s="70">
        <f>'RESUMEN TOTAL'!AO703</f>
        <v>0</v>
      </c>
      <c r="AI607" s="70">
        <f>'RESUMEN TOTAL'!AP703</f>
        <v>0</v>
      </c>
    </row>
    <row r="608" spans="1:35" x14ac:dyDescent="0.25">
      <c r="A608">
        <f>'RESUMEN TOTAL'!A704</f>
        <v>0</v>
      </c>
      <c r="B608">
        <f>'RESUMEN TOTAL'!B704</f>
        <v>0</v>
      </c>
      <c r="C608">
        <f>'RESUMEN TOTAL'!D704</f>
        <v>0</v>
      </c>
      <c r="D608" s="30">
        <f>'RESUMEN TOTAL'!E704</f>
        <v>0</v>
      </c>
      <c r="E608" s="30">
        <f>'RESUMEN TOTAL'!F704</f>
        <v>0</v>
      </c>
      <c r="F608" s="70">
        <f>'RESUMEN TOTAL'!M704</f>
        <v>0</v>
      </c>
      <c r="G608" s="70">
        <f>'RESUMEN TOTAL'!N704</f>
        <v>0</v>
      </c>
      <c r="H608" s="70">
        <f>'RESUMEN TOTAL'!O704</f>
        <v>0</v>
      </c>
      <c r="I608" s="70">
        <f>'RESUMEN TOTAL'!P704</f>
        <v>0</v>
      </c>
      <c r="J608" s="70">
        <f>'RESUMEN TOTAL'!Q704</f>
        <v>0</v>
      </c>
      <c r="K608" s="70">
        <f>'RESUMEN TOTAL'!R704</f>
        <v>0</v>
      </c>
      <c r="L608" s="70">
        <f>'RESUMEN TOTAL'!S704</f>
        <v>0</v>
      </c>
      <c r="M608" s="70">
        <f>'RESUMEN TOTAL'!T704</f>
        <v>0</v>
      </c>
      <c r="N608" s="70">
        <f>'RESUMEN TOTAL'!U704</f>
        <v>0</v>
      </c>
      <c r="O608" s="70">
        <f>'RESUMEN TOTAL'!V704</f>
        <v>0</v>
      </c>
      <c r="P608" s="70">
        <f>'RESUMEN TOTAL'!W704</f>
        <v>0</v>
      </c>
      <c r="Q608" s="70">
        <f>'RESUMEN TOTAL'!X704</f>
        <v>0</v>
      </c>
      <c r="R608" s="70">
        <f>'RESUMEN TOTAL'!Y704</f>
        <v>0</v>
      </c>
      <c r="S608" s="70">
        <f>'RESUMEN TOTAL'!Z704</f>
        <v>0</v>
      </c>
      <c r="T608" s="70">
        <f>'RESUMEN TOTAL'!AA704</f>
        <v>0</v>
      </c>
      <c r="U608" s="70">
        <f>'RESUMEN TOTAL'!AB704</f>
        <v>0</v>
      </c>
      <c r="V608" s="70">
        <f>'RESUMEN TOTAL'!AC704</f>
        <v>0</v>
      </c>
      <c r="W608" s="70">
        <f>'RESUMEN TOTAL'!AD704</f>
        <v>0</v>
      </c>
      <c r="X608" s="70">
        <f>'RESUMEN TOTAL'!AE704</f>
        <v>0</v>
      </c>
      <c r="Y608" s="70">
        <f>'RESUMEN TOTAL'!AF704</f>
        <v>0</v>
      </c>
      <c r="Z608" s="70">
        <f>'RESUMEN TOTAL'!AG704</f>
        <v>0</v>
      </c>
      <c r="AA608" s="70">
        <f>'RESUMEN TOTAL'!AH704</f>
        <v>0</v>
      </c>
      <c r="AB608" s="70">
        <f>'RESUMEN TOTAL'!AI704</f>
        <v>0</v>
      </c>
      <c r="AC608" s="70">
        <f>'RESUMEN TOTAL'!AJ704</f>
        <v>0</v>
      </c>
      <c r="AD608" s="70">
        <f>'RESUMEN TOTAL'!AK704</f>
        <v>0</v>
      </c>
      <c r="AE608" s="70">
        <f>'RESUMEN TOTAL'!AL704</f>
        <v>0</v>
      </c>
      <c r="AF608" s="70">
        <f>'RESUMEN TOTAL'!AM704</f>
        <v>0</v>
      </c>
      <c r="AG608" s="70">
        <f>'RESUMEN TOTAL'!AN704</f>
        <v>0</v>
      </c>
      <c r="AH608" s="70">
        <f>'RESUMEN TOTAL'!AO704</f>
        <v>0</v>
      </c>
      <c r="AI608" s="70">
        <f>'RESUMEN TOTAL'!AP704</f>
        <v>0</v>
      </c>
    </row>
    <row r="609" spans="1:35" x14ac:dyDescent="0.25">
      <c r="A609">
        <f>'RESUMEN TOTAL'!A705</f>
        <v>0</v>
      </c>
      <c r="B609">
        <f>'RESUMEN TOTAL'!B705</f>
        <v>0</v>
      </c>
      <c r="C609">
        <f>'RESUMEN TOTAL'!D705</f>
        <v>0</v>
      </c>
      <c r="D609" s="30">
        <f>'RESUMEN TOTAL'!E705</f>
        <v>0</v>
      </c>
      <c r="E609" s="30">
        <f>'RESUMEN TOTAL'!F705</f>
        <v>0</v>
      </c>
      <c r="F609" s="70">
        <f>'RESUMEN TOTAL'!M705</f>
        <v>0</v>
      </c>
      <c r="G609" s="70">
        <f>'RESUMEN TOTAL'!N705</f>
        <v>0</v>
      </c>
      <c r="H609" s="70">
        <f>'RESUMEN TOTAL'!O705</f>
        <v>0</v>
      </c>
      <c r="I609" s="70">
        <f>'RESUMEN TOTAL'!P705</f>
        <v>0</v>
      </c>
      <c r="J609" s="70">
        <f>'RESUMEN TOTAL'!Q705</f>
        <v>0</v>
      </c>
      <c r="K609" s="70">
        <f>'RESUMEN TOTAL'!R705</f>
        <v>0</v>
      </c>
      <c r="L609" s="70">
        <f>'RESUMEN TOTAL'!S705</f>
        <v>0</v>
      </c>
      <c r="M609" s="70">
        <f>'RESUMEN TOTAL'!T705</f>
        <v>0</v>
      </c>
      <c r="N609" s="70">
        <f>'RESUMEN TOTAL'!U705</f>
        <v>0</v>
      </c>
      <c r="O609" s="70">
        <f>'RESUMEN TOTAL'!V705</f>
        <v>0</v>
      </c>
      <c r="P609" s="70">
        <f>'RESUMEN TOTAL'!W705</f>
        <v>0</v>
      </c>
      <c r="Q609" s="70">
        <f>'RESUMEN TOTAL'!X705</f>
        <v>0</v>
      </c>
      <c r="R609" s="70">
        <f>'RESUMEN TOTAL'!Y705</f>
        <v>0</v>
      </c>
      <c r="S609" s="70">
        <f>'RESUMEN TOTAL'!Z705</f>
        <v>0</v>
      </c>
      <c r="T609" s="70">
        <f>'RESUMEN TOTAL'!AA705</f>
        <v>0</v>
      </c>
      <c r="U609" s="70">
        <f>'RESUMEN TOTAL'!AB705</f>
        <v>0</v>
      </c>
      <c r="V609" s="70">
        <f>'RESUMEN TOTAL'!AC705</f>
        <v>0</v>
      </c>
      <c r="W609" s="70">
        <f>'RESUMEN TOTAL'!AD705</f>
        <v>0</v>
      </c>
      <c r="X609" s="70">
        <f>'RESUMEN TOTAL'!AE705</f>
        <v>0</v>
      </c>
      <c r="Y609" s="70">
        <f>'RESUMEN TOTAL'!AF705</f>
        <v>0</v>
      </c>
      <c r="Z609" s="70">
        <f>'RESUMEN TOTAL'!AG705</f>
        <v>0</v>
      </c>
      <c r="AA609" s="70">
        <f>'RESUMEN TOTAL'!AH705</f>
        <v>0</v>
      </c>
      <c r="AB609" s="70">
        <f>'RESUMEN TOTAL'!AI705</f>
        <v>0</v>
      </c>
      <c r="AC609" s="70">
        <f>'RESUMEN TOTAL'!AJ705</f>
        <v>0</v>
      </c>
      <c r="AD609" s="70">
        <f>'RESUMEN TOTAL'!AK705</f>
        <v>0</v>
      </c>
      <c r="AE609" s="70">
        <f>'RESUMEN TOTAL'!AL705</f>
        <v>0</v>
      </c>
      <c r="AF609" s="70">
        <f>'RESUMEN TOTAL'!AM705</f>
        <v>0</v>
      </c>
      <c r="AG609" s="70">
        <f>'RESUMEN TOTAL'!AN705</f>
        <v>0</v>
      </c>
      <c r="AH609" s="70">
        <f>'RESUMEN TOTAL'!AO705</f>
        <v>0</v>
      </c>
      <c r="AI609" s="70">
        <f>'RESUMEN TOTAL'!AP705</f>
        <v>0</v>
      </c>
    </row>
    <row r="610" spans="1:35" x14ac:dyDescent="0.25">
      <c r="A610">
        <f>'RESUMEN TOTAL'!A706</f>
        <v>0</v>
      </c>
      <c r="B610">
        <f>'RESUMEN TOTAL'!B706</f>
        <v>0</v>
      </c>
      <c r="C610">
        <f>'RESUMEN TOTAL'!D706</f>
        <v>0</v>
      </c>
      <c r="D610" s="30">
        <f>'RESUMEN TOTAL'!E706</f>
        <v>0</v>
      </c>
      <c r="E610" s="30">
        <f>'RESUMEN TOTAL'!F706</f>
        <v>0</v>
      </c>
      <c r="F610" s="70">
        <f>'RESUMEN TOTAL'!M706</f>
        <v>0</v>
      </c>
      <c r="G610" s="70">
        <f>'RESUMEN TOTAL'!N706</f>
        <v>0</v>
      </c>
      <c r="H610" s="70">
        <f>'RESUMEN TOTAL'!O706</f>
        <v>0</v>
      </c>
      <c r="I610" s="70">
        <f>'RESUMEN TOTAL'!P706</f>
        <v>0</v>
      </c>
      <c r="J610" s="70">
        <f>'RESUMEN TOTAL'!Q706</f>
        <v>0</v>
      </c>
      <c r="K610" s="70">
        <f>'RESUMEN TOTAL'!R706</f>
        <v>0</v>
      </c>
      <c r="L610" s="70">
        <f>'RESUMEN TOTAL'!S706</f>
        <v>0</v>
      </c>
      <c r="M610" s="70">
        <f>'RESUMEN TOTAL'!T706</f>
        <v>0</v>
      </c>
      <c r="N610" s="70">
        <f>'RESUMEN TOTAL'!U706</f>
        <v>0</v>
      </c>
      <c r="O610" s="70">
        <f>'RESUMEN TOTAL'!V706</f>
        <v>0</v>
      </c>
      <c r="P610" s="70">
        <f>'RESUMEN TOTAL'!W706</f>
        <v>0</v>
      </c>
      <c r="Q610" s="70">
        <f>'RESUMEN TOTAL'!X706</f>
        <v>0</v>
      </c>
      <c r="R610" s="70">
        <f>'RESUMEN TOTAL'!Y706</f>
        <v>0</v>
      </c>
      <c r="S610" s="70">
        <f>'RESUMEN TOTAL'!Z706</f>
        <v>0</v>
      </c>
      <c r="T610" s="70">
        <f>'RESUMEN TOTAL'!AA706</f>
        <v>0</v>
      </c>
      <c r="U610" s="70">
        <f>'RESUMEN TOTAL'!AB706</f>
        <v>0</v>
      </c>
      <c r="V610" s="70">
        <f>'RESUMEN TOTAL'!AC706</f>
        <v>0</v>
      </c>
      <c r="W610" s="70">
        <f>'RESUMEN TOTAL'!AD706</f>
        <v>0</v>
      </c>
      <c r="X610" s="70">
        <f>'RESUMEN TOTAL'!AE706</f>
        <v>0</v>
      </c>
      <c r="Y610" s="70">
        <f>'RESUMEN TOTAL'!AF706</f>
        <v>0</v>
      </c>
      <c r="Z610" s="70">
        <f>'RESUMEN TOTAL'!AG706</f>
        <v>0</v>
      </c>
      <c r="AA610" s="70">
        <f>'RESUMEN TOTAL'!AH706</f>
        <v>0</v>
      </c>
      <c r="AB610" s="70">
        <f>'RESUMEN TOTAL'!AI706</f>
        <v>0</v>
      </c>
      <c r="AC610" s="70">
        <f>'RESUMEN TOTAL'!AJ706</f>
        <v>0</v>
      </c>
      <c r="AD610" s="70">
        <f>'RESUMEN TOTAL'!AK706</f>
        <v>0</v>
      </c>
      <c r="AE610" s="70">
        <f>'RESUMEN TOTAL'!AL706</f>
        <v>0</v>
      </c>
      <c r="AF610" s="70">
        <f>'RESUMEN TOTAL'!AM706</f>
        <v>0</v>
      </c>
      <c r="AG610" s="70">
        <f>'RESUMEN TOTAL'!AN706</f>
        <v>0</v>
      </c>
      <c r="AH610" s="70">
        <f>'RESUMEN TOTAL'!AO706</f>
        <v>0</v>
      </c>
      <c r="AI610" s="70">
        <f>'RESUMEN TOTAL'!AP706</f>
        <v>0</v>
      </c>
    </row>
    <row r="611" spans="1:35" x14ac:dyDescent="0.25">
      <c r="A611">
        <f>'RESUMEN TOTAL'!A707</f>
        <v>0</v>
      </c>
      <c r="B611">
        <f>'RESUMEN TOTAL'!B707</f>
        <v>0</v>
      </c>
      <c r="C611">
        <f>'RESUMEN TOTAL'!D707</f>
        <v>0</v>
      </c>
      <c r="D611" s="30">
        <f>'RESUMEN TOTAL'!E707</f>
        <v>0</v>
      </c>
      <c r="E611" s="30">
        <f>'RESUMEN TOTAL'!F707</f>
        <v>0</v>
      </c>
      <c r="F611" s="70">
        <f>'RESUMEN TOTAL'!M707</f>
        <v>0</v>
      </c>
      <c r="G611" s="70">
        <f>'RESUMEN TOTAL'!N707</f>
        <v>0</v>
      </c>
      <c r="H611" s="70">
        <f>'RESUMEN TOTAL'!O707</f>
        <v>0</v>
      </c>
      <c r="I611" s="70">
        <f>'RESUMEN TOTAL'!P707</f>
        <v>0</v>
      </c>
      <c r="J611" s="70">
        <f>'RESUMEN TOTAL'!Q707</f>
        <v>0</v>
      </c>
      <c r="K611" s="70">
        <f>'RESUMEN TOTAL'!R707</f>
        <v>0</v>
      </c>
      <c r="L611" s="70">
        <f>'RESUMEN TOTAL'!S707</f>
        <v>0</v>
      </c>
      <c r="M611" s="70">
        <f>'RESUMEN TOTAL'!T707</f>
        <v>0</v>
      </c>
      <c r="N611" s="70">
        <f>'RESUMEN TOTAL'!U707</f>
        <v>0</v>
      </c>
      <c r="O611" s="70">
        <f>'RESUMEN TOTAL'!V707</f>
        <v>0</v>
      </c>
      <c r="P611" s="70">
        <f>'RESUMEN TOTAL'!W707</f>
        <v>0</v>
      </c>
      <c r="Q611" s="70">
        <f>'RESUMEN TOTAL'!X707</f>
        <v>0</v>
      </c>
      <c r="R611" s="70">
        <f>'RESUMEN TOTAL'!Y707</f>
        <v>0</v>
      </c>
      <c r="S611" s="70">
        <f>'RESUMEN TOTAL'!Z707</f>
        <v>0</v>
      </c>
      <c r="T611" s="70">
        <f>'RESUMEN TOTAL'!AA707</f>
        <v>0</v>
      </c>
      <c r="U611" s="70">
        <f>'RESUMEN TOTAL'!AB707</f>
        <v>0</v>
      </c>
      <c r="V611" s="70">
        <f>'RESUMEN TOTAL'!AC707</f>
        <v>0</v>
      </c>
      <c r="W611" s="70">
        <f>'RESUMEN TOTAL'!AD707</f>
        <v>0</v>
      </c>
      <c r="X611" s="70">
        <f>'RESUMEN TOTAL'!AE707</f>
        <v>0</v>
      </c>
      <c r="Y611" s="70">
        <f>'RESUMEN TOTAL'!AF707</f>
        <v>0</v>
      </c>
      <c r="Z611" s="70">
        <f>'RESUMEN TOTAL'!AG707</f>
        <v>0</v>
      </c>
      <c r="AA611" s="70">
        <f>'RESUMEN TOTAL'!AH707</f>
        <v>0</v>
      </c>
      <c r="AB611" s="70">
        <f>'RESUMEN TOTAL'!AI707</f>
        <v>0</v>
      </c>
      <c r="AC611" s="70">
        <f>'RESUMEN TOTAL'!AJ707</f>
        <v>0</v>
      </c>
      <c r="AD611" s="70">
        <f>'RESUMEN TOTAL'!AK707</f>
        <v>0</v>
      </c>
      <c r="AE611" s="70">
        <f>'RESUMEN TOTAL'!AL707</f>
        <v>0</v>
      </c>
      <c r="AF611" s="70">
        <f>'RESUMEN TOTAL'!AM707</f>
        <v>0</v>
      </c>
      <c r="AG611" s="70">
        <f>'RESUMEN TOTAL'!AN707</f>
        <v>0</v>
      </c>
      <c r="AH611" s="70">
        <f>'RESUMEN TOTAL'!AO707</f>
        <v>0</v>
      </c>
      <c r="AI611" s="70">
        <f>'RESUMEN TOTAL'!AP707</f>
        <v>0</v>
      </c>
    </row>
    <row r="612" spans="1:35" x14ac:dyDescent="0.25">
      <c r="A612">
        <f>'RESUMEN TOTAL'!A708</f>
        <v>0</v>
      </c>
      <c r="B612">
        <f>'RESUMEN TOTAL'!B708</f>
        <v>0</v>
      </c>
      <c r="C612">
        <f>'RESUMEN TOTAL'!D708</f>
        <v>0</v>
      </c>
      <c r="D612" s="30">
        <f>'RESUMEN TOTAL'!E708</f>
        <v>0</v>
      </c>
      <c r="E612" s="30">
        <f>'RESUMEN TOTAL'!F708</f>
        <v>0</v>
      </c>
      <c r="F612" s="70">
        <f>'RESUMEN TOTAL'!M708</f>
        <v>0</v>
      </c>
      <c r="G612" s="70">
        <f>'RESUMEN TOTAL'!N708</f>
        <v>0</v>
      </c>
      <c r="H612" s="70">
        <f>'RESUMEN TOTAL'!O708</f>
        <v>0</v>
      </c>
      <c r="I612" s="70">
        <f>'RESUMEN TOTAL'!P708</f>
        <v>0</v>
      </c>
      <c r="J612" s="70">
        <f>'RESUMEN TOTAL'!Q708</f>
        <v>0</v>
      </c>
      <c r="K612" s="70">
        <f>'RESUMEN TOTAL'!R708</f>
        <v>0</v>
      </c>
      <c r="L612" s="70">
        <f>'RESUMEN TOTAL'!S708</f>
        <v>0</v>
      </c>
      <c r="M612" s="70">
        <f>'RESUMEN TOTAL'!T708</f>
        <v>0</v>
      </c>
      <c r="N612" s="70">
        <f>'RESUMEN TOTAL'!U708</f>
        <v>0</v>
      </c>
      <c r="O612" s="70">
        <f>'RESUMEN TOTAL'!V708</f>
        <v>0</v>
      </c>
      <c r="P612" s="70">
        <f>'RESUMEN TOTAL'!W708</f>
        <v>0</v>
      </c>
      <c r="Q612" s="70">
        <f>'RESUMEN TOTAL'!X708</f>
        <v>0</v>
      </c>
      <c r="R612" s="70">
        <f>'RESUMEN TOTAL'!Y708</f>
        <v>0</v>
      </c>
      <c r="S612" s="70">
        <f>'RESUMEN TOTAL'!Z708</f>
        <v>0</v>
      </c>
      <c r="T612" s="70">
        <f>'RESUMEN TOTAL'!AA708</f>
        <v>0</v>
      </c>
      <c r="U612" s="70">
        <f>'RESUMEN TOTAL'!AB708</f>
        <v>0</v>
      </c>
      <c r="V612" s="70">
        <f>'RESUMEN TOTAL'!AC708</f>
        <v>0</v>
      </c>
      <c r="W612" s="70">
        <f>'RESUMEN TOTAL'!AD708</f>
        <v>0</v>
      </c>
      <c r="X612" s="70">
        <f>'RESUMEN TOTAL'!AE708</f>
        <v>0</v>
      </c>
      <c r="Y612" s="70">
        <f>'RESUMEN TOTAL'!AF708</f>
        <v>0</v>
      </c>
      <c r="Z612" s="70">
        <f>'RESUMEN TOTAL'!AG708</f>
        <v>0</v>
      </c>
      <c r="AA612" s="70">
        <f>'RESUMEN TOTAL'!AH708</f>
        <v>0</v>
      </c>
      <c r="AB612" s="70">
        <f>'RESUMEN TOTAL'!AI708</f>
        <v>0</v>
      </c>
      <c r="AC612" s="70">
        <f>'RESUMEN TOTAL'!AJ708</f>
        <v>0</v>
      </c>
      <c r="AD612" s="70">
        <f>'RESUMEN TOTAL'!AK708</f>
        <v>0</v>
      </c>
      <c r="AE612" s="70">
        <f>'RESUMEN TOTAL'!AL708</f>
        <v>0</v>
      </c>
      <c r="AF612" s="70">
        <f>'RESUMEN TOTAL'!AM708</f>
        <v>0</v>
      </c>
      <c r="AG612" s="70">
        <f>'RESUMEN TOTAL'!AN708</f>
        <v>0</v>
      </c>
      <c r="AH612" s="70">
        <f>'RESUMEN TOTAL'!AO708</f>
        <v>0</v>
      </c>
      <c r="AI612" s="70">
        <f>'RESUMEN TOTAL'!AP708</f>
        <v>0</v>
      </c>
    </row>
    <row r="613" spans="1:35" x14ac:dyDescent="0.25">
      <c r="A613">
        <f>'RESUMEN TOTAL'!A709</f>
        <v>0</v>
      </c>
      <c r="B613">
        <f>'RESUMEN TOTAL'!B709</f>
        <v>0</v>
      </c>
      <c r="C613">
        <f>'RESUMEN TOTAL'!D709</f>
        <v>0</v>
      </c>
      <c r="D613" s="30">
        <f>'RESUMEN TOTAL'!E709</f>
        <v>0</v>
      </c>
      <c r="E613" s="30">
        <f>'RESUMEN TOTAL'!F709</f>
        <v>0</v>
      </c>
      <c r="F613" s="70">
        <f>'RESUMEN TOTAL'!M709</f>
        <v>0</v>
      </c>
      <c r="G613" s="70">
        <f>'RESUMEN TOTAL'!N709</f>
        <v>0</v>
      </c>
      <c r="H613" s="70">
        <f>'RESUMEN TOTAL'!O709</f>
        <v>0</v>
      </c>
      <c r="I613" s="70">
        <f>'RESUMEN TOTAL'!P709</f>
        <v>0</v>
      </c>
      <c r="J613" s="70">
        <f>'RESUMEN TOTAL'!Q709</f>
        <v>0</v>
      </c>
      <c r="K613" s="70">
        <f>'RESUMEN TOTAL'!R709</f>
        <v>0</v>
      </c>
      <c r="L613" s="70">
        <f>'RESUMEN TOTAL'!S709</f>
        <v>0</v>
      </c>
      <c r="M613" s="70">
        <f>'RESUMEN TOTAL'!T709</f>
        <v>0</v>
      </c>
      <c r="N613" s="70">
        <f>'RESUMEN TOTAL'!U709</f>
        <v>0</v>
      </c>
      <c r="O613" s="70">
        <f>'RESUMEN TOTAL'!V709</f>
        <v>0</v>
      </c>
      <c r="P613" s="70">
        <f>'RESUMEN TOTAL'!W709</f>
        <v>0</v>
      </c>
      <c r="Q613" s="70">
        <f>'RESUMEN TOTAL'!X709</f>
        <v>0</v>
      </c>
      <c r="R613" s="70">
        <f>'RESUMEN TOTAL'!Y709</f>
        <v>0</v>
      </c>
      <c r="S613" s="70">
        <f>'RESUMEN TOTAL'!Z709</f>
        <v>0</v>
      </c>
      <c r="T613" s="70">
        <f>'RESUMEN TOTAL'!AA709</f>
        <v>0</v>
      </c>
      <c r="U613" s="70">
        <f>'RESUMEN TOTAL'!AB709</f>
        <v>0</v>
      </c>
      <c r="V613" s="70">
        <f>'RESUMEN TOTAL'!AC709</f>
        <v>0</v>
      </c>
      <c r="W613" s="70">
        <f>'RESUMEN TOTAL'!AD709</f>
        <v>0</v>
      </c>
      <c r="X613" s="70">
        <f>'RESUMEN TOTAL'!AE709</f>
        <v>0</v>
      </c>
      <c r="Y613" s="70">
        <f>'RESUMEN TOTAL'!AF709</f>
        <v>0</v>
      </c>
      <c r="Z613" s="70">
        <f>'RESUMEN TOTAL'!AG709</f>
        <v>0</v>
      </c>
      <c r="AA613" s="70">
        <f>'RESUMEN TOTAL'!AH709</f>
        <v>0</v>
      </c>
      <c r="AB613" s="70">
        <f>'RESUMEN TOTAL'!AI709</f>
        <v>0</v>
      </c>
      <c r="AC613" s="70">
        <f>'RESUMEN TOTAL'!AJ709</f>
        <v>0</v>
      </c>
      <c r="AD613" s="70">
        <f>'RESUMEN TOTAL'!AK709</f>
        <v>0</v>
      </c>
      <c r="AE613" s="70">
        <f>'RESUMEN TOTAL'!AL709</f>
        <v>0</v>
      </c>
      <c r="AF613" s="70">
        <f>'RESUMEN TOTAL'!AM709</f>
        <v>0</v>
      </c>
      <c r="AG613" s="70">
        <f>'RESUMEN TOTAL'!AN709</f>
        <v>0</v>
      </c>
      <c r="AH613" s="70">
        <f>'RESUMEN TOTAL'!AO709</f>
        <v>0</v>
      </c>
      <c r="AI613" s="70">
        <f>'RESUMEN TOTAL'!AP709</f>
        <v>0</v>
      </c>
    </row>
    <row r="614" spans="1:35" x14ac:dyDescent="0.25">
      <c r="A614">
        <f>'RESUMEN TOTAL'!A710</f>
        <v>0</v>
      </c>
      <c r="B614">
        <f>'RESUMEN TOTAL'!B710</f>
        <v>0</v>
      </c>
      <c r="C614">
        <f>'RESUMEN TOTAL'!D710</f>
        <v>0</v>
      </c>
      <c r="D614" s="30">
        <f>'RESUMEN TOTAL'!E710</f>
        <v>0</v>
      </c>
      <c r="E614" s="30">
        <f>'RESUMEN TOTAL'!F710</f>
        <v>0</v>
      </c>
      <c r="F614" s="70">
        <f>'RESUMEN TOTAL'!M710</f>
        <v>0</v>
      </c>
      <c r="G614" s="70">
        <f>'RESUMEN TOTAL'!N710</f>
        <v>0</v>
      </c>
      <c r="H614" s="70">
        <f>'RESUMEN TOTAL'!O710</f>
        <v>0</v>
      </c>
      <c r="I614" s="70">
        <f>'RESUMEN TOTAL'!P710</f>
        <v>0</v>
      </c>
      <c r="J614" s="70">
        <f>'RESUMEN TOTAL'!Q710</f>
        <v>0</v>
      </c>
      <c r="K614" s="70">
        <f>'RESUMEN TOTAL'!R710</f>
        <v>0</v>
      </c>
      <c r="L614" s="70">
        <f>'RESUMEN TOTAL'!S710</f>
        <v>0</v>
      </c>
      <c r="M614" s="70">
        <f>'RESUMEN TOTAL'!T710</f>
        <v>0</v>
      </c>
      <c r="N614" s="70">
        <f>'RESUMEN TOTAL'!U710</f>
        <v>0</v>
      </c>
      <c r="O614" s="70">
        <f>'RESUMEN TOTAL'!V710</f>
        <v>0</v>
      </c>
      <c r="P614" s="70">
        <f>'RESUMEN TOTAL'!W710</f>
        <v>0</v>
      </c>
      <c r="Q614" s="70">
        <f>'RESUMEN TOTAL'!X710</f>
        <v>0</v>
      </c>
      <c r="R614" s="70">
        <f>'RESUMEN TOTAL'!Y710</f>
        <v>0</v>
      </c>
      <c r="S614" s="70">
        <f>'RESUMEN TOTAL'!Z710</f>
        <v>0</v>
      </c>
      <c r="T614" s="70">
        <f>'RESUMEN TOTAL'!AA710</f>
        <v>0</v>
      </c>
      <c r="U614" s="70">
        <f>'RESUMEN TOTAL'!AB710</f>
        <v>0</v>
      </c>
      <c r="V614" s="70">
        <f>'RESUMEN TOTAL'!AC710</f>
        <v>0</v>
      </c>
      <c r="W614" s="70">
        <f>'RESUMEN TOTAL'!AD710</f>
        <v>0</v>
      </c>
      <c r="X614" s="70">
        <f>'RESUMEN TOTAL'!AE710</f>
        <v>0</v>
      </c>
      <c r="Y614" s="70">
        <f>'RESUMEN TOTAL'!AF710</f>
        <v>0</v>
      </c>
      <c r="Z614" s="70">
        <f>'RESUMEN TOTAL'!AG710</f>
        <v>0</v>
      </c>
      <c r="AA614" s="70">
        <f>'RESUMEN TOTAL'!AH710</f>
        <v>0</v>
      </c>
      <c r="AB614" s="70">
        <f>'RESUMEN TOTAL'!AI710</f>
        <v>0</v>
      </c>
      <c r="AC614" s="70">
        <f>'RESUMEN TOTAL'!AJ710</f>
        <v>0</v>
      </c>
      <c r="AD614" s="70">
        <f>'RESUMEN TOTAL'!AK710</f>
        <v>0</v>
      </c>
      <c r="AE614" s="70">
        <f>'RESUMEN TOTAL'!AL710</f>
        <v>0</v>
      </c>
      <c r="AF614" s="70">
        <f>'RESUMEN TOTAL'!AM710</f>
        <v>0</v>
      </c>
      <c r="AG614" s="70">
        <f>'RESUMEN TOTAL'!AN710</f>
        <v>0</v>
      </c>
      <c r="AH614" s="70">
        <f>'RESUMEN TOTAL'!AO710</f>
        <v>0</v>
      </c>
      <c r="AI614" s="70">
        <f>'RESUMEN TOTAL'!AP710</f>
        <v>0</v>
      </c>
    </row>
    <row r="615" spans="1:35" x14ac:dyDescent="0.25">
      <c r="A615">
        <f>'RESUMEN TOTAL'!A711</f>
        <v>0</v>
      </c>
      <c r="B615">
        <f>'RESUMEN TOTAL'!B711</f>
        <v>0</v>
      </c>
      <c r="C615">
        <f>'RESUMEN TOTAL'!D711</f>
        <v>0</v>
      </c>
      <c r="D615" s="30">
        <f>'RESUMEN TOTAL'!E711</f>
        <v>0</v>
      </c>
      <c r="E615" s="30">
        <f>'RESUMEN TOTAL'!F711</f>
        <v>0</v>
      </c>
      <c r="F615" s="70">
        <f>'RESUMEN TOTAL'!M711</f>
        <v>0</v>
      </c>
      <c r="G615" s="70">
        <f>'RESUMEN TOTAL'!N711</f>
        <v>0</v>
      </c>
      <c r="H615" s="70">
        <f>'RESUMEN TOTAL'!O711</f>
        <v>0</v>
      </c>
      <c r="I615" s="70">
        <f>'RESUMEN TOTAL'!P711</f>
        <v>0</v>
      </c>
      <c r="J615" s="70">
        <f>'RESUMEN TOTAL'!Q711</f>
        <v>0</v>
      </c>
      <c r="K615" s="70">
        <f>'RESUMEN TOTAL'!R711</f>
        <v>0</v>
      </c>
      <c r="L615" s="70">
        <f>'RESUMEN TOTAL'!S711</f>
        <v>0</v>
      </c>
      <c r="M615" s="70">
        <f>'RESUMEN TOTAL'!T711</f>
        <v>0</v>
      </c>
      <c r="N615" s="70">
        <f>'RESUMEN TOTAL'!U711</f>
        <v>0</v>
      </c>
      <c r="O615" s="70">
        <f>'RESUMEN TOTAL'!V711</f>
        <v>0</v>
      </c>
      <c r="P615" s="70">
        <f>'RESUMEN TOTAL'!W711</f>
        <v>0</v>
      </c>
      <c r="Q615" s="70">
        <f>'RESUMEN TOTAL'!X711</f>
        <v>0</v>
      </c>
      <c r="R615" s="70">
        <f>'RESUMEN TOTAL'!Y711</f>
        <v>0</v>
      </c>
      <c r="S615" s="70">
        <f>'RESUMEN TOTAL'!Z711</f>
        <v>0</v>
      </c>
      <c r="T615" s="70">
        <f>'RESUMEN TOTAL'!AA711</f>
        <v>0</v>
      </c>
      <c r="U615" s="70">
        <f>'RESUMEN TOTAL'!AB711</f>
        <v>0</v>
      </c>
      <c r="V615" s="70">
        <f>'RESUMEN TOTAL'!AC711</f>
        <v>0</v>
      </c>
      <c r="W615" s="70">
        <f>'RESUMEN TOTAL'!AD711</f>
        <v>0</v>
      </c>
      <c r="X615" s="70">
        <f>'RESUMEN TOTAL'!AE711</f>
        <v>0</v>
      </c>
      <c r="Y615" s="70">
        <f>'RESUMEN TOTAL'!AF711</f>
        <v>0</v>
      </c>
      <c r="Z615" s="70">
        <f>'RESUMEN TOTAL'!AG711</f>
        <v>0</v>
      </c>
      <c r="AA615" s="70">
        <f>'RESUMEN TOTAL'!AH711</f>
        <v>0</v>
      </c>
      <c r="AB615" s="70">
        <f>'RESUMEN TOTAL'!AI711</f>
        <v>0</v>
      </c>
      <c r="AC615" s="70">
        <f>'RESUMEN TOTAL'!AJ711</f>
        <v>0</v>
      </c>
      <c r="AD615" s="70">
        <f>'RESUMEN TOTAL'!AK711</f>
        <v>0</v>
      </c>
      <c r="AE615" s="70">
        <f>'RESUMEN TOTAL'!AL711</f>
        <v>0</v>
      </c>
      <c r="AF615" s="70">
        <f>'RESUMEN TOTAL'!AM711</f>
        <v>0</v>
      </c>
      <c r="AG615" s="70">
        <f>'RESUMEN TOTAL'!AN711</f>
        <v>0</v>
      </c>
      <c r="AH615" s="70">
        <f>'RESUMEN TOTAL'!AO711</f>
        <v>0</v>
      </c>
      <c r="AI615" s="70">
        <f>'RESUMEN TOTAL'!AP711</f>
        <v>0</v>
      </c>
    </row>
    <row r="616" spans="1:35" x14ac:dyDescent="0.25">
      <c r="A616">
        <f>'RESUMEN TOTAL'!A712</f>
        <v>0</v>
      </c>
      <c r="B616">
        <f>'RESUMEN TOTAL'!B712</f>
        <v>0</v>
      </c>
      <c r="C616">
        <f>'RESUMEN TOTAL'!D712</f>
        <v>0</v>
      </c>
      <c r="D616" s="30">
        <f>'RESUMEN TOTAL'!E712</f>
        <v>0</v>
      </c>
      <c r="E616" s="30">
        <f>'RESUMEN TOTAL'!F712</f>
        <v>0</v>
      </c>
      <c r="F616" s="70">
        <f>'RESUMEN TOTAL'!M712</f>
        <v>0</v>
      </c>
      <c r="G616" s="70">
        <f>'RESUMEN TOTAL'!N712</f>
        <v>0</v>
      </c>
      <c r="H616" s="70">
        <f>'RESUMEN TOTAL'!O712</f>
        <v>0</v>
      </c>
      <c r="I616" s="70">
        <f>'RESUMEN TOTAL'!P712</f>
        <v>0</v>
      </c>
      <c r="J616" s="70">
        <f>'RESUMEN TOTAL'!Q712</f>
        <v>0</v>
      </c>
      <c r="K616" s="70">
        <f>'RESUMEN TOTAL'!R712</f>
        <v>0</v>
      </c>
      <c r="L616" s="70">
        <f>'RESUMEN TOTAL'!S712</f>
        <v>0</v>
      </c>
      <c r="M616" s="70">
        <f>'RESUMEN TOTAL'!T712</f>
        <v>0</v>
      </c>
      <c r="N616" s="70">
        <f>'RESUMEN TOTAL'!U712</f>
        <v>0</v>
      </c>
      <c r="O616" s="70">
        <f>'RESUMEN TOTAL'!V712</f>
        <v>0</v>
      </c>
      <c r="P616" s="70">
        <f>'RESUMEN TOTAL'!W712</f>
        <v>0</v>
      </c>
      <c r="Q616" s="70">
        <f>'RESUMEN TOTAL'!X712</f>
        <v>0</v>
      </c>
      <c r="R616" s="70">
        <f>'RESUMEN TOTAL'!Y712</f>
        <v>0</v>
      </c>
      <c r="S616" s="70">
        <f>'RESUMEN TOTAL'!Z712</f>
        <v>0</v>
      </c>
      <c r="T616" s="70">
        <f>'RESUMEN TOTAL'!AA712</f>
        <v>0</v>
      </c>
      <c r="U616" s="70">
        <f>'RESUMEN TOTAL'!AB712</f>
        <v>0</v>
      </c>
      <c r="V616" s="70">
        <f>'RESUMEN TOTAL'!AC712</f>
        <v>0</v>
      </c>
      <c r="W616" s="70">
        <f>'RESUMEN TOTAL'!AD712</f>
        <v>0</v>
      </c>
      <c r="X616" s="70">
        <f>'RESUMEN TOTAL'!AE712</f>
        <v>0</v>
      </c>
      <c r="Y616" s="70">
        <f>'RESUMEN TOTAL'!AF712</f>
        <v>0</v>
      </c>
      <c r="Z616" s="70">
        <f>'RESUMEN TOTAL'!AG712</f>
        <v>0</v>
      </c>
      <c r="AA616" s="70">
        <f>'RESUMEN TOTAL'!AH712</f>
        <v>0</v>
      </c>
      <c r="AB616" s="70">
        <f>'RESUMEN TOTAL'!AI712</f>
        <v>0</v>
      </c>
      <c r="AC616" s="70">
        <f>'RESUMEN TOTAL'!AJ712</f>
        <v>0</v>
      </c>
      <c r="AD616" s="70">
        <f>'RESUMEN TOTAL'!AK712</f>
        <v>0</v>
      </c>
      <c r="AE616" s="70">
        <f>'RESUMEN TOTAL'!AL712</f>
        <v>0</v>
      </c>
      <c r="AF616" s="70">
        <f>'RESUMEN TOTAL'!AM712</f>
        <v>0</v>
      </c>
      <c r="AG616" s="70">
        <f>'RESUMEN TOTAL'!AN712</f>
        <v>0</v>
      </c>
      <c r="AH616" s="70">
        <f>'RESUMEN TOTAL'!AO712</f>
        <v>0</v>
      </c>
      <c r="AI616" s="70">
        <f>'RESUMEN TOTAL'!AP712</f>
        <v>0</v>
      </c>
    </row>
    <row r="617" spans="1:35" x14ac:dyDescent="0.25">
      <c r="A617">
        <f>'RESUMEN TOTAL'!A713</f>
        <v>0</v>
      </c>
      <c r="B617">
        <f>'RESUMEN TOTAL'!B713</f>
        <v>0</v>
      </c>
      <c r="C617">
        <f>'RESUMEN TOTAL'!D713</f>
        <v>0</v>
      </c>
      <c r="D617" s="30">
        <f>'RESUMEN TOTAL'!E713</f>
        <v>0</v>
      </c>
      <c r="E617" s="30">
        <f>'RESUMEN TOTAL'!F713</f>
        <v>0</v>
      </c>
      <c r="F617" s="70">
        <f>'RESUMEN TOTAL'!M713</f>
        <v>0</v>
      </c>
      <c r="G617" s="70">
        <f>'RESUMEN TOTAL'!N713</f>
        <v>0</v>
      </c>
      <c r="H617" s="70">
        <f>'RESUMEN TOTAL'!O713</f>
        <v>0</v>
      </c>
      <c r="I617" s="70">
        <f>'RESUMEN TOTAL'!P713</f>
        <v>0</v>
      </c>
      <c r="J617" s="70">
        <f>'RESUMEN TOTAL'!Q713</f>
        <v>0</v>
      </c>
      <c r="K617" s="70">
        <f>'RESUMEN TOTAL'!R713</f>
        <v>0</v>
      </c>
      <c r="L617" s="70">
        <f>'RESUMEN TOTAL'!S713</f>
        <v>0</v>
      </c>
      <c r="M617" s="70">
        <f>'RESUMEN TOTAL'!T713</f>
        <v>0</v>
      </c>
      <c r="N617" s="70">
        <f>'RESUMEN TOTAL'!U713</f>
        <v>0</v>
      </c>
      <c r="O617" s="70">
        <f>'RESUMEN TOTAL'!V713</f>
        <v>0</v>
      </c>
      <c r="P617" s="70">
        <f>'RESUMEN TOTAL'!W713</f>
        <v>0</v>
      </c>
      <c r="Q617" s="70">
        <f>'RESUMEN TOTAL'!X713</f>
        <v>0</v>
      </c>
      <c r="R617" s="70">
        <f>'RESUMEN TOTAL'!Y713</f>
        <v>0</v>
      </c>
      <c r="S617" s="70">
        <f>'RESUMEN TOTAL'!Z713</f>
        <v>0</v>
      </c>
      <c r="T617" s="70">
        <f>'RESUMEN TOTAL'!AA713</f>
        <v>0</v>
      </c>
      <c r="U617" s="70">
        <f>'RESUMEN TOTAL'!AB713</f>
        <v>0</v>
      </c>
      <c r="V617" s="70">
        <f>'RESUMEN TOTAL'!AC713</f>
        <v>0</v>
      </c>
      <c r="W617" s="70">
        <f>'RESUMEN TOTAL'!AD713</f>
        <v>0</v>
      </c>
      <c r="X617" s="70">
        <f>'RESUMEN TOTAL'!AE713</f>
        <v>0</v>
      </c>
      <c r="Y617" s="70">
        <f>'RESUMEN TOTAL'!AF713</f>
        <v>0</v>
      </c>
      <c r="Z617" s="70">
        <f>'RESUMEN TOTAL'!AG713</f>
        <v>0</v>
      </c>
      <c r="AA617" s="70">
        <f>'RESUMEN TOTAL'!AH713</f>
        <v>0</v>
      </c>
      <c r="AB617" s="70">
        <f>'RESUMEN TOTAL'!AI713</f>
        <v>0</v>
      </c>
      <c r="AC617" s="70">
        <f>'RESUMEN TOTAL'!AJ713</f>
        <v>0</v>
      </c>
      <c r="AD617" s="70">
        <f>'RESUMEN TOTAL'!AK713</f>
        <v>0</v>
      </c>
      <c r="AE617" s="70">
        <f>'RESUMEN TOTAL'!AL713</f>
        <v>0</v>
      </c>
      <c r="AF617" s="70">
        <f>'RESUMEN TOTAL'!AM713</f>
        <v>0</v>
      </c>
      <c r="AG617" s="70">
        <f>'RESUMEN TOTAL'!AN713</f>
        <v>0</v>
      </c>
      <c r="AH617" s="70">
        <f>'RESUMEN TOTAL'!AO713</f>
        <v>0</v>
      </c>
      <c r="AI617" s="70">
        <f>'RESUMEN TOTAL'!AP713</f>
        <v>0</v>
      </c>
    </row>
    <row r="618" spans="1:35" x14ac:dyDescent="0.25">
      <c r="A618">
        <f>'RESUMEN TOTAL'!A714</f>
        <v>0</v>
      </c>
      <c r="B618">
        <f>'RESUMEN TOTAL'!B714</f>
        <v>0</v>
      </c>
      <c r="C618">
        <f>'RESUMEN TOTAL'!D714</f>
        <v>0</v>
      </c>
      <c r="D618" s="30">
        <f>'RESUMEN TOTAL'!E714</f>
        <v>0</v>
      </c>
      <c r="E618" s="30">
        <f>'RESUMEN TOTAL'!F714</f>
        <v>0</v>
      </c>
      <c r="F618" s="70">
        <f>'RESUMEN TOTAL'!M714</f>
        <v>0</v>
      </c>
      <c r="G618" s="70">
        <f>'RESUMEN TOTAL'!N714</f>
        <v>0</v>
      </c>
      <c r="H618" s="70">
        <f>'RESUMEN TOTAL'!O714</f>
        <v>0</v>
      </c>
      <c r="I618" s="70">
        <f>'RESUMEN TOTAL'!P714</f>
        <v>0</v>
      </c>
      <c r="J618" s="70">
        <f>'RESUMEN TOTAL'!Q714</f>
        <v>0</v>
      </c>
      <c r="K618" s="70">
        <f>'RESUMEN TOTAL'!R714</f>
        <v>0</v>
      </c>
      <c r="L618" s="70">
        <f>'RESUMEN TOTAL'!S714</f>
        <v>0</v>
      </c>
      <c r="M618" s="70">
        <f>'RESUMEN TOTAL'!T714</f>
        <v>0</v>
      </c>
      <c r="N618" s="70">
        <f>'RESUMEN TOTAL'!U714</f>
        <v>0</v>
      </c>
      <c r="O618" s="70">
        <f>'RESUMEN TOTAL'!V714</f>
        <v>0</v>
      </c>
      <c r="P618" s="70">
        <f>'RESUMEN TOTAL'!W714</f>
        <v>0</v>
      </c>
      <c r="Q618" s="70">
        <f>'RESUMEN TOTAL'!X714</f>
        <v>0</v>
      </c>
      <c r="R618" s="70">
        <f>'RESUMEN TOTAL'!Y714</f>
        <v>0</v>
      </c>
      <c r="S618" s="70">
        <f>'RESUMEN TOTAL'!Z714</f>
        <v>0</v>
      </c>
      <c r="T618" s="70">
        <f>'RESUMEN TOTAL'!AA714</f>
        <v>0</v>
      </c>
      <c r="U618" s="70">
        <f>'RESUMEN TOTAL'!AB714</f>
        <v>0</v>
      </c>
      <c r="V618" s="70">
        <f>'RESUMEN TOTAL'!AC714</f>
        <v>0</v>
      </c>
      <c r="W618" s="70">
        <f>'RESUMEN TOTAL'!AD714</f>
        <v>0</v>
      </c>
      <c r="X618" s="70">
        <f>'RESUMEN TOTAL'!AE714</f>
        <v>0</v>
      </c>
      <c r="Y618" s="70">
        <f>'RESUMEN TOTAL'!AF714</f>
        <v>0</v>
      </c>
      <c r="Z618" s="70">
        <f>'RESUMEN TOTAL'!AG714</f>
        <v>0</v>
      </c>
      <c r="AA618" s="70">
        <f>'RESUMEN TOTAL'!AH714</f>
        <v>0</v>
      </c>
      <c r="AB618" s="70">
        <f>'RESUMEN TOTAL'!AI714</f>
        <v>0</v>
      </c>
      <c r="AC618" s="70">
        <f>'RESUMEN TOTAL'!AJ714</f>
        <v>0</v>
      </c>
      <c r="AD618" s="70">
        <f>'RESUMEN TOTAL'!AK714</f>
        <v>0</v>
      </c>
      <c r="AE618" s="70">
        <f>'RESUMEN TOTAL'!AL714</f>
        <v>0</v>
      </c>
      <c r="AF618" s="70">
        <f>'RESUMEN TOTAL'!AM714</f>
        <v>0</v>
      </c>
      <c r="AG618" s="70">
        <f>'RESUMEN TOTAL'!AN714</f>
        <v>0</v>
      </c>
      <c r="AH618" s="70">
        <f>'RESUMEN TOTAL'!AO714</f>
        <v>0</v>
      </c>
      <c r="AI618" s="70">
        <f>'RESUMEN TOTAL'!AP714</f>
        <v>0</v>
      </c>
    </row>
    <row r="619" spans="1:35" x14ac:dyDescent="0.25">
      <c r="A619">
        <f>'RESUMEN TOTAL'!A715</f>
        <v>0</v>
      </c>
      <c r="B619">
        <f>'RESUMEN TOTAL'!B715</f>
        <v>0</v>
      </c>
      <c r="C619">
        <f>'RESUMEN TOTAL'!D715</f>
        <v>0</v>
      </c>
      <c r="D619" s="30">
        <f>'RESUMEN TOTAL'!E715</f>
        <v>0</v>
      </c>
      <c r="E619" s="30">
        <f>'RESUMEN TOTAL'!F715</f>
        <v>0</v>
      </c>
      <c r="F619" s="70">
        <f>'RESUMEN TOTAL'!M715</f>
        <v>0</v>
      </c>
      <c r="G619" s="70">
        <f>'RESUMEN TOTAL'!N715</f>
        <v>0</v>
      </c>
      <c r="H619" s="70">
        <f>'RESUMEN TOTAL'!O715</f>
        <v>0</v>
      </c>
      <c r="I619" s="70">
        <f>'RESUMEN TOTAL'!P715</f>
        <v>0</v>
      </c>
      <c r="J619" s="70">
        <f>'RESUMEN TOTAL'!Q715</f>
        <v>0</v>
      </c>
      <c r="K619" s="70">
        <f>'RESUMEN TOTAL'!R715</f>
        <v>0</v>
      </c>
      <c r="L619" s="70">
        <f>'RESUMEN TOTAL'!S715</f>
        <v>0</v>
      </c>
      <c r="M619" s="70">
        <f>'RESUMEN TOTAL'!T715</f>
        <v>0</v>
      </c>
      <c r="N619" s="70">
        <f>'RESUMEN TOTAL'!U715</f>
        <v>0</v>
      </c>
      <c r="O619" s="70">
        <f>'RESUMEN TOTAL'!V715</f>
        <v>0</v>
      </c>
      <c r="P619" s="70">
        <f>'RESUMEN TOTAL'!W715</f>
        <v>0</v>
      </c>
      <c r="Q619" s="70">
        <f>'RESUMEN TOTAL'!X715</f>
        <v>0</v>
      </c>
      <c r="R619" s="70">
        <f>'RESUMEN TOTAL'!Y715</f>
        <v>0</v>
      </c>
      <c r="S619" s="70">
        <f>'RESUMEN TOTAL'!Z715</f>
        <v>0</v>
      </c>
      <c r="T619" s="70">
        <f>'RESUMEN TOTAL'!AA715</f>
        <v>0</v>
      </c>
      <c r="U619" s="70">
        <f>'RESUMEN TOTAL'!AB715</f>
        <v>0</v>
      </c>
      <c r="V619" s="70">
        <f>'RESUMEN TOTAL'!AC715</f>
        <v>0</v>
      </c>
      <c r="W619" s="70">
        <f>'RESUMEN TOTAL'!AD715</f>
        <v>0</v>
      </c>
      <c r="X619" s="70">
        <f>'RESUMEN TOTAL'!AE715</f>
        <v>0</v>
      </c>
      <c r="Y619" s="70">
        <f>'RESUMEN TOTAL'!AF715</f>
        <v>0</v>
      </c>
      <c r="Z619" s="70">
        <f>'RESUMEN TOTAL'!AG715</f>
        <v>0</v>
      </c>
      <c r="AA619" s="70">
        <f>'RESUMEN TOTAL'!AH715</f>
        <v>0</v>
      </c>
      <c r="AB619" s="70">
        <f>'RESUMEN TOTAL'!AI715</f>
        <v>0</v>
      </c>
      <c r="AC619" s="70">
        <f>'RESUMEN TOTAL'!AJ715</f>
        <v>0</v>
      </c>
      <c r="AD619" s="70">
        <f>'RESUMEN TOTAL'!AK715</f>
        <v>0</v>
      </c>
      <c r="AE619" s="70">
        <f>'RESUMEN TOTAL'!AL715</f>
        <v>0</v>
      </c>
      <c r="AF619" s="70">
        <f>'RESUMEN TOTAL'!AM715</f>
        <v>0</v>
      </c>
      <c r="AG619" s="70">
        <f>'RESUMEN TOTAL'!AN715</f>
        <v>0</v>
      </c>
      <c r="AH619" s="70">
        <f>'RESUMEN TOTAL'!AO715</f>
        <v>0</v>
      </c>
      <c r="AI619" s="70">
        <f>'RESUMEN TOTAL'!AP715</f>
        <v>0</v>
      </c>
    </row>
    <row r="620" spans="1:35" x14ac:dyDescent="0.25">
      <c r="A620">
        <f>'RESUMEN TOTAL'!A716</f>
        <v>0</v>
      </c>
      <c r="B620">
        <f>'RESUMEN TOTAL'!B716</f>
        <v>0</v>
      </c>
      <c r="C620">
        <f>'RESUMEN TOTAL'!D716</f>
        <v>0</v>
      </c>
      <c r="D620" s="30">
        <f>'RESUMEN TOTAL'!E716</f>
        <v>0</v>
      </c>
      <c r="E620" s="30">
        <f>'RESUMEN TOTAL'!F716</f>
        <v>0</v>
      </c>
      <c r="F620" s="70">
        <f>'RESUMEN TOTAL'!M716</f>
        <v>0</v>
      </c>
      <c r="G620" s="70">
        <f>'RESUMEN TOTAL'!N716</f>
        <v>0</v>
      </c>
      <c r="H620" s="70">
        <f>'RESUMEN TOTAL'!O716</f>
        <v>0</v>
      </c>
      <c r="I620" s="70">
        <f>'RESUMEN TOTAL'!P716</f>
        <v>0</v>
      </c>
      <c r="J620" s="70">
        <f>'RESUMEN TOTAL'!Q716</f>
        <v>0</v>
      </c>
      <c r="K620" s="70">
        <f>'RESUMEN TOTAL'!R716</f>
        <v>0</v>
      </c>
      <c r="L620" s="70">
        <f>'RESUMEN TOTAL'!S716</f>
        <v>0</v>
      </c>
      <c r="M620" s="70">
        <f>'RESUMEN TOTAL'!T716</f>
        <v>0</v>
      </c>
      <c r="N620" s="70">
        <f>'RESUMEN TOTAL'!U716</f>
        <v>0</v>
      </c>
      <c r="O620" s="70">
        <f>'RESUMEN TOTAL'!V716</f>
        <v>0</v>
      </c>
      <c r="P620" s="70">
        <f>'RESUMEN TOTAL'!W716</f>
        <v>0</v>
      </c>
      <c r="Q620" s="70">
        <f>'RESUMEN TOTAL'!X716</f>
        <v>0</v>
      </c>
      <c r="R620" s="70">
        <f>'RESUMEN TOTAL'!Y716</f>
        <v>0</v>
      </c>
      <c r="S620" s="70">
        <f>'RESUMEN TOTAL'!Z716</f>
        <v>0</v>
      </c>
      <c r="T620" s="70">
        <f>'RESUMEN TOTAL'!AA716</f>
        <v>0</v>
      </c>
      <c r="U620" s="70">
        <f>'RESUMEN TOTAL'!AB716</f>
        <v>0</v>
      </c>
      <c r="V620" s="70">
        <f>'RESUMEN TOTAL'!AC716</f>
        <v>0</v>
      </c>
      <c r="W620" s="70">
        <f>'RESUMEN TOTAL'!AD716</f>
        <v>0</v>
      </c>
      <c r="X620" s="70">
        <f>'RESUMEN TOTAL'!AE716</f>
        <v>0</v>
      </c>
      <c r="Y620" s="70">
        <f>'RESUMEN TOTAL'!AF716</f>
        <v>0</v>
      </c>
      <c r="Z620" s="70">
        <f>'RESUMEN TOTAL'!AG716</f>
        <v>0</v>
      </c>
      <c r="AA620" s="70">
        <f>'RESUMEN TOTAL'!AH716</f>
        <v>0</v>
      </c>
      <c r="AB620" s="70">
        <f>'RESUMEN TOTAL'!AI716</f>
        <v>0</v>
      </c>
      <c r="AC620" s="70">
        <f>'RESUMEN TOTAL'!AJ716</f>
        <v>0</v>
      </c>
      <c r="AD620" s="70">
        <f>'RESUMEN TOTAL'!AK716</f>
        <v>0</v>
      </c>
      <c r="AE620" s="70">
        <f>'RESUMEN TOTAL'!AL716</f>
        <v>0</v>
      </c>
      <c r="AF620" s="70">
        <f>'RESUMEN TOTAL'!AM716</f>
        <v>0</v>
      </c>
      <c r="AG620" s="70">
        <f>'RESUMEN TOTAL'!AN716</f>
        <v>0</v>
      </c>
      <c r="AH620" s="70">
        <f>'RESUMEN TOTAL'!AO716</f>
        <v>0</v>
      </c>
      <c r="AI620" s="70">
        <f>'RESUMEN TOTAL'!AP716</f>
        <v>0</v>
      </c>
    </row>
    <row r="621" spans="1:35" x14ac:dyDescent="0.25">
      <c r="A621">
        <f>'RESUMEN TOTAL'!A717</f>
        <v>0</v>
      </c>
      <c r="B621">
        <f>'RESUMEN TOTAL'!B717</f>
        <v>0</v>
      </c>
      <c r="C621">
        <f>'RESUMEN TOTAL'!D717</f>
        <v>0</v>
      </c>
      <c r="D621" s="30">
        <f>'RESUMEN TOTAL'!E717</f>
        <v>0</v>
      </c>
      <c r="E621" s="30">
        <f>'RESUMEN TOTAL'!F717</f>
        <v>0</v>
      </c>
      <c r="F621" s="70">
        <f>'RESUMEN TOTAL'!M717</f>
        <v>0</v>
      </c>
      <c r="G621" s="70">
        <f>'RESUMEN TOTAL'!N717</f>
        <v>0</v>
      </c>
      <c r="H621" s="70">
        <f>'RESUMEN TOTAL'!O717</f>
        <v>0</v>
      </c>
      <c r="I621" s="70">
        <f>'RESUMEN TOTAL'!P717</f>
        <v>0</v>
      </c>
      <c r="J621" s="70">
        <f>'RESUMEN TOTAL'!Q717</f>
        <v>0</v>
      </c>
      <c r="K621" s="70">
        <f>'RESUMEN TOTAL'!R717</f>
        <v>0</v>
      </c>
      <c r="L621" s="70">
        <f>'RESUMEN TOTAL'!S717</f>
        <v>0</v>
      </c>
      <c r="M621" s="70">
        <f>'RESUMEN TOTAL'!T717</f>
        <v>0</v>
      </c>
      <c r="N621" s="70">
        <f>'RESUMEN TOTAL'!U717</f>
        <v>0</v>
      </c>
      <c r="O621" s="70">
        <f>'RESUMEN TOTAL'!V717</f>
        <v>0</v>
      </c>
      <c r="P621" s="70">
        <f>'RESUMEN TOTAL'!W717</f>
        <v>0</v>
      </c>
      <c r="Q621" s="70">
        <f>'RESUMEN TOTAL'!X717</f>
        <v>0</v>
      </c>
      <c r="R621" s="70">
        <f>'RESUMEN TOTAL'!Y717</f>
        <v>0</v>
      </c>
      <c r="S621" s="70">
        <f>'RESUMEN TOTAL'!Z717</f>
        <v>0</v>
      </c>
      <c r="T621" s="70">
        <f>'RESUMEN TOTAL'!AA717</f>
        <v>0</v>
      </c>
      <c r="U621" s="70">
        <f>'RESUMEN TOTAL'!AB717</f>
        <v>0</v>
      </c>
      <c r="V621" s="70">
        <f>'RESUMEN TOTAL'!AC717</f>
        <v>0</v>
      </c>
      <c r="W621" s="70">
        <f>'RESUMEN TOTAL'!AD717</f>
        <v>0</v>
      </c>
      <c r="X621" s="70">
        <f>'RESUMEN TOTAL'!AE717</f>
        <v>0</v>
      </c>
      <c r="Y621" s="70">
        <f>'RESUMEN TOTAL'!AF717</f>
        <v>0</v>
      </c>
      <c r="Z621" s="70">
        <f>'RESUMEN TOTAL'!AG717</f>
        <v>0</v>
      </c>
      <c r="AA621" s="70">
        <f>'RESUMEN TOTAL'!AH717</f>
        <v>0</v>
      </c>
      <c r="AB621" s="70">
        <f>'RESUMEN TOTAL'!AI717</f>
        <v>0</v>
      </c>
      <c r="AC621" s="70">
        <f>'RESUMEN TOTAL'!AJ717</f>
        <v>0</v>
      </c>
      <c r="AD621" s="70">
        <f>'RESUMEN TOTAL'!AK717</f>
        <v>0</v>
      </c>
      <c r="AE621" s="70">
        <f>'RESUMEN TOTAL'!AL717</f>
        <v>0</v>
      </c>
      <c r="AF621" s="70">
        <f>'RESUMEN TOTAL'!AM717</f>
        <v>0</v>
      </c>
      <c r="AG621" s="70">
        <f>'RESUMEN TOTAL'!AN717</f>
        <v>0</v>
      </c>
      <c r="AH621" s="70">
        <f>'RESUMEN TOTAL'!AO717</f>
        <v>0</v>
      </c>
      <c r="AI621" s="70">
        <f>'RESUMEN TOTAL'!AP717</f>
        <v>0</v>
      </c>
    </row>
    <row r="622" spans="1:35" x14ac:dyDescent="0.25">
      <c r="A622">
        <f>'RESUMEN TOTAL'!A718</f>
        <v>0</v>
      </c>
      <c r="B622">
        <f>'RESUMEN TOTAL'!B718</f>
        <v>0</v>
      </c>
      <c r="C622">
        <f>'RESUMEN TOTAL'!D718</f>
        <v>0</v>
      </c>
      <c r="D622" s="30">
        <f>'RESUMEN TOTAL'!E718</f>
        <v>0</v>
      </c>
      <c r="E622" s="30">
        <f>'RESUMEN TOTAL'!F718</f>
        <v>0</v>
      </c>
      <c r="F622" s="70">
        <f>'RESUMEN TOTAL'!M718</f>
        <v>0</v>
      </c>
      <c r="G622" s="70">
        <f>'RESUMEN TOTAL'!N718</f>
        <v>0</v>
      </c>
      <c r="H622" s="70">
        <f>'RESUMEN TOTAL'!O718</f>
        <v>0</v>
      </c>
      <c r="I622" s="70">
        <f>'RESUMEN TOTAL'!P718</f>
        <v>0</v>
      </c>
      <c r="J622" s="70">
        <f>'RESUMEN TOTAL'!Q718</f>
        <v>0</v>
      </c>
      <c r="K622" s="70">
        <f>'RESUMEN TOTAL'!R718</f>
        <v>0</v>
      </c>
      <c r="L622" s="70">
        <f>'RESUMEN TOTAL'!S718</f>
        <v>0</v>
      </c>
      <c r="M622" s="70">
        <f>'RESUMEN TOTAL'!T718</f>
        <v>0</v>
      </c>
      <c r="N622" s="70">
        <f>'RESUMEN TOTAL'!U718</f>
        <v>0</v>
      </c>
      <c r="O622" s="70">
        <f>'RESUMEN TOTAL'!V718</f>
        <v>0</v>
      </c>
      <c r="P622" s="70">
        <f>'RESUMEN TOTAL'!W718</f>
        <v>0</v>
      </c>
      <c r="Q622" s="70">
        <f>'RESUMEN TOTAL'!X718</f>
        <v>0</v>
      </c>
      <c r="R622" s="70">
        <f>'RESUMEN TOTAL'!Y718</f>
        <v>0</v>
      </c>
      <c r="S622" s="70">
        <f>'RESUMEN TOTAL'!Z718</f>
        <v>0</v>
      </c>
      <c r="T622" s="70">
        <f>'RESUMEN TOTAL'!AA718</f>
        <v>0</v>
      </c>
      <c r="U622" s="70">
        <f>'RESUMEN TOTAL'!AB718</f>
        <v>0</v>
      </c>
      <c r="V622" s="70">
        <f>'RESUMEN TOTAL'!AC718</f>
        <v>0</v>
      </c>
      <c r="W622" s="70">
        <f>'RESUMEN TOTAL'!AD718</f>
        <v>0</v>
      </c>
      <c r="X622" s="70">
        <f>'RESUMEN TOTAL'!AE718</f>
        <v>0</v>
      </c>
      <c r="Y622" s="70">
        <f>'RESUMEN TOTAL'!AF718</f>
        <v>0</v>
      </c>
      <c r="Z622" s="70">
        <f>'RESUMEN TOTAL'!AG718</f>
        <v>0</v>
      </c>
      <c r="AA622" s="70">
        <f>'RESUMEN TOTAL'!AH718</f>
        <v>0</v>
      </c>
      <c r="AB622" s="70">
        <f>'RESUMEN TOTAL'!AI718</f>
        <v>0</v>
      </c>
      <c r="AC622" s="70">
        <f>'RESUMEN TOTAL'!AJ718</f>
        <v>0</v>
      </c>
      <c r="AD622" s="70">
        <f>'RESUMEN TOTAL'!AK718</f>
        <v>0</v>
      </c>
      <c r="AE622" s="70">
        <f>'RESUMEN TOTAL'!AL718</f>
        <v>0</v>
      </c>
      <c r="AF622" s="70">
        <f>'RESUMEN TOTAL'!AM718</f>
        <v>0</v>
      </c>
      <c r="AG622" s="70">
        <f>'RESUMEN TOTAL'!AN718</f>
        <v>0</v>
      </c>
      <c r="AH622" s="70">
        <f>'RESUMEN TOTAL'!AO718</f>
        <v>0</v>
      </c>
      <c r="AI622" s="70">
        <f>'RESUMEN TOTAL'!AP718</f>
        <v>0</v>
      </c>
    </row>
    <row r="623" spans="1:35" x14ac:dyDescent="0.25">
      <c r="A623">
        <f>'RESUMEN TOTAL'!A719</f>
        <v>0</v>
      </c>
      <c r="B623">
        <f>'RESUMEN TOTAL'!B719</f>
        <v>0</v>
      </c>
      <c r="C623">
        <f>'RESUMEN TOTAL'!D719</f>
        <v>0</v>
      </c>
      <c r="D623" s="30">
        <f>'RESUMEN TOTAL'!E719</f>
        <v>0</v>
      </c>
      <c r="E623" s="30">
        <f>'RESUMEN TOTAL'!F719</f>
        <v>0</v>
      </c>
      <c r="F623" s="70">
        <f>'RESUMEN TOTAL'!M719</f>
        <v>0</v>
      </c>
      <c r="G623" s="70">
        <f>'RESUMEN TOTAL'!N719</f>
        <v>0</v>
      </c>
      <c r="H623" s="70">
        <f>'RESUMEN TOTAL'!O719</f>
        <v>0</v>
      </c>
      <c r="I623" s="70">
        <f>'RESUMEN TOTAL'!P719</f>
        <v>0</v>
      </c>
      <c r="J623" s="70">
        <f>'RESUMEN TOTAL'!Q719</f>
        <v>0</v>
      </c>
      <c r="K623" s="70">
        <f>'RESUMEN TOTAL'!R719</f>
        <v>0</v>
      </c>
      <c r="L623" s="70">
        <f>'RESUMEN TOTAL'!S719</f>
        <v>0</v>
      </c>
      <c r="M623" s="70">
        <f>'RESUMEN TOTAL'!T719</f>
        <v>0</v>
      </c>
      <c r="N623" s="70">
        <f>'RESUMEN TOTAL'!U719</f>
        <v>0</v>
      </c>
      <c r="O623" s="70">
        <f>'RESUMEN TOTAL'!V719</f>
        <v>0</v>
      </c>
      <c r="P623" s="70">
        <f>'RESUMEN TOTAL'!W719</f>
        <v>0</v>
      </c>
      <c r="Q623" s="70">
        <f>'RESUMEN TOTAL'!X719</f>
        <v>0</v>
      </c>
      <c r="R623" s="70">
        <f>'RESUMEN TOTAL'!Y719</f>
        <v>0</v>
      </c>
      <c r="S623" s="70">
        <f>'RESUMEN TOTAL'!Z719</f>
        <v>0</v>
      </c>
      <c r="T623" s="70">
        <f>'RESUMEN TOTAL'!AA719</f>
        <v>0</v>
      </c>
      <c r="U623" s="70">
        <f>'RESUMEN TOTAL'!AB719</f>
        <v>0</v>
      </c>
      <c r="V623" s="70">
        <f>'RESUMEN TOTAL'!AC719</f>
        <v>0</v>
      </c>
      <c r="W623" s="70">
        <f>'RESUMEN TOTAL'!AD719</f>
        <v>0</v>
      </c>
      <c r="X623" s="70">
        <f>'RESUMEN TOTAL'!AE719</f>
        <v>0</v>
      </c>
      <c r="Y623" s="70">
        <f>'RESUMEN TOTAL'!AF719</f>
        <v>0</v>
      </c>
      <c r="Z623" s="70">
        <f>'RESUMEN TOTAL'!AG719</f>
        <v>0</v>
      </c>
      <c r="AA623" s="70">
        <f>'RESUMEN TOTAL'!AH719</f>
        <v>0</v>
      </c>
      <c r="AB623" s="70">
        <f>'RESUMEN TOTAL'!AI719</f>
        <v>0</v>
      </c>
      <c r="AC623" s="70">
        <f>'RESUMEN TOTAL'!AJ719</f>
        <v>0</v>
      </c>
      <c r="AD623" s="70">
        <f>'RESUMEN TOTAL'!AK719</f>
        <v>0</v>
      </c>
      <c r="AE623" s="70">
        <f>'RESUMEN TOTAL'!AL719</f>
        <v>0</v>
      </c>
      <c r="AF623" s="70">
        <f>'RESUMEN TOTAL'!AM719</f>
        <v>0</v>
      </c>
      <c r="AG623" s="70">
        <f>'RESUMEN TOTAL'!AN719</f>
        <v>0</v>
      </c>
      <c r="AH623" s="70">
        <f>'RESUMEN TOTAL'!AO719</f>
        <v>0</v>
      </c>
      <c r="AI623" s="70">
        <f>'RESUMEN TOTAL'!AP719</f>
        <v>0</v>
      </c>
    </row>
    <row r="624" spans="1:35" x14ac:dyDescent="0.25">
      <c r="A624">
        <f>'RESUMEN TOTAL'!A720</f>
        <v>0</v>
      </c>
      <c r="B624">
        <f>'RESUMEN TOTAL'!B720</f>
        <v>0</v>
      </c>
      <c r="C624">
        <f>'RESUMEN TOTAL'!D720</f>
        <v>0</v>
      </c>
      <c r="D624" s="30">
        <f>'RESUMEN TOTAL'!E720</f>
        <v>0</v>
      </c>
      <c r="E624" s="30">
        <f>'RESUMEN TOTAL'!F720</f>
        <v>0</v>
      </c>
      <c r="F624" s="70">
        <f>'RESUMEN TOTAL'!M720</f>
        <v>0</v>
      </c>
      <c r="G624" s="70">
        <f>'RESUMEN TOTAL'!N720</f>
        <v>0</v>
      </c>
      <c r="H624" s="70">
        <f>'RESUMEN TOTAL'!O720</f>
        <v>0</v>
      </c>
      <c r="I624" s="70">
        <f>'RESUMEN TOTAL'!P720</f>
        <v>0</v>
      </c>
      <c r="J624" s="70">
        <f>'RESUMEN TOTAL'!Q720</f>
        <v>0</v>
      </c>
      <c r="K624" s="70">
        <f>'RESUMEN TOTAL'!R720</f>
        <v>0</v>
      </c>
      <c r="L624" s="70">
        <f>'RESUMEN TOTAL'!S720</f>
        <v>0</v>
      </c>
      <c r="M624" s="70">
        <f>'RESUMEN TOTAL'!T720</f>
        <v>0</v>
      </c>
      <c r="N624" s="70">
        <f>'RESUMEN TOTAL'!U720</f>
        <v>0</v>
      </c>
      <c r="O624" s="70">
        <f>'RESUMEN TOTAL'!V720</f>
        <v>0</v>
      </c>
      <c r="P624" s="70">
        <f>'RESUMEN TOTAL'!W720</f>
        <v>0</v>
      </c>
      <c r="Q624" s="70">
        <f>'RESUMEN TOTAL'!X720</f>
        <v>0</v>
      </c>
      <c r="R624" s="70">
        <f>'RESUMEN TOTAL'!Y720</f>
        <v>0</v>
      </c>
      <c r="S624" s="70">
        <f>'RESUMEN TOTAL'!Z720</f>
        <v>0</v>
      </c>
      <c r="T624" s="70">
        <f>'RESUMEN TOTAL'!AA720</f>
        <v>0</v>
      </c>
      <c r="U624" s="70">
        <f>'RESUMEN TOTAL'!AB720</f>
        <v>0</v>
      </c>
      <c r="V624" s="70">
        <f>'RESUMEN TOTAL'!AC720</f>
        <v>0</v>
      </c>
      <c r="W624" s="70">
        <f>'RESUMEN TOTAL'!AD720</f>
        <v>0</v>
      </c>
      <c r="X624" s="70">
        <f>'RESUMEN TOTAL'!AE720</f>
        <v>0</v>
      </c>
      <c r="Y624" s="70">
        <f>'RESUMEN TOTAL'!AF720</f>
        <v>0</v>
      </c>
      <c r="Z624" s="70">
        <f>'RESUMEN TOTAL'!AG720</f>
        <v>0</v>
      </c>
      <c r="AA624" s="70">
        <f>'RESUMEN TOTAL'!AH720</f>
        <v>0</v>
      </c>
      <c r="AB624" s="70">
        <f>'RESUMEN TOTAL'!AI720</f>
        <v>0</v>
      </c>
      <c r="AC624" s="70">
        <f>'RESUMEN TOTAL'!AJ720</f>
        <v>0</v>
      </c>
      <c r="AD624" s="70">
        <f>'RESUMEN TOTAL'!AK720</f>
        <v>0</v>
      </c>
      <c r="AE624" s="70">
        <f>'RESUMEN TOTAL'!AL720</f>
        <v>0</v>
      </c>
      <c r="AF624" s="70">
        <f>'RESUMEN TOTAL'!AM720</f>
        <v>0</v>
      </c>
      <c r="AG624" s="70">
        <f>'RESUMEN TOTAL'!AN720</f>
        <v>0</v>
      </c>
      <c r="AH624" s="70">
        <f>'RESUMEN TOTAL'!AO720</f>
        <v>0</v>
      </c>
      <c r="AI624" s="70">
        <f>'RESUMEN TOTAL'!AP720</f>
        <v>0</v>
      </c>
    </row>
    <row r="625" spans="1:35" x14ac:dyDescent="0.25">
      <c r="A625">
        <f>'RESUMEN TOTAL'!A721</f>
        <v>0</v>
      </c>
      <c r="B625">
        <f>'RESUMEN TOTAL'!B721</f>
        <v>0</v>
      </c>
      <c r="C625">
        <f>'RESUMEN TOTAL'!D721</f>
        <v>0</v>
      </c>
      <c r="D625" s="30">
        <f>'RESUMEN TOTAL'!E721</f>
        <v>0</v>
      </c>
      <c r="E625" s="30">
        <f>'RESUMEN TOTAL'!F721</f>
        <v>0</v>
      </c>
      <c r="F625" s="70">
        <f>'RESUMEN TOTAL'!M721</f>
        <v>0</v>
      </c>
      <c r="G625" s="70">
        <f>'RESUMEN TOTAL'!N721</f>
        <v>0</v>
      </c>
      <c r="H625" s="70">
        <f>'RESUMEN TOTAL'!O721</f>
        <v>0</v>
      </c>
      <c r="I625" s="70">
        <f>'RESUMEN TOTAL'!P721</f>
        <v>0</v>
      </c>
      <c r="J625" s="70">
        <f>'RESUMEN TOTAL'!Q721</f>
        <v>0</v>
      </c>
      <c r="K625" s="70">
        <f>'RESUMEN TOTAL'!R721</f>
        <v>0</v>
      </c>
      <c r="L625" s="70">
        <f>'RESUMEN TOTAL'!S721</f>
        <v>0</v>
      </c>
      <c r="M625" s="70">
        <f>'RESUMEN TOTAL'!T721</f>
        <v>0</v>
      </c>
      <c r="N625" s="70">
        <f>'RESUMEN TOTAL'!U721</f>
        <v>0</v>
      </c>
      <c r="O625" s="70">
        <f>'RESUMEN TOTAL'!V721</f>
        <v>0</v>
      </c>
      <c r="P625" s="70">
        <f>'RESUMEN TOTAL'!W721</f>
        <v>0</v>
      </c>
      <c r="Q625" s="70">
        <f>'RESUMEN TOTAL'!X721</f>
        <v>0</v>
      </c>
      <c r="R625" s="70">
        <f>'RESUMEN TOTAL'!Y721</f>
        <v>0</v>
      </c>
      <c r="S625" s="70">
        <f>'RESUMEN TOTAL'!Z721</f>
        <v>0</v>
      </c>
      <c r="T625" s="70">
        <f>'RESUMEN TOTAL'!AA721</f>
        <v>0</v>
      </c>
      <c r="U625" s="70">
        <f>'RESUMEN TOTAL'!AB721</f>
        <v>0</v>
      </c>
      <c r="V625" s="70">
        <f>'RESUMEN TOTAL'!AC721</f>
        <v>0</v>
      </c>
      <c r="W625" s="70">
        <f>'RESUMEN TOTAL'!AD721</f>
        <v>0</v>
      </c>
      <c r="X625" s="70">
        <f>'RESUMEN TOTAL'!AE721</f>
        <v>0</v>
      </c>
      <c r="Y625" s="70">
        <f>'RESUMEN TOTAL'!AF721</f>
        <v>0</v>
      </c>
      <c r="Z625" s="70">
        <f>'RESUMEN TOTAL'!AG721</f>
        <v>0</v>
      </c>
      <c r="AA625" s="70">
        <f>'RESUMEN TOTAL'!AH721</f>
        <v>0</v>
      </c>
      <c r="AB625" s="70">
        <f>'RESUMEN TOTAL'!AI721</f>
        <v>0</v>
      </c>
      <c r="AC625" s="70">
        <f>'RESUMEN TOTAL'!AJ721</f>
        <v>0</v>
      </c>
      <c r="AD625" s="70">
        <f>'RESUMEN TOTAL'!AK721</f>
        <v>0</v>
      </c>
      <c r="AE625" s="70">
        <f>'RESUMEN TOTAL'!AL721</f>
        <v>0</v>
      </c>
      <c r="AF625" s="70">
        <f>'RESUMEN TOTAL'!AM721</f>
        <v>0</v>
      </c>
      <c r="AG625" s="70">
        <f>'RESUMEN TOTAL'!AN721</f>
        <v>0</v>
      </c>
      <c r="AH625" s="70">
        <f>'RESUMEN TOTAL'!AO721</f>
        <v>0</v>
      </c>
      <c r="AI625" s="70">
        <f>'RESUMEN TOTAL'!AP721</f>
        <v>0</v>
      </c>
    </row>
    <row r="626" spans="1:35" x14ac:dyDescent="0.25">
      <c r="A626">
        <f>'RESUMEN TOTAL'!A722</f>
        <v>0</v>
      </c>
      <c r="B626">
        <f>'RESUMEN TOTAL'!B722</f>
        <v>0</v>
      </c>
      <c r="C626">
        <f>'RESUMEN TOTAL'!D722</f>
        <v>0</v>
      </c>
      <c r="D626" s="30">
        <f>'RESUMEN TOTAL'!E722</f>
        <v>0</v>
      </c>
      <c r="E626" s="30">
        <f>'RESUMEN TOTAL'!F722</f>
        <v>0</v>
      </c>
      <c r="F626" s="70">
        <f>'RESUMEN TOTAL'!M722</f>
        <v>0</v>
      </c>
      <c r="G626" s="70">
        <f>'RESUMEN TOTAL'!N722</f>
        <v>0</v>
      </c>
      <c r="H626" s="70">
        <f>'RESUMEN TOTAL'!O722</f>
        <v>0</v>
      </c>
      <c r="I626" s="70">
        <f>'RESUMEN TOTAL'!P722</f>
        <v>0</v>
      </c>
      <c r="J626" s="70">
        <f>'RESUMEN TOTAL'!Q722</f>
        <v>0</v>
      </c>
      <c r="K626" s="70">
        <f>'RESUMEN TOTAL'!R722</f>
        <v>0</v>
      </c>
      <c r="L626" s="70">
        <f>'RESUMEN TOTAL'!S722</f>
        <v>0</v>
      </c>
      <c r="M626" s="70">
        <f>'RESUMEN TOTAL'!T722</f>
        <v>0</v>
      </c>
      <c r="N626" s="70">
        <f>'RESUMEN TOTAL'!U722</f>
        <v>0</v>
      </c>
      <c r="O626" s="70">
        <f>'RESUMEN TOTAL'!V722</f>
        <v>0</v>
      </c>
      <c r="P626" s="70">
        <f>'RESUMEN TOTAL'!W722</f>
        <v>0</v>
      </c>
      <c r="Q626" s="70">
        <f>'RESUMEN TOTAL'!X722</f>
        <v>0</v>
      </c>
      <c r="R626" s="70">
        <f>'RESUMEN TOTAL'!Y722</f>
        <v>0</v>
      </c>
      <c r="S626" s="70">
        <f>'RESUMEN TOTAL'!Z722</f>
        <v>0</v>
      </c>
      <c r="T626" s="70">
        <f>'RESUMEN TOTAL'!AA722</f>
        <v>0</v>
      </c>
      <c r="U626" s="70">
        <f>'RESUMEN TOTAL'!AB722</f>
        <v>0</v>
      </c>
      <c r="V626" s="70">
        <f>'RESUMEN TOTAL'!AC722</f>
        <v>0</v>
      </c>
      <c r="W626" s="70">
        <f>'RESUMEN TOTAL'!AD722</f>
        <v>0</v>
      </c>
      <c r="X626" s="70">
        <f>'RESUMEN TOTAL'!AE722</f>
        <v>0</v>
      </c>
      <c r="Y626" s="70">
        <f>'RESUMEN TOTAL'!AF722</f>
        <v>0</v>
      </c>
      <c r="Z626" s="70">
        <f>'RESUMEN TOTAL'!AG722</f>
        <v>0</v>
      </c>
      <c r="AA626" s="70">
        <f>'RESUMEN TOTAL'!AH722</f>
        <v>0</v>
      </c>
      <c r="AB626" s="70">
        <f>'RESUMEN TOTAL'!AI722</f>
        <v>0</v>
      </c>
      <c r="AC626" s="70">
        <f>'RESUMEN TOTAL'!AJ722</f>
        <v>0</v>
      </c>
      <c r="AD626" s="70">
        <f>'RESUMEN TOTAL'!AK722</f>
        <v>0</v>
      </c>
      <c r="AE626" s="70">
        <f>'RESUMEN TOTAL'!AL722</f>
        <v>0</v>
      </c>
      <c r="AF626" s="70">
        <f>'RESUMEN TOTAL'!AM722</f>
        <v>0</v>
      </c>
      <c r="AG626" s="70">
        <f>'RESUMEN TOTAL'!AN722</f>
        <v>0</v>
      </c>
      <c r="AH626" s="70">
        <f>'RESUMEN TOTAL'!AO722</f>
        <v>0</v>
      </c>
      <c r="AI626" s="70">
        <f>'RESUMEN TOTAL'!AP722</f>
        <v>0</v>
      </c>
    </row>
    <row r="627" spans="1:35" x14ac:dyDescent="0.25">
      <c r="A627">
        <f>'RESUMEN TOTAL'!A723</f>
        <v>0</v>
      </c>
      <c r="B627">
        <f>'RESUMEN TOTAL'!B723</f>
        <v>0</v>
      </c>
      <c r="C627">
        <f>'RESUMEN TOTAL'!D723</f>
        <v>0</v>
      </c>
      <c r="D627" s="30">
        <f>'RESUMEN TOTAL'!E723</f>
        <v>0</v>
      </c>
      <c r="E627" s="30">
        <f>'RESUMEN TOTAL'!F723</f>
        <v>0</v>
      </c>
      <c r="F627" s="70">
        <f>'RESUMEN TOTAL'!M723</f>
        <v>0</v>
      </c>
      <c r="G627" s="70">
        <f>'RESUMEN TOTAL'!N723</f>
        <v>0</v>
      </c>
      <c r="H627" s="70">
        <f>'RESUMEN TOTAL'!O723</f>
        <v>0</v>
      </c>
      <c r="I627" s="70">
        <f>'RESUMEN TOTAL'!P723</f>
        <v>0</v>
      </c>
      <c r="J627" s="70">
        <f>'RESUMEN TOTAL'!Q723</f>
        <v>0</v>
      </c>
      <c r="K627" s="70">
        <f>'RESUMEN TOTAL'!R723</f>
        <v>0</v>
      </c>
      <c r="L627" s="70">
        <f>'RESUMEN TOTAL'!S723</f>
        <v>0</v>
      </c>
      <c r="M627" s="70">
        <f>'RESUMEN TOTAL'!T723</f>
        <v>0</v>
      </c>
      <c r="N627" s="70">
        <f>'RESUMEN TOTAL'!U723</f>
        <v>0</v>
      </c>
      <c r="O627" s="70">
        <f>'RESUMEN TOTAL'!V723</f>
        <v>0</v>
      </c>
      <c r="P627" s="70">
        <f>'RESUMEN TOTAL'!W723</f>
        <v>0</v>
      </c>
      <c r="Q627" s="70">
        <f>'RESUMEN TOTAL'!X723</f>
        <v>0</v>
      </c>
      <c r="R627" s="70">
        <f>'RESUMEN TOTAL'!Y723</f>
        <v>0</v>
      </c>
      <c r="S627" s="70">
        <f>'RESUMEN TOTAL'!Z723</f>
        <v>0</v>
      </c>
      <c r="T627" s="70">
        <f>'RESUMEN TOTAL'!AA723</f>
        <v>0</v>
      </c>
      <c r="U627" s="70">
        <f>'RESUMEN TOTAL'!AB723</f>
        <v>0</v>
      </c>
      <c r="V627" s="70">
        <f>'RESUMEN TOTAL'!AC723</f>
        <v>0</v>
      </c>
      <c r="W627" s="70">
        <f>'RESUMEN TOTAL'!AD723</f>
        <v>0</v>
      </c>
      <c r="X627" s="70">
        <f>'RESUMEN TOTAL'!AE723</f>
        <v>0</v>
      </c>
      <c r="Y627" s="70">
        <f>'RESUMEN TOTAL'!AF723</f>
        <v>0</v>
      </c>
      <c r="Z627" s="70">
        <f>'RESUMEN TOTAL'!AG723</f>
        <v>0</v>
      </c>
      <c r="AA627" s="70">
        <f>'RESUMEN TOTAL'!AH723</f>
        <v>0</v>
      </c>
      <c r="AB627" s="70">
        <f>'RESUMEN TOTAL'!AI723</f>
        <v>0</v>
      </c>
      <c r="AC627" s="70">
        <f>'RESUMEN TOTAL'!AJ723</f>
        <v>0</v>
      </c>
      <c r="AD627" s="70">
        <f>'RESUMEN TOTAL'!AK723</f>
        <v>0</v>
      </c>
      <c r="AE627" s="70">
        <f>'RESUMEN TOTAL'!AL723</f>
        <v>0</v>
      </c>
      <c r="AF627" s="70">
        <f>'RESUMEN TOTAL'!AM723</f>
        <v>0</v>
      </c>
      <c r="AG627" s="70">
        <f>'RESUMEN TOTAL'!AN723</f>
        <v>0</v>
      </c>
      <c r="AH627" s="70">
        <f>'RESUMEN TOTAL'!AO723</f>
        <v>0</v>
      </c>
      <c r="AI627" s="70">
        <f>'RESUMEN TOTAL'!AP723</f>
        <v>0</v>
      </c>
    </row>
    <row r="628" spans="1:35" x14ac:dyDescent="0.25">
      <c r="A628">
        <f>'RESUMEN TOTAL'!A724</f>
        <v>0</v>
      </c>
      <c r="B628">
        <f>'RESUMEN TOTAL'!B724</f>
        <v>0</v>
      </c>
      <c r="C628">
        <f>'RESUMEN TOTAL'!D724</f>
        <v>0</v>
      </c>
      <c r="D628" s="30">
        <f>'RESUMEN TOTAL'!E724</f>
        <v>0</v>
      </c>
      <c r="E628" s="30">
        <f>'RESUMEN TOTAL'!F724</f>
        <v>0</v>
      </c>
      <c r="F628" s="70">
        <f>'RESUMEN TOTAL'!M724</f>
        <v>0</v>
      </c>
      <c r="G628" s="70">
        <f>'RESUMEN TOTAL'!N724</f>
        <v>0</v>
      </c>
      <c r="H628" s="70">
        <f>'RESUMEN TOTAL'!O724</f>
        <v>0</v>
      </c>
      <c r="I628" s="70">
        <f>'RESUMEN TOTAL'!P724</f>
        <v>0</v>
      </c>
      <c r="J628" s="70">
        <f>'RESUMEN TOTAL'!Q724</f>
        <v>0</v>
      </c>
      <c r="K628" s="70">
        <f>'RESUMEN TOTAL'!R724</f>
        <v>0</v>
      </c>
      <c r="L628" s="70">
        <f>'RESUMEN TOTAL'!S724</f>
        <v>0</v>
      </c>
      <c r="M628" s="70">
        <f>'RESUMEN TOTAL'!T724</f>
        <v>0</v>
      </c>
      <c r="N628" s="70">
        <f>'RESUMEN TOTAL'!U724</f>
        <v>0</v>
      </c>
      <c r="O628" s="70">
        <f>'RESUMEN TOTAL'!V724</f>
        <v>0</v>
      </c>
      <c r="P628" s="70">
        <f>'RESUMEN TOTAL'!W724</f>
        <v>0</v>
      </c>
      <c r="Q628" s="70">
        <f>'RESUMEN TOTAL'!X724</f>
        <v>0</v>
      </c>
      <c r="R628" s="70">
        <f>'RESUMEN TOTAL'!Y724</f>
        <v>0</v>
      </c>
      <c r="S628" s="70">
        <f>'RESUMEN TOTAL'!Z724</f>
        <v>0</v>
      </c>
      <c r="T628" s="70">
        <f>'RESUMEN TOTAL'!AA724</f>
        <v>0</v>
      </c>
      <c r="U628" s="70">
        <f>'RESUMEN TOTAL'!AB724</f>
        <v>0</v>
      </c>
      <c r="V628" s="70">
        <f>'RESUMEN TOTAL'!AC724</f>
        <v>0</v>
      </c>
      <c r="W628" s="70">
        <f>'RESUMEN TOTAL'!AD724</f>
        <v>0</v>
      </c>
      <c r="X628" s="70">
        <f>'RESUMEN TOTAL'!AE724</f>
        <v>0</v>
      </c>
      <c r="Y628" s="70">
        <f>'RESUMEN TOTAL'!AF724</f>
        <v>0</v>
      </c>
      <c r="Z628" s="70">
        <f>'RESUMEN TOTAL'!AG724</f>
        <v>0</v>
      </c>
      <c r="AA628" s="70">
        <f>'RESUMEN TOTAL'!AH724</f>
        <v>0</v>
      </c>
      <c r="AB628" s="70">
        <f>'RESUMEN TOTAL'!AI724</f>
        <v>0</v>
      </c>
      <c r="AC628" s="70">
        <f>'RESUMEN TOTAL'!AJ724</f>
        <v>0</v>
      </c>
      <c r="AD628" s="70">
        <f>'RESUMEN TOTAL'!AK724</f>
        <v>0</v>
      </c>
      <c r="AE628" s="70">
        <f>'RESUMEN TOTAL'!AL724</f>
        <v>0</v>
      </c>
      <c r="AF628" s="70">
        <f>'RESUMEN TOTAL'!AM724</f>
        <v>0</v>
      </c>
      <c r="AG628" s="70">
        <f>'RESUMEN TOTAL'!AN724</f>
        <v>0</v>
      </c>
      <c r="AH628" s="70">
        <f>'RESUMEN TOTAL'!AO724</f>
        <v>0</v>
      </c>
      <c r="AI628" s="70">
        <f>'RESUMEN TOTAL'!AP724</f>
        <v>0</v>
      </c>
    </row>
    <row r="629" spans="1:35" x14ac:dyDescent="0.25">
      <c r="A629">
        <f>'RESUMEN TOTAL'!A725</f>
        <v>0</v>
      </c>
      <c r="B629">
        <f>'RESUMEN TOTAL'!B725</f>
        <v>0</v>
      </c>
      <c r="C629">
        <f>'RESUMEN TOTAL'!D725</f>
        <v>0</v>
      </c>
      <c r="D629" s="30">
        <f>'RESUMEN TOTAL'!E725</f>
        <v>0</v>
      </c>
      <c r="E629" s="30">
        <f>'RESUMEN TOTAL'!F725</f>
        <v>0</v>
      </c>
      <c r="F629" s="70">
        <f>'RESUMEN TOTAL'!M725</f>
        <v>0</v>
      </c>
      <c r="G629" s="70">
        <f>'RESUMEN TOTAL'!N725</f>
        <v>0</v>
      </c>
      <c r="H629" s="70">
        <f>'RESUMEN TOTAL'!O725</f>
        <v>0</v>
      </c>
      <c r="I629" s="70">
        <f>'RESUMEN TOTAL'!P725</f>
        <v>0</v>
      </c>
      <c r="J629" s="70">
        <f>'RESUMEN TOTAL'!Q725</f>
        <v>0</v>
      </c>
      <c r="K629" s="70">
        <f>'RESUMEN TOTAL'!R725</f>
        <v>0</v>
      </c>
      <c r="L629" s="70">
        <f>'RESUMEN TOTAL'!S725</f>
        <v>0</v>
      </c>
      <c r="M629" s="70">
        <f>'RESUMEN TOTAL'!T725</f>
        <v>0</v>
      </c>
      <c r="N629" s="70">
        <f>'RESUMEN TOTAL'!U725</f>
        <v>0</v>
      </c>
      <c r="O629" s="70">
        <f>'RESUMEN TOTAL'!V725</f>
        <v>0</v>
      </c>
      <c r="P629" s="70">
        <f>'RESUMEN TOTAL'!W725</f>
        <v>0</v>
      </c>
      <c r="Q629" s="70">
        <f>'RESUMEN TOTAL'!X725</f>
        <v>0</v>
      </c>
      <c r="R629" s="70">
        <f>'RESUMEN TOTAL'!Y725</f>
        <v>0</v>
      </c>
      <c r="S629" s="70">
        <f>'RESUMEN TOTAL'!Z725</f>
        <v>0</v>
      </c>
      <c r="T629" s="70">
        <f>'RESUMEN TOTAL'!AA725</f>
        <v>0</v>
      </c>
      <c r="U629" s="70">
        <f>'RESUMEN TOTAL'!AB725</f>
        <v>0</v>
      </c>
      <c r="V629" s="70">
        <f>'RESUMEN TOTAL'!AC725</f>
        <v>0</v>
      </c>
      <c r="W629" s="70">
        <f>'RESUMEN TOTAL'!AD725</f>
        <v>0</v>
      </c>
      <c r="X629" s="70">
        <f>'RESUMEN TOTAL'!AE725</f>
        <v>0</v>
      </c>
      <c r="Y629" s="70">
        <f>'RESUMEN TOTAL'!AF725</f>
        <v>0</v>
      </c>
      <c r="Z629" s="70">
        <f>'RESUMEN TOTAL'!AG725</f>
        <v>0</v>
      </c>
      <c r="AA629" s="70">
        <f>'RESUMEN TOTAL'!AH725</f>
        <v>0</v>
      </c>
      <c r="AB629" s="70">
        <f>'RESUMEN TOTAL'!AI725</f>
        <v>0</v>
      </c>
      <c r="AC629" s="70">
        <f>'RESUMEN TOTAL'!AJ725</f>
        <v>0</v>
      </c>
      <c r="AD629" s="70">
        <f>'RESUMEN TOTAL'!AK725</f>
        <v>0</v>
      </c>
      <c r="AE629" s="70">
        <f>'RESUMEN TOTAL'!AL725</f>
        <v>0</v>
      </c>
      <c r="AF629" s="70">
        <f>'RESUMEN TOTAL'!AM725</f>
        <v>0</v>
      </c>
      <c r="AG629" s="70">
        <f>'RESUMEN TOTAL'!AN725</f>
        <v>0</v>
      </c>
      <c r="AH629" s="70">
        <f>'RESUMEN TOTAL'!AO725</f>
        <v>0</v>
      </c>
      <c r="AI629" s="70">
        <f>'RESUMEN TOTAL'!AP725</f>
        <v>0</v>
      </c>
    </row>
    <row r="630" spans="1:35" x14ac:dyDescent="0.25">
      <c r="A630">
        <f>'RESUMEN TOTAL'!A726</f>
        <v>0</v>
      </c>
      <c r="B630">
        <f>'RESUMEN TOTAL'!B726</f>
        <v>0</v>
      </c>
      <c r="C630">
        <f>'RESUMEN TOTAL'!D726</f>
        <v>0</v>
      </c>
      <c r="D630" s="30">
        <f>'RESUMEN TOTAL'!E726</f>
        <v>0</v>
      </c>
      <c r="E630" s="30">
        <f>'RESUMEN TOTAL'!F726</f>
        <v>0</v>
      </c>
      <c r="F630" s="70">
        <f>'RESUMEN TOTAL'!M726</f>
        <v>0</v>
      </c>
      <c r="G630" s="70">
        <f>'RESUMEN TOTAL'!N726</f>
        <v>0</v>
      </c>
      <c r="H630" s="70">
        <f>'RESUMEN TOTAL'!O726</f>
        <v>0</v>
      </c>
      <c r="I630" s="70">
        <f>'RESUMEN TOTAL'!P726</f>
        <v>0</v>
      </c>
      <c r="J630" s="70">
        <f>'RESUMEN TOTAL'!Q726</f>
        <v>0</v>
      </c>
      <c r="K630" s="70">
        <f>'RESUMEN TOTAL'!R726</f>
        <v>0</v>
      </c>
      <c r="L630" s="70">
        <f>'RESUMEN TOTAL'!S726</f>
        <v>0</v>
      </c>
      <c r="M630" s="70">
        <f>'RESUMEN TOTAL'!T726</f>
        <v>0</v>
      </c>
      <c r="N630" s="70">
        <f>'RESUMEN TOTAL'!U726</f>
        <v>0</v>
      </c>
      <c r="O630" s="70">
        <f>'RESUMEN TOTAL'!V726</f>
        <v>0</v>
      </c>
      <c r="P630" s="70">
        <f>'RESUMEN TOTAL'!W726</f>
        <v>0</v>
      </c>
      <c r="Q630" s="70">
        <f>'RESUMEN TOTAL'!X726</f>
        <v>0</v>
      </c>
      <c r="R630" s="70">
        <f>'RESUMEN TOTAL'!Y726</f>
        <v>0</v>
      </c>
      <c r="S630" s="70">
        <f>'RESUMEN TOTAL'!Z726</f>
        <v>0</v>
      </c>
      <c r="T630" s="70">
        <f>'RESUMEN TOTAL'!AA726</f>
        <v>0</v>
      </c>
      <c r="U630" s="70">
        <f>'RESUMEN TOTAL'!AB726</f>
        <v>0</v>
      </c>
      <c r="V630" s="70">
        <f>'RESUMEN TOTAL'!AC726</f>
        <v>0</v>
      </c>
      <c r="W630" s="70">
        <f>'RESUMEN TOTAL'!AD726</f>
        <v>0</v>
      </c>
      <c r="X630" s="70">
        <f>'RESUMEN TOTAL'!AE726</f>
        <v>0</v>
      </c>
      <c r="Y630" s="70">
        <f>'RESUMEN TOTAL'!AF726</f>
        <v>0</v>
      </c>
      <c r="Z630" s="70">
        <f>'RESUMEN TOTAL'!AG726</f>
        <v>0</v>
      </c>
      <c r="AA630" s="70">
        <f>'RESUMEN TOTAL'!AH726</f>
        <v>0</v>
      </c>
      <c r="AB630" s="70">
        <f>'RESUMEN TOTAL'!AI726</f>
        <v>0</v>
      </c>
      <c r="AC630" s="70">
        <f>'RESUMEN TOTAL'!AJ726</f>
        <v>0</v>
      </c>
      <c r="AD630" s="70">
        <f>'RESUMEN TOTAL'!AK726</f>
        <v>0</v>
      </c>
      <c r="AE630" s="70">
        <f>'RESUMEN TOTAL'!AL726</f>
        <v>0</v>
      </c>
      <c r="AF630" s="70">
        <f>'RESUMEN TOTAL'!AM726</f>
        <v>0</v>
      </c>
      <c r="AG630" s="70">
        <f>'RESUMEN TOTAL'!AN726</f>
        <v>0</v>
      </c>
      <c r="AH630" s="70">
        <f>'RESUMEN TOTAL'!AO726</f>
        <v>0</v>
      </c>
      <c r="AI630" s="70">
        <f>'RESUMEN TOTAL'!AP726</f>
        <v>0</v>
      </c>
    </row>
    <row r="631" spans="1:35" x14ac:dyDescent="0.25">
      <c r="A631">
        <f>'RESUMEN TOTAL'!A727</f>
        <v>0</v>
      </c>
      <c r="B631">
        <f>'RESUMEN TOTAL'!B727</f>
        <v>0</v>
      </c>
      <c r="C631">
        <f>'RESUMEN TOTAL'!D727</f>
        <v>0</v>
      </c>
      <c r="D631" s="30">
        <f>'RESUMEN TOTAL'!E727</f>
        <v>0</v>
      </c>
      <c r="E631" s="30">
        <f>'RESUMEN TOTAL'!F727</f>
        <v>0</v>
      </c>
      <c r="F631" s="70">
        <f>'RESUMEN TOTAL'!M727</f>
        <v>0</v>
      </c>
      <c r="G631" s="70">
        <f>'RESUMEN TOTAL'!N727</f>
        <v>0</v>
      </c>
      <c r="H631" s="70">
        <f>'RESUMEN TOTAL'!O727</f>
        <v>0</v>
      </c>
      <c r="I631" s="70">
        <f>'RESUMEN TOTAL'!P727</f>
        <v>0</v>
      </c>
      <c r="J631" s="70">
        <f>'RESUMEN TOTAL'!Q727</f>
        <v>0</v>
      </c>
      <c r="K631" s="70">
        <f>'RESUMEN TOTAL'!R727</f>
        <v>0</v>
      </c>
      <c r="L631" s="70">
        <f>'RESUMEN TOTAL'!S727</f>
        <v>0</v>
      </c>
      <c r="M631" s="70">
        <f>'RESUMEN TOTAL'!T727</f>
        <v>0</v>
      </c>
      <c r="N631" s="70">
        <f>'RESUMEN TOTAL'!U727</f>
        <v>0</v>
      </c>
      <c r="O631" s="70">
        <f>'RESUMEN TOTAL'!V727</f>
        <v>0</v>
      </c>
      <c r="P631" s="70">
        <f>'RESUMEN TOTAL'!W727</f>
        <v>0</v>
      </c>
      <c r="Q631" s="70">
        <f>'RESUMEN TOTAL'!X727</f>
        <v>0</v>
      </c>
      <c r="R631" s="70">
        <f>'RESUMEN TOTAL'!Y727</f>
        <v>0</v>
      </c>
      <c r="S631" s="70">
        <f>'RESUMEN TOTAL'!Z727</f>
        <v>0</v>
      </c>
      <c r="T631" s="70">
        <f>'RESUMEN TOTAL'!AA727</f>
        <v>0</v>
      </c>
      <c r="U631" s="70">
        <f>'RESUMEN TOTAL'!AB727</f>
        <v>0</v>
      </c>
      <c r="V631" s="70">
        <f>'RESUMEN TOTAL'!AC727</f>
        <v>0</v>
      </c>
      <c r="W631" s="70">
        <f>'RESUMEN TOTAL'!AD727</f>
        <v>0</v>
      </c>
      <c r="X631" s="70">
        <f>'RESUMEN TOTAL'!AE727</f>
        <v>0</v>
      </c>
      <c r="Y631" s="70">
        <f>'RESUMEN TOTAL'!AF727</f>
        <v>0</v>
      </c>
      <c r="Z631" s="70">
        <f>'RESUMEN TOTAL'!AG727</f>
        <v>0</v>
      </c>
      <c r="AA631" s="70">
        <f>'RESUMEN TOTAL'!AH727</f>
        <v>0</v>
      </c>
      <c r="AB631" s="70">
        <f>'RESUMEN TOTAL'!AI727</f>
        <v>0</v>
      </c>
      <c r="AC631" s="70">
        <f>'RESUMEN TOTAL'!AJ727</f>
        <v>0</v>
      </c>
      <c r="AD631" s="70">
        <f>'RESUMEN TOTAL'!AK727</f>
        <v>0</v>
      </c>
      <c r="AE631" s="70">
        <f>'RESUMEN TOTAL'!AL727</f>
        <v>0</v>
      </c>
      <c r="AF631" s="70">
        <f>'RESUMEN TOTAL'!AM727</f>
        <v>0</v>
      </c>
      <c r="AG631" s="70">
        <f>'RESUMEN TOTAL'!AN727</f>
        <v>0</v>
      </c>
      <c r="AH631" s="70">
        <f>'RESUMEN TOTAL'!AO727</f>
        <v>0</v>
      </c>
      <c r="AI631" s="70">
        <f>'RESUMEN TOTAL'!AP727</f>
        <v>0</v>
      </c>
    </row>
    <row r="632" spans="1:35" x14ac:dyDescent="0.25">
      <c r="A632">
        <f>'RESUMEN TOTAL'!A728</f>
        <v>0</v>
      </c>
      <c r="B632">
        <f>'RESUMEN TOTAL'!B728</f>
        <v>0</v>
      </c>
      <c r="C632">
        <f>'RESUMEN TOTAL'!D728</f>
        <v>0</v>
      </c>
      <c r="D632" s="30">
        <f>'RESUMEN TOTAL'!E728</f>
        <v>0</v>
      </c>
      <c r="E632" s="30">
        <f>'RESUMEN TOTAL'!F728</f>
        <v>0</v>
      </c>
      <c r="F632" s="70">
        <f>'RESUMEN TOTAL'!M728</f>
        <v>0</v>
      </c>
      <c r="G632" s="70">
        <f>'RESUMEN TOTAL'!N728</f>
        <v>0</v>
      </c>
      <c r="H632" s="70">
        <f>'RESUMEN TOTAL'!O728</f>
        <v>0</v>
      </c>
      <c r="I632" s="70">
        <f>'RESUMEN TOTAL'!P728</f>
        <v>0</v>
      </c>
      <c r="J632" s="70">
        <f>'RESUMEN TOTAL'!Q728</f>
        <v>0</v>
      </c>
      <c r="K632" s="70">
        <f>'RESUMEN TOTAL'!R728</f>
        <v>0</v>
      </c>
      <c r="L632" s="70">
        <f>'RESUMEN TOTAL'!S728</f>
        <v>0</v>
      </c>
      <c r="M632" s="70">
        <f>'RESUMEN TOTAL'!T728</f>
        <v>0</v>
      </c>
      <c r="N632" s="70">
        <f>'RESUMEN TOTAL'!U728</f>
        <v>0</v>
      </c>
      <c r="O632" s="70">
        <f>'RESUMEN TOTAL'!V728</f>
        <v>0</v>
      </c>
      <c r="P632" s="70">
        <f>'RESUMEN TOTAL'!W728</f>
        <v>0</v>
      </c>
      <c r="Q632" s="70">
        <f>'RESUMEN TOTAL'!X728</f>
        <v>0</v>
      </c>
      <c r="R632" s="70">
        <f>'RESUMEN TOTAL'!Y728</f>
        <v>0</v>
      </c>
      <c r="S632" s="70">
        <f>'RESUMEN TOTAL'!Z728</f>
        <v>0</v>
      </c>
      <c r="T632" s="70">
        <f>'RESUMEN TOTAL'!AA728</f>
        <v>0</v>
      </c>
      <c r="U632" s="70">
        <f>'RESUMEN TOTAL'!AB728</f>
        <v>0</v>
      </c>
      <c r="V632" s="70">
        <f>'RESUMEN TOTAL'!AC728</f>
        <v>0</v>
      </c>
      <c r="W632" s="70">
        <f>'RESUMEN TOTAL'!AD728</f>
        <v>0</v>
      </c>
      <c r="X632" s="70">
        <f>'RESUMEN TOTAL'!AE728</f>
        <v>0</v>
      </c>
      <c r="Y632" s="70">
        <f>'RESUMEN TOTAL'!AF728</f>
        <v>0</v>
      </c>
      <c r="Z632" s="70">
        <f>'RESUMEN TOTAL'!AG728</f>
        <v>0</v>
      </c>
      <c r="AA632" s="70">
        <f>'RESUMEN TOTAL'!AH728</f>
        <v>0</v>
      </c>
      <c r="AB632" s="70">
        <f>'RESUMEN TOTAL'!AI728</f>
        <v>0</v>
      </c>
      <c r="AC632" s="70">
        <f>'RESUMEN TOTAL'!AJ728</f>
        <v>0</v>
      </c>
      <c r="AD632" s="70">
        <f>'RESUMEN TOTAL'!AK728</f>
        <v>0</v>
      </c>
      <c r="AE632" s="70">
        <f>'RESUMEN TOTAL'!AL728</f>
        <v>0</v>
      </c>
      <c r="AF632" s="70">
        <f>'RESUMEN TOTAL'!AM728</f>
        <v>0</v>
      </c>
      <c r="AG632" s="70">
        <f>'RESUMEN TOTAL'!AN728</f>
        <v>0</v>
      </c>
      <c r="AH632" s="70">
        <f>'RESUMEN TOTAL'!AO728</f>
        <v>0</v>
      </c>
      <c r="AI632" s="70">
        <f>'RESUMEN TOTAL'!AP728</f>
        <v>0</v>
      </c>
    </row>
    <row r="633" spans="1:35" x14ac:dyDescent="0.25">
      <c r="A633">
        <f>'RESUMEN TOTAL'!A729</f>
        <v>0</v>
      </c>
      <c r="B633">
        <f>'RESUMEN TOTAL'!B729</f>
        <v>0</v>
      </c>
      <c r="C633">
        <f>'RESUMEN TOTAL'!D729</f>
        <v>0</v>
      </c>
      <c r="D633" s="30">
        <f>'RESUMEN TOTAL'!E729</f>
        <v>0</v>
      </c>
      <c r="E633" s="30">
        <f>'RESUMEN TOTAL'!F729</f>
        <v>0</v>
      </c>
      <c r="F633" s="70">
        <f>'RESUMEN TOTAL'!M729</f>
        <v>0</v>
      </c>
      <c r="G633" s="70">
        <f>'RESUMEN TOTAL'!N729</f>
        <v>0</v>
      </c>
      <c r="H633" s="70">
        <f>'RESUMEN TOTAL'!O729</f>
        <v>0</v>
      </c>
      <c r="I633" s="70">
        <f>'RESUMEN TOTAL'!P729</f>
        <v>0</v>
      </c>
      <c r="J633" s="70">
        <f>'RESUMEN TOTAL'!Q729</f>
        <v>0</v>
      </c>
      <c r="K633" s="70">
        <f>'RESUMEN TOTAL'!R729</f>
        <v>0</v>
      </c>
      <c r="L633" s="70">
        <f>'RESUMEN TOTAL'!S729</f>
        <v>0</v>
      </c>
      <c r="M633" s="70">
        <f>'RESUMEN TOTAL'!T729</f>
        <v>0</v>
      </c>
      <c r="N633" s="70">
        <f>'RESUMEN TOTAL'!U729</f>
        <v>0</v>
      </c>
      <c r="O633" s="70">
        <f>'RESUMEN TOTAL'!V729</f>
        <v>0</v>
      </c>
      <c r="P633" s="70">
        <f>'RESUMEN TOTAL'!W729</f>
        <v>0</v>
      </c>
      <c r="Q633" s="70">
        <f>'RESUMEN TOTAL'!X729</f>
        <v>0</v>
      </c>
      <c r="R633" s="70">
        <f>'RESUMEN TOTAL'!Y729</f>
        <v>0</v>
      </c>
      <c r="S633" s="70">
        <f>'RESUMEN TOTAL'!Z729</f>
        <v>0</v>
      </c>
      <c r="T633" s="70">
        <f>'RESUMEN TOTAL'!AA729</f>
        <v>0</v>
      </c>
      <c r="U633" s="70">
        <f>'RESUMEN TOTAL'!AB729</f>
        <v>0</v>
      </c>
      <c r="V633" s="70">
        <f>'RESUMEN TOTAL'!AC729</f>
        <v>0</v>
      </c>
      <c r="W633" s="70">
        <f>'RESUMEN TOTAL'!AD729</f>
        <v>0</v>
      </c>
      <c r="X633" s="70">
        <f>'RESUMEN TOTAL'!AE729</f>
        <v>0</v>
      </c>
      <c r="Y633" s="70">
        <f>'RESUMEN TOTAL'!AF729</f>
        <v>0</v>
      </c>
      <c r="Z633" s="70">
        <f>'RESUMEN TOTAL'!AG729</f>
        <v>0</v>
      </c>
      <c r="AA633" s="70">
        <f>'RESUMEN TOTAL'!AH729</f>
        <v>0</v>
      </c>
      <c r="AB633" s="70">
        <f>'RESUMEN TOTAL'!AI729</f>
        <v>0</v>
      </c>
      <c r="AC633" s="70">
        <f>'RESUMEN TOTAL'!AJ729</f>
        <v>0</v>
      </c>
      <c r="AD633" s="70">
        <f>'RESUMEN TOTAL'!AK729</f>
        <v>0</v>
      </c>
      <c r="AE633" s="70">
        <f>'RESUMEN TOTAL'!AL729</f>
        <v>0</v>
      </c>
      <c r="AF633" s="70">
        <f>'RESUMEN TOTAL'!AM729</f>
        <v>0</v>
      </c>
      <c r="AG633" s="70">
        <f>'RESUMEN TOTAL'!AN729</f>
        <v>0</v>
      </c>
      <c r="AH633" s="70">
        <f>'RESUMEN TOTAL'!AO729</f>
        <v>0</v>
      </c>
      <c r="AI633" s="70">
        <f>'RESUMEN TOTAL'!AP729</f>
        <v>0</v>
      </c>
    </row>
    <row r="634" spans="1:35" x14ac:dyDescent="0.25">
      <c r="A634">
        <f>'RESUMEN TOTAL'!A730</f>
        <v>0</v>
      </c>
      <c r="B634">
        <f>'RESUMEN TOTAL'!B730</f>
        <v>0</v>
      </c>
      <c r="C634">
        <f>'RESUMEN TOTAL'!D730</f>
        <v>0</v>
      </c>
      <c r="D634" s="30">
        <f>'RESUMEN TOTAL'!E730</f>
        <v>0</v>
      </c>
      <c r="E634" s="30">
        <f>'RESUMEN TOTAL'!F730</f>
        <v>0</v>
      </c>
      <c r="F634" s="70">
        <f>'RESUMEN TOTAL'!M730</f>
        <v>0</v>
      </c>
      <c r="G634" s="70">
        <f>'RESUMEN TOTAL'!N730</f>
        <v>0</v>
      </c>
      <c r="H634" s="70">
        <f>'RESUMEN TOTAL'!O730</f>
        <v>0</v>
      </c>
      <c r="I634" s="70">
        <f>'RESUMEN TOTAL'!P730</f>
        <v>0</v>
      </c>
      <c r="J634" s="70">
        <f>'RESUMEN TOTAL'!Q730</f>
        <v>0</v>
      </c>
      <c r="K634" s="70">
        <f>'RESUMEN TOTAL'!R730</f>
        <v>0</v>
      </c>
      <c r="L634" s="70">
        <f>'RESUMEN TOTAL'!S730</f>
        <v>0</v>
      </c>
      <c r="M634" s="70">
        <f>'RESUMEN TOTAL'!T730</f>
        <v>0</v>
      </c>
      <c r="N634" s="70">
        <f>'RESUMEN TOTAL'!U730</f>
        <v>0</v>
      </c>
      <c r="O634" s="70">
        <f>'RESUMEN TOTAL'!V730</f>
        <v>0</v>
      </c>
      <c r="P634" s="70">
        <f>'RESUMEN TOTAL'!W730</f>
        <v>0</v>
      </c>
      <c r="Q634" s="70">
        <f>'RESUMEN TOTAL'!X730</f>
        <v>0</v>
      </c>
      <c r="R634" s="70">
        <f>'RESUMEN TOTAL'!Y730</f>
        <v>0</v>
      </c>
      <c r="S634" s="70">
        <f>'RESUMEN TOTAL'!Z730</f>
        <v>0</v>
      </c>
      <c r="T634" s="70">
        <f>'RESUMEN TOTAL'!AA730</f>
        <v>0</v>
      </c>
      <c r="U634" s="70">
        <f>'RESUMEN TOTAL'!AB730</f>
        <v>0</v>
      </c>
      <c r="V634" s="70">
        <f>'RESUMEN TOTAL'!AC730</f>
        <v>0</v>
      </c>
      <c r="W634" s="70">
        <f>'RESUMEN TOTAL'!AD730</f>
        <v>0</v>
      </c>
      <c r="X634" s="70">
        <f>'RESUMEN TOTAL'!AE730</f>
        <v>0</v>
      </c>
      <c r="Y634" s="70">
        <f>'RESUMEN TOTAL'!AF730</f>
        <v>0</v>
      </c>
      <c r="Z634" s="70">
        <f>'RESUMEN TOTAL'!AG730</f>
        <v>0</v>
      </c>
      <c r="AA634" s="70">
        <f>'RESUMEN TOTAL'!AH730</f>
        <v>0</v>
      </c>
      <c r="AB634" s="70">
        <f>'RESUMEN TOTAL'!AI730</f>
        <v>0</v>
      </c>
      <c r="AC634" s="70">
        <f>'RESUMEN TOTAL'!AJ730</f>
        <v>0</v>
      </c>
      <c r="AD634" s="70">
        <f>'RESUMEN TOTAL'!AK730</f>
        <v>0</v>
      </c>
      <c r="AE634" s="70">
        <f>'RESUMEN TOTAL'!AL730</f>
        <v>0</v>
      </c>
      <c r="AF634" s="70">
        <f>'RESUMEN TOTAL'!AM730</f>
        <v>0</v>
      </c>
      <c r="AG634" s="70">
        <f>'RESUMEN TOTAL'!AN730</f>
        <v>0</v>
      </c>
      <c r="AH634" s="70">
        <f>'RESUMEN TOTAL'!AO730</f>
        <v>0</v>
      </c>
      <c r="AI634" s="70">
        <f>'RESUMEN TOTAL'!AP730</f>
        <v>0</v>
      </c>
    </row>
    <row r="635" spans="1:35" x14ac:dyDescent="0.25">
      <c r="A635">
        <f>'RESUMEN TOTAL'!A731</f>
        <v>0</v>
      </c>
      <c r="B635">
        <f>'RESUMEN TOTAL'!B731</f>
        <v>0</v>
      </c>
      <c r="C635">
        <f>'RESUMEN TOTAL'!D731</f>
        <v>0</v>
      </c>
      <c r="D635" s="30">
        <f>'RESUMEN TOTAL'!E731</f>
        <v>0</v>
      </c>
      <c r="E635" s="30">
        <f>'RESUMEN TOTAL'!F731</f>
        <v>0</v>
      </c>
      <c r="F635" s="70">
        <f>'RESUMEN TOTAL'!M731</f>
        <v>0</v>
      </c>
      <c r="G635" s="70">
        <f>'RESUMEN TOTAL'!N731</f>
        <v>0</v>
      </c>
      <c r="H635" s="70">
        <f>'RESUMEN TOTAL'!O731</f>
        <v>0</v>
      </c>
      <c r="I635" s="70">
        <f>'RESUMEN TOTAL'!P731</f>
        <v>0</v>
      </c>
      <c r="J635" s="70">
        <f>'RESUMEN TOTAL'!Q731</f>
        <v>0</v>
      </c>
      <c r="K635" s="70">
        <f>'RESUMEN TOTAL'!R731</f>
        <v>0</v>
      </c>
      <c r="L635" s="70">
        <f>'RESUMEN TOTAL'!S731</f>
        <v>0</v>
      </c>
      <c r="M635" s="70">
        <f>'RESUMEN TOTAL'!T731</f>
        <v>0</v>
      </c>
      <c r="N635" s="70">
        <f>'RESUMEN TOTAL'!U731</f>
        <v>0</v>
      </c>
      <c r="O635" s="70">
        <f>'RESUMEN TOTAL'!V731</f>
        <v>0</v>
      </c>
      <c r="P635" s="70">
        <f>'RESUMEN TOTAL'!W731</f>
        <v>0</v>
      </c>
      <c r="Q635" s="70">
        <f>'RESUMEN TOTAL'!X731</f>
        <v>0</v>
      </c>
      <c r="R635" s="70">
        <f>'RESUMEN TOTAL'!Y731</f>
        <v>0</v>
      </c>
      <c r="S635" s="70">
        <f>'RESUMEN TOTAL'!Z731</f>
        <v>0</v>
      </c>
      <c r="T635" s="70">
        <f>'RESUMEN TOTAL'!AA731</f>
        <v>0</v>
      </c>
      <c r="U635" s="70">
        <f>'RESUMEN TOTAL'!AB731</f>
        <v>0</v>
      </c>
      <c r="V635" s="70">
        <f>'RESUMEN TOTAL'!AC731</f>
        <v>0</v>
      </c>
      <c r="W635" s="70">
        <f>'RESUMEN TOTAL'!AD731</f>
        <v>0</v>
      </c>
      <c r="X635" s="70">
        <f>'RESUMEN TOTAL'!AE731</f>
        <v>0</v>
      </c>
      <c r="Y635" s="70">
        <f>'RESUMEN TOTAL'!AF731</f>
        <v>0</v>
      </c>
      <c r="Z635" s="70">
        <f>'RESUMEN TOTAL'!AG731</f>
        <v>0</v>
      </c>
      <c r="AA635" s="70">
        <f>'RESUMEN TOTAL'!AH731</f>
        <v>0</v>
      </c>
      <c r="AB635" s="70">
        <f>'RESUMEN TOTAL'!AI731</f>
        <v>0</v>
      </c>
      <c r="AC635" s="70">
        <f>'RESUMEN TOTAL'!AJ731</f>
        <v>0</v>
      </c>
      <c r="AD635" s="70">
        <f>'RESUMEN TOTAL'!AK731</f>
        <v>0</v>
      </c>
      <c r="AE635" s="70">
        <f>'RESUMEN TOTAL'!AL731</f>
        <v>0</v>
      </c>
      <c r="AF635" s="70">
        <f>'RESUMEN TOTAL'!AM731</f>
        <v>0</v>
      </c>
      <c r="AG635" s="70">
        <f>'RESUMEN TOTAL'!AN731</f>
        <v>0</v>
      </c>
      <c r="AH635" s="70">
        <f>'RESUMEN TOTAL'!AO731</f>
        <v>0</v>
      </c>
      <c r="AI635" s="70">
        <f>'RESUMEN TOTAL'!AP731</f>
        <v>0</v>
      </c>
    </row>
    <row r="636" spans="1:35" x14ac:dyDescent="0.25">
      <c r="A636">
        <f>'RESUMEN TOTAL'!A732</f>
        <v>0</v>
      </c>
      <c r="B636">
        <f>'RESUMEN TOTAL'!B732</f>
        <v>0</v>
      </c>
      <c r="C636">
        <f>'RESUMEN TOTAL'!D732</f>
        <v>0</v>
      </c>
      <c r="D636" s="30">
        <f>'RESUMEN TOTAL'!E732</f>
        <v>0</v>
      </c>
      <c r="E636" s="30">
        <f>'RESUMEN TOTAL'!F732</f>
        <v>0</v>
      </c>
      <c r="F636" s="70">
        <f>'RESUMEN TOTAL'!M732</f>
        <v>0</v>
      </c>
      <c r="G636" s="70">
        <f>'RESUMEN TOTAL'!N732</f>
        <v>0</v>
      </c>
      <c r="H636" s="70">
        <f>'RESUMEN TOTAL'!O732</f>
        <v>0</v>
      </c>
      <c r="I636" s="70">
        <f>'RESUMEN TOTAL'!P732</f>
        <v>0</v>
      </c>
      <c r="J636" s="70">
        <f>'RESUMEN TOTAL'!Q732</f>
        <v>0</v>
      </c>
      <c r="K636" s="70">
        <f>'RESUMEN TOTAL'!R732</f>
        <v>0</v>
      </c>
      <c r="L636" s="70">
        <f>'RESUMEN TOTAL'!S732</f>
        <v>0</v>
      </c>
      <c r="M636" s="70">
        <f>'RESUMEN TOTAL'!T732</f>
        <v>0</v>
      </c>
      <c r="N636" s="70">
        <f>'RESUMEN TOTAL'!U732</f>
        <v>0</v>
      </c>
      <c r="O636" s="70">
        <f>'RESUMEN TOTAL'!V732</f>
        <v>0</v>
      </c>
      <c r="P636" s="70">
        <f>'RESUMEN TOTAL'!W732</f>
        <v>0</v>
      </c>
      <c r="Q636" s="70">
        <f>'RESUMEN TOTAL'!X732</f>
        <v>0</v>
      </c>
      <c r="R636" s="70">
        <f>'RESUMEN TOTAL'!Y732</f>
        <v>0</v>
      </c>
      <c r="S636" s="70">
        <f>'RESUMEN TOTAL'!Z732</f>
        <v>0</v>
      </c>
      <c r="T636" s="70">
        <f>'RESUMEN TOTAL'!AA732</f>
        <v>0</v>
      </c>
      <c r="U636" s="70">
        <f>'RESUMEN TOTAL'!AB732</f>
        <v>0</v>
      </c>
      <c r="V636" s="70">
        <f>'RESUMEN TOTAL'!AC732</f>
        <v>0</v>
      </c>
      <c r="W636" s="70">
        <f>'RESUMEN TOTAL'!AD732</f>
        <v>0</v>
      </c>
      <c r="X636" s="70">
        <f>'RESUMEN TOTAL'!AE732</f>
        <v>0</v>
      </c>
      <c r="Y636" s="70">
        <f>'RESUMEN TOTAL'!AF732</f>
        <v>0</v>
      </c>
      <c r="Z636" s="70">
        <f>'RESUMEN TOTAL'!AG732</f>
        <v>0</v>
      </c>
      <c r="AA636" s="70">
        <f>'RESUMEN TOTAL'!AH732</f>
        <v>0</v>
      </c>
      <c r="AB636" s="70">
        <f>'RESUMEN TOTAL'!AI732</f>
        <v>0</v>
      </c>
      <c r="AC636" s="70">
        <f>'RESUMEN TOTAL'!AJ732</f>
        <v>0</v>
      </c>
      <c r="AD636" s="70">
        <f>'RESUMEN TOTAL'!AK732</f>
        <v>0</v>
      </c>
      <c r="AE636" s="70">
        <f>'RESUMEN TOTAL'!AL732</f>
        <v>0</v>
      </c>
      <c r="AF636" s="70">
        <f>'RESUMEN TOTAL'!AM732</f>
        <v>0</v>
      </c>
      <c r="AG636" s="70">
        <f>'RESUMEN TOTAL'!AN732</f>
        <v>0</v>
      </c>
      <c r="AH636" s="70">
        <f>'RESUMEN TOTAL'!AO732</f>
        <v>0</v>
      </c>
      <c r="AI636" s="70">
        <f>'RESUMEN TOTAL'!AP732</f>
        <v>0</v>
      </c>
    </row>
    <row r="637" spans="1:35" x14ac:dyDescent="0.25">
      <c r="A637">
        <f>'RESUMEN TOTAL'!A733</f>
        <v>0</v>
      </c>
      <c r="B637">
        <f>'RESUMEN TOTAL'!B733</f>
        <v>0</v>
      </c>
      <c r="C637">
        <f>'RESUMEN TOTAL'!D733</f>
        <v>0</v>
      </c>
      <c r="D637" s="30">
        <f>'RESUMEN TOTAL'!E733</f>
        <v>0</v>
      </c>
      <c r="E637" s="30">
        <f>'RESUMEN TOTAL'!F733</f>
        <v>0</v>
      </c>
      <c r="F637" s="70">
        <f>'RESUMEN TOTAL'!M733</f>
        <v>0</v>
      </c>
      <c r="G637" s="70">
        <f>'RESUMEN TOTAL'!N733</f>
        <v>0</v>
      </c>
      <c r="H637" s="70">
        <f>'RESUMEN TOTAL'!O733</f>
        <v>0</v>
      </c>
      <c r="I637" s="70">
        <f>'RESUMEN TOTAL'!P733</f>
        <v>0</v>
      </c>
      <c r="J637" s="70">
        <f>'RESUMEN TOTAL'!Q733</f>
        <v>0</v>
      </c>
      <c r="K637" s="70">
        <f>'RESUMEN TOTAL'!R733</f>
        <v>0</v>
      </c>
      <c r="L637" s="70">
        <f>'RESUMEN TOTAL'!S733</f>
        <v>0</v>
      </c>
      <c r="M637" s="70">
        <f>'RESUMEN TOTAL'!T733</f>
        <v>0</v>
      </c>
      <c r="N637" s="70">
        <f>'RESUMEN TOTAL'!U733</f>
        <v>0</v>
      </c>
      <c r="O637" s="70">
        <f>'RESUMEN TOTAL'!V733</f>
        <v>0</v>
      </c>
      <c r="P637" s="70">
        <f>'RESUMEN TOTAL'!W733</f>
        <v>0</v>
      </c>
      <c r="Q637" s="70">
        <f>'RESUMEN TOTAL'!X733</f>
        <v>0</v>
      </c>
      <c r="R637" s="70">
        <f>'RESUMEN TOTAL'!Y733</f>
        <v>0</v>
      </c>
      <c r="S637" s="70">
        <f>'RESUMEN TOTAL'!Z733</f>
        <v>0</v>
      </c>
      <c r="T637" s="70">
        <f>'RESUMEN TOTAL'!AA733</f>
        <v>0</v>
      </c>
      <c r="U637" s="70">
        <f>'RESUMEN TOTAL'!AB733</f>
        <v>0</v>
      </c>
      <c r="V637" s="70">
        <f>'RESUMEN TOTAL'!AC733</f>
        <v>0</v>
      </c>
      <c r="W637" s="70">
        <f>'RESUMEN TOTAL'!AD733</f>
        <v>0</v>
      </c>
      <c r="X637" s="70">
        <f>'RESUMEN TOTAL'!AE733</f>
        <v>0</v>
      </c>
      <c r="Y637" s="70">
        <f>'RESUMEN TOTAL'!AF733</f>
        <v>0</v>
      </c>
      <c r="Z637" s="70">
        <f>'RESUMEN TOTAL'!AG733</f>
        <v>0</v>
      </c>
      <c r="AA637" s="70">
        <f>'RESUMEN TOTAL'!AH733</f>
        <v>0</v>
      </c>
      <c r="AB637" s="70">
        <f>'RESUMEN TOTAL'!AI733</f>
        <v>0</v>
      </c>
      <c r="AC637" s="70">
        <f>'RESUMEN TOTAL'!AJ733</f>
        <v>0</v>
      </c>
      <c r="AD637" s="70">
        <f>'RESUMEN TOTAL'!AK733</f>
        <v>0</v>
      </c>
      <c r="AE637" s="70">
        <f>'RESUMEN TOTAL'!AL733</f>
        <v>0</v>
      </c>
      <c r="AF637" s="70">
        <f>'RESUMEN TOTAL'!AM733</f>
        <v>0</v>
      </c>
      <c r="AG637" s="70">
        <f>'RESUMEN TOTAL'!AN733</f>
        <v>0</v>
      </c>
      <c r="AH637" s="70">
        <f>'RESUMEN TOTAL'!AO733</f>
        <v>0</v>
      </c>
      <c r="AI637" s="70">
        <f>'RESUMEN TOTAL'!AP733</f>
        <v>0</v>
      </c>
    </row>
    <row r="638" spans="1:35" x14ac:dyDescent="0.25">
      <c r="A638">
        <f>'RESUMEN TOTAL'!A734</f>
        <v>0</v>
      </c>
      <c r="B638">
        <f>'RESUMEN TOTAL'!B734</f>
        <v>0</v>
      </c>
      <c r="C638">
        <f>'RESUMEN TOTAL'!D734</f>
        <v>0</v>
      </c>
      <c r="D638" s="30">
        <f>'RESUMEN TOTAL'!E734</f>
        <v>0</v>
      </c>
      <c r="E638" s="30">
        <f>'RESUMEN TOTAL'!F734</f>
        <v>0</v>
      </c>
      <c r="F638" s="70">
        <f>'RESUMEN TOTAL'!M734</f>
        <v>0</v>
      </c>
      <c r="G638" s="70">
        <f>'RESUMEN TOTAL'!N734</f>
        <v>0</v>
      </c>
      <c r="H638" s="70">
        <f>'RESUMEN TOTAL'!O734</f>
        <v>0</v>
      </c>
      <c r="I638" s="70">
        <f>'RESUMEN TOTAL'!P734</f>
        <v>0</v>
      </c>
      <c r="J638" s="70">
        <f>'RESUMEN TOTAL'!Q734</f>
        <v>0</v>
      </c>
      <c r="K638" s="70">
        <f>'RESUMEN TOTAL'!R734</f>
        <v>0</v>
      </c>
      <c r="L638" s="70">
        <f>'RESUMEN TOTAL'!S734</f>
        <v>0</v>
      </c>
      <c r="M638" s="70">
        <f>'RESUMEN TOTAL'!T734</f>
        <v>0</v>
      </c>
      <c r="N638" s="70">
        <f>'RESUMEN TOTAL'!U734</f>
        <v>0</v>
      </c>
      <c r="O638" s="70">
        <f>'RESUMEN TOTAL'!V734</f>
        <v>0</v>
      </c>
      <c r="P638" s="70">
        <f>'RESUMEN TOTAL'!W734</f>
        <v>0</v>
      </c>
      <c r="Q638" s="70">
        <f>'RESUMEN TOTAL'!X734</f>
        <v>0</v>
      </c>
      <c r="R638" s="70">
        <f>'RESUMEN TOTAL'!Y734</f>
        <v>0</v>
      </c>
      <c r="S638" s="70">
        <f>'RESUMEN TOTAL'!Z734</f>
        <v>0</v>
      </c>
      <c r="T638" s="70">
        <f>'RESUMEN TOTAL'!AA734</f>
        <v>0</v>
      </c>
      <c r="U638" s="70">
        <f>'RESUMEN TOTAL'!AB734</f>
        <v>0</v>
      </c>
      <c r="V638" s="70">
        <f>'RESUMEN TOTAL'!AC734</f>
        <v>0</v>
      </c>
      <c r="W638" s="70">
        <f>'RESUMEN TOTAL'!AD734</f>
        <v>0</v>
      </c>
      <c r="X638" s="70">
        <f>'RESUMEN TOTAL'!AE734</f>
        <v>0</v>
      </c>
      <c r="Y638" s="70">
        <f>'RESUMEN TOTAL'!AF734</f>
        <v>0</v>
      </c>
      <c r="Z638" s="70">
        <f>'RESUMEN TOTAL'!AG734</f>
        <v>0</v>
      </c>
      <c r="AA638" s="70">
        <f>'RESUMEN TOTAL'!AH734</f>
        <v>0</v>
      </c>
      <c r="AB638" s="70">
        <f>'RESUMEN TOTAL'!AI734</f>
        <v>0</v>
      </c>
      <c r="AC638" s="70">
        <f>'RESUMEN TOTAL'!AJ734</f>
        <v>0</v>
      </c>
      <c r="AD638" s="70">
        <f>'RESUMEN TOTAL'!AK734</f>
        <v>0</v>
      </c>
      <c r="AE638" s="70">
        <f>'RESUMEN TOTAL'!AL734</f>
        <v>0</v>
      </c>
      <c r="AF638" s="70">
        <f>'RESUMEN TOTAL'!AM734</f>
        <v>0</v>
      </c>
      <c r="AG638" s="70">
        <f>'RESUMEN TOTAL'!AN734</f>
        <v>0</v>
      </c>
      <c r="AH638" s="70">
        <f>'RESUMEN TOTAL'!AO734</f>
        <v>0</v>
      </c>
      <c r="AI638" s="70">
        <f>'RESUMEN TOTAL'!AP734</f>
        <v>0</v>
      </c>
    </row>
    <row r="639" spans="1:35" x14ac:dyDescent="0.25">
      <c r="A639">
        <f>'RESUMEN TOTAL'!A735</f>
        <v>0</v>
      </c>
      <c r="B639">
        <f>'RESUMEN TOTAL'!B735</f>
        <v>0</v>
      </c>
      <c r="C639">
        <f>'RESUMEN TOTAL'!D735</f>
        <v>0</v>
      </c>
      <c r="D639" s="30">
        <f>'RESUMEN TOTAL'!E735</f>
        <v>0</v>
      </c>
      <c r="E639" s="30">
        <f>'RESUMEN TOTAL'!F735</f>
        <v>0</v>
      </c>
      <c r="F639" s="70">
        <f>'RESUMEN TOTAL'!M735</f>
        <v>0</v>
      </c>
      <c r="G639" s="70">
        <f>'RESUMEN TOTAL'!N735</f>
        <v>0</v>
      </c>
      <c r="H639" s="70">
        <f>'RESUMEN TOTAL'!O735</f>
        <v>0</v>
      </c>
      <c r="I639" s="70">
        <f>'RESUMEN TOTAL'!P735</f>
        <v>0</v>
      </c>
      <c r="J639" s="70">
        <f>'RESUMEN TOTAL'!Q735</f>
        <v>0</v>
      </c>
      <c r="K639" s="70">
        <f>'RESUMEN TOTAL'!R735</f>
        <v>0</v>
      </c>
      <c r="L639" s="70">
        <f>'RESUMEN TOTAL'!S735</f>
        <v>0</v>
      </c>
      <c r="M639" s="70">
        <f>'RESUMEN TOTAL'!T735</f>
        <v>0</v>
      </c>
      <c r="N639" s="70">
        <f>'RESUMEN TOTAL'!U735</f>
        <v>0</v>
      </c>
      <c r="O639" s="70">
        <f>'RESUMEN TOTAL'!V735</f>
        <v>0</v>
      </c>
      <c r="P639" s="70">
        <f>'RESUMEN TOTAL'!W735</f>
        <v>0</v>
      </c>
      <c r="Q639" s="70">
        <f>'RESUMEN TOTAL'!X735</f>
        <v>0</v>
      </c>
      <c r="R639" s="70">
        <f>'RESUMEN TOTAL'!Y735</f>
        <v>0</v>
      </c>
      <c r="S639" s="70">
        <f>'RESUMEN TOTAL'!Z735</f>
        <v>0</v>
      </c>
      <c r="T639" s="70">
        <f>'RESUMEN TOTAL'!AA735</f>
        <v>0</v>
      </c>
      <c r="U639" s="70">
        <f>'RESUMEN TOTAL'!AB735</f>
        <v>0</v>
      </c>
      <c r="V639" s="70">
        <f>'RESUMEN TOTAL'!AC735</f>
        <v>0</v>
      </c>
      <c r="W639" s="70">
        <f>'RESUMEN TOTAL'!AD735</f>
        <v>0</v>
      </c>
      <c r="X639" s="70">
        <f>'RESUMEN TOTAL'!AE735</f>
        <v>0</v>
      </c>
      <c r="Y639" s="70">
        <f>'RESUMEN TOTAL'!AF735</f>
        <v>0</v>
      </c>
      <c r="Z639" s="70">
        <f>'RESUMEN TOTAL'!AG735</f>
        <v>0</v>
      </c>
      <c r="AA639" s="70">
        <f>'RESUMEN TOTAL'!AH735</f>
        <v>0</v>
      </c>
      <c r="AB639" s="70">
        <f>'RESUMEN TOTAL'!AI735</f>
        <v>0</v>
      </c>
      <c r="AC639" s="70">
        <f>'RESUMEN TOTAL'!AJ735</f>
        <v>0</v>
      </c>
      <c r="AD639" s="70">
        <f>'RESUMEN TOTAL'!AK735</f>
        <v>0</v>
      </c>
      <c r="AE639" s="70">
        <f>'RESUMEN TOTAL'!AL735</f>
        <v>0</v>
      </c>
      <c r="AF639" s="70">
        <f>'RESUMEN TOTAL'!AM735</f>
        <v>0</v>
      </c>
      <c r="AG639" s="70">
        <f>'RESUMEN TOTAL'!AN735</f>
        <v>0</v>
      </c>
      <c r="AH639" s="70">
        <f>'RESUMEN TOTAL'!AO735</f>
        <v>0</v>
      </c>
      <c r="AI639" s="70">
        <f>'RESUMEN TOTAL'!AP735</f>
        <v>0</v>
      </c>
    </row>
    <row r="640" spans="1:35" x14ac:dyDescent="0.25">
      <c r="A640">
        <f>'RESUMEN TOTAL'!A736</f>
        <v>0</v>
      </c>
      <c r="B640">
        <f>'RESUMEN TOTAL'!B736</f>
        <v>0</v>
      </c>
      <c r="C640">
        <f>'RESUMEN TOTAL'!D736</f>
        <v>0</v>
      </c>
      <c r="D640" s="30">
        <f>'RESUMEN TOTAL'!E736</f>
        <v>0</v>
      </c>
      <c r="E640" s="30">
        <f>'RESUMEN TOTAL'!F736</f>
        <v>0</v>
      </c>
      <c r="F640" s="70">
        <f>'RESUMEN TOTAL'!M736</f>
        <v>0</v>
      </c>
      <c r="G640" s="70">
        <f>'RESUMEN TOTAL'!N736</f>
        <v>0</v>
      </c>
      <c r="H640" s="70">
        <f>'RESUMEN TOTAL'!O736</f>
        <v>0</v>
      </c>
      <c r="I640" s="70">
        <f>'RESUMEN TOTAL'!P736</f>
        <v>0</v>
      </c>
      <c r="J640" s="70">
        <f>'RESUMEN TOTAL'!Q736</f>
        <v>0</v>
      </c>
      <c r="K640" s="70">
        <f>'RESUMEN TOTAL'!R736</f>
        <v>0</v>
      </c>
      <c r="L640" s="70">
        <f>'RESUMEN TOTAL'!S736</f>
        <v>0</v>
      </c>
      <c r="M640" s="70">
        <f>'RESUMEN TOTAL'!T736</f>
        <v>0</v>
      </c>
      <c r="N640" s="70">
        <f>'RESUMEN TOTAL'!U736</f>
        <v>0</v>
      </c>
      <c r="O640" s="70">
        <f>'RESUMEN TOTAL'!V736</f>
        <v>0</v>
      </c>
      <c r="P640" s="70">
        <f>'RESUMEN TOTAL'!W736</f>
        <v>0</v>
      </c>
      <c r="Q640" s="70">
        <f>'RESUMEN TOTAL'!X736</f>
        <v>0</v>
      </c>
      <c r="R640" s="70">
        <f>'RESUMEN TOTAL'!Y736</f>
        <v>0</v>
      </c>
      <c r="S640" s="70">
        <f>'RESUMEN TOTAL'!Z736</f>
        <v>0</v>
      </c>
      <c r="T640" s="70">
        <f>'RESUMEN TOTAL'!AA736</f>
        <v>0</v>
      </c>
      <c r="U640" s="70">
        <f>'RESUMEN TOTAL'!AB736</f>
        <v>0</v>
      </c>
      <c r="V640" s="70">
        <f>'RESUMEN TOTAL'!AC736</f>
        <v>0</v>
      </c>
      <c r="W640" s="70">
        <f>'RESUMEN TOTAL'!AD736</f>
        <v>0</v>
      </c>
      <c r="X640" s="70">
        <f>'RESUMEN TOTAL'!AE736</f>
        <v>0</v>
      </c>
      <c r="Y640" s="70">
        <f>'RESUMEN TOTAL'!AF736</f>
        <v>0</v>
      </c>
      <c r="Z640" s="70">
        <f>'RESUMEN TOTAL'!AG736</f>
        <v>0</v>
      </c>
      <c r="AA640" s="70">
        <f>'RESUMEN TOTAL'!AH736</f>
        <v>0</v>
      </c>
      <c r="AB640" s="70">
        <f>'RESUMEN TOTAL'!AI736</f>
        <v>0</v>
      </c>
      <c r="AC640" s="70">
        <f>'RESUMEN TOTAL'!AJ736</f>
        <v>0</v>
      </c>
      <c r="AD640" s="70">
        <f>'RESUMEN TOTAL'!AK736</f>
        <v>0</v>
      </c>
      <c r="AE640" s="70">
        <f>'RESUMEN TOTAL'!AL736</f>
        <v>0</v>
      </c>
      <c r="AF640" s="70">
        <f>'RESUMEN TOTAL'!AM736</f>
        <v>0</v>
      </c>
      <c r="AG640" s="70">
        <f>'RESUMEN TOTAL'!AN736</f>
        <v>0</v>
      </c>
      <c r="AH640" s="70">
        <f>'RESUMEN TOTAL'!AO736</f>
        <v>0</v>
      </c>
      <c r="AI640" s="70">
        <f>'RESUMEN TOTAL'!AP736</f>
        <v>0</v>
      </c>
    </row>
    <row r="641" spans="1:35" x14ac:dyDescent="0.25">
      <c r="A641">
        <f>'RESUMEN TOTAL'!A737</f>
        <v>0</v>
      </c>
      <c r="B641">
        <f>'RESUMEN TOTAL'!B737</f>
        <v>0</v>
      </c>
      <c r="C641">
        <f>'RESUMEN TOTAL'!D737</f>
        <v>0</v>
      </c>
      <c r="D641" s="30">
        <f>'RESUMEN TOTAL'!E737</f>
        <v>0</v>
      </c>
      <c r="E641" s="30">
        <f>'RESUMEN TOTAL'!F737</f>
        <v>0</v>
      </c>
      <c r="F641" s="70">
        <f>'RESUMEN TOTAL'!M737</f>
        <v>0</v>
      </c>
      <c r="G641" s="70">
        <f>'RESUMEN TOTAL'!N737</f>
        <v>0</v>
      </c>
      <c r="H641" s="70">
        <f>'RESUMEN TOTAL'!O737</f>
        <v>0</v>
      </c>
      <c r="I641" s="70">
        <f>'RESUMEN TOTAL'!P737</f>
        <v>0</v>
      </c>
      <c r="J641" s="70">
        <f>'RESUMEN TOTAL'!Q737</f>
        <v>0</v>
      </c>
      <c r="K641" s="70">
        <f>'RESUMEN TOTAL'!R737</f>
        <v>0</v>
      </c>
      <c r="L641" s="70">
        <f>'RESUMEN TOTAL'!S737</f>
        <v>0</v>
      </c>
      <c r="M641" s="70">
        <f>'RESUMEN TOTAL'!T737</f>
        <v>0</v>
      </c>
      <c r="N641" s="70">
        <f>'RESUMEN TOTAL'!U737</f>
        <v>0</v>
      </c>
      <c r="O641" s="70">
        <f>'RESUMEN TOTAL'!V737</f>
        <v>0</v>
      </c>
      <c r="P641" s="70">
        <f>'RESUMEN TOTAL'!W737</f>
        <v>0</v>
      </c>
      <c r="Q641" s="70">
        <f>'RESUMEN TOTAL'!X737</f>
        <v>0</v>
      </c>
      <c r="R641" s="70">
        <f>'RESUMEN TOTAL'!Y737</f>
        <v>0</v>
      </c>
      <c r="S641" s="70">
        <f>'RESUMEN TOTAL'!Z737</f>
        <v>0</v>
      </c>
      <c r="T641" s="70">
        <f>'RESUMEN TOTAL'!AA737</f>
        <v>0</v>
      </c>
      <c r="U641" s="70">
        <f>'RESUMEN TOTAL'!AB737</f>
        <v>0</v>
      </c>
      <c r="V641" s="70">
        <f>'RESUMEN TOTAL'!AC737</f>
        <v>0</v>
      </c>
      <c r="W641" s="70">
        <f>'RESUMEN TOTAL'!AD737</f>
        <v>0</v>
      </c>
      <c r="X641" s="70">
        <f>'RESUMEN TOTAL'!AE737</f>
        <v>0</v>
      </c>
      <c r="Y641" s="70">
        <f>'RESUMEN TOTAL'!AF737</f>
        <v>0</v>
      </c>
      <c r="Z641" s="70">
        <f>'RESUMEN TOTAL'!AG737</f>
        <v>0</v>
      </c>
      <c r="AA641" s="70">
        <f>'RESUMEN TOTAL'!AH737</f>
        <v>0</v>
      </c>
      <c r="AB641" s="70">
        <f>'RESUMEN TOTAL'!AI737</f>
        <v>0</v>
      </c>
      <c r="AC641" s="70">
        <f>'RESUMEN TOTAL'!AJ737</f>
        <v>0</v>
      </c>
      <c r="AD641" s="70">
        <f>'RESUMEN TOTAL'!AK737</f>
        <v>0</v>
      </c>
      <c r="AE641" s="70">
        <f>'RESUMEN TOTAL'!AL737</f>
        <v>0</v>
      </c>
      <c r="AF641" s="70">
        <f>'RESUMEN TOTAL'!AM737</f>
        <v>0</v>
      </c>
      <c r="AG641" s="70">
        <f>'RESUMEN TOTAL'!AN737</f>
        <v>0</v>
      </c>
      <c r="AH641" s="70">
        <f>'RESUMEN TOTAL'!AO737</f>
        <v>0</v>
      </c>
      <c r="AI641" s="70">
        <f>'RESUMEN TOTAL'!AP737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TOTAL'!M738</f>
        <v>0</v>
      </c>
      <c r="G642" s="70">
        <f>'RESUMEN TOTAL'!N738</f>
        <v>0</v>
      </c>
      <c r="H642" s="70">
        <f>'RESUMEN TOTAL'!O738</f>
        <v>0</v>
      </c>
      <c r="I642" s="70">
        <f>'RESUMEN TOTAL'!P738</f>
        <v>0</v>
      </c>
      <c r="J642" s="70">
        <f>'RESUMEN TOTAL'!Q738</f>
        <v>0</v>
      </c>
      <c r="K642" s="70">
        <f>'RESUMEN TOTAL'!R738</f>
        <v>0</v>
      </c>
      <c r="L642" s="70">
        <f>'RESUMEN TOTAL'!S738</f>
        <v>0</v>
      </c>
      <c r="M642" s="70">
        <f>'RESUMEN TOTAL'!T738</f>
        <v>0</v>
      </c>
      <c r="N642" s="70">
        <f>'RESUMEN TOTAL'!U738</f>
        <v>0</v>
      </c>
      <c r="O642" s="70">
        <f>'RESUMEN TOTAL'!V738</f>
        <v>0</v>
      </c>
      <c r="P642" s="70">
        <f>'RESUMEN TOTAL'!W738</f>
        <v>0</v>
      </c>
      <c r="Q642" s="70">
        <f>'RESUMEN TOTAL'!X738</f>
        <v>0</v>
      </c>
      <c r="R642" s="70">
        <f>'RESUMEN TOTAL'!Y738</f>
        <v>0</v>
      </c>
      <c r="S642" s="70">
        <f>'RESUMEN TOTAL'!Z738</f>
        <v>0</v>
      </c>
      <c r="T642" s="70">
        <f>'RESUMEN TOTAL'!AA738</f>
        <v>0</v>
      </c>
      <c r="U642" s="70">
        <f>'RESUMEN TOTAL'!AB738</f>
        <v>0</v>
      </c>
      <c r="V642" s="70">
        <f>'RESUMEN TOTAL'!AC738</f>
        <v>0</v>
      </c>
      <c r="W642" s="70">
        <f>'RESUMEN TOTAL'!AD738</f>
        <v>0</v>
      </c>
      <c r="X642" s="70">
        <f>'RESUMEN TOTAL'!AE738</f>
        <v>0</v>
      </c>
      <c r="Y642" s="70">
        <f>'RESUMEN TOTAL'!AF738</f>
        <v>0</v>
      </c>
      <c r="Z642" s="70">
        <f>'RESUMEN TOTAL'!AG738</f>
        <v>0</v>
      </c>
      <c r="AA642" s="70">
        <f>'RESUMEN TOTAL'!AH738</f>
        <v>0</v>
      </c>
      <c r="AB642" s="70">
        <f>'RESUMEN TOTAL'!AI738</f>
        <v>0</v>
      </c>
      <c r="AC642" s="70">
        <f>'RESUMEN TOTAL'!AJ738</f>
        <v>0</v>
      </c>
      <c r="AD642" s="70">
        <f>'RESUMEN TOTAL'!AK738</f>
        <v>0</v>
      </c>
      <c r="AE642" s="70">
        <f>'RESUMEN TOTAL'!AL738</f>
        <v>0</v>
      </c>
      <c r="AF642" s="70">
        <f>'RESUMEN TOTAL'!AM738</f>
        <v>0</v>
      </c>
      <c r="AG642" s="70">
        <f>'RESUMEN TOTAL'!AN738</f>
        <v>0</v>
      </c>
      <c r="AH642" s="70">
        <f>'RESUMEN TOTAL'!AO738</f>
        <v>0</v>
      </c>
      <c r="AI642" s="70">
        <f>'RESUMEN TOTAL'!AP738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TOTAL'!M739</f>
        <v>0</v>
      </c>
      <c r="G643" s="70">
        <f>'RESUMEN TOTAL'!N739</f>
        <v>0</v>
      </c>
      <c r="H643" s="70">
        <f>'RESUMEN TOTAL'!O739</f>
        <v>0</v>
      </c>
      <c r="I643" s="70">
        <f>'RESUMEN TOTAL'!P739</f>
        <v>0</v>
      </c>
      <c r="J643" s="70">
        <f>'RESUMEN TOTAL'!Q739</f>
        <v>0</v>
      </c>
      <c r="K643" s="70">
        <f>'RESUMEN TOTAL'!R739</f>
        <v>0</v>
      </c>
      <c r="L643" s="70">
        <f>'RESUMEN TOTAL'!S739</f>
        <v>0</v>
      </c>
      <c r="M643" s="70">
        <f>'RESUMEN TOTAL'!T739</f>
        <v>0</v>
      </c>
      <c r="N643" s="70">
        <f>'RESUMEN TOTAL'!U739</f>
        <v>0</v>
      </c>
      <c r="O643" s="70">
        <f>'RESUMEN TOTAL'!V739</f>
        <v>0</v>
      </c>
      <c r="P643" s="70">
        <f>'RESUMEN TOTAL'!W739</f>
        <v>0</v>
      </c>
      <c r="Q643" s="70">
        <f>'RESUMEN TOTAL'!X739</f>
        <v>0</v>
      </c>
      <c r="R643" s="70">
        <f>'RESUMEN TOTAL'!Y739</f>
        <v>0</v>
      </c>
      <c r="S643" s="70">
        <f>'RESUMEN TOTAL'!Z739</f>
        <v>0</v>
      </c>
      <c r="T643" s="70">
        <f>'RESUMEN TOTAL'!AA739</f>
        <v>0</v>
      </c>
      <c r="U643" s="70">
        <f>'RESUMEN TOTAL'!AB739</f>
        <v>0</v>
      </c>
      <c r="V643" s="70">
        <f>'RESUMEN TOTAL'!AC739</f>
        <v>0</v>
      </c>
      <c r="W643" s="70">
        <f>'RESUMEN TOTAL'!AD739</f>
        <v>0</v>
      </c>
      <c r="X643" s="70">
        <f>'RESUMEN TOTAL'!AE739</f>
        <v>0</v>
      </c>
      <c r="Y643" s="70">
        <f>'RESUMEN TOTAL'!AF739</f>
        <v>0</v>
      </c>
      <c r="Z643" s="70">
        <f>'RESUMEN TOTAL'!AG739</f>
        <v>0</v>
      </c>
      <c r="AA643" s="70">
        <f>'RESUMEN TOTAL'!AH739</f>
        <v>0</v>
      </c>
      <c r="AB643" s="70">
        <f>'RESUMEN TOTAL'!AI739</f>
        <v>0</v>
      </c>
      <c r="AC643" s="70">
        <f>'RESUMEN TOTAL'!AJ739</f>
        <v>0</v>
      </c>
      <c r="AD643" s="70">
        <f>'RESUMEN TOTAL'!AK739</f>
        <v>0</v>
      </c>
      <c r="AE643" s="70">
        <f>'RESUMEN TOTAL'!AL739</f>
        <v>0</v>
      </c>
      <c r="AF643" s="70">
        <f>'RESUMEN TOTAL'!AM739</f>
        <v>0</v>
      </c>
      <c r="AG643" s="70">
        <f>'RESUMEN TOTAL'!AN739</f>
        <v>0</v>
      </c>
      <c r="AH643" s="70">
        <f>'RESUMEN TOTAL'!AO739</f>
        <v>0</v>
      </c>
      <c r="AI643" s="70">
        <f>'RESUMEN TOTAL'!AP739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G1" zoomScale="90" zoomScaleNormal="90" workbookViewId="0">
      <selection activeCell="AB14" sqref="AB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1072</v>
      </c>
      <c r="C1" s="36">
        <v>45931</v>
      </c>
    </row>
    <row r="2" spans="1:36" ht="16.5" thickTop="1" thickBot="1" x14ac:dyDescent="0.3">
      <c r="A2" s="49" t="s">
        <v>1064</v>
      </c>
      <c r="B2" s="41">
        <f>COUNTIFS('RESUMEN TOTAL'!C8:C561,"=BONOMO")</f>
        <v>298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16</v>
      </c>
      <c r="G3" s="46">
        <f>COUNTIFS('RESUMEN TOTAL'!N8:N670,"=APAGADO",'RESUMEN TOTAL'!C8:C670,"=BONOMO")</f>
        <v>20</v>
      </c>
      <c r="H3" s="46">
        <f>COUNTIFS('RESUMEN TOTAL'!O8:O670,"=APAGADO",'RESUMEN TOTAL'!C8:C670,"=BONOMO")</f>
        <v>17</v>
      </c>
      <c r="I3" s="46">
        <f>COUNTIFS('RESUMEN TOTAL'!P8:P670,"=APAGADO",'RESUMEN TOTAL'!C8:C670,"=BONOMO")</f>
        <v>13</v>
      </c>
      <c r="J3" s="46">
        <f>COUNTIFS('RESUMEN TOTAL'!Q8:Q670,"=APAGADO",'RESUMEN TOTAL'!C8:C670,"=BONOMO")</f>
        <v>16</v>
      </c>
      <c r="K3" s="46">
        <f>COUNTIFS('RESUMEN TOTAL'!R8:R670,"=APAGADO",'RESUMEN TOTAL'!C8:C670,"=BONOMO")</f>
        <v>24</v>
      </c>
      <c r="L3" s="46">
        <f>COUNTIFS('RESUMEN TOTAL'!S8:S670,"=APAGADO",'RESUMEN TOTAL'!C8:C670,"=BONOMO")</f>
        <v>15</v>
      </c>
      <c r="M3" s="46">
        <f>COUNTIFS('RESUMEN TOTAL'!T8:T670,"=APAGADO",'RESUMEN TOTAL'!C8:C670,"=BONOMO")</f>
        <v>18</v>
      </c>
      <c r="N3" s="46">
        <f>COUNTIFS('RESUMEN TOTAL'!U8:U670,"=APAGADO",'RESUMEN TOTAL'!C8:C670,"=BONOMO")</f>
        <v>16</v>
      </c>
      <c r="O3" s="46">
        <f>COUNTIFS('RESUMEN TOTAL'!V8:V670,"=APAGADO",'RESUMEN TOTAL'!C8:C670,"=BONOMO")</f>
        <v>10</v>
      </c>
      <c r="P3" s="46">
        <f>COUNTIFS('RESUMEN TOTAL'!W8:W670,"=APAGADO",'RESUMEN TOTAL'!C8:C670,"=BONOMO")</f>
        <v>12</v>
      </c>
      <c r="Q3" s="46">
        <f>COUNTIFS('RESUMEN TOTAL'!X8:X670,"=APAGADO",'RESUMEN TOTAL'!C8:C670,"=BONOMO")</f>
        <v>15</v>
      </c>
      <c r="R3" s="46">
        <f>COUNTIFS('RESUMEN TOTAL'!Y8:Y670,"=APAGADO",'RESUMEN TOTAL'!C8:C670,"=BONOMO")</f>
        <v>17</v>
      </c>
      <c r="S3" s="46">
        <f>COUNTIFS('RESUMEN TOTAL'!Z8:Z670,"=APAGADO",'RESUMEN TOTAL'!C8:C670,"=BONOMO")</f>
        <v>14</v>
      </c>
      <c r="T3" s="46">
        <f>COUNTIFS('RESUMEN TOTAL'!AA8:AA670,"=APAGADO",'RESUMEN TOTAL'!C8:C670,"=BONOMO")</f>
        <v>48</v>
      </c>
      <c r="U3" s="46">
        <f>COUNTIFS('RESUMEN TOTAL'!AB8:AB670,"=APAGADO",'RESUMEN TOTAL'!C8:C670,"=BONOMO")</f>
        <v>18</v>
      </c>
      <c r="V3" s="46">
        <f>COUNTIFS('RESUMEN TOTAL'!AC8:AC670,"=APAGADO",'RESUMEN TOTAL'!C8:C670,"=BONOMO")</f>
        <v>19</v>
      </c>
      <c r="W3" s="46">
        <f>COUNTIFS('RESUMEN TOTAL'!AD8:AD670,"=APAGADO",'RESUMEN TOTAL'!C8:C670,"=BONOMO")</f>
        <v>14</v>
      </c>
      <c r="X3" s="46">
        <f>COUNTIFS('RESUMEN TOTAL'!AE8:AE670,"=APAGADO",'RESUMEN TOTAL'!C8:C670,"=BONOMO")</f>
        <v>18</v>
      </c>
      <c r="Y3" s="46">
        <f>COUNTIFS('RESUMEN TOTAL'!AF8:AF670,"=APAGADO",'RESUMEN TOTAL'!C8:C670,"=BONOMO")</f>
        <v>17</v>
      </c>
      <c r="Z3" s="46">
        <f>COUNTIFS('RESUMEN TOTAL'!AG8:AG670,"=APAGADO",'RESUMEN TOTAL'!C8:C670,"=BONOMO")</f>
        <v>16</v>
      </c>
      <c r="AA3" s="46">
        <f>COUNTIFS('RESUMEN TOTAL'!AH8:AH670,"=APAGADO",'RESUMEN TOTAL'!C8:C670,"=BONOMO")</f>
        <v>15</v>
      </c>
      <c r="AB3" s="46">
        <f>COUNTIFS('RESUMEN TOTAL'!AI8:AI670,"=APAGADO",'RESUMEN TOTAL'!C8:C670,"=BONOMO")</f>
        <v>15</v>
      </c>
      <c r="AC3" s="46">
        <f>COUNTIFS('RESUMEN TOTAL'!AJ8:AJ670,"=APAGADO",'RESUMEN TOTAL'!C8:C670,"=BONOMO")</f>
        <v>16</v>
      </c>
      <c r="AD3" s="46">
        <f>COUNTIFS('RESUMEN TOTAL'!AK8:AK670,"=APAGADO",'RESUMEN TOTAL'!C8:C670,"=BONOMO")</f>
        <v>19</v>
      </c>
      <c r="AE3" s="46"/>
      <c r="AF3" s="46">
        <f>COUNTIFS('RESUMEN TOTAL'!AM8:AM670,"=APAGADO",'RESUMEN TOTAL'!C8:C670,"=BONOMO")</f>
        <v>0</v>
      </c>
      <c r="AG3" s="46">
        <f>COUNTIFS('RESUMEN TOTAL'!AN8:AN670,"=APAGADO",'RESUMEN TOTAL'!C8:C670,"=BONOMO")</f>
        <v>0</v>
      </c>
      <c r="AH3" s="46">
        <f>COUNTIFS('RESUMEN TOTAL'!AO8:AO670,"=APAGADO",'RESUMEN TOTAL'!C8:C670,"=BONOMO")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1065</v>
      </c>
      <c r="B4" s="41">
        <f>COUNTIFS('RESUMEN TOTAL'!C8:C561,"=COSEIDI")</f>
        <v>256</v>
      </c>
      <c r="C4" s="46">
        <v>52</v>
      </c>
      <c r="D4" s="39"/>
      <c r="E4" s="37" t="s">
        <v>1075</v>
      </c>
      <c r="F4" s="50">
        <f t="shared" ref="F4:AH4" si="0">F3/BONOMOcam</f>
        <v>5.3691275167785234E-2</v>
      </c>
      <c r="G4" s="50">
        <f t="shared" si="0"/>
        <v>6.7114093959731544E-2</v>
      </c>
      <c r="H4" s="50">
        <f t="shared" si="0"/>
        <v>5.7046979865771813E-2</v>
      </c>
      <c r="I4" s="50">
        <f t="shared" si="0"/>
        <v>4.3624161073825503E-2</v>
      </c>
      <c r="J4" s="50">
        <v>0</v>
      </c>
      <c r="K4" s="50">
        <f t="shared" si="0"/>
        <v>8.0536912751677847E-2</v>
      </c>
      <c r="L4" s="50">
        <f t="shared" si="0"/>
        <v>5.0335570469798654E-2</v>
      </c>
      <c r="M4" s="50">
        <f t="shared" si="0"/>
        <v>6.0402684563758392E-2</v>
      </c>
      <c r="N4" s="50">
        <f t="shared" si="0"/>
        <v>5.3691275167785234E-2</v>
      </c>
      <c r="O4" s="50">
        <f t="shared" si="0"/>
        <v>3.3557046979865772E-2</v>
      </c>
      <c r="P4" s="50">
        <f t="shared" si="0"/>
        <v>4.0268456375838924E-2</v>
      </c>
      <c r="Q4" s="50">
        <f t="shared" si="0"/>
        <v>5.0335570469798654E-2</v>
      </c>
      <c r="R4" s="50">
        <f t="shared" si="0"/>
        <v>5.7046979865771813E-2</v>
      </c>
      <c r="S4" s="50">
        <f t="shared" si="0"/>
        <v>4.6979865771812082E-2</v>
      </c>
      <c r="T4" s="50">
        <f t="shared" si="0"/>
        <v>0.16107382550335569</v>
      </c>
      <c r="U4" s="50">
        <f t="shared" si="0"/>
        <v>6.0402684563758392E-2</v>
      </c>
      <c r="V4" s="50">
        <f t="shared" si="0"/>
        <v>6.3758389261744972E-2</v>
      </c>
      <c r="W4" s="50">
        <f t="shared" si="0"/>
        <v>4.6979865771812082E-2</v>
      </c>
      <c r="X4" s="50">
        <f t="shared" si="0"/>
        <v>6.0402684563758392E-2</v>
      </c>
      <c r="Y4" s="50">
        <f t="shared" si="0"/>
        <v>5.7046979865771813E-2</v>
      </c>
      <c r="Z4" s="50">
        <f t="shared" si="0"/>
        <v>5.3691275167785234E-2</v>
      </c>
      <c r="AA4" s="50">
        <f t="shared" si="0"/>
        <v>5.0335570469798654E-2</v>
      </c>
      <c r="AB4" s="50">
        <f t="shared" si="0"/>
        <v>5.0335570469798654E-2</v>
      </c>
      <c r="AC4" s="50">
        <v>0.05</v>
      </c>
      <c r="AD4" s="50">
        <f t="shared" si="0"/>
        <v>6.3758389261744972E-2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TOTAL'!M8:M672,"=APAGADO",'RESUMEN TOTAL'!C8:C672,"=COSEIDI")</f>
        <v>31</v>
      </c>
      <c r="G5" s="46">
        <f>COUNTIFS('RESUMEN TOTAL'!N8:N670,"=APAGADO",'RESUMEN TOTAL'!C8:C670,"=COSEIDI")</f>
        <v>30</v>
      </c>
      <c r="H5" s="46">
        <f>COUNTIFS('RESUMEN TOTAL'!O10:O672,"=APAGADO",'RESUMEN TOTAL'!C10:C672,"=COSEIDI")</f>
        <v>29</v>
      </c>
      <c r="I5" s="46">
        <f>COUNTIFS('RESUMEN TOTAL'!P10:P672,"=APAGADO",'RESUMEN TOTAL'!C10:C672,"=COSEIDI")</f>
        <v>34</v>
      </c>
      <c r="J5" s="46">
        <f>COUNTIFS('RESUMEN TOTAL'!Q10:Q672,"=APAGADO",'RESUMEN TOTAL'!C10:C672,"=COSEIDI")</f>
        <v>39</v>
      </c>
      <c r="K5" s="46">
        <f>COUNTIFS('RESUMEN TOTAL'!R10:R672,"=APAGADO",'RESUMEN TOTAL'!C10:C672,"=COSEIDI")</f>
        <v>40</v>
      </c>
      <c r="L5" s="46">
        <f>COUNTIFS('RESUMEN TOTAL'!S10:S672,"=APAGADO",'RESUMEN TOTAL'!C10:C672,"=COSEIDI")</f>
        <v>32</v>
      </c>
      <c r="M5" s="46">
        <f>COUNTIFS('RESUMEN TOTAL'!T10:T672,"=APAGADO",'RESUMEN TOTAL'!C10:C672,"=COSEIDI")</f>
        <v>31</v>
      </c>
      <c r="N5" s="46">
        <f>COUNTIFS('RESUMEN TOTAL'!U10:U672,"=APAGADO",'RESUMEN TOTAL'!C10:C672,"=COSEIDI")</f>
        <v>30</v>
      </c>
      <c r="O5" s="46">
        <f>COUNTIFS('RESUMEN TOTAL'!V10:V672,"=APAGADO",'RESUMEN TOTAL'!C10:C672,"=COSEIDI")</f>
        <v>32</v>
      </c>
      <c r="P5" s="46">
        <f>COUNTIFS('RESUMEN TOTAL'!W10:W672,"=APAGADO",'RESUMEN TOTAL'!C10:C672,"=COSEIDI")</f>
        <v>29</v>
      </c>
      <c r="Q5" s="46">
        <f>COUNTIFS('RESUMEN TOTAL'!X10:X672,"=APAGADO",'RESUMEN TOTAL'!C10:C672,"=COSEIDI")</f>
        <v>37</v>
      </c>
      <c r="R5" s="46">
        <f>COUNTIFS('RESUMEN TOTAL'!Y10:Y672,"=APAGADO",'RESUMEN TOTAL'!C10:C672,"=COSEIDI")</f>
        <v>36</v>
      </c>
      <c r="S5" s="46">
        <f>COUNTIFS('RESUMEN TOTAL'!Z10:Z672,"=APAGADO",'RESUMEN TOTAL'!C10:C672,"=COSEIDI")</f>
        <v>33</v>
      </c>
      <c r="T5" s="46">
        <f>COUNTIFS('RESUMEN TOTAL'!AA10:AA672,"=APAGADO",'RESUMEN TOTAL'!C10:C672,"=COSEIDI")</f>
        <v>33</v>
      </c>
      <c r="U5" s="46">
        <v>27</v>
      </c>
      <c r="V5" s="46">
        <f>COUNTIFS('RESUMEN TOTAL'!AC10:AC672,"=APAGADO",'RESUMEN TOTAL'!C10:C672,"=COSEIDI")</f>
        <v>29</v>
      </c>
      <c r="W5" s="46">
        <f>COUNTIFS('RESUMEN TOTAL'!AD10:AD672,"=APAGADO",'RESUMEN TOTAL'!C10:C672,"=COSEIDI")</f>
        <v>25</v>
      </c>
      <c r="X5" s="46">
        <f>COUNTIFS('RESUMEN TOTAL'!AE10:AE672,"=APAGADO",'RESUMEN TOTAL'!C10:C672,"=COSEIDI")</f>
        <v>30</v>
      </c>
      <c r="Y5" s="46">
        <f>COUNTIFS('RESUMEN TOTAL'!AF10:AF672,"=APAGADO",'RESUMEN TOTAL'!C10:C672,"=COSEIDI")</f>
        <v>30</v>
      </c>
      <c r="Z5" s="46">
        <f>COUNTIFS('RESUMEN TOTAL'!AG10:AG672,"=APAGADO",'RESUMEN TOTAL'!C10:C672,"=COSEIDI")</f>
        <v>26</v>
      </c>
      <c r="AA5" s="46">
        <f>COUNTIFS('RESUMEN TOTAL'!AH10:AH672,"=APAGADO",'RESUMEN TOTAL'!C10:C672,"=COSEIDI")</f>
        <v>29</v>
      </c>
      <c r="AB5" s="46">
        <f>COUNTIFS('RESUMEN TOTAL'!AI10:AI672,"=APAGADO",'RESUMEN TOTAL'!C10:C672,"=COSEIDI")</f>
        <v>31</v>
      </c>
      <c r="AC5" s="46">
        <f>COUNTIFS('RESUMEN TOTAL'!AJ10:AJ672,"=APAGADO",'RESUMEN TOTAL'!C10:C672,"=COSEIDI")</f>
        <v>58</v>
      </c>
      <c r="AD5" s="46">
        <f>COUNTIFS('RESUMEN TOTAL'!AK10:AK672,"=APAGADO",'RESUMEN TOTAL'!C10:C672,"=COSEIDI")</f>
        <v>22</v>
      </c>
      <c r="AE5" s="46">
        <f>COUNTIFS('RESUMEN TOTAL'!AL10:AL672,"=APAGADO",'RESUMEN TOTAL'!C10:C672,"=COSEIDI")</f>
        <v>30</v>
      </c>
      <c r="AF5" s="46">
        <f>COUNTIFS('RESUMEN TOTAL'!AM10:AM672,"=APAGADO",'RESUMEN TOTAL'!C10:C672,"=COSEIDI")</f>
        <v>0</v>
      </c>
      <c r="AG5" s="46">
        <f>COUNTIFS('RESUMEN TOTAL'!AN10:AN672,"=APAGADO",'RESUMEN TOTAL'!C10:C672,"=COSEIDI")</f>
        <v>0</v>
      </c>
      <c r="AH5" s="46">
        <f>COUNTIFS('RESUMEN TOTAL'!AO10:AO672,"=APAGADO",'RESUMEN TOTAL'!C10:C672,"=COSEIDI")</f>
        <v>0</v>
      </c>
      <c r="AI5" s="46">
        <f>COUNTIFS('RESUMEN TOTAL'!AP10:AP672,"=APAGADO",'RESUMEN TOTAL'!C10:C672,"=COSEIDI")</f>
        <v>0</v>
      </c>
      <c r="AJ5" s="46">
        <f>COUNTIFS('RESUMEN TOTAL'!AQ10:AQ672,"=APAGADO",'RESUMEN TOTAL'!D10:D672,"=COSEIDI")</f>
        <v>0</v>
      </c>
    </row>
    <row r="6" spans="1:36" ht="16.5" thickTop="1" thickBot="1" x14ac:dyDescent="0.3">
      <c r="D6" s="39"/>
      <c r="E6" s="37" t="s">
        <v>1076</v>
      </c>
      <c r="F6" s="50">
        <v>0.11</v>
      </c>
      <c r="G6" s="50">
        <f>G5/COSEIDIcam</f>
        <v>0.1171875</v>
      </c>
      <c r="H6" s="50">
        <f t="shared" ref="H6:AH6" si="1">H5/COSEIDIcam</f>
        <v>0.11328125</v>
      </c>
      <c r="I6" s="50">
        <v>0.1</v>
      </c>
      <c r="J6" s="50">
        <v>0</v>
      </c>
      <c r="K6" s="50">
        <f t="shared" si="1"/>
        <v>0.15625</v>
      </c>
      <c r="L6" s="50">
        <f t="shared" si="1"/>
        <v>0.125</v>
      </c>
      <c r="M6" s="50">
        <f t="shared" si="1"/>
        <v>0.12109375</v>
      </c>
      <c r="N6" s="50">
        <f t="shared" si="1"/>
        <v>0.1171875</v>
      </c>
      <c r="O6" s="50">
        <f t="shared" si="1"/>
        <v>0.125</v>
      </c>
      <c r="P6" s="50">
        <f t="shared" si="1"/>
        <v>0.11328125</v>
      </c>
      <c r="Q6" s="50">
        <f t="shared" si="1"/>
        <v>0.14453125</v>
      </c>
      <c r="R6" s="50">
        <f t="shared" si="1"/>
        <v>0.140625</v>
      </c>
      <c r="S6" s="50">
        <f t="shared" si="1"/>
        <v>0.12890625</v>
      </c>
      <c r="T6" s="50">
        <f t="shared" si="1"/>
        <v>0.12890625</v>
      </c>
      <c r="U6" s="50">
        <v>0.1</v>
      </c>
      <c r="V6" s="50">
        <f t="shared" si="1"/>
        <v>0.11328125</v>
      </c>
      <c r="W6" s="50">
        <f t="shared" si="1"/>
        <v>9.765625E-2</v>
      </c>
      <c r="X6" s="50">
        <f t="shared" si="1"/>
        <v>0.1171875</v>
      </c>
      <c r="Y6" s="50">
        <f t="shared" si="1"/>
        <v>0.1171875</v>
      </c>
      <c r="Z6" s="50">
        <f t="shared" si="1"/>
        <v>0.1015625</v>
      </c>
      <c r="AA6" s="50">
        <f t="shared" si="1"/>
        <v>0.11328125</v>
      </c>
      <c r="AB6" s="50">
        <f t="shared" si="1"/>
        <v>0.12109375</v>
      </c>
      <c r="AC6" s="50">
        <v>0.23</v>
      </c>
      <c r="AD6" s="50">
        <f t="shared" si="1"/>
        <v>8.59375E-2</v>
      </c>
      <c r="AE6" s="50">
        <f t="shared" si="1"/>
        <v>0.1171875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2025-10-27T10:35:03Z</dcterms:modified>
</cp:coreProperties>
</file>