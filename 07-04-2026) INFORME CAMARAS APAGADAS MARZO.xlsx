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54ECED6F-D68D-4B8A-BC65-B7E66B0FE6F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_xlnm.Print_Area" localSheetId="0">'RESUMEN TOTAL'!$A$2:$AQ$1192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D150" i="24"/>
  <c r="E242" i="24"/>
  <c r="D288" i="24"/>
  <c r="E288" i="24" s="1"/>
  <c r="E332" i="24"/>
  <c r="C338" i="24"/>
  <c r="D339" i="24"/>
  <c r="E344" i="24"/>
  <c r="AF5" i="25"/>
  <c r="D300" i="24" s="1"/>
  <c r="U5" i="25"/>
  <c r="R5" i="25"/>
  <c r="D142" i="24" s="1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D327" i="24" l="1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D109" i="24" s="1"/>
  <c r="P5" i="25"/>
  <c r="D120" i="24" s="1"/>
  <c r="O3" i="25"/>
  <c r="D108" i="24" s="1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C131" i="24"/>
  <c r="C153" i="24"/>
  <c r="C186" i="24"/>
  <c r="C333" i="24"/>
  <c r="E333" i="24" s="1"/>
  <c r="C32" i="24"/>
  <c r="E32" i="24" s="1"/>
  <c r="C54" i="24"/>
  <c r="C76" i="24"/>
  <c r="C98" i="24"/>
  <c r="C120" i="24"/>
  <c r="E120" i="24" s="1"/>
  <c r="C164" i="24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D116" i="24" l="1"/>
  <c r="L282" i="2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D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C135" i="24" s="1"/>
  <c r="AA3" i="2"/>
  <c r="C146" i="24" s="1"/>
  <c r="AB3" i="2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D141" i="24" s="1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64" i="24" l="1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D70" i="24" s="1"/>
  <c r="D71" i="24" s="1"/>
  <c r="D72" i="24" s="1"/>
  <c r="S3" i="2"/>
  <c r="C58" i="24" s="1"/>
  <c r="L418" i="2"/>
  <c r="J418" i="2"/>
  <c r="L483" i="2"/>
  <c r="J483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60" i="24" l="1"/>
  <c r="D172" i="24"/>
  <c r="M543" i="2"/>
  <c r="M292" i="2"/>
  <c r="M482" i="2"/>
  <c r="M334" i="2"/>
  <c r="M340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AI3" i="26" l="1"/>
  <c r="M164" i="2"/>
  <c r="M266" i="2"/>
  <c r="M382" i="2"/>
  <c r="M549" i="2"/>
  <c r="B1" i="2"/>
  <c r="W3" i="2"/>
  <c r="C102" i="24" s="1"/>
  <c r="V3" i="2"/>
  <c r="C91" i="24" s="1"/>
  <c r="R3" i="2"/>
  <c r="C47" i="24" s="1"/>
  <c r="Q3" i="2"/>
  <c r="C36" i="24" s="1"/>
  <c r="P3" i="2"/>
  <c r="C25" i="24" s="1"/>
  <c r="U3" i="2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J403" i="2"/>
  <c r="G316" i="26"/>
  <c r="L403" i="2"/>
  <c r="F316" i="26"/>
  <c r="G2" i="26" l="1"/>
  <c r="AJ2" i="26"/>
  <c r="AJ3" i="26"/>
  <c r="F2" i="26"/>
  <c r="AI2" i="26"/>
  <c r="N1" i="2"/>
  <c r="O1" i="2"/>
  <c r="F3" i="26"/>
  <c r="G3" i="26"/>
  <c r="M4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<sst xmlns="http://schemas.openxmlformats.org/spreadsheetml/2006/main" count="5468" uniqueCount="2338">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</sst>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0.23465703971119134</c:v>
                      </c:pt>
                      <c:pt idx="6">
                        <c:v>0.18772563176895307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0.23465703971119134</c:v>
                </c:pt>
                <c:pt idx="6">
                  <c:v>0.18772563176895307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0.23465703971119134</c:v>
                      </c:pt>
                      <c:pt idx="6">
                        <c:v>0.18772563176895307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0.23465703971119134</c:v>
                </c:pt>
                <c:pt idx="6">
                  <c:v>0.18772563176895307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000"/>
  <sheetViews>
    <sheetView tabSelected="1" topLeftCell="B1" zoomScale="64" zoomScaleNormal="64" zoomScaleSheetLayoutView="100" workbookViewId="0">
      <selection activeCell="K164" sqref="K164"/>
    </sheetView>
  </sheetViews>
  <sheetFormatPr baseColWidth="10" defaultColWidth="11.5703125" defaultRowHeight="15" x14ac:dyDescent="0.25"/>
  <cols>
    <col min="1" max="1" width="17.28515625" hidden="1" customWidth="1"/>
    <col min="2" max="2" width="50.5703125" style="30" customWidth="1"/>
    <col min="3" max="3" width="15.85546875" style="30" customWidth="1"/>
    <col min="4" max="4" width="36.42578125" customWidth="1"/>
    <col min="5" max="5" width="7.7109375" style="61" customWidth="1"/>
    <col min="6" max="6" width="16.85546875" style="65" customWidth="1"/>
    <col min="7" max="7" width="31.140625" style="65" bestFit="1" customWidth="1"/>
    <col min="8" max="8" width="13.42578125" style="65" customWidth="1"/>
    <col min="9" max="9" width="11.85546875" style="65" bestFit="1" customWidth="1"/>
    <col min="10" max="10" width="31.85546875" bestFit="1" customWidth="1"/>
    <col min="11" max="11" width="21.140625" bestFit="1" customWidth="1"/>
    <col min="12" max="12" width="22" bestFit="1" customWidth="1"/>
    <col min="13" max="13" width="24" style="4" bestFit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0.15484804630969609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0.15484804630969609</v>
      </c>
      <c r="T1" s="3">
        <f t="shared" si="0"/>
        <v>0.14744525547445256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/>
      <c r="AB1" s="3">
        <f t="shared" ref="AB1:AO1" si="1">(AB3)/(AB2+AB3)</f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3">CANTIDAD_DE_CAMARAS</f>
        <v>584</v>
      </c>
      <c r="O2" s="7">
        <f t="shared" si="3"/>
        <v>584</v>
      </c>
      <c r="P2" s="7">
        <f t="shared" si="3"/>
        <v>584</v>
      </c>
      <c r="Q2" s="7">
        <f t="shared" si="3"/>
        <v>584</v>
      </c>
      <c r="R2" s="7">
        <f t="shared" si="3"/>
        <v>584</v>
      </c>
      <c r="S2" s="7">
        <f t="shared" si="3"/>
        <v>584</v>
      </c>
      <c r="T2" s="7">
        <f t="shared" si="3"/>
        <v>584</v>
      </c>
      <c r="U2" s="7">
        <f t="shared" si="3"/>
        <v>584</v>
      </c>
      <c r="V2" s="7">
        <f t="shared" si="3"/>
        <v>584</v>
      </c>
      <c r="W2" s="7">
        <f t="shared" si="3"/>
        <v>584</v>
      </c>
      <c r="X2" s="7">
        <f t="shared" si="3"/>
        <v>584</v>
      </c>
      <c r="Y2" s="7">
        <f t="shared" si="3"/>
        <v>584</v>
      </c>
      <c r="Z2" s="7">
        <f t="shared" si="3"/>
        <v>584</v>
      </c>
      <c r="AA2" s="7">
        <f t="shared" si="3"/>
        <v>584</v>
      </c>
      <c r="AB2" s="7">
        <f t="shared" si="3"/>
        <v>584</v>
      </c>
      <c r="AC2" s="7">
        <f t="shared" si="3"/>
        <v>584</v>
      </c>
      <c r="AD2" s="7">
        <f t="shared" si="3"/>
        <v>584</v>
      </c>
      <c r="AE2" s="7">
        <f t="shared" si="3"/>
        <v>584</v>
      </c>
      <c r="AF2" s="7">
        <f t="shared" si="3"/>
        <v>584</v>
      </c>
      <c r="AG2" s="7">
        <f t="shared" si="3"/>
        <v>584</v>
      </c>
      <c r="AH2" s="7">
        <f t="shared" si="3"/>
        <v>584</v>
      </c>
      <c r="AI2" s="7">
        <f t="shared" si="3"/>
        <v>584</v>
      </c>
      <c r="AJ2" s="7">
        <f t="shared" si="3"/>
        <v>584</v>
      </c>
      <c r="AK2" s="7">
        <f t="shared" si="3"/>
        <v>584</v>
      </c>
      <c r="AL2" s="7">
        <f t="shared" si="3"/>
        <v>584</v>
      </c>
      <c r="AM2" s="7">
        <f t="shared" si="3"/>
        <v>584</v>
      </c>
      <c r="AN2" s="7">
        <f t="shared" si="3"/>
        <v>584</v>
      </c>
      <c r="AO2" s="7">
        <f t="shared" si="3"/>
        <v>584</v>
      </c>
      <c r="AP2" s="7">
        <f t="shared" si="3"/>
        <v>584</v>
      </c>
      <c r="AQ2" s="7">
        <f t="shared" si="3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>COUNTIF(N7:N744, "apagado")</f>
        <v>107</v>
      </c>
      <c r="O3" s="125">
        <f t="shared" ref="O3:AQ3" si="4">COUNTIF(O7:O744, "apagado")</f>
        <v>0</v>
      </c>
      <c r="P3" s="125">
        <f t="shared" si="4"/>
        <v>0</v>
      </c>
      <c r="Q3" s="125">
        <f t="shared" si="4"/>
        <v>0</v>
      </c>
      <c r="R3" s="125">
        <f t="shared" si="4"/>
        <v>0</v>
      </c>
      <c r="S3" s="125">
        <f t="shared" si="4"/>
        <v>107</v>
      </c>
      <c r="T3" s="125">
        <f t="shared" si="4"/>
        <v>101</v>
      </c>
      <c r="U3" s="125">
        <f t="shared" si="4"/>
        <v>0</v>
      </c>
      <c r="V3" s="125">
        <f t="shared" si="4"/>
        <v>0</v>
      </c>
      <c r="W3" s="125">
        <f t="shared" si="4"/>
        <v>0</v>
      </c>
      <c r="X3" s="125">
        <f t="shared" si="4"/>
        <v>0</v>
      </c>
      <c r="Y3" s="125">
        <f t="shared" si="4"/>
        <v>0</v>
      </c>
      <c r="Z3" s="125">
        <f t="shared" si="4"/>
        <v>0</v>
      </c>
      <c r="AA3" s="125">
        <f t="shared" si="4"/>
        <v>0</v>
      </c>
      <c r="AB3" s="125">
        <f t="shared" si="4"/>
        <v>0</v>
      </c>
      <c r="AC3" s="125">
        <f t="shared" si="4"/>
        <v>0</v>
      </c>
      <c r="AD3" s="125">
        <f t="shared" si="4"/>
        <v>0</v>
      </c>
      <c r="AE3" s="125">
        <f t="shared" si="4"/>
        <v>0</v>
      </c>
      <c r="AF3" s="125">
        <f t="shared" si="4"/>
        <v>0</v>
      </c>
      <c r="AG3" s="125">
        <f t="shared" si="4"/>
        <v>0</v>
      </c>
      <c r="AH3" s="125">
        <f t="shared" si="4"/>
        <v>0</v>
      </c>
      <c r="AI3" s="125">
        <f t="shared" si="4"/>
        <v>0</v>
      </c>
      <c r="AJ3" s="125">
        <f t="shared" si="4"/>
        <v>0</v>
      </c>
      <c r="AK3" s="125">
        <f t="shared" si="4"/>
        <v>0</v>
      </c>
      <c r="AL3" s="125">
        <f t="shared" si="4"/>
        <v>0</v>
      </c>
      <c r="AM3" s="125">
        <f t="shared" si="4"/>
        <v>0</v>
      </c>
      <c r="AN3" s="125">
        <f t="shared" si="4"/>
        <v>0</v>
      </c>
      <c r="AO3" s="125">
        <f t="shared" si="4"/>
        <v>0</v>
      </c>
      <c r="AP3" s="125">
        <f t="shared" si="4"/>
        <v>0</v>
      </c>
      <c r="AQ3" s="125">
        <f t="shared" si="4"/>
        <v>0</v>
      </c>
    </row>
    <row r="4" spans="1:43" s="8" customFormat="1" ht="15.75" thickTop="1" x14ac:dyDescent="0.25">
      <c r="A4" s="115"/>
      <c r="B4" s="58"/>
      <c r="C4" s="58"/>
      <c r="D4" s="21" t="s">
        <v>1452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48</v>
      </c>
      <c r="O4" s="10">
        <f>COUNTIFS(O8:O698, "=APAGADO",F8:F698,"=Fibra Optica")</f>
        <v>0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46</v>
      </c>
      <c r="T4" s="10">
        <f>COUNTIFS(T8:T698, "=APAGADO",F8:F698,"=Fibra Optica")</f>
        <v>41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</row>
    <row r="5" spans="1:43" s="8" customFormat="1" x14ac:dyDescent="0.25">
      <c r="A5" s="115"/>
      <c r="B5" s="58"/>
      <c r="C5" s="58"/>
      <c r="D5" s="126" t="s">
        <v>1453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16</v>
      </c>
      <c r="O5" s="129">
        <f>COUNTIFS(O8:O698, "=APAGADO",F8:F698,"=RADIO")</f>
        <v>0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6</v>
      </c>
      <c r="T5" s="129">
        <f>COUNTIFS(T8:T698, "=APAGADO",F8:F698,"=RADIO")</f>
        <v>6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1454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8</v>
      </c>
      <c r="O6" s="10">
        <f>COUNTIFS(O8:O698, "=APAGADO",F8:F698,"=PTO A FO")</f>
        <v>0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14</v>
      </c>
      <c r="T6" s="10">
        <f>COUNTIFS(T8:T698, "=APAGADO",F8:F698,"=PTO A FO")</f>
        <v>11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2293</v>
      </c>
      <c r="C7" s="35" t="s">
        <v>1054</v>
      </c>
      <c r="D7" s="35" t="s">
        <v>8</v>
      </c>
      <c r="E7" s="116" t="s">
        <v>9</v>
      </c>
      <c r="F7" s="116" t="s">
        <v>10</v>
      </c>
      <c r="G7" s="116" t="s">
        <v>1241</v>
      </c>
      <c r="H7" s="116"/>
      <c r="I7" s="116" t="s">
        <v>2289</v>
      </c>
      <c r="J7" s="19" t="s">
        <v>2</v>
      </c>
      <c r="K7" s="19" t="s">
        <v>1648</v>
      </c>
      <c r="L7" s="19" t="s">
        <v>3</v>
      </c>
      <c r="M7" s="117" t="s">
        <v>4</v>
      </c>
      <c r="N7" s="118">
        <v>46113</v>
      </c>
      <c r="O7" s="118">
        <v>46114</v>
      </c>
      <c r="P7" s="118">
        <v>46115</v>
      </c>
      <c r="Q7" s="118">
        <v>46116</v>
      </c>
      <c r="R7" s="118">
        <v>46117</v>
      </c>
      <c r="S7" s="118">
        <v>46118</v>
      </c>
      <c r="T7" s="118">
        <v>46119</v>
      </c>
      <c r="U7" s="118">
        <v>46120</v>
      </c>
      <c r="V7" s="118">
        <v>46121</v>
      </c>
      <c r="W7" s="118">
        <v>46122</v>
      </c>
      <c r="X7" s="118">
        <v>46123</v>
      </c>
      <c r="Y7" s="118">
        <v>46124</v>
      </c>
      <c r="Z7" s="118">
        <v>46125</v>
      </c>
      <c r="AA7" s="118">
        <v>46126</v>
      </c>
      <c r="AB7" s="118">
        <v>46127</v>
      </c>
      <c r="AC7" s="118">
        <v>46128</v>
      </c>
      <c r="AD7" s="118">
        <v>46129</v>
      </c>
      <c r="AE7" s="118">
        <v>46130</v>
      </c>
      <c r="AF7" s="118">
        <v>46131</v>
      </c>
      <c r="AG7" s="118">
        <v>46132</v>
      </c>
      <c r="AH7" s="118">
        <v>46133</v>
      </c>
      <c r="AI7" s="118">
        <v>46134</v>
      </c>
      <c r="AJ7" s="118">
        <v>46135</v>
      </c>
      <c r="AK7" s="118">
        <v>46136</v>
      </c>
      <c r="AL7" s="118">
        <v>46137</v>
      </c>
      <c r="AM7" s="118">
        <v>46138</v>
      </c>
      <c r="AN7" s="118">
        <v>46139</v>
      </c>
      <c r="AO7" s="118">
        <v>46140</v>
      </c>
      <c r="AP7" s="118">
        <v>46141</v>
      </c>
      <c r="AQ7" s="118">
        <v>46142</v>
      </c>
    </row>
    <row r="8" spans="1:43" ht="15.75" thickBot="1" x14ac:dyDescent="0.3">
      <c r="A8" t="s">
        <v>25</v>
      </c>
      <c r="B8" t="s">
        <v>28</v>
      </c>
      <c r="C8" t="s">
        <v>1055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5">COUNTIF(N8:AO8,"")</f>
        <v>28</v>
      </c>
      <c r="K8" s="146" t="s">
        <v>1649</v>
      </c>
      <c r="L8" s="31">
        <f t="shared" ref="L8:L86" si="6">COUNTIF(N8:AO8,"APAGADO")</f>
        <v>0</v>
      </c>
      <c r="M8" s="32">
        <f t="shared" ref="M8:M86" si="7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25</v>
      </c>
      <c r="B9" t="s">
        <v>30</v>
      </c>
      <c r="C9" t="s">
        <v>1055</v>
      </c>
      <c r="D9" t="s">
        <v>31</v>
      </c>
      <c r="E9" s="30" t="s">
        <v>18</v>
      </c>
      <c r="F9" s="30" t="s">
        <v>1049</v>
      </c>
      <c r="G9" s="30" t="s">
        <v>1244</v>
      </c>
      <c r="H9" s="30" t="s">
        <v>610</v>
      </c>
      <c r="I9" s="30"/>
      <c r="J9" s="31">
        <f t="shared" si="5"/>
        <v>28</v>
      </c>
      <c r="K9" s="146" t="s">
        <v>1650</v>
      </c>
      <c r="L9" s="31">
        <f t="shared" si="6"/>
        <v>0</v>
      </c>
      <c r="M9" s="32">
        <f t="shared" si="7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25</v>
      </c>
      <c r="B10" s="73" t="s">
        <v>907</v>
      </c>
      <c r="C10" s="73" t="s">
        <v>1055</v>
      </c>
      <c r="D10" s="73" t="s">
        <v>32</v>
      </c>
      <c r="E10" s="85" t="s">
        <v>18</v>
      </c>
      <c r="F10" s="85" t="s">
        <v>1294</v>
      </c>
      <c r="G10" s="85"/>
      <c r="H10" s="85" t="s">
        <v>611</v>
      </c>
      <c r="I10" s="85"/>
      <c r="J10" s="141">
        <f t="shared" si="5"/>
        <v>28</v>
      </c>
      <c r="K10" s="146" t="s">
        <v>1651</v>
      </c>
      <c r="L10" s="141">
        <f t="shared" si="6"/>
        <v>0</v>
      </c>
      <c r="M10" s="142">
        <f t="shared" si="7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25</v>
      </c>
      <c r="B11" s="73" t="s">
        <v>908</v>
      </c>
      <c r="C11" s="73" t="s">
        <v>1055</v>
      </c>
      <c r="D11" s="73" t="s">
        <v>33</v>
      </c>
      <c r="E11" s="85" t="s">
        <v>18</v>
      </c>
      <c r="F11" s="85" t="s">
        <v>1294</v>
      </c>
      <c r="G11" s="85"/>
      <c r="H11" s="85" t="s">
        <v>612</v>
      </c>
      <c r="I11" s="85"/>
      <c r="J11" s="141">
        <f t="shared" si="5"/>
        <v>28</v>
      </c>
      <c r="K11" s="146" t="s">
        <v>1652</v>
      </c>
      <c r="L11" s="141">
        <f t="shared" si="6"/>
        <v>0</v>
      </c>
      <c r="M11" s="142">
        <f t="shared" si="7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25</v>
      </c>
      <c r="B12" s="73" t="s">
        <v>34</v>
      </c>
      <c r="C12" s="73" t="s">
        <v>1055</v>
      </c>
      <c r="D12" s="73" t="s">
        <v>35</v>
      </c>
      <c r="E12" s="85" t="s">
        <v>18</v>
      </c>
      <c r="F12" s="85" t="s">
        <v>1294</v>
      </c>
      <c r="G12" s="85" t="s">
        <v>1243</v>
      </c>
      <c r="H12" s="85" t="s">
        <v>613</v>
      </c>
      <c r="I12" s="85"/>
      <c r="J12" s="141">
        <f t="shared" si="5"/>
        <v>28</v>
      </c>
      <c r="K12" s="146" t="s">
        <v>1653</v>
      </c>
      <c r="L12" s="141">
        <f t="shared" si="6"/>
        <v>0</v>
      </c>
      <c r="M12" s="142">
        <f t="shared" si="7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25</v>
      </c>
      <c r="B13" s="73" t="s">
        <v>909</v>
      </c>
      <c r="C13" s="73" t="s">
        <v>1055</v>
      </c>
      <c r="D13" s="73" t="s">
        <v>26</v>
      </c>
      <c r="E13" s="85" t="s">
        <v>18</v>
      </c>
      <c r="F13" s="85" t="s">
        <v>1294</v>
      </c>
      <c r="G13" s="85" t="s">
        <v>1243</v>
      </c>
      <c r="H13" s="85" t="s">
        <v>614</v>
      </c>
      <c r="I13" s="85"/>
      <c r="J13" s="141">
        <f t="shared" si="5"/>
        <v>28</v>
      </c>
      <c r="K13" s="146" t="s">
        <v>1654</v>
      </c>
      <c r="L13" s="141">
        <f t="shared" si="6"/>
        <v>0</v>
      </c>
      <c r="M13" s="142">
        <f t="shared" si="7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25</v>
      </c>
      <c r="B14" t="s">
        <v>36</v>
      </c>
      <c r="C14" t="s">
        <v>1055</v>
      </c>
      <c r="D14" t="s">
        <v>37</v>
      </c>
      <c r="E14" s="30" t="s">
        <v>14</v>
      </c>
      <c r="F14" s="30" t="s">
        <v>1049</v>
      </c>
      <c r="G14" s="30" t="s">
        <v>1244</v>
      </c>
      <c r="H14" s="30" t="s">
        <v>616</v>
      </c>
      <c r="I14" s="30"/>
      <c r="J14" s="31">
        <f t="shared" si="5"/>
        <v>28</v>
      </c>
      <c r="K14" s="146" t="s">
        <v>1655</v>
      </c>
      <c r="L14" s="31">
        <f t="shared" si="6"/>
        <v>0</v>
      </c>
      <c r="M14" s="32">
        <f t="shared" si="7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25</v>
      </c>
      <c r="B15" t="s">
        <v>910</v>
      </c>
      <c r="C15" t="s">
        <v>1055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5"/>
        <v>28</v>
      </c>
      <c r="K15" s="146" t="s">
        <v>1656</v>
      </c>
      <c r="L15" s="31">
        <f t="shared" si="6"/>
        <v>0</v>
      </c>
      <c r="M15" s="32">
        <f t="shared" si="7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25</v>
      </c>
      <c r="B16" t="s">
        <v>911</v>
      </c>
      <c r="C16" t="s">
        <v>1055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5"/>
        <v>28</v>
      </c>
      <c r="K16" s="146" t="s">
        <v>1657</v>
      </c>
      <c r="L16" s="31">
        <f t="shared" si="6"/>
        <v>0</v>
      </c>
      <c r="M16" s="32">
        <f t="shared" si="7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25</v>
      </c>
      <c r="B17" s="73" t="s">
        <v>912</v>
      </c>
      <c r="C17" s="73" t="s">
        <v>1055</v>
      </c>
      <c r="D17" s="73" t="s">
        <v>913</v>
      </c>
      <c r="E17" s="85" t="s">
        <v>18</v>
      </c>
      <c r="F17" s="85" t="s">
        <v>1294</v>
      </c>
      <c r="G17" s="85"/>
      <c r="H17" s="85" t="s">
        <v>1206</v>
      </c>
      <c r="I17" s="85"/>
      <c r="J17" s="141">
        <f t="shared" si="5"/>
        <v>28</v>
      </c>
      <c r="K17" s="146" t="s">
        <v>1658</v>
      </c>
      <c r="L17" s="141">
        <f t="shared" si="6"/>
        <v>0</v>
      </c>
      <c r="M17" s="142">
        <f t="shared" si="7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25</v>
      </c>
      <c r="B18" t="s">
        <v>1515</v>
      </c>
      <c r="C18" t="s">
        <v>1055</v>
      </c>
      <c r="D18" s="68" t="s">
        <v>1516</v>
      </c>
      <c r="E18" s="30" t="s">
        <v>72</v>
      </c>
      <c r="F18" s="85" t="s">
        <v>1294</v>
      </c>
      <c r="G18" s="30"/>
      <c r="H18" s="30" t="s">
        <v>1517</v>
      </c>
      <c r="I18" s="30"/>
      <c r="J18" s="31">
        <f t="shared" si="5"/>
        <v>28</v>
      </c>
      <c r="K18" s="146" t="s">
        <v>2132</v>
      </c>
      <c r="L18" s="31">
        <f t="shared" si="6"/>
        <v>0</v>
      </c>
      <c r="M18" s="32">
        <f t="shared" si="7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40</v>
      </c>
      <c r="B19" t="s">
        <v>914</v>
      </c>
      <c r="C19" t="s">
        <v>1055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5"/>
        <v>25</v>
      </c>
      <c r="K19" s="146" t="s">
        <v>1659</v>
      </c>
      <c r="L19" s="31">
        <f t="shared" si="6"/>
        <v>3</v>
      </c>
      <c r="M19" s="32">
        <f t="shared" si="7"/>
        <v>0.8928571428571429</v>
      </c>
      <c r="N19" s="70" t="s">
        <v>2245</v>
      </c>
      <c r="O19" s="70"/>
      <c r="P19" s="70"/>
      <c r="Q19" s="70"/>
      <c r="R19" s="70"/>
      <c r="S19" s="70" t="s">
        <v>2245</v>
      </c>
      <c r="T19" s="70" t="s">
        <v>2245</v>
      </c>
      <c r="U19" s="70"/>
      <c r="V19" s="70"/>
      <c r="W19" s="70"/>
      <c r="X19" s="70"/>
      <c r="Y19" s="70"/>
      <c r="Z19" s="70"/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40</v>
      </c>
      <c r="B20" s="73" t="s">
        <v>1529</v>
      </c>
      <c r="C20" s="73" t="s">
        <v>1055</v>
      </c>
      <c r="D20" s="73" t="s">
        <v>1530</v>
      </c>
      <c r="E20" s="85" t="s">
        <v>72</v>
      </c>
      <c r="F20" s="85" t="s">
        <v>1294</v>
      </c>
      <c r="G20" s="85"/>
      <c r="H20" s="85" t="s">
        <v>1531</v>
      </c>
      <c r="I20" s="85"/>
      <c r="J20" s="31">
        <f t="shared" si="5"/>
        <v>25</v>
      </c>
      <c r="K20" s="146" t="s">
        <v>1660</v>
      </c>
      <c r="L20" s="31">
        <f t="shared" si="6"/>
        <v>3</v>
      </c>
      <c r="M20" s="32">
        <f t="shared" si="7"/>
        <v>0.8928571428571429</v>
      </c>
      <c r="N20" s="70" t="s">
        <v>2245</v>
      </c>
      <c r="O20" s="70"/>
      <c r="P20" s="70"/>
      <c r="Q20" s="70"/>
      <c r="R20" s="70"/>
      <c r="S20" s="70" t="s">
        <v>2245</v>
      </c>
      <c r="T20" s="70" t="s">
        <v>2245</v>
      </c>
      <c r="U20" s="70"/>
      <c r="V20" s="70"/>
      <c r="W20" s="70"/>
      <c r="X20" s="70"/>
      <c r="Y20" s="70"/>
      <c r="Z20" s="70"/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40</v>
      </c>
      <c r="B21" s="73" t="s">
        <v>1558</v>
      </c>
      <c r="C21" s="73" t="s">
        <v>1055</v>
      </c>
      <c r="D21" s="73" t="s">
        <v>1559</v>
      </c>
      <c r="E21" s="85" t="s">
        <v>72</v>
      </c>
      <c r="F21" s="85" t="s">
        <v>1294</v>
      </c>
      <c r="G21" s="85"/>
      <c r="H21" s="85" t="s">
        <v>1560</v>
      </c>
      <c r="I21" s="85"/>
      <c r="J21" s="31">
        <f t="shared" si="5"/>
        <v>28</v>
      </c>
      <c r="K21" s="146" t="s">
        <v>1661</v>
      </c>
      <c r="L21" s="31">
        <f t="shared" si="6"/>
        <v>0</v>
      </c>
      <c r="M21" s="32">
        <f t="shared" si="7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42</v>
      </c>
      <c r="B22" t="s">
        <v>915</v>
      </c>
      <c r="C22" t="s">
        <v>1055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2290</v>
      </c>
      <c r="J22" s="31">
        <f t="shared" si="5"/>
        <v>28</v>
      </c>
      <c r="K22" s="146" t="s">
        <v>2292</v>
      </c>
      <c r="L22" s="31">
        <f t="shared" si="6"/>
        <v>0</v>
      </c>
      <c r="M22" s="32">
        <f t="shared" si="7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42</v>
      </c>
      <c r="B23" t="s">
        <v>1261</v>
      </c>
      <c r="C23" t="s">
        <v>1055</v>
      </c>
      <c r="D23" t="s">
        <v>1262</v>
      </c>
      <c r="E23" s="30" t="s">
        <v>14</v>
      </c>
      <c r="F23" s="30" t="s">
        <v>27</v>
      </c>
      <c r="G23" s="30"/>
      <c r="H23" s="30" t="s">
        <v>1349</v>
      </c>
      <c r="I23" s="30"/>
      <c r="J23" s="31">
        <f t="shared" si="5"/>
        <v>28</v>
      </c>
      <c r="K23" s="146" t="s">
        <v>1662</v>
      </c>
      <c r="L23" s="31">
        <f t="shared" si="6"/>
        <v>0</v>
      </c>
      <c r="M23" s="32">
        <f t="shared" si="7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1187</v>
      </c>
      <c r="B24" s="30" t="s">
        <v>1171</v>
      </c>
      <c r="C24" s="30" t="s">
        <v>1056</v>
      </c>
      <c r="D24" t="s">
        <v>1155</v>
      </c>
      <c r="E24" s="30" t="s">
        <v>72</v>
      </c>
      <c r="F24" s="30" t="s">
        <v>1049</v>
      </c>
      <c r="G24" s="30"/>
      <c r="H24" s="30" t="s">
        <v>1158</v>
      </c>
      <c r="I24" s="30"/>
      <c r="J24" s="31">
        <f t="shared" si="5"/>
        <v>27</v>
      </c>
      <c r="K24" s="146" t="s">
        <v>1663</v>
      </c>
      <c r="L24" s="31">
        <f t="shared" si="6"/>
        <v>1</v>
      </c>
      <c r="M24" s="32">
        <f t="shared" si="7"/>
        <v>0.9642857142857143</v>
      </c>
      <c r="N24" s="70"/>
      <c r="O24" s="70"/>
      <c r="P24" s="70"/>
      <c r="Q24" s="70"/>
      <c r="R24" s="70"/>
      <c r="S24" s="70" t="s">
        <v>2245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1187</v>
      </c>
      <c r="B25" s="30" t="s">
        <v>1172</v>
      </c>
      <c r="C25" s="30" t="s">
        <v>1056</v>
      </c>
      <c r="D25" t="s">
        <v>1155</v>
      </c>
      <c r="E25" s="30" t="s">
        <v>72</v>
      </c>
      <c r="F25" s="30" t="s">
        <v>1049</v>
      </c>
      <c r="G25" s="30"/>
      <c r="H25" s="30" t="s">
        <v>1159</v>
      </c>
      <c r="I25" s="30"/>
      <c r="J25" s="31">
        <f t="shared" si="5"/>
        <v>27</v>
      </c>
      <c r="K25" s="146" t="s">
        <v>1664</v>
      </c>
      <c r="L25" s="31">
        <f t="shared" si="6"/>
        <v>1</v>
      </c>
      <c r="M25" s="32">
        <f t="shared" si="7"/>
        <v>0.9642857142857143</v>
      </c>
      <c r="N25" s="70"/>
      <c r="O25" s="70"/>
      <c r="P25" s="70"/>
      <c r="Q25" s="70"/>
      <c r="R25" s="70"/>
      <c r="S25" s="70" t="s">
        <v>2245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1187</v>
      </c>
      <c r="B26" s="30" t="s">
        <v>1170</v>
      </c>
      <c r="C26" s="30" t="s">
        <v>1056</v>
      </c>
      <c r="D26" t="s">
        <v>1154</v>
      </c>
      <c r="E26" s="30" t="s">
        <v>72</v>
      </c>
      <c r="F26" s="30" t="s">
        <v>1049</v>
      </c>
      <c r="G26" s="30"/>
      <c r="H26" s="30" t="s">
        <v>1157</v>
      </c>
      <c r="I26" s="30"/>
      <c r="J26" s="31">
        <f t="shared" si="5"/>
        <v>25</v>
      </c>
      <c r="K26" s="146" t="s">
        <v>1665</v>
      </c>
      <c r="L26" s="31">
        <f t="shared" si="6"/>
        <v>3</v>
      </c>
      <c r="M26" s="32">
        <f t="shared" si="7"/>
        <v>0.8928571428571429</v>
      </c>
      <c r="N26" s="70" t="s">
        <v>2245</v>
      </c>
      <c r="O26" s="70"/>
      <c r="P26" s="70"/>
      <c r="Q26" s="70"/>
      <c r="R26" s="70"/>
      <c r="S26" s="70" t="s">
        <v>2245</v>
      </c>
      <c r="T26" s="70" t="s">
        <v>2245</v>
      </c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1187</v>
      </c>
      <c r="B27" s="30" t="s">
        <v>1169</v>
      </c>
      <c r="C27" s="30" t="s">
        <v>1056</v>
      </c>
      <c r="D27" t="s">
        <v>1154</v>
      </c>
      <c r="E27" s="30" t="s">
        <v>72</v>
      </c>
      <c r="F27" s="30" t="s">
        <v>1049</v>
      </c>
      <c r="G27" s="30"/>
      <c r="H27" s="30" t="s">
        <v>1164</v>
      </c>
      <c r="I27" s="30"/>
      <c r="J27" s="31">
        <f t="shared" si="5"/>
        <v>27</v>
      </c>
      <c r="K27" s="146" t="s">
        <v>1666</v>
      </c>
      <c r="L27" s="31">
        <f t="shared" si="6"/>
        <v>1</v>
      </c>
      <c r="M27" s="32">
        <f t="shared" si="7"/>
        <v>0.9642857142857143</v>
      </c>
      <c r="N27" s="70"/>
      <c r="O27" s="70"/>
      <c r="P27" s="70"/>
      <c r="Q27" s="70"/>
      <c r="R27" s="70"/>
      <c r="S27" s="70" t="s">
        <v>2245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1187</v>
      </c>
      <c r="B28" s="30" t="s">
        <v>1173</v>
      </c>
      <c r="C28" s="30" t="s">
        <v>1056</v>
      </c>
      <c r="D28" t="s">
        <v>1156</v>
      </c>
      <c r="E28" s="30" t="s">
        <v>72</v>
      </c>
      <c r="F28" s="30" t="s">
        <v>1049</v>
      </c>
      <c r="G28" s="30"/>
      <c r="H28" s="30" t="s">
        <v>1160</v>
      </c>
      <c r="I28" s="30"/>
      <c r="J28" s="31">
        <f t="shared" si="5"/>
        <v>28</v>
      </c>
      <c r="K28" s="146" t="s">
        <v>1667</v>
      </c>
      <c r="L28" s="31">
        <f t="shared" si="6"/>
        <v>0</v>
      </c>
      <c r="M28" s="32">
        <f t="shared" si="7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1187</v>
      </c>
      <c r="B29" s="30" t="s">
        <v>1174</v>
      </c>
      <c r="C29" s="30" t="s">
        <v>1056</v>
      </c>
      <c r="D29" t="s">
        <v>1156</v>
      </c>
      <c r="E29" s="30" t="s">
        <v>72</v>
      </c>
      <c r="F29" s="30" t="s">
        <v>1049</v>
      </c>
      <c r="G29" s="30"/>
      <c r="H29" s="30" t="s">
        <v>1161</v>
      </c>
      <c r="I29" s="30"/>
      <c r="J29" s="31">
        <f t="shared" si="5"/>
        <v>27</v>
      </c>
      <c r="K29" s="146" t="s">
        <v>1668</v>
      </c>
      <c r="L29" s="31">
        <f t="shared" si="6"/>
        <v>1</v>
      </c>
      <c r="M29" s="32">
        <f t="shared" si="7"/>
        <v>0.9642857142857143</v>
      </c>
      <c r="N29" s="70"/>
      <c r="O29" s="70"/>
      <c r="P29" s="70"/>
      <c r="Q29" s="70"/>
      <c r="R29" s="70"/>
      <c r="S29" s="70" t="s">
        <v>2245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1187</v>
      </c>
      <c r="B30" s="85" t="s">
        <v>2282</v>
      </c>
      <c r="C30" s="73" t="s">
        <v>1056</v>
      </c>
      <c r="D30" s="73" t="s">
        <v>1340</v>
      </c>
      <c r="E30" s="85" t="s">
        <v>18</v>
      </c>
      <c r="F30" s="85" t="s">
        <v>1294</v>
      </c>
      <c r="G30" s="85"/>
      <c r="H30" s="85" t="s">
        <v>1347</v>
      </c>
      <c r="I30" s="85"/>
      <c r="J30" s="141">
        <f t="shared" si="5"/>
        <v>28</v>
      </c>
      <c r="K30" s="146" t="s">
        <v>1669</v>
      </c>
      <c r="L30" s="141">
        <f t="shared" si="6"/>
        <v>0</v>
      </c>
      <c r="M30" s="142">
        <f t="shared" si="7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1187</v>
      </c>
      <c r="B31" s="85" t="s">
        <v>2283</v>
      </c>
      <c r="C31" s="85" t="s">
        <v>1056</v>
      </c>
      <c r="D31" s="73" t="s">
        <v>1583</v>
      </c>
      <c r="E31" s="85" t="s">
        <v>18</v>
      </c>
      <c r="F31" s="85" t="s">
        <v>1294</v>
      </c>
      <c r="G31" s="85"/>
      <c r="H31" s="85" t="s">
        <v>1584</v>
      </c>
      <c r="I31" s="85"/>
      <c r="J31" s="141">
        <f t="shared" si="5"/>
        <v>28</v>
      </c>
      <c r="K31" s="146" t="s">
        <v>2133</v>
      </c>
      <c r="L31" s="141">
        <f t="shared" si="6"/>
        <v>0</v>
      </c>
      <c r="M31" s="142">
        <f t="shared" si="7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1187</v>
      </c>
      <c r="B32" s="85" t="s">
        <v>2284</v>
      </c>
      <c r="C32" s="85" t="s">
        <v>1056</v>
      </c>
      <c r="D32" s="73" t="s">
        <v>1587</v>
      </c>
      <c r="E32" s="85" t="s">
        <v>72</v>
      </c>
      <c r="F32" s="85" t="s">
        <v>1294</v>
      </c>
      <c r="G32" s="85"/>
      <c r="H32" s="85" t="s">
        <v>1585</v>
      </c>
      <c r="I32" s="85"/>
      <c r="J32" s="141">
        <f t="shared" si="5"/>
        <v>28</v>
      </c>
      <c r="K32" s="146" t="s">
        <v>2134</v>
      </c>
      <c r="L32" s="141">
        <f t="shared" si="6"/>
        <v>0</v>
      </c>
      <c r="M32" s="142">
        <f t="shared" si="7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1187</v>
      </c>
      <c r="B33" s="85" t="s">
        <v>2285</v>
      </c>
      <c r="C33" s="85" t="s">
        <v>1056</v>
      </c>
      <c r="D33" s="73" t="s">
        <v>1587</v>
      </c>
      <c r="E33" s="85" t="s">
        <v>72</v>
      </c>
      <c r="F33" s="85" t="s">
        <v>1294</v>
      </c>
      <c r="G33" s="85"/>
      <c r="H33" s="85" t="s">
        <v>1586</v>
      </c>
      <c r="I33" s="85"/>
      <c r="J33" s="141">
        <f t="shared" si="5"/>
        <v>28</v>
      </c>
      <c r="K33" s="146" t="s">
        <v>2135</v>
      </c>
      <c r="L33" s="141">
        <f t="shared" si="6"/>
        <v>0</v>
      </c>
      <c r="M33" s="142">
        <f t="shared" si="7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1187</v>
      </c>
      <c r="B34" s="85" t="s">
        <v>2286</v>
      </c>
      <c r="C34" s="85" t="s">
        <v>1056</v>
      </c>
      <c r="D34" s="73" t="s">
        <v>2265</v>
      </c>
      <c r="E34" s="85" t="s">
        <v>18</v>
      </c>
      <c r="F34" s="85" t="s">
        <v>1294</v>
      </c>
      <c r="G34" s="85"/>
      <c r="H34" s="85" t="s">
        <v>2266</v>
      </c>
      <c r="I34" s="85"/>
      <c r="J34" s="141">
        <f t="shared" si="5"/>
        <v>28</v>
      </c>
      <c r="K34" s="146" t="s">
        <v>2267</v>
      </c>
      <c r="L34" s="141">
        <f t="shared" si="6"/>
        <v>0</v>
      </c>
      <c r="M34" s="142">
        <f t="shared" si="7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2131</v>
      </c>
      <c r="B35" s="132" t="s">
        <v>1341</v>
      </c>
      <c r="C35" s="131" t="s">
        <v>1056</v>
      </c>
      <c r="D35" s="131" t="s">
        <v>1342</v>
      </c>
      <c r="E35" s="132" t="s">
        <v>18</v>
      </c>
      <c r="F35" s="132" t="s">
        <v>27</v>
      </c>
      <c r="G35" s="132"/>
      <c r="H35" s="132" t="s">
        <v>1433</v>
      </c>
      <c r="I35" s="132"/>
      <c r="J35" s="133">
        <f t="shared" si="5"/>
        <v>28</v>
      </c>
      <c r="K35" s="146" t="s">
        <v>1670</v>
      </c>
      <c r="L35" s="133">
        <f t="shared" si="6"/>
        <v>0</v>
      </c>
      <c r="M35" s="134">
        <f t="shared" si="7"/>
        <v>1</v>
      </c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9"/>
    </row>
    <row r="36" spans="1:43" s="73" customFormat="1" ht="15.75" thickBot="1" x14ac:dyDescent="0.3">
      <c r="A36" s="73" t="s">
        <v>2131</v>
      </c>
      <c r="B36" s="85" t="s">
        <v>1391</v>
      </c>
      <c r="C36" s="73" t="s">
        <v>1056</v>
      </c>
      <c r="D36" s="73" t="s">
        <v>1392</v>
      </c>
      <c r="E36" s="85" t="s">
        <v>18</v>
      </c>
      <c r="F36" s="85" t="s">
        <v>1294</v>
      </c>
      <c r="G36" s="85"/>
      <c r="H36" s="85" t="s">
        <v>1393</v>
      </c>
      <c r="I36" s="85"/>
      <c r="J36" s="141">
        <f t="shared" si="5"/>
        <v>25</v>
      </c>
      <c r="K36" s="146" t="s">
        <v>2136</v>
      </c>
      <c r="L36" s="141">
        <f t="shared" si="6"/>
        <v>3</v>
      </c>
      <c r="M36" s="142">
        <f t="shared" si="7"/>
        <v>0.8928571428571429</v>
      </c>
      <c r="N36" s="70" t="s">
        <v>2245</v>
      </c>
      <c r="O36" s="70"/>
      <c r="P36" s="70"/>
      <c r="Q36" s="70"/>
      <c r="R36" s="70"/>
      <c r="S36" s="70" t="s">
        <v>2245</v>
      </c>
      <c r="T36" s="70" t="s">
        <v>2245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148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9"/>
    </row>
    <row r="37" spans="1:43" s="73" customFormat="1" ht="15.75" thickBot="1" x14ac:dyDescent="0.3">
      <c r="A37" s="73" t="s">
        <v>2131</v>
      </c>
      <c r="B37" s="85" t="s">
        <v>2128</v>
      </c>
      <c r="C37" s="73" t="s">
        <v>1056</v>
      </c>
      <c r="D37" s="73" t="s">
        <v>2129</v>
      </c>
      <c r="E37" s="85" t="s">
        <v>18</v>
      </c>
      <c r="F37" s="85" t="s">
        <v>1294</v>
      </c>
      <c r="G37" s="85"/>
      <c r="H37" s="85" t="s">
        <v>2297</v>
      </c>
      <c r="I37" s="85"/>
      <c r="J37" s="141">
        <f t="shared" si="5"/>
        <v>25</v>
      </c>
      <c r="K37" s="146" t="s">
        <v>2130</v>
      </c>
      <c r="L37" s="141">
        <f t="shared" si="6"/>
        <v>3</v>
      </c>
      <c r="M37" s="142">
        <f t="shared" si="7"/>
        <v>0.8928571428571429</v>
      </c>
      <c r="N37" s="70" t="s">
        <v>2245</v>
      </c>
      <c r="O37" s="70"/>
      <c r="P37" s="70"/>
      <c r="Q37" s="70"/>
      <c r="R37" s="70"/>
      <c r="S37" s="70" t="s">
        <v>2245</v>
      </c>
      <c r="T37" s="70" t="s">
        <v>2245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9"/>
    </row>
    <row r="38" spans="1:43" s="73" customFormat="1" ht="15.75" thickBot="1" x14ac:dyDescent="0.3">
      <c r="A38" s="73" t="s">
        <v>1187</v>
      </c>
      <c r="B38" s="85" t="s">
        <v>1497</v>
      </c>
      <c r="C38" s="73" t="s">
        <v>1056</v>
      </c>
      <c r="D38" s="73" t="s">
        <v>1498</v>
      </c>
      <c r="E38" s="85" t="s">
        <v>18</v>
      </c>
      <c r="F38" s="85" t="s">
        <v>1294</v>
      </c>
      <c r="G38" s="85"/>
      <c r="H38" s="85" t="s">
        <v>1499</v>
      </c>
      <c r="I38" s="85"/>
      <c r="J38" s="141">
        <f t="shared" si="5"/>
        <v>26</v>
      </c>
      <c r="K38" s="146" t="s">
        <v>2137</v>
      </c>
      <c r="L38" s="141">
        <f t="shared" si="6"/>
        <v>2</v>
      </c>
      <c r="M38" s="142">
        <f t="shared" si="7"/>
        <v>0.9285714285714286</v>
      </c>
      <c r="N38" s="70"/>
      <c r="O38" s="70"/>
      <c r="P38" s="70"/>
      <c r="Q38" s="70"/>
      <c r="R38" s="70"/>
      <c r="S38" s="70" t="s">
        <v>2245</v>
      </c>
      <c r="T38" s="70" t="s">
        <v>2245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1445</v>
      </c>
      <c r="B39" s="30" t="s">
        <v>1444</v>
      </c>
      <c r="C39" t="s">
        <v>1056</v>
      </c>
      <c r="D39" t="s">
        <v>1443</v>
      </c>
      <c r="E39" s="30" t="s">
        <v>72</v>
      </c>
      <c r="F39" s="30" t="s">
        <v>27</v>
      </c>
      <c r="G39" s="30"/>
      <c r="H39" s="85" t="s">
        <v>1447</v>
      </c>
      <c r="I39" s="85"/>
      <c r="J39" s="31">
        <f t="shared" si="5"/>
        <v>28</v>
      </c>
      <c r="K39" s="146" t="s">
        <v>1671</v>
      </c>
      <c r="L39" s="31">
        <f t="shared" si="6"/>
        <v>0</v>
      </c>
      <c r="M39" s="32">
        <f t="shared" si="7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1445</v>
      </c>
      <c r="B40" s="30" t="s">
        <v>1446</v>
      </c>
      <c r="C40" t="s">
        <v>1056</v>
      </c>
      <c r="D40" t="s">
        <v>1443</v>
      </c>
      <c r="E40" s="30" t="s">
        <v>72</v>
      </c>
      <c r="F40" s="30" t="s">
        <v>27</v>
      </c>
      <c r="G40" s="30"/>
      <c r="H40" s="85" t="s">
        <v>1448</v>
      </c>
      <c r="I40" s="85"/>
      <c r="J40" s="31">
        <f t="shared" si="5"/>
        <v>28</v>
      </c>
      <c r="K40" s="146" t="s">
        <v>1672</v>
      </c>
      <c r="L40" s="31">
        <f t="shared" si="6"/>
        <v>0</v>
      </c>
      <c r="M40" s="32">
        <f t="shared" si="7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1445</v>
      </c>
      <c r="B41" s="30" t="s">
        <v>1621</v>
      </c>
      <c r="C41" t="s">
        <v>1056</v>
      </c>
      <c r="D41" t="s">
        <v>1623</v>
      </c>
      <c r="E41" s="30" t="s">
        <v>72</v>
      </c>
      <c r="F41" s="30" t="s">
        <v>27</v>
      </c>
      <c r="G41" s="30"/>
      <c r="H41" s="85" t="s">
        <v>1624</v>
      </c>
      <c r="I41" s="85"/>
      <c r="J41" s="31">
        <f t="shared" si="5"/>
        <v>28</v>
      </c>
      <c r="K41" s="146" t="s">
        <v>2138</v>
      </c>
      <c r="L41" s="31">
        <f t="shared" si="6"/>
        <v>0</v>
      </c>
      <c r="M41" s="32">
        <f t="shared" si="7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1445</v>
      </c>
      <c r="B42" s="30" t="s">
        <v>1622</v>
      </c>
      <c r="C42" t="s">
        <v>1056</v>
      </c>
      <c r="D42" t="s">
        <v>1623</v>
      </c>
      <c r="E42" s="30" t="s">
        <v>72</v>
      </c>
      <c r="F42" s="30" t="s">
        <v>27</v>
      </c>
      <c r="G42" s="30"/>
      <c r="H42" s="85" t="s">
        <v>1625</v>
      </c>
      <c r="I42" s="85"/>
      <c r="J42" s="31">
        <f t="shared" si="5"/>
        <v>28</v>
      </c>
      <c r="K42" s="146" t="s">
        <v>2162</v>
      </c>
      <c r="L42" s="31">
        <f t="shared" si="6"/>
        <v>0</v>
      </c>
      <c r="M42" s="32">
        <f t="shared" si="7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1445</v>
      </c>
      <c r="B43" s="30" t="s">
        <v>1629</v>
      </c>
      <c r="C43" t="s">
        <v>1056</v>
      </c>
      <c r="D43" t="s">
        <v>1623</v>
      </c>
      <c r="E43" s="30" t="s">
        <v>18</v>
      </c>
      <c r="F43" s="30" t="s">
        <v>27</v>
      </c>
      <c r="G43" s="30"/>
      <c r="H43" s="85" t="s">
        <v>1627</v>
      </c>
      <c r="I43" s="85"/>
      <c r="J43" s="31">
        <f t="shared" si="5"/>
        <v>28</v>
      </c>
      <c r="K43" s="146" t="s">
        <v>2163</v>
      </c>
      <c r="L43" s="31">
        <f t="shared" si="6"/>
        <v>0</v>
      </c>
      <c r="M43" s="32">
        <f t="shared" si="7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1445</v>
      </c>
      <c r="B44" s="30" t="s">
        <v>1630</v>
      </c>
      <c r="C44" t="s">
        <v>1056</v>
      </c>
      <c r="D44" t="s">
        <v>1631</v>
      </c>
      <c r="E44" s="30" t="s">
        <v>18</v>
      </c>
      <c r="F44" s="30" t="s">
        <v>27</v>
      </c>
      <c r="G44" s="30"/>
      <c r="H44" s="85" t="s">
        <v>1632</v>
      </c>
      <c r="I44" s="85"/>
      <c r="J44" s="31">
        <f t="shared" si="5"/>
        <v>27</v>
      </c>
      <c r="K44" s="146" t="s">
        <v>2164</v>
      </c>
      <c r="L44" s="31">
        <f t="shared" si="6"/>
        <v>1</v>
      </c>
      <c r="M44" s="32">
        <f t="shared" si="7"/>
        <v>0.9642857142857143</v>
      </c>
      <c r="N44" s="70" t="s">
        <v>2245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1445</v>
      </c>
      <c r="B45" s="30" t="s">
        <v>2208</v>
      </c>
      <c r="C45" t="s">
        <v>1056</v>
      </c>
      <c r="D45" t="s">
        <v>2212</v>
      </c>
      <c r="E45" s="30" t="s">
        <v>72</v>
      </c>
      <c r="F45" s="30" t="s">
        <v>27</v>
      </c>
      <c r="G45" s="30"/>
      <c r="H45" s="85" t="s">
        <v>2298</v>
      </c>
      <c r="I45" s="85"/>
      <c r="J45" s="31">
        <f t="shared" si="5"/>
        <v>28</v>
      </c>
      <c r="K45" s="146" t="s">
        <v>2209</v>
      </c>
      <c r="L45" s="31">
        <f t="shared" si="6"/>
        <v>0</v>
      </c>
      <c r="M45" s="32">
        <f t="shared" si="7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1445</v>
      </c>
      <c r="B46" s="30" t="s">
        <v>2210</v>
      </c>
      <c r="C46" t="s">
        <v>1056</v>
      </c>
      <c r="D46" t="s">
        <v>2211</v>
      </c>
      <c r="E46" s="30" t="s">
        <v>72</v>
      </c>
      <c r="F46" s="30" t="s">
        <v>27</v>
      </c>
      <c r="G46" s="30"/>
      <c r="H46" s="85" t="s">
        <v>2299</v>
      </c>
      <c r="I46" s="85"/>
      <c r="J46" s="31">
        <f t="shared" si="5"/>
        <v>28</v>
      </c>
      <c r="K46" s="146" t="s">
        <v>2213</v>
      </c>
      <c r="L46" s="31">
        <f t="shared" si="6"/>
        <v>0</v>
      </c>
      <c r="M46" s="32">
        <f t="shared" si="7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51</v>
      </c>
      <c r="B47" t="s">
        <v>70</v>
      </c>
      <c r="C47" t="s">
        <v>1055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5"/>
        <v>28</v>
      </c>
      <c r="K47" s="146" t="s">
        <v>1673</v>
      </c>
      <c r="L47" s="31">
        <f t="shared" si="6"/>
        <v>0</v>
      </c>
      <c r="M47" s="32">
        <f t="shared" si="7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51</v>
      </c>
      <c r="B48" t="s">
        <v>73</v>
      </c>
      <c r="C48" t="s">
        <v>1055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5"/>
        <v>28</v>
      </c>
      <c r="K48" s="146" t="s">
        <v>1674</v>
      </c>
      <c r="L48" s="31">
        <f t="shared" si="6"/>
        <v>0</v>
      </c>
      <c r="M48" s="32">
        <f t="shared" si="7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51</v>
      </c>
      <c r="B49" t="s">
        <v>75</v>
      </c>
      <c r="C49" t="s">
        <v>1055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5"/>
        <v>28</v>
      </c>
      <c r="K49" s="146" t="s">
        <v>1675</v>
      </c>
      <c r="L49" s="31">
        <f t="shared" si="6"/>
        <v>0</v>
      </c>
      <c r="M49" s="32">
        <f t="shared" si="7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51</v>
      </c>
      <c r="B50" t="s">
        <v>77</v>
      </c>
      <c r="C50" t="s">
        <v>1055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5"/>
        <v>27</v>
      </c>
      <c r="K50" s="146" t="s">
        <v>1676</v>
      </c>
      <c r="L50" s="31">
        <f t="shared" si="6"/>
        <v>1</v>
      </c>
      <c r="M50" s="32">
        <f t="shared" si="7"/>
        <v>0.9642857142857143</v>
      </c>
      <c r="N50" s="70"/>
      <c r="O50" s="70"/>
      <c r="P50" s="70"/>
      <c r="Q50" s="70"/>
      <c r="R50" s="70"/>
      <c r="S50" s="70"/>
      <c r="T50" s="70" t="s">
        <v>2245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51</v>
      </c>
      <c r="B51" t="s">
        <v>916</v>
      </c>
      <c r="C51" t="s">
        <v>1055</v>
      </c>
      <c r="D51" t="s">
        <v>1074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5"/>
        <v>28</v>
      </c>
      <c r="K51" s="146" t="s">
        <v>1677</v>
      </c>
      <c r="L51" s="31">
        <f t="shared" si="6"/>
        <v>0</v>
      </c>
      <c r="M51" s="32">
        <f t="shared" si="7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51</v>
      </c>
      <c r="B52" t="s">
        <v>79</v>
      </c>
      <c r="C52" t="s">
        <v>1055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5"/>
        <v>26</v>
      </c>
      <c r="K52" s="146"/>
      <c r="L52" s="31">
        <f t="shared" si="6"/>
        <v>2</v>
      </c>
      <c r="M52" s="32">
        <f t="shared" si="7"/>
        <v>0.9285714285714286</v>
      </c>
      <c r="N52" s="70"/>
      <c r="O52" s="70"/>
      <c r="P52" s="70"/>
      <c r="Q52" s="70"/>
      <c r="R52" s="70"/>
      <c r="S52" s="70" t="s">
        <v>2245</v>
      </c>
      <c r="T52" s="70" t="s">
        <v>2245</v>
      </c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51</v>
      </c>
      <c r="B53" t="s">
        <v>81</v>
      </c>
      <c r="C53" t="s">
        <v>1055</v>
      </c>
      <c r="D53" t="s">
        <v>1070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5"/>
        <v>28</v>
      </c>
      <c r="K53" s="146" t="s">
        <v>1678</v>
      </c>
      <c r="L53" s="31">
        <f t="shared" si="6"/>
        <v>0</v>
      </c>
      <c r="M53" s="32">
        <f t="shared" si="7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51</v>
      </c>
      <c r="B54" t="s">
        <v>82</v>
      </c>
      <c r="C54" t="s">
        <v>1055</v>
      </c>
      <c r="D54" t="s">
        <v>1069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5"/>
        <v>28</v>
      </c>
      <c r="K54" s="146" t="s">
        <v>1679</v>
      </c>
      <c r="L54" s="31">
        <f t="shared" si="6"/>
        <v>0</v>
      </c>
      <c r="M54" s="32">
        <f t="shared" si="7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51</v>
      </c>
      <c r="B55" t="s">
        <v>83</v>
      </c>
      <c r="C55" t="s">
        <v>1055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5"/>
        <v>28</v>
      </c>
      <c r="K55" s="146" t="s">
        <v>1680</v>
      </c>
      <c r="L55" s="31">
        <f t="shared" si="6"/>
        <v>0</v>
      </c>
      <c r="M55" s="32">
        <f t="shared" si="7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51</v>
      </c>
      <c r="B56" t="s">
        <v>85</v>
      </c>
      <c r="C56" t="s">
        <v>1055</v>
      </c>
      <c r="D56" t="s">
        <v>1068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5"/>
        <v>28</v>
      </c>
      <c r="K56" s="146" t="s">
        <v>1681</v>
      </c>
      <c r="L56" s="31">
        <f t="shared" si="6"/>
        <v>0</v>
      </c>
      <c r="M56" s="32">
        <f t="shared" si="7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51</v>
      </c>
      <c r="B57" t="s">
        <v>86</v>
      </c>
      <c r="C57" t="s">
        <v>1055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5"/>
        <v>28</v>
      </c>
      <c r="K57" s="146" t="s">
        <v>1682</v>
      </c>
      <c r="L57" s="31">
        <f t="shared" si="6"/>
        <v>0</v>
      </c>
      <c r="M57" s="32">
        <f t="shared" si="7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51</v>
      </c>
      <c r="B58" t="s">
        <v>917</v>
      </c>
      <c r="C58" t="s">
        <v>1055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5"/>
        <v>28</v>
      </c>
      <c r="K58" s="146" t="s">
        <v>1683</v>
      </c>
      <c r="L58" s="31">
        <f t="shared" si="6"/>
        <v>0</v>
      </c>
      <c r="M58" s="32">
        <f t="shared" si="7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51</v>
      </c>
      <c r="B59" s="73" t="s">
        <v>918</v>
      </c>
      <c r="C59" s="73" t="s">
        <v>1055</v>
      </c>
      <c r="D59" s="73" t="s">
        <v>89</v>
      </c>
      <c r="E59" s="85" t="s">
        <v>14</v>
      </c>
      <c r="F59" s="85" t="s">
        <v>1294</v>
      </c>
      <c r="G59" s="85"/>
      <c r="H59" s="85" t="s">
        <v>632</v>
      </c>
      <c r="I59" s="85"/>
      <c r="J59" s="141">
        <f t="shared" si="5"/>
        <v>28</v>
      </c>
      <c r="K59" s="146" t="s">
        <v>1684</v>
      </c>
      <c r="L59" s="141">
        <f t="shared" si="6"/>
        <v>0</v>
      </c>
      <c r="M59" s="142">
        <f t="shared" si="7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51</v>
      </c>
      <c r="B60" t="s">
        <v>90</v>
      </c>
      <c r="C60" t="s">
        <v>1055</v>
      </c>
      <c r="D60" t="s">
        <v>1072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5"/>
        <v>28</v>
      </c>
      <c r="K60" s="146" t="s">
        <v>1685</v>
      </c>
      <c r="L60" s="31">
        <f t="shared" si="6"/>
        <v>0</v>
      </c>
      <c r="M60" s="32">
        <f t="shared" si="7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51</v>
      </c>
      <c r="B61" s="73" t="s">
        <v>91</v>
      </c>
      <c r="C61" s="73" t="s">
        <v>1055</v>
      </c>
      <c r="D61" s="73" t="s">
        <v>92</v>
      </c>
      <c r="E61" s="85" t="s">
        <v>18</v>
      </c>
      <c r="F61" s="85" t="s">
        <v>1294</v>
      </c>
      <c r="G61" s="85"/>
      <c r="H61" s="85" t="s">
        <v>634</v>
      </c>
      <c r="I61" s="85"/>
      <c r="J61" s="141">
        <f t="shared" si="5"/>
        <v>28</v>
      </c>
      <c r="K61" s="146" t="s">
        <v>1686</v>
      </c>
      <c r="L61" s="141">
        <f t="shared" si="6"/>
        <v>0</v>
      </c>
      <c r="M61" s="142">
        <f t="shared" si="7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51</v>
      </c>
      <c r="B62" t="s">
        <v>93</v>
      </c>
      <c r="C62" t="s">
        <v>1055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5"/>
        <v>28</v>
      </c>
      <c r="K62" s="146" t="s">
        <v>1687</v>
      </c>
      <c r="L62" s="31">
        <f t="shared" si="6"/>
        <v>0</v>
      </c>
      <c r="M62" s="32">
        <f t="shared" si="7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51</v>
      </c>
      <c r="B63" t="s">
        <v>95</v>
      </c>
      <c r="C63" t="s">
        <v>1055</v>
      </c>
      <c r="D63" t="s">
        <v>96</v>
      </c>
      <c r="E63" s="30" t="s">
        <v>18</v>
      </c>
      <c r="F63" s="30" t="s">
        <v>1049</v>
      </c>
      <c r="G63" s="30" t="s">
        <v>1245</v>
      </c>
      <c r="H63" s="30" t="s">
        <v>636</v>
      </c>
      <c r="I63" s="30"/>
      <c r="J63" s="31">
        <f t="shared" si="5"/>
        <v>28</v>
      </c>
      <c r="K63" s="146" t="s">
        <v>1688</v>
      </c>
      <c r="L63" s="31">
        <f t="shared" si="6"/>
        <v>0</v>
      </c>
      <c r="M63" s="32">
        <f t="shared" si="7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51</v>
      </c>
      <c r="B64" t="s">
        <v>97</v>
      </c>
      <c r="C64" t="s">
        <v>1055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5"/>
        <v>28</v>
      </c>
      <c r="K64" s="146" t="s">
        <v>1689</v>
      </c>
      <c r="L64" s="31">
        <f t="shared" si="6"/>
        <v>0</v>
      </c>
      <c r="M64" s="32">
        <f t="shared" si="7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51</v>
      </c>
      <c r="B65" t="s">
        <v>99</v>
      </c>
      <c r="C65" t="s">
        <v>1055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5"/>
        <v>28</v>
      </c>
      <c r="K65" s="146" t="s">
        <v>1690</v>
      </c>
      <c r="L65" s="31">
        <f t="shared" si="6"/>
        <v>0</v>
      </c>
      <c r="M65" s="32">
        <f t="shared" si="7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100</v>
      </c>
      <c r="B66" s="73" t="s">
        <v>101</v>
      </c>
      <c r="C66" s="73" t="s">
        <v>1055</v>
      </c>
      <c r="D66" s="73" t="s">
        <v>102</v>
      </c>
      <c r="E66" s="85" t="s">
        <v>18</v>
      </c>
      <c r="F66" s="85" t="s">
        <v>1294</v>
      </c>
      <c r="G66" s="85"/>
      <c r="H66" s="85" t="s">
        <v>639</v>
      </c>
      <c r="I66" s="85"/>
      <c r="J66" s="141">
        <f t="shared" si="5"/>
        <v>28</v>
      </c>
      <c r="K66" s="146" t="s">
        <v>1691</v>
      </c>
      <c r="L66" s="141">
        <f t="shared" si="6"/>
        <v>0</v>
      </c>
      <c r="M66" s="142">
        <f t="shared" si="7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51</v>
      </c>
      <c r="B67" s="90" t="s">
        <v>103</v>
      </c>
      <c r="C67" s="90" t="s">
        <v>1055</v>
      </c>
      <c r="D67" s="90" t="s">
        <v>104</v>
      </c>
      <c r="E67" s="91" t="s">
        <v>72</v>
      </c>
      <c r="F67" s="85" t="s">
        <v>1294</v>
      </c>
      <c r="G67" s="91"/>
      <c r="H67" s="91" t="s">
        <v>2281</v>
      </c>
      <c r="I67" s="91"/>
      <c r="J67" s="31">
        <f t="shared" si="5"/>
        <v>28</v>
      </c>
      <c r="K67" s="146" t="s">
        <v>2330</v>
      </c>
      <c r="L67" s="31">
        <f t="shared" si="6"/>
        <v>0</v>
      </c>
      <c r="M67" s="32">
        <f t="shared" si="7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thickBot="1" x14ac:dyDescent="0.3">
      <c r="A68" s="73" t="s">
        <v>51</v>
      </c>
      <c r="B68" s="73" t="s">
        <v>105</v>
      </c>
      <c r="C68" s="73" t="s">
        <v>1055</v>
      </c>
      <c r="D68" s="73" t="s">
        <v>106</v>
      </c>
      <c r="E68" s="85" t="s">
        <v>18</v>
      </c>
      <c r="F68" s="85" t="s">
        <v>1294</v>
      </c>
      <c r="G68" s="85"/>
      <c r="H68" s="85" t="s">
        <v>1368</v>
      </c>
      <c r="I68" s="85"/>
      <c r="J68" s="141">
        <f t="shared" si="5"/>
        <v>28</v>
      </c>
      <c r="K68" s="146" t="s">
        <v>1692</v>
      </c>
      <c r="L68" s="141">
        <f t="shared" si="6"/>
        <v>0</v>
      </c>
      <c r="M68" s="142">
        <f t="shared" si="7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51</v>
      </c>
      <c r="B69" t="s">
        <v>107</v>
      </c>
      <c r="C69" t="s">
        <v>1055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5"/>
        <v>28</v>
      </c>
      <c r="K69" s="146" t="s">
        <v>1693</v>
      </c>
      <c r="L69" s="31">
        <f t="shared" si="6"/>
        <v>0</v>
      </c>
      <c r="M69" s="32">
        <f t="shared" si="7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51</v>
      </c>
      <c r="B70" t="s">
        <v>109</v>
      </c>
      <c r="C70" t="s">
        <v>1055</v>
      </c>
      <c r="D70" t="s">
        <v>1073</v>
      </c>
      <c r="E70" s="30" t="s">
        <v>18</v>
      </c>
      <c r="F70" s="30" t="s">
        <v>27</v>
      </c>
      <c r="G70" s="30"/>
      <c r="H70" s="30" t="s">
        <v>1429</v>
      </c>
      <c r="I70" s="30"/>
      <c r="J70" s="31">
        <f t="shared" si="5"/>
        <v>28</v>
      </c>
      <c r="K70" s="146" t="s">
        <v>1694</v>
      </c>
      <c r="L70" s="31">
        <f t="shared" si="6"/>
        <v>0</v>
      </c>
      <c r="M70" s="32">
        <f t="shared" si="7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51</v>
      </c>
      <c r="B71" t="s">
        <v>110</v>
      </c>
      <c r="C71" t="s">
        <v>1055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5"/>
        <v>27</v>
      </c>
      <c r="K71" s="146" t="s">
        <v>1695</v>
      </c>
      <c r="L71" s="31">
        <f t="shared" si="6"/>
        <v>1</v>
      </c>
      <c r="M71" s="32">
        <f t="shared" si="7"/>
        <v>0.9642857142857143</v>
      </c>
      <c r="N71" s="70" t="s">
        <v>2245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51</v>
      </c>
      <c r="B72" t="s">
        <v>112</v>
      </c>
      <c r="C72" t="s">
        <v>1055</v>
      </c>
      <c r="D72" t="s">
        <v>1075</v>
      </c>
      <c r="E72" s="30" t="s">
        <v>18</v>
      </c>
      <c r="F72" s="30" t="s">
        <v>27</v>
      </c>
      <c r="G72" s="30"/>
      <c r="H72" s="30" t="s">
        <v>1142</v>
      </c>
      <c r="I72" s="30"/>
      <c r="J72" s="31">
        <f t="shared" si="5"/>
        <v>28</v>
      </c>
      <c r="K72" s="146" t="s">
        <v>1696</v>
      </c>
      <c r="L72" s="31">
        <f t="shared" si="6"/>
        <v>0</v>
      </c>
      <c r="M72" s="32">
        <f t="shared" si="7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51</v>
      </c>
      <c r="B73" t="s">
        <v>113</v>
      </c>
      <c r="C73" t="s">
        <v>1055</v>
      </c>
      <c r="D73" t="s">
        <v>1076</v>
      </c>
      <c r="E73" s="30" t="s">
        <v>18</v>
      </c>
      <c r="F73" s="30" t="s">
        <v>27</v>
      </c>
      <c r="G73" s="30"/>
      <c r="H73" s="30" t="s">
        <v>1467</v>
      </c>
      <c r="I73" s="30"/>
      <c r="J73" s="31">
        <f t="shared" si="5"/>
        <v>28</v>
      </c>
      <c r="K73" s="146" t="s">
        <v>1697</v>
      </c>
      <c r="L73" s="31">
        <f t="shared" si="6"/>
        <v>0</v>
      </c>
      <c r="M73" s="32">
        <f t="shared" si="7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51</v>
      </c>
      <c r="B74" t="s">
        <v>114</v>
      </c>
      <c r="C74" t="s">
        <v>1055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5"/>
        <v>26</v>
      </c>
      <c r="K74" s="146" t="s">
        <v>1698</v>
      </c>
      <c r="L74" s="31">
        <f t="shared" si="6"/>
        <v>2</v>
      </c>
      <c r="M74" s="32">
        <f t="shared" si="7"/>
        <v>0.9285714285714286</v>
      </c>
      <c r="N74" s="70"/>
      <c r="O74" s="70"/>
      <c r="P74" s="70"/>
      <c r="Q74" s="70"/>
      <c r="R74" s="70"/>
      <c r="S74" s="70" t="s">
        <v>2245</v>
      </c>
      <c r="T74" s="70" t="s">
        <v>2245</v>
      </c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51</v>
      </c>
      <c r="B75" t="s">
        <v>116</v>
      </c>
      <c r="C75" t="s">
        <v>1055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5"/>
        <v>26</v>
      </c>
      <c r="K75" s="146" t="s">
        <v>1699</v>
      </c>
      <c r="L75" s="31">
        <f t="shared" si="6"/>
        <v>2</v>
      </c>
      <c r="M75" s="32">
        <f t="shared" si="7"/>
        <v>0.9285714285714286</v>
      </c>
      <c r="N75" s="70" t="s">
        <v>2245</v>
      </c>
      <c r="O75" s="70"/>
      <c r="P75" s="70"/>
      <c r="Q75" s="70"/>
      <c r="R75" s="70"/>
      <c r="S75" s="70"/>
      <c r="T75" s="70" t="s">
        <v>2245</v>
      </c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51</v>
      </c>
      <c r="B76" t="s">
        <v>118</v>
      </c>
      <c r="C76" t="s">
        <v>1055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5"/>
        <v>28</v>
      </c>
      <c r="K76" s="146" t="s">
        <v>1700</v>
      </c>
      <c r="L76" s="31">
        <f t="shared" si="6"/>
        <v>0</v>
      </c>
      <c r="M76" s="32">
        <f t="shared" si="7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51</v>
      </c>
      <c r="B77" t="s">
        <v>120</v>
      </c>
      <c r="C77" t="s">
        <v>1055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5"/>
        <v>28</v>
      </c>
      <c r="K77" s="146" t="s">
        <v>1701</v>
      </c>
      <c r="L77" s="31">
        <f t="shared" si="6"/>
        <v>0</v>
      </c>
      <c r="M77" s="32">
        <f t="shared" si="7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51</v>
      </c>
      <c r="B78" t="s">
        <v>122</v>
      </c>
      <c r="C78" t="s">
        <v>1055</v>
      </c>
      <c r="D78" t="s">
        <v>1077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5"/>
        <v>28</v>
      </c>
      <c r="K78" s="146" t="s">
        <v>1702</v>
      </c>
      <c r="L78" s="31">
        <f t="shared" si="6"/>
        <v>0</v>
      </c>
      <c r="M78" s="32">
        <f t="shared" si="7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51</v>
      </c>
      <c r="B79" t="s">
        <v>123</v>
      </c>
      <c r="C79" t="s">
        <v>1055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5"/>
        <v>28</v>
      </c>
      <c r="K79" s="146" t="s">
        <v>1703</v>
      </c>
      <c r="L79" s="31">
        <f t="shared" si="6"/>
        <v>0</v>
      </c>
      <c r="M79" s="32">
        <f t="shared" si="7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51</v>
      </c>
      <c r="B80" t="s">
        <v>125</v>
      </c>
      <c r="C80" t="s">
        <v>1055</v>
      </c>
      <c r="D80" t="s">
        <v>1058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5"/>
        <v>28</v>
      </c>
      <c r="K80" s="146" t="s">
        <v>1704</v>
      </c>
      <c r="L80" s="31">
        <f t="shared" si="6"/>
        <v>0</v>
      </c>
      <c r="M80" s="32">
        <f t="shared" si="7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51</v>
      </c>
      <c r="B81" t="s">
        <v>126</v>
      </c>
      <c r="C81" t="s">
        <v>1055</v>
      </c>
      <c r="D81" t="s">
        <v>1059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5"/>
        <v>27</v>
      </c>
      <c r="K81" s="146" t="s">
        <v>1705</v>
      </c>
      <c r="L81" s="31">
        <f t="shared" si="6"/>
        <v>1</v>
      </c>
      <c r="M81" s="32">
        <f t="shared" si="7"/>
        <v>0.9642857142857143</v>
      </c>
      <c r="N81" s="70"/>
      <c r="O81" s="70"/>
      <c r="P81" s="70"/>
      <c r="Q81" s="70"/>
      <c r="R81" s="70"/>
      <c r="S81" s="70" t="s">
        <v>2245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51</v>
      </c>
      <c r="B82" t="s">
        <v>127</v>
      </c>
      <c r="C82" t="s">
        <v>1055</v>
      </c>
      <c r="D82" t="s">
        <v>1060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5"/>
        <v>27</v>
      </c>
      <c r="K82" s="146" t="s">
        <v>1706</v>
      </c>
      <c r="L82" s="31">
        <f t="shared" si="6"/>
        <v>1</v>
      </c>
      <c r="M82" s="32">
        <f t="shared" si="7"/>
        <v>0.9642857142857143</v>
      </c>
      <c r="N82" s="70" t="s">
        <v>2245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51</v>
      </c>
      <c r="B83" t="s">
        <v>919</v>
      </c>
      <c r="C83" t="s">
        <v>1055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5"/>
        <v>28</v>
      </c>
      <c r="K83" s="146" t="s">
        <v>1707</v>
      </c>
      <c r="L83" s="31">
        <f t="shared" si="6"/>
        <v>0</v>
      </c>
      <c r="M83" s="32">
        <f t="shared" si="7"/>
        <v>1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51</v>
      </c>
      <c r="B84" t="s">
        <v>129</v>
      </c>
      <c r="C84" t="s">
        <v>1055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5"/>
        <v>28</v>
      </c>
      <c r="K84" s="146" t="s">
        <v>1708</v>
      </c>
      <c r="L84" s="31">
        <f t="shared" si="6"/>
        <v>0</v>
      </c>
      <c r="M84" s="32">
        <f t="shared" si="7"/>
        <v>1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51</v>
      </c>
      <c r="B85" t="s">
        <v>131</v>
      </c>
      <c r="C85" t="s">
        <v>1055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5"/>
        <v>27</v>
      </c>
      <c r="K85" s="146" t="s">
        <v>1709</v>
      </c>
      <c r="L85" s="31">
        <f t="shared" si="6"/>
        <v>1</v>
      </c>
      <c r="M85" s="32">
        <f t="shared" si="7"/>
        <v>0.9642857142857143</v>
      </c>
      <c r="N85" s="70"/>
      <c r="O85" s="70"/>
      <c r="P85" s="70"/>
      <c r="Q85" s="70"/>
      <c r="R85" s="70"/>
      <c r="S85" s="70"/>
      <c r="T85" s="70" t="s">
        <v>2245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51</v>
      </c>
      <c r="B86" t="s">
        <v>133</v>
      </c>
      <c r="C86" t="s">
        <v>1055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5"/>
        <v>27</v>
      </c>
      <c r="K86" s="146" t="s">
        <v>1710</v>
      </c>
      <c r="L86" s="31">
        <f t="shared" si="6"/>
        <v>1</v>
      </c>
      <c r="M86" s="32">
        <f t="shared" si="7"/>
        <v>0.9642857142857143</v>
      </c>
      <c r="N86" s="70"/>
      <c r="O86" s="70"/>
      <c r="P86" s="70"/>
      <c r="Q86" s="70"/>
      <c r="R86" s="70"/>
      <c r="S86" s="70"/>
      <c r="T86" s="70" t="s">
        <v>2245</v>
      </c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51</v>
      </c>
      <c r="B87" t="s">
        <v>135</v>
      </c>
      <c r="C87" t="s">
        <v>1055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8">COUNTIF(N87:AO87,"")</f>
        <v>27</v>
      </c>
      <c r="K87" s="146" t="s">
        <v>1711</v>
      </c>
      <c r="L87" s="31">
        <f t="shared" ref="L87:L164" si="9">COUNTIF(N87:AO87,"APAGADO")</f>
        <v>1</v>
      </c>
      <c r="M87" s="32">
        <f t="shared" ref="M87:M164" si="10">(J87)/(L87+J87)</f>
        <v>0.9642857142857143</v>
      </c>
      <c r="N87" s="70"/>
      <c r="O87" s="70"/>
      <c r="P87" s="70"/>
      <c r="Q87" s="70"/>
      <c r="R87" s="70"/>
      <c r="S87" s="70"/>
      <c r="T87" s="70" t="s">
        <v>2245</v>
      </c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51</v>
      </c>
      <c r="B88" s="73" t="s">
        <v>137</v>
      </c>
      <c r="C88" s="73" t="s">
        <v>1055</v>
      </c>
      <c r="D88" s="73" t="s">
        <v>1508</v>
      </c>
      <c r="E88" s="85" t="s">
        <v>18</v>
      </c>
      <c r="F88" s="85" t="s">
        <v>1294</v>
      </c>
      <c r="G88" s="85"/>
      <c r="H88" s="85" t="s">
        <v>656</v>
      </c>
      <c r="I88" s="85"/>
      <c r="J88" s="141">
        <f t="shared" si="8"/>
        <v>28</v>
      </c>
      <c r="K88" s="146" t="s">
        <v>1712</v>
      </c>
      <c r="L88" s="141">
        <f t="shared" si="9"/>
        <v>0</v>
      </c>
      <c r="M88" s="142">
        <f t="shared" si="10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51</v>
      </c>
      <c r="B89" t="s">
        <v>138</v>
      </c>
      <c r="C89" t="s">
        <v>1055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8"/>
        <v>28</v>
      </c>
      <c r="K89" s="146" t="s">
        <v>1713</v>
      </c>
      <c r="L89" s="31">
        <f t="shared" si="9"/>
        <v>0</v>
      </c>
      <c r="M89" s="32">
        <f t="shared" si="10"/>
        <v>1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51</v>
      </c>
      <c r="B90" t="s">
        <v>140</v>
      </c>
      <c r="C90" t="s">
        <v>1055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8"/>
        <v>25</v>
      </c>
      <c r="K90" s="146" t="s">
        <v>1714</v>
      </c>
      <c r="L90" s="31">
        <f t="shared" si="9"/>
        <v>3</v>
      </c>
      <c r="M90" s="32">
        <f t="shared" si="10"/>
        <v>0.8928571428571429</v>
      </c>
      <c r="N90" s="70" t="s">
        <v>2245</v>
      </c>
      <c r="O90" s="70"/>
      <c r="P90" s="70"/>
      <c r="Q90" s="70"/>
      <c r="R90" s="70"/>
      <c r="S90" s="70" t="s">
        <v>2245</v>
      </c>
      <c r="T90" s="70" t="s">
        <v>2245</v>
      </c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51</v>
      </c>
      <c r="B91" t="s">
        <v>1468</v>
      </c>
      <c r="C91" t="s">
        <v>1055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8"/>
        <v>28</v>
      </c>
      <c r="K91" s="146" t="s">
        <v>1715</v>
      </c>
      <c r="L91" s="31">
        <f t="shared" si="9"/>
        <v>0</v>
      </c>
      <c r="M91" s="32">
        <f t="shared" si="10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51</v>
      </c>
      <c r="B92" t="s">
        <v>1469</v>
      </c>
      <c r="C92" t="s">
        <v>1055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8"/>
        <v>28</v>
      </c>
      <c r="K92" s="146" t="s">
        <v>1716</v>
      </c>
      <c r="L92" s="31">
        <f t="shared" si="9"/>
        <v>0</v>
      </c>
      <c r="M92" s="32">
        <f t="shared" si="10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51</v>
      </c>
      <c r="B93" t="s">
        <v>142</v>
      </c>
      <c r="C93" t="s">
        <v>1055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8"/>
        <v>28</v>
      </c>
      <c r="K93" s="146" t="s">
        <v>1717</v>
      </c>
      <c r="L93" s="31">
        <f t="shared" si="9"/>
        <v>0</v>
      </c>
      <c r="M93" s="32">
        <f t="shared" si="10"/>
        <v>1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51</v>
      </c>
      <c r="B94" s="73" t="s">
        <v>144</v>
      </c>
      <c r="C94" s="73" t="s">
        <v>1055</v>
      </c>
      <c r="D94" s="73" t="s">
        <v>145</v>
      </c>
      <c r="E94" s="85" t="s">
        <v>18</v>
      </c>
      <c r="F94" s="85" t="s">
        <v>1294</v>
      </c>
      <c r="G94" s="85"/>
      <c r="H94" s="85" t="s">
        <v>1416</v>
      </c>
      <c r="I94" s="85"/>
      <c r="J94" s="141">
        <f t="shared" si="8"/>
        <v>28</v>
      </c>
      <c r="K94" s="146" t="s">
        <v>1718</v>
      </c>
      <c r="L94" s="141">
        <f t="shared" si="9"/>
        <v>0</v>
      </c>
      <c r="M94" s="142">
        <f t="shared" si="10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51</v>
      </c>
      <c r="B95" t="s">
        <v>146</v>
      </c>
      <c r="C95" t="s">
        <v>1055</v>
      </c>
      <c r="D95" t="s">
        <v>147</v>
      </c>
      <c r="E95" s="30" t="s">
        <v>18</v>
      </c>
      <c r="F95" s="30" t="s">
        <v>27</v>
      </c>
      <c r="G95" s="30"/>
      <c r="H95" s="30" t="s">
        <v>1449</v>
      </c>
      <c r="I95" s="30"/>
      <c r="J95" s="31">
        <f t="shared" si="8"/>
        <v>25</v>
      </c>
      <c r="K95" s="146" t="s">
        <v>1719</v>
      </c>
      <c r="L95" s="31">
        <f t="shared" si="9"/>
        <v>3</v>
      </c>
      <c r="M95" s="32">
        <f t="shared" si="10"/>
        <v>0.8928571428571429</v>
      </c>
      <c r="N95" s="70" t="s">
        <v>2245</v>
      </c>
      <c r="O95" s="70"/>
      <c r="P95" s="70"/>
      <c r="Q95" s="70"/>
      <c r="R95" s="70"/>
      <c r="S95" s="70" t="s">
        <v>2245</v>
      </c>
      <c r="T95" s="70" t="s">
        <v>2245</v>
      </c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9"/>
    </row>
    <row r="96" spans="1:43" s="73" customFormat="1" ht="15.75" thickBot="1" x14ac:dyDescent="0.3">
      <c r="A96" s="73" t="s">
        <v>51</v>
      </c>
      <c r="B96" s="73" t="s">
        <v>920</v>
      </c>
      <c r="C96" s="73" t="s">
        <v>1055</v>
      </c>
      <c r="D96" s="73" t="s">
        <v>148</v>
      </c>
      <c r="E96" s="85" t="s">
        <v>18</v>
      </c>
      <c r="F96" s="85" t="s">
        <v>1294</v>
      </c>
      <c r="G96" s="85"/>
      <c r="H96" s="85" t="s">
        <v>1353</v>
      </c>
      <c r="I96" s="85"/>
      <c r="J96" s="141">
        <f t="shared" si="8"/>
        <v>25</v>
      </c>
      <c r="K96" s="146" t="s">
        <v>1720</v>
      </c>
      <c r="L96" s="141">
        <f t="shared" si="9"/>
        <v>3</v>
      </c>
      <c r="M96" s="142">
        <f t="shared" si="10"/>
        <v>0.8928571428571429</v>
      </c>
      <c r="N96" s="70" t="s">
        <v>2245</v>
      </c>
      <c r="O96" s="70"/>
      <c r="P96" s="70"/>
      <c r="Q96" s="70"/>
      <c r="R96" s="70"/>
      <c r="S96" s="70" t="s">
        <v>2245</v>
      </c>
      <c r="T96" s="70" t="s">
        <v>2245</v>
      </c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51</v>
      </c>
      <c r="B97" s="73" t="s">
        <v>921</v>
      </c>
      <c r="C97" s="73" t="s">
        <v>1055</v>
      </c>
      <c r="D97" s="73" t="s">
        <v>44</v>
      </c>
      <c r="E97" s="85" t="s">
        <v>45</v>
      </c>
      <c r="F97" s="85" t="s">
        <v>1294</v>
      </c>
      <c r="G97" s="85"/>
      <c r="H97" s="85" t="s">
        <v>662</v>
      </c>
      <c r="I97" s="85"/>
      <c r="J97" s="141">
        <f t="shared" si="8"/>
        <v>28</v>
      </c>
      <c r="K97" s="146" t="s">
        <v>1721</v>
      </c>
      <c r="L97" s="141">
        <f t="shared" si="9"/>
        <v>0</v>
      </c>
      <c r="M97" s="142">
        <f t="shared" si="10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51</v>
      </c>
      <c r="B98" s="73" t="s">
        <v>149</v>
      </c>
      <c r="C98" s="73" t="s">
        <v>1055</v>
      </c>
      <c r="D98" s="73" t="s">
        <v>150</v>
      </c>
      <c r="E98" s="85" t="s">
        <v>14</v>
      </c>
      <c r="F98" s="85" t="s">
        <v>1294</v>
      </c>
      <c r="G98" s="85"/>
      <c r="H98" s="85" t="s">
        <v>1424</v>
      </c>
      <c r="I98" s="85"/>
      <c r="J98" s="141">
        <f t="shared" si="8"/>
        <v>28</v>
      </c>
      <c r="K98" s="146" t="s">
        <v>1722</v>
      </c>
      <c r="L98" s="141">
        <f t="shared" si="9"/>
        <v>0</v>
      </c>
      <c r="M98" s="142">
        <f t="shared" si="10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51</v>
      </c>
      <c r="B99" s="73" t="s">
        <v>922</v>
      </c>
      <c r="C99" s="73" t="s">
        <v>1055</v>
      </c>
      <c r="D99" s="73" t="s">
        <v>46</v>
      </c>
      <c r="E99" s="85" t="s">
        <v>18</v>
      </c>
      <c r="F99" s="85" t="s">
        <v>1294</v>
      </c>
      <c r="G99" s="85"/>
      <c r="H99" s="85" t="s">
        <v>1360</v>
      </c>
      <c r="I99" s="85"/>
      <c r="J99" s="141">
        <f t="shared" si="8"/>
        <v>28</v>
      </c>
      <c r="K99" s="146" t="s">
        <v>1723</v>
      </c>
      <c r="L99" s="141">
        <f t="shared" si="9"/>
        <v>0</v>
      </c>
      <c r="M99" s="142">
        <f t="shared" si="10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51</v>
      </c>
      <c r="B100" s="73" t="s">
        <v>47</v>
      </c>
      <c r="C100" s="73" t="s">
        <v>1055</v>
      </c>
      <c r="D100" s="73" t="s">
        <v>48</v>
      </c>
      <c r="E100" s="85" t="s">
        <v>18</v>
      </c>
      <c r="F100" s="85" t="s">
        <v>1294</v>
      </c>
      <c r="G100" s="85"/>
      <c r="H100" s="85" t="s">
        <v>1348</v>
      </c>
      <c r="I100" s="85"/>
      <c r="J100" s="141">
        <f t="shared" si="8"/>
        <v>27</v>
      </c>
      <c r="K100" s="146" t="s">
        <v>1724</v>
      </c>
      <c r="L100" s="141">
        <f t="shared" si="9"/>
        <v>1</v>
      </c>
      <c r="M100" s="142">
        <f t="shared" si="10"/>
        <v>0.9642857142857143</v>
      </c>
      <c r="N100" s="70"/>
      <c r="O100" s="70"/>
      <c r="P100" s="70"/>
      <c r="Q100" s="70"/>
      <c r="R100" s="70"/>
      <c r="S100" s="70"/>
      <c r="T100" s="70" t="s">
        <v>2245</v>
      </c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51</v>
      </c>
      <c r="B101" s="73" t="s">
        <v>49</v>
      </c>
      <c r="C101" s="73" t="s">
        <v>1055</v>
      </c>
      <c r="D101" s="73" t="s">
        <v>50</v>
      </c>
      <c r="E101" s="85" t="s">
        <v>18</v>
      </c>
      <c r="F101" s="85" t="s">
        <v>1294</v>
      </c>
      <c r="G101" s="85"/>
      <c r="H101" s="85" t="s">
        <v>1401</v>
      </c>
      <c r="I101" s="85"/>
      <c r="J101" s="141">
        <f t="shared" si="8"/>
        <v>28</v>
      </c>
      <c r="K101" s="146" t="s">
        <v>1725</v>
      </c>
      <c r="L101" s="141">
        <f t="shared" si="9"/>
        <v>0</v>
      </c>
      <c r="M101" s="142">
        <f t="shared" si="10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51</v>
      </c>
      <c r="B102" s="73" t="s">
        <v>52</v>
      </c>
      <c r="C102" s="73" t="s">
        <v>1055</v>
      </c>
      <c r="D102" s="73" t="s">
        <v>53</v>
      </c>
      <c r="E102" s="85" t="s">
        <v>14</v>
      </c>
      <c r="F102" s="85" t="s">
        <v>1294</v>
      </c>
      <c r="G102" s="85"/>
      <c r="H102" s="85" t="s">
        <v>1417</v>
      </c>
      <c r="I102" s="85"/>
      <c r="J102" s="141">
        <f t="shared" si="8"/>
        <v>28</v>
      </c>
      <c r="K102" s="146" t="s">
        <v>1726</v>
      </c>
      <c r="L102" s="141">
        <f t="shared" si="9"/>
        <v>0</v>
      </c>
      <c r="M102" s="142">
        <f t="shared" si="10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51</v>
      </c>
      <c r="B103" s="73" t="s">
        <v>54</v>
      </c>
      <c r="C103" s="73" t="s">
        <v>1055</v>
      </c>
      <c r="D103" s="73" t="s">
        <v>55</v>
      </c>
      <c r="E103" s="85" t="s">
        <v>14</v>
      </c>
      <c r="F103" s="85" t="s">
        <v>1294</v>
      </c>
      <c r="G103" s="85"/>
      <c r="H103" s="85" t="s">
        <v>1356</v>
      </c>
      <c r="I103" s="85"/>
      <c r="J103" s="141">
        <f t="shared" si="8"/>
        <v>28</v>
      </c>
      <c r="K103" s="146" t="s">
        <v>1727</v>
      </c>
      <c r="L103" s="141">
        <f t="shared" si="9"/>
        <v>0</v>
      </c>
      <c r="M103" s="142">
        <f t="shared" si="10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51</v>
      </c>
      <c r="B104" t="s">
        <v>56</v>
      </c>
      <c r="C104" t="s">
        <v>1055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8"/>
        <v>28</v>
      </c>
      <c r="K104" s="146" t="s">
        <v>1728</v>
      </c>
      <c r="L104" s="31">
        <f t="shared" si="9"/>
        <v>0</v>
      </c>
      <c r="M104" s="32">
        <f t="shared" si="10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51</v>
      </c>
      <c r="B105" s="73" t="s">
        <v>927</v>
      </c>
      <c r="C105" s="73" t="s">
        <v>1055</v>
      </c>
      <c r="D105" s="73" t="s">
        <v>58</v>
      </c>
      <c r="E105" s="85" t="s">
        <v>14</v>
      </c>
      <c r="F105" s="85" t="s">
        <v>1294</v>
      </c>
      <c r="G105" s="85"/>
      <c r="H105" s="85" t="s">
        <v>1367</v>
      </c>
      <c r="I105" s="85"/>
      <c r="J105" s="141">
        <f t="shared" si="8"/>
        <v>28</v>
      </c>
      <c r="K105" s="146" t="s">
        <v>1729</v>
      </c>
      <c r="L105" s="141">
        <f t="shared" si="9"/>
        <v>0</v>
      </c>
      <c r="M105" s="142">
        <f t="shared" si="10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51</v>
      </c>
      <c r="B106" t="s">
        <v>59</v>
      </c>
      <c r="C106" t="s">
        <v>1055</v>
      </c>
      <c r="D106" t="s">
        <v>60</v>
      </c>
      <c r="E106" s="30" t="s">
        <v>14</v>
      </c>
      <c r="F106" s="30" t="s">
        <v>1049</v>
      </c>
      <c r="G106" s="30" t="s">
        <v>44</v>
      </c>
      <c r="H106" s="30" t="s">
        <v>664</v>
      </c>
      <c r="I106" s="30"/>
      <c r="J106" s="31">
        <f t="shared" si="8"/>
        <v>28</v>
      </c>
      <c r="K106" s="146" t="s">
        <v>1730</v>
      </c>
      <c r="L106" s="31">
        <f t="shared" si="9"/>
        <v>0</v>
      </c>
      <c r="M106" s="32">
        <f t="shared" si="10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51</v>
      </c>
      <c r="B107" s="73" t="s">
        <v>61</v>
      </c>
      <c r="C107" s="73" t="s">
        <v>1055</v>
      </c>
      <c r="D107" s="73" t="s">
        <v>62</v>
      </c>
      <c r="E107" s="85" t="s">
        <v>14</v>
      </c>
      <c r="F107" s="85" t="s">
        <v>1294</v>
      </c>
      <c r="G107" s="85"/>
      <c r="H107" s="85" t="s">
        <v>1357</v>
      </c>
      <c r="I107" s="85"/>
      <c r="J107" s="141">
        <f t="shared" si="8"/>
        <v>28</v>
      </c>
      <c r="K107" s="146" t="s">
        <v>1731</v>
      </c>
      <c r="L107" s="141">
        <f t="shared" si="9"/>
        <v>0</v>
      </c>
      <c r="M107" s="142">
        <f t="shared" si="10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51</v>
      </c>
      <c r="B108" t="s">
        <v>928</v>
      </c>
      <c r="C108" t="s">
        <v>1055</v>
      </c>
      <c r="D108" t="s">
        <v>1078</v>
      </c>
      <c r="E108" s="30" t="s">
        <v>14</v>
      </c>
      <c r="F108" s="30" t="s">
        <v>1049</v>
      </c>
      <c r="G108" s="30" t="s">
        <v>1246</v>
      </c>
      <c r="H108" s="30" t="s">
        <v>665</v>
      </c>
      <c r="I108" s="30"/>
      <c r="J108" s="31">
        <f t="shared" si="8"/>
        <v>27</v>
      </c>
      <c r="K108" s="146" t="s">
        <v>1732</v>
      </c>
      <c r="L108" s="31">
        <f t="shared" si="9"/>
        <v>1</v>
      </c>
      <c r="M108" s="32">
        <f t="shared" si="10"/>
        <v>0.9642857142857143</v>
      </c>
      <c r="N108" s="70"/>
      <c r="O108" s="70"/>
      <c r="P108" s="70"/>
      <c r="Q108" s="70"/>
      <c r="R108" s="70"/>
      <c r="S108" s="70"/>
      <c r="T108" s="70" t="s">
        <v>2245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51</v>
      </c>
      <c r="B109" t="s">
        <v>929</v>
      </c>
      <c r="C109" t="s">
        <v>1055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8"/>
        <v>28</v>
      </c>
      <c r="K109" s="146" t="s">
        <v>1733</v>
      </c>
      <c r="L109" s="31">
        <f t="shared" si="9"/>
        <v>0</v>
      </c>
      <c r="M109" s="32">
        <f t="shared" si="10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51</v>
      </c>
      <c r="B110" t="s">
        <v>151</v>
      </c>
      <c r="C110" t="s">
        <v>1055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8"/>
        <v>28</v>
      </c>
      <c r="K110" s="146" t="s">
        <v>1734</v>
      </c>
      <c r="L110" s="31">
        <f t="shared" si="9"/>
        <v>0</v>
      </c>
      <c r="M110" s="32">
        <f t="shared" si="10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51</v>
      </c>
      <c r="B111" s="73" t="s">
        <v>923</v>
      </c>
      <c r="C111" s="73" t="s">
        <v>1055</v>
      </c>
      <c r="D111" s="73" t="s">
        <v>153</v>
      </c>
      <c r="E111" s="85" t="s">
        <v>45</v>
      </c>
      <c r="F111" s="85" t="s">
        <v>1294</v>
      </c>
      <c r="G111" s="85"/>
      <c r="H111" s="85" t="s">
        <v>1052</v>
      </c>
      <c r="I111" s="85"/>
      <c r="J111" s="141">
        <f t="shared" si="8"/>
        <v>28</v>
      </c>
      <c r="K111" s="146" t="s">
        <v>1735</v>
      </c>
      <c r="L111" s="141">
        <f t="shared" si="9"/>
        <v>0</v>
      </c>
      <c r="M111" s="142">
        <f t="shared" si="10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51</v>
      </c>
      <c r="B112" s="73" t="s">
        <v>154</v>
      </c>
      <c r="C112" s="73" t="s">
        <v>1055</v>
      </c>
      <c r="D112" s="73" t="s">
        <v>153</v>
      </c>
      <c r="E112" s="85" t="s">
        <v>45</v>
      </c>
      <c r="F112" s="85" t="s">
        <v>1294</v>
      </c>
      <c r="G112" s="85"/>
      <c r="H112" s="85" t="s">
        <v>668</v>
      </c>
      <c r="I112" s="85"/>
      <c r="J112" s="141">
        <f t="shared" si="8"/>
        <v>28</v>
      </c>
      <c r="K112" s="146" t="s">
        <v>1735</v>
      </c>
      <c r="L112" s="141">
        <f t="shared" si="9"/>
        <v>0</v>
      </c>
      <c r="M112" s="142">
        <f t="shared" si="10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51</v>
      </c>
      <c r="B113" s="73" t="s">
        <v>155</v>
      </c>
      <c r="C113" s="73" t="s">
        <v>1055</v>
      </c>
      <c r="D113" s="73" t="s">
        <v>156</v>
      </c>
      <c r="E113" s="85" t="s">
        <v>72</v>
      </c>
      <c r="F113" s="85" t="s">
        <v>1294</v>
      </c>
      <c r="G113" s="85"/>
      <c r="H113" s="85" t="s">
        <v>672</v>
      </c>
      <c r="I113" s="85"/>
      <c r="J113" s="141">
        <f t="shared" si="8"/>
        <v>28</v>
      </c>
      <c r="K113" s="146" t="s">
        <v>1737</v>
      </c>
      <c r="L113" s="141">
        <f t="shared" si="9"/>
        <v>0</v>
      </c>
      <c r="M113" s="142">
        <f t="shared" si="10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51</v>
      </c>
      <c r="B114" s="73" t="s">
        <v>157</v>
      </c>
      <c r="C114" s="73" t="s">
        <v>1055</v>
      </c>
      <c r="D114" s="73" t="s">
        <v>156</v>
      </c>
      <c r="E114" s="85" t="s">
        <v>72</v>
      </c>
      <c r="F114" s="85" t="s">
        <v>1294</v>
      </c>
      <c r="G114" s="85"/>
      <c r="H114" s="85" t="s">
        <v>673</v>
      </c>
      <c r="I114" s="85"/>
      <c r="J114" s="141">
        <f t="shared" si="8"/>
        <v>28</v>
      </c>
      <c r="K114" s="146" t="s">
        <v>1736</v>
      </c>
      <c r="L114" s="141">
        <f t="shared" si="9"/>
        <v>0</v>
      </c>
      <c r="M114" s="142">
        <f t="shared" si="10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51</v>
      </c>
      <c r="B115" t="s">
        <v>158</v>
      </c>
      <c r="C115" t="s">
        <v>1055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8"/>
        <v>28</v>
      </c>
      <c r="K115" s="146" t="s">
        <v>1738</v>
      </c>
      <c r="L115" s="31">
        <f t="shared" si="9"/>
        <v>0</v>
      </c>
      <c r="M115" s="32">
        <f t="shared" si="10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51</v>
      </c>
      <c r="B116" t="s">
        <v>64</v>
      </c>
      <c r="C116" t="s">
        <v>1055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8"/>
        <v>28</v>
      </c>
      <c r="K116" s="146" t="s">
        <v>1739</v>
      </c>
      <c r="L116" s="31">
        <f t="shared" si="9"/>
        <v>0</v>
      </c>
      <c r="M116" s="32">
        <f t="shared" si="10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51</v>
      </c>
      <c r="B117" s="73" t="s">
        <v>66</v>
      </c>
      <c r="C117" s="73" t="s">
        <v>1055</v>
      </c>
      <c r="D117" s="73" t="s">
        <v>67</v>
      </c>
      <c r="E117" s="85" t="s">
        <v>18</v>
      </c>
      <c r="F117" s="85" t="s">
        <v>1294</v>
      </c>
      <c r="G117" s="85"/>
      <c r="H117" s="85" t="s">
        <v>676</v>
      </c>
      <c r="I117" s="85"/>
      <c r="J117" s="141">
        <f t="shared" si="8"/>
        <v>28</v>
      </c>
      <c r="K117" s="146" t="s">
        <v>1740</v>
      </c>
      <c r="L117" s="141">
        <f t="shared" si="9"/>
        <v>0</v>
      </c>
      <c r="M117" s="142">
        <f t="shared" si="10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51</v>
      </c>
      <c r="B118" t="s">
        <v>68</v>
      </c>
      <c r="C118" t="s">
        <v>1055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8"/>
        <v>28</v>
      </c>
      <c r="K118" s="146" t="s">
        <v>1741</v>
      </c>
      <c r="L118" s="31">
        <f t="shared" si="9"/>
        <v>0</v>
      </c>
      <c r="M118" s="32">
        <f t="shared" si="10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51</v>
      </c>
      <c r="B119" t="s">
        <v>160</v>
      </c>
      <c r="C119" t="s">
        <v>1055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8"/>
        <v>28</v>
      </c>
      <c r="K119" s="146" t="s">
        <v>1742</v>
      </c>
      <c r="L119" s="31">
        <f t="shared" si="9"/>
        <v>0</v>
      </c>
      <c r="M119" s="32">
        <f t="shared" si="10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51</v>
      </c>
      <c r="B120" t="s">
        <v>162</v>
      </c>
      <c r="C120" t="s">
        <v>1055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8"/>
        <v>28</v>
      </c>
      <c r="K120" s="146" t="s">
        <v>1743</v>
      </c>
      <c r="L120" s="31">
        <f t="shared" si="9"/>
        <v>0</v>
      </c>
      <c r="M120" s="32">
        <f t="shared" si="10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51</v>
      </c>
      <c r="B121" s="73" t="s">
        <v>924</v>
      </c>
      <c r="C121" s="73" t="s">
        <v>1055</v>
      </c>
      <c r="D121" s="73" t="s">
        <v>925</v>
      </c>
      <c r="E121" s="85" t="s">
        <v>18</v>
      </c>
      <c r="F121" s="85" t="s">
        <v>1294</v>
      </c>
      <c r="G121" s="85"/>
      <c r="H121" s="85" t="s">
        <v>1207</v>
      </c>
      <c r="I121" s="85"/>
      <c r="J121" s="141">
        <f t="shared" si="8"/>
        <v>28</v>
      </c>
      <c r="K121" s="146" t="s">
        <v>1744</v>
      </c>
      <c r="L121" s="141">
        <f t="shared" si="9"/>
        <v>0</v>
      </c>
      <c r="M121" s="142">
        <f t="shared" si="10"/>
        <v>1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51</v>
      </c>
      <c r="B122" t="s">
        <v>926</v>
      </c>
      <c r="C122" t="s">
        <v>1055</v>
      </c>
      <c r="D122" t="s">
        <v>1071</v>
      </c>
      <c r="E122" s="30" t="s">
        <v>72</v>
      </c>
      <c r="F122" s="30" t="s">
        <v>27</v>
      </c>
      <c r="G122" s="30"/>
      <c r="H122" s="30" t="s">
        <v>1483</v>
      </c>
      <c r="I122" s="30"/>
      <c r="J122" s="31">
        <f t="shared" si="8"/>
        <v>28</v>
      </c>
      <c r="K122" s="146" t="s">
        <v>1745</v>
      </c>
      <c r="L122" s="31">
        <f t="shared" si="9"/>
        <v>0</v>
      </c>
      <c r="M122" s="32">
        <f t="shared" si="10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51</v>
      </c>
      <c r="B123" t="s">
        <v>1102</v>
      </c>
      <c r="C123" t="s">
        <v>1055</v>
      </c>
      <c r="D123" t="s">
        <v>1101</v>
      </c>
      <c r="E123" s="30" t="s">
        <v>72</v>
      </c>
      <c r="F123" s="30" t="s">
        <v>27</v>
      </c>
      <c r="G123" s="30"/>
      <c r="H123" s="30" t="s">
        <v>1103</v>
      </c>
      <c r="I123" s="30"/>
      <c r="J123" s="31">
        <f t="shared" si="8"/>
        <v>28</v>
      </c>
      <c r="K123" s="146" t="s">
        <v>1746</v>
      </c>
      <c r="L123" s="31">
        <f t="shared" si="9"/>
        <v>0</v>
      </c>
      <c r="M123" s="32">
        <f t="shared" si="10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51</v>
      </c>
      <c r="B124" s="30" t="s">
        <v>1111</v>
      </c>
      <c r="C124" s="30" t="s">
        <v>1055</v>
      </c>
      <c r="D124" t="s">
        <v>121</v>
      </c>
      <c r="E124" s="30" t="s">
        <v>72</v>
      </c>
      <c r="F124" s="30" t="s">
        <v>27</v>
      </c>
      <c r="G124" s="30"/>
      <c r="H124" s="30" t="s">
        <v>1112</v>
      </c>
      <c r="I124" s="30"/>
      <c r="J124" s="31">
        <f t="shared" si="8"/>
        <v>28</v>
      </c>
      <c r="K124" s="146" t="s">
        <v>1747</v>
      </c>
      <c r="L124" s="31">
        <f t="shared" si="9"/>
        <v>0</v>
      </c>
      <c r="M124" s="32">
        <f t="shared" si="10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51</v>
      </c>
      <c r="B125" s="30" t="s">
        <v>1104</v>
      </c>
      <c r="C125" s="30" t="s">
        <v>1055</v>
      </c>
      <c r="D125" t="s">
        <v>1106</v>
      </c>
      <c r="E125" s="30" t="s">
        <v>72</v>
      </c>
      <c r="F125" s="30" t="s">
        <v>27</v>
      </c>
      <c r="G125" s="30"/>
      <c r="H125" s="30" t="s">
        <v>1113</v>
      </c>
      <c r="I125" s="30"/>
      <c r="J125" s="31">
        <f t="shared" si="8"/>
        <v>28</v>
      </c>
      <c r="K125" s="146" t="s">
        <v>1748</v>
      </c>
      <c r="L125" s="31">
        <f t="shared" si="9"/>
        <v>0</v>
      </c>
      <c r="M125" s="32">
        <f t="shared" si="10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51</v>
      </c>
      <c r="B126" s="30" t="s">
        <v>1105</v>
      </c>
      <c r="C126" s="30" t="s">
        <v>1055</v>
      </c>
      <c r="D126" t="s">
        <v>1106</v>
      </c>
      <c r="E126" s="30" t="s">
        <v>72</v>
      </c>
      <c r="F126" s="30" t="s">
        <v>27</v>
      </c>
      <c r="G126" s="30"/>
      <c r="H126" s="30" t="s">
        <v>1114</v>
      </c>
      <c r="I126" s="30"/>
      <c r="J126" s="31">
        <f t="shared" si="8"/>
        <v>28</v>
      </c>
      <c r="K126" s="146" t="s">
        <v>1749</v>
      </c>
      <c r="L126" s="31">
        <f t="shared" si="9"/>
        <v>0</v>
      </c>
      <c r="M126" s="32">
        <f t="shared" si="10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51</v>
      </c>
      <c r="B127" s="30" t="s">
        <v>1175</v>
      </c>
      <c r="C127" s="30" t="s">
        <v>1055</v>
      </c>
      <c r="D127" t="s">
        <v>92</v>
      </c>
      <c r="E127" s="30" t="s">
        <v>72</v>
      </c>
      <c r="F127" s="30" t="s">
        <v>27</v>
      </c>
      <c r="G127" s="30"/>
      <c r="H127" s="30" t="s">
        <v>1176</v>
      </c>
      <c r="I127" s="30"/>
      <c r="J127" s="31">
        <f t="shared" si="8"/>
        <v>28</v>
      </c>
      <c r="K127" s="146" t="s">
        <v>1750</v>
      </c>
      <c r="L127" s="31">
        <f t="shared" si="9"/>
        <v>0</v>
      </c>
      <c r="M127" s="32">
        <f t="shared" si="10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51</v>
      </c>
      <c r="B128" s="85" t="s">
        <v>1191</v>
      </c>
      <c r="C128" s="85" t="s">
        <v>1055</v>
      </c>
      <c r="D128" s="73" t="s">
        <v>1192</v>
      </c>
      <c r="E128" s="85" t="s">
        <v>18</v>
      </c>
      <c r="F128" s="85" t="s">
        <v>1294</v>
      </c>
      <c r="G128" s="85"/>
      <c r="H128" s="85" t="s">
        <v>1193</v>
      </c>
      <c r="I128" s="85"/>
      <c r="J128" s="141">
        <f t="shared" si="8"/>
        <v>28</v>
      </c>
      <c r="K128" s="146" t="s">
        <v>1751</v>
      </c>
      <c r="L128" s="141">
        <f t="shared" si="9"/>
        <v>0</v>
      </c>
      <c r="M128" s="142">
        <f t="shared" si="10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51</v>
      </c>
      <c r="B129" s="85" t="s">
        <v>1188</v>
      </c>
      <c r="C129" s="85" t="s">
        <v>1055</v>
      </c>
      <c r="D129" s="73" t="s">
        <v>1189</v>
      </c>
      <c r="E129" s="85" t="s">
        <v>18</v>
      </c>
      <c r="F129" s="85" t="s">
        <v>1294</v>
      </c>
      <c r="G129" s="85"/>
      <c r="H129" s="85" t="s">
        <v>1190</v>
      </c>
      <c r="I129" s="85"/>
      <c r="J129" s="141">
        <f t="shared" si="8"/>
        <v>28</v>
      </c>
      <c r="K129" s="146" t="s">
        <v>1752</v>
      </c>
      <c r="L129" s="141">
        <f t="shared" si="9"/>
        <v>0</v>
      </c>
      <c r="M129" s="142">
        <f t="shared" si="10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51</v>
      </c>
      <c r="B130" s="73" t="s">
        <v>1216</v>
      </c>
      <c r="C130" s="85" t="s">
        <v>1055</v>
      </c>
      <c r="D130" s="73" t="s">
        <v>1217</v>
      </c>
      <c r="E130" s="73" t="s">
        <v>72</v>
      </c>
      <c r="F130" s="73" t="s">
        <v>1294</v>
      </c>
      <c r="H130" s="85" t="s">
        <v>1304</v>
      </c>
      <c r="I130" s="85"/>
      <c r="J130" s="141">
        <f t="shared" si="8"/>
        <v>28</v>
      </c>
      <c r="K130" s="146" t="s">
        <v>1753</v>
      </c>
      <c r="L130" s="141">
        <f t="shared" si="9"/>
        <v>0</v>
      </c>
      <c r="M130" s="142">
        <f t="shared" si="10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51</v>
      </c>
      <c r="B131" t="s">
        <v>1218</v>
      </c>
      <c r="C131" s="30" t="s">
        <v>1055</v>
      </c>
      <c r="D131" t="s">
        <v>1219</v>
      </c>
      <c r="E131" t="s">
        <v>72</v>
      </c>
      <c r="F131" t="s">
        <v>27</v>
      </c>
      <c r="G131"/>
      <c r="H131" s="30" t="s">
        <v>1315</v>
      </c>
      <c r="I131" s="30"/>
      <c r="J131" s="31">
        <f t="shared" si="8"/>
        <v>28</v>
      </c>
      <c r="K131" s="146" t="s">
        <v>1754</v>
      </c>
      <c r="L131" s="31">
        <f t="shared" si="9"/>
        <v>0</v>
      </c>
      <c r="M131" s="32">
        <f t="shared" si="10"/>
        <v>1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51</v>
      </c>
      <c r="B132" s="30" t="s">
        <v>1292</v>
      </c>
      <c r="C132" s="30" t="s">
        <v>1055</v>
      </c>
      <c r="D132" t="s">
        <v>87</v>
      </c>
      <c r="E132" s="30" t="s">
        <v>72</v>
      </c>
      <c r="F132" s="30" t="s">
        <v>27</v>
      </c>
      <c r="G132" s="30"/>
      <c r="H132" s="30" t="s">
        <v>1291</v>
      </c>
      <c r="I132" s="30"/>
      <c r="J132" s="31">
        <f t="shared" si="8"/>
        <v>28</v>
      </c>
      <c r="K132" s="146" t="s">
        <v>1755</v>
      </c>
      <c r="L132" s="31">
        <f t="shared" si="9"/>
        <v>0</v>
      </c>
      <c r="M132" s="32">
        <f t="shared" si="10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51</v>
      </c>
      <c r="B133" s="85" t="s">
        <v>1317</v>
      </c>
      <c r="C133" s="85" t="s">
        <v>1055</v>
      </c>
      <c r="D133" s="73" t="s">
        <v>1318</v>
      </c>
      <c r="E133" s="85" t="s">
        <v>18</v>
      </c>
      <c r="F133" s="85" t="s">
        <v>1294</v>
      </c>
      <c r="G133" s="85"/>
      <c r="H133" s="85" t="s">
        <v>1319</v>
      </c>
      <c r="I133" s="85"/>
      <c r="J133" s="141">
        <f t="shared" si="8"/>
        <v>28</v>
      </c>
      <c r="K133" s="146" t="s">
        <v>1756</v>
      </c>
      <c r="L133" s="141">
        <f t="shared" si="9"/>
        <v>0</v>
      </c>
      <c r="M133" s="142">
        <f t="shared" si="10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51</v>
      </c>
      <c r="B134" s="85" t="s">
        <v>1408</v>
      </c>
      <c r="C134" s="85" t="s">
        <v>1055</v>
      </c>
      <c r="D134" s="73" t="s">
        <v>1518</v>
      </c>
      <c r="E134" s="85" t="s">
        <v>18</v>
      </c>
      <c r="F134" s="85" t="s">
        <v>1294</v>
      </c>
      <c r="G134" s="85"/>
      <c r="H134" s="85" t="s">
        <v>1409</v>
      </c>
      <c r="I134" s="85"/>
      <c r="J134" s="141">
        <f t="shared" si="8"/>
        <v>28</v>
      </c>
      <c r="K134" s="146" t="s">
        <v>1757</v>
      </c>
      <c r="L134" s="141">
        <f t="shared" si="9"/>
        <v>0</v>
      </c>
      <c r="M134" s="142">
        <f t="shared" si="10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51</v>
      </c>
      <c r="B135" s="85" t="s">
        <v>1495</v>
      </c>
      <c r="C135" s="85" t="s">
        <v>1055</v>
      </c>
      <c r="D135" s="73" t="s">
        <v>1496</v>
      </c>
      <c r="E135" s="85" t="s">
        <v>18</v>
      </c>
      <c r="F135" s="85" t="s">
        <v>1294</v>
      </c>
      <c r="G135" s="85"/>
      <c r="H135" s="85" t="s">
        <v>1500</v>
      </c>
      <c r="I135" s="85"/>
      <c r="J135" s="141">
        <f t="shared" si="8"/>
        <v>28</v>
      </c>
      <c r="K135" s="146" t="s">
        <v>1758</v>
      </c>
      <c r="L135" s="141">
        <f t="shared" si="9"/>
        <v>0</v>
      </c>
      <c r="M135" s="142">
        <f t="shared" si="10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51</v>
      </c>
      <c r="B136" s="30" t="s">
        <v>1474</v>
      </c>
      <c r="C136" s="30" t="s">
        <v>1055</v>
      </c>
      <c r="D136" t="s">
        <v>1473</v>
      </c>
      <c r="E136" s="85" t="s">
        <v>72</v>
      </c>
      <c r="F136" s="85" t="s">
        <v>27</v>
      </c>
      <c r="G136" s="85"/>
      <c r="H136" s="85" t="s">
        <v>1475</v>
      </c>
      <c r="I136" s="85" t="s">
        <v>2290</v>
      </c>
      <c r="J136" s="141">
        <f t="shared" si="8"/>
        <v>28</v>
      </c>
      <c r="K136" s="146" t="s">
        <v>1759</v>
      </c>
      <c r="L136" s="141">
        <f t="shared" si="9"/>
        <v>0</v>
      </c>
      <c r="M136" s="142">
        <f t="shared" si="10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51</v>
      </c>
      <c r="B137" s="30" t="s">
        <v>1477</v>
      </c>
      <c r="C137" s="30" t="s">
        <v>1055</v>
      </c>
      <c r="D137" t="s">
        <v>1476</v>
      </c>
      <c r="E137" s="85" t="s">
        <v>18</v>
      </c>
      <c r="F137" s="85" t="s">
        <v>27</v>
      </c>
      <c r="G137" s="85"/>
      <c r="H137" s="85" t="s">
        <v>1478</v>
      </c>
      <c r="I137" s="85" t="s">
        <v>2290</v>
      </c>
      <c r="J137" s="141">
        <f t="shared" si="8"/>
        <v>28</v>
      </c>
      <c r="K137" s="146" t="s">
        <v>1760</v>
      </c>
      <c r="L137" s="141">
        <f t="shared" si="9"/>
        <v>0</v>
      </c>
      <c r="M137" s="142">
        <f t="shared" si="10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51</v>
      </c>
      <c r="B138" s="85" t="s">
        <v>1509</v>
      </c>
      <c r="C138" s="85" t="s">
        <v>1055</v>
      </c>
      <c r="D138" s="73" t="s">
        <v>1510</v>
      </c>
      <c r="E138" s="85" t="s">
        <v>18</v>
      </c>
      <c r="F138" s="85" t="s">
        <v>1294</v>
      </c>
      <c r="G138" s="85"/>
      <c r="H138" s="85" t="s">
        <v>1511</v>
      </c>
      <c r="I138" s="85"/>
      <c r="J138" s="141">
        <f t="shared" si="8"/>
        <v>28</v>
      </c>
      <c r="K138" s="146" t="s">
        <v>1761</v>
      </c>
      <c r="L138" s="141">
        <f t="shared" si="9"/>
        <v>0</v>
      </c>
      <c r="M138" s="142">
        <f t="shared" si="10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51</v>
      </c>
      <c r="B139" s="30" t="s">
        <v>1512</v>
      </c>
      <c r="C139" s="30" t="s">
        <v>1055</v>
      </c>
      <c r="D139" t="s">
        <v>1513</v>
      </c>
      <c r="E139" s="85" t="s">
        <v>18</v>
      </c>
      <c r="F139" s="85" t="s">
        <v>27</v>
      </c>
      <c r="G139" s="85"/>
      <c r="H139" s="85" t="s">
        <v>1514</v>
      </c>
      <c r="I139" s="85"/>
      <c r="J139" s="141">
        <f t="shared" si="8"/>
        <v>28</v>
      </c>
      <c r="K139" s="146" t="s">
        <v>1762</v>
      </c>
      <c r="L139" s="141">
        <f t="shared" si="9"/>
        <v>0</v>
      </c>
      <c r="M139" s="142">
        <f t="shared" si="10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51</v>
      </c>
      <c r="B140" s="30" t="s">
        <v>1634</v>
      </c>
      <c r="C140" s="30" t="s">
        <v>1055</v>
      </c>
      <c r="D140" t="s">
        <v>1635</v>
      </c>
      <c r="E140" s="85" t="s">
        <v>18</v>
      </c>
      <c r="F140" s="85" t="s">
        <v>27</v>
      </c>
      <c r="G140" s="85"/>
      <c r="H140" s="85" t="s">
        <v>2103</v>
      </c>
      <c r="I140" s="85"/>
      <c r="J140" s="141">
        <f t="shared" si="8"/>
        <v>28</v>
      </c>
      <c r="K140" s="146" t="s">
        <v>2165</v>
      </c>
      <c r="L140" s="141">
        <f t="shared" si="9"/>
        <v>0</v>
      </c>
      <c r="M140" s="142">
        <f t="shared" si="10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51</v>
      </c>
      <c r="B141" s="85" t="s">
        <v>1552</v>
      </c>
      <c r="C141" s="85" t="s">
        <v>1055</v>
      </c>
      <c r="D141" s="73" t="s">
        <v>1554</v>
      </c>
      <c r="E141" s="85" t="s">
        <v>18</v>
      </c>
      <c r="F141" s="85" t="s">
        <v>27</v>
      </c>
      <c r="G141" s="85"/>
      <c r="H141" s="85" t="s">
        <v>1556</v>
      </c>
      <c r="I141" s="85"/>
      <c r="J141" s="141">
        <f t="shared" si="8"/>
        <v>28</v>
      </c>
      <c r="K141" s="146" t="s">
        <v>1763</v>
      </c>
      <c r="L141" s="141">
        <f t="shared" si="9"/>
        <v>0</v>
      </c>
      <c r="M141" s="142">
        <f t="shared" si="10"/>
        <v>1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51</v>
      </c>
      <c r="B142" s="85" t="s">
        <v>1553</v>
      </c>
      <c r="C142" s="85" t="s">
        <v>1055</v>
      </c>
      <c r="D142" s="73" t="s">
        <v>1555</v>
      </c>
      <c r="E142" s="85" t="s">
        <v>18</v>
      </c>
      <c r="F142" s="85" t="s">
        <v>1294</v>
      </c>
      <c r="G142" s="85"/>
      <c r="H142" s="85" t="s">
        <v>1557</v>
      </c>
      <c r="I142" s="85"/>
      <c r="J142" s="141">
        <f t="shared" si="8"/>
        <v>27</v>
      </c>
      <c r="K142" s="146" t="s">
        <v>1764</v>
      </c>
      <c r="L142" s="141">
        <f t="shared" si="9"/>
        <v>1</v>
      </c>
      <c r="M142" s="142">
        <f t="shared" si="10"/>
        <v>0.9642857142857143</v>
      </c>
      <c r="N142" s="70"/>
      <c r="O142" s="70"/>
      <c r="P142" s="70"/>
      <c r="Q142" s="70"/>
      <c r="R142" s="70"/>
      <c r="S142" s="70"/>
      <c r="T142" s="70" t="s">
        <v>2245</v>
      </c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51</v>
      </c>
      <c r="B143" s="85" t="s">
        <v>2110</v>
      </c>
      <c r="C143" s="85" t="s">
        <v>1055</v>
      </c>
      <c r="D143" s="73" t="s">
        <v>2111</v>
      </c>
      <c r="E143" s="85" t="s">
        <v>18</v>
      </c>
      <c r="F143" s="85" t="s">
        <v>1294</v>
      </c>
      <c r="G143" s="85"/>
      <c r="H143" s="85" t="s">
        <v>2166</v>
      </c>
      <c r="I143" s="85"/>
      <c r="J143" s="141">
        <f t="shared" si="8"/>
        <v>28</v>
      </c>
      <c r="K143" s="146" t="s">
        <v>2167</v>
      </c>
      <c r="L143" s="141">
        <f t="shared" si="9"/>
        <v>0</v>
      </c>
      <c r="M143" s="142">
        <f t="shared" si="10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51</v>
      </c>
      <c r="B144" s="85" t="s">
        <v>2191</v>
      </c>
      <c r="C144" s="85" t="s">
        <v>1055</v>
      </c>
      <c r="D144" s="73" t="s">
        <v>2192</v>
      </c>
      <c r="E144" s="85" t="s">
        <v>18</v>
      </c>
      <c r="F144" s="85" t="s">
        <v>1294</v>
      </c>
      <c r="G144" s="85"/>
      <c r="H144" s="85" t="s">
        <v>2294</v>
      </c>
      <c r="I144" s="85"/>
      <c r="J144" s="141">
        <f t="shared" si="8"/>
        <v>27</v>
      </c>
      <c r="K144" s="146" t="s">
        <v>2193</v>
      </c>
      <c r="L144" s="141">
        <f t="shared" si="9"/>
        <v>1</v>
      </c>
      <c r="M144" s="142">
        <f t="shared" si="10"/>
        <v>0.9642857142857143</v>
      </c>
      <c r="N144" s="70" t="s">
        <v>2245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51</v>
      </c>
      <c r="B145" s="85" t="s">
        <v>2220</v>
      </c>
      <c r="C145" s="85" t="s">
        <v>1055</v>
      </c>
      <c r="D145" s="73" t="s">
        <v>2221</v>
      </c>
      <c r="E145" s="85" t="s">
        <v>18</v>
      </c>
      <c r="F145" s="30" t="s">
        <v>27</v>
      </c>
      <c r="G145" s="85"/>
      <c r="H145" s="85" t="s">
        <v>2222</v>
      </c>
      <c r="I145" s="85"/>
      <c r="J145" s="141">
        <f t="shared" si="8"/>
        <v>28</v>
      </c>
      <c r="K145" s="146" t="s">
        <v>2223</v>
      </c>
      <c r="L145" s="141">
        <f t="shared" si="9"/>
        <v>0</v>
      </c>
      <c r="M145" s="142">
        <f t="shared" si="10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51</v>
      </c>
      <c r="B146" s="85" t="s">
        <v>2274</v>
      </c>
      <c r="C146" s="85" t="s">
        <v>1055</v>
      </c>
      <c r="D146" s="73" t="s">
        <v>2275</v>
      </c>
      <c r="E146" s="85" t="s">
        <v>18</v>
      </c>
      <c r="F146" s="30" t="s">
        <v>27</v>
      </c>
      <c r="G146" s="85"/>
      <c r="H146" s="85" t="s">
        <v>2276</v>
      </c>
      <c r="I146" s="85"/>
      <c r="J146" s="141">
        <f t="shared" si="8"/>
        <v>27</v>
      </c>
      <c r="K146" s="146" t="s">
        <v>2277</v>
      </c>
      <c r="L146" s="141">
        <f t="shared" si="9"/>
        <v>1</v>
      </c>
      <c r="M146" s="142">
        <f t="shared" si="10"/>
        <v>0.9642857142857143</v>
      </c>
      <c r="N146" s="70" t="s">
        <v>2245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164</v>
      </c>
      <c r="B147" t="s">
        <v>165</v>
      </c>
      <c r="C147" t="s">
        <v>1055</v>
      </c>
      <c r="D147" t="s">
        <v>166</v>
      </c>
      <c r="E147" s="30" t="s">
        <v>18</v>
      </c>
      <c r="F147" s="30" t="s">
        <v>1049</v>
      </c>
      <c r="G147" s="30"/>
      <c r="H147" s="30" t="s">
        <v>1399</v>
      </c>
      <c r="I147" s="30"/>
      <c r="J147" s="31">
        <f t="shared" si="8"/>
        <v>28</v>
      </c>
      <c r="K147" s="146" t="s">
        <v>1765</v>
      </c>
      <c r="L147" s="31">
        <f t="shared" si="9"/>
        <v>0</v>
      </c>
      <c r="M147" s="32">
        <f t="shared" si="10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167</v>
      </c>
      <c r="B148" t="s">
        <v>168</v>
      </c>
      <c r="C148" t="s">
        <v>1055</v>
      </c>
      <c r="D148" t="s">
        <v>169</v>
      </c>
      <c r="E148" s="30" t="s">
        <v>18</v>
      </c>
      <c r="F148" s="30" t="s">
        <v>1049</v>
      </c>
      <c r="G148" s="30"/>
      <c r="H148" s="30" t="s">
        <v>680</v>
      </c>
      <c r="I148" s="30"/>
      <c r="J148" s="31">
        <f t="shared" si="8"/>
        <v>28</v>
      </c>
      <c r="K148" s="146"/>
      <c r="L148" s="31">
        <f t="shared" si="9"/>
        <v>0</v>
      </c>
      <c r="M148" s="32">
        <f t="shared" si="10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167</v>
      </c>
      <c r="B149" t="s">
        <v>170</v>
      </c>
      <c r="C149" t="s">
        <v>1055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8"/>
        <v>28</v>
      </c>
      <c r="K149" s="146" t="s">
        <v>1766</v>
      </c>
      <c r="L149" s="31">
        <f t="shared" si="9"/>
        <v>0</v>
      </c>
      <c r="M149" s="32">
        <f t="shared" si="10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167</v>
      </c>
      <c r="B150" t="s">
        <v>172</v>
      </c>
      <c r="C150" t="s">
        <v>1055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8"/>
        <v>28</v>
      </c>
      <c r="K150" s="146" t="s">
        <v>1767</v>
      </c>
      <c r="L150" s="31">
        <f t="shared" si="9"/>
        <v>0</v>
      </c>
      <c r="M150" s="32">
        <f t="shared" si="10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174</v>
      </c>
      <c r="B151" t="s">
        <v>175</v>
      </c>
      <c r="C151" t="s">
        <v>1056</v>
      </c>
      <c r="D151" t="s">
        <v>176</v>
      </c>
      <c r="E151" s="30" t="s">
        <v>18</v>
      </c>
      <c r="F151" s="30" t="s">
        <v>27</v>
      </c>
      <c r="G151" s="30"/>
      <c r="H151" s="30" t="s">
        <v>2182</v>
      </c>
      <c r="I151" s="30"/>
      <c r="J151" s="31">
        <f t="shared" si="8"/>
        <v>27</v>
      </c>
      <c r="K151" s="146" t="s">
        <v>1768</v>
      </c>
      <c r="L151" s="31">
        <f t="shared" si="9"/>
        <v>1</v>
      </c>
      <c r="M151" s="32">
        <f t="shared" si="10"/>
        <v>0.9642857142857143</v>
      </c>
      <c r="N151" s="70" t="s">
        <v>2245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1056</v>
      </c>
      <c r="D152" t="s">
        <v>179</v>
      </c>
      <c r="E152" s="30" t="s">
        <v>18</v>
      </c>
      <c r="F152" s="30" t="s">
        <v>1049</v>
      </c>
      <c r="G152" s="30"/>
      <c r="H152" s="30" t="s">
        <v>1302</v>
      </c>
      <c r="I152" s="30"/>
      <c r="J152" s="31">
        <f t="shared" si="8"/>
        <v>25</v>
      </c>
      <c r="K152" s="146" t="s">
        <v>1769</v>
      </c>
      <c r="L152" s="31">
        <f t="shared" si="9"/>
        <v>3</v>
      </c>
      <c r="M152" s="32">
        <f t="shared" si="10"/>
        <v>0.8928571428571429</v>
      </c>
      <c r="N152" s="70" t="s">
        <v>2245</v>
      </c>
      <c r="O152" s="70"/>
      <c r="P152" s="70"/>
      <c r="Q152" s="70"/>
      <c r="R152" s="70"/>
      <c r="S152" s="70" t="s">
        <v>2245</v>
      </c>
      <c r="T152" s="70" t="s">
        <v>2245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177</v>
      </c>
      <c r="B153" t="s">
        <v>930</v>
      </c>
      <c r="C153" t="s">
        <v>1056</v>
      </c>
      <c r="D153" t="s">
        <v>180</v>
      </c>
      <c r="E153" s="30" t="s">
        <v>14</v>
      </c>
      <c r="F153" s="30" t="s">
        <v>19</v>
      </c>
      <c r="G153" s="30"/>
      <c r="H153" s="30" t="s">
        <v>2182</v>
      </c>
      <c r="I153" s="30"/>
      <c r="J153" s="31">
        <f t="shared" si="8"/>
        <v>28</v>
      </c>
      <c r="K153" s="146" t="s">
        <v>1768</v>
      </c>
      <c r="L153" s="31">
        <f t="shared" si="9"/>
        <v>0</v>
      </c>
      <c r="M153" s="32">
        <f t="shared" si="10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177</v>
      </c>
      <c r="B154" t="s">
        <v>1220</v>
      </c>
      <c r="C154" t="s">
        <v>1056</v>
      </c>
      <c r="D154" t="s">
        <v>1221</v>
      </c>
      <c r="E154" t="s">
        <v>18</v>
      </c>
      <c r="F154" t="s">
        <v>27</v>
      </c>
      <c r="G154"/>
      <c r="H154" s="30" t="s">
        <v>1231</v>
      </c>
      <c r="I154" s="30"/>
      <c r="J154" s="31">
        <f t="shared" si="8"/>
        <v>27</v>
      </c>
      <c r="K154" s="146" t="s">
        <v>1770</v>
      </c>
      <c r="L154" s="31">
        <f t="shared" si="9"/>
        <v>1</v>
      </c>
      <c r="M154" s="32">
        <f t="shared" si="10"/>
        <v>0.9642857142857143</v>
      </c>
      <c r="N154" s="70" t="s">
        <v>2245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thickBot="1" x14ac:dyDescent="0.3">
      <c r="A155" s="73" t="s">
        <v>183</v>
      </c>
      <c r="B155" s="73" t="s">
        <v>181</v>
      </c>
      <c r="C155" s="90" t="s">
        <v>1055</v>
      </c>
      <c r="D155" s="73" t="s">
        <v>182</v>
      </c>
      <c r="E155" s="91" t="s">
        <v>18</v>
      </c>
      <c r="F155" s="85" t="s">
        <v>1294</v>
      </c>
      <c r="G155" s="85"/>
      <c r="H155" s="85" t="s">
        <v>2331</v>
      </c>
      <c r="I155" s="85"/>
      <c r="J155" s="87">
        <f t="shared" si="8"/>
        <v>28</v>
      </c>
      <c r="K155" s="146" t="s">
        <v>2332</v>
      </c>
      <c r="L155" s="87">
        <f t="shared" si="9"/>
        <v>0</v>
      </c>
      <c r="M155" s="140">
        <f t="shared" si="10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thickBot="1" x14ac:dyDescent="0.3">
      <c r="A156" t="s">
        <v>183</v>
      </c>
      <c r="B156" t="s">
        <v>931</v>
      </c>
      <c r="C156" t="s">
        <v>1055</v>
      </c>
      <c r="D156" t="s">
        <v>184</v>
      </c>
      <c r="E156" s="30" t="s">
        <v>72</v>
      </c>
      <c r="F156" s="30" t="s">
        <v>1049</v>
      </c>
      <c r="G156" s="30" t="s">
        <v>1242</v>
      </c>
      <c r="H156" s="30" t="s">
        <v>683</v>
      </c>
      <c r="I156" s="30"/>
      <c r="J156" s="31">
        <f t="shared" si="8"/>
        <v>28</v>
      </c>
      <c r="K156" s="146" t="s">
        <v>1771</v>
      </c>
      <c r="L156" s="31">
        <f t="shared" si="9"/>
        <v>0</v>
      </c>
      <c r="M156" s="32">
        <f t="shared" si="10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183</v>
      </c>
      <c r="B157" t="s">
        <v>932</v>
      </c>
      <c r="C157" t="s">
        <v>1055</v>
      </c>
      <c r="D157" t="s">
        <v>184</v>
      </c>
      <c r="E157" s="30" t="s">
        <v>72</v>
      </c>
      <c r="F157" s="30" t="s">
        <v>1049</v>
      </c>
      <c r="G157" s="30" t="s">
        <v>1242</v>
      </c>
      <c r="H157" s="30" t="s">
        <v>684</v>
      </c>
      <c r="I157" s="30"/>
      <c r="J157" s="31">
        <f t="shared" si="8"/>
        <v>28</v>
      </c>
      <c r="K157" s="146" t="s">
        <v>1772</v>
      </c>
      <c r="L157" s="31">
        <f t="shared" si="9"/>
        <v>0</v>
      </c>
      <c r="M157" s="32">
        <f t="shared" si="10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thickBot="1" x14ac:dyDescent="0.3">
      <c r="A158" s="73" t="s">
        <v>183</v>
      </c>
      <c r="B158" s="73" t="s">
        <v>933</v>
      </c>
      <c r="C158" s="90" t="s">
        <v>1055</v>
      </c>
      <c r="D158" s="73" t="s">
        <v>934</v>
      </c>
      <c r="E158" s="91" t="s">
        <v>72</v>
      </c>
      <c r="F158" s="85" t="s">
        <v>1294</v>
      </c>
      <c r="G158" s="85" t="s">
        <v>1242</v>
      </c>
      <c r="H158" s="85" t="s">
        <v>1208</v>
      </c>
      <c r="I158" s="85"/>
      <c r="J158" s="31">
        <f t="shared" si="8"/>
        <v>28</v>
      </c>
      <c r="K158" s="146" t="s">
        <v>2333</v>
      </c>
      <c r="L158" s="31">
        <f t="shared" si="9"/>
        <v>0</v>
      </c>
      <c r="M158" s="32">
        <f t="shared" si="10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customHeight="1" thickBot="1" x14ac:dyDescent="0.3">
      <c r="A159" s="73" t="s">
        <v>183</v>
      </c>
      <c r="B159" s="73" t="s">
        <v>935</v>
      </c>
      <c r="C159" s="90" t="s">
        <v>1055</v>
      </c>
      <c r="D159" s="73" t="s">
        <v>934</v>
      </c>
      <c r="E159" s="91" t="s">
        <v>72</v>
      </c>
      <c r="F159" s="85" t="s">
        <v>1294</v>
      </c>
      <c r="G159" s="85" t="s">
        <v>1242</v>
      </c>
      <c r="H159" s="85" t="s">
        <v>1209</v>
      </c>
      <c r="I159" s="85"/>
      <c r="J159" s="31">
        <f t="shared" si="8"/>
        <v>28</v>
      </c>
      <c r="K159" s="146" t="s">
        <v>2334</v>
      </c>
      <c r="L159" s="31">
        <f t="shared" si="9"/>
        <v>0</v>
      </c>
      <c r="M159" s="32">
        <f t="shared" si="10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thickBot="1" x14ac:dyDescent="0.3">
      <c r="A160" t="s">
        <v>183</v>
      </c>
      <c r="B160" t="s">
        <v>1127</v>
      </c>
      <c r="C160" t="s">
        <v>1055</v>
      </c>
      <c r="D160" t="s">
        <v>1122</v>
      </c>
      <c r="E160" s="30" t="s">
        <v>72</v>
      </c>
      <c r="F160" s="30" t="s">
        <v>1049</v>
      </c>
      <c r="G160" s="30" t="s">
        <v>1242</v>
      </c>
      <c r="H160" s="30" t="s">
        <v>1135</v>
      </c>
      <c r="I160" s="30"/>
      <c r="J160" s="31">
        <f t="shared" si="8"/>
        <v>28</v>
      </c>
      <c r="K160" s="146" t="s">
        <v>1773</v>
      </c>
      <c r="L160" s="31">
        <f t="shared" si="9"/>
        <v>0</v>
      </c>
      <c r="M160" s="32">
        <f t="shared" si="10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183</v>
      </c>
      <c r="B161" t="s">
        <v>1128</v>
      </c>
      <c r="C161" t="s">
        <v>1055</v>
      </c>
      <c r="D161" t="s">
        <v>1122</v>
      </c>
      <c r="E161" s="30" t="s">
        <v>72</v>
      </c>
      <c r="F161" s="30" t="s">
        <v>1049</v>
      </c>
      <c r="G161" s="30" t="s">
        <v>1242</v>
      </c>
      <c r="H161" s="30" t="s">
        <v>1136</v>
      </c>
      <c r="I161" s="30"/>
      <c r="J161" s="31">
        <f t="shared" si="8"/>
        <v>28</v>
      </c>
      <c r="K161" s="146" t="s">
        <v>1774</v>
      </c>
      <c r="L161" s="31">
        <f t="shared" si="9"/>
        <v>0</v>
      </c>
      <c r="M161" s="32">
        <f t="shared" si="10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183</v>
      </c>
      <c r="B162" s="73" t="s">
        <v>1543</v>
      </c>
      <c r="C162" s="73" t="s">
        <v>1055</v>
      </c>
      <c r="D162" s="73" t="s">
        <v>1544</v>
      </c>
      <c r="E162" s="85" t="s">
        <v>45</v>
      </c>
      <c r="F162" s="85" t="s">
        <v>1294</v>
      </c>
      <c r="G162" s="85"/>
      <c r="H162" s="85" t="s">
        <v>1545</v>
      </c>
      <c r="I162" s="85"/>
      <c r="J162" s="31">
        <f t="shared" si="8"/>
        <v>28</v>
      </c>
      <c r="K162" s="146" t="s">
        <v>2335</v>
      </c>
      <c r="L162" s="31">
        <f t="shared" si="9"/>
        <v>0</v>
      </c>
      <c r="M162" s="32">
        <f t="shared" si="10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183</v>
      </c>
      <c r="B163" s="73" t="s">
        <v>2104</v>
      </c>
      <c r="C163" s="73" t="s">
        <v>1055</v>
      </c>
      <c r="D163" s="73" t="s">
        <v>2105</v>
      </c>
      <c r="E163" s="85" t="s">
        <v>45</v>
      </c>
      <c r="F163" s="85" t="s">
        <v>1294</v>
      </c>
      <c r="G163" s="85"/>
      <c r="H163" s="85" t="s">
        <v>2108</v>
      </c>
      <c r="I163" s="85"/>
      <c r="J163" s="31">
        <f t="shared" si="8"/>
        <v>28</v>
      </c>
      <c r="K163" s="146" t="s">
        <v>2336</v>
      </c>
      <c r="L163" s="31">
        <f t="shared" si="9"/>
        <v>0</v>
      </c>
      <c r="M163" s="32">
        <f t="shared" si="10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1322</v>
      </c>
      <c r="B164" s="73" t="s">
        <v>1310</v>
      </c>
      <c r="C164" s="73" t="s">
        <v>1056</v>
      </c>
      <c r="D164" s="73" t="s">
        <v>1311</v>
      </c>
      <c r="E164" s="85" t="s">
        <v>18</v>
      </c>
      <c r="F164" s="85" t="s">
        <v>1294</v>
      </c>
      <c r="G164" s="85"/>
      <c r="H164" s="85" t="s">
        <v>2183</v>
      </c>
      <c r="I164" s="85"/>
      <c r="J164" s="141">
        <f t="shared" si="8"/>
        <v>28</v>
      </c>
      <c r="K164" s="146" t="s">
        <v>1775</v>
      </c>
      <c r="L164" s="141">
        <f t="shared" si="9"/>
        <v>0</v>
      </c>
      <c r="M164" s="142">
        <f t="shared" si="10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1322</v>
      </c>
      <c r="B165" s="73" t="s">
        <v>1326</v>
      </c>
      <c r="C165" s="73" t="s">
        <v>1056</v>
      </c>
      <c r="D165" s="73" t="s">
        <v>1327</v>
      </c>
      <c r="E165" s="85" t="s">
        <v>14</v>
      </c>
      <c r="F165" s="85" t="s">
        <v>1294</v>
      </c>
      <c r="G165" s="85"/>
      <c r="H165" s="85" t="s">
        <v>1484</v>
      </c>
      <c r="I165" s="85"/>
      <c r="J165" s="141">
        <f t="shared" ref="J165:J244" si="11">COUNTIF(N165:AO165,"")</f>
        <v>28</v>
      </c>
      <c r="K165" s="146" t="s">
        <v>1776</v>
      </c>
      <c r="L165" s="141">
        <f t="shared" ref="L165:L244" si="12">COUNTIF(N165:AO165,"APAGADO")</f>
        <v>0</v>
      </c>
      <c r="M165" s="142">
        <f t="shared" ref="M165:M244" si="13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1322</v>
      </c>
      <c r="B166" s="73" t="s">
        <v>2268</v>
      </c>
      <c r="C166" s="73" t="s">
        <v>1056</v>
      </c>
      <c r="D166" s="73" t="s">
        <v>2269</v>
      </c>
      <c r="E166" s="85" t="s">
        <v>14</v>
      </c>
      <c r="F166" s="85" t="s">
        <v>1294</v>
      </c>
      <c r="G166" s="85"/>
      <c r="H166" s="85" t="s">
        <v>2270</v>
      </c>
      <c r="I166" s="85"/>
      <c r="J166" s="141">
        <f t="shared" si="11"/>
        <v>28</v>
      </c>
      <c r="K166" s="146" t="s">
        <v>2337</v>
      </c>
      <c r="L166" s="141">
        <f t="shared" si="12"/>
        <v>0</v>
      </c>
      <c r="M166" s="142">
        <f t="shared" si="13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936</v>
      </c>
      <c r="C167" t="s">
        <v>1056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1"/>
        <v>25</v>
      </c>
      <c r="K167" s="146" t="s">
        <v>1777</v>
      </c>
      <c r="L167" s="31">
        <f t="shared" si="12"/>
        <v>3</v>
      </c>
      <c r="M167" s="32">
        <f t="shared" si="13"/>
        <v>0.8928571428571429</v>
      </c>
      <c r="N167" s="70" t="s">
        <v>2245</v>
      </c>
      <c r="O167" s="70"/>
      <c r="P167" s="70"/>
      <c r="Q167" s="70"/>
      <c r="R167" s="70"/>
      <c r="S167" s="70" t="s">
        <v>2245</v>
      </c>
      <c r="T167" s="70" t="s">
        <v>2245</v>
      </c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185</v>
      </c>
      <c r="B168" t="s">
        <v>937</v>
      </c>
      <c r="C168" t="s">
        <v>1056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1"/>
        <v>28</v>
      </c>
      <c r="K168" s="146" t="s">
        <v>1778</v>
      </c>
      <c r="L168" s="31">
        <f t="shared" si="12"/>
        <v>0</v>
      </c>
      <c r="M168" s="32">
        <f t="shared" si="13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185</v>
      </c>
      <c r="B169" t="s">
        <v>938</v>
      </c>
      <c r="C169" t="s">
        <v>1056</v>
      </c>
      <c r="D169" t="s">
        <v>188</v>
      </c>
      <c r="E169" s="30" t="s">
        <v>18</v>
      </c>
      <c r="F169" s="30" t="s">
        <v>27</v>
      </c>
      <c r="G169" s="30"/>
      <c r="H169" s="30" t="s">
        <v>1303</v>
      </c>
      <c r="I169" s="30"/>
      <c r="J169" s="31">
        <f t="shared" si="11"/>
        <v>28</v>
      </c>
      <c r="K169" s="146" t="s">
        <v>1779</v>
      </c>
      <c r="L169" s="31">
        <f t="shared" si="12"/>
        <v>0</v>
      </c>
      <c r="M169" s="32">
        <f t="shared" si="13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185</v>
      </c>
      <c r="B170" t="s">
        <v>939</v>
      </c>
      <c r="C170" t="s">
        <v>1056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1"/>
        <v>28</v>
      </c>
      <c r="K170" s="146" t="s">
        <v>1780</v>
      </c>
      <c r="L170" s="31">
        <f t="shared" si="12"/>
        <v>0</v>
      </c>
      <c r="M170" s="32">
        <f t="shared" si="13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185</v>
      </c>
      <c r="B171" t="s">
        <v>1535</v>
      </c>
      <c r="C171" t="s">
        <v>1056</v>
      </c>
      <c r="D171" t="s">
        <v>971</v>
      </c>
      <c r="E171" s="30" t="s">
        <v>45</v>
      </c>
      <c r="F171" s="30" t="s">
        <v>27</v>
      </c>
      <c r="G171" s="30"/>
      <c r="H171" s="30" t="s">
        <v>1538</v>
      </c>
      <c r="I171" s="30"/>
      <c r="J171" s="31">
        <f t="shared" si="11"/>
        <v>28</v>
      </c>
      <c r="K171" s="146" t="s">
        <v>1781</v>
      </c>
      <c r="L171" s="31">
        <f t="shared" si="12"/>
        <v>0</v>
      </c>
      <c r="M171" s="32">
        <f t="shared" si="13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185</v>
      </c>
      <c r="B172" t="s">
        <v>1536</v>
      </c>
      <c r="C172" t="s">
        <v>1056</v>
      </c>
      <c r="D172" t="s">
        <v>1537</v>
      </c>
      <c r="E172" s="30" t="s">
        <v>14</v>
      </c>
      <c r="F172" s="30" t="s">
        <v>27</v>
      </c>
      <c r="G172" s="30"/>
      <c r="H172" s="30" t="s">
        <v>1539</v>
      </c>
      <c r="I172" s="30"/>
      <c r="J172" s="31">
        <f t="shared" si="11"/>
        <v>28</v>
      </c>
      <c r="K172" s="146" t="s">
        <v>1782</v>
      </c>
      <c r="L172" s="31">
        <f t="shared" si="12"/>
        <v>0</v>
      </c>
      <c r="M172" s="32">
        <f t="shared" si="13"/>
        <v>1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190</v>
      </c>
      <c r="B173" t="s">
        <v>193</v>
      </c>
      <c r="C173" t="s">
        <v>1056</v>
      </c>
      <c r="D173" t="s">
        <v>194</v>
      </c>
      <c r="E173" s="30" t="s">
        <v>18</v>
      </c>
      <c r="F173" s="30" t="s">
        <v>1049</v>
      </c>
      <c r="G173" s="30"/>
      <c r="H173" s="30" t="s">
        <v>1431</v>
      </c>
      <c r="I173" s="30"/>
      <c r="J173" s="31">
        <f t="shared" si="11"/>
        <v>28</v>
      </c>
      <c r="K173" s="146" t="s">
        <v>1783</v>
      </c>
      <c r="L173" s="31">
        <f t="shared" si="12"/>
        <v>0</v>
      </c>
      <c r="M173" s="32">
        <f t="shared" si="13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195</v>
      </c>
      <c r="B174" t="s">
        <v>196</v>
      </c>
      <c r="C174" t="s">
        <v>1056</v>
      </c>
      <c r="D174" t="s">
        <v>197</v>
      </c>
      <c r="E174" s="30" t="s">
        <v>18</v>
      </c>
      <c r="F174" s="30" t="s">
        <v>1049</v>
      </c>
      <c r="G174" s="30" t="s">
        <v>457</v>
      </c>
      <c r="H174" s="30" t="s">
        <v>688</v>
      </c>
      <c r="I174" s="30"/>
      <c r="J174" s="31">
        <f t="shared" si="11"/>
        <v>28</v>
      </c>
      <c r="K174" s="146" t="s">
        <v>1784</v>
      </c>
      <c r="L174" s="31">
        <f t="shared" si="12"/>
        <v>0</v>
      </c>
      <c r="M174" s="32">
        <f t="shared" si="13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195</v>
      </c>
      <c r="B175" t="s">
        <v>199</v>
      </c>
      <c r="C175" t="s">
        <v>1056</v>
      </c>
      <c r="D175" t="s">
        <v>200</v>
      </c>
      <c r="E175" s="30" t="s">
        <v>14</v>
      </c>
      <c r="F175" s="30" t="s">
        <v>1049</v>
      </c>
      <c r="G175" s="30" t="s">
        <v>457</v>
      </c>
      <c r="H175" s="30" t="s">
        <v>689</v>
      </c>
      <c r="I175" s="30"/>
      <c r="J175" s="31">
        <f t="shared" si="11"/>
        <v>28</v>
      </c>
      <c r="K175" s="146" t="s">
        <v>1785</v>
      </c>
      <c r="L175" s="31">
        <f t="shared" si="12"/>
        <v>0</v>
      </c>
      <c r="M175" s="32">
        <f t="shared" si="13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190</v>
      </c>
      <c r="B176" t="s">
        <v>201</v>
      </c>
      <c r="C176" t="s">
        <v>1056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1"/>
        <v>28</v>
      </c>
      <c r="K176" s="146" t="s">
        <v>1786</v>
      </c>
      <c r="L176" s="31">
        <f t="shared" si="12"/>
        <v>0</v>
      </c>
      <c r="M176" s="32">
        <f t="shared" si="13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190</v>
      </c>
      <c r="B177" t="s">
        <v>203</v>
      </c>
      <c r="C177" t="s">
        <v>1056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1"/>
        <v>28</v>
      </c>
      <c r="K177" s="146" t="s">
        <v>1787</v>
      </c>
      <c r="L177" s="31">
        <f t="shared" si="12"/>
        <v>0</v>
      </c>
      <c r="M177" s="32">
        <f t="shared" si="13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1056</v>
      </c>
      <c r="D178" s="73" t="s">
        <v>206</v>
      </c>
      <c r="E178" s="85" t="s">
        <v>18</v>
      </c>
      <c r="F178" s="85" t="s">
        <v>1294</v>
      </c>
      <c r="G178" s="85"/>
      <c r="H178" s="85" t="s">
        <v>1421</v>
      </c>
      <c r="I178" s="85"/>
      <c r="J178" s="141">
        <f t="shared" si="11"/>
        <v>25</v>
      </c>
      <c r="K178" s="146" t="s">
        <v>1788</v>
      </c>
      <c r="L178" s="141">
        <f t="shared" si="12"/>
        <v>3</v>
      </c>
      <c r="M178" s="142">
        <f t="shared" si="13"/>
        <v>0.8928571428571429</v>
      </c>
      <c r="N178" s="70" t="s">
        <v>2245</v>
      </c>
      <c r="O178" s="70"/>
      <c r="P178" s="70"/>
      <c r="Q178" s="70"/>
      <c r="R178" s="70"/>
      <c r="S178" s="70" t="s">
        <v>2245</v>
      </c>
      <c r="T178" s="70" t="s">
        <v>2245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190</v>
      </c>
      <c r="B179" t="s">
        <v>941</v>
      </c>
      <c r="C179" t="s">
        <v>1056</v>
      </c>
      <c r="D179" t="s">
        <v>191</v>
      </c>
      <c r="E179" s="30" t="s">
        <v>14</v>
      </c>
      <c r="F179" s="30" t="s">
        <v>1049</v>
      </c>
      <c r="G179" s="30" t="s">
        <v>457</v>
      </c>
      <c r="H179" s="30" t="s">
        <v>692</v>
      </c>
      <c r="I179" s="30"/>
      <c r="J179" s="31">
        <f t="shared" si="11"/>
        <v>28</v>
      </c>
      <c r="K179" s="146" t="s">
        <v>1789</v>
      </c>
      <c r="L179" s="31">
        <f t="shared" si="12"/>
        <v>0</v>
      </c>
      <c r="M179" s="32">
        <f t="shared" si="13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190</v>
      </c>
      <c r="B180" t="s">
        <v>192</v>
      </c>
      <c r="C180" t="s">
        <v>1056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1"/>
        <v>28</v>
      </c>
      <c r="K180" s="146"/>
      <c r="L180" s="31">
        <f t="shared" si="12"/>
        <v>0</v>
      </c>
      <c r="M180" s="32">
        <f t="shared" si="13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190</v>
      </c>
      <c r="B181" t="s">
        <v>207</v>
      </c>
      <c r="C181" t="s">
        <v>1056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1"/>
        <v>28</v>
      </c>
      <c r="K181" s="146" t="s">
        <v>1790</v>
      </c>
      <c r="L181" s="31">
        <f t="shared" si="12"/>
        <v>0</v>
      </c>
      <c r="M181" s="32">
        <f t="shared" si="13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190</v>
      </c>
      <c r="B182" t="s">
        <v>209</v>
      </c>
      <c r="C182" t="s">
        <v>1056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1"/>
        <v>28</v>
      </c>
      <c r="K182" s="146" t="s">
        <v>1791</v>
      </c>
      <c r="L182" s="31">
        <f t="shared" si="12"/>
        <v>0</v>
      </c>
      <c r="M182" s="32">
        <f t="shared" si="13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190</v>
      </c>
      <c r="B183" t="s">
        <v>210</v>
      </c>
      <c r="C183" t="s">
        <v>1056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1"/>
        <v>28</v>
      </c>
      <c r="K183" s="146" t="s">
        <v>1792</v>
      </c>
      <c r="L183" s="31">
        <f t="shared" si="12"/>
        <v>0</v>
      </c>
      <c r="M183" s="32">
        <f t="shared" si="13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190</v>
      </c>
      <c r="B184" t="s">
        <v>212</v>
      </c>
      <c r="C184" t="s">
        <v>1056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1"/>
        <v>28</v>
      </c>
      <c r="K184" s="146" t="s">
        <v>1793</v>
      </c>
      <c r="L184" s="31">
        <f t="shared" si="12"/>
        <v>0</v>
      </c>
      <c r="M184" s="32">
        <f t="shared" si="13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190</v>
      </c>
      <c r="B185" s="30" t="s">
        <v>1163</v>
      </c>
      <c r="C185" s="30" t="s">
        <v>1056</v>
      </c>
      <c r="D185" t="s">
        <v>1146</v>
      </c>
      <c r="E185" s="30" t="s">
        <v>1107</v>
      </c>
      <c r="F185" s="30" t="s">
        <v>27</v>
      </c>
      <c r="G185" s="30"/>
      <c r="H185" s="30" t="s">
        <v>1147</v>
      </c>
      <c r="I185" s="30"/>
      <c r="J185" s="31">
        <f t="shared" si="11"/>
        <v>28</v>
      </c>
      <c r="K185" s="146" t="s">
        <v>1794</v>
      </c>
      <c r="L185" s="31">
        <f t="shared" si="12"/>
        <v>0</v>
      </c>
      <c r="M185" s="32">
        <f t="shared" si="13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190</v>
      </c>
      <c r="B186" s="30" t="s">
        <v>1162</v>
      </c>
      <c r="C186" s="30" t="s">
        <v>1056</v>
      </c>
      <c r="D186" t="s">
        <v>1146</v>
      </c>
      <c r="E186" s="30" t="s">
        <v>1107</v>
      </c>
      <c r="F186" s="30" t="s">
        <v>27</v>
      </c>
      <c r="G186" s="30"/>
      <c r="H186" s="30" t="s">
        <v>1148</v>
      </c>
      <c r="I186" s="30"/>
      <c r="J186" s="31">
        <f t="shared" si="11"/>
        <v>28</v>
      </c>
      <c r="K186" s="146" t="s">
        <v>1795</v>
      </c>
      <c r="L186" s="31">
        <f t="shared" si="12"/>
        <v>0</v>
      </c>
      <c r="M186" s="32">
        <f t="shared" si="13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1165</v>
      </c>
      <c r="C187" s="30" t="s">
        <v>1056</v>
      </c>
      <c r="D187" t="s">
        <v>1143</v>
      </c>
      <c r="E187" s="30" t="s">
        <v>72</v>
      </c>
      <c r="F187" s="30" t="s">
        <v>27</v>
      </c>
      <c r="G187" s="30"/>
      <c r="H187" s="30" t="s">
        <v>1144</v>
      </c>
      <c r="I187" s="30"/>
      <c r="J187" s="31">
        <f t="shared" si="11"/>
        <v>25</v>
      </c>
      <c r="K187" s="146" t="s">
        <v>1796</v>
      </c>
      <c r="L187" s="31">
        <f t="shared" si="12"/>
        <v>3</v>
      </c>
      <c r="M187" s="32">
        <f t="shared" si="13"/>
        <v>0.8928571428571429</v>
      </c>
      <c r="N187" s="70" t="s">
        <v>2245</v>
      </c>
      <c r="O187" s="70"/>
      <c r="P187" s="70"/>
      <c r="Q187" s="70"/>
      <c r="R187" s="70"/>
      <c r="S187" s="70" t="s">
        <v>2245</v>
      </c>
      <c r="T187" s="70" t="s">
        <v>2245</v>
      </c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1166</v>
      </c>
      <c r="C188" s="30" t="s">
        <v>1056</v>
      </c>
      <c r="D188" t="s">
        <v>1143</v>
      </c>
      <c r="E188" s="30" t="s">
        <v>72</v>
      </c>
      <c r="F188" s="30" t="s">
        <v>27</v>
      </c>
      <c r="G188" s="30"/>
      <c r="H188" s="30" t="s">
        <v>1145</v>
      </c>
      <c r="I188" s="30"/>
      <c r="J188" s="31">
        <f t="shared" si="11"/>
        <v>25</v>
      </c>
      <c r="K188" s="146" t="s">
        <v>1797</v>
      </c>
      <c r="L188" s="31">
        <f t="shared" si="12"/>
        <v>3</v>
      </c>
      <c r="M188" s="32">
        <f t="shared" si="13"/>
        <v>0.8928571428571429</v>
      </c>
      <c r="N188" s="70" t="s">
        <v>2245</v>
      </c>
      <c r="O188" s="70"/>
      <c r="P188" s="70"/>
      <c r="Q188" s="70"/>
      <c r="R188" s="70"/>
      <c r="S188" s="70" t="s">
        <v>2245</v>
      </c>
      <c r="T188" s="70" t="s">
        <v>2245</v>
      </c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1501</v>
      </c>
      <c r="C189" s="30" t="s">
        <v>1056</v>
      </c>
      <c r="D189" t="s">
        <v>1502</v>
      </c>
      <c r="E189" s="30" t="s">
        <v>18</v>
      </c>
      <c r="F189" s="30" t="s">
        <v>27</v>
      </c>
      <c r="G189" s="30"/>
      <c r="H189" s="30" t="s">
        <v>1503</v>
      </c>
      <c r="I189" s="30"/>
      <c r="J189" s="31">
        <f t="shared" si="11"/>
        <v>26</v>
      </c>
      <c r="K189" s="146"/>
      <c r="L189" s="31">
        <f t="shared" si="12"/>
        <v>2</v>
      </c>
      <c r="M189" s="32">
        <f t="shared" si="13"/>
        <v>0.9285714285714286</v>
      </c>
      <c r="N189" s="70"/>
      <c r="O189" s="70"/>
      <c r="P189" s="70"/>
      <c r="Q189" s="70"/>
      <c r="R189" s="70"/>
      <c r="S189" s="70" t="s">
        <v>2245</v>
      </c>
      <c r="T189" s="70" t="s">
        <v>2245</v>
      </c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190</v>
      </c>
      <c r="B190" s="85" t="s">
        <v>1540</v>
      </c>
      <c r="C190" s="85" t="s">
        <v>1056</v>
      </c>
      <c r="D190" s="73" t="s">
        <v>1541</v>
      </c>
      <c r="E190" s="85" t="s">
        <v>18</v>
      </c>
      <c r="F190" s="85" t="s">
        <v>1294</v>
      </c>
      <c r="G190" s="85"/>
      <c r="H190" s="85" t="s">
        <v>1542</v>
      </c>
      <c r="I190" s="85"/>
      <c r="J190" s="31">
        <f t="shared" si="11"/>
        <v>28</v>
      </c>
      <c r="K190" s="146" t="s">
        <v>1798</v>
      </c>
      <c r="L190" s="31">
        <f t="shared" si="12"/>
        <v>0</v>
      </c>
      <c r="M190" s="32">
        <f t="shared" si="13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190</v>
      </c>
      <c r="B191" s="85" t="s">
        <v>2271</v>
      </c>
      <c r="C191" s="85" t="s">
        <v>1056</v>
      </c>
      <c r="D191" s="73" t="s">
        <v>2272</v>
      </c>
      <c r="E191" s="85" t="s">
        <v>1107</v>
      </c>
      <c r="F191" s="85" t="s">
        <v>1294</v>
      </c>
      <c r="G191" s="85"/>
      <c r="H191" s="85" t="s">
        <v>2273</v>
      </c>
      <c r="I191" s="85"/>
      <c r="J191" s="31">
        <f t="shared" si="11"/>
        <v>28</v>
      </c>
      <c r="K191" s="146"/>
      <c r="L191" s="31">
        <f t="shared" si="12"/>
        <v>0</v>
      </c>
      <c r="M191" s="32">
        <f t="shared" si="13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190</v>
      </c>
      <c r="B192" s="85" t="s">
        <v>2143</v>
      </c>
      <c r="C192" s="85" t="s">
        <v>1056</v>
      </c>
      <c r="D192" s="73" t="s">
        <v>2144</v>
      </c>
      <c r="E192" s="85" t="s">
        <v>18</v>
      </c>
      <c r="F192" s="85" t="s">
        <v>1294</v>
      </c>
      <c r="G192" s="85"/>
      <c r="H192" s="85" t="s">
        <v>2145</v>
      </c>
      <c r="I192" s="85"/>
      <c r="J192" s="31">
        <f t="shared" si="11"/>
        <v>28</v>
      </c>
      <c r="K192" s="146" t="s">
        <v>2146</v>
      </c>
      <c r="L192" s="31">
        <f t="shared" si="12"/>
        <v>0</v>
      </c>
      <c r="M192" s="32">
        <f t="shared" si="13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190</v>
      </c>
      <c r="B193" s="85" t="s">
        <v>2201</v>
      </c>
      <c r="C193" s="85" t="s">
        <v>1056</v>
      </c>
      <c r="D193" s="73" t="s">
        <v>2202</v>
      </c>
      <c r="E193" s="85" t="s">
        <v>18</v>
      </c>
      <c r="F193" s="85" t="s">
        <v>1294</v>
      </c>
      <c r="G193" s="85"/>
      <c r="H193" s="85" t="s">
        <v>2300</v>
      </c>
      <c r="I193" s="85"/>
      <c r="J193" s="31">
        <f t="shared" si="11"/>
        <v>28</v>
      </c>
      <c r="K193" s="146" t="s">
        <v>2146</v>
      </c>
      <c r="L193" s="31">
        <f t="shared" si="12"/>
        <v>0</v>
      </c>
      <c r="M193" s="32">
        <f t="shared" si="13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2246</v>
      </c>
      <c r="C194" s="85" t="s">
        <v>1056</v>
      </c>
      <c r="D194" s="73" t="s">
        <v>1522</v>
      </c>
      <c r="E194" s="85" t="s">
        <v>1107</v>
      </c>
      <c r="F194" s="85" t="s">
        <v>1523</v>
      </c>
      <c r="G194" s="85"/>
      <c r="H194" s="85" t="s">
        <v>1524</v>
      </c>
      <c r="I194" s="85"/>
      <c r="J194" s="31">
        <f t="shared" si="11"/>
        <v>28</v>
      </c>
      <c r="K194" s="146" t="s">
        <v>1799</v>
      </c>
      <c r="L194" s="31">
        <f t="shared" si="12"/>
        <v>0</v>
      </c>
      <c r="M194" s="32">
        <f t="shared" si="13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213</v>
      </c>
      <c r="B195" t="s">
        <v>942</v>
      </c>
      <c r="C195" t="s">
        <v>1056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1"/>
        <v>28</v>
      </c>
      <c r="K195" s="146" t="s">
        <v>1800</v>
      </c>
      <c r="L195" s="31">
        <f t="shared" si="12"/>
        <v>0</v>
      </c>
      <c r="M195" s="32">
        <f t="shared" si="13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213</v>
      </c>
      <c r="B196" t="s">
        <v>943</v>
      </c>
      <c r="C196" t="s">
        <v>1056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1"/>
        <v>28</v>
      </c>
      <c r="K196" s="146" t="s">
        <v>1801</v>
      </c>
      <c r="L196" s="31">
        <f t="shared" si="12"/>
        <v>0</v>
      </c>
      <c r="M196" s="32">
        <f t="shared" si="13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216</v>
      </c>
      <c r="B197" s="69" t="s">
        <v>944</v>
      </c>
      <c r="C197" s="69" t="s">
        <v>1056</v>
      </c>
      <c r="D197" s="69" t="s">
        <v>217</v>
      </c>
      <c r="E197" s="147" t="s">
        <v>18</v>
      </c>
      <c r="F197" s="147" t="s">
        <v>27</v>
      </c>
      <c r="G197" s="86"/>
      <c r="H197" s="147" t="s">
        <v>699</v>
      </c>
      <c r="I197" s="147"/>
      <c r="J197" s="137">
        <f t="shared" si="11"/>
        <v>25</v>
      </c>
      <c r="K197" s="146"/>
      <c r="L197" s="137">
        <f t="shared" si="12"/>
        <v>3</v>
      </c>
      <c r="M197" s="138">
        <f t="shared" si="13"/>
        <v>0.8928571428571429</v>
      </c>
      <c r="N197" s="70" t="s">
        <v>2245</v>
      </c>
      <c r="O197" s="139"/>
      <c r="P197" s="139"/>
      <c r="Q197" s="139"/>
      <c r="R197" s="139"/>
      <c r="S197" s="70" t="s">
        <v>2245</v>
      </c>
      <c r="T197" s="70" t="s">
        <v>2245</v>
      </c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thickBot="1" x14ac:dyDescent="0.3">
      <c r="A198" s="73" t="s">
        <v>228</v>
      </c>
      <c r="B198" s="73" t="s">
        <v>229</v>
      </c>
      <c r="C198" s="73" t="s">
        <v>1055</v>
      </c>
      <c r="D198" s="73" t="s">
        <v>230</v>
      </c>
      <c r="E198" s="85" t="s">
        <v>14</v>
      </c>
      <c r="F198" s="85" t="s">
        <v>1294</v>
      </c>
      <c r="G198" s="85"/>
      <c r="H198" s="85" t="s">
        <v>1383</v>
      </c>
      <c r="I198" s="85"/>
      <c r="J198" s="141">
        <f t="shared" si="11"/>
        <v>28</v>
      </c>
      <c r="K198" s="146" t="s">
        <v>1802</v>
      </c>
      <c r="L198" s="141">
        <f t="shared" si="12"/>
        <v>0</v>
      </c>
      <c r="M198" s="142">
        <f t="shared" si="13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167</v>
      </c>
      <c r="B199" s="73" t="s">
        <v>231</v>
      </c>
      <c r="C199" s="73" t="s">
        <v>1055</v>
      </c>
      <c r="D199" s="73" t="s">
        <v>232</v>
      </c>
      <c r="E199" s="85" t="s">
        <v>18</v>
      </c>
      <c r="F199" s="85" t="s">
        <v>1294</v>
      </c>
      <c r="G199" s="85"/>
      <c r="H199" s="85" t="s">
        <v>1418</v>
      </c>
      <c r="I199" s="85"/>
      <c r="J199" s="141">
        <f t="shared" si="11"/>
        <v>25</v>
      </c>
      <c r="K199" s="146" t="s">
        <v>1803</v>
      </c>
      <c r="L199" s="141">
        <f t="shared" si="12"/>
        <v>3</v>
      </c>
      <c r="M199" s="142">
        <f t="shared" si="13"/>
        <v>0.8928571428571429</v>
      </c>
      <c r="N199" s="70" t="s">
        <v>2245</v>
      </c>
      <c r="O199" s="70"/>
      <c r="P199" s="70"/>
      <c r="Q199" s="70"/>
      <c r="R199" s="70"/>
      <c r="S199" s="70" t="s">
        <v>2245</v>
      </c>
      <c r="T199" s="70" t="s">
        <v>2245</v>
      </c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9"/>
    </row>
    <row r="200" spans="1:43" ht="15.75" thickBot="1" x14ac:dyDescent="0.3">
      <c r="A200" t="s">
        <v>218</v>
      </c>
      <c r="B200" t="s">
        <v>233</v>
      </c>
      <c r="C200" t="s">
        <v>1055</v>
      </c>
      <c r="D200" t="s">
        <v>234</v>
      </c>
      <c r="E200" s="30" t="s">
        <v>18</v>
      </c>
      <c r="F200" s="30" t="s">
        <v>1049</v>
      </c>
      <c r="G200" s="30"/>
      <c r="H200" s="30" t="s">
        <v>1400</v>
      </c>
      <c r="I200" s="30"/>
      <c r="J200" s="31">
        <f t="shared" si="11"/>
        <v>28</v>
      </c>
      <c r="K200" s="146" t="s">
        <v>1804</v>
      </c>
      <c r="L200" s="31">
        <f t="shared" si="12"/>
        <v>0</v>
      </c>
      <c r="M200" s="32">
        <f t="shared" si="13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218</v>
      </c>
      <c r="B201" t="s">
        <v>235</v>
      </c>
      <c r="C201" t="s">
        <v>1055</v>
      </c>
      <c r="D201" t="s">
        <v>236</v>
      </c>
      <c r="E201" s="30" t="s">
        <v>18</v>
      </c>
      <c r="F201" s="30" t="s">
        <v>1049</v>
      </c>
      <c r="G201" s="30"/>
      <c r="H201" s="30" t="s">
        <v>2301</v>
      </c>
      <c r="I201" s="30"/>
      <c r="J201" s="31">
        <f t="shared" si="11"/>
        <v>26</v>
      </c>
      <c r="K201" s="146" t="s">
        <v>1805</v>
      </c>
      <c r="L201" s="31">
        <f t="shared" si="12"/>
        <v>2</v>
      </c>
      <c r="M201" s="32">
        <f t="shared" si="13"/>
        <v>0.9285714285714286</v>
      </c>
      <c r="N201" s="70"/>
      <c r="O201" s="70"/>
      <c r="P201" s="70"/>
      <c r="Q201" s="70"/>
      <c r="R201" s="70"/>
      <c r="S201" s="70" t="s">
        <v>2245</v>
      </c>
      <c r="T201" s="70" t="s">
        <v>2245</v>
      </c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9"/>
    </row>
    <row r="202" spans="1:43" ht="15.75" thickBot="1" x14ac:dyDescent="0.3">
      <c r="A202" t="s">
        <v>218</v>
      </c>
      <c r="B202" t="s">
        <v>237</v>
      </c>
      <c r="C202" t="s">
        <v>1055</v>
      </c>
      <c r="D202" t="s">
        <v>238</v>
      </c>
      <c r="E202" s="30" t="s">
        <v>18</v>
      </c>
      <c r="F202" s="30" t="s">
        <v>1049</v>
      </c>
      <c r="G202" s="30"/>
      <c r="H202" s="30" t="s">
        <v>2302</v>
      </c>
      <c r="I202" s="30"/>
      <c r="J202" s="31">
        <f t="shared" si="11"/>
        <v>28</v>
      </c>
      <c r="K202" s="146" t="s">
        <v>1806</v>
      </c>
      <c r="L202" s="31">
        <f t="shared" si="12"/>
        <v>0</v>
      </c>
      <c r="M202" s="32">
        <f t="shared" si="13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218</v>
      </c>
      <c r="B203" t="s">
        <v>239</v>
      </c>
      <c r="C203" t="s">
        <v>1055</v>
      </c>
      <c r="D203" t="s">
        <v>240</v>
      </c>
      <c r="E203" s="30" t="s">
        <v>14</v>
      </c>
      <c r="F203" s="30" t="s">
        <v>1294</v>
      </c>
      <c r="G203" s="30"/>
      <c r="H203" s="30" t="s">
        <v>2287</v>
      </c>
      <c r="I203" s="30"/>
      <c r="J203" s="31">
        <f t="shared" si="11"/>
        <v>25</v>
      </c>
      <c r="K203" s="146"/>
      <c r="L203" s="31">
        <f t="shared" si="12"/>
        <v>3</v>
      </c>
      <c r="M203" s="32">
        <f t="shared" si="13"/>
        <v>0.8928571428571429</v>
      </c>
      <c r="N203" s="70" t="s">
        <v>2245</v>
      </c>
      <c r="O203" s="149"/>
      <c r="P203" s="149"/>
      <c r="Q203" s="149"/>
      <c r="R203" s="149"/>
      <c r="S203" s="70" t="s">
        <v>2245</v>
      </c>
      <c r="T203" s="70" t="s">
        <v>2245</v>
      </c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39"/>
    </row>
    <row r="204" spans="1:43" s="73" customFormat="1" ht="15.75" thickBot="1" x14ac:dyDescent="0.3">
      <c r="A204" s="73" t="s">
        <v>218</v>
      </c>
      <c r="B204" s="73" t="s">
        <v>219</v>
      </c>
      <c r="C204" s="73" t="s">
        <v>1055</v>
      </c>
      <c r="D204" s="73" t="s">
        <v>220</v>
      </c>
      <c r="E204" s="85" t="s">
        <v>14</v>
      </c>
      <c r="F204" s="85" t="s">
        <v>1294</v>
      </c>
      <c r="G204" s="85"/>
      <c r="H204" s="85" t="s">
        <v>1579</v>
      </c>
      <c r="I204" s="85"/>
      <c r="J204" s="141">
        <f t="shared" si="11"/>
        <v>28</v>
      </c>
      <c r="K204" s="146" t="s">
        <v>1807</v>
      </c>
      <c r="L204" s="141">
        <f t="shared" si="12"/>
        <v>0</v>
      </c>
      <c r="M204" s="142">
        <f t="shared" si="13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218</v>
      </c>
      <c r="B205" t="s">
        <v>949</v>
      </c>
      <c r="C205" t="s">
        <v>1055</v>
      </c>
      <c r="D205" t="s">
        <v>221</v>
      </c>
      <c r="E205" s="30" t="s">
        <v>14</v>
      </c>
      <c r="F205" s="30" t="s">
        <v>1294</v>
      </c>
      <c r="G205" s="30"/>
      <c r="H205" s="30" t="s">
        <v>1398</v>
      </c>
      <c r="I205" s="30"/>
      <c r="J205" s="31">
        <f t="shared" si="11"/>
        <v>26</v>
      </c>
      <c r="K205" s="146" t="s">
        <v>1808</v>
      </c>
      <c r="L205" s="31">
        <f t="shared" si="12"/>
        <v>2</v>
      </c>
      <c r="M205" s="32">
        <f t="shared" si="13"/>
        <v>0.9285714285714286</v>
      </c>
      <c r="N205" s="70"/>
      <c r="O205" s="70"/>
      <c r="P205" s="70"/>
      <c r="Q205" s="70"/>
      <c r="R205" s="70"/>
      <c r="S205" s="70" t="s">
        <v>2245</v>
      </c>
      <c r="T205" s="70" t="s">
        <v>2245</v>
      </c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218</v>
      </c>
      <c r="B206" t="s">
        <v>950</v>
      </c>
      <c r="C206" t="s">
        <v>1055</v>
      </c>
      <c r="D206" t="s">
        <v>222</v>
      </c>
      <c r="E206" s="30" t="s">
        <v>14</v>
      </c>
      <c r="F206" s="30" t="s">
        <v>1049</v>
      </c>
      <c r="G206" s="30"/>
      <c r="H206" s="30" t="s">
        <v>1205</v>
      </c>
      <c r="I206" s="30"/>
      <c r="J206" s="31">
        <f t="shared" si="11"/>
        <v>28</v>
      </c>
      <c r="K206" s="146" t="s">
        <v>1809</v>
      </c>
      <c r="L206" s="31">
        <f t="shared" si="12"/>
        <v>0</v>
      </c>
      <c r="M206" s="32">
        <f t="shared" si="13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218</v>
      </c>
      <c r="B207" s="73" t="s">
        <v>223</v>
      </c>
      <c r="C207" s="73" t="s">
        <v>1055</v>
      </c>
      <c r="D207" s="73" t="s">
        <v>224</v>
      </c>
      <c r="E207" s="85" t="s">
        <v>14</v>
      </c>
      <c r="F207" s="85" t="s">
        <v>1294</v>
      </c>
      <c r="G207" s="85"/>
      <c r="H207" s="85" t="s">
        <v>1397</v>
      </c>
      <c r="I207" s="85"/>
      <c r="J207" s="141">
        <f t="shared" si="11"/>
        <v>26</v>
      </c>
      <c r="K207" s="146" t="s">
        <v>1810</v>
      </c>
      <c r="L207" s="141">
        <f t="shared" si="12"/>
        <v>2</v>
      </c>
      <c r="M207" s="142">
        <f t="shared" si="13"/>
        <v>0.9285714285714286</v>
      </c>
      <c r="N207" s="70"/>
      <c r="O207" s="70"/>
      <c r="P207" s="70"/>
      <c r="Q207" s="70"/>
      <c r="R207" s="70"/>
      <c r="S207" s="70" t="s">
        <v>2245</v>
      </c>
      <c r="T207" s="70" t="s">
        <v>2245</v>
      </c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218</v>
      </c>
      <c r="B208" t="s">
        <v>241</v>
      </c>
      <c r="C208" t="s">
        <v>1055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1"/>
        <v>28</v>
      </c>
      <c r="K208" s="146" t="s">
        <v>1811</v>
      </c>
      <c r="L208" s="31">
        <f t="shared" si="12"/>
        <v>0</v>
      </c>
      <c r="M208" s="32">
        <f t="shared" si="13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218</v>
      </c>
      <c r="B209" t="s">
        <v>225</v>
      </c>
      <c r="C209" t="s">
        <v>1055</v>
      </c>
      <c r="D209" t="s">
        <v>226</v>
      </c>
      <c r="E209" s="30" t="s">
        <v>72</v>
      </c>
      <c r="F209" s="30" t="s">
        <v>1049</v>
      </c>
      <c r="G209" s="30" t="s">
        <v>1242</v>
      </c>
      <c r="H209" s="30" t="s">
        <v>701</v>
      </c>
      <c r="I209" s="30"/>
      <c r="J209" s="31">
        <f t="shared" si="11"/>
        <v>28</v>
      </c>
      <c r="K209" s="146" t="s">
        <v>1812</v>
      </c>
      <c r="L209" s="31">
        <f t="shared" si="12"/>
        <v>0</v>
      </c>
      <c r="M209" s="32">
        <f t="shared" si="13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218</v>
      </c>
      <c r="B210" t="s">
        <v>227</v>
      </c>
      <c r="C210" t="s">
        <v>1055</v>
      </c>
      <c r="D210" t="s">
        <v>226</v>
      </c>
      <c r="E210" s="30" t="s">
        <v>72</v>
      </c>
      <c r="F210" s="30" t="s">
        <v>1049</v>
      </c>
      <c r="G210" s="30" t="s">
        <v>1242</v>
      </c>
      <c r="H210" s="30" t="s">
        <v>702</v>
      </c>
      <c r="I210" s="30"/>
      <c r="J210" s="31">
        <f t="shared" si="11"/>
        <v>28</v>
      </c>
      <c r="K210" s="146" t="s">
        <v>1813</v>
      </c>
      <c r="L210" s="31">
        <f t="shared" si="12"/>
        <v>0</v>
      </c>
      <c r="M210" s="32">
        <f t="shared" si="13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218</v>
      </c>
      <c r="B211" t="s">
        <v>945</v>
      </c>
      <c r="C211" t="s">
        <v>1055</v>
      </c>
      <c r="D211" t="s">
        <v>243</v>
      </c>
      <c r="E211" s="30" t="s">
        <v>72</v>
      </c>
      <c r="F211" s="30" t="s">
        <v>1049</v>
      </c>
      <c r="G211" s="30" t="s">
        <v>1242</v>
      </c>
      <c r="H211" s="30" t="s">
        <v>703</v>
      </c>
      <c r="I211" s="30"/>
      <c r="J211" s="31">
        <f t="shared" si="11"/>
        <v>28</v>
      </c>
      <c r="K211" s="146" t="s">
        <v>1814</v>
      </c>
      <c r="L211" s="31">
        <f t="shared" si="12"/>
        <v>0</v>
      </c>
      <c r="M211" s="32">
        <f t="shared" si="13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218</v>
      </c>
      <c r="B212" t="s">
        <v>946</v>
      </c>
      <c r="C212" t="s">
        <v>1055</v>
      </c>
      <c r="D212" t="s">
        <v>243</v>
      </c>
      <c r="E212" s="30" t="s">
        <v>72</v>
      </c>
      <c r="F212" s="30" t="s">
        <v>1049</v>
      </c>
      <c r="G212" s="30" t="s">
        <v>1242</v>
      </c>
      <c r="H212" s="30" t="s">
        <v>704</v>
      </c>
      <c r="I212" s="30"/>
      <c r="J212" s="31">
        <f t="shared" si="11"/>
        <v>28</v>
      </c>
      <c r="K212" s="146" t="s">
        <v>1815</v>
      </c>
      <c r="L212" s="31">
        <f t="shared" si="12"/>
        <v>0</v>
      </c>
      <c r="M212" s="32">
        <f t="shared" si="13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218</v>
      </c>
      <c r="B213" t="s">
        <v>947</v>
      </c>
      <c r="C213" t="s">
        <v>1055</v>
      </c>
      <c r="D213" t="s">
        <v>244</v>
      </c>
      <c r="E213" s="30" t="s">
        <v>72</v>
      </c>
      <c r="F213" s="30" t="s">
        <v>1049</v>
      </c>
      <c r="G213" s="30" t="s">
        <v>1242</v>
      </c>
      <c r="H213" s="30" t="s">
        <v>705</v>
      </c>
      <c r="I213" s="30"/>
      <c r="J213" s="31">
        <f t="shared" si="11"/>
        <v>28</v>
      </c>
      <c r="K213" s="146" t="s">
        <v>1816</v>
      </c>
      <c r="L213" s="31">
        <f t="shared" si="12"/>
        <v>0</v>
      </c>
      <c r="M213" s="32">
        <f t="shared" si="13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218</v>
      </c>
      <c r="B214" t="s">
        <v>948</v>
      </c>
      <c r="C214" t="s">
        <v>1055</v>
      </c>
      <c r="D214" t="s">
        <v>244</v>
      </c>
      <c r="E214" s="30" t="s">
        <v>72</v>
      </c>
      <c r="F214" s="30" t="s">
        <v>1049</v>
      </c>
      <c r="G214" s="30" t="s">
        <v>1242</v>
      </c>
      <c r="H214" s="30" t="s">
        <v>706</v>
      </c>
      <c r="I214" s="30"/>
      <c r="J214" s="31">
        <f t="shared" si="11"/>
        <v>28</v>
      </c>
      <c r="K214" s="146" t="s">
        <v>1674</v>
      </c>
      <c r="L214" s="31">
        <f t="shared" si="12"/>
        <v>0</v>
      </c>
      <c r="M214" s="32">
        <f t="shared" si="13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218</v>
      </c>
      <c r="B215" s="73" t="s">
        <v>1223</v>
      </c>
      <c r="C215" s="73" t="s">
        <v>1055</v>
      </c>
      <c r="D215" s="73" t="s">
        <v>1222</v>
      </c>
      <c r="E215" s="73" t="s">
        <v>18</v>
      </c>
      <c r="F215" s="73" t="s">
        <v>1294</v>
      </c>
      <c r="H215" s="85" t="s">
        <v>1232</v>
      </c>
      <c r="I215" s="85"/>
      <c r="J215" s="141">
        <f t="shared" si="11"/>
        <v>25</v>
      </c>
      <c r="K215" s="146" t="s">
        <v>1817</v>
      </c>
      <c r="L215" s="141">
        <f t="shared" si="12"/>
        <v>3</v>
      </c>
      <c r="M215" s="142">
        <f t="shared" si="13"/>
        <v>0.8928571428571429</v>
      </c>
      <c r="N215" s="70" t="s">
        <v>2245</v>
      </c>
      <c r="O215" s="70"/>
      <c r="P215" s="70"/>
      <c r="Q215" s="70"/>
      <c r="R215" s="70"/>
      <c r="S215" s="70" t="s">
        <v>2245</v>
      </c>
      <c r="T215" s="70" t="s">
        <v>2245</v>
      </c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9"/>
    </row>
    <row r="216" spans="1:43" s="73" customFormat="1" ht="15.75" thickBot="1" x14ac:dyDescent="0.3">
      <c r="A216" s="73" t="s">
        <v>218</v>
      </c>
      <c r="B216" s="73" t="s">
        <v>1576</v>
      </c>
      <c r="C216" s="73" t="s">
        <v>1055</v>
      </c>
      <c r="D216" s="73" t="s">
        <v>1577</v>
      </c>
      <c r="E216" s="85" t="s">
        <v>72</v>
      </c>
      <c r="F216" s="85" t="s">
        <v>1294</v>
      </c>
      <c r="H216" s="85" t="s">
        <v>1578</v>
      </c>
      <c r="I216" s="85"/>
      <c r="J216" s="141">
        <f t="shared" si="11"/>
        <v>28</v>
      </c>
      <c r="K216" s="146" t="s">
        <v>1818</v>
      </c>
      <c r="L216" s="141">
        <f t="shared" si="12"/>
        <v>0</v>
      </c>
      <c r="M216" s="142">
        <f t="shared" si="13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218</v>
      </c>
      <c r="B217" s="73" t="s">
        <v>2178</v>
      </c>
      <c r="C217" s="73" t="s">
        <v>1055</v>
      </c>
      <c r="D217" s="73" t="s">
        <v>2179</v>
      </c>
      <c r="E217" s="85" t="s">
        <v>72</v>
      </c>
      <c r="F217" s="85" t="s">
        <v>1294</v>
      </c>
      <c r="H217" s="85" t="s">
        <v>2180</v>
      </c>
      <c r="I217" s="85"/>
      <c r="J217" s="141">
        <f t="shared" si="11"/>
        <v>28</v>
      </c>
      <c r="K217" s="146" t="s">
        <v>2181</v>
      </c>
      <c r="L217" s="141">
        <f t="shared" si="12"/>
        <v>0</v>
      </c>
      <c r="M217" s="142">
        <f t="shared" si="13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100</v>
      </c>
      <c r="B218" t="s">
        <v>245</v>
      </c>
      <c r="C218" t="s">
        <v>1055</v>
      </c>
      <c r="D218" t="s">
        <v>246</v>
      </c>
      <c r="E218" s="30" t="s">
        <v>14</v>
      </c>
      <c r="F218" s="30" t="s">
        <v>1049</v>
      </c>
      <c r="G218" s="30" t="s">
        <v>44</v>
      </c>
      <c r="H218" s="30" t="s">
        <v>707</v>
      </c>
      <c r="I218" s="30"/>
      <c r="J218" s="31">
        <f t="shared" si="11"/>
        <v>28</v>
      </c>
      <c r="K218" s="146" t="s">
        <v>1819</v>
      </c>
      <c r="L218" s="31">
        <f t="shared" si="12"/>
        <v>0</v>
      </c>
      <c r="M218" s="32">
        <f t="shared" si="13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100</v>
      </c>
      <c r="B219" s="73" t="s">
        <v>247</v>
      </c>
      <c r="C219" s="73" t="s">
        <v>1055</v>
      </c>
      <c r="D219" s="73" t="s">
        <v>248</v>
      </c>
      <c r="E219" s="85" t="s">
        <v>14</v>
      </c>
      <c r="F219" s="85" t="s">
        <v>1294</v>
      </c>
      <c r="G219" s="85" t="s">
        <v>44</v>
      </c>
      <c r="H219" s="85" t="s">
        <v>708</v>
      </c>
      <c r="I219" s="85"/>
      <c r="J219" s="141">
        <f t="shared" si="11"/>
        <v>25</v>
      </c>
      <c r="K219" s="146" t="s">
        <v>1820</v>
      </c>
      <c r="L219" s="141">
        <f t="shared" si="12"/>
        <v>3</v>
      </c>
      <c r="M219" s="142">
        <f t="shared" si="13"/>
        <v>0.8928571428571429</v>
      </c>
      <c r="N219" s="70" t="s">
        <v>2245</v>
      </c>
      <c r="O219" s="70"/>
      <c r="P219" s="70"/>
      <c r="Q219" s="70"/>
      <c r="R219" s="70"/>
      <c r="S219" s="70" t="s">
        <v>2245</v>
      </c>
      <c r="T219" s="70" t="s">
        <v>2245</v>
      </c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9"/>
    </row>
    <row r="220" spans="1:43" s="73" customFormat="1" ht="15.75" thickBot="1" x14ac:dyDescent="0.3">
      <c r="A220" s="73" t="s">
        <v>100</v>
      </c>
      <c r="B220" s="73" t="s">
        <v>249</v>
      </c>
      <c r="C220" s="73" t="s">
        <v>1055</v>
      </c>
      <c r="D220" s="73" t="s">
        <v>250</v>
      </c>
      <c r="E220" s="85" t="s">
        <v>14</v>
      </c>
      <c r="F220" s="85" t="s">
        <v>1294</v>
      </c>
      <c r="G220" s="85" t="s">
        <v>44</v>
      </c>
      <c r="H220" s="85" t="s">
        <v>2295</v>
      </c>
      <c r="I220" s="85"/>
      <c r="J220" s="141">
        <f t="shared" si="11"/>
        <v>28</v>
      </c>
      <c r="K220" s="146" t="s">
        <v>1821</v>
      </c>
      <c r="L220" s="141">
        <f t="shared" si="12"/>
        <v>0</v>
      </c>
      <c r="M220" s="142">
        <f t="shared" si="13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100</v>
      </c>
      <c r="B221" t="s">
        <v>1505</v>
      </c>
      <c r="C221" t="s">
        <v>1055</v>
      </c>
      <c r="D221" t="s">
        <v>1506</v>
      </c>
      <c r="E221" s="30" t="s">
        <v>14</v>
      </c>
      <c r="F221" s="30" t="s">
        <v>27</v>
      </c>
      <c r="G221" s="30"/>
      <c r="H221" s="30" t="s">
        <v>1507</v>
      </c>
      <c r="I221" s="30"/>
      <c r="J221" s="141">
        <f t="shared" si="11"/>
        <v>28</v>
      </c>
      <c r="K221" s="146" t="s">
        <v>1822</v>
      </c>
      <c r="L221" s="141">
        <f t="shared" si="12"/>
        <v>0</v>
      </c>
      <c r="M221" s="142">
        <f t="shared" si="13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100</v>
      </c>
      <c r="B222" t="s">
        <v>2233</v>
      </c>
      <c r="C222" t="s">
        <v>1055</v>
      </c>
      <c r="D222" t="s">
        <v>2234</v>
      </c>
      <c r="E222" s="30" t="s">
        <v>14</v>
      </c>
      <c r="F222" s="85" t="s">
        <v>1294</v>
      </c>
      <c r="G222" s="30"/>
      <c r="H222" s="30" t="s">
        <v>2235</v>
      </c>
      <c r="I222" s="30"/>
      <c r="J222" s="141">
        <f t="shared" si="11"/>
        <v>28</v>
      </c>
      <c r="K222" s="146" t="s">
        <v>2236</v>
      </c>
      <c r="L222" s="141">
        <f t="shared" si="12"/>
        <v>0</v>
      </c>
      <c r="M222" s="142">
        <f t="shared" si="13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198</v>
      </c>
      <c r="B223" t="s">
        <v>1177</v>
      </c>
      <c r="C223" t="s">
        <v>1056</v>
      </c>
      <c r="D223" t="s">
        <v>1178</v>
      </c>
      <c r="E223" s="30" t="s">
        <v>72</v>
      </c>
      <c r="F223" s="30" t="s">
        <v>15</v>
      </c>
      <c r="G223" s="30"/>
      <c r="H223" s="30" t="s">
        <v>1263</v>
      </c>
      <c r="I223" s="30"/>
      <c r="J223" s="31">
        <f t="shared" si="11"/>
        <v>27</v>
      </c>
      <c r="K223" s="146"/>
      <c r="L223" s="31">
        <f t="shared" si="12"/>
        <v>1</v>
      </c>
      <c r="M223" s="32">
        <f t="shared" si="13"/>
        <v>0.9642857142857143</v>
      </c>
      <c r="N223" s="70" t="s">
        <v>2245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198</v>
      </c>
      <c r="B224" t="s">
        <v>1179</v>
      </c>
      <c r="C224" t="s">
        <v>1056</v>
      </c>
      <c r="D224" t="s">
        <v>1180</v>
      </c>
      <c r="E224" s="30" t="s">
        <v>72</v>
      </c>
      <c r="F224" s="30" t="s">
        <v>19</v>
      </c>
      <c r="G224" s="30"/>
      <c r="H224" s="30" t="s">
        <v>1264</v>
      </c>
      <c r="I224" s="30"/>
      <c r="J224" s="31">
        <f t="shared" si="11"/>
        <v>27</v>
      </c>
      <c r="K224" s="146"/>
      <c r="L224" s="31">
        <f t="shared" si="12"/>
        <v>1</v>
      </c>
      <c r="M224" s="32">
        <f t="shared" si="13"/>
        <v>0.9642857142857143</v>
      </c>
      <c r="N224" s="70" t="s">
        <v>2245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1432</v>
      </c>
      <c r="B225" t="s">
        <v>951</v>
      </c>
      <c r="C225" t="s">
        <v>1055</v>
      </c>
      <c r="D225" t="s">
        <v>1079</v>
      </c>
      <c r="E225" s="30" t="s">
        <v>18</v>
      </c>
      <c r="F225" s="30" t="s">
        <v>1049</v>
      </c>
      <c r="G225" s="30"/>
      <c r="H225" s="30" t="s">
        <v>2303</v>
      </c>
      <c r="I225" s="30"/>
      <c r="J225" s="31">
        <f t="shared" si="11"/>
        <v>28</v>
      </c>
      <c r="K225" s="146" t="s">
        <v>1823</v>
      </c>
      <c r="L225" s="31">
        <f t="shared" si="12"/>
        <v>0</v>
      </c>
      <c r="M225" s="32">
        <f t="shared" si="13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167</v>
      </c>
      <c r="B226" s="73" t="s">
        <v>251</v>
      </c>
      <c r="C226" s="73" t="s">
        <v>1055</v>
      </c>
      <c r="D226" s="73" t="s">
        <v>252</v>
      </c>
      <c r="E226" s="85" t="s">
        <v>18</v>
      </c>
      <c r="F226" s="85" t="s">
        <v>1294</v>
      </c>
      <c r="G226" s="85"/>
      <c r="H226" s="85" t="s">
        <v>1407</v>
      </c>
      <c r="I226" s="85"/>
      <c r="J226" s="141">
        <f t="shared" si="11"/>
        <v>28</v>
      </c>
      <c r="K226" s="146" t="s">
        <v>1824</v>
      </c>
      <c r="L226" s="141">
        <f t="shared" si="12"/>
        <v>0</v>
      </c>
      <c r="M226" s="142">
        <f t="shared" si="13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253</v>
      </c>
      <c r="B227" t="s">
        <v>254</v>
      </c>
      <c r="C227" t="s">
        <v>1055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1"/>
        <v>28</v>
      </c>
      <c r="K227" s="146" t="s">
        <v>1825</v>
      </c>
      <c r="L227" s="31">
        <f t="shared" si="12"/>
        <v>0</v>
      </c>
      <c r="M227" s="32">
        <f t="shared" si="13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253</v>
      </c>
      <c r="B228" t="s">
        <v>256</v>
      </c>
      <c r="C228" t="s">
        <v>1055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1"/>
        <v>28</v>
      </c>
      <c r="K228" s="146" t="s">
        <v>1826</v>
      </c>
      <c r="L228" s="31">
        <f t="shared" si="12"/>
        <v>0</v>
      </c>
      <c r="M228" s="32">
        <f t="shared" si="13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253</v>
      </c>
      <c r="B229" s="73" t="s">
        <v>1316</v>
      </c>
      <c r="C229" s="73" t="s">
        <v>1055</v>
      </c>
      <c r="D229" s="73" t="s">
        <v>1320</v>
      </c>
      <c r="E229" s="85" t="s">
        <v>14</v>
      </c>
      <c r="F229" s="85" t="s">
        <v>1294</v>
      </c>
      <c r="G229" s="85"/>
      <c r="H229" s="85" t="s">
        <v>1325</v>
      </c>
      <c r="I229" s="85"/>
      <c r="J229" s="141">
        <f t="shared" si="11"/>
        <v>28</v>
      </c>
      <c r="K229" s="146" t="s">
        <v>1827</v>
      </c>
      <c r="L229" s="141">
        <f t="shared" si="12"/>
        <v>0</v>
      </c>
      <c r="M229" s="142">
        <f t="shared" si="13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253</v>
      </c>
      <c r="B230" s="73" t="s">
        <v>1410</v>
      </c>
      <c r="C230" s="73" t="s">
        <v>1055</v>
      </c>
      <c r="D230" s="73" t="s">
        <v>1411</v>
      </c>
      <c r="E230" s="85" t="s">
        <v>14</v>
      </c>
      <c r="F230" s="85" t="s">
        <v>1294</v>
      </c>
      <c r="G230" s="85"/>
      <c r="H230" s="85" t="s">
        <v>1412</v>
      </c>
      <c r="I230" s="85"/>
      <c r="J230" s="141">
        <f t="shared" si="11"/>
        <v>28</v>
      </c>
      <c r="K230" s="146" t="s">
        <v>1828</v>
      </c>
      <c r="L230" s="141">
        <f t="shared" si="12"/>
        <v>0</v>
      </c>
      <c r="M230" s="142">
        <f t="shared" si="13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253</v>
      </c>
      <c r="B231" s="73" t="s">
        <v>1580</v>
      </c>
      <c r="C231" s="73" t="s">
        <v>1055</v>
      </c>
      <c r="D231" s="73" t="s">
        <v>1581</v>
      </c>
      <c r="E231" s="85" t="s">
        <v>14</v>
      </c>
      <c r="F231" s="85" t="s">
        <v>1294</v>
      </c>
      <c r="G231" s="85"/>
      <c r="H231" s="85" t="s">
        <v>1582</v>
      </c>
      <c r="I231" s="85"/>
      <c r="J231" s="141">
        <f t="shared" si="11"/>
        <v>28</v>
      </c>
      <c r="K231" s="146"/>
      <c r="L231" s="141">
        <f t="shared" si="12"/>
        <v>0</v>
      </c>
      <c r="M231" s="142">
        <f t="shared" si="13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253</v>
      </c>
      <c r="B232" s="73" t="s">
        <v>2247</v>
      </c>
      <c r="C232" s="73" t="s">
        <v>1055</v>
      </c>
      <c r="D232" s="73" t="s">
        <v>2248</v>
      </c>
      <c r="E232" s="85" t="s">
        <v>14</v>
      </c>
      <c r="F232" s="85" t="s">
        <v>1294</v>
      </c>
      <c r="G232" s="85"/>
      <c r="H232" s="85" t="s">
        <v>2304</v>
      </c>
      <c r="I232" s="85"/>
      <c r="J232" s="141">
        <f t="shared" si="11"/>
        <v>28</v>
      </c>
      <c r="K232" s="146" t="s">
        <v>2249</v>
      </c>
      <c r="L232" s="141">
        <f t="shared" si="12"/>
        <v>0</v>
      </c>
      <c r="M232" s="142">
        <f t="shared" si="13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257</v>
      </c>
      <c r="B233" s="73" t="s">
        <v>952</v>
      </c>
      <c r="C233" s="73" t="s">
        <v>1056</v>
      </c>
      <c r="D233" s="73" t="s">
        <v>258</v>
      </c>
      <c r="E233" s="85" t="s">
        <v>14</v>
      </c>
      <c r="F233" s="85" t="s">
        <v>1294</v>
      </c>
      <c r="G233" s="85"/>
      <c r="H233" s="85" t="s">
        <v>710</v>
      </c>
      <c r="I233" s="85"/>
      <c r="J233" s="141">
        <f t="shared" si="11"/>
        <v>26</v>
      </c>
      <c r="K233" s="146" t="s">
        <v>1829</v>
      </c>
      <c r="L233" s="141">
        <f t="shared" si="12"/>
        <v>2</v>
      </c>
      <c r="M233" s="142">
        <f t="shared" si="13"/>
        <v>0.9285714285714286</v>
      </c>
      <c r="N233" s="70"/>
      <c r="O233" s="70"/>
      <c r="P233" s="70"/>
      <c r="Q233" s="70"/>
      <c r="R233" s="70"/>
      <c r="S233" s="70" t="s">
        <v>2245</v>
      </c>
      <c r="T233" s="70" t="s">
        <v>2245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257</v>
      </c>
      <c r="B234" s="73" t="s">
        <v>259</v>
      </c>
      <c r="C234" s="73" t="s">
        <v>1056</v>
      </c>
      <c r="D234" s="73" t="s">
        <v>260</v>
      </c>
      <c r="E234" s="85" t="s">
        <v>72</v>
      </c>
      <c r="F234" s="85" t="s">
        <v>1294</v>
      </c>
      <c r="G234" s="85"/>
      <c r="H234" s="85" t="s">
        <v>711</v>
      </c>
      <c r="I234" s="85"/>
      <c r="J234" s="141">
        <f t="shared" si="11"/>
        <v>26</v>
      </c>
      <c r="K234" s="146" t="s">
        <v>1830</v>
      </c>
      <c r="L234" s="141">
        <f t="shared" si="12"/>
        <v>2</v>
      </c>
      <c r="M234" s="142">
        <f t="shared" si="13"/>
        <v>0.9285714285714286</v>
      </c>
      <c r="N234" s="70"/>
      <c r="O234" s="70"/>
      <c r="P234" s="70"/>
      <c r="Q234" s="70"/>
      <c r="R234" s="70"/>
      <c r="S234" s="70" t="s">
        <v>2245</v>
      </c>
      <c r="T234" s="70" t="s">
        <v>2245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257</v>
      </c>
      <c r="B235" s="73" t="s">
        <v>261</v>
      </c>
      <c r="C235" s="73" t="s">
        <v>1056</v>
      </c>
      <c r="D235" s="73" t="s">
        <v>260</v>
      </c>
      <c r="E235" s="85" t="s">
        <v>72</v>
      </c>
      <c r="F235" s="85" t="s">
        <v>1294</v>
      </c>
      <c r="G235" s="85"/>
      <c r="H235" s="85" t="s">
        <v>712</v>
      </c>
      <c r="I235" s="85"/>
      <c r="J235" s="141">
        <f t="shared" si="11"/>
        <v>26</v>
      </c>
      <c r="K235" s="146" t="s">
        <v>1831</v>
      </c>
      <c r="L235" s="141">
        <f t="shared" si="12"/>
        <v>2</v>
      </c>
      <c r="M235" s="142">
        <f t="shared" si="13"/>
        <v>0.9285714285714286</v>
      </c>
      <c r="N235" s="70"/>
      <c r="O235" s="70"/>
      <c r="P235" s="70"/>
      <c r="Q235" s="70"/>
      <c r="R235" s="70"/>
      <c r="S235" s="70" t="s">
        <v>2245</v>
      </c>
      <c r="T235" s="70" t="s">
        <v>2245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257</v>
      </c>
      <c r="B236" s="73" t="s">
        <v>2241</v>
      </c>
      <c r="C236" s="73" t="s">
        <v>1056</v>
      </c>
      <c r="D236" s="73" t="s">
        <v>2242</v>
      </c>
      <c r="E236" s="85" t="s">
        <v>14</v>
      </c>
      <c r="F236" s="85" t="s">
        <v>1294</v>
      </c>
      <c r="G236" s="85"/>
      <c r="H236" s="85" t="s">
        <v>2305</v>
      </c>
      <c r="I236" s="85"/>
      <c r="J236" s="141">
        <f t="shared" si="11"/>
        <v>28</v>
      </c>
      <c r="K236" s="146" t="s">
        <v>2243</v>
      </c>
      <c r="L236" s="141">
        <f t="shared" si="12"/>
        <v>0</v>
      </c>
      <c r="M236" s="142">
        <f t="shared" si="13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266</v>
      </c>
      <c r="B237" t="s">
        <v>953</v>
      </c>
      <c r="C237" t="s">
        <v>1055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1"/>
        <v>28</v>
      </c>
      <c r="K237" s="146" t="s">
        <v>1832</v>
      </c>
      <c r="L237" s="31">
        <f t="shared" si="12"/>
        <v>0</v>
      </c>
      <c r="M237" s="32">
        <f t="shared" si="13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266</v>
      </c>
      <c r="B238" t="s">
        <v>954</v>
      </c>
      <c r="C238" t="s">
        <v>1055</v>
      </c>
      <c r="D238" t="s">
        <v>1080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1"/>
        <v>28</v>
      </c>
      <c r="K238" s="146" t="s">
        <v>1833</v>
      </c>
      <c r="L238" s="31">
        <f t="shared" si="12"/>
        <v>0</v>
      </c>
      <c r="M238" s="32">
        <f t="shared" si="13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266</v>
      </c>
      <c r="B239" t="s">
        <v>955</v>
      </c>
      <c r="C239" t="s">
        <v>1055</v>
      </c>
      <c r="D239" t="s">
        <v>278</v>
      </c>
      <c r="E239" s="30" t="s">
        <v>18</v>
      </c>
      <c r="F239" s="30" t="s">
        <v>27</v>
      </c>
      <c r="G239" s="30"/>
      <c r="H239" s="30" t="s">
        <v>1470</v>
      </c>
      <c r="I239" s="30"/>
      <c r="J239" s="31">
        <f t="shared" si="11"/>
        <v>28</v>
      </c>
      <c r="K239" s="146" t="s">
        <v>1834</v>
      </c>
      <c r="L239" s="31">
        <f t="shared" si="12"/>
        <v>0</v>
      </c>
      <c r="M239" s="32">
        <f t="shared" si="13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266</v>
      </c>
      <c r="B240" t="s">
        <v>956</v>
      </c>
      <c r="C240" t="s">
        <v>1055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1"/>
        <v>28</v>
      </c>
      <c r="K240" s="146" t="s">
        <v>1835</v>
      </c>
      <c r="L240" s="31">
        <f t="shared" si="12"/>
        <v>0</v>
      </c>
      <c r="M240" s="32">
        <f t="shared" si="13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266</v>
      </c>
      <c r="B241" t="s">
        <v>957</v>
      </c>
      <c r="C241" t="s">
        <v>1055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1"/>
        <v>28</v>
      </c>
      <c r="K241" s="146" t="s">
        <v>1836</v>
      </c>
      <c r="L241" s="31">
        <f t="shared" si="12"/>
        <v>0</v>
      </c>
      <c r="M241" s="32">
        <f t="shared" si="13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266</v>
      </c>
      <c r="B242" t="s">
        <v>958</v>
      </c>
      <c r="C242" t="s">
        <v>1055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1"/>
        <v>28</v>
      </c>
      <c r="K242" s="146" t="s">
        <v>1837</v>
      </c>
      <c r="L242" s="31">
        <f t="shared" si="12"/>
        <v>0</v>
      </c>
      <c r="M242" s="32">
        <f t="shared" si="13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263</v>
      </c>
      <c r="B243" t="s">
        <v>264</v>
      </c>
      <c r="C243" t="s">
        <v>1055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1"/>
        <v>28</v>
      </c>
      <c r="K243" s="146" t="s">
        <v>1838</v>
      </c>
      <c r="L243" s="31">
        <f t="shared" si="12"/>
        <v>0</v>
      </c>
      <c r="M243" s="32">
        <f t="shared" si="13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266</v>
      </c>
      <c r="B244" t="s">
        <v>267</v>
      </c>
      <c r="C244" t="s">
        <v>1055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1"/>
        <v>28</v>
      </c>
      <c r="K244" s="146" t="s">
        <v>1839</v>
      </c>
      <c r="L244" s="31">
        <f t="shared" si="12"/>
        <v>0</v>
      </c>
      <c r="M244" s="32">
        <f t="shared" si="13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266</v>
      </c>
      <c r="B245" t="s">
        <v>269</v>
      </c>
      <c r="C245" t="s">
        <v>1055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7" si="14">COUNTIF(N245:AO245,"")</f>
        <v>28</v>
      </c>
      <c r="K245" s="146" t="s">
        <v>1840</v>
      </c>
      <c r="L245" s="31">
        <f t="shared" ref="L245:L317" si="15">COUNTIF(N245:AO245,"APAGADO")</f>
        <v>0</v>
      </c>
      <c r="M245" s="32">
        <f t="shared" ref="M245:M317" si="16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263</v>
      </c>
      <c r="B246" t="s">
        <v>272</v>
      </c>
      <c r="C246" t="s">
        <v>1055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4"/>
        <v>26</v>
      </c>
      <c r="K246" s="146" t="s">
        <v>1841</v>
      </c>
      <c r="L246" s="31">
        <f t="shared" si="15"/>
        <v>2</v>
      </c>
      <c r="M246" s="32">
        <f t="shared" si="16"/>
        <v>0.9285714285714286</v>
      </c>
      <c r="N246" s="70"/>
      <c r="O246" s="70"/>
      <c r="P246" s="70"/>
      <c r="Q246" s="70"/>
      <c r="R246" s="70"/>
      <c r="S246" s="70" t="s">
        <v>2245</v>
      </c>
      <c r="T246" s="70" t="s">
        <v>2245</v>
      </c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266</v>
      </c>
      <c r="B247" t="s">
        <v>274</v>
      </c>
      <c r="C247" t="s">
        <v>1055</v>
      </c>
      <c r="D247" t="s">
        <v>275</v>
      </c>
      <c r="E247" s="30" t="s">
        <v>18</v>
      </c>
      <c r="F247" s="30" t="s">
        <v>27</v>
      </c>
      <c r="G247" s="30"/>
      <c r="H247" s="30" t="s">
        <v>2296</v>
      </c>
      <c r="I247" s="30"/>
      <c r="J247" s="31">
        <f t="shared" si="14"/>
        <v>28</v>
      </c>
      <c r="K247" s="146" t="s">
        <v>1842</v>
      </c>
      <c r="L247" s="31">
        <f t="shared" si="15"/>
        <v>0</v>
      </c>
      <c r="M247" s="32">
        <f t="shared" si="16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266</v>
      </c>
      <c r="B248" t="s">
        <v>276</v>
      </c>
      <c r="C248" t="s">
        <v>1055</v>
      </c>
      <c r="D248" t="s">
        <v>277</v>
      </c>
      <c r="E248" s="30" t="s">
        <v>18</v>
      </c>
      <c r="F248" s="30" t="s">
        <v>27</v>
      </c>
      <c r="G248" s="30"/>
      <c r="H248" s="30" t="s">
        <v>1430</v>
      </c>
      <c r="I248" s="30"/>
      <c r="J248" s="31">
        <f t="shared" si="14"/>
        <v>26</v>
      </c>
      <c r="K248" s="146" t="s">
        <v>1843</v>
      </c>
      <c r="L248" s="31">
        <f t="shared" si="15"/>
        <v>2</v>
      </c>
      <c r="M248" s="32">
        <f t="shared" si="16"/>
        <v>0.9285714285714286</v>
      </c>
      <c r="N248" s="70"/>
      <c r="O248" s="70"/>
      <c r="P248" s="70"/>
      <c r="Q248" s="70"/>
      <c r="R248" s="70"/>
      <c r="S248" s="70" t="s">
        <v>2245</v>
      </c>
      <c r="T248" s="70" t="s">
        <v>2245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266</v>
      </c>
      <c r="B249" t="s">
        <v>279</v>
      </c>
      <c r="C249" t="s">
        <v>1055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4"/>
        <v>28</v>
      </c>
      <c r="K249" s="146" t="s">
        <v>1844</v>
      </c>
      <c r="L249" s="31">
        <f t="shared" si="15"/>
        <v>0</v>
      </c>
      <c r="M249" s="32">
        <f t="shared" si="16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266</v>
      </c>
      <c r="B250" t="s">
        <v>282</v>
      </c>
      <c r="C250" t="s">
        <v>1055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4"/>
        <v>25</v>
      </c>
      <c r="K250" s="146" t="s">
        <v>1845</v>
      </c>
      <c r="L250" s="31">
        <f t="shared" si="15"/>
        <v>3</v>
      </c>
      <c r="M250" s="32">
        <f t="shared" si="16"/>
        <v>0.8928571428571429</v>
      </c>
      <c r="N250" s="70" t="s">
        <v>2245</v>
      </c>
      <c r="O250" s="70"/>
      <c r="P250" s="70"/>
      <c r="Q250" s="70"/>
      <c r="R250" s="70"/>
      <c r="S250" s="70" t="s">
        <v>2245</v>
      </c>
      <c r="T250" s="70" t="s">
        <v>2245</v>
      </c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9"/>
    </row>
    <row r="251" spans="1:43" ht="15.75" thickBot="1" x14ac:dyDescent="0.3">
      <c r="A251" t="s">
        <v>266</v>
      </c>
      <c r="B251" s="30" t="s">
        <v>1204</v>
      </c>
      <c r="C251" s="30" t="s">
        <v>1055</v>
      </c>
      <c r="D251" t="s">
        <v>1199</v>
      </c>
      <c r="E251" s="30" t="s">
        <v>14</v>
      </c>
      <c r="F251" s="30" t="s">
        <v>27</v>
      </c>
      <c r="G251" s="30"/>
      <c r="H251" s="30" t="s">
        <v>1200</v>
      </c>
      <c r="I251" s="30"/>
      <c r="J251" s="31">
        <f t="shared" si="14"/>
        <v>26</v>
      </c>
      <c r="K251" s="146" t="s">
        <v>1846</v>
      </c>
      <c r="L251" s="31">
        <f t="shared" si="15"/>
        <v>2</v>
      </c>
      <c r="M251" s="32">
        <f t="shared" si="16"/>
        <v>0.9285714285714286</v>
      </c>
      <c r="N251" s="70" t="s">
        <v>2245</v>
      </c>
      <c r="O251" s="70"/>
      <c r="P251" s="70"/>
      <c r="Q251" s="70"/>
      <c r="R251" s="70"/>
      <c r="S251" s="70" t="s">
        <v>2245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9"/>
    </row>
    <row r="252" spans="1:43" s="90" customFormat="1" ht="15.75" thickBot="1" x14ac:dyDescent="0.3">
      <c r="A252" s="73" t="s">
        <v>286</v>
      </c>
      <c r="B252" s="73" t="s">
        <v>959</v>
      </c>
      <c r="C252" s="90" t="s">
        <v>1056</v>
      </c>
      <c r="D252" s="73" t="s">
        <v>1081</v>
      </c>
      <c r="E252" s="91" t="s">
        <v>18</v>
      </c>
      <c r="F252" s="85" t="s">
        <v>1294</v>
      </c>
      <c r="G252" s="85"/>
      <c r="H252" s="85" t="s">
        <v>2219</v>
      </c>
      <c r="I252" s="85"/>
      <c r="J252" s="31">
        <f t="shared" si="14"/>
        <v>28</v>
      </c>
      <c r="K252" s="146" t="s">
        <v>2329</v>
      </c>
      <c r="L252" s="31">
        <f t="shared" si="15"/>
        <v>0</v>
      </c>
      <c r="M252" s="32">
        <f t="shared" si="16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thickBot="1" x14ac:dyDescent="0.3">
      <c r="A253" t="s">
        <v>228</v>
      </c>
      <c r="B253" t="s">
        <v>284</v>
      </c>
      <c r="C253" t="s">
        <v>1056</v>
      </c>
      <c r="D253" t="s">
        <v>285</v>
      </c>
      <c r="E253" s="30" t="s">
        <v>14</v>
      </c>
      <c r="F253" s="30" t="s">
        <v>1049</v>
      </c>
      <c r="G253" s="30"/>
      <c r="H253" s="30" t="s">
        <v>1057</v>
      </c>
      <c r="I253" s="30"/>
      <c r="J253" s="31">
        <f t="shared" si="14"/>
        <v>28</v>
      </c>
      <c r="K253" s="146" t="s">
        <v>1802</v>
      </c>
      <c r="L253" s="31">
        <f t="shared" si="15"/>
        <v>0</v>
      </c>
      <c r="M253" s="32">
        <f t="shared" si="16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286</v>
      </c>
      <c r="B254" s="69" t="s">
        <v>287</v>
      </c>
      <c r="C254" t="s">
        <v>1056</v>
      </c>
      <c r="D254" s="69" t="s">
        <v>288</v>
      </c>
      <c r="E254" s="30" t="s">
        <v>14</v>
      </c>
      <c r="F254" s="30" t="s">
        <v>27</v>
      </c>
      <c r="G254" s="30"/>
      <c r="H254" s="147" t="s">
        <v>724</v>
      </c>
      <c r="I254" s="147"/>
      <c r="J254" s="31">
        <f t="shared" si="14"/>
        <v>25</v>
      </c>
      <c r="K254" s="146" t="s">
        <v>1847</v>
      </c>
      <c r="L254" s="31">
        <f t="shared" si="15"/>
        <v>3</v>
      </c>
      <c r="M254" s="32">
        <f t="shared" si="16"/>
        <v>0.8928571428571429</v>
      </c>
      <c r="N254" s="70" t="s">
        <v>2245</v>
      </c>
      <c r="O254" s="70"/>
      <c r="P254" s="70"/>
      <c r="Q254" s="70"/>
      <c r="R254" s="70"/>
      <c r="S254" s="70" t="s">
        <v>2245</v>
      </c>
      <c r="T254" s="70" t="s">
        <v>2245</v>
      </c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139"/>
    </row>
    <row r="255" spans="1:43" ht="15.75" thickBot="1" x14ac:dyDescent="0.3">
      <c r="A255" s="69" t="s">
        <v>286</v>
      </c>
      <c r="B255" s="69" t="s">
        <v>2256</v>
      </c>
      <c r="C255" t="s">
        <v>1056</v>
      </c>
      <c r="D255" s="69" t="s">
        <v>2257</v>
      </c>
      <c r="E255" s="30" t="s">
        <v>72</v>
      </c>
      <c r="F255" s="85" t="s">
        <v>1294</v>
      </c>
      <c r="G255" s="30"/>
      <c r="H255" s="147" t="s">
        <v>2258</v>
      </c>
      <c r="I255" s="147"/>
      <c r="J255" s="31">
        <f t="shared" si="14"/>
        <v>25</v>
      </c>
      <c r="K255" s="146" t="s">
        <v>2259</v>
      </c>
      <c r="L255" s="31">
        <f t="shared" si="15"/>
        <v>3</v>
      </c>
      <c r="M255" s="32">
        <f t="shared" si="16"/>
        <v>0.8928571428571429</v>
      </c>
      <c r="N255" s="70" t="s">
        <v>2245</v>
      </c>
      <c r="O255" s="70"/>
      <c r="P255" s="70"/>
      <c r="Q255" s="70"/>
      <c r="R255" s="70"/>
      <c r="S255" s="70" t="s">
        <v>2245</v>
      </c>
      <c r="T255" s="70" t="s">
        <v>2245</v>
      </c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39"/>
    </row>
    <row r="256" spans="1:43" ht="15.75" thickBot="1" x14ac:dyDescent="0.3">
      <c r="A256" t="s">
        <v>286</v>
      </c>
      <c r="B256" t="s">
        <v>2260</v>
      </c>
      <c r="C256" t="s">
        <v>1056</v>
      </c>
      <c r="D256" t="s">
        <v>2257</v>
      </c>
      <c r="E256" s="30" t="s">
        <v>14</v>
      </c>
      <c r="F256" s="85" t="s">
        <v>1294</v>
      </c>
      <c r="G256" s="30"/>
      <c r="H256" s="30" t="s">
        <v>2306</v>
      </c>
      <c r="I256" s="30"/>
      <c r="J256" s="31">
        <f t="shared" si="14"/>
        <v>28</v>
      </c>
      <c r="K256" s="146"/>
      <c r="L256" s="31">
        <f t="shared" si="15"/>
        <v>0</v>
      </c>
      <c r="M256" s="32">
        <f t="shared" si="16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286</v>
      </c>
      <c r="B257" t="s">
        <v>2261</v>
      </c>
      <c r="C257" t="s">
        <v>1056</v>
      </c>
      <c r="D257" t="s">
        <v>2262</v>
      </c>
      <c r="E257" s="30" t="s">
        <v>14</v>
      </c>
      <c r="F257" s="85" t="s">
        <v>1294</v>
      </c>
      <c r="G257" s="30"/>
      <c r="H257" s="30" t="s">
        <v>2263</v>
      </c>
      <c r="I257" s="30"/>
      <c r="J257" s="31">
        <f t="shared" si="14"/>
        <v>28</v>
      </c>
      <c r="K257" s="146"/>
      <c r="L257" s="31">
        <f t="shared" si="15"/>
        <v>0</v>
      </c>
      <c r="M257" s="32">
        <f t="shared" si="16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11</v>
      </c>
      <c r="B258" s="33" t="s">
        <v>12</v>
      </c>
      <c r="C258" t="s">
        <v>1056</v>
      </c>
      <c r="D258" t="s">
        <v>13</v>
      </c>
      <c r="E258" s="30" t="s">
        <v>14</v>
      </c>
      <c r="F258" s="30" t="s">
        <v>1049</v>
      </c>
      <c r="G258" s="30"/>
      <c r="H258" s="30" t="s">
        <v>725</v>
      </c>
      <c r="I258" s="30"/>
      <c r="J258" s="31">
        <f t="shared" si="14"/>
        <v>28</v>
      </c>
      <c r="K258" s="146"/>
      <c r="L258" s="31">
        <f t="shared" si="15"/>
        <v>0</v>
      </c>
      <c r="M258" s="32">
        <f t="shared" si="16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374</v>
      </c>
      <c r="B259" t="s">
        <v>960</v>
      </c>
      <c r="C259" t="s">
        <v>1056</v>
      </c>
      <c r="D259" t="s">
        <v>961</v>
      </c>
      <c r="E259" s="30" t="s">
        <v>72</v>
      </c>
      <c r="F259" s="30" t="s">
        <v>27</v>
      </c>
      <c r="G259" s="30"/>
      <c r="H259" s="30" t="s">
        <v>1210</v>
      </c>
      <c r="I259" s="30"/>
      <c r="J259" s="31">
        <f t="shared" si="14"/>
        <v>28</v>
      </c>
      <c r="K259" s="146" t="s">
        <v>1848</v>
      </c>
      <c r="L259" s="31">
        <f t="shared" si="15"/>
        <v>0</v>
      </c>
      <c r="M259" s="32">
        <f t="shared" si="16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962</v>
      </c>
      <c r="B260" t="s">
        <v>963</v>
      </c>
      <c r="C260" t="s">
        <v>1056</v>
      </c>
      <c r="D260" t="s">
        <v>961</v>
      </c>
      <c r="E260" s="30" t="s">
        <v>72</v>
      </c>
      <c r="F260" s="30" t="s">
        <v>27</v>
      </c>
      <c r="G260" s="30"/>
      <c r="H260" s="30" t="s">
        <v>1211</v>
      </c>
      <c r="I260" s="30"/>
      <c r="J260" s="31">
        <f t="shared" si="14"/>
        <v>28</v>
      </c>
      <c r="K260" s="146" t="s">
        <v>1849</v>
      </c>
      <c r="L260" s="31">
        <f t="shared" si="15"/>
        <v>0</v>
      </c>
      <c r="M260" s="32">
        <f t="shared" si="16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thickBot="1" x14ac:dyDescent="0.3">
      <c r="A261" s="73" t="s">
        <v>16</v>
      </c>
      <c r="B261" s="143" t="s">
        <v>17</v>
      </c>
      <c r="C261" s="73" t="s">
        <v>1056</v>
      </c>
      <c r="D261" s="73" t="s">
        <v>1082</v>
      </c>
      <c r="E261" s="85" t="s">
        <v>18</v>
      </c>
      <c r="F261" s="85" t="s">
        <v>1294</v>
      </c>
      <c r="G261" s="85"/>
      <c r="H261" s="85" t="s">
        <v>1369</v>
      </c>
      <c r="I261" s="85"/>
      <c r="J261" s="141">
        <f t="shared" si="14"/>
        <v>28</v>
      </c>
      <c r="K261" s="146" t="s">
        <v>1850</v>
      </c>
      <c r="L261" s="141">
        <f t="shared" si="15"/>
        <v>0</v>
      </c>
      <c r="M261" s="142">
        <f t="shared" si="16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16</v>
      </c>
      <c r="B262" s="143" t="s">
        <v>20</v>
      </c>
      <c r="C262" s="73" t="s">
        <v>1056</v>
      </c>
      <c r="D262" s="73" t="s">
        <v>21</v>
      </c>
      <c r="E262" s="85" t="s">
        <v>18</v>
      </c>
      <c r="F262" s="85" t="s">
        <v>1294</v>
      </c>
      <c r="G262" s="85"/>
      <c r="H262" s="85" t="s">
        <v>1370</v>
      </c>
      <c r="I262" s="85"/>
      <c r="J262" s="141">
        <f t="shared" si="14"/>
        <v>28</v>
      </c>
      <c r="K262" s="146" t="s">
        <v>1851</v>
      </c>
      <c r="L262" s="141">
        <f t="shared" si="15"/>
        <v>0</v>
      </c>
      <c r="M262" s="142">
        <f t="shared" si="16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16</v>
      </c>
      <c r="B263" s="33" t="s">
        <v>22</v>
      </c>
      <c r="C263" t="s">
        <v>1056</v>
      </c>
      <c r="D263" t="s">
        <v>608</v>
      </c>
      <c r="E263" s="30" t="s">
        <v>14</v>
      </c>
      <c r="F263" s="30" t="s">
        <v>1049</v>
      </c>
      <c r="G263" s="30" t="s">
        <v>1247</v>
      </c>
      <c r="H263" s="30" t="s">
        <v>726</v>
      </c>
      <c r="I263" s="30"/>
      <c r="J263" s="31">
        <f t="shared" si="14"/>
        <v>28</v>
      </c>
      <c r="K263" s="146" t="s">
        <v>1852</v>
      </c>
      <c r="L263" s="31">
        <f t="shared" si="15"/>
        <v>0</v>
      </c>
      <c r="M263" s="32">
        <f t="shared" si="16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customHeight="1" thickBot="1" x14ac:dyDescent="0.3">
      <c r="A264" t="s">
        <v>16</v>
      </c>
      <c r="B264" s="33" t="s">
        <v>23</v>
      </c>
      <c r="C264" t="s">
        <v>1056</v>
      </c>
      <c r="D264" t="s">
        <v>24</v>
      </c>
      <c r="E264" s="30" t="s">
        <v>14</v>
      </c>
      <c r="F264" s="30" t="s">
        <v>19</v>
      </c>
      <c r="G264" s="30"/>
      <c r="H264" s="30" t="s">
        <v>727</v>
      </c>
      <c r="I264" s="30"/>
      <c r="J264" s="31">
        <f t="shared" si="14"/>
        <v>28</v>
      </c>
      <c r="K264" s="146"/>
      <c r="L264" s="31">
        <f t="shared" si="15"/>
        <v>0</v>
      </c>
      <c r="M264" s="32">
        <f t="shared" si="16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customHeight="1" thickBot="1" x14ac:dyDescent="0.3">
      <c r="A265" s="69"/>
      <c r="B265" t="s">
        <v>1224</v>
      </c>
      <c r="C265" t="s">
        <v>1055</v>
      </c>
      <c r="D265" t="s">
        <v>1225</v>
      </c>
      <c r="E265" t="s">
        <v>18</v>
      </c>
      <c r="F265" t="s">
        <v>27</v>
      </c>
      <c r="G265"/>
      <c r="H265" s="30" t="s">
        <v>1265</v>
      </c>
      <c r="I265" s="30"/>
      <c r="J265" s="31">
        <f t="shared" si="14"/>
        <v>25</v>
      </c>
      <c r="K265" s="146" t="s">
        <v>1853</v>
      </c>
      <c r="L265" s="31">
        <f t="shared" si="15"/>
        <v>3</v>
      </c>
      <c r="M265" s="32">
        <f t="shared" si="16"/>
        <v>0.8928571428571429</v>
      </c>
      <c r="N265" s="70" t="s">
        <v>2245</v>
      </c>
      <c r="O265" s="70"/>
      <c r="P265" s="70"/>
      <c r="Q265" s="70"/>
      <c r="R265" s="70"/>
      <c r="S265" s="70" t="s">
        <v>2245</v>
      </c>
      <c r="T265" s="70" t="s">
        <v>2245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139"/>
    </row>
    <row r="266" spans="1:43" ht="15" customHeight="1" thickBot="1" x14ac:dyDescent="0.3">
      <c r="A266" s="73"/>
      <c r="B266" t="s">
        <v>1309</v>
      </c>
      <c r="C266" t="s">
        <v>1055</v>
      </c>
      <c r="D266" t="s">
        <v>1312</v>
      </c>
      <c r="E266" s="30" t="s">
        <v>14</v>
      </c>
      <c r="F266" s="30" t="s">
        <v>27</v>
      </c>
      <c r="G266"/>
      <c r="H266" s="30" t="s">
        <v>1324</v>
      </c>
      <c r="I266" s="30"/>
      <c r="J266" s="31">
        <f t="shared" si="14"/>
        <v>28</v>
      </c>
      <c r="K266" s="146" t="s">
        <v>1854</v>
      </c>
      <c r="L266" s="31">
        <f t="shared" si="15"/>
        <v>0</v>
      </c>
      <c r="M266" s="32">
        <f t="shared" si="16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139"/>
    </row>
    <row r="267" spans="1:43" s="73" customFormat="1" ht="15.75" thickBot="1" x14ac:dyDescent="0.3">
      <c r="A267" s="73" t="s">
        <v>289</v>
      </c>
      <c r="B267" s="73" t="s">
        <v>964</v>
      </c>
      <c r="C267" s="73" t="s">
        <v>1055</v>
      </c>
      <c r="D267" s="73" t="s">
        <v>290</v>
      </c>
      <c r="E267" s="85" t="s">
        <v>72</v>
      </c>
      <c r="F267" s="85" t="s">
        <v>1294</v>
      </c>
      <c r="G267" s="85"/>
      <c r="H267" s="85" t="s">
        <v>728</v>
      </c>
      <c r="I267" s="85"/>
      <c r="J267" s="141">
        <f t="shared" si="14"/>
        <v>28</v>
      </c>
      <c r="K267" s="146" t="s">
        <v>1855</v>
      </c>
      <c r="L267" s="141">
        <f t="shared" si="15"/>
        <v>0</v>
      </c>
      <c r="M267" s="142">
        <f t="shared" si="16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266</v>
      </c>
      <c r="B268" t="s">
        <v>291</v>
      </c>
      <c r="C268" t="s">
        <v>1055</v>
      </c>
      <c r="D268" t="s">
        <v>292</v>
      </c>
      <c r="E268" s="30" t="s">
        <v>72</v>
      </c>
      <c r="F268" s="30" t="s">
        <v>27</v>
      </c>
      <c r="G268" s="30"/>
      <c r="H268" s="30" t="s">
        <v>1053</v>
      </c>
      <c r="I268" s="30"/>
      <c r="J268" s="31">
        <f t="shared" si="14"/>
        <v>28</v>
      </c>
      <c r="K268" s="146" t="s">
        <v>1856</v>
      </c>
      <c r="L268" s="31">
        <f t="shared" si="15"/>
        <v>0</v>
      </c>
      <c r="M268" s="32">
        <f t="shared" si="16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293</v>
      </c>
      <c r="B269" t="s">
        <v>965</v>
      </c>
      <c r="C269" t="s">
        <v>1055</v>
      </c>
      <c r="D269" t="s">
        <v>294</v>
      </c>
      <c r="E269" s="30" t="s">
        <v>18</v>
      </c>
      <c r="F269" s="30" t="s">
        <v>27</v>
      </c>
      <c r="G269" s="30"/>
      <c r="H269" s="30" t="s">
        <v>729</v>
      </c>
      <c r="I269" s="30"/>
      <c r="J269" s="31">
        <f t="shared" si="14"/>
        <v>28</v>
      </c>
      <c r="K269" s="146" t="s">
        <v>1857</v>
      </c>
      <c r="L269" s="31">
        <f t="shared" si="15"/>
        <v>0</v>
      </c>
      <c r="M269" s="32">
        <f t="shared" si="16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289</v>
      </c>
      <c r="B270" t="s">
        <v>295</v>
      </c>
      <c r="C270" t="s">
        <v>1055</v>
      </c>
      <c r="D270" t="s">
        <v>296</v>
      </c>
      <c r="E270" s="30" t="s">
        <v>18</v>
      </c>
      <c r="F270" s="30" t="s">
        <v>27</v>
      </c>
      <c r="G270" s="30"/>
      <c r="H270" s="30" t="s">
        <v>730</v>
      </c>
      <c r="I270" s="30"/>
      <c r="J270" s="31">
        <f t="shared" si="14"/>
        <v>28</v>
      </c>
      <c r="K270" s="146" t="s">
        <v>1844</v>
      </c>
      <c r="L270" s="31">
        <f t="shared" si="15"/>
        <v>0</v>
      </c>
      <c r="M270" s="32">
        <f t="shared" si="16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293</v>
      </c>
      <c r="B271" t="s">
        <v>966</v>
      </c>
      <c r="C271" t="s">
        <v>1055</v>
      </c>
      <c r="D271" t="s">
        <v>297</v>
      </c>
      <c r="E271" s="30" t="s">
        <v>18</v>
      </c>
      <c r="F271" s="30" t="s">
        <v>27</v>
      </c>
      <c r="G271" s="30"/>
      <c r="H271" s="30" t="s">
        <v>731</v>
      </c>
      <c r="I271" s="30"/>
      <c r="J271" s="31">
        <f t="shared" si="14"/>
        <v>28</v>
      </c>
      <c r="K271" s="146" t="s">
        <v>1858</v>
      </c>
      <c r="L271" s="31">
        <f t="shared" si="15"/>
        <v>0</v>
      </c>
      <c r="M271" s="32">
        <f t="shared" si="16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293</v>
      </c>
      <c r="B272" t="s">
        <v>298</v>
      </c>
      <c r="C272" t="s">
        <v>1055</v>
      </c>
      <c r="D272" t="s">
        <v>299</v>
      </c>
      <c r="E272" s="30" t="s">
        <v>14</v>
      </c>
      <c r="F272" s="30" t="s">
        <v>1049</v>
      </c>
      <c r="G272" s="30"/>
      <c r="H272" s="30" t="s">
        <v>732</v>
      </c>
      <c r="I272" s="30"/>
      <c r="J272" s="31">
        <f t="shared" si="14"/>
        <v>28</v>
      </c>
      <c r="K272" s="146" t="s">
        <v>1859</v>
      </c>
      <c r="L272" s="31">
        <f t="shared" si="15"/>
        <v>0</v>
      </c>
      <c r="M272" s="32">
        <f t="shared" si="16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289</v>
      </c>
      <c r="B273" s="73" t="s">
        <v>1238</v>
      </c>
      <c r="C273" s="73" t="s">
        <v>1055</v>
      </c>
      <c r="D273" s="73" t="s">
        <v>1239</v>
      </c>
      <c r="E273" s="85" t="s">
        <v>18</v>
      </c>
      <c r="F273" s="85" t="s">
        <v>1294</v>
      </c>
      <c r="G273" s="85"/>
      <c r="H273" s="85" t="s">
        <v>1240</v>
      </c>
      <c r="I273" s="85" t="s">
        <v>2290</v>
      </c>
      <c r="J273" s="141">
        <f t="shared" si="14"/>
        <v>28</v>
      </c>
      <c r="K273" s="146" t="s">
        <v>1860</v>
      </c>
      <c r="L273" s="141">
        <f t="shared" si="15"/>
        <v>0</v>
      </c>
      <c r="M273" s="142">
        <f t="shared" si="16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289</v>
      </c>
      <c r="B274" t="s">
        <v>1277</v>
      </c>
      <c r="C274" t="s">
        <v>1055</v>
      </c>
      <c r="D274" t="s">
        <v>1278</v>
      </c>
      <c r="E274" s="30" t="s">
        <v>18</v>
      </c>
      <c r="F274" s="30" t="s">
        <v>1049</v>
      </c>
      <c r="G274" s="30"/>
      <c r="H274" s="30" t="s">
        <v>1352</v>
      </c>
      <c r="I274" s="30"/>
      <c r="J274" s="31">
        <f t="shared" si="14"/>
        <v>28</v>
      </c>
      <c r="K274" s="146" t="s">
        <v>1861</v>
      </c>
      <c r="L274" s="31">
        <f t="shared" si="15"/>
        <v>0</v>
      </c>
      <c r="M274" s="32">
        <f t="shared" si="16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300</v>
      </c>
      <c r="B275" t="s">
        <v>301</v>
      </c>
      <c r="C275" t="s">
        <v>1055</v>
      </c>
      <c r="D275" t="s">
        <v>302</v>
      </c>
      <c r="E275" s="30" t="s">
        <v>72</v>
      </c>
      <c r="F275" s="30" t="s">
        <v>27</v>
      </c>
      <c r="G275" s="30"/>
      <c r="H275" s="30" t="s">
        <v>733</v>
      </c>
      <c r="I275" s="30" t="s">
        <v>2290</v>
      </c>
      <c r="J275" s="31">
        <f t="shared" si="14"/>
        <v>28</v>
      </c>
      <c r="K275" s="146" t="s">
        <v>1862</v>
      </c>
      <c r="L275" s="31">
        <f t="shared" si="15"/>
        <v>0</v>
      </c>
      <c r="M275" s="32">
        <f t="shared" si="16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300</v>
      </c>
      <c r="B276" t="s">
        <v>303</v>
      </c>
      <c r="C276" t="s">
        <v>1055</v>
      </c>
      <c r="D276" t="s">
        <v>304</v>
      </c>
      <c r="E276" s="30" t="s">
        <v>18</v>
      </c>
      <c r="F276" s="30" t="s">
        <v>27</v>
      </c>
      <c r="G276" s="30"/>
      <c r="H276" s="30" t="s">
        <v>2288</v>
      </c>
      <c r="I276" s="30"/>
      <c r="J276" s="31">
        <f t="shared" si="14"/>
        <v>28</v>
      </c>
      <c r="K276" s="146" t="s">
        <v>1863</v>
      </c>
      <c r="L276" s="31">
        <f t="shared" si="15"/>
        <v>0</v>
      </c>
      <c r="M276" s="32">
        <f t="shared" si="16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139"/>
    </row>
    <row r="277" spans="1:43" ht="15.75" thickBot="1" x14ac:dyDescent="0.3">
      <c r="A277" t="s">
        <v>300</v>
      </c>
      <c r="B277" t="s">
        <v>305</v>
      </c>
      <c r="C277" t="s">
        <v>1055</v>
      </c>
      <c r="D277" t="s">
        <v>306</v>
      </c>
      <c r="E277" s="30" t="s">
        <v>18</v>
      </c>
      <c r="F277" s="30" t="s">
        <v>1049</v>
      </c>
      <c r="G277" s="30"/>
      <c r="H277" s="30" t="s">
        <v>1485</v>
      </c>
      <c r="I277" s="30"/>
      <c r="J277" s="31">
        <f t="shared" si="14"/>
        <v>28</v>
      </c>
      <c r="K277" s="146" t="s">
        <v>1864</v>
      </c>
      <c r="L277" s="31">
        <f t="shared" si="15"/>
        <v>0</v>
      </c>
      <c r="M277" s="32">
        <f t="shared" si="16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300</v>
      </c>
      <c r="B278" s="73" t="s">
        <v>307</v>
      </c>
      <c r="C278" s="73" t="s">
        <v>1055</v>
      </c>
      <c r="D278" s="73" t="s">
        <v>308</v>
      </c>
      <c r="E278" s="85" t="s">
        <v>18</v>
      </c>
      <c r="F278" s="85" t="s">
        <v>1294</v>
      </c>
      <c r="G278" s="85"/>
      <c r="H278" s="85" t="s">
        <v>1486</v>
      </c>
      <c r="I278" s="85"/>
      <c r="J278" s="141">
        <f t="shared" si="14"/>
        <v>28</v>
      </c>
      <c r="K278" s="146" t="s">
        <v>1865</v>
      </c>
      <c r="L278" s="141">
        <f t="shared" si="15"/>
        <v>0</v>
      </c>
      <c r="M278" s="142">
        <f t="shared" si="16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300</v>
      </c>
      <c r="B279" t="s">
        <v>1480</v>
      </c>
      <c r="C279" t="s">
        <v>1055</v>
      </c>
      <c r="D279" t="s">
        <v>1479</v>
      </c>
      <c r="E279" s="30" t="s">
        <v>72</v>
      </c>
      <c r="F279" s="30" t="s">
        <v>27</v>
      </c>
      <c r="G279" s="30"/>
      <c r="H279" s="30" t="s">
        <v>1481</v>
      </c>
      <c r="I279" s="30" t="s">
        <v>2290</v>
      </c>
      <c r="J279" s="141">
        <f t="shared" si="14"/>
        <v>28</v>
      </c>
      <c r="K279" s="146" t="s">
        <v>1866</v>
      </c>
      <c r="L279" s="141">
        <f t="shared" si="15"/>
        <v>0</v>
      </c>
      <c r="M279" s="142">
        <f t="shared" si="16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300</v>
      </c>
      <c r="B280" t="s">
        <v>1482</v>
      </c>
      <c r="C280" t="s">
        <v>1055</v>
      </c>
      <c r="D280" t="s">
        <v>1479</v>
      </c>
      <c r="E280" s="30" t="s">
        <v>72</v>
      </c>
      <c r="F280" s="30" t="s">
        <v>27</v>
      </c>
      <c r="G280" s="30"/>
      <c r="H280" s="30" t="s">
        <v>1487</v>
      </c>
      <c r="I280" s="30" t="s">
        <v>2290</v>
      </c>
      <c r="J280" s="141">
        <f t="shared" si="14"/>
        <v>28</v>
      </c>
      <c r="K280" s="146" t="s">
        <v>1867</v>
      </c>
      <c r="L280" s="141">
        <f t="shared" si="15"/>
        <v>0</v>
      </c>
      <c r="M280" s="142">
        <f t="shared" si="16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2184</v>
      </c>
      <c r="B281" t="s">
        <v>2185</v>
      </c>
      <c r="C281" t="s">
        <v>1056</v>
      </c>
      <c r="D281" t="s">
        <v>2186</v>
      </c>
      <c r="E281" s="30" t="s">
        <v>18</v>
      </c>
      <c r="F281" s="85" t="s">
        <v>1294</v>
      </c>
      <c r="G281" s="30"/>
      <c r="H281" s="30" t="s">
        <v>2307</v>
      </c>
      <c r="I281" s="30"/>
      <c r="J281" s="141">
        <f t="shared" si="14"/>
        <v>28</v>
      </c>
      <c r="K281" s="146" t="s">
        <v>2187</v>
      </c>
      <c r="L281" s="141">
        <f t="shared" si="15"/>
        <v>0</v>
      </c>
      <c r="M281" s="142">
        <f t="shared" si="16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2184</v>
      </c>
      <c r="B282" t="s">
        <v>2188</v>
      </c>
      <c r="C282" t="s">
        <v>1056</v>
      </c>
      <c r="D282" t="s">
        <v>2189</v>
      </c>
      <c r="E282" s="30" t="s">
        <v>18</v>
      </c>
      <c r="F282" s="85" t="s">
        <v>1294</v>
      </c>
      <c r="G282" s="30"/>
      <c r="H282" s="30" t="s">
        <v>2308</v>
      </c>
      <c r="I282" s="30"/>
      <c r="J282" s="141">
        <f t="shared" si="14"/>
        <v>28</v>
      </c>
      <c r="K282" s="146" t="s">
        <v>2190</v>
      </c>
      <c r="L282" s="141">
        <f t="shared" si="15"/>
        <v>0</v>
      </c>
      <c r="M282" s="142">
        <f t="shared" si="16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309</v>
      </c>
      <c r="B283" t="s">
        <v>967</v>
      </c>
      <c r="C283" t="s">
        <v>1055</v>
      </c>
      <c r="D283" t="s">
        <v>312</v>
      </c>
      <c r="E283" s="30" t="s">
        <v>18</v>
      </c>
      <c r="F283" s="30" t="s">
        <v>27</v>
      </c>
      <c r="G283" s="30"/>
      <c r="H283" s="30" t="s">
        <v>734</v>
      </c>
      <c r="I283" s="30"/>
      <c r="J283" s="31">
        <f t="shared" si="14"/>
        <v>28</v>
      </c>
      <c r="K283" s="146" t="s">
        <v>1868</v>
      </c>
      <c r="L283" s="31">
        <f t="shared" si="15"/>
        <v>0</v>
      </c>
      <c r="M283" s="32">
        <f t="shared" si="16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139"/>
    </row>
    <row r="284" spans="1:43" s="73" customFormat="1" ht="15.75" thickBot="1" x14ac:dyDescent="0.3">
      <c r="A284" s="73" t="s">
        <v>309</v>
      </c>
      <c r="B284" s="73" t="s">
        <v>313</v>
      </c>
      <c r="C284" s="73" t="s">
        <v>1055</v>
      </c>
      <c r="D284" s="73" t="s">
        <v>314</v>
      </c>
      <c r="E284" s="85" t="s">
        <v>18</v>
      </c>
      <c r="F284" s="85" t="s">
        <v>1294</v>
      </c>
      <c r="G284" s="85"/>
      <c r="H284" s="85" t="s">
        <v>1364</v>
      </c>
      <c r="I284" s="85"/>
      <c r="J284" s="141">
        <f t="shared" si="14"/>
        <v>28</v>
      </c>
      <c r="K284" s="146" t="s">
        <v>1869</v>
      </c>
      <c r="L284" s="141">
        <f t="shared" si="15"/>
        <v>0</v>
      </c>
      <c r="M284" s="142">
        <f t="shared" si="16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309</v>
      </c>
      <c r="B285" t="s">
        <v>315</v>
      </c>
      <c r="C285" t="s">
        <v>1055</v>
      </c>
      <c r="D285" t="s">
        <v>316</v>
      </c>
      <c r="E285" s="30" t="s">
        <v>18</v>
      </c>
      <c r="F285" s="30" t="s">
        <v>1049</v>
      </c>
      <c r="G285" s="30" t="s">
        <v>1248</v>
      </c>
      <c r="H285" s="30" t="s">
        <v>735</v>
      </c>
      <c r="I285" s="30"/>
      <c r="J285" s="31">
        <f t="shared" si="14"/>
        <v>28</v>
      </c>
      <c r="K285" s="146" t="s">
        <v>1870</v>
      </c>
      <c r="L285" s="31">
        <f t="shared" si="15"/>
        <v>0</v>
      </c>
      <c r="M285" s="32">
        <f t="shared" si="16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thickBot="1" x14ac:dyDescent="0.3">
      <c r="A286" s="73" t="s">
        <v>309</v>
      </c>
      <c r="B286" s="73" t="s">
        <v>317</v>
      </c>
      <c r="C286" s="73" t="s">
        <v>1055</v>
      </c>
      <c r="D286" s="73" t="s">
        <v>318</v>
      </c>
      <c r="E286" s="85" t="s">
        <v>18</v>
      </c>
      <c r="F286" s="85" t="s">
        <v>1294</v>
      </c>
      <c r="G286" s="85"/>
      <c r="H286" s="85" t="s">
        <v>1354</v>
      </c>
      <c r="I286" s="85"/>
      <c r="J286" s="141">
        <f t="shared" si="14"/>
        <v>28</v>
      </c>
      <c r="K286" s="146" t="s">
        <v>1871</v>
      </c>
      <c r="L286" s="141">
        <f t="shared" si="15"/>
        <v>0</v>
      </c>
      <c r="M286" s="142">
        <f t="shared" si="16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thickBot="1" x14ac:dyDescent="0.3">
      <c r="A287" s="73" t="s">
        <v>319</v>
      </c>
      <c r="B287" s="73" t="s">
        <v>320</v>
      </c>
      <c r="C287" s="73" t="s">
        <v>1055</v>
      </c>
      <c r="D287" s="73" t="s">
        <v>321</v>
      </c>
      <c r="E287" s="85" t="s">
        <v>18</v>
      </c>
      <c r="F287" s="85" t="s">
        <v>1294</v>
      </c>
      <c r="G287" s="85"/>
      <c r="H287" s="144" t="s">
        <v>1355</v>
      </c>
      <c r="I287" s="144"/>
      <c r="J287" s="141">
        <f t="shared" si="14"/>
        <v>28</v>
      </c>
      <c r="K287" s="146" t="s">
        <v>1872</v>
      </c>
      <c r="L287" s="141">
        <f t="shared" si="15"/>
        <v>0</v>
      </c>
      <c r="M287" s="142">
        <f t="shared" si="16"/>
        <v>1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51</v>
      </c>
      <c r="B288" t="s">
        <v>322</v>
      </c>
      <c r="C288" t="s">
        <v>1055</v>
      </c>
      <c r="D288" t="s">
        <v>323</v>
      </c>
      <c r="E288" s="30" t="s">
        <v>18</v>
      </c>
      <c r="F288" s="30" t="s">
        <v>27</v>
      </c>
      <c r="G288" s="30"/>
      <c r="H288" s="30" t="s">
        <v>736</v>
      </c>
      <c r="I288" s="30"/>
      <c r="J288" s="31">
        <f t="shared" si="14"/>
        <v>28</v>
      </c>
      <c r="K288" s="146" t="s">
        <v>1675</v>
      </c>
      <c r="L288" s="31">
        <f t="shared" si="15"/>
        <v>0</v>
      </c>
      <c r="M288" s="32">
        <f t="shared" si="16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309</v>
      </c>
      <c r="B289" t="s">
        <v>324</v>
      </c>
      <c r="C289" t="s">
        <v>1055</v>
      </c>
      <c r="D289" t="s">
        <v>325</v>
      </c>
      <c r="E289" s="30" t="s">
        <v>18</v>
      </c>
      <c r="F289" s="30" t="s">
        <v>27</v>
      </c>
      <c r="G289" s="30"/>
      <c r="H289" s="30" t="s">
        <v>737</v>
      </c>
      <c r="I289" s="30"/>
      <c r="J289" s="31">
        <f t="shared" si="14"/>
        <v>27</v>
      </c>
      <c r="K289" s="146" t="s">
        <v>1873</v>
      </c>
      <c r="L289" s="31">
        <f t="shared" si="15"/>
        <v>1</v>
      </c>
      <c r="M289" s="32">
        <f t="shared" si="16"/>
        <v>0.9642857142857143</v>
      </c>
      <c r="N289" s="70" t="s">
        <v>2245</v>
      </c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thickBot="1" x14ac:dyDescent="0.3">
      <c r="A290" s="73" t="s">
        <v>309</v>
      </c>
      <c r="B290" s="73" t="s">
        <v>310</v>
      </c>
      <c r="C290" s="73" t="s">
        <v>1055</v>
      </c>
      <c r="D290" s="73" t="s">
        <v>311</v>
      </c>
      <c r="E290" s="85" t="s">
        <v>14</v>
      </c>
      <c r="F290" s="85" t="s">
        <v>1294</v>
      </c>
      <c r="G290" s="85"/>
      <c r="H290" s="85" t="s">
        <v>1363</v>
      </c>
      <c r="I290" s="85"/>
      <c r="J290" s="141">
        <f t="shared" si="14"/>
        <v>28</v>
      </c>
      <c r="K290" s="146" t="s">
        <v>1874</v>
      </c>
      <c r="L290" s="141">
        <f t="shared" si="15"/>
        <v>0</v>
      </c>
      <c r="M290" s="142">
        <f t="shared" si="16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thickBot="1" x14ac:dyDescent="0.3">
      <c r="A291" s="73" t="s">
        <v>309</v>
      </c>
      <c r="B291" s="73" t="s">
        <v>326</v>
      </c>
      <c r="C291" s="73" t="s">
        <v>1055</v>
      </c>
      <c r="D291" s="73" t="s">
        <v>327</v>
      </c>
      <c r="E291" s="85" t="s">
        <v>14</v>
      </c>
      <c r="F291" s="85" t="s">
        <v>1294</v>
      </c>
      <c r="G291" s="85"/>
      <c r="H291" s="85" t="s">
        <v>738</v>
      </c>
      <c r="I291" s="85"/>
      <c r="J291" s="141">
        <f t="shared" si="14"/>
        <v>28</v>
      </c>
      <c r="K291" s="146" t="s">
        <v>1875</v>
      </c>
      <c r="L291" s="141">
        <f t="shared" si="15"/>
        <v>0</v>
      </c>
      <c r="M291" s="142">
        <f t="shared" si="16"/>
        <v>1</v>
      </c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139"/>
    </row>
    <row r="292" spans="1:43" s="73" customFormat="1" ht="14.25" customHeight="1" thickBot="1" x14ac:dyDescent="0.3">
      <c r="A292" s="73" t="s">
        <v>309</v>
      </c>
      <c r="B292" s="73" t="s">
        <v>1335</v>
      </c>
      <c r="C292" s="73" t="s">
        <v>1055</v>
      </c>
      <c r="D292" s="73" t="s">
        <v>1336</v>
      </c>
      <c r="E292" s="85" t="s">
        <v>14</v>
      </c>
      <c r="F292" s="85" t="s">
        <v>1294</v>
      </c>
      <c r="G292" s="85"/>
      <c r="H292" s="85" t="s">
        <v>1350</v>
      </c>
      <c r="I292" s="85"/>
      <c r="J292" s="141">
        <f t="shared" si="14"/>
        <v>28</v>
      </c>
      <c r="K292" s="146" t="s">
        <v>1876</v>
      </c>
      <c r="L292" s="141">
        <f t="shared" si="15"/>
        <v>0</v>
      </c>
      <c r="M292" s="142">
        <f t="shared" si="16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1526</v>
      </c>
      <c r="B293" s="73" t="s">
        <v>1525</v>
      </c>
      <c r="C293" s="73" t="s">
        <v>1055</v>
      </c>
      <c r="D293" s="73" t="s">
        <v>1527</v>
      </c>
      <c r="E293" s="85" t="s">
        <v>18</v>
      </c>
      <c r="F293" s="85" t="s">
        <v>1294</v>
      </c>
      <c r="G293" s="85"/>
      <c r="H293" s="85" t="s">
        <v>1528</v>
      </c>
      <c r="I293" s="85"/>
      <c r="J293" s="141">
        <f t="shared" si="14"/>
        <v>28</v>
      </c>
      <c r="K293" s="146" t="s">
        <v>1877</v>
      </c>
      <c r="L293" s="141">
        <f t="shared" si="15"/>
        <v>0</v>
      </c>
      <c r="M293" s="142">
        <f t="shared" si="16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1526</v>
      </c>
      <c r="B294" s="73" t="s">
        <v>1636</v>
      </c>
      <c r="C294" s="73" t="s">
        <v>1055</v>
      </c>
      <c r="D294" s="73" t="s">
        <v>1637</v>
      </c>
      <c r="E294" s="85" t="s">
        <v>18</v>
      </c>
      <c r="F294" s="85" t="s">
        <v>27</v>
      </c>
      <c r="G294" s="85"/>
      <c r="H294" s="85" t="s">
        <v>1638</v>
      </c>
      <c r="I294" s="85"/>
      <c r="J294" s="141">
        <f t="shared" si="14"/>
        <v>28</v>
      </c>
      <c r="K294" s="146" t="s">
        <v>2168</v>
      </c>
      <c r="L294" s="141">
        <f t="shared" si="15"/>
        <v>0</v>
      </c>
      <c r="M294" s="142">
        <f t="shared" si="16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330</v>
      </c>
      <c r="B295" t="s">
        <v>328</v>
      </c>
      <c r="C295" t="s">
        <v>1056</v>
      </c>
      <c r="D295" t="s">
        <v>329</v>
      </c>
      <c r="E295" s="30" t="s">
        <v>14</v>
      </c>
      <c r="F295" s="30" t="s">
        <v>27</v>
      </c>
      <c r="G295" s="30"/>
      <c r="H295" s="30" t="s">
        <v>739</v>
      </c>
      <c r="I295" s="30"/>
      <c r="J295" s="31">
        <f t="shared" si="14"/>
        <v>27</v>
      </c>
      <c r="K295" s="146" t="s">
        <v>1878</v>
      </c>
      <c r="L295" s="31">
        <f t="shared" si="15"/>
        <v>1</v>
      </c>
      <c r="M295" s="32">
        <f t="shared" si="16"/>
        <v>0.9642857142857143</v>
      </c>
      <c r="N295" s="70" t="s">
        <v>2245</v>
      </c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330</v>
      </c>
      <c r="B296" t="s">
        <v>331</v>
      </c>
      <c r="C296" t="s">
        <v>1056</v>
      </c>
      <c r="D296" t="s">
        <v>332</v>
      </c>
      <c r="E296" s="30" t="s">
        <v>72</v>
      </c>
      <c r="F296" s="30" t="s">
        <v>27</v>
      </c>
      <c r="G296" s="30"/>
      <c r="H296" s="30" t="s">
        <v>740</v>
      </c>
      <c r="I296" s="30"/>
      <c r="J296" s="31">
        <f t="shared" si="14"/>
        <v>27</v>
      </c>
      <c r="K296" s="146" t="s">
        <v>1879</v>
      </c>
      <c r="L296" s="31">
        <f t="shared" si="15"/>
        <v>1</v>
      </c>
      <c r="M296" s="32">
        <f t="shared" si="16"/>
        <v>0.9642857142857143</v>
      </c>
      <c r="N296" s="70" t="s">
        <v>2245</v>
      </c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330</v>
      </c>
      <c r="B297" t="s">
        <v>333</v>
      </c>
      <c r="C297" t="s">
        <v>1056</v>
      </c>
      <c r="D297" t="s">
        <v>332</v>
      </c>
      <c r="E297" s="30" t="s">
        <v>72</v>
      </c>
      <c r="F297" s="30" t="s">
        <v>27</v>
      </c>
      <c r="G297" s="30"/>
      <c r="H297" s="30" t="s">
        <v>741</v>
      </c>
      <c r="I297" s="30"/>
      <c r="J297" s="31">
        <f t="shared" si="14"/>
        <v>27</v>
      </c>
      <c r="K297" s="146" t="s">
        <v>1880</v>
      </c>
      <c r="L297" s="31">
        <f t="shared" si="15"/>
        <v>1</v>
      </c>
      <c r="M297" s="32">
        <f t="shared" si="16"/>
        <v>0.9642857142857143</v>
      </c>
      <c r="N297" s="70" t="s">
        <v>2245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330</v>
      </c>
      <c r="B298" t="s">
        <v>334</v>
      </c>
      <c r="C298" t="s">
        <v>1056</v>
      </c>
      <c r="D298" t="s">
        <v>335</v>
      </c>
      <c r="E298" s="30" t="s">
        <v>72</v>
      </c>
      <c r="F298" s="30" t="s">
        <v>27</v>
      </c>
      <c r="G298" s="30"/>
      <c r="H298" s="30" t="s">
        <v>742</v>
      </c>
      <c r="I298" s="30"/>
      <c r="J298" s="31">
        <f t="shared" si="14"/>
        <v>27</v>
      </c>
      <c r="K298" s="146" t="s">
        <v>1881</v>
      </c>
      <c r="L298" s="31">
        <f t="shared" si="15"/>
        <v>1</v>
      </c>
      <c r="M298" s="32">
        <f t="shared" si="16"/>
        <v>0.9642857142857143</v>
      </c>
      <c r="N298" s="70" t="s">
        <v>2245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330</v>
      </c>
      <c r="B299" t="s">
        <v>336</v>
      </c>
      <c r="C299" t="s">
        <v>1056</v>
      </c>
      <c r="D299" t="s">
        <v>335</v>
      </c>
      <c r="E299" s="30" t="s">
        <v>72</v>
      </c>
      <c r="F299" s="30" t="s">
        <v>27</v>
      </c>
      <c r="G299" s="30"/>
      <c r="H299" s="30" t="s">
        <v>743</v>
      </c>
      <c r="I299" s="30"/>
      <c r="J299" s="31">
        <f t="shared" si="14"/>
        <v>28</v>
      </c>
      <c r="K299" s="146" t="s">
        <v>1882</v>
      </c>
      <c r="L299" s="31">
        <f t="shared" si="15"/>
        <v>0</v>
      </c>
      <c r="M299" s="32">
        <f t="shared" si="16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40</v>
      </c>
      <c r="B300" t="s">
        <v>338</v>
      </c>
      <c r="C300" t="s">
        <v>1055</v>
      </c>
      <c r="D300" t="s">
        <v>339</v>
      </c>
      <c r="E300" s="30" t="s">
        <v>14</v>
      </c>
      <c r="F300" s="30" t="s">
        <v>27</v>
      </c>
      <c r="G300" s="30"/>
      <c r="H300" s="30" t="s">
        <v>746</v>
      </c>
      <c r="I300" s="30"/>
      <c r="J300" s="31">
        <f t="shared" si="14"/>
        <v>28</v>
      </c>
      <c r="K300" s="146" t="s">
        <v>1883</v>
      </c>
      <c r="L300" s="31">
        <f t="shared" si="15"/>
        <v>0</v>
      </c>
      <c r="M300" s="32">
        <f t="shared" si="16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40</v>
      </c>
      <c r="B301" t="s">
        <v>340</v>
      </c>
      <c r="C301" t="s">
        <v>1055</v>
      </c>
      <c r="D301" t="s">
        <v>339</v>
      </c>
      <c r="E301" s="30" t="s">
        <v>72</v>
      </c>
      <c r="F301" s="30" t="s">
        <v>27</v>
      </c>
      <c r="G301" s="30"/>
      <c r="H301" s="30" t="s">
        <v>747</v>
      </c>
      <c r="I301" s="30"/>
      <c r="J301" s="31">
        <f t="shared" si="14"/>
        <v>28</v>
      </c>
      <c r="K301" s="146" t="s">
        <v>1884</v>
      </c>
      <c r="L301" s="31">
        <f t="shared" si="15"/>
        <v>0</v>
      </c>
      <c r="M301" s="32">
        <f t="shared" si="16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40</v>
      </c>
      <c r="B302" t="s">
        <v>969</v>
      </c>
      <c r="C302" t="s">
        <v>1055</v>
      </c>
      <c r="D302" t="s">
        <v>970</v>
      </c>
      <c r="E302" s="30" t="s">
        <v>72</v>
      </c>
      <c r="F302" s="30" t="s">
        <v>27</v>
      </c>
      <c r="G302" s="30"/>
      <c r="H302" s="30" t="s">
        <v>1266</v>
      </c>
      <c r="I302" s="30"/>
      <c r="J302" s="31">
        <f t="shared" si="14"/>
        <v>28</v>
      </c>
      <c r="K302" s="146" t="s">
        <v>1885</v>
      </c>
      <c r="L302" s="31">
        <f t="shared" si="15"/>
        <v>0</v>
      </c>
      <c r="M302" s="32">
        <f t="shared" si="16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185</v>
      </c>
      <c r="B303" t="s">
        <v>341</v>
      </c>
      <c r="C303" t="s">
        <v>1056</v>
      </c>
      <c r="D303" t="s">
        <v>342</v>
      </c>
      <c r="E303" s="30" t="s">
        <v>14</v>
      </c>
      <c r="F303" s="30" t="s">
        <v>27</v>
      </c>
      <c r="G303" s="30"/>
      <c r="H303" s="30" t="s">
        <v>748</v>
      </c>
      <c r="I303" s="30"/>
      <c r="J303" s="31">
        <f t="shared" si="14"/>
        <v>25</v>
      </c>
      <c r="K303" s="146" t="s">
        <v>1886</v>
      </c>
      <c r="L303" s="31">
        <f t="shared" si="15"/>
        <v>3</v>
      </c>
      <c r="M303" s="32">
        <f t="shared" si="16"/>
        <v>0.8928571428571429</v>
      </c>
      <c r="N303" s="70" t="s">
        <v>2245</v>
      </c>
      <c r="O303" s="70"/>
      <c r="P303" s="70"/>
      <c r="Q303" s="70"/>
      <c r="R303" s="70"/>
      <c r="S303" s="70" t="s">
        <v>2245</v>
      </c>
      <c r="T303" s="70" t="s">
        <v>2245</v>
      </c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185</v>
      </c>
      <c r="B304" s="69" t="s">
        <v>343</v>
      </c>
      <c r="C304" t="s">
        <v>1056</v>
      </c>
      <c r="D304" s="69" t="s">
        <v>342</v>
      </c>
      <c r="E304" s="30" t="s">
        <v>72</v>
      </c>
      <c r="F304" s="30" t="s">
        <v>27</v>
      </c>
      <c r="G304" s="30"/>
      <c r="H304" s="147" t="s">
        <v>749</v>
      </c>
      <c r="I304" s="147"/>
      <c r="J304" s="31">
        <f t="shared" si="14"/>
        <v>25</v>
      </c>
      <c r="K304" s="146" t="s">
        <v>1887</v>
      </c>
      <c r="L304" s="31">
        <f t="shared" si="15"/>
        <v>3</v>
      </c>
      <c r="M304" s="32">
        <f t="shared" si="16"/>
        <v>0.8928571428571429</v>
      </c>
      <c r="N304" s="70" t="s">
        <v>2245</v>
      </c>
      <c r="O304" s="70"/>
      <c r="P304" s="70"/>
      <c r="Q304" s="70"/>
      <c r="R304" s="70"/>
      <c r="S304" s="70" t="s">
        <v>2245</v>
      </c>
      <c r="T304" s="70" t="s">
        <v>2245</v>
      </c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1288</v>
      </c>
      <c r="C305" t="s">
        <v>1056</v>
      </c>
      <c r="D305" t="s">
        <v>971</v>
      </c>
      <c r="E305" s="30" t="s">
        <v>72</v>
      </c>
      <c r="F305" s="30" t="s">
        <v>27</v>
      </c>
      <c r="G305" s="30"/>
      <c r="H305" s="30" t="s">
        <v>1267</v>
      </c>
      <c r="I305" s="30"/>
      <c r="J305" s="31">
        <f t="shared" si="14"/>
        <v>28</v>
      </c>
      <c r="K305" s="146" t="s">
        <v>1888</v>
      </c>
      <c r="L305" s="31">
        <f t="shared" si="15"/>
        <v>0</v>
      </c>
      <c r="M305" s="32">
        <f t="shared" si="16"/>
        <v>1</v>
      </c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213</v>
      </c>
      <c r="B306" t="s">
        <v>344</v>
      </c>
      <c r="C306" t="s">
        <v>1056</v>
      </c>
      <c r="D306" t="s">
        <v>345</v>
      </c>
      <c r="E306" s="30" t="s">
        <v>14</v>
      </c>
      <c r="F306" s="30" t="s">
        <v>27</v>
      </c>
      <c r="G306" s="30"/>
      <c r="H306" s="30" t="s">
        <v>750</v>
      </c>
      <c r="I306" s="30"/>
      <c r="J306" s="31">
        <f t="shared" si="14"/>
        <v>28</v>
      </c>
      <c r="K306" s="146" t="s">
        <v>1889</v>
      </c>
      <c r="L306" s="31">
        <f t="shared" si="15"/>
        <v>0</v>
      </c>
      <c r="M306" s="32">
        <f t="shared" si="16"/>
        <v>1</v>
      </c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213</v>
      </c>
      <c r="B307" t="s">
        <v>346</v>
      </c>
      <c r="C307" t="s">
        <v>1056</v>
      </c>
      <c r="D307" t="s">
        <v>345</v>
      </c>
      <c r="E307" s="30" t="s">
        <v>72</v>
      </c>
      <c r="F307" s="30" t="s">
        <v>27</v>
      </c>
      <c r="G307" s="30"/>
      <c r="H307" s="30" t="s">
        <v>751</v>
      </c>
      <c r="I307" s="30"/>
      <c r="J307" s="31">
        <f t="shared" si="14"/>
        <v>25</v>
      </c>
      <c r="K307" s="146" t="s">
        <v>1890</v>
      </c>
      <c r="L307" s="31">
        <f t="shared" si="15"/>
        <v>3</v>
      </c>
      <c r="M307" s="32">
        <f t="shared" si="16"/>
        <v>0.8928571428571429</v>
      </c>
      <c r="N307" s="70" t="s">
        <v>2245</v>
      </c>
      <c r="O307" s="70"/>
      <c r="P307" s="70"/>
      <c r="Q307" s="70"/>
      <c r="R307" s="70"/>
      <c r="S307" s="70" t="s">
        <v>2245</v>
      </c>
      <c r="T307" s="70" t="s">
        <v>2245</v>
      </c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1287</v>
      </c>
      <c r="C308" t="s">
        <v>1056</v>
      </c>
      <c r="D308" t="s">
        <v>972</v>
      </c>
      <c r="E308" s="30" t="s">
        <v>18</v>
      </c>
      <c r="F308" s="30" t="s">
        <v>27</v>
      </c>
      <c r="G308" s="30"/>
      <c r="H308" s="30" t="s">
        <v>1268</v>
      </c>
      <c r="I308" s="30"/>
      <c r="J308" s="31">
        <f t="shared" si="14"/>
        <v>25</v>
      </c>
      <c r="K308" s="146" t="s">
        <v>1891</v>
      </c>
      <c r="L308" s="31">
        <f t="shared" si="15"/>
        <v>3</v>
      </c>
      <c r="M308" s="32">
        <f t="shared" si="16"/>
        <v>0.8928571428571429</v>
      </c>
      <c r="N308" s="70" t="s">
        <v>2245</v>
      </c>
      <c r="O308" s="70"/>
      <c r="P308" s="70"/>
      <c r="Q308" s="70"/>
      <c r="R308" s="70"/>
      <c r="S308" s="70" t="s">
        <v>2245</v>
      </c>
      <c r="T308" s="70" t="s">
        <v>2245</v>
      </c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286</v>
      </c>
      <c r="B309" t="s">
        <v>347</v>
      </c>
      <c r="C309" t="s">
        <v>1056</v>
      </c>
      <c r="D309" t="s">
        <v>348</v>
      </c>
      <c r="E309" s="30" t="s">
        <v>72</v>
      </c>
      <c r="F309" s="30" t="s">
        <v>27</v>
      </c>
      <c r="G309" s="30"/>
      <c r="H309" s="30" t="s">
        <v>753</v>
      </c>
      <c r="I309" s="30"/>
      <c r="J309" s="31">
        <f t="shared" si="14"/>
        <v>28</v>
      </c>
      <c r="K309" s="146" t="s">
        <v>1892</v>
      </c>
      <c r="L309" s="31">
        <f t="shared" si="15"/>
        <v>0</v>
      </c>
      <c r="M309" s="32">
        <f t="shared" si="16"/>
        <v>1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286</v>
      </c>
      <c r="B310" t="s">
        <v>363</v>
      </c>
      <c r="C310" t="s">
        <v>1056</v>
      </c>
      <c r="D310" t="s">
        <v>348</v>
      </c>
      <c r="E310" s="30" t="s">
        <v>14</v>
      </c>
      <c r="F310" s="30" t="s">
        <v>27</v>
      </c>
      <c r="G310" s="30"/>
      <c r="H310" s="30" t="s">
        <v>754</v>
      </c>
      <c r="I310" s="30"/>
      <c r="J310" s="31">
        <f t="shared" si="14"/>
        <v>28</v>
      </c>
      <c r="K310" s="146" t="s">
        <v>1893</v>
      </c>
      <c r="L310" s="31">
        <f t="shared" si="15"/>
        <v>0</v>
      </c>
      <c r="M310" s="32">
        <f t="shared" si="16"/>
        <v>1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286</v>
      </c>
      <c r="B311" t="s">
        <v>973</v>
      </c>
      <c r="C311" t="s">
        <v>1056</v>
      </c>
      <c r="D311" t="s">
        <v>974</v>
      </c>
      <c r="E311" s="30" t="s">
        <v>72</v>
      </c>
      <c r="F311" s="30" t="s">
        <v>27</v>
      </c>
      <c r="G311" s="30"/>
      <c r="H311" s="30" t="s">
        <v>1269</v>
      </c>
      <c r="I311" s="30"/>
      <c r="J311" s="31">
        <f t="shared" si="14"/>
        <v>28</v>
      </c>
      <c r="K311" s="146" t="s">
        <v>1894</v>
      </c>
      <c r="L311" s="31">
        <f t="shared" si="15"/>
        <v>0</v>
      </c>
      <c r="M311" s="32">
        <f t="shared" si="16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349</v>
      </c>
      <c r="B312" t="s">
        <v>350</v>
      </c>
      <c r="C312" t="s">
        <v>1056</v>
      </c>
      <c r="D312" t="s">
        <v>351</v>
      </c>
      <c r="E312" s="30" t="s">
        <v>14</v>
      </c>
      <c r="F312" s="30" t="s">
        <v>27</v>
      </c>
      <c r="G312" s="30"/>
      <c r="H312" s="30" t="s">
        <v>755</v>
      </c>
      <c r="I312" s="30"/>
      <c r="J312" s="31">
        <f t="shared" si="14"/>
        <v>28</v>
      </c>
      <c r="K312" s="146" t="s">
        <v>1895</v>
      </c>
      <c r="L312" s="31">
        <f t="shared" si="15"/>
        <v>0</v>
      </c>
      <c r="M312" s="32">
        <f t="shared" si="16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349</v>
      </c>
      <c r="B313" t="s">
        <v>352</v>
      </c>
      <c r="C313" t="s">
        <v>1056</v>
      </c>
      <c r="D313" t="s">
        <v>351</v>
      </c>
      <c r="E313" s="30" t="s">
        <v>72</v>
      </c>
      <c r="F313" s="30" t="s">
        <v>27</v>
      </c>
      <c r="G313" s="30"/>
      <c r="H313" s="30" t="s">
        <v>756</v>
      </c>
      <c r="I313" s="30"/>
      <c r="J313" s="31">
        <f t="shared" si="14"/>
        <v>28</v>
      </c>
      <c r="K313" s="146" t="s">
        <v>1896</v>
      </c>
      <c r="L313" s="31">
        <f t="shared" si="15"/>
        <v>0</v>
      </c>
      <c r="M313" s="32">
        <f t="shared" si="16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349</v>
      </c>
      <c r="B314" t="s">
        <v>975</v>
      </c>
      <c r="C314" t="s">
        <v>1056</v>
      </c>
      <c r="D314" t="s">
        <v>351</v>
      </c>
      <c r="E314" s="30" t="s">
        <v>18</v>
      </c>
      <c r="F314" s="30" t="s">
        <v>27</v>
      </c>
      <c r="G314" s="30"/>
      <c r="H314" s="30" t="s">
        <v>1270</v>
      </c>
      <c r="I314" s="30"/>
      <c r="J314" s="31">
        <f t="shared" si="14"/>
        <v>28</v>
      </c>
      <c r="K314" s="146" t="s">
        <v>1897</v>
      </c>
      <c r="L314" s="31">
        <f t="shared" si="15"/>
        <v>0</v>
      </c>
      <c r="M314" s="32">
        <f t="shared" si="16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353</v>
      </c>
      <c r="B315" t="s">
        <v>968</v>
      </c>
      <c r="C315" t="s">
        <v>1056</v>
      </c>
      <c r="D315" t="s">
        <v>354</v>
      </c>
      <c r="E315" s="30" t="s">
        <v>14</v>
      </c>
      <c r="F315" s="30" t="s">
        <v>27</v>
      </c>
      <c r="G315" s="30"/>
      <c r="H315" s="30" t="s">
        <v>761</v>
      </c>
      <c r="I315" s="30"/>
      <c r="J315" s="31">
        <f t="shared" si="14"/>
        <v>28</v>
      </c>
      <c r="K315" s="146"/>
      <c r="L315" s="31">
        <f t="shared" si="15"/>
        <v>0</v>
      </c>
      <c r="M315" s="32">
        <f t="shared" si="16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195</v>
      </c>
      <c r="B316" s="73" t="s">
        <v>355</v>
      </c>
      <c r="C316" s="73" t="s">
        <v>1056</v>
      </c>
      <c r="D316" s="73" t="s">
        <v>356</v>
      </c>
      <c r="E316" s="85" t="s">
        <v>14</v>
      </c>
      <c r="F316" s="85" t="s">
        <v>1294</v>
      </c>
      <c r="G316" s="85"/>
      <c r="H316" s="85" t="s">
        <v>757</v>
      </c>
      <c r="I316" s="85"/>
      <c r="J316" s="141">
        <f t="shared" si="14"/>
        <v>25</v>
      </c>
      <c r="K316" s="146" t="s">
        <v>1898</v>
      </c>
      <c r="L316" s="141">
        <f t="shared" si="15"/>
        <v>3</v>
      </c>
      <c r="M316" s="142">
        <f t="shared" si="16"/>
        <v>0.8928571428571429</v>
      </c>
      <c r="N316" s="70" t="s">
        <v>2245</v>
      </c>
      <c r="O316" s="70"/>
      <c r="P316" s="70"/>
      <c r="Q316" s="70"/>
      <c r="R316" s="70"/>
      <c r="S316" s="70" t="s">
        <v>2245</v>
      </c>
      <c r="T316" s="70" t="s">
        <v>2245</v>
      </c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195</v>
      </c>
      <c r="B317" s="73" t="s">
        <v>357</v>
      </c>
      <c r="C317" s="73" t="s">
        <v>1056</v>
      </c>
      <c r="D317" s="73" t="s">
        <v>356</v>
      </c>
      <c r="E317" s="85" t="s">
        <v>72</v>
      </c>
      <c r="F317" s="85" t="s">
        <v>1294</v>
      </c>
      <c r="G317" s="85"/>
      <c r="H317" s="85" t="s">
        <v>1615</v>
      </c>
      <c r="I317" s="85"/>
      <c r="J317" s="141">
        <f t="shared" si="14"/>
        <v>28</v>
      </c>
      <c r="K317" s="146" t="s">
        <v>2127</v>
      </c>
      <c r="L317" s="141">
        <f t="shared" si="15"/>
        <v>0</v>
      </c>
      <c r="M317" s="142">
        <f t="shared" si="16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976</v>
      </c>
      <c r="C318" s="73" t="s">
        <v>1056</v>
      </c>
      <c r="D318" s="73" t="s">
        <v>977</v>
      </c>
      <c r="E318" s="85" t="s">
        <v>72</v>
      </c>
      <c r="F318" s="85" t="s">
        <v>1294</v>
      </c>
      <c r="G318" s="85"/>
      <c r="H318" s="85" t="s">
        <v>1271</v>
      </c>
      <c r="I318" s="85"/>
      <c r="J318" s="31">
        <f t="shared" ref="J318:J388" si="17">COUNTIF(N318:AO318,"")</f>
        <v>25</v>
      </c>
      <c r="K318" s="146" t="s">
        <v>1899</v>
      </c>
      <c r="L318" s="31">
        <f t="shared" ref="L318:L388" si="18">COUNTIF(N318:AO318,"APAGADO")</f>
        <v>3</v>
      </c>
      <c r="M318" s="32">
        <f t="shared" ref="M318:M388" si="19">(J318)/(L318+J318)</f>
        <v>0.8928571428571429</v>
      </c>
      <c r="N318" s="70" t="s">
        <v>2245</v>
      </c>
      <c r="O318" s="70"/>
      <c r="P318" s="70"/>
      <c r="Q318" s="70"/>
      <c r="R318" s="70"/>
      <c r="S318" s="70" t="s">
        <v>2245</v>
      </c>
      <c r="T318" s="70" t="s">
        <v>2245</v>
      </c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358</v>
      </c>
      <c r="B319" s="73" t="s">
        <v>1202</v>
      </c>
      <c r="C319" s="73" t="s">
        <v>1056</v>
      </c>
      <c r="D319" s="73" t="s">
        <v>1203</v>
      </c>
      <c r="E319" s="85" t="s">
        <v>14</v>
      </c>
      <c r="F319" s="85" t="s">
        <v>1294</v>
      </c>
      <c r="G319" s="85"/>
      <c r="H319" s="85" t="s">
        <v>762</v>
      </c>
      <c r="I319" s="85"/>
      <c r="J319" s="141">
        <f t="shared" si="17"/>
        <v>25</v>
      </c>
      <c r="K319" s="146" t="s">
        <v>1900</v>
      </c>
      <c r="L319" s="141">
        <f t="shared" si="18"/>
        <v>3</v>
      </c>
      <c r="M319" s="142">
        <f t="shared" si="19"/>
        <v>0.8928571428571429</v>
      </c>
      <c r="N319" s="70" t="s">
        <v>2245</v>
      </c>
      <c r="O319" s="70"/>
      <c r="P319" s="70"/>
      <c r="Q319" s="70"/>
      <c r="R319" s="70"/>
      <c r="S319" s="70" t="s">
        <v>2245</v>
      </c>
      <c r="T319" s="70" t="s">
        <v>2245</v>
      </c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358</v>
      </c>
      <c r="B320" s="73" t="s">
        <v>359</v>
      </c>
      <c r="C320" s="73" t="s">
        <v>1056</v>
      </c>
      <c r="D320" s="73" t="s">
        <v>1203</v>
      </c>
      <c r="E320" s="85" t="s">
        <v>72</v>
      </c>
      <c r="F320" s="85" t="s">
        <v>1294</v>
      </c>
      <c r="G320" s="85"/>
      <c r="H320" s="85" t="s">
        <v>763</v>
      </c>
      <c r="I320" s="85"/>
      <c r="J320" s="141">
        <f t="shared" si="17"/>
        <v>25</v>
      </c>
      <c r="K320" s="146" t="s">
        <v>2169</v>
      </c>
      <c r="L320" s="141">
        <f t="shared" si="18"/>
        <v>3</v>
      </c>
      <c r="M320" s="142">
        <f t="shared" si="19"/>
        <v>0.8928571428571429</v>
      </c>
      <c r="N320" s="70" t="s">
        <v>2245</v>
      </c>
      <c r="O320" s="70"/>
      <c r="P320" s="70"/>
      <c r="Q320" s="70"/>
      <c r="R320" s="70"/>
      <c r="S320" s="70" t="s">
        <v>2245</v>
      </c>
      <c r="T320" s="70" t="s">
        <v>2245</v>
      </c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978</v>
      </c>
      <c r="C321" s="73" t="s">
        <v>1056</v>
      </c>
      <c r="D321" s="73" t="s">
        <v>979</v>
      </c>
      <c r="E321" s="85" t="s">
        <v>18</v>
      </c>
      <c r="F321" s="85" t="s">
        <v>1294</v>
      </c>
      <c r="G321" s="85"/>
      <c r="H321" s="85" t="s">
        <v>1272</v>
      </c>
      <c r="I321" s="85"/>
      <c r="J321" s="141">
        <f t="shared" si="17"/>
        <v>25</v>
      </c>
      <c r="K321" s="146" t="s">
        <v>1901</v>
      </c>
      <c r="L321" s="141">
        <f t="shared" si="18"/>
        <v>3</v>
      </c>
      <c r="M321" s="142">
        <f t="shared" si="19"/>
        <v>0.8928571428571429</v>
      </c>
      <c r="N321" s="70" t="s">
        <v>2245</v>
      </c>
      <c r="O321" s="70"/>
      <c r="P321" s="70"/>
      <c r="Q321" s="70"/>
      <c r="R321" s="70"/>
      <c r="S321" s="70" t="s">
        <v>2245</v>
      </c>
      <c r="T321" s="70" t="s">
        <v>2245</v>
      </c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349</v>
      </c>
      <c r="B322" t="s">
        <v>360</v>
      </c>
      <c r="C322" t="s">
        <v>1056</v>
      </c>
      <c r="D322" t="s">
        <v>361</v>
      </c>
      <c r="E322" s="30" t="s">
        <v>14</v>
      </c>
      <c r="F322" s="30" t="s">
        <v>27</v>
      </c>
      <c r="G322" s="30"/>
      <c r="H322" s="30" t="s">
        <v>759</v>
      </c>
      <c r="I322" s="30"/>
      <c r="J322" s="31">
        <f t="shared" si="17"/>
        <v>25</v>
      </c>
      <c r="K322" s="146" t="s">
        <v>1902</v>
      </c>
      <c r="L322" s="31">
        <f t="shared" si="18"/>
        <v>3</v>
      </c>
      <c r="M322" s="32">
        <f t="shared" si="19"/>
        <v>0.8928571428571429</v>
      </c>
      <c r="N322" s="70" t="s">
        <v>2245</v>
      </c>
      <c r="O322" s="70"/>
      <c r="P322" s="70"/>
      <c r="Q322" s="70"/>
      <c r="R322" s="70"/>
      <c r="S322" s="70" t="s">
        <v>2245</v>
      </c>
      <c r="T322" s="70" t="s">
        <v>2245</v>
      </c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349</v>
      </c>
      <c r="B323" t="s">
        <v>362</v>
      </c>
      <c r="C323" t="s">
        <v>1056</v>
      </c>
      <c r="D323" t="s">
        <v>361</v>
      </c>
      <c r="E323" s="30" t="s">
        <v>72</v>
      </c>
      <c r="F323" s="30" t="s">
        <v>27</v>
      </c>
      <c r="G323" s="30"/>
      <c r="H323" s="30" t="s">
        <v>758</v>
      </c>
      <c r="I323" s="30"/>
      <c r="J323" s="31">
        <f t="shared" si="17"/>
        <v>28</v>
      </c>
      <c r="K323" s="146" t="s">
        <v>1903</v>
      </c>
      <c r="L323" s="31">
        <f t="shared" si="18"/>
        <v>0</v>
      </c>
      <c r="M323" s="32">
        <f t="shared" si="19"/>
        <v>1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980</v>
      </c>
      <c r="C324" t="s">
        <v>1056</v>
      </c>
      <c r="D324" t="s">
        <v>981</v>
      </c>
      <c r="E324" s="30" t="s">
        <v>72</v>
      </c>
      <c r="F324" s="30" t="s">
        <v>27</v>
      </c>
      <c r="G324" s="30"/>
      <c r="H324" s="30" t="s">
        <v>1273</v>
      </c>
      <c r="I324" s="30"/>
      <c r="J324" s="31">
        <f t="shared" si="17"/>
        <v>28</v>
      </c>
      <c r="K324" s="146" t="s">
        <v>1904</v>
      </c>
      <c r="L324" s="31">
        <f t="shared" si="18"/>
        <v>0</v>
      </c>
      <c r="M324" s="32">
        <f t="shared" si="19"/>
        <v>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228</v>
      </c>
      <c r="B325" t="s">
        <v>1284</v>
      </c>
      <c r="C325" t="s">
        <v>1056</v>
      </c>
      <c r="D325" t="s">
        <v>983</v>
      </c>
      <c r="E325" s="30" t="s">
        <v>72</v>
      </c>
      <c r="F325" s="30" t="s">
        <v>27</v>
      </c>
      <c r="G325" s="30"/>
      <c r="H325" s="30" t="s">
        <v>760</v>
      </c>
      <c r="I325" s="30"/>
      <c r="J325" s="31">
        <f t="shared" si="17"/>
        <v>28</v>
      </c>
      <c r="K325" s="146" t="s">
        <v>1905</v>
      </c>
      <c r="L325" s="31">
        <f t="shared" si="18"/>
        <v>0</v>
      </c>
      <c r="M325" s="32">
        <f t="shared" si="19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228</v>
      </c>
      <c r="B326" t="s">
        <v>1285</v>
      </c>
      <c r="C326" t="s">
        <v>1056</v>
      </c>
      <c r="D326" t="s">
        <v>983</v>
      </c>
      <c r="E326" s="30" t="s">
        <v>72</v>
      </c>
      <c r="F326" s="30" t="s">
        <v>27</v>
      </c>
      <c r="G326" s="30"/>
      <c r="H326" s="30" t="s">
        <v>752</v>
      </c>
      <c r="I326" s="30"/>
      <c r="J326" s="31">
        <f t="shared" si="17"/>
        <v>28</v>
      </c>
      <c r="K326" s="146" t="s">
        <v>1906</v>
      </c>
      <c r="L326" s="31">
        <f t="shared" si="18"/>
        <v>0</v>
      </c>
      <c r="M326" s="32">
        <f t="shared" si="19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228</v>
      </c>
      <c r="B327" t="s">
        <v>982</v>
      </c>
      <c r="C327" t="s">
        <v>1056</v>
      </c>
      <c r="D327" t="s">
        <v>983</v>
      </c>
      <c r="E327" s="30" t="s">
        <v>72</v>
      </c>
      <c r="F327" s="30" t="s">
        <v>27</v>
      </c>
      <c r="G327" s="30"/>
      <c r="H327" s="30" t="s">
        <v>1286</v>
      </c>
      <c r="I327" s="30"/>
      <c r="J327" s="31">
        <f t="shared" si="17"/>
        <v>28</v>
      </c>
      <c r="K327" s="146" t="s">
        <v>1907</v>
      </c>
      <c r="L327" s="31">
        <f t="shared" si="18"/>
        <v>0</v>
      </c>
      <c r="M327" s="32">
        <f t="shared" si="19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364</v>
      </c>
      <c r="B328" t="s">
        <v>365</v>
      </c>
      <c r="C328" t="s">
        <v>1056</v>
      </c>
      <c r="D328" t="s">
        <v>366</v>
      </c>
      <c r="E328" s="30" t="s">
        <v>14</v>
      </c>
      <c r="F328" s="30" t="s">
        <v>27</v>
      </c>
      <c r="G328" s="30"/>
      <c r="H328" s="30" t="s">
        <v>764</v>
      </c>
      <c r="I328" s="30"/>
      <c r="J328" s="31">
        <f t="shared" si="17"/>
        <v>27</v>
      </c>
      <c r="K328" s="146" t="s">
        <v>1908</v>
      </c>
      <c r="L328" s="31">
        <f t="shared" si="18"/>
        <v>1</v>
      </c>
      <c r="M328" s="32">
        <f t="shared" si="19"/>
        <v>0.9642857142857143</v>
      </c>
      <c r="N328" s="70"/>
      <c r="O328" s="70"/>
      <c r="P328" s="70"/>
      <c r="Q328" s="70"/>
      <c r="R328" s="70"/>
      <c r="S328" s="70" t="s">
        <v>2245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364</v>
      </c>
      <c r="B329" t="s">
        <v>984</v>
      </c>
      <c r="C329" t="s">
        <v>1056</v>
      </c>
      <c r="D329" t="s">
        <v>367</v>
      </c>
      <c r="E329" s="30" t="s">
        <v>14</v>
      </c>
      <c r="F329" s="30" t="s">
        <v>27</v>
      </c>
      <c r="G329" s="30"/>
      <c r="H329" s="30" t="s">
        <v>765</v>
      </c>
      <c r="I329" s="30"/>
      <c r="J329" s="31">
        <f t="shared" si="17"/>
        <v>27</v>
      </c>
      <c r="K329" s="146" t="s">
        <v>1909</v>
      </c>
      <c r="L329" s="31">
        <f t="shared" si="18"/>
        <v>1</v>
      </c>
      <c r="M329" s="32">
        <f t="shared" si="19"/>
        <v>0.9642857142857143</v>
      </c>
      <c r="N329" s="70"/>
      <c r="O329" s="70"/>
      <c r="P329" s="70"/>
      <c r="Q329" s="70"/>
      <c r="R329" s="70"/>
      <c r="S329" s="70" t="s">
        <v>2245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364</v>
      </c>
      <c r="B330" t="s">
        <v>368</v>
      </c>
      <c r="C330" t="s">
        <v>1056</v>
      </c>
      <c r="D330" t="s">
        <v>369</v>
      </c>
      <c r="E330" s="30" t="s">
        <v>72</v>
      </c>
      <c r="F330" s="30" t="s">
        <v>27</v>
      </c>
      <c r="G330" s="30"/>
      <c r="H330" s="30" t="s">
        <v>766</v>
      </c>
      <c r="I330" s="30"/>
      <c r="J330" s="31">
        <f t="shared" si="17"/>
        <v>27</v>
      </c>
      <c r="K330" s="146" t="s">
        <v>1910</v>
      </c>
      <c r="L330" s="31">
        <f t="shared" si="18"/>
        <v>1</v>
      </c>
      <c r="M330" s="32">
        <f t="shared" si="19"/>
        <v>0.9642857142857143</v>
      </c>
      <c r="N330" s="70"/>
      <c r="O330" s="70"/>
      <c r="P330" s="70"/>
      <c r="Q330" s="70"/>
      <c r="R330" s="70"/>
      <c r="S330" s="70" t="s">
        <v>2245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364</v>
      </c>
      <c r="B331" t="s">
        <v>370</v>
      </c>
      <c r="C331" t="s">
        <v>1056</v>
      </c>
      <c r="D331" t="s">
        <v>369</v>
      </c>
      <c r="E331" s="30" t="s">
        <v>72</v>
      </c>
      <c r="F331" s="30" t="s">
        <v>27</v>
      </c>
      <c r="G331" s="30"/>
      <c r="H331" s="30" t="s">
        <v>767</v>
      </c>
      <c r="I331" s="30"/>
      <c r="J331" s="31">
        <f t="shared" si="17"/>
        <v>27</v>
      </c>
      <c r="K331" s="146" t="s">
        <v>1911</v>
      </c>
      <c r="L331" s="31">
        <f t="shared" si="18"/>
        <v>1</v>
      </c>
      <c r="M331" s="32">
        <f t="shared" si="19"/>
        <v>0.9642857142857143</v>
      </c>
      <c r="N331" s="70"/>
      <c r="O331" s="70"/>
      <c r="P331" s="70"/>
      <c r="Q331" s="70"/>
      <c r="R331" s="70"/>
      <c r="S331" s="70" t="s">
        <v>2245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364</v>
      </c>
      <c r="B332" t="s">
        <v>371</v>
      </c>
      <c r="C332" t="s">
        <v>1056</v>
      </c>
      <c r="D332" t="s">
        <v>372</v>
      </c>
      <c r="E332" s="30" t="s">
        <v>72</v>
      </c>
      <c r="F332" s="30" t="s">
        <v>27</v>
      </c>
      <c r="G332" s="30"/>
      <c r="H332" s="30" t="s">
        <v>768</v>
      </c>
      <c r="I332" s="30"/>
      <c r="J332" s="31">
        <f t="shared" si="17"/>
        <v>27</v>
      </c>
      <c r="K332" s="146" t="s">
        <v>1912</v>
      </c>
      <c r="L332" s="31">
        <f t="shared" si="18"/>
        <v>1</v>
      </c>
      <c r="M332" s="32">
        <f t="shared" si="19"/>
        <v>0.9642857142857143</v>
      </c>
      <c r="N332" s="70"/>
      <c r="O332" s="70"/>
      <c r="P332" s="70"/>
      <c r="Q332" s="70"/>
      <c r="R332" s="70"/>
      <c r="S332" s="70" t="s">
        <v>2245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364</v>
      </c>
      <c r="B333" t="s">
        <v>373</v>
      </c>
      <c r="C333" t="s">
        <v>1056</v>
      </c>
      <c r="D333" t="s">
        <v>372</v>
      </c>
      <c r="E333" s="30" t="s">
        <v>45</v>
      </c>
      <c r="F333" s="30" t="s">
        <v>27</v>
      </c>
      <c r="G333" s="30"/>
      <c r="H333" s="30" t="s">
        <v>769</v>
      </c>
      <c r="I333" s="30"/>
      <c r="J333" s="31">
        <f t="shared" si="17"/>
        <v>27</v>
      </c>
      <c r="K333" s="146" t="s">
        <v>1913</v>
      </c>
      <c r="L333" s="31">
        <f t="shared" si="18"/>
        <v>1</v>
      </c>
      <c r="M333" s="32">
        <f t="shared" si="19"/>
        <v>0.9642857142857143</v>
      </c>
      <c r="N333" s="70"/>
      <c r="O333" s="70"/>
      <c r="P333" s="70"/>
      <c r="Q333" s="70"/>
      <c r="R333" s="70"/>
      <c r="S333" s="70" t="s">
        <v>2245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364</v>
      </c>
      <c r="B334" t="s">
        <v>1328</v>
      </c>
      <c r="C334" t="s">
        <v>1055</v>
      </c>
      <c r="D334" t="s">
        <v>1329</v>
      </c>
      <c r="E334" s="30"/>
      <c r="F334" s="30" t="s">
        <v>27</v>
      </c>
      <c r="G334" s="30"/>
      <c r="H334" s="30" t="s">
        <v>1339</v>
      </c>
      <c r="I334" s="30"/>
      <c r="J334" s="31">
        <f t="shared" si="17"/>
        <v>26</v>
      </c>
      <c r="K334" s="146" t="s">
        <v>1914</v>
      </c>
      <c r="L334" s="31">
        <f t="shared" si="18"/>
        <v>2</v>
      </c>
      <c r="M334" s="32">
        <f t="shared" si="19"/>
        <v>0.9285714285714286</v>
      </c>
      <c r="N334" s="70"/>
      <c r="O334" s="70"/>
      <c r="P334" s="70"/>
      <c r="Q334" s="70"/>
      <c r="R334" s="70"/>
      <c r="S334" s="70" t="s">
        <v>2245</v>
      </c>
      <c r="T334" s="70" t="s">
        <v>2245</v>
      </c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364</v>
      </c>
      <c r="B335" t="s">
        <v>1371</v>
      </c>
      <c r="C335" t="s">
        <v>1056</v>
      </c>
      <c r="D335" s="68" t="s">
        <v>1374</v>
      </c>
      <c r="E335" s="30" t="s">
        <v>18</v>
      </c>
      <c r="F335" s="30" t="s">
        <v>27</v>
      </c>
      <c r="G335" s="30"/>
      <c r="H335" s="30" t="s">
        <v>1386</v>
      </c>
      <c r="I335" s="30"/>
      <c r="J335" s="31">
        <f t="shared" si="17"/>
        <v>28</v>
      </c>
      <c r="K335" s="146" t="s">
        <v>1915</v>
      </c>
      <c r="L335" s="31">
        <f t="shared" si="18"/>
        <v>0</v>
      </c>
      <c r="M335" s="32">
        <f t="shared" si="19"/>
        <v>1</v>
      </c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364</v>
      </c>
      <c r="B336" t="s">
        <v>1372</v>
      </c>
      <c r="C336" t="s">
        <v>1056</v>
      </c>
      <c r="D336" s="68" t="s">
        <v>1375</v>
      </c>
      <c r="E336" s="30" t="s">
        <v>72</v>
      </c>
      <c r="F336" s="30" t="s">
        <v>27</v>
      </c>
      <c r="G336" s="30"/>
      <c r="H336" s="30" t="s">
        <v>1387</v>
      </c>
      <c r="I336" s="30"/>
      <c r="J336" s="31">
        <f t="shared" si="17"/>
        <v>28</v>
      </c>
      <c r="K336" s="146" t="s">
        <v>1916</v>
      </c>
      <c r="L336" s="31">
        <f t="shared" si="18"/>
        <v>0</v>
      </c>
      <c r="M336" s="32">
        <f t="shared" si="19"/>
        <v>1</v>
      </c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364</v>
      </c>
      <c r="B337" t="s">
        <v>1373</v>
      </c>
      <c r="C337" t="s">
        <v>1056</v>
      </c>
      <c r="D337" s="68" t="s">
        <v>1376</v>
      </c>
      <c r="E337" s="30" t="s">
        <v>72</v>
      </c>
      <c r="F337" s="30" t="s">
        <v>27</v>
      </c>
      <c r="G337" s="30"/>
      <c r="H337" s="30" t="s">
        <v>1388</v>
      </c>
      <c r="I337" s="30"/>
      <c r="J337" s="31">
        <f t="shared" si="17"/>
        <v>28</v>
      </c>
      <c r="K337" s="146" t="s">
        <v>1917</v>
      </c>
      <c r="L337" s="31">
        <f t="shared" si="18"/>
        <v>0</v>
      </c>
      <c r="M337" s="32">
        <f t="shared" si="19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364</v>
      </c>
      <c r="B338" t="s">
        <v>2217</v>
      </c>
      <c r="C338" t="s">
        <v>1056</v>
      </c>
      <c r="D338" s="68" t="s">
        <v>2203</v>
      </c>
      <c r="E338" s="85" t="s">
        <v>14</v>
      </c>
      <c r="F338" s="30" t="s">
        <v>27</v>
      </c>
      <c r="G338" s="30"/>
      <c r="H338" s="30" t="s">
        <v>2218</v>
      </c>
      <c r="I338" s="30"/>
      <c r="J338" s="31">
        <f t="shared" si="17"/>
        <v>28</v>
      </c>
      <c r="K338" s="146" t="s">
        <v>2204</v>
      </c>
      <c r="L338" s="31">
        <f t="shared" si="18"/>
        <v>0</v>
      </c>
      <c r="M338" s="32">
        <f t="shared" si="19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364</v>
      </c>
      <c r="B339" t="s">
        <v>2205</v>
      </c>
      <c r="C339" t="s">
        <v>1056</v>
      </c>
      <c r="D339" s="68" t="s">
        <v>2206</v>
      </c>
      <c r="E339" s="85" t="s">
        <v>14</v>
      </c>
      <c r="F339" s="30" t="s">
        <v>27</v>
      </c>
      <c r="G339" s="30"/>
      <c r="H339" s="30" t="s">
        <v>2309</v>
      </c>
      <c r="I339" s="30"/>
      <c r="J339" s="31">
        <f t="shared" si="17"/>
        <v>28</v>
      </c>
      <c r="K339" s="146" t="s">
        <v>2207</v>
      </c>
      <c r="L339" s="31">
        <f t="shared" si="18"/>
        <v>0</v>
      </c>
      <c r="M339" s="32">
        <f t="shared" si="19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374</v>
      </c>
      <c r="B340" s="73" t="s">
        <v>994</v>
      </c>
      <c r="C340" s="73" t="s">
        <v>1056</v>
      </c>
      <c r="D340" s="73" t="s">
        <v>375</v>
      </c>
      <c r="E340" s="85" t="s">
        <v>14</v>
      </c>
      <c r="F340" s="85" t="s">
        <v>27</v>
      </c>
      <c r="G340" s="85"/>
      <c r="H340" s="85" t="s">
        <v>770</v>
      </c>
      <c r="I340" s="85"/>
      <c r="J340" s="87">
        <f t="shared" si="17"/>
        <v>28</v>
      </c>
      <c r="K340" s="146" t="s">
        <v>1918</v>
      </c>
      <c r="L340" s="87">
        <f t="shared" si="18"/>
        <v>0</v>
      </c>
      <c r="M340" s="88">
        <f t="shared" si="19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374</v>
      </c>
      <c r="B341" t="s">
        <v>995</v>
      </c>
      <c r="C341" t="s">
        <v>1056</v>
      </c>
      <c r="D341" t="s">
        <v>376</v>
      </c>
      <c r="E341" s="30" t="s">
        <v>14</v>
      </c>
      <c r="F341" s="30" t="s">
        <v>27</v>
      </c>
      <c r="G341" s="30"/>
      <c r="H341" s="30" t="s">
        <v>773</v>
      </c>
      <c r="I341" s="30"/>
      <c r="J341" s="31">
        <f t="shared" si="17"/>
        <v>28</v>
      </c>
      <c r="K341" s="146" t="s">
        <v>1919</v>
      </c>
      <c r="L341" s="31">
        <f t="shared" si="18"/>
        <v>0</v>
      </c>
      <c r="M341" s="32">
        <f t="shared" si="19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374</v>
      </c>
      <c r="B342" t="s">
        <v>377</v>
      </c>
      <c r="C342" t="s">
        <v>1056</v>
      </c>
      <c r="D342" t="s">
        <v>378</v>
      </c>
      <c r="E342" s="30" t="s">
        <v>72</v>
      </c>
      <c r="F342" s="30" t="s">
        <v>27</v>
      </c>
      <c r="G342" s="30"/>
      <c r="H342" s="30" t="s">
        <v>771</v>
      </c>
      <c r="I342" s="30"/>
      <c r="J342" s="31">
        <f t="shared" si="17"/>
        <v>28</v>
      </c>
      <c r="K342" s="146" t="s">
        <v>1920</v>
      </c>
      <c r="L342" s="31">
        <f t="shared" si="18"/>
        <v>0</v>
      </c>
      <c r="M342" s="32">
        <f t="shared" si="19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374</v>
      </c>
      <c r="B343" t="s">
        <v>379</v>
      </c>
      <c r="C343" t="s">
        <v>1056</v>
      </c>
      <c r="D343" t="s">
        <v>378</v>
      </c>
      <c r="E343" s="30" t="s">
        <v>72</v>
      </c>
      <c r="F343" s="30" t="s">
        <v>27</v>
      </c>
      <c r="G343" s="30"/>
      <c r="H343" s="30" t="s">
        <v>772</v>
      </c>
      <c r="I343" s="30"/>
      <c r="J343" s="31">
        <f t="shared" si="17"/>
        <v>28</v>
      </c>
      <c r="K343" s="146" t="s">
        <v>1921</v>
      </c>
      <c r="L343" s="31">
        <f t="shared" si="18"/>
        <v>0</v>
      </c>
      <c r="M343" s="32">
        <f t="shared" si="19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374</v>
      </c>
      <c r="B344" t="s">
        <v>985</v>
      </c>
      <c r="C344" t="s">
        <v>1056</v>
      </c>
      <c r="D344" t="s">
        <v>380</v>
      </c>
      <c r="E344" s="30" t="s">
        <v>14</v>
      </c>
      <c r="F344" s="30" t="s">
        <v>27</v>
      </c>
      <c r="G344" s="30"/>
      <c r="H344" s="30" t="s">
        <v>774</v>
      </c>
      <c r="I344" s="30"/>
      <c r="J344" s="31">
        <f t="shared" si="17"/>
        <v>28</v>
      </c>
      <c r="K344" s="146" t="s">
        <v>1922</v>
      </c>
      <c r="L344" s="31">
        <f t="shared" si="18"/>
        <v>0</v>
      </c>
      <c r="M344" s="32">
        <f t="shared" si="19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374</v>
      </c>
      <c r="B345" t="s">
        <v>986</v>
      </c>
      <c r="C345" t="s">
        <v>1056</v>
      </c>
      <c r="D345" t="s">
        <v>987</v>
      </c>
      <c r="E345" s="30" t="s">
        <v>18</v>
      </c>
      <c r="F345" s="30" t="s">
        <v>27</v>
      </c>
      <c r="G345" s="30"/>
      <c r="H345" s="30" t="s">
        <v>899</v>
      </c>
      <c r="I345" s="30"/>
      <c r="J345" s="31">
        <f t="shared" si="17"/>
        <v>27</v>
      </c>
      <c r="K345" s="146" t="s">
        <v>1923</v>
      </c>
      <c r="L345" s="31">
        <f t="shared" si="18"/>
        <v>1</v>
      </c>
      <c r="M345" s="32">
        <f t="shared" si="19"/>
        <v>0.9642857142857143</v>
      </c>
      <c r="N345" s="70"/>
      <c r="O345" s="70"/>
      <c r="P345" s="70"/>
      <c r="Q345" s="70"/>
      <c r="R345" s="70"/>
      <c r="S345" s="70" t="s">
        <v>2245</v>
      </c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374</v>
      </c>
      <c r="B346" t="s">
        <v>988</v>
      </c>
      <c r="C346" t="s">
        <v>1056</v>
      </c>
      <c r="D346" t="s">
        <v>989</v>
      </c>
      <c r="E346" s="30" t="s">
        <v>18</v>
      </c>
      <c r="F346" s="30" t="s">
        <v>27</v>
      </c>
      <c r="G346" s="30"/>
      <c r="H346" s="30" t="s">
        <v>900</v>
      </c>
      <c r="I346" s="30"/>
      <c r="J346" s="31">
        <f t="shared" si="17"/>
        <v>28</v>
      </c>
      <c r="K346" s="146" t="s">
        <v>1924</v>
      </c>
      <c r="L346" s="31">
        <f t="shared" si="18"/>
        <v>0</v>
      </c>
      <c r="M346" s="32">
        <f t="shared" si="19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374</v>
      </c>
      <c r="B347" t="s">
        <v>990</v>
      </c>
      <c r="C347" t="s">
        <v>1056</v>
      </c>
      <c r="D347" t="s">
        <v>991</v>
      </c>
      <c r="E347" s="30" t="s">
        <v>18</v>
      </c>
      <c r="F347" s="30" t="s">
        <v>27</v>
      </c>
      <c r="G347" s="30"/>
      <c r="H347" s="30" t="s">
        <v>901</v>
      </c>
      <c r="I347" s="30"/>
      <c r="J347" s="31">
        <f t="shared" si="17"/>
        <v>28</v>
      </c>
      <c r="K347" s="146" t="s">
        <v>1925</v>
      </c>
      <c r="L347" s="31">
        <f t="shared" si="18"/>
        <v>0</v>
      </c>
      <c r="M347" s="32">
        <f t="shared" si="19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374</v>
      </c>
      <c r="B348" t="s">
        <v>992</v>
      </c>
      <c r="C348" t="s">
        <v>1056</v>
      </c>
      <c r="D348" t="s">
        <v>993</v>
      </c>
      <c r="E348" s="30" t="s">
        <v>18</v>
      </c>
      <c r="F348" s="30" t="s">
        <v>27</v>
      </c>
      <c r="G348" s="30"/>
      <c r="H348" s="30" t="s">
        <v>902</v>
      </c>
      <c r="I348" s="30"/>
      <c r="J348" s="31">
        <f t="shared" si="17"/>
        <v>27</v>
      </c>
      <c r="K348" s="146" t="s">
        <v>1926</v>
      </c>
      <c r="L348" s="31">
        <f t="shared" si="18"/>
        <v>1</v>
      </c>
      <c r="M348" s="32">
        <f t="shared" si="19"/>
        <v>0.9642857142857143</v>
      </c>
      <c r="N348" s="70"/>
      <c r="O348" s="70"/>
      <c r="P348" s="70"/>
      <c r="Q348" s="70"/>
      <c r="R348" s="70"/>
      <c r="S348" s="70" t="s">
        <v>2245</v>
      </c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374</v>
      </c>
      <c r="B349" t="s">
        <v>1167</v>
      </c>
      <c r="C349" t="s">
        <v>1056</v>
      </c>
      <c r="D349" t="s">
        <v>1150</v>
      </c>
      <c r="E349" s="30" t="s">
        <v>18</v>
      </c>
      <c r="F349" s="30" t="s">
        <v>27</v>
      </c>
      <c r="G349" s="30"/>
      <c r="H349" s="30" t="s">
        <v>1152</v>
      </c>
      <c r="I349" s="30"/>
      <c r="J349" s="31">
        <f t="shared" si="17"/>
        <v>28</v>
      </c>
      <c r="K349" s="146" t="s">
        <v>1927</v>
      </c>
      <c r="L349" s="31">
        <f t="shared" si="18"/>
        <v>0</v>
      </c>
      <c r="M349" s="32">
        <f t="shared" si="19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374</v>
      </c>
      <c r="B350" t="s">
        <v>1168</v>
      </c>
      <c r="C350" t="s">
        <v>1056</v>
      </c>
      <c r="D350" t="s">
        <v>1150</v>
      </c>
      <c r="E350" s="30" t="s">
        <v>18</v>
      </c>
      <c r="F350" s="30" t="s">
        <v>27</v>
      </c>
      <c r="G350" s="30"/>
      <c r="H350" s="30" t="s">
        <v>1153</v>
      </c>
      <c r="I350" s="30"/>
      <c r="J350" s="31">
        <f t="shared" si="17"/>
        <v>28</v>
      </c>
      <c r="K350" s="146" t="s">
        <v>1928</v>
      </c>
      <c r="L350" s="31">
        <f t="shared" si="18"/>
        <v>0</v>
      </c>
      <c r="M350" s="32">
        <f t="shared" si="19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</row>
    <row r="351" spans="1:43" ht="15.75" thickBot="1" x14ac:dyDescent="0.3">
      <c r="A351" t="s">
        <v>374</v>
      </c>
      <c r="B351" t="s">
        <v>1186</v>
      </c>
      <c r="C351" t="s">
        <v>1056</v>
      </c>
      <c r="D351" t="s">
        <v>1149</v>
      </c>
      <c r="E351" s="30" t="s">
        <v>14</v>
      </c>
      <c r="F351" s="30" t="s">
        <v>27</v>
      </c>
      <c r="G351" s="30"/>
      <c r="H351" s="30" t="s">
        <v>1151</v>
      </c>
      <c r="I351" s="30"/>
      <c r="J351" s="31">
        <f t="shared" si="17"/>
        <v>28</v>
      </c>
      <c r="K351" s="146" t="s">
        <v>1929</v>
      </c>
      <c r="L351" s="31">
        <f t="shared" si="18"/>
        <v>0</v>
      </c>
      <c r="M351" s="32">
        <f t="shared" si="19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374</v>
      </c>
      <c r="B352" t="s">
        <v>1289</v>
      </c>
      <c r="C352" t="s">
        <v>1056</v>
      </c>
      <c r="D352" t="s">
        <v>1290</v>
      </c>
      <c r="E352" s="30" t="s">
        <v>72</v>
      </c>
      <c r="F352" s="30" t="s">
        <v>27</v>
      </c>
      <c r="G352" s="30"/>
      <c r="H352" s="30" t="s">
        <v>1472</v>
      </c>
      <c r="I352" s="30"/>
      <c r="J352" s="31">
        <f t="shared" si="17"/>
        <v>28</v>
      </c>
      <c r="K352" s="146" t="s">
        <v>1930</v>
      </c>
      <c r="L352" s="31">
        <f t="shared" si="18"/>
        <v>0</v>
      </c>
      <c r="M352" s="32">
        <f t="shared" si="19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374</v>
      </c>
      <c r="B353" t="s">
        <v>1377</v>
      </c>
      <c r="C353" t="s">
        <v>1056</v>
      </c>
      <c r="D353" s="68" t="s">
        <v>1380</v>
      </c>
      <c r="E353" s="30" t="s">
        <v>14</v>
      </c>
      <c r="F353" s="30" t="s">
        <v>1049</v>
      </c>
      <c r="G353" s="30"/>
      <c r="H353" s="30" t="s">
        <v>1384</v>
      </c>
      <c r="I353" s="30"/>
      <c r="J353" s="31">
        <f t="shared" si="17"/>
        <v>28</v>
      </c>
      <c r="K353" s="146"/>
      <c r="L353" s="31">
        <f t="shared" si="18"/>
        <v>0</v>
      </c>
      <c r="M353" s="32">
        <f t="shared" si="19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374</v>
      </c>
      <c r="B354" t="s">
        <v>1378</v>
      </c>
      <c r="C354" t="s">
        <v>1056</v>
      </c>
      <c r="D354" s="68" t="s">
        <v>1381</v>
      </c>
      <c r="E354" s="30" t="s">
        <v>72</v>
      </c>
      <c r="F354" s="30" t="s">
        <v>1049</v>
      </c>
      <c r="G354" s="30"/>
      <c r="H354" s="30" t="s">
        <v>1385</v>
      </c>
      <c r="I354" s="30"/>
      <c r="J354" s="31">
        <f t="shared" si="17"/>
        <v>28</v>
      </c>
      <c r="K354" s="146"/>
      <c r="L354" s="31">
        <f t="shared" si="18"/>
        <v>0</v>
      </c>
      <c r="M354" s="32">
        <f t="shared" si="19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374</v>
      </c>
      <c r="B355" t="s">
        <v>1379</v>
      </c>
      <c r="C355" t="s">
        <v>1056</v>
      </c>
      <c r="D355" s="68" t="s">
        <v>1382</v>
      </c>
      <c r="E355" s="30" t="s">
        <v>14</v>
      </c>
      <c r="F355" s="30" t="s">
        <v>27</v>
      </c>
      <c r="G355" s="30"/>
      <c r="H355" s="30" t="s">
        <v>1489</v>
      </c>
      <c r="I355" s="30"/>
      <c r="J355" s="31">
        <f t="shared" si="17"/>
        <v>28</v>
      </c>
      <c r="K355" s="146" t="s">
        <v>1931</v>
      </c>
      <c r="L355" s="31">
        <f t="shared" si="18"/>
        <v>0</v>
      </c>
      <c r="M355" s="32">
        <f t="shared" si="19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892</v>
      </c>
      <c r="B356" s="73" t="s">
        <v>996</v>
      </c>
      <c r="C356" s="73" t="s">
        <v>1056</v>
      </c>
      <c r="D356" s="73" t="s">
        <v>997</v>
      </c>
      <c r="E356" s="85" t="s">
        <v>1050</v>
      </c>
      <c r="F356" s="85" t="s">
        <v>1294</v>
      </c>
      <c r="G356" s="30"/>
      <c r="H356" s="85" t="s">
        <v>894</v>
      </c>
      <c r="I356" s="85"/>
      <c r="J356" s="141">
        <f t="shared" si="17"/>
        <v>28</v>
      </c>
      <c r="K356" s="146"/>
      <c r="L356" s="141">
        <f t="shared" si="18"/>
        <v>0</v>
      </c>
      <c r="M356" s="142">
        <f t="shared" si="19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892</v>
      </c>
      <c r="B357" s="73" t="s">
        <v>891</v>
      </c>
      <c r="C357" s="73" t="s">
        <v>1056</v>
      </c>
      <c r="D357" s="73" t="s">
        <v>997</v>
      </c>
      <c r="E357" s="85" t="s">
        <v>1051</v>
      </c>
      <c r="F357" s="85" t="s">
        <v>1294</v>
      </c>
      <c r="G357" s="30"/>
      <c r="H357" s="85" t="s">
        <v>893</v>
      </c>
      <c r="I357" s="85"/>
      <c r="J357" s="141">
        <f t="shared" si="17"/>
        <v>28</v>
      </c>
      <c r="K357" s="146"/>
      <c r="L357" s="141">
        <f t="shared" si="18"/>
        <v>0</v>
      </c>
      <c r="M357" s="142">
        <f t="shared" si="19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263</v>
      </c>
      <c r="B358" t="s">
        <v>381</v>
      </c>
      <c r="C358" t="s">
        <v>1055</v>
      </c>
      <c r="D358" t="s">
        <v>382</v>
      </c>
      <c r="E358" s="30" t="s">
        <v>18</v>
      </c>
      <c r="F358" s="30" t="s">
        <v>27</v>
      </c>
      <c r="G358" s="30"/>
      <c r="H358" s="30" t="s">
        <v>775</v>
      </c>
      <c r="I358" s="30"/>
      <c r="J358" s="31">
        <f t="shared" si="17"/>
        <v>28</v>
      </c>
      <c r="K358" s="146" t="s">
        <v>1932</v>
      </c>
      <c r="L358" s="31">
        <f t="shared" si="18"/>
        <v>0</v>
      </c>
      <c r="M358" s="32">
        <f t="shared" si="19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263</v>
      </c>
      <c r="B359" s="73" t="s">
        <v>998</v>
      </c>
      <c r="C359" s="73" t="s">
        <v>1055</v>
      </c>
      <c r="D359" s="73" t="s">
        <v>337</v>
      </c>
      <c r="E359" s="85" t="s">
        <v>72</v>
      </c>
      <c r="F359" s="85" t="s">
        <v>1294</v>
      </c>
      <c r="G359" s="30"/>
      <c r="H359" s="85" t="s">
        <v>744</v>
      </c>
      <c r="I359" s="85"/>
      <c r="J359" s="141">
        <f t="shared" si="17"/>
        <v>28</v>
      </c>
      <c r="K359" s="146" t="s">
        <v>1933</v>
      </c>
      <c r="L359" s="141">
        <f t="shared" si="18"/>
        <v>0</v>
      </c>
      <c r="M359" s="142">
        <f t="shared" si="19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263</v>
      </c>
      <c r="B360" s="73" t="s">
        <v>999</v>
      </c>
      <c r="C360" s="73" t="s">
        <v>1055</v>
      </c>
      <c r="D360" s="73" t="s">
        <v>337</v>
      </c>
      <c r="E360" s="85" t="s">
        <v>72</v>
      </c>
      <c r="F360" s="85" t="s">
        <v>1294</v>
      </c>
      <c r="G360" s="30"/>
      <c r="H360" s="85" t="s">
        <v>745</v>
      </c>
      <c r="I360" s="85"/>
      <c r="J360" s="141">
        <f t="shared" si="17"/>
        <v>28</v>
      </c>
      <c r="K360" s="146" t="s">
        <v>1934</v>
      </c>
      <c r="L360" s="141">
        <f t="shared" si="18"/>
        <v>0</v>
      </c>
      <c r="M360" s="142">
        <f t="shared" si="19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263</v>
      </c>
      <c r="B361" t="s">
        <v>1000</v>
      </c>
      <c r="C361" t="s">
        <v>1055</v>
      </c>
      <c r="D361" t="s">
        <v>1001</v>
      </c>
      <c r="E361" s="30" t="s">
        <v>18</v>
      </c>
      <c r="F361" s="30" t="s">
        <v>27</v>
      </c>
      <c r="G361" s="30"/>
      <c r="H361" s="30" t="s">
        <v>2200</v>
      </c>
      <c r="I361" s="30"/>
      <c r="J361" s="31">
        <f t="shared" si="17"/>
        <v>28</v>
      </c>
      <c r="K361" s="146" t="s">
        <v>1935</v>
      </c>
      <c r="L361" s="31">
        <f t="shared" si="18"/>
        <v>0</v>
      </c>
      <c r="M361" s="32">
        <f t="shared" si="19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263</v>
      </c>
      <c r="B362" t="s">
        <v>1002</v>
      </c>
      <c r="C362" t="s">
        <v>1055</v>
      </c>
      <c r="D362" t="s">
        <v>1003</v>
      </c>
      <c r="E362" s="30" t="s">
        <v>18</v>
      </c>
      <c r="F362" s="30" t="s">
        <v>27</v>
      </c>
      <c r="G362" s="30"/>
      <c r="H362" s="30" t="s">
        <v>2310</v>
      </c>
      <c r="I362" s="30"/>
      <c r="J362" s="31">
        <f t="shared" si="17"/>
        <v>28</v>
      </c>
      <c r="K362" s="146" t="s">
        <v>1936</v>
      </c>
      <c r="L362" s="31">
        <f t="shared" si="18"/>
        <v>0</v>
      </c>
      <c r="M362" s="32">
        <f t="shared" si="19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263</v>
      </c>
      <c r="B363" t="s">
        <v>1123</v>
      </c>
      <c r="C363" t="s">
        <v>1055</v>
      </c>
      <c r="D363" t="s">
        <v>1120</v>
      </c>
      <c r="E363" s="30" t="s">
        <v>72</v>
      </c>
      <c r="F363" s="30" t="s">
        <v>27</v>
      </c>
      <c r="G363" s="30"/>
      <c r="H363" s="30" t="s">
        <v>1129</v>
      </c>
      <c r="I363" s="30"/>
      <c r="J363" s="31">
        <f t="shared" si="17"/>
        <v>28</v>
      </c>
      <c r="K363" s="146" t="s">
        <v>1937</v>
      </c>
      <c r="L363" s="31">
        <f t="shared" si="18"/>
        <v>0</v>
      </c>
      <c r="M363" s="32">
        <f t="shared" si="19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263</v>
      </c>
      <c r="B364" t="s">
        <v>1124</v>
      </c>
      <c r="C364" t="s">
        <v>1055</v>
      </c>
      <c r="D364" t="s">
        <v>1120</v>
      </c>
      <c r="E364" s="30" t="s">
        <v>72</v>
      </c>
      <c r="F364" s="30" t="s">
        <v>27</v>
      </c>
      <c r="G364" s="30"/>
      <c r="H364" s="30" t="s">
        <v>1130</v>
      </c>
      <c r="I364" s="30"/>
      <c r="J364" s="31">
        <f t="shared" si="17"/>
        <v>28</v>
      </c>
      <c r="K364" s="146" t="s">
        <v>1938</v>
      </c>
      <c r="L364" s="31">
        <f t="shared" si="18"/>
        <v>0</v>
      </c>
      <c r="M364" s="32">
        <f t="shared" si="19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263</v>
      </c>
      <c r="B365" t="s">
        <v>1125</v>
      </c>
      <c r="C365" t="s">
        <v>1055</v>
      </c>
      <c r="D365" t="s">
        <v>1121</v>
      </c>
      <c r="E365" s="30" t="s">
        <v>72</v>
      </c>
      <c r="F365" s="30" t="s">
        <v>27</v>
      </c>
      <c r="G365" s="30"/>
      <c r="H365" s="30" t="s">
        <v>1131</v>
      </c>
      <c r="I365" s="30"/>
      <c r="J365" s="31">
        <f t="shared" si="17"/>
        <v>28</v>
      </c>
      <c r="K365" s="146" t="s">
        <v>1939</v>
      </c>
      <c r="L365" s="31">
        <f t="shared" si="18"/>
        <v>0</v>
      </c>
      <c r="M365" s="32">
        <f t="shared" si="19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263</v>
      </c>
      <c r="B366" t="s">
        <v>1126</v>
      </c>
      <c r="C366" t="s">
        <v>1055</v>
      </c>
      <c r="D366" t="s">
        <v>1121</v>
      </c>
      <c r="E366" s="30" t="s">
        <v>72</v>
      </c>
      <c r="F366" s="30" t="s">
        <v>27</v>
      </c>
      <c r="G366" s="30"/>
      <c r="H366" s="30" t="s">
        <v>1132</v>
      </c>
      <c r="I366" s="30"/>
      <c r="J366" s="31">
        <f t="shared" si="17"/>
        <v>28</v>
      </c>
      <c r="K366" s="146" t="s">
        <v>1940</v>
      </c>
      <c r="L366" s="31">
        <f t="shared" si="18"/>
        <v>0</v>
      </c>
      <c r="M366" s="32">
        <f t="shared" si="19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s="73" t="s">
        <v>1313</v>
      </c>
      <c r="B367" t="s">
        <v>1226</v>
      </c>
      <c r="C367" t="s">
        <v>1055</v>
      </c>
      <c r="D367" t="s">
        <v>1227</v>
      </c>
      <c r="E367" t="s">
        <v>18</v>
      </c>
      <c r="F367" t="s">
        <v>27</v>
      </c>
      <c r="G367"/>
      <c r="H367" s="30" t="s">
        <v>1233</v>
      </c>
      <c r="I367" s="30"/>
      <c r="J367" s="31">
        <f t="shared" si="17"/>
        <v>28</v>
      </c>
      <c r="K367" s="146" t="s">
        <v>1941</v>
      </c>
      <c r="L367" s="31">
        <f t="shared" si="18"/>
        <v>0</v>
      </c>
      <c r="M367" s="32">
        <f t="shared" si="19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s="73" t="s">
        <v>1313</v>
      </c>
      <c r="B368" t="s">
        <v>1228</v>
      </c>
      <c r="C368" t="s">
        <v>1055</v>
      </c>
      <c r="D368" t="s">
        <v>1229</v>
      </c>
      <c r="E368" t="s">
        <v>18</v>
      </c>
      <c r="F368" t="s">
        <v>27</v>
      </c>
      <c r="G368"/>
      <c r="H368" s="30" t="s">
        <v>1234</v>
      </c>
      <c r="I368" s="30"/>
      <c r="J368" s="31">
        <f t="shared" si="17"/>
        <v>28</v>
      </c>
      <c r="K368" s="146" t="s">
        <v>1942</v>
      </c>
      <c r="L368" s="31">
        <f t="shared" si="18"/>
        <v>0</v>
      </c>
      <c r="M368" s="32">
        <f t="shared" si="19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thickBot="1" x14ac:dyDescent="0.3">
      <c r="A369" s="73" t="s">
        <v>1313</v>
      </c>
      <c r="B369" s="73" t="s">
        <v>1561</v>
      </c>
      <c r="C369" s="73" t="s">
        <v>1055</v>
      </c>
      <c r="D369" s="73" t="s">
        <v>1564</v>
      </c>
      <c r="E369" s="85" t="s">
        <v>72</v>
      </c>
      <c r="F369" s="85" t="s">
        <v>1294</v>
      </c>
      <c r="G369"/>
      <c r="H369" s="85" t="s">
        <v>1565</v>
      </c>
      <c r="I369" s="85"/>
      <c r="J369" s="31">
        <f t="shared" si="17"/>
        <v>28</v>
      </c>
      <c r="K369" s="146" t="s">
        <v>1943</v>
      </c>
      <c r="L369" s="31">
        <f t="shared" si="18"/>
        <v>0</v>
      </c>
      <c r="M369" s="32">
        <f t="shared" si="19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thickBot="1" x14ac:dyDescent="0.3">
      <c r="A370" s="73" t="s">
        <v>1313</v>
      </c>
      <c r="B370" s="73" t="s">
        <v>1562</v>
      </c>
      <c r="C370" s="73" t="s">
        <v>1055</v>
      </c>
      <c r="D370" s="73" t="s">
        <v>1566</v>
      </c>
      <c r="E370" s="73" t="s">
        <v>72</v>
      </c>
      <c r="F370" s="85" t="s">
        <v>1294</v>
      </c>
      <c r="G370"/>
      <c r="H370" s="85" t="s">
        <v>1567</v>
      </c>
      <c r="I370" s="85"/>
      <c r="J370" s="31">
        <f t="shared" si="17"/>
        <v>28</v>
      </c>
      <c r="K370" s="146" t="s">
        <v>1944</v>
      </c>
      <c r="L370" s="31">
        <f t="shared" si="18"/>
        <v>0</v>
      </c>
      <c r="M370" s="32">
        <f t="shared" si="19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1313</v>
      </c>
      <c r="B371" s="73" t="s">
        <v>1563</v>
      </c>
      <c r="C371" s="73" t="s">
        <v>1055</v>
      </c>
      <c r="D371" s="73" t="s">
        <v>1568</v>
      </c>
      <c r="E371" s="73" t="s">
        <v>72</v>
      </c>
      <c r="F371" s="85" t="s">
        <v>1294</v>
      </c>
      <c r="G371"/>
      <c r="H371" s="85" t="s">
        <v>1569</v>
      </c>
      <c r="I371" s="85"/>
      <c r="J371" s="31">
        <f t="shared" si="17"/>
        <v>28</v>
      </c>
      <c r="K371" s="146" t="s">
        <v>1945</v>
      </c>
      <c r="L371" s="31">
        <f t="shared" si="18"/>
        <v>0</v>
      </c>
      <c r="M371" s="32">
        <f t="shared" si="19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1313</v>
      </c>
      <c r="B372" s="73" t="s">
        <v>1618</v>
      </c>
      <c r="C372" s="73" t="s">
        <v>1055</v>
      </c>
      <c r="D372" s="73" t="s">
        <v>1619</v>
      </c>
      <c r="E372" s="73" t="s">
        <v>18</v>
      </c>
      <c r="F372" s="85" t="s">
        <v>1294</v>
      </c>
      <c r="G372"/>
      <c r="H372" s="85" t="s">
        <v>1620</v>
      </c>
      <c r="I372" s="85"/>
      <c r="J372" s="31">
        <f t="shared" si="17"/>
        <v>26</v>
      </c>
      <c r="K372" s="146" t="s">
        <v>2122</v>
      </c>
      <c r="L372" s="31">
        <f t="shared" si="18"/>
        <v>2</v>
      </c>
      <c r="M372" s="32">
        <f t="shared" si="19"/>
        <v>0.9285714285714286</v>
      </c>
      <c r="N372" s="70"/>
      <c r="O372" s="70"/>
      <c r="P372" s="70"/>
      <c r="Q372" s="70"/>
      <c r="R372" s="70"/>
      <c r="S372" s="70" t="s">
        <v>2245</v>
      </c>
      <c r="T372" s="70" t="s">
        <v>2245</v>
      </c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383</v>
      </c>
      <c r="B373" t="s">
        <v>384</v>
      </c>
      <c r="C373" t="s">
        <v>1055</v>
      </c>
      <c r="D373" t="s">
        <v>385</v>
      </c>
      <c r="E373" s="30" t="s">
        <v>18</v>
      </c>
      <c r="F373" s="30" t="s">
        <v>27</v>
      </c>
      <c r="G373"/>
      <c r="H373" s="30" t="s">
        <v>776</v>
      </c>
      <c r="I373" s="30" t="s">
        <v>2290</v>
      </c>
      <c r="J373" s="31">
        <f t="shared" si="17"/>
        <v>28</v>
      </c>
      <c r="K373" s="146" t="s">
        <v>1946</v>
      </c>
      <c r="L373" s="31">
        <f t="shared" si="18"/>
        <v>0</v>
      </c>
      <c r="M373" s="32">
        <f t="shared" si="19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383</v>
      </c>
      <c r="B374" t="s">
        <v>386</v>
      </c>
      <c r="C374" t="s">
        <v>1055</v>
      </c>
      <c r="D374" t="s">
        <v>387</v>
      </c>
      <c r="E374" s="30" t="s">
        <v>18</v>
      </c>
      <c r="F374" s="30" t="s">
        <v>27</v>
      </c>
      <c r="G374"/>
      <c r="H374" s="30" t="s">
        <v>777</v>
      </c>
      <c r="I374" s="30"/>
      <c r="J374" s="31">
        <f t="shared" si="17"/>
        <v>28</v>
      </c>
      <c r="K374" s="146" t="s">
        <v>1947</v>
      </c>
      <c r="L374" s="31">
        <f t="shared" si="18"/>
        <v>0</v>
      </c>
      <c r="M374" s="32">
        <f t="shared" si="19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thickBot="1" x14ac:dyDescent="0.3">
      <c r="A375" s="73" t="s">
        <v>388</v>
      </c>
      <c r="B375" s="73" t="s">
        <v>389</v>
      </c>
      <c r="C375" s="73" t="s">
        <v>1055</v>
      </c>
      <c r="D375" s="73" t="s">
        <v>390</v>
      </c>
      <c r="E375" s="85" t="s">
        <v>18</v>
      </c>
      <c r="F375" s="85" t="s">
        <v>1294</v>
      </c>
      <c r="G375"/>
      <c r="H375" s="85" t="s">
        <v>1471</v>
      </c>
      <c r="I375" s="85"/>
      <c r="J375" s="141">
        <f t="shared" si="17"/>
        <v>28</v>
      </c>
      <c r="K375" s="146"/>
      <c r="L375" s="141">
        <f t="shared" si="18"/>
        <v>0</v>
      </c>
      <c r="M375" s="142">
        <f t="shared" si="19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thickBot="1" x14ac:dyDescent="0.3">
      <c r="A376" s="73" t="s">
        <v>383</v>
      </c>
      <c r="B376" s="73" t="s">
        <v>2149</v>
      </c>
      <c r="C376" s="73" t="s">
        <v>1055</v>
      </c>
      <c r="D376" s="73" t="s">
        <v>2150</v>
      </c>
      <c r="E376" s="85" t="s">
        <v>72</v>
      </c>
      <c r="F376" s="30" t="s">
        <v>27</v>
      </c>
      <c r="G376"/>
      <c r="H376" s="85" t="s">
        <v>2151</v>
      </c>
      <c r="I376" s="85" t="s">
        <v>2290</v>
      </c>
      <c r="J376" s="141">
        <f t="shared" si="17"/>
        <v>28</v>
      </c>
      <c r="K376" s="146" t="s">
        <v>2152</v>
      </c>
      <c r="L376" s="141">
        <f t="shared" si="18"/>
        <v>0</v>
      </c>
      <c r="M376" s="142">
        <f t="shared" si="19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293</v>
      </c>
      <c r="B377" t="s">
        <v>391</v>
      </c>
      <c r="C377" t="s">
        <v>1055</v>
      </c>
      <c r="D377" t="s">
        <v>392</v>
      </c>
      <c r="E377" s="30" t="s">
        <v>18</v>
      </c>
      <c r="F377" s="30" t="s">
        <v>27</v>
      </c>
      <c r="G377"/>
      <c r="H377" s="30" t="s">
        <v>780</v>
      </c>
      <c r="I377" s="30" t="s">
        <v>2290</v>
      </c>
      <c r="J377" s="31">
        <f t="shared" si="17"/>
        <v>28</v>
      </c>
      <c r="K377" s="146" t="s">
        <v>1948</v>
      </c>
      <c r="L377" s="31">
        <f t="shared" si="18"/>
        <v>0</v>
      </c>
      <c r="M377" s="32">
        <f t="shared" si="19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293</v>
      </c>
      <c r="B378" t="s">
        <v>1004</v>
      </c>
      <c r="C378" t="s">
        <v>1055</v>
      </c>
      <c r="D378" t="s">
        <v>393</v>
      </c>
      <c r="E378" s="30" t="s">
        <v>18</v>
      </c>
      <c r="F378" s="30" t="s">
        <v>27</v>
      </c>
      <c r="G378" s="30"/>
      <c r="H378" s="30" t="s">
        <v>781</v>
      </c>
      <c r="I378" s="30"/>
      <c r="J378" s="31">
        <f t="shared" si="17"/>
        <v>28</v>
      </c>
      <c r="K378" s="146"/>
      <c r="L378" s="31">
        <f t="shared" si="18"/>
        <v>0</v>
      </c>
      <c r="M378" s="32">
        <f t="shared" si="19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293</v>
      </c>
      <c r="B379" t="s">
        <v>394</v>
      </c>
      <c r="C379" t="s">
        <v>1055</v>
      </c>
      <c r="D379" t="s">
        <v>395</v>
      </c>
      <c r="E379" s="30" t="s">
        <v>72</v>
      </c>
      <c r="F379" s="30" t="s">
        <v>27</v>
      </c>
      <c r="G379" s="30"/>
      <c r="H379" s="30" t="s">
        <v>778</v>
      </c>
      <c r="I379" s="30" t="s">
        <v>2290</v>
      </c>
      <c r="J379" s="31">
        <f t="shared" si="17"/>
        <v>28</v>
      </c>
      <c r="K379" s="146" t="s">
        <v>1949</v>
      </c>
      <c r="L379" s="31">
        <f t="shared" si="18"/>
        <v>0</v>
      </c>
      <c r="M379" s="32">
        <f t="shared" si="19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293</v>
      </c>
      <c r="B380" t="s">
        <v>396</v>
      </c>
      <c r="C380" t="s">
        <v>1055</v>
      </c>
      <c r="D380" t="s">
        <v>395</v>
      </c>
      <c r="E380" s="30" t="s">
        <v>72</v>
      </c>
      <c r="F380" s="30" t="s">
        <v>27</v>
      </c>
      <c r="G380" s="30"/>
      <c r="H380" s="30" t="s">
        <v>779</v>
      </c>
      <c r="I380" s="30" t="s">
        <v>2290</v>
      </c>
      <c r="J380" s="31">
        <f t="shared" si="17"/>
        <v>28</v>
      </c>
      <c r="K380" s="146" t="s">
        <v>1950</v>
      </c>
      <c r="L380" s="31">
        <f t="shared" si="18"/>
        <v>0</v>
      </c>
      <c r="M380" s="32">
        <f t="shared" si="19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293</v>
      </c>
      <c r="B381" t="s">
        <v>1257</v>
      </c>
      <c r="C381" t="s">
        <v>1055</v>
      </c>
      <c r="D381" t="s">
        <v>1258</v>
      </c>
      <c r="E381" s="30" t="s">
        <v>14</v>
      </c>
      <c r="F381" s="30" t="s">
        <v>1049</v>
      </c>
      <c r="G381" s="30" t="s">
        <v>1260</v>
      </c>
      <c r="H381" s="30" t="s">
        <v>1259</v>
      </c>
      <c r="I381" s="30" t="s">
        <v>2290</v>
      </c>
      <c r="J381" s="31">
        <f t="shared" si="17"/>
        <v>28</v>
      </c>
      <c r="K381" s="146" t="s">
        <v>1951</v>
      </c>
      <c r="L381" s="31">
        <f t="shared" si="18"/>
        <v>0</v>
      </c>
      <c r="M381" s="32">
        <f t="shared" si="19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293</v>
      </c>
      <c r="B382" s="73" t="s">
        <v>1306</v>
      </c>
      <c r="C382" s="73" t="s">
        <v>1056</v>
      </c>
      <c r="D382" s="73" t="s">
        <v>1307</v>
      </c>
      <c r="E382" s="85" t="s">
        <v>14</v>
      </c>
      <c r="F382" s="85" t="s">
        <v>1294</v>
      </c>
      <c r="G382" s="85"/>
      <c r="H382" s="85" t="s">
        <v>1308</v>
      </c>
      <c r="I382" s="85"/>
      <c r="J382" s="31">
        <f t="shared" si="17"/>
        <v>28</v>
      </c>
      <c r="K382" s="146" t="s">
        <v>1952</v>
      </c>
      <c r="L382" s="31">
        <f t="shared" si="18"/>
        <v>0</v>
      </c>
      <c r="M382" s="32">
        <f t="shared" si="19"/>
        <v>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401</v>
      </c>
      <c r="B383" s="90" t="s">
        <v>406</v>
      </c>
      <c r="C383" s="90" t="s">
        <v>1055</v>
      </c>
      <c r="D383" s="90" t="s">
        <v>407</v>
      </c>
      <c r="E383" s="91" t="s">
        <v>14</v>
      </c>
      <c r="F383" s="91" t="s">
        <v>19</v>
      </c>
      <c r="G383" s="91"/>
      <c r="H383" s="91" t="s">
        <v>782</v>
      </c>
      <c r="I383" s="91"/>
      <c r="J383" s="31">
        <f t="shared" si="17"/>
        <v>25</v>
      </c>
      <c r="K383" s="146"/>
      <c r="L383" s="31">
        <f t="shared" si="18"/>
        <v>3</v>
      </c>
      <c r="M383" s="32">
        <f t="shared" si="19"/>
        <v>0.8928571428571429</v>
      </c>
      <c r="N383" s="70" t="s">
        <v>2245</v>
      </c>
      <c r="O383" s="70"/>
      <c r="P383" s="70"/>
      <c r="Q383" s="70"/>
      <c r="R383" s="70"/>
      <c r="S383" s="70" t="s">
        <v>2245</v>
      </c>
      <c r="T383" s="70" t="s">
        <v>2245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70"/>
    </row>
    <row r="384" spans="1:43" s="73" customFormat="1" ht="15.75" thickBot="1" x14ac:dyDescent="0.3">
      <c r="A384" s="73" t="s">
        <v>383</v>
      </c>
      <c r="B384" s="73" t="s">
        <v>397</v>
      </c>
      <c r="C384" s="73" t="s">
        <v>1055</v>
      </c>
      <c r="D384" s="73" t="s">
        <v>398</v>
      </c>
      <c r="E384" s="85" t="s">
        <v>18</v>
      </c>
      <c r="F384" s="85" t="s">
        <v>1294</v>
      </c>
      <c r="G384" s="85"/>
      <c r="H384" s="85" t="s">
        <v>2102</v>
      </c>
      <c r="I384" s="85" t="s">
        <v>2290</v>
      </c>
      <c r="J384" s="141">
        <f t="shared" si="17"/>
        <v>26</v>
      </c>
      <c r="K384" s="146" t="s">
        <v>2291</v>
      </c>
      <c r="L384" s="141">
        <f t="shared" si="18"/>
        <v>2</v>
      </c>
      <c r="M384" s="142">
        <f t="shared" si="19"/>
        <v>0.9285714285714286</v>
      </c>
      <c r="N384" s="70" t="s">
        <v>2245</v>
      </c>
      <c r="O384" s="70"/>
      <c r="P384" s="70"/>
      <c r="Q384" s="70"/>
      <c r="R384" s="70"/>
      <c r="S384" s="70"/>
      <c r="T384" s="70" t="s">
        <v>2245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383</v>
      </c>
      <c r="B385" s="73" t="s">
        <v>399</v>
      </c>
      <c r="C385" s="73" t="s">
        <v>1055</v>
      </c>
      <c r="D385" s="73" t="s">
        <v>400</v>
      </c>
      <c r="E385" s="85" t="s">
        <v>14</v>
      </c>
      <c r="F385" s="85" t="s">
        <v>27</v>
      </c>
      <c r="G385" s="85"/>
      <c r="H385" s="85" t="s">
        <v>1504</v>
      </c>
      <c r="I385" s="85"/>
      <c r="J385" s="87">
        <f t="shared" si="17"/>
        <v>28</v>
      </c>
      <c r="K385" s="146" t="s">
        <v>1953</v>
      </c>
      <c r="L385" s="87">
        <f t="shared" si="18"/>
        <v>0</v>
      </c>
      <c r="M385" s="88">
        <f t="shared" si="19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thickBot="1" x14ac:dyDescent="0.3">
      <c r="A386" t="s">
        <v>401</v>
      </c>
      <c r="B386" t="s">
        <v>402</v>
      </c>
      <c r="C386" t="s">
        <v>1055</v>
      </c>
      <c r="D386" t="s">
        <v>403</v>
      </c>
      <c r="E386" s="30" t="s">
        <v>18</v>
      </c>
      <c r="F386" s="30" t="s">
        <v>27</v>
      </c>
      <c r="G386" s="30"/>
      <c r="H386" s="30" t="s">
        <v>783</v>
      </c>
      <c r="I386" s="30" t="s">
        <v>2290</v>
      </c>
      <c r="J386" s="31">
        <f t="shared" si="17"/>
        <v>28</v>
      </c>
      <c r="K386" s="146" t="s">
        <v>1954</v>
      </c>
      <c r="L386" s="31">
        <f t="shared" si="18"/>
        <v>0</v>
      </c>
      <c r="M386" s="32">
        <f t="shared" si="19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401</v>
      </c>
      <c r="B387" t="s">
        <v>404</v>
      </c>
      <c r="C387" t="s">
        <v>1055</v>
      </c>
      <c r="D387" t="s">
        <v>403</v>
      </c>
      <c r="E387" s="30" t="s">
        <v>72</v>
      </c>
      <c r="F387" s="30" t="s">
        <v>27</v>
      </c>
      <c r="G387" s="30"/>
      <c r="H387" s="30" t="s">
        <v>784</v>
      </c>
      <c r="I387" s="30" t="s">
        <v>2290</v>
      </c>
      <c r="J387" s="31">
        <f t="shared" si="17"/>
        <v>28</v>
      </c>
      <c r="K387" s="146" t="s">
        <v>1955</v>
      </c>
      <c r="L387" s="31">
        <f t="shared" si="18"/>
        <v>0</v>
      </c>
      <c r="M387" s="32">
        <f t="shared" si="19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401</v>
      </c>
      <c r="B388" t="s">
        <v>405</v>
      </c>
      <c r="C388" t="s">
        <v>1055</v>
      </c>
      <c r="D388" t="s">
        <v>403</v>
      </c>
      <c r="E388" s="30" t="s">
        <v>72</v>
      </c>
      <c r="F388" s="30" t="s">
        <v>27</v>
      </c>
      <c r="G388" s="30"/>
      <c r="H388" s="30" t="s">
        <v>785</v>
      </c>
      <c r="I388" s="30" t="s">
        <v>2290</v>
      </c>
      <c r="J388" s="31">
        <f t="shared" si="17"/>
        <v>28</v>
      </c>
      <c r="K388" s="146" t="s">
        <v>1956</v>
      </c>
      <c r="L388" s="31">
        <f t="shared" si="18"/>
        <v>0</v>
      </c>
      <c r="M388" s="32">
        <f t="shared" si="19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s="69" t="s">
        <v>408</v>
      </c>
      <c r="B389" s="69" t="s">
        <v>409</v>
      </c>
      <c r="C389" t="s">
        <v>1055</v>
      </c>
      <c r="D389" s="69" t="s">
        <v>410</v>
      </c>
      <c r="E389" s="30" t="s">
        <v>72</v>
      </c>
      <c r="F389" s="30" t="s">
        <v>27</v>
      </c>
      <c r="G389" s="30"/>
      <c r="H389" s="147" t="s">
        <v>786</v>
      </c>
      <c r="I389" s="147" t="s">
        <v>2290</v>
      </c>
      <c r="J389" s="31">
        <f t="shared" ref="J389:J470" si="20">COUNTIF(N389:AO389,"")</f>
        <v>25</v>
      </c>
      <c r="K389" s="146" t="s">
        <v>1957</v>
      </c>
      <c r="L389" s="31">
        <f t="shared" ref="L389:L470" si="21">COUNTIF(N389:AO389,"APAGADO")</f>
        <v>3</v>
      </c>
      <c r="M389" s="32">
        <f t="shared" ref="M389:M470" si="22">(J389)/(L389+J389)</f>
        <v>0.8928571428571429</v>
      </c>
      <c r="N389" s="70" t="s">
        <v>2245</v>
      </c>
      <c r="O389" s="70"/>
      <c r="P389" s="70"/>
      <c r="Q389" s="70"/>
      <c r="R389" s="70"/>
      <c r="S389" s="70" t="s">
        <v>2245</v>
      </c>
      <c r="T389" s="70" t="s">
        <v>2245</v>
      </c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s="69" t="s">
        <v>408</v>
      </c>
      <c r="B390" s="69" t="s">
        <v>411</v>
      </c>
      <c r="C390" t="s">
        <v>1055</v>
      </c>
      <c r="D390" s="69" t="s">
        <v>410</v>
      </c>
      <c r="E390" s="30" t="s">
        <v>72</v>
      </c>
      <c r="F390" s="30" t="s">
        <v>27</v>
      </c>
      <c r="G390" s="30"/>
      <c r="H390" s="147" t="s">
        <v>787</v>
      </c>
      <c r="I390" s="147" t="s">
        <v>2290</v>
      </c>
      <c r="J390" s="31">
        <f t="shared" si="20"/>
        <v>25</v>
      </c>
      <c r="K390" s="146" t="s">
        <v>1958</v>
      </c>
      <c r="L390" s="31">
        <f t="shared" si="21"/>
        <v>3</v>
      </c>
      <c r="M390" s="32">
        <f t="shared" si="22"/>
        <v>0.8928571428571429</v>
      </c>
      <c r="N390" s="70" t="s">
        <v>2245</v>
      </c>
      <c r="O390" s="70"/>
      <c r="P390" s="70"/>
      <c r="Q390" s="70"/>
      <c r="R390" s="70"/>
      <c r="S390" s="70" t="s">
        <v>2245</v>
      </c>
      <c r="T390" s="70" t="s">
        <v>2245</v>
      </c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401</v>
      </c>
      <c r="B391" t="s">
        <v>412</v>
      </c>
      <c r="C391" t="s">
        <v>1055</v>
      </c>
      <c r="D391" t="s">
        <v>413</v>
      </c>
      <c r="E391" s="30" t="s">
        <v>72</v>
      </c>
      <c r="F391" s="30" t="s">
        <v>27</v>
      </c>
      <c r="G391" s="30"/>
      <c r="H391" s="30" t="s">
        <v>788</v>
      </c>
      <c r="I391" s="30" t="s">
        <v>2290</v>
      </c>
      <c r="J391" s="31">
        <f t="shared" si="20"/>
        <v>25</v>
      </c>
      <c r="K391" s="146" t="s">
        <v>1959</v>
      </c>
      <c r="L391" s="31">
        <f t="shared" si="21"/>
        <v>3</v>
      </c>
      <c r="M391" s="32">
        <f t="shared" si="22"/>
        <v>0.8928571428571429</v>
      </c>
      <c r="N391" s="70" t="s">
        <v>2245</v>
      </c>
      <c r="O391" s="70"/>
      <c r="P391" s="70"/>
      <c r="Q391" s="70"/>
      <c r="R391" s="70"/>
      <c r="S391" s="70" t="s">
        <v>2245</v>
      </c>
      <c r="T391" s="70" t="s">
        <v>2245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139"/>
    </row>
    <row r="392" spans="1:43" ht="15.75" thickBot="1" x14ac:dyDescent="0.3">
      <c r="A392" t="s">
        <v>401</v>
      </c>
      <c r="B392" t="s">
        <v>414</v>
      </c>
      <c r="C392" t="s">
        <v>1055</v>
      </c>
      <c r="D392" t="s">
        <v>413</v>
      </c>
      <c r="E392" s="30" t="s">
        <v>72</v>
      </c>
      <c r="F392" s="30" t="s">
        <v>27</v>
      </c>
      <c r="G392" s="30"/>
      <c r="H392" s="30" t="s">
        <v>789</v>
      </c>
      <c r="I392" s="30" t="s">
        <v>2290</v>
      </c>
      <c r="J392" s="31">
        <f t="shared" si="20"/>
        <v>25</v>
      </c>
      <c r="K392" s="146" t="s">
        <v>1960</v>
      </c>
      <c r="L392" s="31">
        <f t="shared" si="21"/>
        <v>3</v>
      </c>
      <c r="M392" s="32">
        <f t="shared" si="22"/>
        <v>0.8928571428571429</v>
      </c>
      <c r="N392" s="70" t="s">
        <v>2245</v>
      </c>
      <c r="O392" s="70"/>
      <c r="P392" s="70"/>
      <c r="Q392" s="70"/>
      <c r="R392" s="70"/>
      <c r="S392" s="70" t="s">
        <v>2245</v>
      </c>
      <c r="T392" s="70" t="s">
        <v>2245</v>
      </c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401</v>
      </c>
      <c r="B393" t="s">
        <v>415</v>
      </c>
      <c r="C393" t="s">
        <v>1055</v>
      </c>
      <c r="D393" t="s">
        <v>416</v>
      </c>
      <c r="E393" s="30" t="s">
        <v>72</v>
      </c>
      <c r="F393" s="30" t="s">
        <v>27</v>
      </c>
      <c r="G393" s="30"/>
      <c r="H393" s="30" t="s">
        <v>790</v>
      </c>
      <c r="I393" s="30" t="s">
        <v>2290</v>
      </c>
      <c r="J393" s="31">
        <f t="shared" si="20"/>
        <v>25</v>
      </c>
      <c r="K393" s="146" t="s">
        <v>1961</v>
      </c>
      <c r="L393" s="31">
        <f t="shared" si="21"/>
        <v>3</v>
      </c>
      <c r="M393" s="32">
        <f t="shared" si="22"/>
        <v>0.8928571428571429</v>
      </c>
      <c r="N393" s="70" t="s">
        <v>2245</v>
      </c>
      <c r="O393" s="70"/>
      <c r="P393" s="70"/>
      <c r="Q393" s="70"/>
      <c r="R393" s="70"/>
      <c r="S393" s="70" t="s">
        <v>2245</v>
      </c>
      <c r="T393" s="70" t="s">
        <v>2245</v>
      </c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401</v>
      </c>
      <c r="B394" t="s">
        <v>417</v>
      </c>
      <c r="C394" t="s">
        <v>1055</v>
      </c>
      <c r="D394" t="s">
        <v>416</v>
      </c>
      <c r="E394" s="30" t="s">
        <v>72</v>
      </c>
      <c r="F394" s="30" t="s">
        <v>27</v>
      </c>
      <c r="G394" s="30"/>
      <c r="H394" s="30" t="s">
        <v>791</v>
      </c>
      <c r="I394" s="30" t="s">
        <v>2290</v>
      </c>
      <c r="J394" s="31">
        <f t="shared" si="20"/>
        <v>25</v>
      </c>
      <c r="K394" s="146" t="s">
        <v>1962</v>
      </c>
      <c r="L394" s="31">
        <f t="shared" si="21"/>
        <v>3</v>
      </c>
      <c r="M394" s="32">
        <f t="shared" si="22"/>
        <v>0.8928571428571429</v>
      </c>
      <c r="N394" s="70" t="s">
        <v>2245</v>
      </c>
      <c r="O394" s="70"/>
      <c r="P394" s="70"/>
      <c r="Q394" s="70"/>
      <c r="R394" s="70"/>
      <c r="S394" s="70" t="s">
        <v>2245</v>
      </c>
      <c r="T394" s="70" t="s">
        <v>2245</v>
      </c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s="69" t="s">
        <v>408</v>
      </c>
      <c r="B395" s="69" t="s">
        <v>895</v>
      </c>
      <c r="C395" t="s">
        <v>1055</v>
      </c>
      <c r="D395" s="69" t="s">
        <v>896</v>
      </c>
      <c r="E395" s="30" t="s">
        <v>18</v>
      </c>
      <c r="F395" s="30" t="s">
        <v>27</v>
      </c>
      <c r="G395" s="30"/>
      <c r="H395" s="147" t="s">
        <v>903</v>
      </c>
      <c r="I395" s="147" t="s">
        <v>2290</v>
      </c>
      <c r="J395" s="31">
        <f t="shared" si="20"/>
        <v>25</v>
      </c>
      <c r="K395" s="146" t="s">
        <v>1963</v>
      </c>
      <c r="L395" s="31">
        <f t="shared" si="21"/>
        <v>3</v>
      </c>
      <c r="M395" s="32">
        <f t="shared" si="22"/>
        <v>0.8928571428571429</v>
      </c>
      <c r="N395" s="70" t="s">
        <v>2245</v>
      </c>
      <c r="O395" s="70"/>
      <c r="P395" s="70"/>
      <c r="Q395" s="70"/>
      <c r="R395" s="70"/>
      <c r="S395" s="70" t="s">
        <v>2245</v>
      </c>
      <c r="T395" s="70" t="s">
        <v>2245</v>
      </c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s="69" t="s">
        <v>401</v>
      </c>
      <c r="B396" s="69" t="s">
        <v>897</v>
      </c>
      <c r="C396" t="s">
        <v>1055</v>
      </c>
      <c r="D396" s="69" t="s">
        <v>898</v>
      </c>
      <c r="E396" s="30" t="s">
        <v>18</v>
      </c>
      <c r="F396" s="30" t="s">
        <v>27</v>
      </c>
      <c r="G396" s="30"/>
      <c r="H396" s="147" t="s">
        <v>904</v>
      </c>
      <c r="I396" s="147" t="s">
        <v>2290</v>
      </c>
      <c r="J396" s="31">
        <f t="shared" si="20"/>
        <v>25</v>
      </c>
      <c r="K396" s="146" t="s">
        <v>1964</v>
      </c>
      <c r="L396" s="31">
        <f t="shared" si="21"/>
        <v>3</v>
      </c>
      <c r="M396" s="32">
        <f t="shared" si="22"/>
        <v>0.8928571428571429</v>
      </c>
      <c r="N396" s="70" t="s">
        <v>2245</v>
      </c>
      <c r="O396" s="70"/>
      <c r="P396" s="70"/>
      <c r="Q396" s="70"/>
      <c r="R396" s="70"/>
      <c r="S396" s="70" t="s">
        <v>2245</v>
      </c>
      <c r="T396" s="70" t="s">
        <v>2245</v>
      </c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401</v>
      </c>
      <c r="B397" t="s">
        <v>1005</v>
      </c>
      <c r="C397" t="s">
        <v>1055</v>
      </c>
      <c r="D397" t="s">
        <v>1006</v>
      </c>
      <c r="E397" s="30" t="s">
        <v>18</v>
      </c>
      <c r="F397" s="30" t="s">
        <v>1294</v>
      </c>
      <c r="G397" s="30"/>
      <c r="H397" s="30" t="s">
        <v>1212</v>
      </c>
      <c r="I397" s="30" t="s">
        <v>2290</v>
      </c>
      <c r="J397" s="31">
        <f t="shared" si="20"/>
        <v>25</v>
      </c>
      <c r="K397" s="146" t="s">
        <v>1965</v>
      </c>
      <c r="L397" s="31">
        <f t="shared" si="21"/>
        <v>3</v>
      </c>
      <c r="M397" s="32">
        <f t="shared" si="22"/>
        <v>0.8928571428571429</v>
      </c>
      <c r="N397" s="70" t="s">
        <v>2245</v>
      </c>
      <c r="O397" s="70"/>
      <c r="P397" s="70"/>
      <c r="Q397" s="70"/>
      <c r="R397" s="70"/>
      <c r="S397" s="70" t="s">
        <v>2245</v>
      </c>
      <c r="T397" s="70" t="s">
        <v>2245</v>
      </c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thickBot="1" x14ac:dyDescent="0.3">
      <c r="A398" s="73" t="s">
        <v>401</v>
      </c>
      <c r="B398" s="73" t="s">
        <v>1425</v>
      </c>
      <c r="C398" s="73" t="s">
        <v>1055</v>
      </c>
      <c r="D398" s="73" t="s">
        <v>1428</v>
      </c>
      <c r="E398" s="30" t="s">
        <v>18</v>
      </c>
      <c r="F398" s="85" t="s">
        <v>1294</v>
      </c>
      <c r="G398" s="30"/>
      <c r="H398" s="85" t="s">
        <v>2311</v>
      </c>
      <c r="I398" s="85"/>
      <c r="J398" s="141">
        <f t="shared" si="20"/>
        <v>28</v>
      </c>
      <c r="K398" s="146" t="s">
        <v>1966</v>
      </c>
      <c r="L398" s="141">
        <f t="shared" si="21"/>
        <v>0</v>
      </c>
      <c r="M398" s="142">
        <f t="shared" si="22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thickBot="1" x14ac:dyDescent="0.3">
      <c r="A399" t="s">
        <v>401</v>
      </c>
      <c r="B399" t="s">
        <v>1426</v>
      </c>
      <c r="C399" t="s">
        <v>1055</v>
      </c>
      <c r="D399" t="s">
        <v>1428</v>
      </c>
      <c r="E399" s="30" t="s">
        <v>72</v>
      </c>
      <c r="F399" s="30" t="s">
        <v>27</v>
      </c>
      <c r="G399" s="30"/>
      <c r="H399" s="85" t="s">
        <v>1490</v>
      </c>
      <c r="I399" s="85"/>
      <c r="J399" s="31">
        <f t="shared" si="20"/>
        <v>28</v>
      </c>
      <c r="K399" s="146" t="s">
        <v>1967</v>
      </c>
      <c r="L399" s="31">
        <f t="shared" si="21"/>
        <v>0</v>
      </c>
      <c r="M399" s="32">
        <f t="shared" si="22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thickBot="1" x14ac:dyDescent="0.3">
      <c r="A400" t="s">
        <v>401</v>
      </c>
      <c r="B400" t="s">
        <v>1427</v>
      </c>
      <c r="C400" t="s">
        <v>1055</v>
      </c>
      <c r="D400" t="s">
        <v>1428</v>
      </c>
      <c r="E400" s="30" t="s">
        <v>72</v>
      </c>
      <c r="F400" s="30" t="s">
        <v>27</v>
      </c>
      <c r="G400" s="30"/>
      <c r="H400" s="85" t="s">
        <v>1488</v>
      </c>
      <c r="I400" s="85"/>
      <c r="J400" s="31">
        <f t="shared" si="20"/>
        <v>28</v>
      </c>
      <c r="K400" s="146" t="s">
        <v>1968</v>
      </c>
      <c r="L400" s="31">
        <f t="shared" si="21"/>
        <v>0</v>
      </c>
      <c r="M400" s="32">
        <f t="shared" si="22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thickBot="1" x14ac:dyDescent="0.3">
      <c r="A401" t="s">
        <v>401</v>
      </c>
      <c r="B401" t="s">
        <v>1616</v>
      </c>
      <c r="C401" t="s">
        <v>1055</v>
      </c>
      <c r="D401" t="s">
        <v>2280</v>
      </c>
      <c r="E401" s="30" t="s">
        <v>18</v>
      </c>
      <c r="F401" s="30" t="s">
        <v>27</v>
      </c>
      <c r="G401" s="30"/>
      <c r="H401" s="85" t="s">
        <v>1617</v>
      </c>
      <c r="I401" s="85"/>
      <c r="J401" s="31">
        <f t="shared" si="20"/>
        <v>25</v>
      </c>
      <c r="K401" s="146"/>
      <c r="L401" s="31">
        <f t="shared" si="21"/>
        <v>3</v>
      </c>
      <c r="M401" s="32">
        <f t="shared" si="22"/>
        <v>0.8928571428571429</v>
      </c>
      <c r="N401" s="70" t="s">
        <v>2245</v>
      </c>
      <c r="O401" s="70"/>
      <c r="P401" s="70"/>
      <c r="Q401" s="84"/>
      <c r="R401" s="84"/>
      <c r="S401" s="70" t="s">
        <v>2245</v>
      </c>
      <c r="T401" s="70" t="s">
        <v>2245</v>
      </c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139"/>
    </row>
    <row r="402" spans="1:43" ht="15.75" thickBot="1" x14ac:dyDescent="0.3">
      <c r="A402" t="s">
        <v>401</v>
      </c>
      <c r="B402" t="s">
        <v>2239</v>
      </c>
      <c r="C402" t="s">
        <v>1055</v>
      </c>
      <c r="D402" t="s">
        <v>2240</v>
      </c>
      <c r="E402" s="30" t="s">
        <v>18</v>
      </c>
      <c r="F402" s="85" t="s">
        <v>1294</v>
      </c>
      <c r="G402" s="30"/>
      <c r="H402" s="85" t="s">
        <v>2312</v>
      </c>
      <c r="I402" s="85"/>
      <c r="J402" s="31">
        <f t="shared" si="20"/>
        <v>25</v>
      </c>
      <c r="K402" s="146"/>
      <c r="L402" s="31">
        <f t="shared" si="21"/>
        <v>3</v>
      </c>
      <c r="M402" s="32">
        <f t="shared" si="22"/>
        <v>0.8928571428571429</v>
      </c>
      <c r="N402" s="70" t="s">
        <v>2245</v>
      </c>
      <c r="O402" s="70"/>
      <c r="P402" s="70"/>
      <c r="Q402" s="84"/>
      <c r="R402" s="84"/>
      <c r="S402" s="70" t="s">
        <v>2245</v>
      </c>
      <c r="T402" s="70" t="s">
        <v>2245</v>
      </c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70"/>
    </row>
    <row r="403" spans="1:43" ht="15.75" thickBot="1" x14ac:dyDescent="0.3">
      <c r="A403" t="s">
        <v>195</v>
      </c>
      <c r="B403" s="69" t="s">
        <v>418</v>
      </c>
      <c r="C403" s="69" t="s">
        <v>1056</v>
      </c>
      <c r="D403" s="69" t="s">
        <v>419</v>
      </c>
      <c r="E403" s="147" t="s">
        <v>14</v>
      </c>
      <c r="F403" s="147" t="s">
        <v>19</v>
      </c>
      <c r="G403" s="30"/>
      <c r="H403" s="147" t="s">
        <v>793</v>
      </c>
      <c r="I403" s="30"/>
      <c r="J403" s="31">
        <f t="shared" si="20"/>
        <v>25</v>
      </c>
      <c r="K403" s="146"/>
      <c r="L403" s="31">
        <f t="shared" si="21"/>
        <v>3</v>
      </c>
      <c r="M403" s="32">
        <f t="shared" si="22"/>
        <v>0.8928571428571429</v>
      </c>
      <c r="N403" s="70" t="s">
        <v>2245</v>
      </c>
      <c r="O403" s="70"/>
      <c r="P403" s="70"/>
      <c r="Q403" s="70"/>
      <c r="R403" s="70"/>
      <c r="S403" s="70" t="s">
        <v>2245</v>
      </c>
      <c r="T403" s="70" t="s">
        <v>2245</v>
      </c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thickBot="1" x14ac:dyDescent="0.3">
      <c r="A404" s="73" t="s">
        <v>195</v>
      </c>
      <c r="B404" s="73" t="s">
        <v>420</v>
      </c>
      <c r="C404" s="73" t="s">
        <v>1056</v>
      </c>
      <c r="D404" s="73" t="s">
        <v>421</v>
      </c>
      <c r="E404" s="85" t="s">
        <v>14</v>
      </c>
      <c r="F404" s="85" t="s">
        <v>1294</v>
      </c>
      <c r="G404" s="85"/>
      <c r="H404" s="85" t="s">
        <v>1422</v>
      </c>
      <c r="I404" s="85"/>
      <c r="J404" s="141">
        <f t="shared" si="20"/>
        <v>28</v>
      </c>
      <c r="K404" s="146" t="s">
        <v>1969</v>
      </c>
      <c r="L404" s="141">
        <f t="shared" si="21"/>
        <v>0</v>
      </c>
      <c r="M404" s="142">
        <f t="shared" si="22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195</v>
      </c>
      <c r="B405" t="s">
        <v>1007</v>
      </c>
      <c r="C405" t="s">
        <v>1056</v>
      </c>
      <c r="D405" t="s">
        <v>1008</v>
      </c>
      <c r="E405" s="30" t="s">
        <v>72</v>
      </c>
      <c r="F405" s="30" t="s">
        <v>19</v>
      </c>
      <c r="G405" s="30"/>
      <c r="H405" s="30" t="s">
        <v>1274</v>
      </c>
      <c r="I405" s="30"/>
      <c r="J405" s="31">
        <f t="shared" si="20"/>
        <v>27</v>
      </c>
      <c r="K405" s="146"/>
      <c r="L405" s="31">
        <f t="shared" si="21"/>
        <v>1</v>
      </c>
      <c r="M405" s="32">
        <f t="shared" si="22"/>
        <v>0.9642857142857143</v>
      </c>
      <c r="N405" s="70" t="s">
        <v>2245</v>
      </c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195</v>
      </c>
      <c r="B406" t="s">
        <v>1009</v>
      </c>
      <c r="C406" t="s">
        <v>1056</v>
      </c>
      <c r="D406" t="s">
        <v>1008</v>
      </c>
      <c r="E406" s="30" t="s">
        <v>72</v>
      </c>
      <c r="F406" s="30" t="s">
        <v>19</v>
      </c>
      <c r="G406" s="30"/>
      <c r="H406" s="30" t="s">
        <v>1390</v>
      </c>
      <c r="I406" s="30"/>
      <c r="J406" s="31">
        <f t="shared" si="20"/>
        <v>27</v>
      </c>
      <c r="K406" s="146"/>
      <c r="L406" s="31">
        <f t="shared" si="21"/>
        <v>1</v>
      </c>
      <c r="M406" s="32">
        <f t="shared" si="22"/>
        <v>0.9642857142857143</v>
      </c>
      <c r="N406" s="70" t="s">
        <v>2245</v>
      </c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thickBot="1" x14ac:dyDescent="0.3">
      <c r="A407" s="73" t="s">
        <v>195</v>
      </c>
      <c r="B407" s="73" t="s">
        <v>422</v>
      </c>
      <c r="C407" s="73" t="s">
        <v>1056</v>
      </c>
      <c r="D407" s="73" t="s">
        <v>423</v>
      </c>
      <c r="E407" s="85" t="s">
        <v>18</v>
      </c>
      <c r="F407" s="30" t="s">
        <v>1049</v>
      </c>
      <c r="G407" s="85"/>
      <c r="H407" s="85" t="s">
        <v>1423</v>
      </c>
      <c r="I407" s="85"/>
      <c r="J407" s="87">
        <f t="shared" si="20"/>
        <v>28</v>
      </c>
      <c r="K407" s="146" t="s">
        <v>1970</v>
      </c>
      <c r="L407" s="87">
        <f t="shared" si="21"/>
        <v>0</v>
      </c>
      <c r="M407" s="88">
        <f t="shared" si="22"/>
        <v>1</v>
      </c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thickBot="1" x14ac:dyDescent="0.3">
      <c r="A408" t="s">
        <v>195</v>
      </c>
      <c r="B408" t="s">
        <v>424</v>
      </c>
      <c r="C408" t="s">
        <v>1056</v>
      </c>
      <c r="D408" t="s">
        <v>425</v>
      </c>
      <c r="E408" s="30" t="s">
        <v>18</v>
      </c>
      <c r="F408" s="30" t="s">
        <v>19</v>
      </c>
      <c r="G408" s="30"/>
      <c r="H408" s="30" t="s">
        <v>792</v>
      </c>
      <c r="I408" s="30"/>
      <c r="J408" s="31">
        <f t="shared" si="20"/>
        <v>27</v>
      </c>
      <c r="K408" s="146"/>
      <c r="L408" s="31">
        <f t="shared" si="21"/>
        <v>1</v>
      </c>
      <c r="M408" s="32">
        <f t="shared" si="22"/>
        <v>0.9642857142857143</v>
      </c>
      <c r="N408" s="70" t="s">
        <v>2245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195</v>
      </c>
      <c r="B409" t="s">
        <v>426</v>
      </c>
      <c r="C409" t="s">
        <v>1056</v>
      </c>
      <c r="D409" t="s">
        <v>427</v>
      </c>
      <c r="E409" s="30" t="s">
        <v>72</v>
      </c>
      <c r="F409" s="30" t="s">
        <v>27</v>
      </c>
      <c r="G409" s="30"/>
      <c r="H409" s="30" t="s">
        <v>795</v>
      </c>
      <c r="I409" s="30"/>
      <c r="J409" s="31">
        <f t="shared" si="20"/>
        <v>25</v>
      </c>
      <c r="K409" s="146" t="s">
        <v>1971</v>
      </c>
      <c r="L409" s="31">
        <f t="shared" si="21"/>
        <v>3</v>
      </c>
      <c r="M409" s="32">
        <f t="shared" si="22"/>
        <v>0.8928571428571429</v>
      </c>
      <c r="N409" s="70" t="s">
        <v>2245</v>
      </c>
      <c r="O409" s="70"/>
      <c r="P409" s="70"/>
      <c r="Q409" s="70"/>
      <c r="R409" s="70"/>
      <c r="S409" s="70" t="s">
        <v>2245</v>
      </c>
      <c r="T409" s="70" t="s">
        <v>2245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195</v>
      </c>
      <c r="B410" t="s">
        <v>428</v>
      </c>
      <c r="C410" t="s">
        <v>1056</v>
      </c>
      <c r="D410" t="s">
        <v>427</v>
      </c>
      <c r="E410" s="30" t="s">
        <v>72</v>
      </c>
      <c r="F410" s="30" t="s">
        <v>27</v>
      </c>
      <c r="G410" s="30"/>
      <c r="H410" s="30" t="s">
        <v>796</v>
      </c>
      <c r="I410" s="30"/>
      <c r="J410" s="31">
        <f t="shared" si="20"/>
        <v>25</v>
      </c>
      <c r="K410" s="146" t="s">
        <v>1972</v>
      </c>
      <c r="L410" s="31">
        <f t="shared" si="21"/>
        <v>3</v>
      </c>
      <c r="M410" s="32">
        <f t="shared" si="22"/>
        <v>0.8928571428571429</v>
      </c>
      <c r="N410" s="70" t="s">
        <v>2245</v>
      </c>
      <c r="O410" s="70"/>
      <c r="P410" s="70"/>
      <c r="Q410" s="70"/>
      <c r="R410" s="70"/>
      <c r="S410" s="70" t="s">
        <v>2245</v>
      </c>
      <c r="T410" s="70" t="s">
        <v>2245</v>
      </c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195</v>
      </c>
      <c r="B411" s="73" t="s">
        <v>429</v>
      </c>
      <c r="C411" s="73" t="s">
        <v>1056</v>
      </c>
      <c r="D411" s="73" t="s">
        <v>430</v>
      </c>
      <c r="E411" s="85" t="s">
        <v>72</v>
      </c>
      <c r="F411" s="85" t="s">
        <v>1294</v>
      </c>
      <c r="G411" s="85"/>
      <c r="H411" s="85" t="s">
        <v>797</v>
      </c>
      <c r="I411" s="85"/>
      <c r="J411" s="141">
        <f t="shared" si="20"/>
        <v>25</v>
      </c>
      <c r="K411" s="146" t="s">
        <v>1973</v>
      </c>
      <c r="L411" s="141">
        <f t="shared" si="21"/>
        <v>3</v>
      </c>
      <c r="M411" s="142">
        <f t="shared" si="22"/>
        <v>0.8928571428571429</v>
      </c>
      <c r="N411" s="70" t="s">
        <v>2245</v>
      </c>
      <c r="O411" s="70"/>
      <c r="P411" s="70"/>
      <c r="Q411" s="70"/>
      <c r="R411" s="70"/>
      <c r="S411" s="70" t="s">
        <v>2245</v>
      </c>
      <c r="T411" s="70" t="s">
        <v>2245</v>
      </c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195</v>
      </c>
      <c r="B412" s="73" t="s">
        <v>431</v>
      </c>
      <c r="C412" s="73" t="s">
        <v>1056</v>
      </c>
      <c r="D412" s="73" t="s">
        <v>430</v>
      </c>
      <c r="E412" s="85" t="s">
        <v>72</v>
      </c>
      <c r="F412" s="85" t="s">
        <v>1294</v>
      </c>
      <c r="G412" s="85"/>
      <c r="H412" s="85" t="s">
        <v>798</v>
      </c>
      <c r="I412" s="85"/>
      <c r="J412" s="141">
        <f t="shared" si="20"/>
        <v>26</v>
      </c>
      <c r="K412" s="146" t="s">
        <v>1974</v>
      </c>
      <c r="L412" s="141">
        <f t="shared" si="21"/>
        <v>2</v>
      </c>
      <c r="M412" s="142">
        <f t="shared" si="22"/>
        <v>0.9285714285714286</v>
      </c>
      <c r="N412" s="70" t="s">
        <v>2245</v>
      </c>
      <c r="O412" s="70"/>
      <c r="P412" s="70"/>
      <c r="Q412" s="70"/>
      <c r="R412" s="70"/>
      <c r="S412" s="70" t="s">
        <v>2245</v>
      </c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1532</v>
      </c>
      <c r="C413" s="73" t="s">
        <v>1056</v>
      </c>
      <c r="D413" s="73" t="s">
        <v>1533</v>
      </c>
      <c r="E413" s="85" t="s">
        <v>72</v>
      </c>
      <c r="F413" s="85" t="s">
        <v>1294</v>
      </c>
      <c r="G413" s="85"/>
      <c r="H413" s="85" t="s">
        <v>2325</v>
      </c>
      <c r="I413" s="85"/>
      <c r="J413" s="141">
        <f t="shared" si="20"/>
        <v>27</v>
      </c>
      <c r="K413" s="146" t="s">
        <v>2327</v>
      </c>
      <c r="L413" s="141">
        <f t="shared" si="21"/>
        <v>1</v>
      </c>
      <c r="M413" s="142">
        <f t="shared" si="22"/>
        <v>0.9642857142857143</v>
      </c>
      <c r="N413" s="70" t="s">
        <v>2245</v>
      </c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195</v>
      </c>
      <c r="B414" s="73" t="s">
        <v>1534</v>
      </c>
      <c r="C414" s="73" t="s">
        <v>1056</v>
      </c>
      <c r="D414" s="73" t="s">
        <v>1533</v>
      </c>
      <c r="E414" s="85" t="s">
        <v>72</v>
      </c>
      <c r="F414" s="85" t="s">
        <v>1294</v>
      </c>
      <c r="G414" s="85"/>
      <c r="H414" s="85" t="s">
        <v>2326</v>
      </c>
      <c r="I414" s="85"/>
      <c r="J414" s="141">
        <f t="shared" si="20"/>
        <v>28</v>
      </c>
      <c r="K414" s="146" t="s">
        <v>2328</v>
      </c>
      <c r="L414" s="141">
        <f t="shared" si="21"/>
        <v>0</v>
      </c>
      <c r="M414" s="142">
        <f t="shared" si="22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195</v>
      </c>
      <c r="B415" s="73" t="s">
        <v>1612</v>
      </c>
      <c r="C415" s="73" t="s">
        <v>1056</v>
      </c>
      <c r="D415" s="73" t="s">
        <v>1613</v>
      </c>
      <c r="E415" s="85" t="s">
        <v>72</v>
      </c>
      <c r="F415" s="85" t="s">
        <v>1294</v>
      </c>
      <c r="G415" s="85"/>
      <c r="H415" s="85" t="s">
        <v>1614</v>
      </c>
      <c r="I415" s="85"/>
      <c r="J415" s="141">
        <f t="shared" si="20"/>
        <v>28</v>
      </c>
      <c r="K415" s="146" t="s">
        <v>2126</v>
      </c>
      <c r="L415" s="141">
        <f t="shared" si="21"/>
        <v>0</v>
      </c>
      <c r="M415" s="142">
        <f t="shared" si="22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195</v>
      </c>
      <c r="B416" s="73" t="s">
        <v>2123</v>
      </c>
      <c r="C416" s="73" t="s">
        <v>1056</v>
      </c>
      <c r="D416" s="73" t="s">
        <v>2124</v>
      </c>
      <c r="E416" s="91" t="s">
        <v>18</v>
      </c>
      <c r="F416" s="85" t="s">
        <v>1294</v>
      </c>
      <c r="G416" s="85"/>
      <c r="H416" s="85" t="s">
        <v>2313</v>
      </c>
      <c r="I416" s="85"/>
      <c r="J416" s="141">
        <f t="shared" si="20"/>
        <v>28</v>
      </c>
      <c r="K416" s="146" t="s">
        <v>2125</v>
      </c>
      <c r="L416" s="141">
        <f t="shared" si="21"/>
        <v>0</v>
      </c>
      <c r="M416" s="142">
        <f t="shared" si="22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thickBot="1" x14ac:dyDescent="0.3">
      <c r="A417" s="73" t="s">
        <v>2232</v>
      </c>
      <c r="B417" s="73" t="s">
        <v>433</v>
      </c>
      <c r="C417" s="90" t="s">
        <v>1056</v>
      </c>
      <c r="D417" s="73" t="s">
        <v>434</v>
      </c>
      <c r="E417" s="91" t="s">
        <v>18</v>
      </c>
      <c r="F417" s="85" t="s">
        <v>1294</v>
      </c>
      <c r="G417" s="85"/>
      <c r="H417" s="85" t="s">
        <v>2172</v>
      </c>
      <c r="I417" s="85"/>
      <c r="J417" s="31">
        <f t="shared" si="20"/>
        <v>28</v>
      </c>
      <c r="K417" s="146" t="s">
        <v>2173</v>
      </c>
      <c r="L417" s="31">
        <f t="shared" si="21"/>
        <v>0</v>
      </c>
      <c r="M417" s="32">
        <f t="shared" si="22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thickBot="1" x14ac:dyDescent="0.3">
      <c r="A418" s="73" t="s">
        <v>2232</v>
      </c>
      <c r="B418" s="73" t="s">
        <v>1345</v>
      </c>
      <c r="C418" s="73" t="s">
        <v>1056</v>
      </c>
      <c r="D418" s="73" t="s">
        <v>1346</v>
      </c>
      <c r="E418" s="91" t="s">
        <v>18</v>
      </c>
      <c r="F418" s="85" t="s">
        <v>1294</v>
      </c>
      <c r="G418" s="85"/>
      <c r="H418" s="85" t="s">
        <v>1406</v>
      </c>
      <c r="I418" s="85"/>
      <c r="J418" s="141">
        <f t="shared" si="20"/>
        <v>28</v>
      </c>
      <c r="K418" s="146" t="s">
        <v>1975</v>
      </c>
      <c r="L418" s="141">
        <f t="shared" si="21"/>
        <v>0</v>
      </c>
      <c r="M418" s="142">
        <f t="shared" si="22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2232</v>
      </c>
      <c r="B419" s="73" t="s">
        <v>1394</v>
      </c>
      <c r="C419" s="73" t="s">
        <v>1056</v>
      </c>
      <c r="D419" s="73" t="s">
        <v>1395</v>
      </c>
      <c r="E419" s="91" t="s">
        <v>18</v>
      </c>
      <c r="F419" s="85" t="s">
        <v>1294</v>
      </c>
      <c r="G419" s="85"/>
      <c r="H419" s="85" t="s">
        <v>1396</v>
      </c>
      <c r="I419" s="85"/>
      <c r="J419" s="141">
        <f t="shared" si="20"/>
        <v>28</v>
      </c>
      <c r="K419" s="146" t="s">
        <v>1976</v>
      </c>
      <c r="L419" s="141">
        <f t="shared" si="21"/>
        <v>0</v>
      </c>
      <c r="M419" s="142">
        <f t="shared" si="22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thickBot="1" x14ac:dyDescent="0.3">
      <c r="A420" s="73" t="s">
        <v>2232</v>
      </c>
      <c r="B420" s="73" t="s">
        <v>2228</v>
      </c>
      <c r="C420" s="73" t="s">
        <v>1056</v>
      </c>
      <c r="D420" s="73" t="s">
        <v>2229</v>
      </c>
      <c r="E420" s="91" t="s">
        <v>18</v>
      </c>
      <c r="F420" s="85" t="s">
        <v>1294</v>
      </c>
      <c r="G420" s="85"/>
      <c r="H420" s="85" t="s">
        <v>2230</v>
      </c>
      <c r="I420" s="85"/>
      <c r="J420" s="141">
        <f t="shared" si="20"/>
        <v>28</v>
      </c>
      <c r="K420" s="146" t="s">
        <v>2231</v>
      </c>
      <c r="L420" s="141">
        <f t="shared" si="21"/>
        <v>0</v>
      </c>
      <c r="M420" s="142">
        <f t="shared" si="22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thickBot="1" x14ac:dyDescent="0.3">
      <c r="A421" s="73" t="s">
        <v>437</v>
      </c>
      <c r="B421" s="73" t="s">
        <v>444</v>
      </c>
      <c r="C421" s="73" t="s">
        <v>1056</v>
      </c>
      <c r="D421" s="73" t="s">
        <v>445</v>
      </c>
      <c r="E421" s="85" t="s">
        <v>14</v>
      </c>
      <c r="F421" s="85" t="s">
        <v>1294</v>
      </c>
      <c r="G421" s="85"/>
      <c r="H421" s="85" t="s">
        <v>1365</v>
      </c>
      <c r="I421" s="85"/>
      <c r="J421" s="141">
        <f t="shared" si="20"/>
        <v>28</v>
      </c>
      <c r="K421" s="146" t="s">
        <v>1977</v>
      </c>
      <c r="L421" s="141">
        <f t="shared" si="21"/>
        <v>0</v>
      </c>
      <c r="M421" s="142">
        <f t="shared" si="22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437</v>
      </c>
      <c r="B422" s="73" t="s">
        <v>446</v>
      </c>
      <c r="C422" s="73" t="s">
        <v>1056</v>
      </c>
      <c r="D422" s="73" t="s">
        <v>447</v>
      </c>
      <c r="E422" s="85" t="s">
        <v>18</v>
      </c>
      <c r="F422" s="85" t="s">
        <v>1294</v>
      </c>
      <c r="G422" s="85"/>
      <c r="H422" s="85" t="s">
        <v>1415</v>
      </c>
      <c r="I422" s="85"/>
      <c r="J422" s="141">
        <f t="shared" si="20"/>
        <v>25</v>
      </c>
      <c r="K422" s="146" t="s">
        <v>1978</v>
      </c>
      <c r="L422" s="141">
        <f t="shared" si="21"/>
        <v>3</v>
      </c>
      <c r="M422" s="142">
        <f t="shared" si="22"/>
        <v>0.8928571428571429</v>
      </c>
      <c r="N422" s="70" t="s">
        <v>2245</v>
      </c>
      <c r="O422" s="70"/>
      <c r="P422" s="70"/>
      <c r="Q422" s="70"/>
      <c r="R422" s="70"/>
      <c r="S422" s="70" t="s">
        <v>2245</v>
      </c>
      <c r="T422" s="70" t="s">
        <v>2245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437</v>
      </c>
      <c r="B423" s="90" t="s">
        <v>435</v>
      </c>
      <c r="C423" s="90" t="s">
        <v>1056</v>
      </c>
      <c r="D423" s="90" t="s">
        <v>436</v>
      </c>
      <c r="E423" s="91" t="s">
        <v>18</v>
      </c>
      <c r="F423" s="91" t="s">
        <v>19</v>
      </c>
      <c r="G423" s="91"/>
      <c r="H423" s="91" t="s">
        <v>799</v>
      </c>
      <c r="I423" s="91"/>
      <c r="J423" s="31">
        <f t="shared" si="20"/>
        <v>25</v>
      </c>
      <c r="K423" s="146"/>
      <c r="L423" s="31">
        <f t="shared" si="21"/>
        <v>3</v>
      </c>
      <c r="M423" s="32">
        <f t="shared" si="22"/>
        <v>0.8928571428571429</v>
      </c>
      <c r="N423" s="70" t="s">
        <v>2245</v>
      </c>
      <c r="O423" s="70"/>
      <c r="P423" s="70"/>
      <c r="Q423" s="70"/>
      <c r="R423" s="70"/>
      <c r="S423" s="70" t="s">
        <v>2245</v>
      </c>
      <c r="T423" s="70" t="s">
        <v>2245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70"/>
    </row>
    <row r="424" spans="1:43" s="73" customFormat="1" ht="15.75" thickBot="1" x14ac:dyDescent="0.3">
      <c r="A424" s="73" t="s">
        <v>437</v>
      </c>
      <c r="B424" s="73" t="s">
        <v>438</v>
      </c>
      <c r="C424" s="73" t="s">
        <v>1056</v>
      </c>
      <c r="D424" s="73" t="s">
        <v>439</v>
      </c>
      <c r="E424" s="85" t="s">
        <v>45</v>
      </c>
      <c r="F424" s="85" t="s">
        <v>1294</v>
      </c>
      <c r="G424" s="85"/>
      <c r="H424" s="85" t="s">
        <v>1366</v>
      </c>
      <c r="I424" s="85"/>
      <c r="J424" s="141">
        <f t="shared" si="20"/>
        <v>28</v>
      </c>
      <c r="K424" s="146" t="s">
        <v>1979</v>
      </c>
      <c r="L424" s="141">
        <f t="shared" si="21"/>
        <v>0</v>
      </c>
      <c r="M424" s="142">
        <f t="shared" si="22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437</v>
      </c>
      <c r="B425" t="s">
        <v>448</v>
      </c>
      <c r="C425" t="s">
        <v>1056</v>
      </c>
      <c r="D425" t="s">
        <v>449</v>
      </c>
      <c r="E425" s="30" t="s">
        <v>14</v>
      </c>
      <c r="F425" s="30" t="s">
        <v>1049</v>
      </c>
      <c r="G425" s="30" t="s">
        <v>1249</v>
      </c>
      <c r="H425" s="30" t="s">
        <v>800</v>
      </c>
      <c r="I425" s="30"/>
      <c r="J425" s="31">
        <f t="shared" si="20"/>
        <v>28</v>
      </c>
      <c r="K425" s="146" t="s">
        <v>1980</v>
      </c>
      <c r="L425" s="31">
        <f t="shared" si="21"/>
        <v>0</v>
      </c>
      <c r="M425" s="32">
        <f t="shared" si="22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437</v>
      </c>
      <c r="B426" t="s">
        <v>440</v>
      </c>
      <c r="C426" t="s">
        <v>1056</v>
      </c>
      <c r="D426" t="s">
        <v>441</v>
      </c>
      <c r="E426" s="30" t="s">
        <v>14</v>
      </c>
      <c r="F426" s="30" t="s">
        <v>27</v>
      </c>
      <c r="G426" s="30"/>
      <c r="H426" s="30" t="s">
        <v>801</v>
      </c>
      <c r="I426" s="30"/>
      <c r="J426" s="31">
        <f t="shared" si="20"/>
        <v>28</v>
      </c>
      <c r="K426" s="146"/>
      <c r="L426" s="31">
        <f t="shared" si="21"/>
        <v>0</v>
      </c>
      <c r="M426" s="32">
        <f t="shared" si="22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thickBot="1" x14ac:dyDescent="0.3">
      <c r="A427" s="73" t="s">
        <v>437</v>
      </c>
      <c r="B427" s="73" t="s">
        <v>442</v>
      </c>
      <c r="C427" s="73" t="s">
        <v>1056</v>
      </c>
      <c r="D427" s="73" t="s">
        <v>443</v>
      </c>
      <c r="E427" s="85" t="s">
        <v>14</v>
      </c>
      <c r="F427" s="85" t="s">
        <v>1294</v>
      </c>
      <c r="G427" s="85"/>
      <c r="H427" s="85" t="s">
        <v>802</v>
      </c>
      <c r="I427" s="85"/>
      <c r="J427" s="141">
        <f t="shared" si="20"/>
        <v>26</v>
      </c>
      <c r="K427" s="146" t="s">
        <v>1981</v>
      </c>
      <c r="L427" s="141">
        <f t="shared" si="21"/>
        <v>2</v>
      </c>
      <c r="M427" s="142">
        <f t="shared" si="22"/>
        <v>0.9285714285714286</v>
      </c>
      <c r="N427" s="70"/>
      <c r="O427" s="70"/>
      <c r="P427" s="70"/>
      <c r="Q427" s="70"/>
      <c r="R427" s="70"/>
      <c r="S427" s="70" t="s">
        <v>2245</v>
      </c>
      <c r="T427" s="70" t="s">
        <v>2245</v>
      </c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1117</v>
      </c>
      <c r="B428" t="s">
        <v>1118</v>
      </c>
      <c r="C428" t="s">
        <v>1056</v>
      </c>
      <c r="D428" t="s">
        <v>1119</v>
      </c>
      <c r="E428" s="30" t="s">
        <v>1107</v>
      </c>
      <c r="F428" s="30" t="s">
        <v>27</v>
      </c>
      <c r="G428" s="30"/>
      <c r="H428" s="30" t="s">
        <v>1133</v>
      </c>
      <c r="I428" s="30"/>
      <c r="J428" s="31">
        <f t="shared" si="20"/>
        <v>28</v>
      </c>
      <c r="K428" s="146" t="s">
        <v>1982</v>
      </c>
      <c r="L428" s="31">
        <f t="shared" si="21"/>
        <v>0</v>
      </c>
      <c r="M428" s="32">
        <f t="shared" si="22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customHeight="1" thickBot="1" x14ac:dyDescent="0.3">
      <c r="A429" t="s">
        <v>1117</v>
      </c>
      <c r="B429" t="s">
        <v>1137</v>
      </c>
      <c r="C429" t="s">
        <v>1056</v>
      </c>
      <c r="D429" t="s">
        <v>1119</v>
      </c>
      <c r="E429" s="30" t="s">
        <v>1107</v>
      </c>
      <c r="F429" s="30" t="s">
        <v>27</v>
      </c>
      <c r="G429" s="30"/>
      <c r="H429" s="30" t="s">
        <v>1134</v>
      </c>
      <c r="I429" s="30"/>
      <c r="J429" s="31">
        <f t="shared" si="20"/>
        <v>28</v>
      </c>
      <c r="K429" s="146" t="s">
        <v>1983</v>
      </c>
      <c r="L429" s="31">
        <f t="shared" si="21"/>
        <v>0</v>
      </c>
      <c r="M429" s="32">
        <f t="shared" si="22"/>
        <v>1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customHeight="1" thickBot="1" x14ac:dyDescent="0.3">
      <c r="A430" t="s">
        <v>1117</v>
      </c>
      <c r="B430" s="73" t="s">
        <v>1547</v>
      </c>
      <c r="C430" s="73" t="s">
        <v>1056</v>
      </c>
      <c r="D430" s="73" t="s">
        <v>1548</v>
      </c>
      <c r="E430" s="85" t="s">
        <v>1107</v>
      </c>
      <c r="F430" s="85" t="s">
        <v>1294</v>
      </c>
      <c r="G430" s="85"/>
      <c r="H430" s="85" t="s">
        <v>1550</v>
      </c>
      <c r="I430" s="85"/>
      <c r="J430" s="31">
        <f t="shared" si="20"/>
        <v>28</v>
      </c>
      <c r="K430" s="146" t="s">
        <v>1984</v>
      </c>
      <c r="L430" s="31">
        <f t="shared" si="21"/>
        <v>0</v>
      </c>
      <c r="M430" s="32">
        <f t="shared" si="22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customHeight="1" thickBot="1" x14ac:dyDescent="0.3">
      <c r="A431" t="s">
        <v>1117</v>
      </c>
      <c r="B431" s="73" t="s">
        <v>1546</v>
      </c>
      <c r="C431" s="73" t="s">
        <v>1056</v>
      </c>
      <c r="D431" s="73" t="s">
        <v>1549</v>
      </c>
      <c r="E431" s="85" t="s">
        <v>1107</v>
      </c>
      <c r="F431" s="85" t="s">
        <v>1294</v>
      </c>
      <c r="G431" s="85"/>
      <c r="H431" s="85" t="s">
        <v>1551</v>
      </c>
      <c r="I431" s="85"/>
      <c r="J431" s="31">
        <f t="shared" si="20"/>
        <v>28</v>
      </c>
      <c r="K431" s="146" t="s">
        <v>1985</v>
      </c>
      <c r="L431" s="31">
        <f t="shared" si="21"/>
        <v>0</v>
      </c>
      <c r="M431" s="32">
        <f t="shared" si="22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1117</v>
      </c>
      <c r="B432" s="73" t="s">
        <v>2214</v>
      </c>
      <c r="C432" s="73" t="s">
        <v>1056</v>
      </c>
      <c r="D432" s="73" t="s">
        <v>2215</v>
      </c>
      <c r="E432" s="85" t="s">
        <v>1107</v>
      </c>
      <c r="F432" s="85"/>
      <c r="G432" s="85"/>
      <c r="H432" s="85" t="s">
        <v>2314</v>
      </c>
      <c r="I432" s="85"/>
      <c r="J432" s="31">
        <f t="shared" si="20"/>
        <v>28</v>
      </c>
      <c r="K432" s="146"/>
      <c r="L432" s="31">
        <f t="shared" si="21"/>
        <v>0</v>
      </c>
      <c r="M432" s="32">
        <f t="shared" si="22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164</v>
      </c>
      <c r="B433" t="s">
        <v>450</v>
      </c>
      <c r="C433" t="s">
        <v>1055</v>
      </c>
      <c r="D433" t="s">
        <v>451</v>
      </c>
      <c r="E433" s="30" t="s">
        <v>72</v>
      </c>
      <c r="F433" s="30" t="s">
        <v>27</v>
      </c>
      <c r="G433" s="30"/>
      <c r="H433" s="30" t="s">
        <v>803</v>
      </c>
      <c r="I433" s="30"/>
      <c r="J433" s="31">
        <f t="shared" si="20"/>
        <v>28</v>
      </c>
      <c r="K433" s="146" t="s">
        <v>1986</v>
      </c>
      <c r="L433" s="31">
        <f t="shared" si="21"/>
        <v>0</v>
      </c>
      <c r="M433" s="32">
        <f t="shared" si="22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164</v>
      </c>
      <c r="B434" t="s">
        <v>452</v>
      </c>
      <c r="C434" t="s">
        <v>1055</v>
      </c>
      <c r="D434" t="s">
        <v>451</v>
      </c>
      <c r="E434" s="30" t="s">
        <v>72</v>
      </c>
      <c r="F434" s="30" t="s">
        <v>27</v>
      </c>
      <c r="G434" s="30"/>
      <c r="H434" s="30" t="s">
        <v>804</v>
      </c>
      <c r="I434" s="30"/>
      <c r="J434" s="31">
        <f t="shared" si="20"/>
        <v>28</v>
      </c>
      <c r="K434" s="146" t="s">
        <v>1987</v>
      </c>
      <c r="L434" s="31">
        <f t="shared" si="21"/>
        <v>0</v>
      </c>
      <c r="M434" s="32">
        <f t="shared" si="22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164</v>
      </c>
      <c r="B435" t="s">
        <v>1010</v>
      </c>
      <c r="C435" t="s">
        <v>1055</v>
      </c>
      <c r="D435" t="s">
        <v>453</v>
      </c>
      <c r="E435" s="30" t="s">
        <v>72</v>
      </c>
      <c r="F435" s="30" t="s">
        <v>27</v>
      </c>
      <c r="G435" s="30"/>
      <c r="H435" s="30" t="s">
        <v>805</v>
      </c>
      <c r="I435" s="30"/>
      <c r="J435" s="31">
        <f t="shared" si="20"/>
        <v>28</v>
      </c>
      <c r="K435" s="146" t="s">
        <v>1988</v>
      </c>
      <c r="L435" s="31">
        <f t="shared" si="21"/>
        <v>0</v>
      </c>
      <c r="M435" s="32">
        <f t="shared" si="22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164</v>
      </c>
      <c r="B436" t="s">
        <v>1011</v>
      </c>
      <c r="C436" t="s">
        <v>1055</v>
      </c>
      <c r="D436" t="s">
        <v>453</v>
      </c>
      <c r="E436" s="30" t="s">
        <v>72</v>
      </c>
      <c r="F436" s="30" t="s">
        <v>27</v>
      </c>
      <c r="G436" s="30"/>
      <c r="H436" s="30" t="s">
        <v>806</v>
      </c>
      <c r="I436" s="30"/>
      <c r="J436" s="31">
        <f t="shared" si="20"/>
        <v>28</v>
      </c>
      <c r="K436" s="146" t="s">
        <v>1989</v>
      </c>
      <c r="L436" s="31">
        <f t="shared" si="21"/>
        <v>0</v>
      </c>
      <c r="M436" s="32">
        <f t="shared" si="22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454</v>
      </c>
      <c r="B437" t="s">
        <v>463</v>
      </c>
      <c r="C437" t="s">
        <v>1056</v>
      </c>
      <c r="D437" t="s">
        <v>1018</v>
      </c>
      <c r="E437" s="30" t="s">
        <v>18</v>
      </c>
      <c r="F437" s="30" t="s">
        <v>1049</v>
      </c>
      <c r="G437" s="30"/>
      <c r="H437" s="30" t="s">
        <v>1402</v>
      </c>
      <c r="I437" s="30"/>
      <c r="J437" s="31">
        <f t="shared" si="20"/>
        <v>25</v>
      </c>
      <c r="K437" s="146" t="s">
        <v>1990</v>
      </c>
      <c r="L437" s="31">
        <f t="shared" si="21"/>
        <v>3</v>
      </c>
      <c r="M437" s="32">
        <f t="shared" si="22"/>
        <v>0.8928571428571429</v>
      </c>
      <c r="N437" s="70" t="s">
        <v>2245</v>
      </c>
      <c r="O437" s="70"/>
      <c r="P437" s="70"/>
      <c r="Q437" s="70"/>
      <c r="R437" s="70"/>
      <c r="S437" s="70" t="s">
        <v>2245</v>
      </c>
      <c r="T437" s="70" t="s">
        <v>2245</v>
      </c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349</v>
      </c>
      <c r="B438" t="s">
        <v>464</v>
      </c>
      <c r="C438" t="s">
        <v>1056</v>
      </c>
      <c r="D438" t="s">
        <v>1314</v>
      </c>
      <c r="E438" s="30" t="s">
        <v>18</v>
      </c>
      <c r="F438" s="30" t="s">
        <v>1049</v>
      </c>
      <c r="G438" s="30"/>
      <c r="H438" s="30" t="s">
        <v>1403</v>
      </c>
      <c r="I438" s="30"/>
      <c r="J438" s="31">
        <f t="shared" si="20"/>
        <v>25</v>
      </c>
      <c r="K438" s="146" t="s">
        <v>1991</v>
      </c>
      <c r="L438" s="31">
        <f t="shared" si="21"/>
        <v>3</v>
      </c>
      <c r="M438" s="32">
        <f t="shared" si="22"/>
        <v>0.8928571428571429</v>
      </c>
      <c r="N438" s="70" t="s">
        <v>2245</v>
      </c>
      <c r="O438" s="70"/>
      <c r="P438" s="70"/>
      <c r="Q438" s="70"/>
      <c r="R438" s="70"/>
      <c r="S438" s="70" t="s">
        <v>2245</v>
      </c>
      <c r="T438" s="70" t="s">
        <v>2245</v>
      </c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thickBot="1" x14ac:dyDescent="0.3">
      <c r="A439" s="73" t="s">
        <v>454</v>
      </c>
      <c r="B439" s="73" t="s">
        <v>465</v>
      </c>
      <c r="C439" s="73" t="s">
        <v>1056</v>
      </c>
      <c r="D439" s="73" t="s">
        <v>466</v>
      </c>
      <c r="E439" s="85" t="s">
        <v>18</v>
      </c>
      <c r="F439" s="85" t="s">
        <v>1294</v>
      </c>
      <c r="G439" s="85"/>
      <c r="H439" s="85" t="s">
        <v>1414</v>
      </c>
      <c r="I439" s="85"/>
      <c r="J439" s="141">
        <f t="shared" si="20"/>
        <v>28</v>
      </c>
      <c r="K439" s="146" t="s">
        <v>1992</v>
      </c>
      <c r="L439" s="141">
        <f t="shared" si="21"/>
        <v>0</v>
      </c>
      <c r="M439" s="142">
        <f t="shared" si="22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thickBot="1" x14ac:dyDescent="0.3">
      <c r="A440" s="73" t="s">
        <v>454</v>
      </c>
      <c r="B440" s="73" t="s">
        <v>1012</v>
      </c>
      <c r="C440" s="73" t="s">
        <v>1056</v>
      </c>
      <c r="D440" s="73" t="s">
        <v>467</v>
      </c>
      <c r="E440" s="85" t="s">
        <v>18</v>
      </c>
      <c r="F440" s="85" t="s">
        <v>1294</v>
      </c>
      <c r="G440" s="85"/>
      <c r="H440" s="85" t="s">
        <v>1321</v>
      </c>
      <c r="I440" s="85"/>
      <c r="J440" s="141">
        <f t="shared" si="20"/>
        <v>25</v>
      </c>
      <c r="K440" s="146" t="s">
        <v>1993</v>
      </c>
      <c r="L440" s="141">
        <f t="shared" si="21"/>
        <v>3</v>
      </c>
      <c r="M440" s="142">
        <f t="shared" si="22"/>
        <v>0.8928571428571429</v>
      </c>
      <c r="N440" s="70" t="s">
        <v>2245</v>
      </c>
      <c r="O440" s="70"/>
      <c r="P440" s="70"/>
      <c r="Q440" s="70"/>
      <c r="R440" s="70"/>
      <c r="S440" s="70" t="s">
        <v>2245</v>
      </c>
      <c r="T440" s="70" t="s">
        <v>2245</v>
      </c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454</v>
      </c>
      <c r="B441" t="s">
        <v>1019</v>
      </c>
      <c r="C441" t="s">
        <v>1056</v>
      </c>
      <c r="D441" t="s">
        <v>455</v>
      </c>
      <c r="E441" s="30" t="s">
        <v>14</v>
      </c>
      <c r="F441" s="30" t="s">
        <v>19</v>
      </c>
      <c r="G441" s="30"/>
      <c r="H441" s="30" t="s">
        <v>809</v>
      </c>
      <c r="I441" s="30"/>
      <c r="J441" s="31">
        <f t="shared" si="20"/>
        <v>28</v>
      </c>
      <c r="K441" s="146"/>
      <c r="L441" s="31">
        <f t="shared" si="21"/>
        <v>0</v>
      </c>
      <c r="M441" s="32">
        <f t="shared" si="22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454</v>
      </c>
      <c r="B442" t="s">
        <v>1020</v>
      </c>
      <c r="C442" t="s">
        <v>1056</v>
      </c>
      <c r="D442" t="s">
        <v>456</v>
      </c>
      <c r="E442" s="30" t="s">
        <v>18</v>
      </c>
      <c r="F442" s="30" t="s">
        <v>27</v>
      </c>
      <c r="G442" s="30"/>
      <c r="H442" s="30" t="s">
        <v>810</v>
      </c>
      <c r="I442" s="30"/>
      <c r="J442" s="31">
        <f t="shared" si="20"/>
        <v>28</v>
      </c>
      <c r="K442" s="146" t="s">
        <v>1994</v>
      </c>
      <c r="L442" s="31">
        <f t="shared" si="21"/>
        <v>0</v>
      </c>
      <c r="M442" s="32">
        <f t="shared" si="22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454</v>
      </c>
      <c r="B443" t="s">
        <v>1021</v>
      </c>
      <c r="C443" t="s">
        <v>1056</v>
      </c>
      <c r="D443" t="s">
        <v>457</v>
      </c>
      <c r="E443" s="30" t="s">
        <v>18</v>
      </c>
      <c r="F443" s="30" t="s">
        <v>27</v>
      </c>
      <c r="G443" s="30"/>
      <c r="H443" s="30" t="s">
        <v>811</v>
      </c>
      <c r="I443" s="30"/>
      <c r="J443" s="31">
        <f t="shared" si="20"/>
        <v>28</v>
      </c>
      <c r="K443" s="146" t="s">
        <v>1995</v>
      </c>
      <c r="L443" s="31">
        <f t="shared" si="21"/>
        <v>0</v>
      </c>
      <c r="M443" s="32">
        <f t="shared" si="22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454</v>
      </c>
      <c r="B444" t="s">
        <v>458</v>
      </c>
      <c r="C444" t="s">
        <v>1056</v>
      </c>
      <c r="D444" t="s">
        <v>459</v>
      </c>
      <c r="E444" s="30" t="s">
        <v>18</v>
      </c>
      <c r="F444" s="30" t="s">
        <v>27</v>
      </c>
      <c r="G444" s="30"/>
      <c r="H444" s="30" t="s">
        <v>812</v>
      </c>
      <c r="I444" s="30"/>
      <c r="J444" s="31">
        <f t="shared" si="20"/>
        <v>28</v>
      </c>
      <c r="K444" s="146" t="s">
        <v>1996</v>
      </c>
      <c r="L444" s="31">
        <f t="shared" si="21"/>
        <v>0</v>
      </c>
      <c r="M444" s="32">
        <f t="shared" si="22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454</v>
      </c>
      <c r="B445" t="s">
        <v>1022</v>
      </c>
      <c r="C445" t="s">
        <v>1056</v>
      </c>
      <c r="D445" t="s">
        <v>460</v>
      </c>
      <c r="E445" s="30" t="s">
        <v>14</v>
      </c>
      <c r="F445" s="30" t="s">
        <v>19</v>
      </c>
      <c r="G445" s="30"/>
      <c r="H445" s="30" t="s">
        <v>794</v>
      </c>
      <c r="I445" s="30"/>
      <c r="J445" s="31">
        <f t="shared" si="20"/>
        <v>28</v>
      </c>
      <c r="K445" s="146"/>
      <c r="L445" s="31">
        <f t="shared" si="21"/>
        <v>0</v>
      </c>
      <c r="M445" s="32">
        <f t="shared" si="22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454</v>
      </c>
      <c r="B446" s="69" t="s">
        <v>1023</v>
      </c>
      <c r="C446" s="69" t="s">
        <v>1056</v>
      </c>
      <c r="D446" s="69" t="s">
        <v>461</v>
      </c>
      <c r="E446" s="147" t="s">
        <v>14</v>
      </c>
      <c r="F446" s="147" t="s">
        <v>19</v>
      </c>
      <c r="G446" s="30"/>
      <c r="H446" s="147" t="s">
        <v>813</v>
      </c>
      <c r="I446" s="30"/>
      <c r="J446" s="31">
        <f t="shared" si="20"/>
        <v>25</v>
      </c>
      <c r="K446" s="146"/>
      <c r="L446" s="31">
        <f t="shared" si="21"/>
        <v>3</v>
      </c>
      <c r="M446" s="32">
        <f t="shared" si="22"/>
        <v>0.8928571428571429</v>
      </c>
      <c r="N446" s="70" t="s">
        <v>2245</v>
      </c>
      <c r="O446" s="70"/>
      <c r="P446" s="70"/>
      <c r="Q446" s="70"/>
      <c r="R446" s="70"/>
      <c r="S446" s="70" t="s">
        <v>2245</v>
      </c>
      <c r="T446" s="70" t="s">
        <v>2245</v>
      </c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454</v>
      </c>
      <c r="B447" s="69" t="s">
        <v>1013</v>
      </c>
      <c r="C447" s="69" t="s">
        <v>1056</v>
      </c>
      <c r="D447" s="69" t="s">
        <v>468</v>
      </c>
      <c r="E447" s="147" t="s">
        <v>14</v>
      </c>
      <c r="F447" s="147" t="s">
        <v>19</v>
      </c>
      <c r="G447" s="30"/>
      <c r="H447" s="147" t="s">
        <v>807</v>
      </c>
      <c r="I447" s="30"/>
      <c r="J447" s="31">
        <f t="shared" si="20"/>
        <v>25</v>
      </c>
      <c r="K447" s="146"/>
      <c r="L447" s="31">
        <f t="shared" si="21"/>
        <v>3</v>
      </c>
      <c r="M447" s="32">
        <f t="shared" si="22"/>
        <v>0.8928571428571429</v>
      </c>
      <c r="N447" s="70" t="s">
        <v>2245</v>
      </c>
      <c r="O447" s="70"/>
      <c r="P447" s="70"/>
      <c r="Q447" s="70"/>
      <c r="R447" s="70"/>
      <c r="S447" s="70" t="s">
        <v>2245</v>
      </c>
      <c r="T447" s="70" t="s">
        <v>2245</v>
      </c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454</v>
      </c>
      <c r="B448" t="s">
        <v>469</v>
      </c>
      <c r="C448" t="s">
        <v>1056</v>
      </c>
      <c r="D448" t="s">
        <v>470</v>
      </c>
      <c r="E448" s="30" t="s">
        <v>14</v>
      </c>
      <c r="F448" s="30" t="s">
        <v>19</v>
      </c>
      <c r="G448" s="30"/>
      <c r="H448" s="30" t="s">
        <v>808</v>
      </c>
      <c r="I448" s="30"/>
      <c r="J448" s="31">
        <f t="shared" si="20"/>
        <v>28</v>
      </c>
      <c r="K448" s="146"/>
      <c r="L448" s="31">
        <f t="shared" si="21"/>
        <v>0</v>
      </c>
      <c r="M448" s="32">
        <f t="shared" si="22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349</v>
      </c>
      <c r="B449" t="s">
        <v>1014</v>
      </c>
      <c r="C449" t="s">
        <v>1056</v>
      </c>
      <c r="D449" t="s">
        <v>471</v>
      </c>
      <c r="E449" s="30" t="s">
        <v>72</v>
      </c>
      <c r="F449" s="30" t="s">
        <v>1049</v>
      </c>
      <c r="G449" s="30"/>
      <c r="H449" s="30" t="s">
        <v>1404</v>
      </c>
      <c r="I449" s="30"/>
      <c r="J449" s="31">
        <f t="shared" si="20"/>
        <v>25</v>
      </c>
      <c r="K449" s="146" t="s">
        <v>1997</v>
      </c>
      <c r="L449" s="31">
        <f t="shared" si="21"/>
        <v>3</v>
      </c>
      <c r="M449" s="32">
        <f t="shared" si="22"/>
        <v>0.8928571428571429</v>
      </c>
      <c r="N449" s="70" t="s">
        <v>2245</v>
      </c>
      <c r="O449" s="70"/>
      <c r="P449" s="70"/>
      <c r="Q449" s="70"/>
      <c r="R449" s="70"/>
      <c r="S449" s="70" t="s">
        <v>2245</v>
      </c>
      <c r="T449" s="70" t="s">
        <v>2245</v>
      </c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139"/>
    </row>
    <row r="450" spans="1:43" ht="15.75" thickBot="1" x14ac:dyDescent="0.3">
      <c r="A450" t="s">
        <v>349</v>
      </c>
      <c r="B450" t="s">
        <v>1015</v>
      </c>
      <c r="C450" t="s">
        <v>1056</v>
      </c>
      <c r="D450" t="s">
        <v>471</v>
      </c>
      <c r="E450" s="30" t="s">
        <v>72</v>
      </c>
      <c r="F450" s="30" t="s">
        <v>1049</v>
      </c>
      <c r="G450" s="30"/>
      <c r="H450" s="30" t="s">
        <v>1405</v>
      </c>
      <c r="I450" s="30"/>
      <c r="J450" s="31">
        <f t="shared" si="20"/>
        <v>25</v>
      </c>
      <c r="K450" s="146" t="s">
        <v>1998</v>
      </c>
      <c r="L450" s="31">
        <f t="shared" si="21"/>
        <v>3</v>
      </c>
      <c r="M450" s="32">
        <f t="shared" si="22"/>
        <v>0.8928571428571429</v>
      </c>
      <c r="N450" s="70" t="s">
        <v>2245</v>
      </c>
      <c r="O450" s="70"/>
      <c r="P450" s="70"/>
      <c r="Q450" s="70"/>
      <c r="R450" s="70"/>
      <c r="S450" s="70" t="s">
        <v>2245</v>
      </c>
      <c r="T450" s="70" t="s">
        <v>2245</v>
      </c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454</v>
      </c>
      <c r="B451" s="73" t="s">
        <v>472</v>
      </c>
      <c r="C451" s="73" t="s">
        <v>1056</v>
      </c>
      <c r="D451" s="73" t="s">
        <v>473</v>
      </c>
      <c r="E451" s="85" t="s">
        <v>14</v>
      </c>
      <c r="F451" s="85" t="s">
        <v>1294</v>
      </c>
      <c r="G451" s="85"/>
      <c r="H451" s="85" t="s">
        <v>814</v>
      </c>
      <c r="I451" s="85"/>
      <c r="J451" s="141">
        <f t="shared" si="20"/>
        <v>28</v>
      </c>
      <c r="K451" s="146" t="s">
        <v>1999</v>
      </c>
      <c r="L451" s="141">
        <f t="shared" si="21"/>
        <v>0</v>
      </c>
      <c r="M451" s="142">
        <f t="shared" si="22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454</v>
      </c>
      <c r="B452" s="73" t="s">
        <v>1024</v>
      </c>
      <c r="C452" s="73" t="s">
        <v>1056</v>
      </c>
      <c r="D452" s="73" t="s">
        <v>462</v>
      </c>
      <c r="E452" s="85" t="s">
        <v>72</v>
      </c>
      <c r="F452" s="85" t="s">
        <v>1294</v>
      </c>
      <c r="G452" s="85"/>
      <c r="H452" s="85" t="s">
        <v>815</v>
      </c>
      <c r="I452" s="85"/>
      <c r="J452" s="141">
        <f t="shared" si="20"/>
        <v>28</v>
      </c>
      <c r="K452" s="146" t="s">
        <v>2000</v>
      </c>
      <c r="L452" s="141">
        <f t="shared" si="21"/>
        <v>0</v>
      </c>
      <c r="M452" s="142">
        <f t="shared" si="22"/>
        <v>1</v>
      </c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454</v>
      </c>
      <c r="B453" s="73" t="s">
        <v>1025</v>
      </c>
      <c r="C453" s="73" t="s">
        <v>1056</v>
      </c>
      <c r="D453" s="73" t="s">
        <v>462</v>
      </c>
      <c r="E453" s="85" t="s">
        <v>72</v>
      </c>
      <c r="F453" s="85" t="s">
        <v>1294</v>
      </c>
      <c r="G453" s="85"/>
      <c r="H453" s="85" t="s">
        <v>816</v>
      </c>
      <c r="I453" s="85"/>
      <c r="J453" s="141">
        <f t="shared" si="20"/>
        <v>28</v>
      </c>
      <c r="K453" s="146" t="s">
        <v>2001</v>
      </c>
      <c r="L453" s="141">
        <f t="shared" si="21"/>
        <v>0</v>
      </c>
      <c r="M453" s="142">
        <f t="shared" si="22"/>
        <v>1</v>
      </c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thickBot="1" x14ac:dyDescent="0.3">
      <c r="A454" t="s">
        <v>454</v>
      </c>
      <c r="B454" t="s">
        <v>1016</v>
      </c>
      <c r="C454" t="s">
        <v>1056</v>
      </c>
      <c r="D454" t="s">
        <v>474</v>
      </c>
      <c r="E454" s="30" t="s">
        <v>72</v>
      </c>
      <c r="F454" s="30" t="s">
        <v>27</v>
      </c>
      <c r="G454" s="30"/>
      <c r="H454" s="30" t="s">
        <v>817</v>
      </c>
      <c r="I454" s="30"/>
      <c r="J454" s="31">
        <f t="shared" si="20"/>
        <v>28</v>
      </c>
      <c r="K454" s="146" t="s">
        <v>2002</v>
      </c>
      <c r="L454" s="31">
        <f t="shared" si="21"/>
        <v>0</v>
      </c>
      <c r="M454" s="32">
        <f t="shared" si="22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thickBot="1" x14ac:dyDescent="0.3">
      <c r="A455" t="s">
        <v>454</v>
      </c>
      <c r="B455" t="s">
        <v>1017</v>
      </c>
      <c r="C455" t="s">
        <v>1056</v>
      </c>
      <c r="D455" t="s">
        <v>474</v>
      </c>
      <c r="E455" s="30" t="s">
        <v>72</v>
      </c>
      <c r="F455" s="30" t="s">
        <v>27</v>
      </c>
      <c r="G455" s="30"/>
      <c r="H455" s="30" t="s">
        <v>818</v>
      </c>
      <c r="I455" s="30"/>
      <c r="J455" s="31">
        <f t="shared" si="20"/>
        <v>28</v>
      </c>
      <c r="K455" s="146" t="s">
        <v>2003</v>
      </c>
      <c r="L455" s="31">
        <f t="shared" si="21"/>
        <v>0</v>
      </c>
      <c r="M455" s="32">
        <f t="shared" si="22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454</v>
      </c>
      <c r="B456" s="30" t="s">
        <v>1281</v>
      </c>
      <c r="C456" t="s">
        <v>1056</v>
      </c>
      <c r="D456" s="68" t="s">
        <v>1280</v>
      </c>
      <c r="E456" s="30" t="s">
        <v>72</v>
      </c>
      <c r="F456" s="30" t="s">
        <v>27</v>
      </c>
      <c r="G456" s="30"/>
      <c r="H456" s="30" t="s">
        <v>1282</v>
      </c>
      <c r="I456" s="30"/>
      <c r="J456" s="31">
        <f t="shared" si="20"/>
        <v>28</v>
      </c>
      <c r="K456" s="146" t="s">
        <v>2004</v>
      </c>
      <c r="L456" s="31">
        <f t="shared" si="21"/>
        <v>0</v>
      </c>
      <c r="M456" s="32">
        <f t="shared" si="22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454</v>
      </c>
      <c r="B457" t="s">
        <v>1279</v>
      </c>
      <c r="C457" t="s">
        <v>1056</v>
      </c>
      <c r="D457" s="68" t="s">
        <v>1280</v>
      </c>
      <c r="E457" s="30" t="s">
        <v>72</v>
      </c>
      <c r="F457" s="30" t="s">
        <v>27</v>
      </c>
      <c r="G457" s="30"/>
      <c r="H457" s="30" t="s">
        <v>1283</v>
      </c>
      <c r="I457" s="30"/>
      <c r="J457" s="31">
        <f t="shared" si="20"/>
        <v>28</v>
      </c>
      <c r="K457" s="146" t="s">
        <v>2005</v>
      </c>
      <c r="L457" s="31">
        <f t="shared" si="21"/>
        <v>0</v>
      </c>
      <c r="M457" s="32">
        <f t="shared" si="22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thickBot="1" x14ac:dyDescent="0.3">
      <c r="A458" s="73" t="s">
        <v>1588</v>
      </c>
      <c r="B458" s="73" t="s">
        <v>1589</v>
      </c>
      <c r="C458" s="73" t="s">
        <v>1056</v>
      </c>
      <c r="D458" s="145" t="s">
        <v>1590</v>
      </c>
      <c r="E458" s="85" t="s">
        <v>14</v>
      </c>
      <c r="F458" s="85" t="s">
        <v>1294</v>
      </c>
      <c r="G458" s="85"/>
      <c r="H458" s="85" t="s">
        <v>1591</v>
      </c>
      <c r="I458" s="85"/>
      <c r="J458" s="31">
        <f t="shared" si="20"/>
        <v>28</v>
      </c>
      <c r="K458" s="146"/>
      <c r="L458" s="31">
        <f t="shared" si="21"/>
        <v>0</v>
      </c>
      <c r="M458" s="32">
        <f t="shared" si="22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1588</v>
      </c>
      <c r="B459" s="73" t="s">
        <v>1600</v>
      </c>
      <c r="C459" s="73" t="s">
        <v>1056</v>
      </c>
      <c r="D459" s="145" t="s">
        <v>1601</v>
      </c>
      <c r="E459" s="85" t="s">
        <v>18</v>
      </c>
      <c r="F459" s="85" t="s">
        <v>1294</v>
      </c>
      <c r="G459" s="85"/>
      <c r="H459" s="85" t="s">
        <v>1602</v>
      </c>
      <c r="I459" s="85"/>
      <c r="J459" s="31">
        <f t="shared" si="20"/>
        <v>28</v>
      </c>
      <c r="K459" s="146"/>
      <c r="L459" s="31">
        <f t="shared" si="21"/>
        <v>0</v>
      </c>
      <c r="M459" s="32">
        <f t="shared" si="22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1594</v>
      </c>
      <c r="B460" s="73" t="s">
        <v>1593</v>
      </c>
      <c r="C460" s="73" t="s">
        <v>1056</v>
      </c>
      <c r="D460" s="145" t="s">
        <v>1595</v>
      </c>
      <c r="E460" s="85" t="s">
        <v>72</v>
      </c>
      <c r="F460" s="85" t="s">
        <v>1294</v>
      </c>
      <c r="G460" s="85"/>
      <c r="H460" s="85" t="s">
        <v>1596</v>
      </c>
      <c r="I460" s="85"/>
      <c r="J460" s="31">
        <f t="shared" si="20"/>
        <v>28</v>
      </c>
      <c r="K460" s="146"/>
      <c r="L460" s="31">
        <f t="shared" si="21"/>
        <v>0</v>
      </c>
      <c r="M460" s="32">
        <f t="shared" si="22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1588</v>
      </c>
      <c r="B461" s="73" t="s">
        <v>1644</v>
      </c>
      <c r="C461" s="73" t="s">
        <v>1056</v>
      </c>
      <c r="D461" s="145" t="s">
        <v>1642</v>
      </c>
      <c r="E461" s="85" t="s">
        <v>72</v>
      </c>
      <c r="F461" s="85" t="s">
        <v>1294</v>
      </c>
      <c r="G461" s="85"/>
      <c r="H461" s="85" t="s">
        <v>1646</v>
      </c>
      <c r="I461" s="85"/>
      <c r="J461" s="31">
        <f t="shared" si="20"/>
        <v>28</v>
      </c>
      <c r="K461" s="146"/>
      <c r="L461" s="31">
        <f t="shared" si="21"/>
        <v>0</v>
      </c>
      <c r="M461" s="32">
        <f t="shared" si="22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1588</v>
      </c>
      <c r="B462" s="73" t="s">
        <v>1645</v>
      </c>
      <c r="C462" s="73" t="s">
        <v>1056</v>
      </c>
      <c r="D462" s="145" t="s">
        <v>1643</v>
      </c>
      <c r="E462" s="85" t="s">
        <v>72</v>
      </c>
      <c r="F462" s="85" t="s">
        <v>1294</v>
      </c>
      <c r="G462" s="85"/>
      <c r="H462" s="85" t="s">
        <v>1647</v>
      </c>
      <c r="I462" s="85"/>
      <c r="J462" s="31">
        <f t="shared" si="20"/>
        <v>28</v>
      </c>
      <c r="K462" s="146"/>
      <c r="L462" s="31">
        <f t="shared" si="21"/>
        <v>0</v>
      </c>
      <c r="M462" s="32">
        <f t="shared" si="22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1588</v>
      </c>
      <c r="B463" s="73" t="s">
        <v>2147</v>
      </c>
      <c r="C463" s="73" t="s">
        <v>1056</v>
      </c>
      <c r="D463" s="145" t="s">
        <v>2148</v>
      </c>
      <c r="E463" s="85"/>
      <c r="F463" s="85" t="s">
        <v>1294</v>
      </c>
      <c r="G463" s="85"/>
      <c r="H463" s="85" t="s">
        <v>2315</v>
      </c>
      <c r="I463" s="85"/>
      <c r="J463" s="31">
        <f t="shared" si="20"/>
        <v>28</v>
      </c>
      <c r="K463" s="146"/>
      <c r="L463" s="31">
        <f t="shared" si="21"/>
        <v>0</v>
      </c>
      <c r="M463" s="32">
        <f t="shared" si="22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358</v>
      </c>
      <c r="B464" s="73" t="s">
        <v>475</v>
      </c>
      <c r="C464" s="73" t="s">
        <v>1056</v>
      </c>
      <c r="D464" s="73" t="s">
        <v>476</v>
      </c>
      <c r="E464" s="85" t="s">
        <v>72</v>
      </c>
      <c r="F464" s="85" t="s">
        <v>1294</v>
      </c>
      <c r="G464" s="85"/>
      <c r="H464" s="85" t="s">
        <v>819</v>
      </c>
      <c r="I464" s="85"/>
      <c r="J464" s="141">
        <f t="shared" si="20"/>
        <v>25</v>
      </c>
      <c r="K464" s="146" t="s">
        <v>2006</v>
      </c>
      <c r="L464" s="141">
        <f t="shared" si="21"/>
        <v>3</v>
      </c>
      <c r="M464" s="142">
        <f t="shared" si="22"/>
        <v>0.8928571428571429</v>
      </c>
      <c r="N464" s="70" t="s">
        <v>2245</v>
      </c>
      <c r="O464" s="70"/>
      <c r="P464" s="70"/>
      <c r="Q464" s="70"/>
      <c r="R464" s="70"/>
      <c r="S464" s="70" t="s">
        <v>2245</v>
      </c>
      <c r="T464" s="70" t="s">
        <v>2245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358</v>
      </c>
      <c r="B465" s="73" t="s">
        <v>477</v>
      </c>
      <c r="C465" s="73" t="s">
        <v>1056</v>
      </c>
      <c r="D465" s="73" t="s">
        <v>476</v>
      </c>
      <c r="E465" s="85" t="s">
        <v>72</v>
      </c>
      <c r="F465" s="85" t="s">
        <v>1294</v>
      </c>
      <c r="G465" s="85"/>
      <c r="H465" s="85" t="s">
        <v>820</v>
      </c>
      <c r="I465" s="85"/>
      <c r="J465" s="141">
        <f t="shared" si="20"/>
        <v>25</v>
      </c>
      <c r="K465" s="146" t="s">
        <v>2007</v>
      </c>
      <c r="L465" s="141">
        <f t="shared" si="21"/>
        <v>3</v>
      </c>
      <c r="M465" s="142">
        <f t="shared" si="22"/>
        <v>0.8928571428571429</v>
      </c>
      <c r="N465" s="70" t="s">
        <v>2245</v>
      </c>
      <c r="O465" s="70"/>
      <c r="P465" s="70"/>
      <c r="Q465" s="70"/>
      <c r="R465" s="70"/>
      <c r="S465" s="70" t="s">
        <v>2245</v>
      </c>
      <c r="T465" s="70" t="s">
        <v>2245</v>
      </c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85" t="s">
        <v>1098</v>
      </c>
      <c r="C466" s="85" t="s">
        <v>1056</v>
      </c>
      <c r="D466" s="73" t="s">
        <v>1097</v>
      </c>
      <c r="E466" s="85" t="s">
        <v>14</v>
      </c>
      <c r="F466" s="85" t="s">
        <v>1294</v>
      </c>
      <c r="G466" s="85"/>
      <c r="H466" s="85" t="s">
        <v>1099</v>
      </c>
      <c r="I466" s="85"/>
      <c r="J466" s="141">
        <f t="shared" si="20"/>
        <v>25</v>
      </c>
      <c r="K466" s="146"/>
      <c r="L466" s="141">
        <f t="shared" si="21"/>
        <v>3</v>
      </c>
      <c r="M466" s="142">
        <f t="shared" si="22"/>
        <v>0.8928571428571429</v>
      </c>
      <c r="N466" s="70" t="s">
        <v>2245</v>
      </c>
      <c r="O466" s="70"/>
      <c r="P466" s="70"/>
      <c r="Q466" s="70"/>
      <c r="R466" s="70"/>
      <c r="S466" s="70" t="s">
        <v>2245</v>
      </c>
      <c r="T466" s="70" t="s">
        <v>2245</v>
      </c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432</v>
      </c>
      <c r="B467" s="85" t="s">
        <v>2119</v>
      </c>
      <c r="C467" t="s">
        <v>1055</v>
      </c>
      <c r="D467" s="73" t="s">
        <v>2120</v>
      </c>
      <c r="E467" s="85" t="s">
        <v>14</v>
      </c>
      <c r="F467" s="85" t="s">
        <v>1294</v>
      </c>
      <c r="G467" s="85"/>
      <c r="H467" s="85" t="s">
        <v>2316</v>
      </c>
      <c r="I467" s="85"/>
      <c r="J467" s="141">
        <f t="shared" si="20"/>
        <v>25</v>
      </c>
      <c r="K467" s="146" t="s">
        <v>2121</v>
      </c>
      <c r="L467" s="141">
        <f t="shared" si="21"/>
        <v>3</v>
      </c>
      <c r="M467" s="142">
        <f t="shared" si="22"/>
        <v>0.8928571428571429</v>
      </c>
      <c r="N467" s="70" t="s">
        <v>2245</v>
      </c>
      <c r="O467" s="70"/>
      <c r="P467" s="70"/>
      <c r="Q467" s="70"/>
      <c r="R467" s="70"/>
      <c r="S467" s="70" t="s">
        <v>2245</v>
      </c>
      <c r="T467" s="70" t="s">
        <v>2245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B468" s="85" t="s">
        <v>2244</v>
      </c>
      <c r="C468" t="s">
        <v>1055</v>
      </c>
      <c r="D468" s="73" t="s">
        <v>2264</v>
      </c>
      <c r="E468" s="85" t="s">
        <v>72</v>
      </c>
      <c r="F468" s="85"/>
      <c r="G468" s="85"/>
      <c r="H468" s="85" t="s">
        <v>2324</v>
      </c>
      <c r="I468" s="85"/>
      <c r="J468" s="141">
        <f t="shared" si="20"/>
        <v>25</v>
      </c>
      <c r="K468" s="146"/>
      <c r="L468" s="141">
        <f t="shared" si="21"/>
        <v>3</v>
      </c>
      <c r="M468" s="142">
        <f t="shared" si="22"/>
        <v>0.8928571428571429</v>
      </c>
      <c r="N468" s="70" t="s">
        <v>2245</v>
      </c>
      <c r="O468" s="70"/>
      <c r="P468" s="70"/>
      <c r="Q468" s="70"/>
      <c r="R468" s="70"/>
      <c r="S468" s="70" t="s">
        <v>2245</v>
      </c>
      <c r="T468" s="70" t="s">
        <v>2245</v>
      </c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263</v>
      </c>
      <c r="B469" t="s">
        <v>1026</v>
      </c>
      <c r="C469" t="s">
        <v>1055</v>
      </c>
      <c r="D469" t="s">
        <v>495</v>
      </c>
      <c r="E469" s="30" t="s">
        <v>18</v>
      </c>
      <c r="F469" s="30" t="s">
        <v>1049</v>
      </c>
      <c r="G469" s="30" t="s">
        <v>1250</v>
      </c>
      <c r="H469" s="30" t="s">
        <v>829</v>
      </c>
      <c r="I469" s="30"/>
      <c r="J469" s="31">
        <f t="shared" si="20"/>
        <v>28</v>
      </c>
      <c r="K469" s="146" t="s">
        <v>2008</v>
      </c>
      <c r="L469" s="31">
        <f t="shared" si="21"/>
        <v>0</v>
      </c>
      <c r="M469" s="32">
        <f t="shared" si="22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478</v>
      </c>
      <c r="B470" t="s">
        <v>479</v>
      </c>
      <c r="C470" t="s">
        <v>1055</v>
      </c>
      <c r="D470" t="s">
        <v>1598</v>
      </c>
      <c r="E470" s="30" t="s">
        <v>18</v>
      </c>
      <c r="F470" s="30" t="s">
        <v>1049</v>
      </c>
      <c r="G470" s="30" t="s">
        <v>1250</v>
      </c>
      <c r="H470" s="30" t="s">
        <v>821</v>
      </c>
      <c r="I470" s="30"/>
      <c r="J470" s="31">
        <f t="shared" si="20"/>
        <v>28</v>
      </c>
      <c r="K470" s="146" t="s">
        <v>2009</v>
      </c>
      <c r="L470" s="31">
        <f t="shared" si="21"/>
        <v>0</v>
      </c>
      <c r="M470" s="32">
        <f t="shared" si="22"/>
        <v>1</v>
      </c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478</v>
      </c>
      <c r="B471" t="s">
        <v>480</v>
      </c>
      <c r="C471" t="s">
        <v>1055</v>
      </c>
      <c r="D471" t="s">
        <v>481</v>
      </c>
      <c r="E471" s="30" t="s">
        <v>18</v>
      </c>
      <c r="F471" s="30" t="s">
        <v>27</v>
      </c>
      <c r="G471" s="30"/>
      <c r="H471" s="30" t="s">
        <v>822</v>
      </c>
      <c r="I471" s="30"/>
      <c r="J471" s="31">
        <f t="shared" ref="J471:J544" si="23">COUNTIF(N471:AO471,"")</f>
        <v>28</v>
      </c>
      <c r="K471" s="146" t="s">
        <v>2010</v>
      </c>
      <c r="L471" s="31">
        <f t="shared" ref="L471:L544" si="24">COUNTIF(N471:AO471,"APAGADO")</f>
        <v>0</v>
      </c>
      <c r="M471" s="32">
        <f t="shared" ref="M471:M544" si="25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482</v>
      </c>
      <c r="B472" t="s">
        <v>483</v>
      </c>
      <c r="C472" t="s">
        <v>1055</v>
      </c>
      <c r="D472" t="s">
        <v>484</v>
      </c>
      <c r="E472" s="30" t="s">
        <v>18</v>
      </c>
      <c r="F472" s="30" t="s">
        <v>27</v>
      </c>
      <c r="G472" s="30"/>
      <c r="H472" s="30" t="s">
        <v>823</v>
      </c>
      <c r="I472" s="30"/>
      <c r="J472" s="31">
        <f t="shared" si="23"/>
        <v>28</v>
      </c>
      <c r="K472" s="146" t="s">
        <v>2011</v>
      </c>
      <c r="L472" s="31">
        <f t="shared" si="24"/>
        <v>0</v>
      </c>
      <c r="M472" s="32">
        <f t="shared" si="25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478</v>
      </c>
      <c r="B473" t="s">
        <v>485</v>
      </c>
      <c r="C473" t="s">
        <v>1055</v>
      </c>
      <c r="D473" t="s">
        <v>486</v>
      </c>
      <c r="E473" s="30" t="s">
        <v>14</v>
      </c>
      <c r="F473" s="30" t="s">
        <v>27</v>
      </c>
      <c r="G473" s="30"/>
      <c r="H473" s="30" t="s">
        <v>824</v>
      </c>
      <c r="I473" s="30"/>
      <c r="J473" s="31">
        <f t="shared" si="23"/>
        <v>28</v>
      </c>
      <c r="K473" s="146" t="s">
        <v>2012</v>
      </c>
      <c r="L473" s="31">
        <f t="shared" si="24"/>
        <v>0</v>
      </c>
      <c r="M473" s="32">
        <f t="shared" si="25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478</v>
      </c>
      <c r="B474" t="s">
        <v>487</v>
      </c>
      <c r="C474" t="s">
        <v>1055</v>
      </c>
      <c r="D474" t="s">
        <v>488</v>
      </c>
      <c r="E474" s="30" t="s">
        <v>18</v>
      </c>
      <c r="F474" s="30" t="s">
        <v>27</v>
      </c>
      <c r="G474" s="30"/>
      <c r="H474" s="30" t="s">
        <v>825</v>
      </c>
      <c r="I474" s="30"/>
      <c r="J474" s="31">
        <f t="shared" si="23"/>
        <v>28</v>
      </c>
      <c r="K474" s="146" t="s">
        <v>2013</v>
      </c>
      <c r="L474" s="31">
        <f t="shared" si="24"/>
        <v>0</v>
      </c>
      <c r="M474" s="32">
        <f t="shared" si="25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478</v>
      </c>
      <c r="B475" s="73" t="s">
        <v>489</v>
      </c>
      <c r="C475" s="73" t="s">
        <v>1055</v>
      </c>
      <c r="D475" s="73" t="s">
        <v>490</v>
      </c>
      <c r="E475" s="85" t="s">
        <v>14</v>
      </c>
      <c r="F475" s="85" t="s">
        <v>1294</v>
      </c>
      <c r="G475" s="85"/>
      <c r="H475" s="85" t="s">
        <v>826</v>
      </c>
      <c r="I475" s="85"/>
      <c r="J475" s="141">
        <f t="shared" si="23"/>
        <v>28</v>
      </c>
      <c r="K475" s="146" t="s">
        <v>2014</v>
      </c>
      <c r="L475" s="141">
        <f t="shared" si="24"/>
        <v>0</v>
      </c>
      <c r="M475" s="142">
        <f t="shared" si="25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thickBot="1" x14ac:dyDescent="0.3">
      <c r="A476" s="73" t="s">
        <v>478</v>
      </c>
      <c r="B476" s="73" t="s">
        <v>491</v>
      </c>
      <c r="C476" s="73" t="s">
        <v>1055</v>
      </c>
      <c r="D476" s="73" t="s">
        <v>492</v>
      </c>
      <c r="E476" s="85" t="s">
        <v>18</v>
      </c>
      <c r="F476" s="85" t="s">
        <v>1294</v>
      </c>
      <c r="G476" s="85"/>
      <c r="H476" s="85" t="s">
        <v>827</v>
      </c>
      <c r="I476" s="85"/>
      <c r="J476" s="31">
        <f t="shared" si="23"/>
        <v>28</v>
      </c>
      <c r="K476" s="146" t="s">
        <v>2015</v>
      </c>
      <c r="L476" s="31">
        <f t="shared" si="24"/>
        <v>0</v>
      </c>
      <c r="M476" s="32">
        <f t="shared" si="25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478</v>
      </c>
      <c r="B477" t="s">
        <v>493</v>
      </c>
      <c r="C477" t="s">
        <v>1055</v>
      </c>
      <c r="D477" t="s">
        <v>494</v>
      </c>
      <c r="E477" s="30" t="s">
        <v>18</v>
      </c>
      <c r="F477" s="30" t="s">
        <v>1049</v>
      </c>
      <c r="G477" s="30" t="s">
        <v>1251</v>
      </c>
      <c r="H477" s="30" t="s">
        <v>828</v>
      </c>
      <c r="I477" s="30"/>
      <c r="J477" s="31">
        <f t="shared" si="23"/>
        <v>25</v>
      </c>
      <c r="K477" s="146" t="s">
        <v>2016</v>
      </c>
      <c r="L477" s="31">
        <f t="shared" si="24"/>
        <v>3</v>
      </c>
      <c r="M477" s="32">
        <f t="shared" si="25"/>
        <v>0.8928571428571429</v>
      </c>
      <c r="N477" s="70" t="s">
        <v>2245</v>
      </c>
      <c r="O477" s="70"/>
      <c r="P477" s="70"/>
      <c r="Q477" s="70"/>
      <c r="R477" s="70"/>
      <c r="S477" s="70" t="s">
        <v>2245</v>
      </c>
      <c r="T477" s="70" t="s">
        <v>2245</v>
      </c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478</v>
      </c>
      <c r="B478" s="73" t="s">
        <v>1181</v>
      </c>
      <c r="C478" s="73" t="s">
        <v>1055</v>
      </c>
      <c r="D478" s="73" t="s">
        <v>1182</v>
      </c>
      <c r="E478" s="85" t="s">
        <v>1107</v>
      </c>
      <c r="F478" s="85" t="s">
        <v>1294</v>
      </c>
      <c r="G478" s="85"/>
      <c r="H478" s="85" t="s">
        <v>1183</v>
      </c>
      <c r="I478" s="85"/>
      <c r="J478" s="141">
        <f t="shared" si="23"/>
        <v>28</v>
      </c>
      <c r="K478" s="146" t="s">
        <v>2017</v>
      </c>
      <c r="L478" s="141">
        <f t="shared" si="24"/>
        <v>0</v>
      </c>
      <c r="M478" s="142">
        <f t="shared" si="25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thickBot="1" x14ac:dyDescent="0.3">
      <c r="A479" s="73" t="s">
        <v>478</v>
      </c>
      <c r="B479" s="73" t="s">
        <v>1184</v>
      </c>
      <c r="C479" s="73" t="s">
        <v>1055</v>
      </c>
      <c r="D479" s="73" t="s">
        <v>1182</v>
      </c>
      <c r="E479" s="85" t="s">
        <v>1107</v>
      </c>
      <c r="F479" s="85" t="s">
        <v>27</v>
      </c>
      <c r="G479" s="85"/>
      <c r="H479" s="85" t="s">
        <v>1185</v>
      </c>
      <c r="I479" s="85"/>
      <c r="J479" s="87">
        <f t="shared" si="23"/>
        <v>28</v>
      </c>
      <c r="K479" s="146" t="s">
        <v>2018</v>
      </c>
      <c r="L479" s="87">
        <f t="shared" si="24"/>
        <v>0</v>
      </c>
      <c r="M479" s="88">
        <f t="shared" si="25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</row>
    <row r="480" spans="1:43" ht="15.75" thickBot="1" x14ac:dyDescent="0.3">
      <c r="A480" t="s">
        <v>478</v>
      </c>
      <c r="B480" t="s">
        <v>1214</v>
      </c>
      <c r="C480" t="s">
        <v>1055</v>
      </c>
      <c r="D480" t="s">
        <v>1230</v>
      </c>
      <c r="E480" t="s">
        <v>72</v>
      </c>
      <c r="F480" t="s">
        <v>27</v>
      </c>
      <c r="G480"/>
      <c r="H480" s="30" t="s">
        <v>1275</v>
      </c>
      <c r="I480" s="30"/>
      <c r="J480" s="31">
        <f t="shared" si="23"/>
        <v>28</v>
      </c>
      <c r="K480" s="146" t="s">
        <v>2019</v>
      </c>
      <c r="L480" s="31">
        <f t="shared" si="24"/>
        <v>0</v>
      </c>
      <c r="M480" s="32">
        <f t="shared" si="25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478</v>
      </c>
      <c r="B481" t="s">
        <v>1215</v>
      </c>
      <c r="C481" t="s">
        <v>1055</v>
      </c>
      <c r="D481" t="s">
        <v>1230</v>
      </c>
      <c r="E481" t="s">
        <v>72</v>
      </c>
      <c r="F481" t="s">
        <v>27</v>
      </c>
      <c r="G481"/>
      <c r="H481" s="30" t="s">
        <v>1276</v>
      </c>
      <c r="I481" s="30"/>
      <c r="J481" s="31">
        <f t="shared" si="23"/>
        <v>28</v>
      </c>
      <c r="K481" s="146" t="s">
        <v>2020</v>
      </c>
      <c r="L481" s="31">
        <f t="shared" si="24"/>
        <v>0</v>
      </c>
      <c r="M481" s="32">
        <f t="shared" si="25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478</v>
      </c>
      <c r="B482" t="s">
        <v>1333</v>
      </c>
      <c r="C482" t="s">
        <v>1055</v>
      </c>
      <c r="D482" s="68" t="s">
        <v>1334</v>
      </c>
      <c r="E482" t="s">
        <v>72</v>
      </c>
      <c r="F482"/>
      <c r="G482"/>
      <c r="H482" s="30" t="s">
        <v>1323</v>
      </c>
      <c r="I482" s="30"/>
      <c r="J482" s="31">
        <f t="shared" si="23"/>
        <v>28</v>
      </c>
      <c r="K482" s="146" t="s">
        <v>2021</v>
      </c>
      <c r="L482" s="31">
        <f t="shared" si="24"/>
        <v>0</v>
      </c>
      <c r="M482" s="32">
        <f t="shared" si="25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478</v>
      </c>
      <c r="B483" s="73" t="s">
        <v>1344</v>
      </c>
      <c r="C483" s="73" t="s">
        <v>1055</v>
      </c>
      <c r="D483" s="145" t="s">
        <v>1351</v>
      </c>
      <c r="E483" s="73" t="s">
        <v>14</v>
      </c>
      <c r="F483" s="73" t="s">
        <v>1294</v>
      </c>
      <c r="H483" s="85" t="s">
        <v>1413</v>
      </c>
      <c r="I483" s="85"/>
      <c r="J483" s="87">
        <f t="shared" si="23"/>
        <v>28</v>
      </c>
      <c r="K483" s="146" t="s">
        <v>2022</v>
      </c>
      <c r="L483" s="87">
        <f t="shared" si="24"/>
        <v>0</v>
      </c>
      <c r="M483" s="88">
        <f t="shared" si="25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</row>
    <row r="484" spans="1:43" s="73" customFormat="1" ht="15.75" thickBot="1" x14ac:dyDescent="0.3">
      <c r="A484" s="73" t="s">
        <v>478</v>
      </c>
      <c r="B484" s="73" t="s">
        <v>1592</v>
      </c>
      <c r="C484" s="73" t="s">
        <v>1055</v>
      </c>
      <c r="D484" s="145" t="s">
        <v>1597</v>
      </c>
      <c r="E484" s="73" t="s">
        <v>14</v>
      </c>
      <c r="F484" s="73" t="s">
        <v>1294</v>
      </c>
      <c r="H484" s="85" t="s">
        <v>1599</v>
      </c>
      <c r="I484" s="85"/>
      <c r="J484" s="87">
        <f t="shared" si="23"/>
        <v>28</v>
      </c>
      <c r="K484" s="146" t="s">
        <v>2139</v>
      </c>
      <c r="L484" s="87">
        <f t="shared" si="24"/>
        <v>0</v>
      </c>
      <c r="M484" s="88">
        <f t="shared" si="25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478</v>
      </c>
      <c r="B485" s="73" t="s">
        <v>1610</v>
      </c>
      <c r="C485" s="73" t="s">
        <v>1055</v>
      </c>
      <c r="D485" s="145" t="s">
        <v>1603</v>
      </c>
      <c r="E485" s="73" t="s">
        <v>18</v>
      </c>
      <c r="F485" s="73" t="s">
        <v>1294</v>
      </c>
      <c r="H485" s="85" t="s">
        <v>1611</v>
      </c>
      <c r="I485" s="85"/>
      <c r="J485" s="87">
        <f t="shared" si="23"/>
        <v>25</v>
      </c>
      <c r="K485" s="146" t="s">
        <v>2140</v>
      </c>
      <c r="L485" s="87">
        <f t="shared" si="24"/>
        <v>3</v>
      </c>
      <c r="M485" s="88">
        <f t="shared" si="25"/>
        <v>0.8928571428571429</v>
      </c>
      <c r="N485" s="70" t="s">
        <v>2245</v>
      </c>
      <c r="O485" s="89"/>
      <c r="P485" s="89"/>
      <c r="Q485" s="89"/>
      <c r="R485" s="89"/>
      <c r="S485" s="70" t="s">
        <v>2245</v>
      </c>
      <c r="T485" s="70" t="s">
        <v>2245</v>
      </c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478</v>
      </c>
      <c r="B486" s="73" t="s">
        <v>1605</v>
      </c>
      <c r="C486" s="73" t="s">
        <v>1055</v>
      </c>
      <c r="D486" s="145" t="s">
        <v>1604</v>
      </c>
      <c r="E486" s="73" t="s">
        <v>1107</v>
      </c>
      <c r="F486" s="73" t="s">
        <v>1294</v>
      </c>
      <c r="H486" s="85" t="s">
        <v>1609</v>
      </c>
      <c r="I486" s="85"/>
      <c r="J486" s="87">
        <f t="shared" si="23"/>
        <v>28</v>
      </c>
      <c r="K486" s="146" t="s">
        <v>2141</v>
      </c>
      <c r="L486" s="87">
        <f t="shared" si="24"/>
        <v>0</v>
      </c>
      <c r="M486" s="88">
        <f t="shared" si="25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478</v>
      </c>
      <c r="B487" s="73" t="s">
        <v>1606</v>
      </c>
      <c r="C487" s="73" t="s">
        <v>1055</v>
      </c>
      <c r="D487" s="145" t="s">
        <v>1607</v>
      </c>
      <c r="E487" s="73" t="s">
        <v>1107</v>
      </c>
      <c r="F487" s="73" t="s">
        <v>1294</v>
      </c>
      <c r="H487" s="85" t="s">
        <v>1608</v>
      </c>
      <c r="I487" s="85"/>
      <c r="J487" s="87">
        <f t="shared" si="23"/>
        <v>28</v>
      </c>
      <c r="K487" s="146" t="s">
        <v>2142</v>
      </c>
      <c r="L487" s="87">
        <f t="shared" si="24"/>
        <v>0</v>
      </c>
      <c r="M487" s="88">
        <f t="shared" si="25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478</v>
      </c>
      <c r="B488" s="73" t="s">
        <v>2254</v>
      </c>
      <c r="C488" s="73" t="s">
        <v>1055</v>
      </c>
      <c r="D488" s="145" t="s">
        <v>2255</v>
      </c>
      <c r="E488" s="30" t="s">
        <v>14</v>
      </c>
      <c r="F488" s="73" t="s">
        <v>1294</v>
      </c>
      <c r="H488" s="85" t="s">
        <v>2278</v>
      </c>
      <c r="I488" s="85"/>
      <c r="J488" s="87">
        <f t="shared" si="23"/>
        <v>28</v>
      </c>
      <c r="K488" s="146" t="s">
        <v>2279</v>
      </c>
      <c r="L488" s="87">
        <f t="shared" si="24"/>
        <v>0</v>
      </c>
      <c r="M488" s="88">
        <f t="shared" si="25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228</v>
      </c>
      <c r="B489" s="73" t="s">
        <v>496</v>
      </c>
      <c r="C489" s="73" t="s">
        <v>1056</v>
      </c>
      <c r="D489" s="73" t="s">
        <v>497</v>
      </c>
      <c r="E489" s="85" t="s">
        <v>18</v>
      </c>
      <c r="F489" s="85" t="s">
        <v>1294</v>
      </c>
      <c r="G489" s="85"/>
      <c r="H489" s="85" t="s">
        <v>830</v>
      </c>
      <c r="I489" s="85"/>
      <c r="J489" s="141">
        <f t="shared" si="23"/>
        <v>28</v>
      </c>
      <c r="K489" s="146" t="s">
        <v>2023</v>
      </c>
      <c r="L489" s="141">
        <f t="shared" si="24"/>
        <v>0</v>
      </c>
      <c r="M489" s="142">
        <f t="shared" si="25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228</v>
      </c>
      <c r="B490" t="s">
        <v>498</v>
      </c>
      <c r="C490" t="s">
        <v>1056</v>
      </c>
      <c r="D490" t="s">
        <v>499</v>
      </c>
      <c r="E490" s="30" t="s">
        <v>14</v>
      </c>
      <c r="F490" s="30" t="s">
        <v>19</v>
      </c>
      <c r="G490" s="30"/>
      <c r="H490" s="30" t="s">
        <v>831</v>
      </c>
      <c r="I490" s="30"/>
      <c r="J490" s="31">
        <f t="shared" si="23"/>
        <v>27</v>
      </c>
      <c r="K490" s="146"/>
      <c r="L490" s="31">
        <f t="shared" si="24"/>
        <v>1</v>
      </c>
      <c r="M490" s="32">
        <f t="shared" si="25"/>
        <v>0.9642857142857143</v>
      </c>
      <c r="N490" s="70" t="s">
        <v>2245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228</v>
      </c>
      <c r="B491" t="s">
        <v>500</v>
      </c>
      <c r="C491" t="s">
        <v>1056</v>
      </c>
      <c r="D491" t="s">
        <v>501</v>
      </c>
      <c r="E491" s="30" t="s">
        <v>72</v>
      </c>
      <c r="F491" s="30" t="s">
        <v>19</v>
      </c>
      <c r="G491" s="30"/>
      <c r="H491" s="30" t="s">
        <v>832</v>
      </c>
      <c r="I491" s="30"/>
      <c r="J491" s="31">
        <f t="shared" si="23"/>
        <v>27</v>
      </c>
      <c r="K491" s="146"/>
      <c r="L491" s="31">
        <f t="shared" si="24"/>
        <v>1</v>
      </c>
      <c r="M491" s="32">
        <f t="shared" si="25"/>
        <v>0.9642857142857143</v>
      </c>
      <c r="N491" s="70" t="s">
        <v>2245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228</v>
      </c>
      <c r="B492" t="s">
        <v>502</v>
      </c>
      <c r="C492" t="s">
        <v>1056</v>
      </c>
      <c r="D492" t="s">
        <v>501</v>
      </c>
      <c r="E492" s="30" t="s">
        <v>72</v>
      </c>
      <c r="F492" s="30" t="s">
        <v>19</v>
      </c>
      <c r="G492" s="30"/>
      <c r="H492" s="30" t="s">
        <v>833</v>
      </c>
      <c r="I492" s="30"/>
      <c r="J492" s="31">
        <f t="shared" si="23"/>
        <v>27</v>
      </c>
      <c r="K492" s="146"/>
      <c r="L492" s="31">
        <f t="shared" si="24"/>
        <v>1</v>
      </c>
      <c r="M492" s="32">
        <f t="shared" si="25"/>
        <v>0.9642857142857143</v>
      </c>
      <c r="N492" s="70" t="s">
        <v>2245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228</v>
      </c>
      <c r="B493" t="s">
        <v>503</v>
      </c>
      <c r="C493" t="s">
        <v>1056</v>
      </c>
      <c r="D493" t="s">
        <v>504</v>
      </c>
      <c r="E493" s="30" t="s">
        <v>72</v>
      </c>
      <c r="F493" s="30" t="s">
        <v>19</v>
      </c>
      <c r="G493" s="30"/>
      <c r="H493" s="30" t="s">
        <v>834</v>
      </c>
      <c r="I493" s="30"/>
      <c r="J493" s="31">
        <f t="shared" si="23"/>
        <v>27</v>
      </c>
      <c r="K493" s="146"/>
      <c r="L493" s="31">
        <f t="shared" si="24"/>
        <v>1</v>
      </c>
      <c r="M493" s="32">
        <f t="shared" si="25"/>
        <v>0.9642857142857143</v>
      </c>
      <c r="N493" s="70" t="s">
        <v>2245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228</v>
      </c>
      <c r="B494" t="s">
        <v>505</v>
      </c>
      <c r="C494" t="s">
        <v>1056</v>
      </c>
      <c r="D494" t="s">
        <v>504</v>
      </c>
      <c r="E494" s="30" t="s">
        <v>72</v>
      </c>
      <c r="F494" s="30" t="s">
        <v>19</v>
      </c>
      <c r="G494" s="30"/>
      <c r="H494" s="30" t="s">
        <v>835</v>
      </c>
      <c r="I494" s="30"/>
      <c r="J494" s="31">
        <f t="shared" si="23"/>
        <v>27</v>
      </c>
      <c r="K494" s="146"/>
      <c r="L494" s="31">
        <f t="shared" si="24"/>
        <v>1</v>
      </c>
      <c r="M494" s="32">
        <f t="shared" si="25"/>
        <v>0.9642857142857143</v>
      </c>
      <c r="N494" s="70" t="s">
        <v>2245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228</v>
      </c>
      <c r="B495" t="s">
        <v>506</v>
      </c>
      <c r="C495" t="s">
        <v>1056</v>
      </c>
      <c r="D495" t="s">
        <v>507</v>
      </c>
      <c r="E495" s="30" t="s">
        <v>14</v>
      </c>
      <c r="F495" s="30" t="s">
        <v>27</v>
      </c>
      <c r="G495" s="30"/>
      <c r="H495" s="30" t="s">
        <v>836</v>
      </c>
      <c r="I495" s="30"/>
      <c r="J495" s="31">
        <f t="shared" si="23"/>
        <v>28</v>
      </c>
      <c r="K495" s="146" t="s">
        <v>2024</v>
      </c>
      <c r="L495" s="31">
        <f t="shared" si="24"/>
        <v>0</v>
      </c>
      <c r="M495" s="32">
        <f t="shared" si="25"/>
        <v>1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228</v>
      </c>
      <c r="B496" t="s">
        <v>1027</v>
      </c>
      <c r="C496" t="s">
        <v>1056</v>
      </c>
      <c r="D496" t="s">
        <v>508</v>
      </c>
      <c r="E496" s="30" t="s">
        <v>72</v>
      </c>
      <c r="F496" s="30" t="s">
        <v>27</v>
      </c>
      <c r="G496" s="30"/>
      <c r="H496" s="30" t="s">
        <v>837</v>
      </c>
      <c r="I496" s="30"/>
      <c r="J496" s="31">
        <f t="shared" si="23"/>
        <v>28</v>
      </c>
      <c r="K496" s="146" t="s">
        <v>2025</v>
      </c>
      <c r="L496" s="31">
        <f t="shared" si="24"/>
        <v>0</v>
      </c>
      <c r="M496" s="32">
        <f t="shared" si="25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228</v>
      </c>
      <c r="B497" t="s">
        <v>1028</v>
      </c>
      <c r="C497" t="s">
        <v>1056</v>
      </c>
      <c r="D497" t="s">
        <v>508</v>
      </c>
      <c r="E497" s="30" t="s">
        <v>72</v>
      </c>
      <c r="F497" s="30" t="s">
        <v>27</v>
      </c>
      <c r="G497" s="30"/>
      <c r="H497" s="30" t="s">
        <v>838</v>
      </c>
      <c r="I497" s="30"/>
      <c r="J497" s="31">
        <f t="shared" si="23"/>
        <v>28</v>
      </c>
      <c r="K497" s="146" t="s">
        <v>2026</v>
      </c>
      <c r="L497" s="31">
        <f t="shared" si="24"/>
        <v>0</v>
      </c>
      <c r="M497" s="32">
        <f t="shared" si="25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228</v>
      </c>
      <c r="B498" t="s">
        <v>509</v>
      </c>
      <c r="C498" t="s">
        <v>1056</v>
      </c>
      <c r="D498" t="s">
        <v>510</v>
      </c>
      <c r="E498" s="30" t="s">
        <v>72</v>
      </c>
      <c r="F498" s="30" t="s">
        <v>27</v>
      </c>
      <c r="G498" s="30"/>
      <c r="H498" s="30" t="s">
        <v>839</v>
      </c>
      <c r="I498" s="30"/>
      <c r="J498" s="31">
        <f t="shared" si="23"/>
        <v>28</v>
      </c>
      <c r="K498" s="146" t="s">
        <v>2027</v>
      </c>
      <c r="L498" s="31">
        <f t="shared" si="24"/>
        <v>0</v>
      </c>
      <c r="M498" s="32">
        <f t="shared" si="25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228</v>
      </c>
      <c r="B499" t="s">
        <v>511</v>
      </c>
      <c r="C499" t="s">
        <v>1056</v>
      </c>
      <c r="D499" t="s">
        <v>510</v>
      </c>
      <c r="E499" s="30" t="s">
        <v>72</v>
      </c>
      <c r="F499" s="30" t="s">
        <v>27</v>
      </c>
      <c r="G499" s="30"/>
      <c r="H499" s="30" t="s">
        <v>840</v>
      </c>
      <c r="I499" s="30"/>
      <c r="J499" s="31">
        <f t="shared" si="23"/>
        <v>28</v>
      </c>
      <c r="K499" s="146" t="s">
        <v>2028</v>
      </c>
      <c r="L499" s="31">
        <f t="shared" si="24"/>
        <v>0</v>
      </c>
      <c r="M499" s="32">
        <f t="shared" si="25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228</v>
      </c>
      <c r="B500" s="30" t="s">
        <v>1088</v>
      </c>
      <c r="C500" s="30" t="s">
        <v>1056</v>
      </c>
      <c r="D500" t="s">
        <v>1089</v>
      </c>
      <c r="E500" s="30" t="s">
        <v>18</v>
      </c>
      <c r="F500" s="30" t="s">
        <v>27</v>
      </c>
      <c r="G500" s="30"/>
      <c r="H500" s="30" t="s">
        <v>1090</v>
      </c>
      <c r="I500" s="30"/>
      <c r="J500" s="31">
        <f t="shared" si="23"/>
        <v>28</v>
      </c>
      <c r="K500" s="146" t="s">
        <v>2029</v>
      </c>
      <c r="L500" s="31">
        <f t="shared" si="24"/>
        <v>0</v>
      </c>
      <c r="M500" s="32">
        <f t="shared" si="25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228</v>
      </c>
      <c r="B501" s="30" t="s">
        <v>1093</v>
      </c>
      <c r="C501" s="30" t="s">
        <v>1056</v>
      </c>
      <c r="D501" t="s">
        <v>1091</v>
      </c>
      <c r="E501" s="30" t="s">
        <v>18</v>
      </c>
      <c r="F501" s="30" t="s">
        <v>27</v>
      </c>
      <c r="G501" s="30"/>
      <c r="H501" s="30" t="s">
        <v>1092</v>
      </c>
      <c r="I501" s="30"/>
      <c r="J501" s="31">
        <f t="shared" si="23"/>
        <v>28</v>
      </c>
      <c r="K501" s="146" t="s">
        <v>2030</v>
      </c>
      <c r="L501" s="31">
        <f t="shared" si="24"/>
        <v>0</v>
      </c>
      <c r="M501" s="32">
        <f t="shared" si="25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228</v>
      </c>
      <c r="B502" s="30" t="s">
        <v>1094</v>
      </c>
      <c r="C502" s="30" t="s">
        <v>1056</v>
      </c>
      <c r="D502" t="s">
        <v>1095</v>
      </c>
      <c r="E502" s="30" t="s">
        <v>18</v>
      </c>
      <c r="F502" s="30" t="s">
        <v>27</v>
      </c>
      <c r="G502" s="30"/>
      <c r="H502" s="30" t="s">
        <v>1096</v>
      </c>
      <c r="I502" s="30"/>
      <c r="J502" s="31">
        <f t="shared" si="23"/>
        <v>28</v>
      </c>
      <c r="K502" s="146" t="s">
        <v>2031</v>
      </c>
      <c r="L502" s="31">
        <f t="shared" si="24"/>
        <v>0</v>
      </c>
      <c r="M502" s="32">
        <f t="shared" si="25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517</v>
      </c>
      <c r="B503" t="s">
        <v>525</v>
      </c>
      <c r="C503" t="s">
        <v>1056</v>
      </c>
      <c r="D503" t="s">
        <v>2216</v>
      </c>
      <c r="E503" s="30" t="s">
        <v>18</v>
      </c>
      <c r="F503" s="30" t="s">
        <v>27</v>
      </c>
      <c r="G503" s="30"/>
      <c r="H503" s="30" t="s">
        <v>841</v>
      </c>
      <c r="I503" s="30"/>
      <c r="J503" s="31">
        <f t="shared" si="23"/>
        <v>28</v>
      </c>
      <c r="K503" s="146" t="s">
        <v>2032</v>
      </c>
      <c r="L503" s="31">
        <f t="shared" si="24"/>
        <v>0</v>
      </c>
      <c r="M503" s="32">
        <f t="shared" si="25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513</v>
      </c>
      <c r="B504" t="s">
        <v>526</v>
      </c>
      <c r="C504" t="s">
        <v>1056</v>
      </c>
      <c r="D504" t="s">
        <v>1084</v>
      </c>
      <c r="E504" s="30" t="s">
        <v>18</v>
      </c>
      <c r="F504" s="30" t="s">
        <v>27</v>
      </c>
      <c r="G504" s="30"/>
      <c r="H504" s="30" t="s">
        <v>842</v>
      </c>
      <c r="I504" s="30"/>
      <c r="J504" s="31">
        <f t="shared" si="23"/>
        <v>28</v>
      </c>
      <c r="K504" s="146" t="s">
        <v>2033</v>
      </c>
      <c r="L504" s="31">
        <f t="shared" si="24"/>
        <v>0</v>
      </c>
      <c r="M504" s="32">
        <f t="shared" si="25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513</v>
      </c>
      <c r="B505" t="s">
        <v>527</v>
      </c>
      <c r="C505" t="s">
        <v>1056</v>
      </c>
      <c r="D505" t="s">
        <v>528</v>
      </c>
      <c r="E505" s="30" t="s">
        <v>18</v>
      </c>
      <c r="F505" s="30" t="s">
        <v>27</v>
      </c>
      <c r="G505" s="30"/>
      <c r="H505" s="30" t="s">
        <v>843</v>
      </c>
      <c r="I505" s="30"/>
      <c r="J505" s="31">
        <f t="shared" si="23"/>
        <v>28</v>
      </c>
      <c r="K505" s="146" t="s">
        <v>2034</v>
      </c>
      <c r="L505" s="31">
        <f t="shared" si="24"/>
        <v>0</v>
      </c>
      <c r="M505" s="32">
        <f t="shared" si="25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s="73" t="s">
        <v>513</v>
      </c>
      <c r="B506" s="73" t="s">
        <v>529</v>
      </c>
      <c r="C506" s="73" t="s">
        <v>1056</v>
      </c>
      <c r="D506" s="73" t="s">
        <v>530</v>
      </c>
      <c r="E506" s="85" t="s">
        <v>18</v>
      </c>
      <c r="F506" s="85" t="s">
        <v>27</v>
      </c>
      <c r="G506" s="85"/>
      <c r="H506" s="85" t="s">
        <v>844</v>
      </c>
      <c r="I506" s="85"/>
      <c r="J506" s="31">
        <f t="shared" si="23"/>
        <v>28</v>
      </c>
      <c r="K506" s="146" t="s">
        <v>2035</v>
      </c>
      <c r="L506" s="31">
        <f t="shared" si="24"/>
        <v>0</v>
      </c>
      <c r="M506" s="32">
        <f t="shared" si="25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513</v>
      </c>
      <c r="B507" s="73" t="s">
        <v>531</v>
      </c>
      <c r="C507" s="73" t="s">
        <v>1056</v>
      </c>
      <c r="D507" s="73" t="s">
        <v>532</v>
      </c>
      <c r="E507" s="85" t="s">
        <v>18</v>
      </c>
      <c r="F507" s="85" t="s">
        <v>1294</v>
      </c>
      <c r="G507" s="85"/>
      <c r="H507" s="85" t="s">
        <v>1491</v>
      </c>
      <c r="I507" s="85"/>
      <c r="J507" s="141">
        <f t="shared" si="23"/>
        <v>28</v>
      </c>
      <c r="K507" s="146" t="s">
        <v>2036</v>
      </c>
      <c r="L507" s="141">
        <f t="shared" si="24"/>
        <v>0</v>
      </c>
      <c r="M507" s="142">
        <f t="shared" si="25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513</v>
      </c>
      <c r="B508" t="s">
        <v>533</v>
      </c>
      <c r="C508" t="s">
        <v>1056</v>
      </c>
      <c r="D508" t="s">
        <v>1062</v>
      </c>
      <c r="E508" s="30" t="s">
        <v>18</v>
      </c>
      <c r="F508" s="30" t="s">
        <v>27</v>
      </c>
      <c r="G508" s="30"/>
      <c r="H508" s="30" t="s">
        <v>845</v>
      </c>
      <c r="I508" s="30"/>
      <c r="J508" s="31">
        <f t="shared" si="23"/>
        <v>26</v>
      </c>
      <c r="K508" s="146" t="s">
        <v>2037</v>
      </c>
      <c r="L508" s="31">
        <f t="shared" si="24"/>
        <v>2</v>
      </c>
      <c r="M508" s="32">
        <f t="shared" si="25"/>
        <v>0.9285714285714286</v>
      </c>
      <c r="N508" s="70"/>
      <c r="O508" s="70"/>
      <c r="P508" s="70"/>
      <c r="Q508" s="70"/>
      <c r="R508" s="70"/>
      <c r="S508" s="70" t="s">
        <v>2245</v>
      </c>
      <c r="T508" s="70" t="s">
        <v>2245</v>
      </c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513</v>
      </c>
      <c r="B509" t="s">
        <v>534</v>
      </c>
      <c r="C509" t="s">
        <v>1055</v>
      </c>
      <c r="D509" t="s">
        <v>1061</v>
      </c>
      <c r="E509" s="30" t="s">
        <v>18</v>
      </c>
      <c r="F509" s="30" t="s">
        <v>27</v>
      </c>
      <c r="G509" s="30"/>
      <c r="H509" s="30" t="s">
        <v>846</v>
      </c>
      <c r="I509" s="30"/>
      <c r="J509" s="31">
        <f t="shared" si="23"/>
        <v>28</v>
      </c>
      <c r="K509" s="146" t="s">
        <v>2038</v>
      </c>
      <c r="L509" s="31">
        <f t="shared" si="24"/>
        <v>0</v>
      </c>
      <c r="M509" s="32">
        <f t="shared" si="25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517</v>
      </c>
      <c r="B510" s="73" t="s">
        <v>535</v>
      </c>
      <c r="C510" s="73" t="s">
        <v>1056</v>
      </c>
      <c r="D510" s="73" t="s">
        <v>536</v>
      </c>
      <c r="E510" s="85" t="s">
        <v>18</v>
      </c>
      <c r="F510" s="85" t="s">
        <v>1294</v>
      </c>
      <c r="G510" s="85"/>
      <c r="H510" s="85" t="s">
        <v>847</v>
      </c>
      <c r="I510" s="85"/>
      <c r="J510" s="141">
        <f t="shared" si="23"/>
        <v>28</v>
      </c>
      <c r="K510" s="146" t="s">
        <v>2039</v>
      </c>
      <c r="L510" s="141">
        <f t="shared" si="24"/>
        <v>0</v>
      </c>
      <c r="M510" s="142">
        <f t="shared" si="25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517</v>
      </c>
      <c r="B511" t="s">
        <v>537</v>
      </c>
      <c r="C511" t="s">
        <v>1056</v>
      </c>
      <c r="D511" t="s">
        <v>538</v>
      </c>
      <c r="E511" s="30" t="s">
        <v>18</v>
      </c>
      <c r="F511" s="30" t="s">
        <v>27</v>
      </c>
      <c r="G511" s="30"/>
      <c r="H511" s="30" t="s">
        <v>848</v>
      </c>
      <c r="I511" s="30"/>
      <c r="J511" s="31">
        <f t="shared" si="23"/>
        <v>28</v>
      </c>
      <c r="K511" s="146" t="s">
        <v>2040</v>
      </c>
      <c r="L511" s="31">
        <f t="shared" si="24"/>
        <v>0</v>
      </c>
      <c r="M511" s="32">
        <f t="shared" si="25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513</v>
      </c>
      <c r="B512" t="s">
        <v>1029</v>
      </c>
      <c r="C512" t="s">
        <v>1056</v>
      </c>
      <c r="D512" t="s">
        <v>539</v>
      </c>
      <c r="E512" s="30" t="s">
        <v>18</v>
      </c>
      <c r="F512" s="30" t="s">
        <v>27</v>
      </c>
      <c r="G512" s="30"/>
      <c r="H512" s="30" t="s">
        <v>849</v>
      </c>
      <c r="I512" s="30"/>
      <c r="J512" s="31">
        <f t="shared" si="23"/>
        <v>28</v>
      </c>
      <c r="K512" s="146" t="s">
        <v>2041</v>
      </c>
      <c r="L512" s="31">
        <f t="shared" si="24"/>
        <v>0</v>
      </c>
      <c r="M512" s="32">
        <f t="shared" si="25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517</v>
      </c>
      <c r="B513" t="s">
        <v>540</v>
      </c>
      <c r="C513" t="s">
        <v>1056</v>
      </c>
      <c r="D513" t="s">
        <v>541</v>
      </c>
      <c r="E513" s="30" t="s">
        <v>18</v>
      </c>
      <c r="F513" s="85" t="s">
        <v>1294</v>
      </c>
      <c r="G513" s="30"/>
      <c r="H513" s="30" t="s">
        <v>850</v>
      </c>
      <c r="I513" s="30"/>
      <c r="J513" s="31">
        <f t="shared" si="23"/>
        <v>28</v>
      </c>
      <c r="K513" s="146" t="s">
        <v>2042</v>
      </c>
      <c r="L513" s="31">
        <f t="shared" si="24"/>
        <v>0</v>
      </c>
      <c r="M513" s="32">
        <f t="shared" si="25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517</v>
      </c>
      <c r="B514" t="s">
        <v>1033</v>
      </c>
      <c r="C514" t="s">
        <v>1056</v>
      </c>
      <c r="D514" t="s">
        <v>512</v>
      </c>
      <c r="E514" s="30" t="s">
        <v>14</v>
      </c>
      <c r="F514" s="30" t="s">
        <v>1049</v>
      </c>
      <c r="G514" s="30" t="s">
        <v>1252</v>
      </c>
      <c r="H514" s="30" t="s">
        <v>851</v>
      </c>
      <c r="I514" s="30"/>
      <c r="J514" s="31">
        <f t="shared" si="23"/>
        <v>26</v>
      </c>
      <c r="K514" s="146" t="s">
        <v>2043</v>
      </c>
      <c r="L514" s="31">
        <f t="shared" si="24"/>
        <v>2</v>
      </c>
      <c r="M514" s="32">
        <f t="shared" si="25"/>
        <v>0.9285714285714286</v>
      </c>
      <c r="N514" s="70"/>
      <c r="O514" s="70"/>
      <c r="P514" s="70"/>
      <c r="Q514" s="70"/>
      <c r="R514" s="70"/>
      <c r="S514" s="70" t="s">
        <v>2245</v>
      </c>
      <c r="T514" s="70" t="s">
        <v>2245</v>
      </c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513</v>
      </c>
      <c r="B515" t="s">
        <v>1034</v>
      </c>
      <c r="C515" t="s">
        <v>1056</v>
      </c>
      <c r="D515" t="s">
        <v>514</v>
      </c>
      <c r="E515" s="30" t="s">
        <v>18</v>
      </c>
      <c r="F515" s="30" t="s">
        <v>27</v>
      </c>
      <c r="G515" s="30"/>
      <c r="H515" s="30" t="s">
        <v>852</v>
      </c>
      <c r="I515" s="30"/>
      <c r="J515" s="31">
        <f t="shared" si="23"/>
        <v>28</v>
      </c>
      <c r="K515" s="146" t="s">
        <v>2044</v>
      </c>
      <c r="L515" s="31">
        <f t="shared" si="24"/>
        <v>0</v>
      </c>
      <c r="M515" s="32">
        <f t="shared" si="25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517</v>
      </c>
      <c r="B516" t="s">
        <v>1030</v>
      </c>
      <c r="C516" t="s">
        <v>1056</v>
      </c>
      <c r="D516" t="s">
        <v>542</v>
      </c>
      <c r="E516" s="30" t="s">
        <v>14</v>
      </c>
      <c r="F516" s="30" t="s">
        <v>27</v>
      </c>
      <c r="G516" s="30"/>
      <c r="H516" s="30" t="s">
        <v>853</v>
      </c>
      <c r="I516" s="30"/>
      <c r="J516" s="31">
        <f t="shared" si="23"/>
        <v>25</v>
      </c>
      <c r="K516" s="146" t="s">
        <v>2045</v>
      </c>
      <c r="L516" s="31">
        <f t="shared" si="24"/>
        <v>3</v>
      </c>
      <c r="M516" s="32">
        <f t="shared" si="25"/>
        <v>0.8928571428571429</v>
      </c>
      <c r="N516" s="70" t="s">
        <v>2245</v>
      </c>
      <c r="O516" s="70"/>
      <c r="P516" s="70"/>
      <c r="Q516" s="70"/>
      <c r="R516" s="70"/>
      <c r="S516" s="70" t="s">
        <v>2245</v>
      </c>
      <c r="T516" s="70" t="s">
        <v>2245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517</v>
      </c>
      <c r="B517" t="s">
        <v>515</v>
      </c>
      <c r="C517" t="s">
        <v>1056</v>
      </c>
      <c r="D517" t="s">
        <v>516</v>
      </c>
      <c r="E517" s="30" t="s">
        <v>14</v>
      </c>
      <c r="F517" s="30" t="s">
        <v>1049</v>
      </c>
      <c r="G517" s="30" t="s">
        <v>1253</v>
      </c>
      <c r="H517" s="30" t="s">
        <v>854</v>
      </c>
      <c r="I517" s="30"/>
      <c r="J517" s="31">
        <f t="shared" si="23"/>
        <v>28</v>
      </c>
      <c r="K517" s="146" t="s">
        <v>2046</v>
      </c>
      <c r="L517" s="31">
        <f t="shared" si="24"/>
        <v>0</v>
      </c>
      <c r="M517" s="32">
        <f t="shared" si="25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517</v>
      </c>
      <c r="B518" t="s">
        <v>518</v>
      </c>
      <c r="C518" t="s">
        <v>1056</v>
      </c>
      <c r="D518" t="s">
        <v>519</v>
      </c>
      <c r="E518" s="30" t="s">
        <v>14</v>
      </c>
      <c r="F518" s="30" t="s">
        <v>1049</v>
      </c>
      <c r="G518" s="30" t="s">
        <v>1249</v>
      </c>
      <c r="H518" s="30" t="s">
        <v>855</v>
      </c>
      <c r="I518" s="30"/>
      <c r="J518" s="31">
        <f t="shared" si="23"/>
        <v>28</v>
      </c>
      <c r="K518" s="146" t="s">
        <v>2047</v>
      </c>
      <c r="L518" s="31">
        <f t="shared" si="24"/>
        <v>0</v>
      </c>
      <c r="M518" s="32">
        <f t="shared" si="25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517</v>
      </c>
      <c r="B519" t="s">
        <v>520</v>
      </c>
      <c r="C519" t="s">
        <v>1056</v>
      </c>
      <c r="D519" t="s">
        <v>1083</v>
      </c>
      <c r="E519" s="30" t="s">
        <v>14</v>
      </c>
      <c r="F519" s="30" t="s">
        <v>1049</v>
      </c>
      <c r="G519" s="30" t="s">
        <v>1254</v>
      </c>
      <c r="H519" s="30" t="s">
        <v>856</v>
      </c>
      <c r="I519" s="30"/>
      <c r="J519" s="31">
        <f t="shared" si="23"/>
        <v>25</v>
      </c>
      <c r="K519" s="146" t="s">
        <v>2048</v>
      </c>
      <c r="L519" s="31">
        <f t="shared" si="24"/>
        <v>3</v>
      </c>
      <c r="M519" s="32">
        <f t="shared" si="25"/>
        <v>0.8928571428571429</v>
      </c>
      <c r="N519" s="70" t="s">
        <v>2245</v>
      </c>
      <c r="O519" s="70"/>
      <c r="P519" s="70"/>
      <c r="Q519" s="70"/>
      <c r="R519" s="70"/>
      <c r="S519" s="70" t="s">
        <v>2245</v>
      </c>
      <c r="T519" s="70" t="s">
        <v>2245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513</v>
      </c>
      <c r="B520" t="s">
        <v>1035</v>
      </c>
      <c r="C520" t="s">
        <v>1056</v>
      </c>
      <c r="D520" t="s">
        <v>521</v>
      </c>
      <c r="E520" s="30" t="s">
        <v>14</v>
      </c>
      <c r="F520" s="30" t="s">
        <v>1049</v>
      </c>
      <c r="G520" s="30" t="s">
        <v>1255</v>
      </c>
      <c r="H520" s="30" t="s">
        <v>857</v>
      </c>
      <c r="I520" s="30"/>
      <c r="J520" s="31">
        <f t="shared" si="23"/>
        <v>28</v>
      </c>
      <c r="K520" s="146" t="s">
        <v>2049</v>
      </c>
      <c r="L520" s="31">
        <f t="shared" si="24"/>
        <v>0</v>
      </c>
      <c r="M520" s="32">
        <f t="shared" si="25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513</v>
      </c>
      <c r="B521" t="s">
        <v>1036</v>
      </c>
      <c r="C521" t="s">
        <v>1056</v>
      </c>
      <c r="D521" t="s">
        <v>522</v>
      </c>
      <c r="E521" s="30" t="s">
        <v>14</v>
      </c>
      <c r="F521" s="30" t="s">
        <v>19</v>
      </c>
      <c r="G521" s="30"/>
      <c r="H521" s="30" t="s">
        <v>858</v>
      </c>
      <c r="I521" s="30"/>
      <c r="J521" s="31">
        <f t="shared" si="23"/>
        <v>28</v>
      </c>
      <c r="K521" s="146"/>
      <c r="L521" s="31">
        <f t="shared" si="24"/>
        <v>0</v>
      </c>
      <c r="M521" s="32">
        <f t="shared" si="25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517</v>
      </c>
      <c r="B522" s="73" t="s">
        <v>523</v>
      </c>
      <c r="C522" s="73" t="s">
        <v>1056</v>
      </c>
      <c r="D522" s="73" t="s">
        <v>524</v>
      </c>
      <c r="E522" s="85" t="s">
        <v>45</v>
      </c>
      <c r="F522" s="85" t="s">
        <v>1294</v>
      </c>
      <c r="G522" s="85"/>
      <c r="H522" s="85" t="s">
        <v>1358</v>
      </c>
      <c r="I522" s="85"/>
      <c r="J522" s="141">
        <f t="shared" si="23"/>
        <v>28</v>
      </c>
      <c r="K522" s="146" t="s">
        <v>2050</v>
      </c>
      <c r="L522" s="141">
        <f t="shared" si="24"/>
        <v>0</v>
      </c>
      <c r="M522" s="142">
        <f t="shared" si="25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513</v>
      </c>
      <c r="B523" t="s">
        <v>1031</v>
      </c>
      <c r="C523" t="s">
        <v>1056</v>
      </c>
      <c r="D523" t="s">
        <v>543</v>
      </c>
      <c r="E523" s="30" t="s">
        <v>72</v>
      </c>
      <c r="F523" s="30" t="s">
        <v>27</v>
      </c>
      <c r="G523" s="30"/>
      <c r="H523" s="30" t="s">
        <v>859</v>
      </c>
      <c r="I523" s="30"/>
      <c r="J523" s="31">
        <f t="shared" si="23"/>
        <v>28</v>
      </c>
      <c r="K523" s="146" t="s">
        <v>2051</v>
      </c>
      <c r="L523" s="31">
        <f t="shared" si="24"/>
        <v>0</v>
      </c>
      <c r="M523" s="32">
        <f t="shared" si="25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513</v>
      </c>
      <c r="B524" t="s">
        <v>1032</v>
      </c>
      <c r="C524" t="s">
        <v>1056</v>
      </c>
      <c r="D524" t="s">
        <v>543</v>
      </c>
      <c r="E524" s="30" t="s">
        <v>72</v>
      </c>
      <c r="F524" s="30" t="s">
        <v>27</v>
      </c>
      <c r="G524" s="30"/>
      <c r="H524" s="30" t="s">
        <v>860</v>
      </c>
      <c r="I524" s="30"/>
      <c r="J524" s="31">
        <f t="shared" si="23"/>
        <v>28</v>
      </c>
      <c r="K524" s="146" t="s">
        <v>2052</v>
      </c>
      <c r="L524" s="31">
        <f t="shared" si="24"/>
        <v>0</v>
      </c>
      <c r="M524" s="32">
        <f t="shared" si="25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513</v>
      </c>
      <c r="B525" t="s">
        <v>544</v>
      </c>
      <c r="C525" t="s">
        <v>1055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3"/>
        <v>28</v>
      </c>
      <c r="K525" s="146" t="s">
        <v>2053</v>
      </c>
      <c r="L525" s="31">
        <f t="shared" si="24"/>
        <v>0</v>
      </c>
      <c r="M525" s="32">
        <f t="shared" si="25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513</v>
      </c>
      <c r="B526" t="s">
        <v>546</v>
      </c>
      <c r="C526" t="s">
        <v>1055</v>
      </c>
      <c r="D526" t="s">
        <v>545</v>
      </c>
      <c r="E526" s="30" t="s">
        <v>72</v>
      </c>
      <c r="F526" s="30" t="s">
        <v>27</v>
      </c>
      <c r="G526" s="30"/>
      <c r="H526" s="30" t="s">
        <v>861</v>
      </c>
      <c r="I526" s="30"/>
      <c r="J526" s="31">
        <f t="shared" si="23"/>
        <v>28</v>
      </c>
      <c r="K526" s="146" t="s">
        <v>2054</v>
      </c>
      <c r="L526" s="31">
        <f t="shared" si="24"/>
        <v>0</v>
      </c>
      <c r="M526" s="32">
        <f t="shared" si="25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513</v>
      </c>
      <c r="B527" t="s">
        <v>1138</v>
      </c>
      <c r="C527" t="s">
        <v>1056</v>
      </c>
      <c r="D527" t="s">
        <v>1140</v>
      </c>
      <c r="E527" s="30" t="s">
        <v>72</v>
      </c>
      <c r="F527" s="30" t="s">
        <v>27</v>
      </c>
      <c r="G527" s="30"/>
      <c r="H527" s="30" t="s">
        <v>1141</v>
      </c>
      <c r="I527" s="30"/>
      <c r="J527" s="31">
        <f t="shared" si="23"/>
        <v>28</v>
      </c>
      <c r="K527" s="146" t="s">
        <v>2055</v>
      </c>
      <c r="L527" s="31">
        <f t="shared" si="24"/>
        <v>0</v>
      </c>
      <c r="M527" s="32">
        <f t="shared" si="25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513</v>
      </c>
      <c r="B528" t="s">
        <v>1139</v>
      </c>
      <c r="C528" t="s">
        <v>1056</v>
      </c>
      <c r="D528" t="s">
        <v>1140</v>
      </c>
      <c r="E528" s="30" t="s">
        <v>1107</v>
      </c>
      <c r="F528" s="30" t="s">
        <v>27</v>
      </c>
      <c r="G528" s="30"/>
      <c r="H528" s="30" t="s">
        <v>1142</v>
      </c>
      <c r="I528" s="30"/>
      <c r="J528" s="31">
        <f t="shared" si="23"/>
        <v>28</v>
      </c>
      <c r="K528" s="146" t="s">
        <v>2056</v>
      </c>
      <c r="L528" s="31">
        <f t="shared" si="24"/>
        <v>0</v>
      </c>
      <c r="M528" s="32">
        <f t="shared" si="25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thickBot="1" x14ac:dyDescent="0.3">
      <c r="A529" s="73" t="s">
        <v>517</v>
      </c>
      <c r="B529" s="85" t="s">
        <v>1201</v>
      </c>
      <c r="C529" s="85" t="s">
        <v>1056</v>
      </c>
      <c r="D529" s="73" t="s">
        <v>1197</v>
      </c>
      <c r="E529" s="85" t="s">
        <v>14</v>
      </c>
      <c r="F529" s="85" t="s">
        <v>1294</v>
      </c>
      <c r="G529" s="85"/>
      <c r="H529" s="85" t="s">
        <v>1198</v>
      </c>
      <c r="I529" s="85"/>
      <c r="J529" s="141">
        <f t="shared" si="23"/>
        <v>28</v>
      </c>
      <c r="K529" s="146" t="s">
        <v>2057</v>
      </c>
      <c r="L529" s="141">
        <f t="shared" si="24"/>
        <v>0</v>
      </c>
      <c r="M529" s="142">
        <f t="shared" si="25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517</v>
      </c>
      <c r="B530" s="30" t="s">
        <v>1519</v>
      </c>
      <c r="C530" s="30" t="s">
        <v>1056</v>
      </c>
      <c r="D530" t="s">
        <v>1520</v>
      </c>
      <c r="E530" s="30" t="s">
        <v>1107</v>
      </c>
      <c r="F530" s="30" t="s">
        <v>27</v>
      </c>
      <c r="G530" s="30"/>
      <c r="H530" s="30" t="s">
        <v>1521</v>
      </c>
      <c r="I530" s="30"/>
      <c r="J530" s="141">
        <f t="shared" si="23"/>
        <v>28</v>
      </c>
      <c r="K530" s="146" t="s">
        <v>2058</v>
      </c>
      <c r="L530" s="141">
        <f t="shared" si="24"/>
        <v>0</v>
      </c>
      <c r="M530" s="142">
        <f t="shared" si="25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517</v>
      </c>
      <c r="B531" s="85" t="s">
        <v>1570</v>
      </c>
      <c r="C531" s="85" t="s">
        <v>1056</v>
      </c>
      <c r="D531" s="73" t="s">
        <v>1571</v>
      </c>
      <c r="E531" s="85" t="s">
        <v>14</v>
      </c>
      <c r="F531" s="85" t="s">
        <v>1294</v>
      </c>
      <c r="G531" s="85"/>
      <c r="H531" s="85" t="s">
        <v>1572</v>
      </c>
      <c r="I531" s="85"/>
      <c r="J531" s="141">
        <f t="shared" si="23"/>
        <v>28</v>
      </c>
      <c r="K531" s="146" t="s">
        <v>2059</v>
      </c>
      <c r="L531" s="141">
        <f t="shared" si="24"/>
        <v>0</v>
      </c>
      <c r="M531" s="142">
        <f t="shared" si="25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thickBot="1" x14ac:dyDescent="0.3">
      <c r="A532" s="73" t="s">
        <v>517</v>
      </c>
      <c r="B532" s="85" t="s">
        <v>1573</v>
      </c>
      <c r="C532" s="85" t="s">
        <v>1056</v>
      </c>
      <c r="D532" s="73" t="s">
        <v>1574</v>
      </c>
      <c r="E532" s="85" t="s">
        <v>14</v>
      </c>
      <c r="F532" s="85" t="s">
        <v>1294</v>
      </c>
      <c r="G532" s="85"/>
      <c r="H532" s="85" t="s">
        <v>1575</v>
      </c>
      <c r="I532" s="85"/>
      <c r="J532" s="141">
        <f t="shared" si="23"/>
        <v>28</v>
      </c>
      <c r="K532" s="146" t="s">
        <v>2060</v>
      </c>
      <c r="L532" s="141">
        <f t="shared" si="24"/>
        <v>0</v>
      </c>
      <c r="M532" s="142">
        <f t="shared" si="25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517</v>
      </c>
      <c r="B533" s="85" t="s">
        <v>2194</v>
      </c>
      <c r="C533" s="85" t="s">
        <v>1056</v>
      </c>
      <c r="D533" s="73" t="s">
        <v>2195</v>
      </c>
      <c r="E533" s="30" t="s">
        <v>72</v>
      </c>
      <c r="F533" s="85" t="s">
        <v>1294</v>
      </c>
      <c r="G533" s="85"/>
      <c r="H533" s="85" t="s">
        <v>2317</v>
      </c>
      <c r="I533" s="85"/>
      <c r="J533" s="141">
        <f t="shared" si="23"/>
        <v>28</v>
      </c>
      <c r="K533" s="146" t="s">
        <v>2196</v>
      </c>
      <c r="L533" s="141">
        <f t="shared" si="24"/>
        <v>0</v>
      </c>
      <c r="M533" s="142">
        <f t="shared" si="25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517</v>
      </c>
      <c r="B534" s="85" t="s">
        <v>2197</v>
      </c>
      <c r="C534" s="85" t="s">
        <v>1056</v>
      </c>
      <c r="D534" s="73" t="s">
        <v>2198</v>
      </c>
      <c r="E534" s="85" t="s">
        <v>14</v>
      </c>
      <c r="F534" s="85" t="s">
        <v>1294</v>
      </c>
      <c r="G534" s="85"/>
      <c r="H534" s="85" t="s">
        <v>2318</v>
      </c>
      <c r="I534" s="85"/>
      <c r="J534" s="141">
        <f t="shared" si="23"/>
        <v>28</v>
      </c>
      <c r="K534" s="146" t="s">
        <v>2199</v>
      </c>
      <c r="L534" s="141">
        <f t="shared" si="24"/>
        <v>0</v>
      </c>
      <c r="M534" s="142">
        <f t="shared" si="25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408</v>
      </c>
      <c r="B535" t="s">
        <v>1037</v>
      </c>
      <c r="C535" t="s">
        <v>1055</v>
      </c>
      <c r="D535" t="s">
        <v>549</v>
      </c>
      <c r="E535" s="30" t="s">
        <v>18</v>
      </c>
      <c r="F535" s="30" t="s">
        <v>27</v>
      </c>
      <c r="G535" s="30"/>
      <c r="H535" s="30" t="s">
        <v>864</v>
      </c>
      <c r="I535" s="30" t="s">
        <v>2290</v>
      </c>
      <c r="J535" s="31">
        <f t="shared" si="23"/>
        <v>28</v>
      </c>
      <c r="K535" s="146" t="s">
        <v>2061</v>
      </c>
      <c r="L535" s="31">
        <f t="shared" si="24"/>
        <v>0</v>
      </c>
      <c r="M535" s="32">
        <f t="shared" si="25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293</v>
      </c>
      <c r="B536" t="s">
        <v>1038</v>
      </c>
      <c r="C536" t="s">
        <v>1055</v>
      </c>
      <c r="D536" t="s">
        <v>550</v>
      </c>
      <c r="E536" s="30" t="s">
        <v>18</v>
      </c>
      <c r="F536" s="30" t="s">
        <v>27</v>
      </c>
      <c r="G536" s="30"/>
      <c r="H536" s="30" t="s">
        <v>865</v>
      </c>
      <c r="I536" s="30" t="s">
        <v>2290</v>
      </c>
      <c r="J536" s="31">
        <f t="shared" si="23"/>
        <v>28</v>
      </c>
      <c r="K536" s="146" t="s">
        <v>2062</v>
      </c>
      <c r="L536" s="31">
        <f t="shared" si="24"/>
        <v>0</v>
      </c>
      <c r="M536" s="32">
        <f t="shared" si="25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408</v>
      </c>
      <c r="B537" t="s">
        <v>551</v>
      </c>
      <c r="C537" t="s">
        <v>1055</v>
      </c>
      <c r="D537" t="s">
        <v>552</v>
      </c>
      <c r="E537" s="30" t="s">
        <v>72</v>
      </c>
      <c r="F537" s="30" t="s">
        <v>27</v>
      </c>
      <c r="G537" s="30"/>
      <c r="H537" s="30" t="s">
        <v>862</v>
      </c>
      <c r="I537" s="30" t="s">
        <v>2290</v>
      </c>
      <c r="J537" s="31">
        <f t="shared" si="23"/>
        <v>28</v>
      </c>
      <c r="K537" s="146" t="s">
        <v>2063</v>
      </c>
      <c r="L537" s="31">
        <f t="shared" si="24"/>
        <v>0</v>
      </c>
      <c r="M537" s="32">
        <f t="shared" si="25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408</v>
      </c>
      <c r="B538" t="s">
        <v>553</v>
      </c>
      <c r="C538" t="s">
        <v>1055</v>
      </c>
      <c r="D538" t="s">
        <v>552</v>
      </c>
      <c r="E538" s="30" t="s">
        <v>72</v>
      </c>
      <c r="F538" s="30" t="s">
        <v>27</v>
      </c>
      <c r="G538" s="30"/>
      <c r="H538" s="30" t="s">
        <v>863</v>
      </c>
      <c r="I538" s="30" t="s">
        <v>2290</v>
      </c>
      <c r="J538" s="31">
        <f t="shared" si="23"/>
        <v>28</v>
      </c>
      <c r="K538" s="146" t="s">
        <v>2064</v>
      </c>
      <c r="L538" s="31">
        <f t="shared" si="24"/>
        <v>0</v>
      </c>
      <c r="M538" s="32">
        <f t="shared" si="25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408</v>
      </c>
      <c r="B539" t="s">
        <v>554</v>
      </c>
      <c r="C539" t="s">
        <v>1055</v>
      </c>
      <c r="D539" t="s">
        <v>555</v>
      </c>
      <c r="E539" s="30" t="s">
        <v>72</v>
      </c>
      <c r="F539" s="30" t="s">
        <v>27</v>
      </c>
      <c r="G539" s="30"/>
      <c r="H539" s="30" t="s">
        <v>866</v>
      </c>
      <c r="I539" s="30" t="s">
        <v>2290</v>
      </c>
      <c r="J539" s="31">
        <f t="shared" si="23"/>
        <v>28</v>
      </c>
      <c r="K539" s="146" t="s">
        <v>2065</v>
      </c>
      <c r="L539" s="31">
        <f t="shared" si="24"/>
        <v>0</v>
      </c>
      <c r="M539" s="32">
        <f t="shared" si="25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408</v>
      </c>
      <c r="B540" t="s">
        <v>556</v>
      </c>
      <c r="C540" t="s">
        <v>1055</v>
      </c>
      <c r="D540" t="s">
        <v>555</v>
      </c>
      <c r="E540" s="30" t="s">
        <v>72</v>
      </c>
      <c r="F540" s="30" t="s">
        <v>27</v>
      </c>
      <c r="G540" s="30"/>
      <c r="H540" s="30" t="s">
        <v>867</v>
      </c>
      <c r="I540" s="30" t="s">
        <v>2290</v>
      </c>
      <c r="J540" s="31">
        <f t="shared" si="23"/>
        <v>28</v>
      </c>
      <c r="K540" s="146" t="s">
        <v>2066</v>
      </c>
      <c r="L540" s="31">
        <f t="shared" si="24"/>
        <v>0</v>
      </c>
      <c r="M540" s="32">
        <f t="shared" si="25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thickBot="1" x14ac:dyDescent="0.3">
      <c r="A541" s="73" t="s">
        <v>408</v>
      </c>
      <c r="B541" s="73" t="s">
        <v>547</v>
      </c>
      <c r="C541" s="90" t="s">
        <v>1055</v>
      </c>
      <c r="D541" s="73" t="s">
        <v>548</v>
      </c>
      <c r="E541" s="91" t="s">
        <v>18</v>
      </c>
      <c r="F541" s="85" t="s">
        <v>27</v>
      </c>
      <c r="G541" s="85"/>
      <c r="H541" s="85" t="s">
        <v>868</v>
      </c>
      <c r="I541" s="85" t="s">
        <v>2290</v>
      </c>
      <c r="J541" s="31">
        <f t="shared" si="23"/>
        <v>25</v>
      </c>
      <c r="K541" s="146"/>
      <c r="L541" s="31">
        <f t="shared" si="24"/>
        <v>3</v>
      </c>
      <c r="M541" s="32">
        <f t="shared" si="25"/>
        <v>0.8928571428571429</v>
      </c>
      <c r="N541" s="70" t="s">
        <v>2245</v>
      </c>
      <c r="O541" s="70"/>
      <c r="P541" s="70"/>
      <c r="Q541" s="70"/>
      <c r="R541" s="70"/>
      <c r="S541" s="70" t="s">
        <v>2245</v>
      </c>
      <c r="T541" s="70" t="s">
        <v>2245</v>
      </c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thickBot="1" x14ac:dyDescent="0.3">
      <c r="A542" s="73" t="s">
        <v>408</v>
      </c>
      <c r="B542" s="73" t="s">
        <v>557</v>
      </c>
      <c r="C542" s="90" t="s">
        <v>1055</v>
      </c>
      <c r="D542" s="73" t="s">
        <v>558</v>
      </c>
      <c r="E542" s="91" t="s">
        <v>14</v>
      </c>
      <c r="F542" s="85" t="s">
        <v>27</v>
      </c>
      <c r="G542" s="85"/>
      <c r="H542" s="85" t="s">
        <v>1493</v>
      </c>
      <c r="I542" s="85" t="s">
        <v>2290</v>
      </c>
      <c r="J542" s="31">
        <f t="shared" si="23"/>
        <v>28</v>
      </c>
      <c r="K542" s="146" t="s">
        <v>2067</v>
      </c>
      <c r="L542" s="31">
        <f t="shared" si="24"/>
        <v>0</v>
      </c>
      <c r="M542" s="32">
        <f t="shared" si="25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482</v>
      </c>
      <c r="B543" s="73" t="s">
        <v>1337</v>
      </c>
      <c r="C543" s="85" t="s">
        <v>1055</v>
      </c>
      <c r="D543" s="73" t="s">
        <v>1338</v>
      </c>
      <c r="E543" s="91" t="s">
        <v>14</v>
      </c>
      <c r="F543" s="85" t="s">
        <v>1294</v>
      </c>
      <c r="G543" s="85"/>
      <c r="H543" s="85" t="s">
        <v>1343</v>
      </c>
      <c r="I543" s="85"/>
      <c r="J543" s="141">
        <f t="shared" si="23"/>
        <v>25</v>
      </c>
      <c r="K543" s="146" t="s">
        <v>2068</v>
      </c>
      <c r="L543" s="141">
        <f t="shared" si="24"/>
        <v>3</v>
      </c>
      <c r="M543" s="142">
        <f t="shared" si="25"/>
        <v>0.8928571428571429</v>
      </c>
      <c r="N543" s="70" t="s">
        <v>2245</v>
      </c>
      <c r="O543" s="70"/>
      <c r="P543" s="70"/>
      <c r="Q543" s="70"/>
      <c r="R543" s="70"/>
      <c r="S543" s="70" t="s">
        <v>2245</v>
      </c>
      <c r="T543" s="70" t="s">
        <v>2245</v>
      </c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482</v>
      </c>
      <c r="B544" t="s">
        <v>559</v>
      </c>
      <c r="C544" t="s">
        <v>1055</v>
      </c>
      <c r="D544" t="s">
        <v>560</v>
      </c>
      <c r="E544" s="30" t="s">
        <v>18</v>
      </c>
      <c r="F544" s="30" t="s">
        <v>27</v>
      </c>
      <c r="G544" s="30"/>
      <c r="H544" s="30" t="s">
        <v>869</v>
      </c>
      <c r="I544" s="30"/>
      <c r="J544" s="31">
        <f t="shared" si="23"/>
        <v>28</v>
      </c>
      <c r="K544" s="146" t="s">
        <v>2069</v>
      </c>
      <c r="L544" s="31">
        <f t="shared" si="24"/>
        <v>0</v>
      </c>
      <c r="M544" s="32">
        <f t="shared" si="25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482</v>
      </c>
      <c r="B545" s="73" t="s">
        <v>561</v>
      </c>
      <c r="C545" s="73" t="s">
        <v>1055</v>
      </c>
      <c r="D545" s="73" t="s">
        <v>562</v>
      </c>
      <c r="E545" s="85" t="s">
        <v>18</v>
      </c>
      <c r="F545" s="85" t="s">
        <v>1294</v>
      </c>
      <c r="G545" s="85"/>
      <c r="H545" s="85" t="s">
        <v>1361</v>
      </c>
      <c r="I545" s="85"/>
      <c r="J545" s="141">
        <f t="shared" ref="J545:J591" si="26">COUNTIF(N545:AO545,"")</f>
        <v>28</v>
      </c>
      <c r="K545" s="146" t="s">
        <v>2070</v>
      </c>
      <c r="L545" s="141">
        <f t="shared" ref="L545:L591" si="27">COUNTIF(N545:AO545,"APAGADO")</f>
        <v>0</v>
      </c>
      <c r="M545" s="142">
        <f t="shared" ref="M545:M591" si="28">(J545)/(L545+J545)</f>
        <v>1</v>
      </c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482</v>
      </c>
      <c r="B546" s="73" t="s">
        <v>563</v>
      </c>
      <c r="C546" s="73" t="s">
        <v>1055</v>
      </c>
      <c r="D546" s="73" t="s">
        <v>564</v>
      </c>
      <c r="E546" s="85" t="s">
        <v>18</v>
      </c>
      <c r="F546" s="85" t="s">
        <v>1294</v>
      </c>
      <c r="G546" s="85"/>
      <c r="H546" s="85" t="s">
        <v>1419</v>
      </c>
      <c r="I546" s="85"/>
      <c r="J546" s="141">
        <f t="shared" si="26"/>
        <v>25</v>
      </c>
      <c r="K546" s="146" t="s">
        <v>2071</v>
      </c>
      <c r="L546" s="141">
        <f t="shared" si="27"/>
        <v>3</v>
      </c>
      <c r="M546" s="142">
        <f t="shared" si="28"/>
        <v>0.8928571428571429</v>
      </c>
      <c r="N546" s="70" t="s">
        <v>2245</v>
      </c>
      <c r="O546" s="70"/>
      <c r="P546" s="70"/>
      <c r="Q546" s="70"/>
      <c r="R546" s="70"/>
      <c r="S546" s="70" t="s">
        <v>2245</v>
      </c>
      <c r="T546" s="70" t="s">
        <v>2245</v>
      </c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482</v>
      </c>
      <c r="B547" t="s">
        <v>565</v>
      </c>
      <c r="C547" t="s">
        <v>1055</v>
      </c>
      <c r="D547" t="s">
        <v>566</v>
      </c>
      <c r="E547" s="30" t="s">
        <v>18</v>
      </c>
      <c r="F547" s="30" t="s">
        <v>1049</v>
      </c>
      <c r="G547" s="30" t="s">
        <v>1256</v>
      </c>
      <c r="H547" s="30" t="s">
        <v>870</v>
      </c>
      <c r="I547" s="30"/>
      <c r="J547" s="31">
        <f t="shared" si="26"/>
        <v>28</v>
      </c>
      <c r="K547" s="146" t="s">
        <v>2072</v>
      </c>
      <c r="L547" s="31">
        <f t="shared" si="27"/>
        <v>0</v>
      </c>
      <c r="M547" s="32">
        <f t="shared" si="28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478</v>
      </c>
      <c r="B548" s="73" t="s">
        <v>567</v>
      </c>
      <c r="C548" s="73" t="s">
        <v>1055</v>
      </c>
      <c r="D548" s="73" t="s">
        <v>568</v>
      </c>
      <c r="E548" s="85" t="s">
        <v>18</v>
      </c>
      <c r="F548" s="85" t="s">
        <v>1294</v>
      </c>
      <c r="G548" s="85"/>
      <c r="H548" s="85" t="s">
        <v>1492</v>
      </c>
      <c r="I548" s="85"/>
      <c r="J548" s="141">
        <f t="shared" si="26"/>
        <v>28</v>
      </c>
      <c r="K548" s="146" t="s">
        <v>2073</v>
      </c>
      <c r="L548" s="141">
        <f t="shared" si="27"/>
        <v>0</v>
      </c>
      <c r="M548" s="142">
        <f t="shared" si="28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478</v>
      </c>
      <c r="B549" t="s">
        <v>1305</v>
      </c>
      <c r="C549" t="s">
        <v>1055</v>
      </c>
      <c r="D549" t="s">
        <v>2170</v>
      </c>
      <c r="E549" s="85" t="s">
        <v>14</v>
      </c>
      <c r="F549" s="85" t="s">
        <v>1294</v>
      </c>
      <c r="G549" s="30"/>
      <c r="H549" s="30" t="s">
        <v>2319</v>
      </c>
      <c r="I549" s="30"/>
      <c r="J549" s="31">
        <f t="shared" si="26"/>
        <v>28</v>
      </c>
      <c r="K549" s="146" t="s">
        <v>2171</v>
      </c>
      <c r="L549" s="31">
        <f t="shared" si="27"/>
        <v>0</v>
      </c>
      <c r="M549" s="32">
        <f t="shared" si="28"/>
        <v>1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482</v>
      </c>
      <c r="B550" t="s">
        <v>2112</v>
      </c>
      <c r="C550" t="s">
        <v>1055</v>
      </c>
      <c r="D550" s="73" t="s">
        <v>2113</v>
      </c>
      <c r="E550" s="85" t="s">
        <v>14</v>
      </c>
      <c r="F550" s="85" t="s">
        <v>1294</v>
      </c>
      <c r="G550" s="30"/>
      <c r="H550" s="30" t="s">
        <v>2320</v>
      </c>
      <c r="I550" s="30"/>
      <c r="J550" s="31">
        <f t="shared" si="26"/>
        <v>28</v>
      </c>
      <c r="K550" s="146" t="s">
        <v>2114</v>
      </c>
      <c r="L550" s="31">
        <f t="shared" si="27"/>
        <v>0</v>
      </c>
      <c r="M550" s="32">
        <f t="shared" si="28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thickBot="1" x14ac:dyDescent="0.3">
      <c r="A551" s="73" t="s">
        <v>569</v>
      </c>
      <c r="B551" s="73" t="s">
        <v>570</v>
      </c>
      <c r="C551" s="73" t="s">
        <v>1056</v>
      </c>
      <c r="D551" s="73" t="s">
        <v>571</v>
      </c>
      <c r="E551" s="85" t="s">
        <v>14</v>
      </c>
      <c r="F551" s="85" t="s">
        <v>1294</v>
      </c>
      <c r="G551" s="85"/>
      <c r="H551" s="85" t="s">
        <v>871</v>
      </c>
      <c r="I551" s="85"/>
      <c r="J551" s="141">
        <f t="shared" si="26"/>
        <v>28</v>
      </c>
      <c r="K551" s="146" t="s">
        <v>2074</v>
      </c>
      <c r="L551" s="141">
        <f t="shared" si="27"/>
        <v>0</v>
      </c>
      <c r="M551" s="142">
        <f t="shared" si="28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569</v>
      </c>
      <c r="B552" s="73" t="s">
        <v>1450</v>
      </c>
      <c r="C552" s="73" t="s">
        <v>1056</v>
      </c>
      <c r="D552" s="73" t="s">
        <v>572</v>
      </c>
      <c r="E552" s="85" t="s">
        <v>14</v>
      </c>
      <c r="F552" s="85" t="s">
        <v>1294</v>
      </c>
      <c r="G552" s="85"/>
      <c r="H552" s="85" t="s">
        <v>872</v>
      </c>
      <c r="I552" s="85"/>
      <c r="J552" s="141">
        <f t="shared" si="26"/>
        <v>28</v>
      </c>
      <c r="K552" s="146" t="s">
        <v>2075</v>
      </c>
      <c r="L552" s="141">
        <f t="shared" si="27"/>
        <v>0</v>
      </c>
      <c r="M552" s="142">
        <f t="shared" si="28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569</v>
      </c>
      <c r="B553" s="73" t="s">
        <v>1039</v>
      </c>
      <c r="C553" s="73" t="s">
        <v>1056</v>
      </c>
      <c r="D553" s="73" t="s">
        <v>573</v>
      </c>
      <c r="E553" s="85" t="s">
        <v>72</v>
      </c>
      <c r="F553" s="85" t="s">
        <v>1294</v>
      </c>
      <c r="G553" s="85"/>
      <c r="H553" s="85" t="s">
        <v>873</v>
      </c>
      <c r="I553" s="85"/>
      <c r="J553" s="141">
        <f t="shared" si="26"/>
        <v>28</v>
      </c>
      <c r="K553" s="146" t="s">
        <v>2076</v>
      </c>
      <c r="L553" s="141">
        <f t="shared" si="27"/>
        <v>0</v>
      </c>
      <c r="M553" s="142">
        <f t="shared" si="28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569</v>
      </c>
      <c r="B554" s="73" t="s">
        <v>1040</v>
      </c>
      <c r="C554" s="73" t="s">
        <v>1056</v>
      </c>
      <c r="D554" s="73" t="s">
        <v>573</v>
      </c>
      <c r="E554" s="85" t="s">
        <v>72</v>
      </c>
      <c r="F554" s="85" t="s">
        <v>1294</v>
      </c>
      <c r="G554" s="85"/>
      <c r="H554" s="85" t="s">
        <v>874</v>
      </c>
      <c r="I554" s="85"/>
      <c r="J554" s="141">
        <f t="shared" si="26"/>
        <v>28</v>
      </c>
      <c r="K554" s="146" t="s">
        <v>2077</v>
      </c>
      <c r="L554" s="141">
        <f t="shared" si="27"/>
        <v>0</v>
      </c>
      <c r="M554" s="142">
        <f t="shared" si="28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569</v>
      </c>
      <c r="B555" s="73" t="s">
        <v>1626</v>
      </c>
      <c r="C555" s="73" t="s">
        <v>1056</v>
      </c>
      <c r="D555" s="73" t="s">
        <v>1633</v>
      </c>
      <c r="E555" s="85" t="s">
        <v>1107</v>
      </c>
      <c r="F555" s="85" t="s">
        <v>27</v>
      </c>
      <c r="G555" s="85"/>
      <c r="H555" s="85" t="s">
        <v>1628</v>
      </c>
      <c r="I555" s="85"/>
      <c r="J555" s="141">
        <f t="shared" si="26"/>
        <v>28</v>
      </c>
      <c r="K555" s="146" t="s">
        <v>2160</v>
      </c>
      <c r="L555" s="141">
        <f t="shared" si="27"/>
        <v>0</v>
      </c>
      <c r="M555" s="142">
        <f t="shared" si="28"/>
        <v>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2106</v>
      </c>
      <c r="C556" s="73" t="s">
        <v>1056</v>
      </c>
      <c r="D556" s="73" t="s">
        <v>2107</v>
      </c>
      <c r="E556" s="30" t="s">
        <v>14</v>
      </c>
      <c r="F556" s="85" t="s">
        <v>1294</v>
      </c>
      <c r="G556" s="85"/>
      <c r="H556" s="85" t="s">
        <v>2109</v>
      </c>
      <c r="I556" s="85"/>
      <c r="J556" s="141">
        <f t="shared" si="26"/>
        <v>26</v>
      </c>
      <c r="K556" s="146"/>
      <c r="L556" s="141">
        <f t="shared" si="27"/>
        <v>2</v>
      </c>
      <c r="M556" s="142">
        <f t="shared" si="28"/>
        <v>0.9285714285714286</v>
      </c>
      <c r="N556" s="70"/>
      <c r="O556" s="70"/>
      <c r="P556" s="70"/>
      <c r="Q556" s="70"/>
      <c r="R556" s="70"/>
      <c r="S556" s="70" t="s">
        <v>2245</v>
      </c>
      <c r="T556" s="70" t="s">
        <v>2245</v>
      </c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569</v>
      </c>
      <c r="B557" s="73" t="s">
        <v>1639</v>
      </c>
      <c r="C557" s="73" t="s">
        <v>1056</v>
      </c>
      <c r="D557" s="73" t="s">
        <v>1640</v>
      </c>
      <c r="E557" s="85" t="s">
        <v>14</v>
      </c>
      <c r="F557" s="85" t="s">
        <v>1294</v>
      </c>
      <c r="G557" s="85"/>
      <c r="H557" s="85" t="s">
        <v>1641</v>
      </c>
      <c r="I557" s="85"/>
      <c r="J557" s="141">
        <f t="shared" si="26"/>
        <v>28</v>
      </c>
      <c r="K557" s="146" t="s">
        <v>2161</v>
      </c>
      <c r="L557" s="141">
        <f t="shared" si="27"/>
        <v>0</v>
      </c>
      <c r="M557" s="142">
        <f t="shared" si="28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574</v>
      </c>
      <c r="B558" t="s">
        <v>1041</v>
      </c>
      <c r="C558" t="s">
        <v>1056</v>
      </c>
      <c r="D558" t="s">
        <v>575</v>
      </c>
      <c r="E558" s="30" t="s">
        <v>72</v>
      </c>
      <c r="F558" s="85" t="s">
        <v>1294</v>
      </c>
      <c r="G558" s="30"/>
      <c r="H558" s="30" t="s">
        <v>875</v>
      </c>
      <c r="I558" s="30"/>
      <c r="J558" s="31">
        <f t="shared" si="26"/>
        <v>25</v>
      </c>
      <c r="K558" s="146" t="s">
        <v>2157</v>
      </c>
      <c r="L558" s="31">
        <f t="shared" si="27"/>
        <v>3</v>
      </c>
      <c r="M558" s="32">
        <f t="shared" si="28"/>
        <v>0.8928571428571429</v>
      </c>
      <c r="N558" s="70" t="s">
        <v>2245</v>
      </c>
      <c r="O558" s="70"/>
      <c r="P558" s="70"/>
      <c r="Q558" s="70"/>
      <c r="R558" s="70"/>
      <c r="S558" s="70" t="s">
        <v>2245</v>
      </c>
      <c r="T558" s="70" t="s">
        <v>2245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574</v>
      </c>
      <c r="B559" t="s">
        <v>1042</v>
      </c>
      <c r="C559" t="s">
        <v>1056</v>
      </c>
      <c r="D559" t="s">
        <v>576</v>
      </c>
      <c r="E559" s="30" t="s">
        <v>14</v>
      </c>
      <c r="F559" s="30" t="s">
        <v>27</v>
      </c>
      <c r="G559" s="30"/>
      <c r="H559" s="30" t="s">
        <v>876</v>
      </c>
      <c r="I559" s="30"/>
      <c r="J559" s="31">
        <f t="shared" si="26"/>
        <v>28</v>
      </c>
      <c r="K559" s="146" t="s">
        <v>2078</v>
      </c>
      <c r="L559" s="31">
        <f t="shared" si="27"/>
        <v>0</v>
      </c>
      <c r="M559" s="32">
        <f t="shared" si="28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577</v>
      </c>
      <c r="C560" t="s">
        <v>1056</v>
      </c>
      <c r="D560" t="s">
        <v>578</v>
      </c>
      <c r="E560" s="30" t="s">
        <v>72</v>
      </c>
      <c r="F560" s="85" t="s">
        <v>1294</v>
      </c>
      <c r="G560" s="30"/>
      <c r="H560" s="30" t="s">
        <v>877</v>
      </c>
      <c r="I560" s="30"/>
      <c r="J560" s="31">
        <f t="shared" si="26"/>
        <v>25</v>
      </c>
      <c r="K560" s="146" t="s">
        <v>2158</v>
      </c>
      <c r="L560" s="31">
        <f t="shared" si="27"/>
        <v>3</v>
      </c>
      <c r="M560" s="32">
        <f t="shared" si="28"/>
        <v>0.8928571428571429</v>
      </c>
      <c r="N560" s="70" t="s">
        <v>2245</v>
      </c>
      <c r="O560" s="70"/>
      <c r="P560" s="70"/>
      <c r="Q560" s="70"/>
      <c r="R560" s="70"/>
      <c r="S560" s="70" t="s">
        <v>2245</v>
      </c>
      <c r="T560" s="70" t="s">
        <v>2245</v>
      </c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574</v>
      </c>
      <c r="B561" t="s">
        <v>579</v>
      </c>
      <c r="C561" t="s">
        <v>1056</v>
      </c>
      <c r="D561" t="s">
        <v>580</v>
      </c>
      <c r="E561" s="30" t="s">
        <v>14</v>
      </c>
      <c r="F561" s="30" t="s">
        <v>27</v>
      </c>
      <c r="G561" s="30"/>
      <c r="H561" s="30" t="s">
        <v>878</v>
      </c>
      <c r="I561" s="30"/>
      <c r="J561" s="31">
        <f t="shared" si="26"/>
        <v>28</v>
      </c>
      <c r="K561" s="146" t="s">
        <v>2079</v>
      </c>
      <c r="L561" s="31">
        <f t="shared" si="27"/>
        <v>0</v>
      </c>
      <c r="M561" s="32">
        <f t="shared" si="28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thickBot="1" x14ac:dyDescent="0.3">
      <c r="A562" s="73" t="s">
        <v>574</v>
      </c>
      <c r="B562" s="73" t="s">
        <v>581</v>
      </c>
      <c r="C562" s="73" t="s">
        <v>1056</v>
      </c>
      <c r="D562" s="73" t="s">
        <v>582</v>
      </c>
      <c r="E562" s="85" t="s">
        <v>14</v>
      </c>
      <c r="F562" s="85" t="s">
        <v>1294</v>
      </c>
      <c r="G562" s="85"/>
      <c r="H562" s="85" t="s">
        <v>879</v>
      </c>
      <c r="I562" s="85"/>
      <c r="J562" s="141">
        <f t="shared" si="26"/>
        <v>28</v>
      </c>
      <c r="K562" s="146" t="s">
        <v>2080</v>
      </c>
      <c r="L562" s="141">
        <f t="shared" si="27"/>
        <v>0</v>
      </c>
      <c r="M562" s="142">
        <f t="shared" si="28"/>
        <v>1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2117</v>
      </c>
      <c r="B563" s="73" t="s">
        <v>2115</v>
      </c>
      <c r="C563" t="s">
        <v>1055</v>
      </c>
      <c r="D563" s="73" t="s">
        <v>2116</v>
      </c>
      <c r="E563" s="85" t="s">
        <v>14</v>
      </c>
      <c r="F563" s="85" t="s">
        <v>1294</v>
      </c>
      <c r="G563" s="85"/>
      <c r="H563" s="85" t="s">
        <v>2321</v>
      </c>
      <c r="I563" s="85"/>
      <c r="J563" s="141">
        <f t="shared" si="26"/>
        <v>28</v>
      </c>
      <c r="K563" s="146" t="s">
        <v>2118</v>
      </c>
      <c r="L563" s="141">
        <f t="shared" si="27"/>
        <v>0</v>
      </c>
      <c r="M563" s="142">
        <f t="shared" si="28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174</v>
      </c>
      <c r="B564" t="s">
        <v>583</v>
      </c>
      <c r="C564" t="s">
        <v>1056</v>
      </c>
      <c r="D564" t="s">
        <v>1085</v>
      </c>
      <c r="E564" s="30" t="s">
        <v>18</v>
      </c>
      <c r="F564" s="30" t="s">
        <v>19</v>
      </c>
      <c r="G564" s="30"/>
      <c r="H564" s="30" t="s">
        <v>1389</v>
      </c>
      <c r="I564" s="30"/>
      <c r="J564" s="31">
        <f t="shared" si="26"/>
        <v>28</v>
      </c>
      <c r="K564" s="146" t="s">
        <v>2159</v>
      </c>
      <c r="L564" s="31">
        <f t="shared" si="27"/>
        <v>0</v>
      </c>
      <c r="M564" s="32">
        <f t="shared" si="28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174</v>
      </c>
      <c r="B565" t="s">
        <v>1043</v>
      </c>
      <c r="C565" t="s">
        <v>1056</v>
      </c>
      <c r="D565" t="s">
        <v>1086</v>
      </c>
      <c r="E565" s="30" t="s">
        <v>72</v>
      </c>
      <c r="F565" s="30" t="s">
        <v>27</v>
      </c>
      <c r="G565" s="30"/>
      <c r="H565" s="30" t="s">
        <v>880</v>
      </c>
      <c r="I565" s="30"/>
      <c r="J565" s="31">
        <f t="shared" si="26"/>
        <v>27</v>
      </c>
      <c r="K565" s="146" t="s">
        <v>2081</v>
      </c>
      <c r="L565" s="31">
        <f t="shared" si="27"/>
        <v>1</v>
      </c>
      <c r="M565" s="32">
        <f t="shared" si="28"/>
        <v>0.9642857142857143</v>
      </c>
      <c r="N565" s="70" t="s">
        <v>2245</v>
      </c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174</v>
      </c>
      <c r="B566" t="s">
        <v>1044</v>
      </c>
      <c r="C566" t="s">
        <v>1056</v>
      </c>
      <c r="D566" t="s">
        <v>1086</v>
      </c>
      <c r="E566" s="30" t="s">
        <v>72</v>
      </c>
      <c r="F566" s="30" t="s">
        <v>27</v>
      </c>
      <c r="G566" s="30"/>
      <c r="H566" s="30" t="s">
        <v>881</v>
      </c>
      <c r="I566" s="30"/>
      <c r="J566" s="31">
        <f t="shared" si="26"/>
        <v>27</v>
      </c>
      <c r="K566" s="146" t="s">
        <v>2082</v>
      </c>
      <c r="L566" s="31">
        <f t="shared" si="27"/>
        <v>1</v>
      </c>
      <c r="M566" s="32">
        <f t="shared" si="28"/>
        <v>0.9642857142857143</v>
      </c>
      <c r="N566" s="70" t="s">
        <v>2245</v>
      </c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174</v>
      </c>
      <c r="B567" t="s">
        <v>1045</v>
      </c>
      <c r="C567" t="s">
        <v>1056</v>
      </c>
      <c r="D567" t="s">
        <v>1100</v>
      </c>
      <c r="E567" s="30" t="s">
        <v>14</v>
      </c>
      <c r="F567" s="30" t="s">
        <v>27</v>
      </c>
      <c r="G567" s="30"/>
      <c r="H567" s="30" t="s">
        <v>882</v>
      </c>
      <c r="I567" s="30"/>
      <c r="J567" s="31">
        <f t="shared" si="26"/>
        <v>27</v>
      </c>
      <c r="K567" s="146" t="s">
        <v>2083</v>
      </c>
      <c r="L567" s="31">
        <f t="shared" si="27"/>
        <v>1</v>
      </c>
      <c r="M567" s="32">
        <f t="shared" si="28"/>
        <v>0.9642857142857143</v>
      </c>
      <c r="N567" s="70" t="s">
        <v>2245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174</v>
      </c>
      <c r="B568" t="s">
        <v>584</v>
      </c>
      <c r="C568" t="s">
        <v>1056</v>
      </c>
      <c r="D568" t="s">
        <v>1087</v>
      </c>
      <c r="E568" s="30" t="s">
        <v>14</v>
      </c>
      <c r="F568" s="30" t="s">
        <v>27</v>
      </c>
      <c r="G568" s="30"/>
      <c r="H568" s="30" t="s">
        <v>1213</v>
      </c>
      <c r="I568" s="30"/>
      <c r="J568" s="31">
        <f t="shared" si="26"/>
        <v>26</v>
      </c>
      <c r="K568" s="146" t="s">
        <v>2084</v>
      </c>
      <c r="L568" s="31">
        <f t="shared" si="27"/>
        <v>2</v>
      </c>
      <c r="M568" s="32">
        <f t="shared" si="28"/>
        <v>0.9285714285714286</v>
      </c>
      <c r="N568" s="70"/>
      <c r="O568" s="70"/>
      <c r="P568" s="70"/>
      <c r="Q568" s="70"/>
      <c r="R568" s="70"/>
      <c r="S568" s="70" t="s">
        <v>2245</v>
      </c>
      <c r="T568" s="70" t="s">
        <v>2245</v>
      </c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585</v>
      </c>
      <c r="B569" t="s">
        <v>586</v>
      </c>
      <c r="C569" t="s">
        <v>1056</v>
      </c>
      <c r="D569" t="s">
        <v>587</v>
      </c>
      <c r="E569" s="30" t="s">
        <v>72</v>
      </c>
      <c r="F569" s="30" t="s">
        <v>27</v>
      </c>
      <c r="G569" s="30"/>
      <c r="H569" s="30" t="s">
        <v>883</v>
      </c>
      <c r="I569" s="30"/>
      <c r="J569" s="31">
        <f t="shared" si="26"/>
        <v>27</v>
      </c>
      <c r="K569" s="146" t="s">
        <v>2085</v>
      </c>
      <c r="L569" s="31">
        <f t="shared" si="27"/>
        <v>1</v>
      </c>
      <c r="M569" s="32">
        <f t="shared" si="28"/>
        <v>0.9642857142857143</v>
      </c>
      <c r="N569" s="70" t="s">
        <v>2245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585</v>
      </c>
      <c r="B570" t="s">
        <v>1046</v>
      </c>
      <c r="C570" t="s">
        <v>1056</v>
      </c>
      <c r="D570" t="s">
        <v>587</v>
      </c>
      <c r="E570" s="30" t="s">
        <v>72</v>
      </c>
      <c r="F570" s="30" t="s">
        <v>27</v>
      </c>
      <c r="G570" s="30"/>
      <c r="H570" s="30" t="s">
        <v>884</v>
      </c>
      <c r="I570" s="30"/>
      <c r="J570" s="31">
        <f t="shared" si="26"/>
        <v>27</v>
      </c>
      <c r="K570" s="146" t="s">
        <v>2086</v>
      </c>
      <c r="L570" s="31">
        <f t="shared" si="27"/>
        <v>1</v>
      </c>
      <c r="M570" s="32">
        <f t="shared" si="28"/>
        <v>0.9642857142857143</v>
      </c>
      <c r="N570" s="70" t="s">
        <v>2245</v>
      </c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585</v>
      </c>
      <c r="B571" t="s">
        <v>1047</v>
      </c>
      <c r="C571" t="s">
        <v>1056</v>
      </c>
      <c r="D571" t="s">
        <v>588</v>
      </c>
      <c r="E571" s="30" t="s">
        <v>72</v>
      </c>
      <c r="F571" s="30" t="s">
        <v>27</v>
      </c>
      <c r="G571" s="30"/>
      <c r="H571" s="30" t="s">
        <v>885</v>
      </c>
      <c r="I571" s="30"/>
      <c r="J571" s="31">
        <f t="shared" si="26"/>
        <v>27</v>
      </c>
      <c r="K571" s="146" t="s">
        <v>2087</v>
      </c>
      <c r="L571" s="31">
        <f t="shared" si="27"/>
        <v>1</v>
      </c>
      <c r="M571" s="32">
        <f t="shared" si="28"/>
        <v>0.9642857142857143</v>
      </c>
      <c r="N571" s="70" t="s">
        <v>2245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585</v>
      </c>
      <c r="B572" t="s">
        <v>589</v>
      </c>
      <c r="C572" t="s">
        <v>1056</v>
      </c>
      <c r="D572" t="s">
        <v>588</v>
      </c>
      <c r="E572" s="30" t="s">
        <v>72</v>
      </c>
      <c r="F572" s="30" t="s">
        <v>27</v>
      </c>
      <c r="G572" s="30"/>
      <c r="H572" s="30" t="s">
        <v>886</v>
      </c>
      <c r="I572" s="30"/>
      <c r="J572" s="31">
        <f t="shared" si="26"/>
        <v>27</v>
      </c>
      <c r="K572" s="146" t="s">
        <v>2088</v>
      </c>
      <c r="L572" s="31">
        <f t="shared" si="27"/>
        <v>1</v>
      </c>
      <c r="M572" s="32">
        <f t="shared" si="28"/>
        <v>0.9642857142857143</v>
      </c>
      <c r="N572" s="70" t="s">
        <v>2245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590</v>
      </c>
      <c r="B573" s="73" t="s">
        <v>591</v>
      </c>
      <c r="C573" s="73" t="s">
        <v>1056</v>
      </c>
      <c r="D573" s="73" t="s">
        <v>592</v>
      </c>
      <c r="E573" s="85" t="s">
        <v>14</v>
      </c>
      <c r="F573" s="85" t="s">
        <v>1294</v>
      </c>
      <c r="G573" s="85"/>
      <c r="H573" s="85" t="s">
        <v>887</v>
      </c>
      <c r="I573" s="85"/>
      <c r="J573" s="141">
        <f t="shared" si="26"/>
        <v>28</v>
      </c>
      <c r="K573" s="146" t="s">
        <v>2174</v>
      </c>
      <c r="L573" s="141">
        <f t="shared" si="27"/>
        <v>0</v>
      </c>
      <c r="M573" s="142">
        <f t="shared" si="28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590</v>
      </c>
      <c r="B574" s="73" t="s">
        <v>2224</v>
      </c>
      <c r="C574" s="73" t="s">
        <v>1056</v>
      </c>
      <c r="D574" s="73" t="s">
        <v>2225</v>
      </c>
      <c r="E574" s="85" t="s">
        <v>14</v>
      </c>
      <c r="F574" s="85" t="s">
        <v>1294</v>
      </c>
      <c r="G574" s="85"/>
      <c r="H574" s="85" t="s">
        <v>2226</v>
      </c>
      <c r="I574" s="85"/>
      <c r="J574" s="141">
        <f t="shared" si="26"/>
        <v>28</v>
      </c>
      <c r="K574" s="146" t="s">
        <v>2227</v>
      </c>
      <c r="L574" s="141">
        <f t="shared" si="27"/>
        <v>0</v>
      </c>
      <c r="M574" s="142">
        <f t="shared" si="28"/>
        <v>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590</v>
      </c>
      <c r="B575" s="73" t="s">
        <v>2237</v>
      </c>
      <c r="C575" s="73" t="s">
        <v>1056</v>
      </c>
      <c r="D575" s="73" t="s">
        <v>2238</v>
      </c>
      <c r="E575" s="85" t="s">
        <v>14</v>
      </c>
      <c r="F575" s="85"/>
      <c r="G575" s="85"/>
      <c r="H575" s="85" t="s">
        <v>2322</v>
      </c>
      <c r="I575" s="85"/>
      <c r="J575" s="141">
        <f t="shared" si="26"/>
        <v>28</v>
      </c>
      <c r="K575" s="146"/>
      <c r="L575" s="141">
        <f t="shared" si="27"/>
        <v>0</v>
      </c>
      <c r="M575" s="142">
        <f t="shared" si="28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customHeight="1" thickBot="1" x14ac:dyDescent="0.3">
      <c r="A576" t="s">
        <v>593</v>
      </c>
      <c r="B576" t="s">
        <v>1048</v>
      </c>
      <c r="C576" t="s">
        <v>1056</v>
      </c>
      <c r="D576" t="s">
        <v>594</v>
      </c>
      <c r="E576" s="30" t="s">
        <v>14</v>
      </c>
      <c r="F576" s="30" t="s">
        <v>19</v>
      </c>
      <c r="G576" s="30"/>
      <c r="H576" s="30" t="s">
        <v>888</v>
      </c>
      <c r="I576" s="30"/>
      <c r="J576" s="31">
        <f t="shared" si="26"/>
        <v>28</v>
      </c>
      <c r="K576" s="146" t="s">
        <v>2175</v>
      </c>
      <c r="L576" s="31">
        <f t="shared" si="27"/>
        <v>0</v>
      </c>
      <c r="M576" s="32">
        <f t="shared" si="28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593</v>
      </c>
      <c r="B577" t="s">
        <v>595</v>
      </c>
      <c r="C577" t="s">
        <v>1056</v>
      </c>
      <c r="D577" t="s">
        <v>596</v>
      </c>
      <c r="E577" s="30" t="s">
        <v>14</v>
      </c>
      <c r="F577" s="30" t="s">
        <v>19</v>
      </c>
      <c r="G577" s="30"/>
      <c r="H577" s="30" t="s">
        <v>889</v>
      </c>
      <c r="I577" s="30"/>
      <c r="J577" s="31">
        <f t="shared" si="26"/>
        <v>25</v>
      </c>
      <c r="K577" s="146" t="s">
        <v>2176</v>
      </c>
      <c r="L577" s="31">
        <f t="shared" si="27"/>
        <v>3</v>
      </c>
      <c r="M577" s="32">
        <f t="shared" si="28"/>
        <v>0.8928571428571429</v>
      </c>
      <c r="N577" s="70" t="s">
        <v>2245</v>
      </c>
      <c r="O577" s="70"/>
      <c r="P577" s="70"/>
      <c r="Q577" s="70"/>
      <c r="R577" s="70"/>
      <c r="S577" s="70" t="s">
        <v>2245</v>
      </c>
      <c r="T577" s="70" t="s">
        <v>2245</v>
      </c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593</v>
      </c>
      <c r="B578" t="s">
        <v>597</v>
      </c>
      <c r="C578" t="s">
        <v>1056</v>
      </c>
      <c r="D578" t="s">
        <v>598</v>
      </c>
      <c r="E578" s="30" t="s">
        <v>14</v>
      </c>
      <c r="F578" s="30" t="s">
        <v>19</v>
      </c>
      <c r="G578" s="30"/>
      <c r="H578" s="30" t="s">
        <v>890</v>
      </c>
      <c r="I578" s="30"/>
      <c r="J578" s="31">
        <f t="shared" si="26"/>
        <v>28</v>
      </c>
      <c r="K578" s="146" t="s">
        <v>2177</v>
      </c>
      <c r="L578" s="31">
        <f t="shared" si="27"/>
        <v>0</v>
      </c>
      <c r="M578" s="32">
        <f t="shared" si="28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593</v>
      </c>
      <c r="B579" s="30" t="s">
        <v>1108</v>
      </c>
      <c r="C579" s="30" t="s">
        <v>1056</v>
      </c>
      <c r="D579" t="s">
        <v>1110</v>
      </c>
      <c r="E579" s="30" t="s">
        <v>1107</v>
      </c>
      <c r="F579" s="30" t="s">
        <v>27</v>
      </c>
      <c r="G579" s="30"/>
      <c r="H579" s="30" t="s">
        <v>1115</v>
      </c>
      <c r="I579" s="30"/>
      <c r="J579" s="31">
        <f t="shared" si="26"/>
        <v>28</v>
      </c>
      <c r="K579" s="146" t="s">
        <v>2090</v>
      </c>
      <c r="L579" s="31">
        <f t="shared" si="27"/>
        <v>0</v>
      </c>
      <c r="M579" s="32">
        <f t="shared" si="28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593</v>
      </c>
      <c r="B580" s="30" t="s">
        <v>1109</v>
      </c>
      <c r="C580" s="30" t="s">
        <v>1056</v>
      </c>
      <c r="D580" t="s">
        <v>1110</v>
      </c>
      <c r="E580" s="30" t="s">
        <v>1107</v>
      </c>
      <c r="F580" s="30" t="s">
        <v>27</v>
      </c>
      <c r="G580" s="30"/>
      <c r="H580" s="30" t="s">
        <v>1116</v>
      </c>
      <c r="I580" s="30"/>
      <c r="J580" s="31">
        <f t="shared" si="26"/>
        <v>28</v>
      </c>
      <c r="K580" s="146" t="s">
        <v>2089</v>
      </c>
      <c r="L580" s="31">
        <f t="shared" si="27"/>
        <v>0</v>
      </c>
      <c r="M580" s="32">
        <f t="shared" si="28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593</v>
      </c>
      <c r="B581" s="30" t="s">
        <v>1194</v>
      </c>
      <c r="C581" s="30" t="s">
        <v>1056</v>
      </c>
      <c r="D581" t="s">
        <v>1195</v>
      </c>
      <c r="E581" s="30" t="s">
        <v>14</v>
      </c>
      <c r="F581" s="30" t="s">
        <v>27</v>
      </c>
      <c r="G581" s="30"/>
      <c r="H581" s="30" t="s">
        <v>1196</v>
      </c>
      <c r="I581" s="30"/>
      <c r="J581" s="31">
        <f t="shared" si="26"/>
        <v>28</v>
      </c>
      <c r="K581" s="146" t="s">
        <v>2091</v>
      </c>
      <c r="L581" s="31">
        <f t="shared" si="27"/>
        <v>0</v>
      </c>
      <c r="M581" s="32">
        <f t="shared" si="28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388</v>
      </c>
      <c r="B582" s="30" t="s">
        <v>2153</v>
      </c>
      <c r="C582" s="73" t="s">
        <v>1055</v>
      </c>
      <c r="D582" t="s">
        <v>2154</v>
      </c>
      <c r="E582" s="85" t="s">
        <v>45</v>
      </c>
      <c r="F582" s="30" t="s">
        <v>27</v>
      </c>
      <c r="G582" s="30"/>
      <c r="H582" s="30" t="s">
        <v>2155</v>
      </c>
      <c r="I582" s="30" t="s">
        <v>2290</v>
      </c>
      <c r="J582" s="31">
        <f t="shared" si="26"/>
        <v>28</v>
      </c>
      <c r="K582" s="146" t="s">
        <v>2156</v>
      </c>
      <c r="L582" s="31">
        <f t="shared" si="27"/>
        <v>0</v>
      </c>
      <c r="M582" s="32">
        <f t="shared" si="28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thickBot="1" x14ac:dyDescent="0.3">
      <c r="A583" s="73" t="s">
        <v>601</v>
      </c>
      <c r="B583" s="73" t="s">
        <v>602</v>
      </c>
      <c r="C583" s="73" t="s">
        <v>1056</v>
      </c>
      <c r="D583" s="73" t="s">
        <v>603</v>
      </c>
      <c r="E583" s="85" t="s">
        <v>18</v>
      </c>
      <c r="F583" s="85" t="s">
        <v>1294</v>
      </c>
      <c r="G583" s="85"/>
      <c r="H583" s="85" t="s">
        <v>1362</v>
      </c>
      <c r="I583" s="85"/>
      <c r="J583" s="141">
        <f t="shared" si="26"/>
        <v>28</v>
      </c>
      <c r="K583" s="146" t="s">
        <v>2092</v>
      </c>
      <c r="L583" s="141">
        <f t="shared" si="27"/>
        <v>0</v>
      </c>
      <c r="M583" s="142">
        <f t="shared" si="28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thickBot="1" x14ac:dyDescent="0.3">
      <c r="A584" s="73" t="s">
        <v>309</v>
      </c>
      <c r="B584" s="73" t="s">
        <v>604</v>
      </c>
      <c r="C584" s="73" t="s">
        <v>1056</v>
      </c>
      <c r="D584" s="73" t="s">
        <v>605</v>
      </c>
      <c r="E584" s="85" t="s">
        <v>18</v>
      </c>
      <c r="F584" s="85" t="s">
        <v>1294</v>
      </c>
      <c r="G584" s="85"/>
      <c r="H584" s="85" t="s">
        <v>1359</v>
      </c>
      <c r="I584" s="85"/>
      <c r="J584" s="141">
        <f t="shared" si="26"/>
        <v>28</v>
      </c>
      <c r="K584" s="146" t="s">
        <v>2093</v>
      </c>
      <c r="L584" s="141">
        <f t="shared" si="27"/>
        <v>0</v>
      </c>
      <c r="M584" s="142">
        <f t="shared" si="28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601</v>
      </c>
      <c r="B585" s="73" t="s">
        <v>606</v>
      </c>
      <c r="C585" s="73" t="s">
        <v>1055</v>
      </c>
      <c r="D585" s="73" t="s">
        <v>607</v>
      </c>
      <c r="E585" s="85" t="s">
        <v>14</v>
      </c>
      <c r="F585" s="85" t="s">
        <v>1294</v>
      </c>
      <c r="G585" s="85"/>
      <c r="H585" s="85" t="s">
        <v>1494</v>
      </c>
      <c r="I585" s="85"/>
      <c r="J585" s="141">
        <f t="shared" si="26"/>
        <v>28</v>
      </c>
      <c r="K585" s="146" t="s">
        <v>2094</v>
      </c>
      <c r="L585" s="141">
        <f t="shared" si="27"/>
        <v>0</v>
      </c>
      <c r="M585" s="142">
        <f t="shared" si="28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601</v>
      </c>
      <c r="B586" s="73" t="s">
        <v>599</v>
      </c>
      <c r="C586" s="73" t="s">
        <v>1055</v>
      </c>
      <c r="D586" s="73" t="s">
        <v>600</v>
      </c>
      <c r="E586" s="85" t="s">
        <v>18</v>
      </c>
      <c r="F586" s="85" t="s">
        <v>1294</v>
      </c>
      <c r="G586" s="85"/>
      <c r="H586" s="85" t="s">
        <v>1420</v>
      </c>
      <c r="I586" s="85"/>
      <c r="J586" s="141">
        <f t="shared" si="26"/>
        <v>25</v>
      </c>
      <c r="K586" s="146" t="s">
        <v>2095</v>
      </c>
      <c r="L586" s="141">
        <f t="shared" si="27"/>
        <v>3</v>
      </c>
      <c r="M586" s="142">
        <f t="shared" si="28"/>
        <v>0.8928571428571429</v>
      </c>
      <c r="N586" s="70" t="s">
        <v>2245</v>
      </c>
      <c r="O586" s="70"/>
      <c r="P586" s="70"/>
      <c r="Q586" s="70"/>
      <c r="R586" s="70"/>
      <c r="S586" s="70" t="s">
        <v>2245</v>
      </c>
      <c r="T586" s="70" t="s">
        <v>2245</v>
      </c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601</v>
      </c>
      <c r="B587" s="73" t="s">
        <v>1434</v>
      </c>
      <c r="C587" s="73" t="s">
        <v>1055</v>
      </c>
      <c r="D587" s="73" t="s">
        <v>1435</v>
      </c>
      <c r="E587" s="85" t="s">
        <v>45</v>
      </c>
      <c r="F587" s="85" t="s">
        <v>1294</v>
      </c>
      <c r="G587" s="85"/>
      <c r="H587" s="85" t="s">
        <v>1440</v>
      </c>
      <c r="I587" s="85"/>
      <c r="J587" s="141">
        <f t="shared" si="26"/>
        <v>28</v>
      </c>
      <c r="K587" s="146" t="s">
        <v>2096</v>
      </c>
      <c r="L587" s="141">
        <f t="shared" si="27"/>
        <v>0</v>
      </c>
      <c r="M587" s="142">
        <f t="shared" si="28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601</v>
      </c>
      <c r="B588" s="73" t="s">
        <v>1437</v>
      </c>
      <c r="C588" s="73" t="s">
        <v>1055</v>
      </c>
      <c r="D588" s="73" t="s">
        <v>1436</v>
      </c>
      <c r="E588" s="85" t="s">
        <v>72</v>
      </c>
      <c r="F588" s="85" t="s">
        <v>1294</v>
      </c>
      <c r="G588" s="85"/>
      <c r="H588" s="85" t="s">
        <v>1441</v>
      </c>
      <c r="I588" s="85"/>
      <c r="J588" s="141">
        <f t="shared" si="26"/>
        <v>28</v>
      </c>
      <c r="K588" s="146" t="s">
        <v>2097</v>
      </c>
      <c r="L588" s="141">
        <f t="shared" si="27"/>
        <v>0</v>
      </c>
      <c r="M588" s="142">
        <f t="shared" si="28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601</v>
      </c>
      <c r="B589" s="73" t="s">
        <v>1438</v>
      </c>
      <c r="C589" s="73" t="s">
        <v>1055</v>
      </c>
      <c r="D589" s="73" t="s">
        <v>1439</v>
      </c>
      <c r="E589" s="85" t="s">
        <v>72</v>
      </c>
      <c r="F589" s="85" t="s">
        <v>1294</v>
      </c>
      <c r="G589" s="85"/>
      <c r="H589" s="85" t="s">
        <v>1442</v>
      </c>
      <c r="I589" s="85"/>
      <c r="J589" s="141">
        <f t="shared" si="26"/>
        <v>28</v>
      </c>
      <c r="K589" s="146" t="s">
        <v>2098</v>
      </c>
      <c r="L589" s="141">
        <f t="shared" si="27"/>
        <v>0</v>
      </c>
      <c r="M589" s="142">
        <f t="shared" si="28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601</v>
      </c>
      <c r="B590" s="73" t="s">
        <v>2099</v>
      </c>
      <c r="C590" s="73" t="s">
        <v>1055</v>
      </c>
      <c r="D590" s="73" t="s">
        <v>2100</v>
      </c>
      <c r="E590" s="85" t="s">
        <v>14</v>
      </c>
      <c r="F590" s="85" t="s">
        <v>1294</v>
      </c>
      <c r="G590" s="85"/>
      <c r="H590" s="85" t="s">
        <v>2323</v>
      </c>
      <c r="I590" s="85"/>
      <c r="J590" s="141">
        <f t="shared" si="26"/>
        <v>28</v>
      </c>
      <c r="K590" s="146" t="s">
        <v>2101</v>
      </c>
      <c r="L590" s="141">
        <f t="shared" si="27"/>
        <v>0</v>
      </c>
      <c r="M590" s="142">
        <f t="shared" si="28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customHeight="1" thickBot="1" x14ac:dyDescent="0.3">
      <c r="A591" s="73" t="s">
        <v>601</v>
      </c>
      <c r="B591" s="73" t="s">
        <v>2250</v>
      </c>
      <c r="C591" s="73" t="s">
        <v>1055</v>
      </c>
      <c r="D591" s="73" t="s">
        <v>2251</v>
      </c>
      <c r="E591" s="85" t="s">
        <v>14</v>
      </c>
      <c r="F591" s="85" t="s">
        <v>1294</v>
      </c>
      <c r="G591" s="85"/>
      <c r="H591" s="85" t="s">
        <v>2252</v>
      </c>
      <c r="I591" s="85"/>
      <c r="J591" s="141">
        <f t="shared" si="26"/>
        <v>28</v>
      </c>
      <c r="K591" s="146" t="s">
        <v>2253</v>
      </c>
      <c r="L591" s="141">
        <f t="shared" si="27"/>
        <v>0</v>
      </c>
      <c r="M591" s="142">
        <f t="shared" si="28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592" spans="1:43" x14ac:dyDescent="0.25">
      <c r="K592" s="146"/>
    </row>
    <row r="593" spans="11:14" x14ac:dyDescent="0.25">
      <c r="K593" s="146"/>
    </row>
    <row r="594" spans="11:14" x14ac:dyDescent="0.25">
      <c r="K594" s="146"/>
    </row>
    <row r="595" spans="11:14" x14ac:dyDescent="0.25">
      <c r="K595" s="146"/>
    </row>
    <row r="596" spans="11:14" x14ac:dyDescent="0.25">
      <c r="K596" s="146"/>
      <c r="N596"/>
    </row>
    <row r="597" spans="11:14" x14ac:dyDescent="0.25">
      <c r="K597" s="146"/>
    </row>
    <row r="598" spans="11:14" x14ac:dyDescent="0.25">
      <c r="K598" s="146"/>
    </row>
    <row r="599" spans="11:14" x14ac:dyDescent="0.25">
      <c r="K599" s="146"/>
    </row>
    <row r="600" spans="11:14" x14ac:dyDescent="0.25">
      <c r="K600" s="146"/>
    </row>
    <row r="601" spans="11:14" x14ac:dyDescent="0.25">
      <c r="K601" s="146"/>
    </row>
    <row r="602" spans="11:14" x14ac:dyDescent="0.25">
      <c r="K602" s="146"/>
    </row>
    <row r="603" spans="11:14" x14ac:dyDescent="0.25">
      <c r="K603" s="146"/>
    </row>
    <row r="604" spans="11:14" x14ac:dyDescent="0.25">
      <c r="K604" s="146"/>
    </row>
    <row r="605" spans="11:14" x14ac:dyDescent="0.25">
      <c r="K605" s="146"/>
    </row>
    <row r="606" spans="11:14" x14ac:dyDescent="0.25">
      <c r="K606" s="146"/>
    </row>
    <row r="607" spans="11:14" x14ac:dyDescent="0.25">
      <c r="K607" s="146"/>
    </row>
    <row r="608" spans="11:14" x14ac:dyDescent="0.25">
      <c r="K608" s="146"/>
    </row>
    <row r="609" spans="11:11" x14ac:dyDescent="0.25">
      <c r="K609" s="146"/>
    </row>
    <row r="610" spans="11:11" x14ac:dyDescent="0.25">
      <c r="K610" s="146"/>
    </row>
    <row r="611" spans="11:11" x14ac:dyDescent="0.25">
      <c r="K611" s="146"/>
    </row>
    <row r="612" spans="11:11" x14ac:dyDescent="0.25">
      <c r="K612" s="146"/>
    </row>
    <row r="613" spans="11:11" x14ac:dyDescent="0.25">
      <c r="K613" s="146"/>
    </row>
    <row r="614" spans="11:11" x14ac:dyDescent="0.25">
      <c r="K614" s="146"/>
    </row>
    <row r="615" spans="11:11" x14ac:dyDescent="0.25">
      <c r="K615" s="146"/>
    </row>
    <row r="616" spans="11:11" x14ac:dyDescent="0.25">
      <c r="K616" s="146"/>
    </row>
    <row r="617" spans="11:11" x14ac:dyDescent="0.25">
      <c r="K617" s="146"/>
    </row>
    <row r="618" spans="11:11" x14ac:dyDescent="0.25">
      <c r="K618" s="146"/>
    </row>
    <row r="619" spans="11:11" x14ac:dyDescent="0.25">
      <c r="K619" s="146"/>
    </row>
    <row r="620" spans="11:11" x14ac:dyDescent="0.25">
      <c r="K620" s="146"/>
    </row>
    <row r="621" spans="11:11" x14ac:dyDescent="0.25">
      <c r="K621" s="146"/>
    </row>
    <row r="622" spans="11:11" x14ac:dyDescent="0.25">
      <c r="K622" s="146"/>
    </row>
    <row r="623" spans="11:11" x14ac:dyDescent="0.25">
      <c r="K623" s="146"/>
    </row>
    <row r="624" spans="11:11" x14ac:dyDescent="0.25">
      <c r="K624" s="146"/>
    </row>
    <row r="625" spans="11:11" x14ac:dyDescent="0.25">
      <c r="K625" s="146"/>
    </row>
    <row r="626" spans="11:11" x14ac:dyDescent="0.25">
      <c r="K626" s="146"/>
    </row>
    <row r="627" spans="11:11" x14ac:dyDescent="0.25">
      <c r="K627" s="146"/>
    </row>
    <row r="628" spans="11:11" x14ac:dyDescent="0.25">
      <c r="K628" s="146"/>
    </row>
    <row r="629" spans="11:11" x14ac:dyDescent="0.25">
      <c r="K629" s="146"/>
    </row>
    <row r="630" spans="11:11" x14ac:dyDescent="0.25">
      <c r="K630" s="146"/>
    </row>
    <row r="631" spans="11:11" x14ac:dyDescent="0.25">
      <c r="K631" s="146"/>
    </row>
    <row r="632" spans="11:11" x14ac:dyDescent="0.25">
      <c r="K632" s="146"/>
    </row>
    <row r="633" spans="11:11" x14ac:dyDescent="0.25">
      <c r="K633" s="146"/>
    </row>
    <row r="634" spans="11:11" x14ac:dyDescent="0.25">
      <c r="K634" s="146"/>
    </row>
    <row r="635" spans="11:11" x14ac:dyDescent="0.25">
      <c r="K635" s="146"/>
    </row>
    <row r="636" spans="11:11" x14ac:dyDescent="0.25">
      <c r="K636" s="146"/>
    </row>
    <row r="637" spans="11:11" x14ac:dyDescent="0.25">
      <c r="K637" s="146"/>
    </row>
    <row r="638" spans="11:11" x14ac:dyDescent="0.25">
      <c r="K638" s="146"/>
    </row>
    <row r="639" spans="11:11" x14ac:dyDescent="0.25">
      <c r="K639" s="146"/>
    </row>
    <row r="640" spans="11:11" x14ac:dyDescent="0.25">
      <c r="K640" s="146"/>
    </row>
    <row r="641" spans="11:11" x14ac:dyDescent="0.25">
      <c r="K641" s="146"/>
    </row>
    <row r="642" spans="11:11" x14ac:dyDescent="0.25">
      <c r="K642" s="146"/>
    </row>
    <row r="643" spans="11:11" x14ac:dyDescent="0.25">
      <c r="K643" s="146"/>
    </row>
    <row r="644" spans="11:11" x14ac:dyDescent="0.25">
      <c r="K644" s="146"/>
    </row>
    <row r="645" spans="11:11" x14ac:dyDescent="0.25">
      <c r="K645" s="146"/>
    </row>
    <row r="646" spans="11:11" x14ac:dyDescent="0.25">
      <c r="K646" s="146"/>
    </row>
    <row r="647" spans="11:11" x14ac:dyDescent="0.25">
      <c r="K647" s="146"/>
    </row>
    <row r="648" spans="11:11" x14ac:dyDescent="0.25">
      <c r="K648" s="146"/>
    </row>
    <row r="649" spans="11:11" x14ac:dyDescent="0.25">
      <c r="K649" s="146"/>
    </row>
    <row r="650" spans="11:11" x14ac:dyDescent="0.25">
      <c r="K650" s="146"/>
    </row>
    <row r="651" spans="11:11" x14ac:dyDescent="0.25">
      <c r="K651" s="146"/>
    </row>
    <row r="652" spans="11:11" x14ac:dyDescent="0.25">
      <c r="K652" s="146"/>
    </row>
    <row r="653" spans="11:11" x14ac:dyDescent="0.25">
      <c r="K653" s="146"/>
    </row>
    <row r="654" spans="11:11" x14ac:dyDescent="0.25">
      <c r="K654" s="146"/>
    </row>
    <row r="655" spans="11:11" x14ac:dyDescent="0.25">
      <c r="K655" s="146"/>
    </row>
    <row r="656" spans="11:11" x14ac:dyDescent="0.25">
      <c r="K656" s="146"/>
    </row>
    <row r="657" spans="11:43" x14ac:dyDescent="0.25">
      <c r="K657" s="146"/>
    </row>
    <row r="658" spans="11:43" x14ac:dyDescent="0.25">
      <c r="K658" s="146"/>
    </row>
    <row r="659" spans="11:43" x14ac:dyDescent="0.25">
      <c r="K659" s="146"/>
    </row>
    <row r="660" spans="11:43" x14ac:dyDescent="0.25">
      <c r="K660" s="146"/>
    </row>
    <row r="661" spans="11:43" x14ac:dyDescent="0.25">
      <c r="K661" s="146"/>
    </row>
    <row r="662" spans="11:43" x14ac:dyDescent="0.25">
      <c r="K662" s="146"/>
    </row>
    <row r="663" spans="11:43" x14ac:dyDescent="0.25">
      <c r="K663" s="146"/>
    </row>
    <row r="664" spans="11:43" x14ac:dyDescent="0.25">
      <c r="K664" s="146"/>
    </row>
    <row r="665" spans="11:43" x14ac:dyDescent="0.25">
      <c r="K665" s="146"/>
    </row>
    <row r="666" spans="11:43" x14ac:dyDescent="0.25">
      <c r="K666" s="146"/>
    </row>
    <row r="667" spans="11:43" x14ac:dyDescent="0.25">
      <c r="K667" s="146"/>
    </row>
    <row r="668" spans="11:43" x14ac:dyDescent="0.25">
      <c r="K668" s="146"/>
    </row>
    <row r="669" spans="11:43" x14ac:dyDescent="0.25">
      <c r="K669" s="146"/>
    </row>
    <row r="670" spans="11:43" x14ac:dyDescent="0.25">
      <c r="K670" s="146"/>
    </row>
    <row r="671" spans="11:43" x14ac:dyDescent="0.25">
      <c r="K671" s="146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1:43" x14ac:dyDescent="0.25">
      <c r="K672" s="146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I673" s="30"/>
      <c r="K673" s="146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I674" s="30"/>
      <c r="K674" s="146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I675" s="30"/>
      <c r="K675" s="146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46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46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46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46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46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46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46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46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46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46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46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46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46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46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46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46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46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46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46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46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46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46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46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46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46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46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46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46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46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46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46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46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46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46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46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46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46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46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46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46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46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46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46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46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46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46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46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46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46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46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46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46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46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46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46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46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46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46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46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46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46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46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46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46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46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46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46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46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46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46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46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46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46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46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46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I751" s="30"/>
      <c r="K751" s="146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I752" s="30"/>
      <c r="K752" s="146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46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46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46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46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46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46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46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46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46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46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46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46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46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46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46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46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46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46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46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46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46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46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46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46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46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46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46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46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46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46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46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46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46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46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46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46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46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46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46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46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46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46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46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46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46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46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46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46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46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46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46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46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46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46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46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46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46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46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46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46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46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46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46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46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46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46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46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46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46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46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46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46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46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46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46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46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46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46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46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46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46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46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46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46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3" x14ac:dyDescent="0.25">
      <c r="E837" s="30"/>
      <c r="F837" s="30"/>
      <c r="G837" s="30"/>
      <c r="H837" s="30"/>
      <c r="I837" s="30"/>
      <c r="K837" s="146"/>
      <c r="M837" s="13"/>
      <c r="P837" s="70"/>
    </row>
    <row r="838" spans="5:43" x14ac:dyDescent="0.25">
      <c r="E838" s="30"/>
      <c r="F838" s="30"/>
      <c r="G838" s="30"/>
      <c r="H838" s="30"/>
      <c r="I838" s="30"/>
      <c r="K838" s="146"/>
      <c r="M838" s="13"/>
      <c r="P838" s="70"/>
    </row>
    <row r="839" spans="5:43" x14ac:dyDescent="0.25">
      <c r="E839" s="30"/>
      <c r="F839" s="30"/>
      <c r="G839" s="30"/>
      <c r="H839" s="30"/>
      <c r="I839" s="30"/>
      <c r="K839" s="146"/>
      <c r="M839" s="13"/>
      <c r="P839" s="70"/>
    </row>
    <row r="840" spans="5:43" x14ac:dyDescent="0.25">
      <c r="K840" s="146"/>
      <c r="M840" s="13"/>
      <c r="P840" s="70"/>
    </row>
    <row r="841" spans="5:43" x14ac:dyDescent="0.25">
      <c r="K841" s="146"/>
      <c r="P841" s="70"/>
    </row>
    <row r="842" spans="5:43" x14ac:dyDescent="0.25">
      <c r="K842" s="146"/>
      <c r="P842" s="70"/>
    </row>
    <row r="843" spans="5:43" x14ac:dyDescent="0.25">
      <c r="K843" s="146"/>
      <c r="P843" s="70"/>
    </row>
    <row r="844" spans="5:43" x14ac:dyDescent="0.25">
      <c r="K844" s="146"/>
      <c r="P844" s="70"/>
    </row>
    <row r="845" spans="5:43" x14ac:dyDescent="0.25">
      <c r="K845" s="146"/>
      <c r="P845" s="70"/>
    </row>
    <row r="846" spans="5:43" x14ac:dyDescent="0.25">
      <c r="K846" s="146"/>
      <c r="P846" s="70"/>
    </row>
    <row r="847" spans="5:43" x14ac:dyDescent="0.25">
      <c r="K847" s="146"/>
      <c r="P847" s="70"/>
    </row>
    <row r="848" spans="5:43" x14ac:dyDescent="0.25">
      <c r="K848" s="146"/>
      <c r="P848" s="70"/>
    </row>
    <row r="849" spans="11:16" x14ac:dyDescent="0.25">
      <c r="K849" s="146"/>
      <c r="P849" s="70"/>
    </row>
    <row r="850" spans="11:16" x14ac:dyDescent="0.25">
      <c r="K850" s="146"/>
      <c r="P850" s="70"/>
    </row>
    <row r="851" spans="11:16" x14ac:dyDescent="0.25">
      <c r="K851" s="146"/>
      <c r="P851" s="70"/>
    </row>
    <row r="852" spans="11:16" x14ac:dyDescent="0.25">
      <c r="K852" s="146"/>
      <c r="P852" s="70"/>
    </row>
    <row r="853" spans="11:16" x14ac:dyDescent="0.25">
      <c r="K853" s="146"/>
      <c r="P853" s="70"/>
    </row>
    <row r="854" spans="11:16" x14ac:dyDescent="0.25">
      <c r="K854" s="146"/>
      <c r="P854" s="70"/>
    </row>
    <row r="855" spans="11:16" x14ac:dyDescent="0.25">
      <c r="K855" s="146"/>
      <c r="P855" s="70"/>
    </row>
    <row r="856" spans="11:16" x14ac:dyDescent="0.25">
      <c r="K856" s="146"/>
      <c r="P856" s="70"/>
    </row>
    <row r="857" spans="11:16" x14ac:dyDescent="0.25">
      <c r="K857" s="146"/>
      <c r="P857" s="70"/>
    </row>
    <row r="858" spans="11:16" x14ac:dyDescent="0.25">
      <c r="K858" s="146"/>
      <c r="P858" s="70"/>
    </row>
    <row r="859" spans="11:16" x14ac:dyDescent="0.25">
      <c r="K859" s="146"/>
      <c r="P859" s="70"/>
    </row>
    <row r="860" spans="11:16" x14ac:dyDescent="0.25">
      <c r="K860" s="146"/>
      <c r="P860" s="70"/>
    </row>
    <row r="861" spans="11:16" x14ac:dyDescent="0.25">
      <c r="K861" s="146"/>
      <c r="P861" s="70"/>
    </row>
    <row r="862" spans="11:16" x14ac:dyDescent="0.25">
      <c r="K862" s="146"/>
      <c r="P862" s="70"/>
    </row>
    <row r="863" spans="11:16" x14ac:dyDescent="0.25">
      <c r="K863" s="146"/>
      <c r="P863" s="70"/>
    </row>
    <row r="864" spans="11:16" x14ac:dyDescent="0.25">
      <c r="K864" s="146"/>
      <c r="P864" s="70"/>
    </row>
    <row r="865" spans="11:16" x14ac:dyDescent="0.25">
      <c r="K865" s="146"/>
      <c r="P865" s="70"/>
    </row>
    <row r="866" spans="11:16" x14ac:dyDescent="0.25">
      <c r="K866" s="146"/>
      <c r="P866" s="70"/>
    </row>
    <row r="867" spans="11:16" x14ac:dyDescent="0.25">
      <c r="K867" s="146"/>
      <c r="P867" s="70"/>
    </row>
    <row r="868" spans="11:16" x14ac:dyDescent="0.25">
      <c r="K868" s="146"/>
      <c r="P868" s="70"/>
    </row>
    <row r="869" spans="11:16" x14ac:dyDescent="0.25">
      <c r="K869" s="146"/>
      <c r="P869" s="70"/>
    </row>
    <row r="870" spans="11:16" x14ac:dyDescent="0.25">
      <c r="K870" s="146"/>
      <c r="P870" s="70"/>
    </row>
    <row r="871" spans="11:16" x14ac:dyDescent="0.25">
      <c r="K871" s="146"/>
      <c r="P871" s="70"/>
    </row>
    <row r="872" spans="11:16" x14ac:dyDescent="0.25">
      <c r="K872" s="146"/>
      <c r="P872" s="70"/>
    </row>
    <row r="873" spans="11:16" x14ac:dyDescent="0.25">
      <c r="K873" s="146"/>
      <c r="P873" s="70"/>
    </row>
    <row r="874" spans="11:16" x14ac:dyDescent="0.25">
      <c r="K874" s="146"/>
      <c r="P874" s="70"/>
    </row>
    <row r="875" spans="11:16" x14ac:dyDescent="0.25">
      <c r="K875" s="146"/>
      <c r="P875" s="70"/>
    </row>
    <row r="876" spans="11:16" x14ac:dyDescent="0.25">
      <c r="K876" s="146"/>
      <c r="P876" s="70"/>
    </row>
    <row r="877" spans="11:16" x14ac:dyDescent="0.25">
      <c r="K877" s="146"/>
      <c r="P877" s="70"/>
    </row>
    <row r="878" spans="11:16" x14ac:dyDescent="0.25">
      <c r="K878" s="146"/>
      <c r="P878" s="70"/>
    </row>
    <row r="879" spans="11:16" x14ac:dyDescent="0.25">
      <c r="K879" s="146"/>
      <c r="P879" s="70"/>
    </row>
    <row r="880" spans="11:16" x14ac:dyDescent="0.25">
      <c r="K880" s="146"/>
      <c r="P880" s="70"/>
    </row>
    <row r="881" spans="11:16" x14ac:dyDescent="0.25">
      <c r="K881" s="146"/>
      <c r="P881" s="70"/>
    </row>
    <row r="882" spans="11:16" x14ac:dyDescent="0.25">
      <c r="K882" s="146"/>
      <c r="P882" s="70"/>
    </row>
    <row r="883" spans="11:16" x14ac:dyDescent="0.25">
      <c r="K883" s="146"/>
      <c r="P883" s="70"/>
    </row>
    <row r="884" spans="11:16" x14ac:dyDescent="0.25">
      <c r="K884" s="146"/>
      <c r="P884" s="70"/>
    </row>
    <row r="885" spans="11:16" x14ac:dyDescent="0.25">
      <c r="K885" s="146"/>
      <c r="P885" s="70"/>
    </row>
    <row r="886" spans="11:16" x14ac:dyDescent="0.25">
      <c r="K886" s="146"/>
      <c r="P886" s="70"/>
    </row>
    <row r="887" spans="11:16" x14ac:dyDescent="0.25">
      <c r="K887" s="146"/>
      <c r="P887" s="70"/>
    </row>
    <row r="888" spans="11:16" x14ac:dyDescent="0.25">
      <c r="K888" s="146"/>
      <c r="P888" s="70"/>
    </row>
    <row r="889" spans="11:16" x14ac:dyDescent="0.25">
      <c r="K889" s="146"/>
      <c r="P889" s="70"/>
    </row>
    <row r="890" spans="11:16" x14ac:dyDescent="0.25">
      <c r="K890" s="146"/>
      <c r="P890" s="70"/>
    </row>
    <row r="891" spans="11:16" x14ac:dyDescent="0.25">
      <c r="K891" s="146"/>
      <c r="P891" s="70"/>
    </row>
    <row r="892" spans="11:16" x14ac:dyDescent="0.25">
      <c r="K892" s="146"/>
      <c r="P892" s="70"/>
    </row>
    <row r="893" spans="11:16" x14ac:dyDescent="0.25">
      <c r="K893" s="146"/>
      <c r="P893" s="70"/>
    </row>
    <row r="894" spans="11:16" x14ac:dyDescent="0.25">
      <c r="K894" s="146"/>
      <c r="P894" s="70"/>
    </row>
    <row r="895" spans="11:16" x14ac:dyDescent="0.25">
      <c r="K895" s="146"/>
      <c r="P895" s="70"/>
    </row>
    <row r="896" spans="11:16" x14ac:dyDescent="0.25">
      <c r="K896" s="146"/>
      <c r="P896" s="70"/>
    </row>
    <row r="897" spans="11:16" x14ac:dyDescent="0.25">
      <c r="K897" s="146"/>
      <c r="P897" s="70"/>
    </row>
    <row r="898" spans="11:16" x14ac:dyDescent="0.25">
      <c r="K898" s="146"/>
      <c r="P898" s="70"/>
    </row>
    <row r="899" spans="11:16" x14ac:dyDescent="0.25">
      <c r="K899" s="146"/>
      <c r="P899" s="70"/>
    </row>
    <row r="900" spans="11:16" x14ac:dyDescent="0.25">
      <c r="K900" s="146"/>
      <c r="P900" s="70"/>
    </row>
    <row r="901" spans="11:16" x14ac:dyDescent="0.25">
      <c r="K901" s="146"/>
      <c r="P901" s="70"/>
    </row>
    <row r="902" spans="11:16" x14ac:dyDescent="0.25">
      <c r="K902" s="146"/>
      <c r="P902" s="70"/>
    </row>
    <row r="903" spans="11:16" x14ac:dyDescent="0.25">
      <c r="K903" s="146"/>
      <c r="P903" s="70"/>
    </row>
    <row r="904" spans="11:16" x14ac:dyDescent="0.25">
      <c r="K904" s="146"/>
      <c r="P904" s="70"/>
    </row>
    <row r="905" spans="11:16" x14ac:dyDescent="0.25">
      <c r="K905" s="146"/>
      <c r="P905" s="70"/>
    </row>
    <row r="906" spans="11:16" x14ac:dyDescent="0.25">
      <c r="K906" s="146"/>
      <c r="P906" s="70"/>
    </row>
    <row r="907" spans="11:16" x14ac:dyDescent="0.25">
      <c r="K907" s="146"/>
      <c r="P907" s="70"/>
    </row>
    <row r="908" spans="11:16" x14ac:dyDescent="0.25">
      <c r="K908" s="146"/>
      <c r="P908" s="70"/>
    </row>
    <row r="909" spans="11:16" x14ac:dyDescent="0.25">
      <c r="K909" s="146"/>
      <c r="P909" s="70"/>
    </row>
    <row r="910" spans="11:16" x14ac:dyDescent="0.25">
      <c r="K910" s="146"/>
      <c r="P910" s="70"/>
    </row>
    <row r="911" spans="11:16" x14ac:dyDescent="0.25">
      <c r="K911" s="146"/>
      <c r="P911" s="70"/>
    </row>
    <row r="912" spans="11:16" x14ac:dyDescent="0.25">
      <c r="K912" s="146"/>
      <c r="P912" s="70"/>
    </row>
    <row r="913" spans="11:16" x14ac:dyDescent="0.25">
      <c r="K913" s="146"/>
      <c r="P913" s="70"/>
    </row>
    <row r="914" spans="11:16" x14ac:dyDescent="0.25">
      <c r="K914" s="146"/>
      <c r="P914" s="70"/>
    </row>
    <row r="915" spans="11:16" x14ac:dyDescent="0.25">
      <c r="K915" s="146"/>
      <c r="P915" s="70"/>
    </row>
    <row r="916" spans="11:16" x14ac:dyDescent="0.25">
      <c r="K916" s="146"/>
      <c r="P916" s="70"/>
    </row>
    <row r="917" spans="11:16" x14ac:dyDescent="0.25">
      <c r="K917" s="146"/>
      <c r="P917" s="70"/>
    </row>
    <row r="918" spans="11:16" x14ac:dyDescent="0.25">
      <c r="K918" s="146"/>
      <c r="P918" s="70"/>
    </row>
    <row r="919" spans="11:16" x14ac:dyDescent="0.25">
      <c r="K919" s="146"/>
      <c r="P919" s="70"/>
    </row>
    <row r="920" spans="11:16" x14ac:dyDescent="0.25">
      <c r="K920" s="146"/>
      <c r="P920" s="70"/>
    </row>
    <row r="921" spans="11:16" x14ac:dyDescent="0.25">
      <c r="K921" s="146"/>
      <c r="P921" s="70"/>
    </row>
    <row r="922" spans="11:16" x14ac:dyDescent="0.25">
      <c r="K922" s="146"/>
      <c r="P922" s="70"/>
    </row>
    <row r="923" spans="11:16" x14ac:dyDescent="0.25">
      <c r="K923" s="146"/>
      <c r="P923" s="70"/>
    </row>
    <row r="924" spans="11:16" x14ac:dyDescent="0.25">
      <c r="K924" s="146"/>
      <c r="P924" s="70"/>
    </row>
    <row r="925" spans="11:16" x14ac:dyDescent="0.25">
      <c r="K925" s="146"/>
      <c r="P925" s="70"/>
    </row>
    <row r="926" spans="11:16" x14ac:dyDescent="0.25">
      <c r="K926" s="146"/>
      <c r="P926" s="70"/>
    </row>
    <row r="927" spans="11:16" x14ac:dyDescent="0.25">
      <c r="K927" s="146"/>
      <c r="P927" s="70"/>
    </row>
    <row r="928" spans="11:16" x14ac:dyDescent="0.25">
      <c r="K928" s="146"/>
      <c r="P928" s="70"/>
    </row>
    <row r="929" spans="11:16" x14ac:dyDescent="0.25">
      <c r="K929" s="146"/>
      <c r="P929" s="70"/>
    </row>
    <row r="930" spans="11:16" x14ac:dyDescent="0.25">
      <c r="K930" s="146"/>
      <c r="P930" s="70"/>
    </row>
    <row r="931" spans="11:16" x14ac:dyDescent="0.25">
      <c r="K931" s="146"/>
      <c r="P931" s="70"/>
    </row>
    <row r="932" spans="11:16" x14ac:dyDescent="0.25">
      <c r="K932" s="146"/>
      <c r="P932" s="70"/>
    </row>
    <row r="933" spans="11:16" x14ac:dyDescent="0.25">
      <c r="K933" s="146"/>
      <c r="P933" s="70"/>
    </row>
    <row r="934" spans="11:16" x14ac:dyDescent="0.25">
      <c r="K934" s="146"/>
      <c r="P934" s="70"/>
    </row>
    <row r="935" spans="11:16" x14ac:dyDescent="0.25">
      <c r="K935" s="146"/>
      <c r="P935" s="70"/>
    </row>
    <row r="936" spans="11:16" x14ac:dyDescent="0.25">
      <c r="K936" s="146"/>
      <c r="P936" s="70"/>
    </row>
    <row r="937" spans="11:16" x14ac:dyDescent="0.25">
      <c r="K937" s="146"/>
      <c r="P937" s="70"/>
    </row>
    <row r="938" spans="11:16" x14ac:dyDescent="0.25">
      <c r="K938" s="146"/>
      <c r="P938" s="70"/>
    </row>
    <row r="939" spans="11:16" x14ac:dyDescent="0.25">
      <c r="K939" s="146"/>
      <c r="P939" s="70"/>
    </row>
    <row r="940" spans="11:16" x14ac:dyDescent="0.25">
      <c r="K940" s="146"/>
      <c r="P940" s="70"/>
    </row>
    <row r="941" spans="11:16" x14ac:dyDescent="0.25">
      <c r="K941" s="146"/>
      <c r="P941" s="70"/>
    </row>
    <row r="942" spans="11:16" x14ac:dyDescent="0.25">
      <c r="K942" s="146"/>
      <c r="P942" s="70"/>
    </row>
    <row r="943" spans="11:16" x14ac:dyDescent="0.25">
      <c r="K943" s="146"/>
      <c r="P943" s="70"/>
    </row>
    <row r="944" spans="11:16" x14ac:dyDescent="0.25">
      <c r="K944" s="146"/>
      <c r="P944" s="70"/>
    </row>
    <row r="945" spans="11:16" x14ac:dyDescent="0.25">
      <c r="K945" s="146"/>
      <c r="P945" s="70"/>
    </row>
    <row r="946" spans="11:16" x14ac:dyDescent="0.25">
      <c r="K946" s="146"/>
      <c r="P946" s="70"/>
    </row>
    <row r="947" spans="11:16" x14ac:dyDescent="0.25">
      <c r="K947" s="146"/>
      <c r="P947" s="70"/>
    </row>
    <row r="948" spans="11:16" x14ac:dyDescent="0.25">
      <c r="K948" s="146"/>
      <c r="P948" s="70"/>
    </row>
    <row r="949" spans="11:16" x14ac:dyDescent="0.25">
      <c r="K949" s="146"/>
      <c r="P949" s="70"/>
    </row>
    <row r="950" spans="11:16" x14ac:dyDescent="0.25">
      <c r="K950" s="146"/>
      <c r="P950" s="70"/>
    </row>
    <row r="951" spans="11:16" x14ac:dyDescent="0.25">
      <c r="K951" s="146"/>
      <c r="P951" s="70"/>
    </row>
    <row r="952" spans="11:16" x14ac:dyDescent="0.25">
      <c r="K952" s="146"/>
      <c r="P952" s="70"/>
    </row>
    <row r="953" spans="11:16" x14ac:dyDescent="0.25">
      <c r="K953" s="146"/>
      <c r="P953" s="70"/>
    </row>
    <row r="954" spans="11:16" x14ac:dyDescent="0.25">
      <c r="K954" s="146"/>
      <c r="P954" s="70"/>
    </row>
    <row r="955" spans="11:16" x14ac:dyDescent="0.25">
      <c r="K955" s="146"/>
      <c r="P955" s="70"/>
    </row>
    <row r="956" spans="11:16" x14ac:dyDescent="0.25">
      <c r="K956" s="146"/>
      <c r="P956" s="70"/>
    </row>
    <row r="957" spans="11:16" x14ac:dyDescent="0.25">
      <c r="K957" s="146"/>
      <c r="P957" s="70"/>
    </row>
    <row r="958" spans="11:16" x14ac:dyDescent="0.25">
      <c r="K958" s="146"/>
      <c r="P958" s="70"/>
    </row>
    <row r="959" spans="11:16" x14ac:dyDescent="0.25">
      <c r="K959" s="146"/>
      <c r="P959" s="70"/>
    </row>
    <row r="960" spans="11:16" x14ac:dyDescent="0.25">
      <c r="K960" s="146"/>
      <c r="P960" s="70"/>
    </row>
    <row r="961" spans="11:16" x14ac:dyDescent="0.25">
      <c r="K961" s="146"/>
      <c r="P961" s="70"/>
    </row>
    <row r="962" spans="11:16" x14ac:dyDescent="0.25">
      <c r="K962" s="146"/>
      <c r="P962" s="70"/>
    </row>
    <row r="963" spans="11:16" x14ac:dyDescent="0.25">
      <c r="K963" s="146"/>
      <c r="P963" s="70"/>
    </row>
    <row r="964" spans="11:16" x14ac:dyDescent="0.25">
      <c r="K964" s="146"/>
      <c r="P964" s="70"/>
    </row>
    <row r="965" spans="11:16" x14ac:dyDescent="0.25">
      <c r="K965" s="146"/>
      <c r="P965" s="70"/>
    </row>
    <row r="966" spans="11:16" x14ac:dyDescent="0.25">
      <c r="K966" s="146"/>
      <c r="P966" s="70"/>
    </row>
    <row r="967" spans="11:16" x14ac:dyDescent="0.25">
      <c r="K967" s="146"/>
      <c r="P967" s="70"/>
    </row>
    <row r="968" spans="11:16" x14ac:dyDescent="0.25">
      <c r="K968" s="146"/>
      <c r="P968" s="70"/>
    </row>
    <row r="969" spans="11:16" x14ac:dyDescent="0.25">
      <c r="K969" s="146"/>
      <c r="P969" s="70"/>
    </row>
    <row r="970" spans="11:16" x14ac:dyDescent="0.25">
      <c r="K970" s="146"/>
      <c r="P970" s="70"/>
    </row>
    <row r="971" spans="11:16" x14ac:dyDescent="0.25">
      <c r="K971" s="146"/>
      <c r="P971" s="70"/>
    </row>
    <row r="972" spans="11:16" x14ac:dyDescent="0.25">
      <c r="K972" s="146"/>
      <c r="P972" s="70"/>
    </row>
    <row r="973" spans="11:16" x14ac:dyDescent="0.25">
      <c r="K973" s="146"/>
      <c r="P973" s="70"/>
    </row>
    <row r="974" spans="11:16" x14ac:dyDescent="0.25">
      <c r="K974" s="146"/>
      <c r="P974" s="70"/>
    </row>
    <row r="975" spans="11:16" x14ac:dyDescent="0.25">
      <c r="K975" s="146"/>
      <c r="P975" s="70"/>
    </row>
    <row r="976" spans="11:16" x14ac:dyDescent="0.25">
      <c r="K976" s="146"/>
      <c r="P976" s="70"/>
    </row>
    <row r="977" spans="11:16" x14ac:dyDescent="0.25">
      <c r="K977" s="146"/>
      <c r="P977" s="70"/>
    </row>
    <row r="978" spans="11:16" x14ac:dyDescent="0.25">
      <c r="K978" s="146"/>
      <c r="P978" s="70"/>
    </row>
    <row r="979" spans="11:16" x14ac:dyDescent="0.25">
      <c r="K979" s="146"/>
      <c r="P979" s="70"/>
    </row>
    <row r="980" spans="11:16" x14ac:dyDescent="0.25">
      <c r="K980" s="146"/>
      <c r="P980" s="70"/>
    </row>
    <row r="981" spans="11:16" x14ac:dyDescent="0.25">
      <c r="K981" s="146"/>
      <c r="P981" s="70"/>
    </row>
    <row r="982" spans="11:16" x14ac:dyDescent="0.25">
      <c r="K982" s="146"/>
      <c r="P982" s="70"/>
    </row>
    <row r="983" spans="11:16" x14ac:dyDescent="0.25">
      <c r="K983" s="146"/>
      <c r="P983" s="70"/>
    </row>
    <row r="984" spans="11:16" x14ac:dyDescent="0.25">
      <c r="K984" s="146"/>
      <c r="P984" s="70"/>
    </row>
    <row r="985" spans="11:16" x14ac:dyDescent="0.25">
      <c r="K985" s="146"/>
      <c r="P985" s="70"/>
    </row>
    <row r="986" spans="11:16" x14ac:dyDescent="0.25">
      <c r="K986" s="146"/>
      <c r="P986" s="70"/>
    </row>
    <row r="987" spans="11:16" x14ac:dyDescent="0.25">
      <c r="K987" s="146"/>
      <c r="P987" s="70"/>
    </row>
    <row r="988" spans="11:16" x14ac:dyDescent="0.25">
      <c r="K988" s="146"/>
      <c r="P988" s="70"/>
    </row>
    <row r="989" spans="11:16" x14ac:dyDescent="0.25">
      <c r="K989" s="146"/>
      <c r="P989" s="70"/>
    </row>
    <row r="990" spans="11:16" x14ac:dyDescent="0.25">
      <c r="K990" s="146"/>
      <c r="P990" s="70"/>
    </row>
    <row r="991" spans="11:16" x14ac:dyDescent="0.25">
      <c r="K991" s="146"/>
      <c r="P991" s="70"/>
    </row>
    <row r="992" spans="11:16" x14ac:dyDescent="0.25">
      <c r="K992" s="146"/>
      <c r="P992" s="70"/>
    </row>
    <row r="993" spans="11:16" x14ac:dyDescent="0.25">
      <c r="K993" s="146"/>
      <c r="P993" s="70"/>
    </row>
    <row r="994" spans="11:16" x14ac:dyDescent="0.25">
      <c r="K994" s="146"/>
      <c r="P994" s="70"/>
    </row>
    <row r="995" spans="11:16" x14ac:dyDescent="0.25">
      <c r="K995" s="146"/>
      <c r="P995" s="70"/>
    </row>
    <row r="996" spans="11:16" x14ac:dyDescent="0.25">
      <c r="K996" s="146"/>
      <c r="P996" s="70"/>
    </row>
    <row r="997" spans="11:16" x14ac:dyDescent="0.25">
      <c r="K997" s="146"/>
      <c r="P997" s="70"/>
    </row>
    <row r="998" spans="11:16" x14ac:dyDescent="0.25">
      <c r="K998" s="146"/>
      <c r="P998" s="70"/>
    </row>
    <row r="999" spans="11:16" x14ac:dyDescent="0.25">
      <c r="K999" s="146"/>
      <c r="P999" s="70"/>
    </row>
    <row r="1000" spans="11:16" x14ac:dyDescent="0.25">
      <c r="K1000" s="146"/>
      <c r="P1000" s="70"/>
    </row>
    <row r="1001" spans="11:16" x14ac:dyDescent="0.25">
      <c r="K1001" s="146"/>
      <c r="P1001" s="70"/>
    </row>
    <row r="1002" spans="11:16" x14ac:dyDescent="0.25">
      <c r="K1002" s="146"/>
      <c r="P1002" s="70"/>
    </row>
    <row r="1003" spans="11:16" x14ac:dyDescent="0.25">
      <c r="K1003" s="146"/>
      <c r="P1003" s="70"/>
    </row>
    <row r="1004" spans="11:16" x14ac:dyDescent="0.25">
      <c r="K1004" s="146"/>
      <c r="P1004" s="70"/>
    </row>
    <row r="1005" spans="11:16" x14ac:dyDescent="0.25">
      <c r="K1005" s="146"/>
      <c r="P1005" s="70"/>
    </row>
    <row r="1006" spans="11:16" x14ac:dyDescent="0.25">
      <c r="K1006" s="146"/>
      <c r="P1006" s="70"/>
    </row>
    <row r="1007" spans="11:16" x14ac:dyDescent="0.25">
      <c r="K1007" s="146"/>
      <c r="P1007" s="70"/>
    </row>
    <row r="1008" spans="11:16" x14ac:dyDescent="0.25">
      <c r="K1008" s="146"/>
      <c r="P1008" s="70"/>
    </row>
    <row r="1009" spans="11:16" x14ac:dyDescent="0.25">
      <c r="K1009" s="146"/>
      <c r="P1009" s="70"/>
    </row>
    <row r="1010" spans="11:16" x14ac:dyDescent="0.25">
      <c r="K1010" s="146"/>
      <c r="P1010" s="70"/>
    </row>
    <row r="1011" spans="11:16" x14ac:dyDescent="0.25">
      <c r="K1011" s="146"/>
      <c r="P1011" s="70"/>
    </row>
    <row r="1012" spans="11:16" x14ac:dyDescent="0.25">
      <c r="K1012" s="146"/>
      <c r="P1012" s="70"/>
    </row>
    <row r="1013" spans="11:16" x14ac:dyDescent="0.25">
      <c r="K1013" s="146"/>
      <c r="P1013" s="70"/>
    </row>
    <row r="1014" spans="11:16" x14ac:dyDescent="0.25">
      <c r="K1014" s="146"/>
      <c r="P1014" s="70"/>
    </row>
    <row r="1015" spans="11:16" x14ac:dyDescent="0.25">
      <c r="K1015" s="146"/>
      <c r="P1015" s="70"/>
    </row>
    <row r="1016" spans="11:16" x14ac:dyDescent="0.25">
      <c r="K1016" s="146"/>
      <c r="P1016" s="70"/>
    </row>
    <row r="1017" spans="11:16" x14ac:dyDescent="0.25">
      <c r="K1017" s="146"/>
      <c r="P1017" s="70"/>
    </row>
    <row r="1018" spans="11:16" x14ac:dyDescent="0.25">
      <c r="K1018" s="146"/>
      <c r="P1018" s="70"/>
    </row>
    <row r="1019" spans="11:16" x14ac:dyDescent="0.25">
      <c r="K1019" s="146"/>
      <c r="P1019" s="70"/>
    </row>
    <row r="1020" spans="11:16" x14ac:dyDescent="0.25">
      <c r="K1020" s="146"/>
      <c r="P1020" s="70"/>
    </row>
    <row r="1021" spans="11:16" x14ac:dyDescent="0.25">
      <c r="K1021" s="146"/>
      <c r="P1021" s="70"/>
    </row>
    <row r="1022" spans="11:16" x14ac:dyDescent="0.25">
      <c r="K1022" s="146"/>
      <c r="P1022" s="70"/>
    </row>
    <row r="1023" spans="11:16" x14ac:dyDescent="0.25">
      <c r="K1023" s="146"/>
      <c r="P1023" s="70"/>
    </row>
    <row r="1024" spans="11:16" x14ac:dyDescent="0.25">
      <c r="K1024" s="146"/>
      <c r="P1024" s="70"/>
    </row>
    <row r="1025" spans="11:16" x14ac:dyDescent="0.25">
      <c r="K1025" s="146"/>
      <c r="P1025" s="70"/>
    </row>
    <row r="1026" spans="11:16" x14ac:dyDescent="0.25">
      <c r="K1026" s="146"/>
      <c r="P1026" s="70"/>
    </row>
    <row r="1027" spans="11:16" x14ac:dyDescent="0.25">
      <c r="K1027" s="146"/>
      <c r="P1027" s="70"/>
    </row>
    <row r="1028" spans="11:16" x14ac:dyDescent="0.25">
      <c r="K1028" s="146"/>
      <c r="P1028" s="70"/>
    </row>
    <row r="1029" spans="11:16" x14ac:dyDescent="0.25">
      <c r="K1029" s="146"/>
      <c r="P1029" s="70"/>
    </row>
    <row r="1030" spans="11:16" x14ac:dyDescent="0.25">
      <c r="K1030" s="146"/>
      <c r="P1030" s="70"/>
    </row>
    <row r="1031" spans="11:16" x14ac:dyDescent="0.25">
      <c r="K1031" s="146"/>
      <c r="P1031" s="70"/>
    </row>
    <row r="1032" spans="11:16" x14ac:dyDescent="0.25">
      <c r="K1032" s="146"/>
      <c r="P1032" s="70"/>
    </row>
    <row r="1033" spans="11:16" x14ac:dyDescent="0.25">
      <c r="K1033" s="146"/>
      <c r="P1033" s="70"/>
    </row>
    <row r="1034" spans="11:16" x14ac:dyDescent="0.25">
      <c r="K1034" s="146"/>
      <c r="P1034" s="70"/>
    </row>
    <row r="1035" spans="11:16" x14ac:dyDescent="0.25">
      <c r="K1035" s="146"/>
      <c r="P1035" s="70"/>
    </row>
    <row r="1036" spans="11:16" x14ac:dyDescent="0.25">
      <c r="K1036" s="146"/>
      <c r="P1036" s="70"/>
    </row>
    <row r="1037" spans="11:16" x14ac:dyDescent="0.25">
      <c r="K1037" s="146"/>
      <c r="P1037" s="70"/>
    </row>
    <row r="1038" spans="11:16" x14ac:dyDescent="0.25">
      <c r="K1038" s="146"/>
      <c r="P1038" s="70"/>
    </row>
    <row r="1039" spans="11:16" x14ac:dyDescent="0.25">
      <c r="K1039" s="146"/>
      <c r="P1039" s="70"/>
    </row>
    <row r="1040" spans="11:16" x14ac:dyDescent="0.25">
      <c r="K1040" s="146"/>
      <c r="P1040" s="70"/>
    </row>
    <row r="1041" spans="11:16" x14ac:dyDescent="0.25">
      <c r="K1041" s="146"/>
      <c r="P1041" s="70"/>
    </row>
    <row r="1042" spans="11:16" x14ac:dyDescent="0.25">
      <c r="K1042" s="146"/>
      <c r="P1042" s="70"/>
    </row>
    <row r="1043" spans="11:16" x14ac:dyDescent="0.25">
      <c r="K1043" s="146"/>
      <c r="P1043" s="70"/>
    </row>
    <row r="1044" spans="11:16" x14ac:dyDescent="0.25">
      <c r="K1044" s="146"/>
      <c r="P1044" s="70"/>
    </row>
    <row r="1045" spans="11:16" x14ac:dyDescent="0.25">
      <c r="K1045" s="146"/>
      <c r="P1045" s="70"/>
    </row>
    <row r="1046" spans="11:16" x14ac:dyDescent="0.25">
      <c r="K1046" s="146"/>
      <c r="P1046" s="70"/>
    </row>
    <row r="1047" spans="11:16" x14ac:dyDescent="0.25">
      <c r="K1047" s="146"/>
      <c r="P1047" s="70"/>
    </row>
    <row r="1048" spans="11:16" x14ac:dyDescent="0.25">
      <c r="K1048" s="146"/>
      <c r="P1048" s="70"/>
    </row>
    <row r="1049" spans="11:16" x14ac:dyDescent="0.25">
      <c r="K1049" s="146"/>
      <c r="P1049" s="70"/>
    </row>
    <row r="1050" spans="11:16" x14ac:dyDescent="0.25">
      <c r="K1050" s="146"/>
      <c r="P1050" s="70"/>
    </row>
    <row r="1051" spans="11:16" x14ac:dyDescent="0.25">
      <c r="K1051" s="146"/>
      <c r="P1051" s="70"/>
    </row>
    <row r="1052" spans="11:16" x14ac:dyDescent="0.25">
      <c r="K1052" s="146"/>
      <c r="P1052" s="70"/>
    </row>
    <row r="1053" spans="11:16" x14ac:dyDescent="0.25">
      <c r="K1053" s="146"/>
      <c r="P1053" s="70"/>
    </row>
    <row r="1054" spans="11:16" x14ac:dyDescent="0.25">
      <c r="K1054" s="146"/>
      <c r="P1054" s="70"/>
    </row>
    <row r="1055" spans="11:16" x14ac:dyDescent="0.25">
      <c r="K1055" s="146"/>
      <c r="P1055" s="70"/>
    </row>
    <row r="1056" spans="11:16" x14ac:dyDescent="0.25">
      <c r="K1056" s="146"/>
      <c r="P1056" s="70"/>
    </row>
    <row r="1057" spans="11:16" x14ac:dyDescent="0.25">
      <c r="K1057" s="146"/>
      <c r="P1057" s="70"/>
    </row>
    <row r="1058" spans="11:16" x14ac:dyDescent="0.25">
      <c r="K1058" s="146"/>
      <c r="P1058" s="70"/>
    </row>
    <row r="1059" spans="11:16" x14ac:dyDescent="0.25">
      <c r="K1059" s="146"/>
      <c r="P1059" s="70"/>
    </row>
    <row r="1060" spans="11:16" x14ac:dyDescent="0.25">
      <c r="K1060" s="146"/>
      <c r="P1060" s="70"/>
    </row>
    <row r="1061" spans="11:16" x14ac:dyDescent="0.25">
      <c r="K1061" s="146"/>
      <c r="P1061" s="70"/>
    </row>
    <row r="1062" spans="11:16" x14ac:dyDescent="0.25">
      <c r="K1062" s="146"/>
      <c r="P1062" s="70"/>
    </row>
    <row r="1063" spans="11:16" x14ac:dyDescent="0.25">
      <c r="K1063" s="146"/>
      <c r="P1063" s="70"/>
    </row>
    <row r="1064" spans="11:16" x14ac:dyDescent="0.25">
      <c r="K1064" s="146"/>
      <c r="P1064" s="70"/>
    </row>
    <row r="1065" spans="11:16" x14ac:dyDescent="0.25">
      <c r="K1065" s="146"/>
      <c r="P1065" s="70"/>
    </row>
    <row r="1066" spans="11:16" x14ac:dyDescent="0.25">
      <c r="K1066" s="146"/>
      <c r="P1066" s="70"/>
    </row>
    <row r="1067" spans="11:16" x14ac:dyDescent="0.25">
      <c r="K1067" s="146"/>
      <c r="P1067" s="70"/>
    </row>
    <row r="1068" spans="11:16" x14ac:dyDescent="0.25">
      <c r="K1068" s="146"/>
      <c r="P1068" s="70"/>
    </row>
    <row r="1069" spans="11:16" x14ac:dyDescent="0.25">
      <c r="K1069" s="146"/>
      <c r="P1069" s="70"/>
    </row>
    <row r="1070" spans="11:16" x14ac:dyDescent="0.25">
      <c r="K1070" s="146"/>
      <c r="P1070" s="70"/>
    </row>
    <row r="1071" spans="11:16" x14ac:dyDescent="0.25">
      <c r="K1071" s="146"/>
      <c r="P1071" s="70"/>
    </row>
    <row r="1072" spans="11:16" x14ac:dyDescent="0.25">
      <c r="K1072" s="146"/>
      <c r="P1072" s="70"/>
    </row>
    <row r="1073" spans="11:16" x14ac:dyDescent="0.25">
      <c r="K1073" s="146"/>
      <c r="P1073" s="70"/>
    </row>
    <row r="1074" spans="11:16" x14ac:dyDescent="0.25">
      <c r="K1074" s="146"/>
      <c r="P1074" s="70"/>
    </row>
    <row r="1075" spans="11:16" x14ac:dyDescent="0.25">
      <c r="K1075" s="146"/>
      <c r="P1075" s="70"/>
    </row>
    <row r="1076" spans="11:16" x14ac:dyDescent="0.25">
      <c r="K1076" s="146"/>
      <c r="P1076" s="70"/>
    </row>
    <row r="1077" spans="11:16" x14ac:dyDescent="0.25">
      <c r="K1077" s="146"/>
      <c r="P1077" s="70"/>
    </row>
    <row r="1078" spans="11:16" x14ac:dyDescent="0.25">
      <c r="K1078" s="146"/>
      <c r="P1078" s="70"/>
    </row>
    <row r="1079" spans="11:16" x14ac:dyDescent="0.25">
      <c r="K1079" s="146"/>
      <c r="P1079" s="70"/>
    </row>
    <row r="1080" spans="11:16" x14ac:dyDescent="0.25">
      <c r="K1080" s="146"/>
      <c r="P1080" s="70"/>
    </row>
    <row r="1081" spans="11:16" x14ac:dyDescent="0.25">
      <c r="K1081" s="146"/>
      <c r="P1081" s="70"/>
    </row>
    <row r="1082" spans="11:16" x14ac:dyDescent="0.25">
      <c r="K1082" s="146"/>
      <c r="P1082" s="70"/>
    </row>
    <row r="1083" spans="11:16" x14ac:dyDescent="0.25">
      <c r="K1083" s="146"/>
      <c r="P1083" s="70"/>
    </row>
    <row r="1084" spans="11:16" x14ac:dyDescent="0.25">
      <c r="K1084" s="146"/>
      <c r="P1084" s="70"/>
    </row>
    <row r="1085" spans="11:16" x14ac:dyDescent="0.25">
      <c r="K1085" s="146"/>
      <c r="P1085" s="70"/>
    </row>
    <row r="1086" spans="11:16" x14ac:dyDescent="0.25">
      <c r="K1086" s="146"/>
      <c r="P1086" s="70"/>
    </row>
    <row r="1087" spans="11:16" x14ac:dyDescent="0.25">
      <c r="K1087" s="146"/>
      <c r="P1087" s="70"/>
    </row>
    <row r="1088" spans="11:16" x14ac:dyDescent="0.25">
      <c r="K1088" s="146"/>
      <c r="P1088" s="70"/>
    </row>
    <row r="1089" spans="11:16" x14ac:dyDescent="0.25">
      <c r="K1089" s="146"/>
      <c r="P1089" s="70"/>
    </row>
    <row r="1090" spans="11:16" x14ac:dyDescent="0.25">
      <c r="K1090" s="146"/>
      <c r="P1090" s="70"/>
    </row>
    <row r="1091" spans="11:16" x14ac:dyDescent="0.25">
      <c r="K1091" s="146"/>
      <c r="P1091" s="70"/>
    </row>
    <row r="1092" spans="11:16" x14ac:dyDescent="0.25">
      <c r="K1092" s="146"/>
      <c r="P1092" s="70"/>
    </row>
    <row r="1093" spans="11:16" x14ac:dyDescent="0.25">
      <c r="K1093" s="146"/>
      <c r="P1093" s="70"/>
    </row>
    <row r="1094" spans="11:16" x14ac:dyDescent="0.25">
      <c r="K1094" s="146"/>
      <c r="P1094" s="70"/>
    </row>
    <row r="1095" spans="11:16" x14ac:dyDescent="0.25">
      <c r="K1095" s="146"/>
      <c r="P1095" s="70"/>
    </row>
    <row r="1096" spans="11:16" x14ac:dyDescent="0.25">
      <c r="K1096" s="146"/>
      <c r="P1096" s="70"/>
    </row>
    <row r="1097" spans="11:16" x14ac:dyDescent="0.25">
      <c r="K1097" s="146"/>
      <c r="P1097" s="70"/>
    </row>
    <row r="1098" spans="11:16" x14ac:dyDescent="0.25">
      <c r="K1098" s="146"/>
      <c r="P1098" s="70"/>
    </row>
    <row r="1099" spans="11:16" x14ac:dyDescent="0.25">
      <c r="K1099" s="146"/>
      <c r="P1099" s="70"/>
    </row>
    <row r="1100" spans="11:16" x14ac:dyDescent="0.25">
      <c r="K1100" s="146"/>
      <c r="P1100" s="70"/>
    </row>
    <row r="1101" spans="11:16" x14ac:dyDescent="0.25">
      <c r="K1101" s="146"/>
      <c r="P1101" s="70"/>
    </row>
    <row r="1102" spans="11:16" x14ac:dyDescent="0.25">
      <c r="K1102" s="146"/>
      <c r="P1102" s="70"/>
    </row>
    <row r="1103" spans="11:16" x14ac:dyDescent="0.25">
      <c r="K1103" s="146"/>
      <c r="P1103" s="70"/>
    </row>
    <row r="1104" spans="11:16" x14ac:dyDescent="0.25">
      <c r="K1104" s="146"/>
      <c r="P1104" s="70"/>
    </row>
    <row r="1105" spans="11:16" x14ac:dyDescent="0.25">
      <c r="K1105" s="146"/>
      <c r="P1105" s="70"/>
    </row>
    <row r="1106" spans="11:16" x14ac:dyDescent="0.25">
      <c r="K1106" s="146"/>
      <c r="P1106" s="70"/>
    </row>
    <row r="1107" spans="11:16" x14ac:dyDescent="0.25">
      <c r="K1107" s="146"/>
      <c r="P1107" s="70"/>
    </row>
    <row r="1108" spans="11:16" x14ac:dyDescent="0.25">
      <c r="K1108" s="146"/>
      <c r="P1108" s="70"/>
    </row>
    <row r="1109" spans="11:16" x14ac:dyDescent="0.25">
      <c r="K1109" s="146"/>
      <c r="P1109" s="70"/>
    </row>
    <row r="1110" spans="11:16" x14ac:dyDescent="0.25">
      <c r="K1110" s="146"/>
      <c r="P1110" s="70"/>
    </row>
    <row r="1111" spans="11:16" x14ac:dyDescent="0.25">
      <c r="K1111" s="146"/>
      <c r="P1111" s="70"/>
    </row>
    <row r="1112" spans="11:16" x14ac:dyDescent="0.25">
      <c r="K1112" s="146"/>
      <c r="P1112" s="70"/>
    </row>
    <row r="1113" spans="11:16" x14ac:dyDescent="0.25">
      <c r="K1113" s="146"/>
      <c r="P1113" s="70"/>
    </row>
    <row r="1114" spans="11:16" x14ac:dyDescent="0.25">
      <c r="K1114" s="146"/>
      <c r="P1114" s="70"/>
    </row>
    <row r="1115" spans="11:16" x14ac:dyDescent="0.25">
      <c r="K1115" s="146"/>
      <c r="P1115" s="70"/>
    </row>
    <row r="1116" spans="11:16" x14ac:dyDescent="0.25">
      <c r="K1116" s="146"/>
      <c r="P1116" s="70"/>
    </row>
    <row r="1117" spans="11:16" x14ac:dyDescent="0.25">
      <c r="K1117" s="146"/>
      <c r="P1117" s="70"/>
    </row>
    <row r="1118" spans="11:16" x14ac:dyDescent="0.25">
      <c r="K1118" s="146"/>
      <c r="P1118" s="70"/>
    </row>
    <row r="1119" spans="11:16" x14ac:dyDescent="0.25">
      <c r="K1119" s="146"/>
      <c r="P1119" s="70"/>
    </row>
    <row r="1120" spans="11:16" x14ac:dyDescent="0.25">
      <c r="K1120" s="146"/>
      <c r="P1120" s="70"/>
    </row>
    <row r="1121" spans="11:16" x14ac:dyDescent="0.25">
      <c r="K1121" s="146"/>
      <c r="P1121" s="70"/>
    </row>
    <row r="1122" spans="11:16" x14ac:dyDescent="0.25">
      <c r="K1122" s="146"/>
      <c r="P1122" s="70"/>
    </row>
    <row r="1123" spans="11:16" x14ac:dyDescent="0.25">
      <c r="K1123" s="146"/>
      <c r="P1123" s="70"/>
    </row>
    <row r="1124" spans="11:16" x14ac:dyDescent="0.25">
      <c r="K1124" s="146"/>
      <c r="P1124" s="70"/>
    </row>
    <row r="1125" spans="11:16" x14ac:dyDescent="0.25">
      <c r="K1125" s="146"/>
      <c r="P1125" s="70"/>
    </row>
    <row r="1126" spans="11:16" x14ac:dyDescent="0.25">
      <c r="K1126" s="146"/>
      <c r="P1126" s="70"/>
    </row>
    <row r="1127" spans="11:16" x14ac:dyDescent="0.25">
      <c r="K1127" s="146"/>
      <c r="P1127" s="70"/>
    </row>
    <row r="1128" spans="11:16" x14ac:dyDescent="0.25">
      <c r="K1128" s="146"/>
      <c r="P1128" s="70"/>
    </row>
    <row r="1129" spans="11:16" x14ac:dyDescent="0.25">
      <c r="K1129" s="146"/>
      <c r="P1129" s="70"/>
    </row>
    <row r="1130" spans="11:16" x14ac:dyDescent="0.25">
      <c r="K1130" s="146"/>
      <c r="P1130" s="70"/>
    </row>
    <row r="1131" spans="11:16" x14ac:dyDescent="0.25">
      <c r="K1131" s="146"/>
      <c r="P1131" s="70"/>
    </row>
    <row r="1132" spans="11:16" x14ac:dyDescent="0.25">
      <c r="K1132" s="146"/>
      <c r="P1132" s="70"/>
    </row>
    <row r="1133" spans="11:16" x14ac:dyDescent="0.25">
      <c r="K1133" s="146"/>
      <c r="P1133" s="70"/>
    </row>
    <row r="1134" spans="11:16" x14ac:dyDescent="0.25">
      <c r="K1134" s="146"/>
      <c r="P1134" s="70"/>
    </row>
    <row r="1135" spans="11:16" x14ac:dyDescent="0.25">
      <c r="K1135" s="146"/>
      <c r="P1135" s="70"/>
    </row>
    <row r="1136" spans="11:16" x14ac:dyDescent="0.25">
      <c r="K1136" s="146"/>
      <c r="P1136" s="70"/>
    </row>
    <row r="1137" spans="11:16" x14ac:dyDescent="0.25">
      <c r="K1137" s="146"/>
      <c r="P1137" s="70"/>
    </row>
    <row r="1138" spans="11:16" x14ac:dyDescent="0.25">
      <c r="K1138" s="146"/>
      <c r="P1138" s="70"/>
    </row>
    <row r="1139" spans="11:16" x14ac:dyDescent="0.25">
      <c r="K1139" s="146"/>
      <c r="P1139" s="70"/>
    </row>
    <row r="1140" spans="11:16" x14ac:dyDescent="0.25">
      <c r="K1140" s="146"/>
      <c r="P1140" s="70"/>
    </row>
    <row r="1141" spans="11:16" x14ac:dyDescent="0.25">
      <c r="K1141" s="146"/>
      <c r="P1141" s="70"/>
    </row>
    <row r="1142" spans="11:16" x14ac:dyDescent="0.25">
      <c r="K1142" s="146"/>
      <c r="P1142" s="70"/>
    </row>
    <row r="1143" spans="11:16" x14ac:dyDescent="0.25">
      <c r="K1143" s="146"/>
      <c r="P1143" s="70"/>
    </row>
    <row r="1144" spans="11:16" x14ac:dyDescent="0.25">
      <c r="K1144" s="146"/>
      <c r="P1144" s="70"/>
    </row>
    <row r="1145" spans="11:16" x14ac:dyDescent="0.25">
      <c r="K1145" s="146"/>
      <c r="P1145" s="70"/>
    </row>
    <row r="1146" spans="11:16" x14ac:dyDescent="0.25">
      <c r="K1146" s="146"/>
      <c r="P1146" s="70"/>
    </row>
    <row r="1147" spans="11:16" x14ac:dyDescent="0.25">
      <c r="K1147" s="146"/>
      <c r="P1147" s="70"/>
    </row>
    <row r="1148" spans="11:16" x14ac:dyDescent="0.25">
      <c r="K1148" s="146"/>
      <c r="P1148" s="70"/>
    </row>
    <row r="1149" spans="11:16" x14ac:dyDescent="0.25">
      <c r="K1149" s="146"/>
      <c r="P1149" s="70"/>
    </row>
    <row r="1150" spans="11:16" x14ac:dyDescent="0.25">
      <c r="K1150" s="146"/>
      <c r="P1150" s="70"/>
    </row>
    <row r="1151" spans="11:16" x14ac:dyDescent="0.25">
      <c r="K1151" s="146"/>
      <c r="P1151" s="70"/>
    </row>
    <row r="1152" spans="11:16" x14ac:dyDescent="0.25">
      <c r="K1152" s="146"/>
      <c r="P1152" s="70"/>
    </row>
    <row r="1153" spans="11:16" x14ac:dyDescent="0.25">
      <c r="K1153" s="146"/>
      <c r="P1153" s="70"/>
    </row>
    <row r="1154" spans="11:16" x14ac:dyDescent="0.25">
      <c r="K1154" s="146"/>
      <c r="P1154" s="70"/>
    </row>
    <row r="1155" spans="11:16" x14ac:dyDescent="0.25">
      <c r="K1155" s="146"/>
      <c r="P1155" s="70"/>
    </row>
    <row r="1156" spans="11:16" x14ac:dyDescent="0.25">
      <c r="K1156" s="146"/>
      <c r="P1156" s="70"/>
    </row>
    <row r="1157" spans="11:16" x14ac:dyDescent="0.25">
      <c r="K1157" s="146"/>
      <c r="P1157" s="70"/>
    </row>
    <row r="1158" spans="11:16" x14ac:dyDescent="0.25">
      <c r="K1158" s="146"/>
      <c r="P1158" s="70"/>
    </row>
    <row r="1159" spans="11:16" x14ac:dyDescent="0.25">
      <c r="K1159" s="146"/>
      <c r="P1159" s="70"/>
    </row>
    <row r="1160" spans="11:16" x14ac:dyDescent="0.25">
      <c r="K1160" s="146"/>
      <c r="P1160" s="70"/>
    </row>
    <row r="1161" spans="11:16" x14ac:dyDescent="0.25">
      <c r="K1161" s="146"/>
      <c r="P1161" s="70"/>
    </row>
    <row r="1162" spans="11:16" x14ac:dyDescent="0.25">
      <c r="K1162" s="146"/>
      <c r="P1162" s="70"/>
    </row>
    <row r="1163" spans="11:16" x14ac:dyDescent="0.25">
      <c r="K1163" s="146"/>
      <c r="P1163" s="70"/>
    </row>
    <row r="1164" spans="11:16" x14ac:dyDescent="0.25">
      <c r="K1164" s="146"/>
      <c r="P1164" s="70"/>
    </row>
    <row r="1165" spans="11:16" x14ac:dyDescent="0.25">
      <c r="K1165" s="146"/>
      <c r="P1165" s="70"/>
    </row>
    <row r="1166" spans="11:16" x14ac:dyDescent="0.25">
      <c r="K1166" s="146"/>
      <c r="P1166" s="70"/>
    </row>
    <row r="1167" spans="11:16" x14ac:dyDescent="0.25">
      <c r="K1167" s="146"/>
      <c r="P1167" s="70"/>
    </row>
    <row r="1168" spans="11:16" x14ac:dyDescent="0.25">
      <c r="K1168" s="146"/>
      <c r="P1168" s="70"/>
    </row>
    <row r="1169" spans="11:16" x14ac:dyDescent="0.25">
      <c r="K1169" s="146"/>
      <c r="P1169" s="70"/>
    </row>
    <row r="1170" spans="11:16" x14ac:dyDescent="0.25">
      <c r="K1170" s="146"/>
      <c r="P1170" s="70"/>
    </row>
    <row r="1171" spans="11:16" x14ac:dyDescent="0.25">
      <c r="K1171" s="146"/>
      <c r="P1171" s="70"/>
    </row>
    <row r="1172" spans="11:16" x14ac:dyDescent="0.25">
      <c r="K1172" s="146"/>
      <c r="P1172" s="70"/>
    </row>
    <row r="1173" spans="11:16" x14ac:dyDescent="0.25">
      <c r="K1173" s="146"/>
      <c r="P1173" s="70"/>
    </row>
    <row r="1174" spans="11:16" x14ac:dyDescent="0.25">
      <c r="K1174" s="146"/>
      <c r="P1174" s="70"/>
    </row>
    <row r="1175" spans="11:16" x14ac:dyDescent="0.25">
      <c r="K1175" s="146"/>
      <c r="P1175" s="70"/>
    </row>
    <row r="1176" spans="11:16" x14ac:dyDescent="0.25">
      <c r="K1176" s="146"/>
      <c r="P1176" s="70"/>
    </row>
    <row r="1177" spans="11:16" x14ac:dyDescent="0.25">
      <c r="K1177" s="146"/>
      <c r="P1177" s="70"/>
    </row>
    <row r="1178" spans="11:16" x14ac:dyDescent="0.25">
      <c r="K1178" s="146"/>
      <c r="P1178" s="70"/>
    </row>
    <row r="1179" spans="11:16" x14ac:dyDescent="0.25">
      <c r="K1179" s="146"/>
      <c r="P1179" s="70"/>
    </row>
    <row r="1180" spans="11:16" x14ac:dyDescent="0.25">
      <c r="K1180" s="146"/>
      <c r="P1180" s="70"/>
    </row>
    <row r="1181" spans="11:16" x14ac:dyDescent="0.25">
      <c r="K1181" s="146"/>
      <c r="P1181" s="70"/>
    </row>
    <row r="1182" spans="11:16" x14ac:dyDescent="0.25">
      <c r="K1182" s="146"/>
      <c r="P1182" s="70"/>
    </row>
    <row r="1183" spans="11:16" x14ac:dyDescent="0.25">
      <c r="K1183" s="146"/>
      <c r="P1183" s="70"/>
    </row>
    <row r="1184" spans="11:16" x14ac:dyDescent="0.25">
      <c r="K1184" s="146"/>
      <c r="P1184" s="70"/>
    </row>
    <row r="1185" spans="11:16" x14ac:dyDescent="0.25">
      <c r="K1185" s="146"/>
      <c r="P1185" s="70"/>
    </row>
    <row r="1186" spans="11:16" x14ac:dyDescent="0.25">
      <c r="K1186" s="146"/>
      <c r="P1186" s="70"/>
    </row>
    <row r="1187" spans="11:16" x14ac:dyDescent="0.25">
      <c r="K1187" s="146"/>
      <c r="P1187" s="70"/>
    </row>
    <row r="1188" spans="11:16" x14ac:dyDescent="0.25">
      <c r="K1188" s="146"/>
      <c r="P1188" s="70"/>
    </row>
    <row r="1189" spans="11:16" x14ac:dyDescent="0.25">
      <c r="K1189" s="146"/>
      <c r="P1189" s="70"/>
    </row>
    <row r="1190" spans="11:16" x14ac:dyDescent="0.25">
      <c r="K1190" s="146"/>
      <c r="P1190" s="70"/>
    </row>
    <row r="1191" spans="11:16" x14ac:dyDescent="0.25">
      <c r="K1191" s="146"/>
      <c r="P1191" s="70"/>
    </row>
    <row r="1192" spans="11:16" x14ac:dyDescent="0.25">
      <c r="K1192" s="146"/>
      <c r="P1192" s="70"/>
    </row>
    <row r="1193" spans="11:16" x14ac:dyDescent="0.25">
      <c r="K1193" s="146"/>
    </row>
    <row r="1194" spans="11:16" x14ac:dyDescent="0.25">
      <c r="K1194" s="146"/>
    </row>
    <row r="1195" spans="11:16" x14ac:dyDescent="0.25">
      <c r="K1195" s="146"/>
    </row>
    <row r="1196" spans="11:16" x14ac:dyDescent="0.25">
      <c r="K1196" s="146"/>
    </row>
    <row r="1197" spans="11:16" x14ac:dyDescent="0.25">
      <c r="K1197" s="146"/>
    </row>
    <row r="1198" spans="11:16" x14ac:dyDescent="0.25">
      <c r="K1198" s="146"/>
    </row>
    <row r="1199" spans="11:16" x14ac:dyDescent="0.25">
      <c r="K1199" s="146"/>
    </row>
    <row r="1200" spans="11:16" x14ac:dyDescent="0.25">
      <c r="K1200" s="146"/>
    </row>
    <row r="1201" spans="11:11" x14ac:dyDescent="0.25">
      <c r="K1201" s="146"/>
    </row>
    <row r="1202" spans="11:11" x14ac:dyDescent="0.25">
      <c r="K1202" s="146"/>
    </row>
    <row r="1203" spans="11:11" x14ac:dyDescent="0.25">
      <c r="K1203" s="146"/>
    </row>
    <row r="1204" spans="11:11" x14ac:dyDescent="0.25">
      <c r="K1204" s="146"/>
    </row>
    <row r="1205" spans="11:11" x14ac:dyDescent="0.25">
      <c r="K1205" s="146"/>
    </row>
    <row r="1206" spans="11:11" x14ac:dyDescent="0.25">
      <c r="K1206" s="146"/>
    </row>
    <row r="1207" spans="11:11" x14ac:dyDescent="0.25">
      <c r="K1207" s="146"/>
    </row>
    <row r="1208" spans="11:11" x14ac:dyDescent="0.25">
      <c r="K1208" s="146"/>
    </row>
    <row r="1209" spans="11:11" x14ac:dyDescent="0.25">
      <c r="K1209" s="146"/>
    </row>
    <row r="1210" spans="11:11" x14ac:dyDescent="0.25">
      <c r="K1210" s="146"/>
    </row>
    <row r="1211" spans="11:11" x14ac:dyDescent="0.25">
      <c r="K1211" s="146"/>
    </row>
    <row r="1212" spans="11:11" x14ac:dyDescent="0.25">
      <c r="K1212" s="146"/>
    </row>
    <row r="1213" spans="11:11" x14ac:dyDescent="0.25">
      <c r="K1213" s="146"/>
    </row>
    <row r="1214" spans="11:11" x14ac:dyDescent="0.25">
      <c r="K1214" s="146"/>
    </row>
    <row r="1215" spans="11:11" x14ac:dyDescent="0.25">
      <c r="K1215" s="146"/>
    </row>
    <row r="1216" spans="11:11" x14ac:dyDescent="0.25">
      <c r="K1216" s="146"/>
    </row>
    <row r="1217" spans="11:11" x14ac:dyDescent="0.25">
      <c r="K1217" s="146"/>
    </row>
    <row r="1218" spans="11:11" x14ac:dyDescent="0.25">
      <c r="K1218" s="146"/>
    </row>
    <row r="1219" spans="11:11" x14ac:dyDescent="0.25">
      <c r="K1219" s="146"/>
    </row>
    <row r="1220" spans="11:11" x14ac:dyDescent="0.25">
      <c r="K1220" s="146"/>
    </row>
    <row r="1221" spans="11:11" x14ac:dyDescent="0.25">
      <c r="K1221" s="146"/>
    </row>
    <row r="1222" spans="11:11" x14ac:dyDescent="0.25">
      <c r="K1222" s="146"/>
    </row>
    <row r="1223" spans="11:11" x14ac:dyDescent="0.25">
      <c r="K1223" s="146"/>
    </row>
    <row r="1224" spans="11:11" x14ac:dyDescent="0.25">
      <c r="K1224" s="146"/>
    </row>
    <row r="1225" spans="11:11" x14ac:dyDescent="0.25">
      <c r="K1225" s="146"/>
    </row>
    <row r="1226" spans="11:11" x14ac:dyDescent="0.25">
      <c r="K1226" s="146"/>
    </row>
    <row r="1227" spans="11:11" x14ac:dyDescent="0.25">
      <c r="K1227" s="146"/>
    </row>
    <row r="1228" spans="11:11" x14ac:dyDescent="0.25">
      <c r="K1228" s="146"/>
    </row>
    <row r="1229" spans="11:11" x14ac:dyDescent="0.25">
      <c r="K1229" s="146"/>
    </row>
    <row r="1230" spans="11:11" x14ac:dyDescent="0.25">
      <c r="K1230" s="146"/>
    </row>
    <row r="1231" spans="11:11" x14ac:dyDescent="0.25">
      <c r="K1231" s="146"/>
    </row>
    <row r="1232" spans="11:11" x14ac:dyDescent="0.25">
      <c r="K1232" s="146"/>
    </row>
    <row r="1233" spans="11:11" x14ac:dyDescent="0.25">
      <c r="K1233" s="146"/>
    </row>
    <row r="1234" spans="11:11" x14ac:dyDescent="0.25">
      <c r="K1234" s="146"/>
    </row>
    <row r="1235" spans="11:11" x14ac:dyDescent="0.25">
      <c r="K1235" s="146"/>
    </row>
    <row r="1236" spans="11:11" x14ac:dyDescent="0.25">
      <c r="K1236" s="146"/>
    </row>
    <row r="1237" spans="11:11" x14ac:dyDescent="0.25">
      <c r="K1237" s="146"/>
    </row>
    <row r="1238" spans="11:11" x14ac:dyDescent="0.25">
      <c r="K1238" s="146"/>
    </row>
    <row r="1239" spans="11:11" x14ac:dyDescent="0.25">
      <c r="K1239" s="146"/>
    </row>
    <row r="1240" spans="11:11" x14ac:dyDescent="0.25">
      <c r="K1240" s="146"/>
    </row>
    <row r="1241" spans="11:11" x14ac:dyDescent="0.25">
      <c r="K1241" s="146"/>
    </row>
    <row r="1242" spans="11:11" x14ac:dyDescent="0.25">
      <c r="K1242" s="146"/>
    </row>
    <row r="1243" spans="11:11" x14ac:dyDescent="0.25">
      <c r="K1243" s="146"/>
    </row>
    <row r="1244" spans="11:11" x14ac:dyDescent="0.25">
      <c r="K1244" s="146"/>
    </row>
    <row r="1245" spans="11:11" x14ac:dyDescent="0.25">
      <c r="K1245" s="146"/>
    </row>
    <row r="1246" spans="11:11" x14ac:dyDescent="0.25">
      <c r="K1246" s="146"/>
    </row>
    <row r="1247" spans="11:11" x14ac:dyDescent="0.25">
      <c r="K1247" s="146"/>
    </row>
    <row r="1248" spans="11:11" x14ac:dyDescent="0.25">
      <c r="K1248" s="146"/>
    </row>
    <row r="1249" spans="11:11" x14ac:dyDescent="0.25">
      <c r="K1249" s="146"/>
    </row>
    <row r="1250" spans="11:11" x14ac:dyDescent="0.25">
      <c r="K1250" s="146"/>
    </row>
    <row r="1251" spans="11:11" x14ac:dyDescent="0.25">
      <c r="K1251" s="146"/>
    </row>
    <row r="1252" spans="11:11" x14ac:dyDescent="0.25">
      <c r="K1252" s="146"/>
    </row>
    <row r="1253" spans="11:11" x14ac:dyDescent="0.25">
      <c r="K1253" s="146"/>
    </row>
    <row r="1254" spans="11:11" x14ac:dyDescent="0.25">
      <c r="K1254" s="146"/>
    </row>
    <row r="1255" spans="11:11" x14ac:dyDescent="0.25">
      <c r="K1255" s="146"/>
    </row>
    <row r="1256" spans="11:11" x14ac:dyDescent="0.25">
      <c r="K1256" s="146"/>
    </row>
    <row r="1257" spans="11:11" x14ac:dyDescent="0.25">
      <c r="K1257" s="146"/>
    </row>
    <row r="1258" spans="11:11" x14ac:dyDescent="0.25">
      <c r="K1258" s="146"/>
    </row>
    <row r="1259" spans="11:11" x14ac:dyDescent="0.25">
      <c r="K1259" s="146"/>
    </row>
    <row r="1260" spans="11:11" x14ac:dyDescent="0.25">
      <c r="K1260" s="146"/>
    </row>
    <row r="1261" spans="11:11" x14ac:dyDescent="0.25">
      <c r="K1261" s="146"/>
    </row>
    <row r="1262" spans="11:11" x14ac:dyDescent="0.25">
      <c r="K1262" s="146"/>
    </row>
    <row r="1263" spans="11:11" x14ac:dyDescent="0.25">
      <c r="K1263" s="146"/>
    </row>
    <row r="1264" spans="11:11" x14ac:dyDescent="0.25">
      <c r="K1264" s="146"/>
    </row>
    <row r="1265" spans="11:11" x14ac:dyDescent="0.25">
      <c r="K1265" s="146"/>
    </row>
    <row r="1266" spans="11:11" x14ac:dyDescent="0.25">
      <c r="K1266" s="146"/>
    </row>
    <row r="1267" spans="11:11" x14ac:dyDescent="0.25">
      <c r="K1267" s="146"/>
    </row>
    <row r="1268" spans="11:11" x14ac:dyDescent="0.25">
      <c r="K1268" s="146"/>
    </row>
    <row r="1269" spans="11:11" x14ac:dyDescent="0.25">
      <c r="K1269" s="146"/>
    </row>
    <row r="1270" spans="11:11" x14ac:dyDescent="0.25">
      <c r="K1270" s="146"/>
    </row>
    <row r="1271" spans="11:11" x14ac:dyDescent="0.25">
      <c r="K1271" s="146"/>
    </row>
    <row r="1272" spans="11:11" x14ac:dyDescent="0.25">
      <c r="K1272" s="146"/>
    </row>
    <row r="1273" spans="11:11" x14ac:dyDescent="0.25">
      <c r="K1273" s="146"/>
    </row>
    <row r="1274" spans="11:11" x14ac:dyDescent="0.25">
      <c r="K1274" s="146"/>
    </row>
    <row r="1275" spans="11:11" x14ac:dyDescent="0.25">
      <c r="K1275" s="146"/>
    </row>
    <row r="1276" spans="11:11" x14ac:dyDescent="0.25">
      <c r="K1276" s="146"/>
    </row>
    <row r="1277" spans="11:11" x14ac:dyDescent="0.25">
      <c r="K1277" s="146"/>
    </row>
    <row r="1278" spans="11:11" x14ac:dyDescent="0.25">
      <c r="K1278" s="146"/>
    </row>
    <row r="1279" spans="11:11" x14ac:dyDescent="0.25">
      <c r="K1279" s="146"/>
    </row>
    <row r="1280" spans="11:11" x14ac:dyDescent="0.25">
      <c r="K1280" s="146"/>
    </row>
    <row r="1281" spans="11:11" x14ac:dyDescent="0.25">
      <c r="K1281" s="146"/>
    </row>
    <row r="1282" spans="11:11" x14ac:dyDescent="0.25">
      <c r="K1282" s="146"/>
    </row>
    <row r="1283" spans="11:11" x14ac:dyDescent="0.25">
      <c r="K1283" s="146"/>
    </row>
    <row r="1284" spans="11:11" x14ac:dyDescent="0.25">
      <c r="K1284" s="146"/>
    </row>
    <row r="1285" spans="11:11" x14ac:dyDescent="0.25">
      <c r="K1285" s="146"/>
    </row>
    <row r="1286" spans="11:11" x14ac:dyDescent="0.25">
      <c r="K1286" s="146"/>
    </row>
    <row r="1287" spans="11:11" x14ac:dyDescent="0.25">
      <c r="K1287" s="146"/>
    </row>
    <row r="1288" spans="11:11" x14ac:dyDescent="0.25">
      <c r="K1288" s="146"/>
    </row>
    <row r="1289" spans="11:11" x14ac:dyDescent="0.25">
      <c r="K1289" s="146"/>
    </row>
    <row r="1290" spans="11:11" x14ac:dyDescent="0.25">
      <c r="K1290" s="146"/>
    </row>
    <row r="1291" spans="11:11" x14ac:dyDescent="0.25">
      <c r="K1291" s="146"/>
    </row>
    <row r="1292" spans="11:11" x14ac:dyDescent="0.25">
      <c r="K1292" s="146"/>
    </row>
    <row r="1293" spans="11:11" x14ac:dyDescent="0.25">
      <c r="K1293" s="146"/>
    </row>
    <row r="1294" spans="11:11" x14ac:dyDescent="0.25">
      <c r="K1294" s="146"/>
    </row>
    <row r="1295" spans="11:11" x14ac:dyDescent="0.25">
      <c r="K1295" s="146"/>
    </row>
    <row r="1296" spans="11:11" x14ac:dyDescent="0.25">
      <c r="K1296" s="146"/>
    </row>
    <row r="1297" spans="11:11" x14ac:dyDescent="0.25">
      <c r="K1297" s="146"/>
    </row>
    <row r="1298" spans="11:11" x14ac:dyDescent="0.25">
      <c r="K1298" s="146"/>
    </row>
    <row r="1299" spans="11:11" x14ac:dyDescent="0.25">
      <c r="K1299" s="146"/>
    </row>
    <row r="1300" spans="11:11" x14ac:dyDescent="0.25">
      <c r="K1300" s="146"/>
    </row>
    <row r="1301" spans="11:11" x14ac:dyDescent="0.25">
      <c r="K1301" s="146"/>
    </row>
    <row r="1302" spans="11:11" x14ac:dyDescent="0.25">
      <c r="K1302" s="146"/>
    </row>
    <row r="1303" spans="11:11" x14ac:dyDescent="0.25">
      <c r="K1303" s="146"/>
    </row>
    <row r="1304" spans="11:11" x14ac:dyDescent="0.25">
      <c r="K1304" s="146"/>
    </row>
    <row r="1305" spans="11:11" x14ac:dyDescent="0.25">
      <c r="K1305" s="146"/>
    </row>
    <row r="1306" spans="11:11" x14ac:dyDescent="0.25">
      <c r="K1306" s="146"/>
    </row>
    <row r="1307" spans="11:11" x14ac:dyDescent="0.25">
      <c r="K1307" s="146"/>
    </row>
    <row r="1308" spans="11:11" x14ac:dyDescent="0.25">
      <c r="K1308" s="146"/>
    </row>
    <row r="1309" spans="11:11" x14ac:dyDescent="0.25">
      <c r="K1309" s="146"/>
    </row>
    <row r="1310" spans="11:11" x14ac:dyDescent="0.25">
      <c r="K1310" s="146"/>
    </row>
    <row r="1311" spans="11:11" x14ac:dyDescent="0.25">
      <c r="K1311" s="146"/>
    </row>
    <row r="1312" spans="11:11" x14ac:dyDescent="0.25">
      <c r="K1312" s="146"/>
    </row>
    <row r="1313" spans="11:11" x14ac:dyDescent="0.25">
      <c r="K1313" s="146"/>
    </row>
    <row r="1314" spans="11:11" x14ac:dyDescent="0.25">
      <c r="K1314" s="146"/>
    </row>
    <row r="1315" spans="11:11" x14ac:dyDescent="0.25">
      <c r="K1315" s="146"/>
    </row>
    <row r="1316" spans="11:11" x14ac:dyDescent="0.25">
      <c r="K1316" s="146"/>
    </row>
    <row r="1317" spans="11:11" x14ac:dyDescent="0.25">
      <c r="K1317" s="146"/>
    </row>
    <row r="1318" spans="11:11" x14ac:dyDescent="0.25">
      <c r="K1318" s="146"/>
    </row>
    <row r="1319" spans="11:11" x14ac:dyDescent="0.25">
      <c r="K1319" s="146"/>
    </row>
    <row r="1320" spans="11:11" x14ac:dyDescent="0.25">
      <c r="K1320" s="146"/>
    </row>
    <row r="1321" spans="11:11" x14ac:dyDescent="0.25">
      <c r="K1321" s="146"/>
    </row>
    <row r="1322" spans="11:11" x14ac:dyDescent="0.25">
      <c r="K1322" s="146"/>
    </row>
    <row r="1323" spans="11:11" x14ac:dyDescent="0.25">
      <c r="K1323" s="146"/>
    </row>
    <row r="1324" spans="11:11" x14ac:dyDescent="0.25">
      <c r="K1324" s="146"/>
    </row>
    <row r="1325" spans="11:11" x14ac:dyDescent="0.25">
      <c r="K1325" s="146"/>
    </row>
    <row r="1326" spans="11:11" x14ac:dyDescent="0.25">
      <c r="K1326" s="146"/>
    </row>
    <row r="1327" spans="11:11" x14ac:dyDescent="0.25">
      <c r="K1327" s="146"/>
    </row>
    <row r="1328" spans="11:11" x14ac:dyDescent="0.25">
      <c r="K1328" s="146"/>
    </row>
    <row r="1329" spans="11:11" x14ac:dyDescent="0.25">
      <c r="K1329" s="146"/>
    </row>
    <row r="1330" spans="11:11" x14ac:dyDescent="0.25">
      <c r="K1330" s="146"/>
    </row>
    <row r="1331" spans="11:11" x14ac:dyDescent="0.25">
      <c r="K1331" s="146"/>
    </row>
    <row r="1332" spans="11:11" x14ac:dyDescent="0.25">
      <c r="K1332" s="146"/>
    </row>
    <row r="1333" spans="11:11" x14ac:dyDescent="0.25">
      <c r="K1333" s="146"/>
    </row>
    <row r="1334" spans="11:11" x14ac:dyDescent="0.25">
      <c r="K1334" s="146"/>
    </row>
    <row r="1335" spans="11:11" x14ac:dyDescent="0.25">
      <c r="K1335" s="146"/>
    </row>
    <row r="1336" spans="11:11" x14ac:dyDescent="0.25">
      <c r="K1336" s="146"/>
    </row>
    <row r="1337" spans="11:11" x14ac:dyDescent="0.25">
      <c r="K1337" s="146"/>
    </row>
    <row r="1338" spans="11:11" x14ac:dyDescent="0.25">
      <c r="K1338" s="146"/>
    </row>
    <row r="1339" spans="11:11" x14ac:dyDescent="0.25">
      <c r="K1339" s="146"/>
    </row>
    <row r="1340" spans="11:11" x14ac:dyDescent="0.25">
      <c r="K1340" s="146"/>
    </row>
    <row r="1341" spans="11:11" x14ac:dyDescent="0.25">
      <c r="K1341" s="146"/>
    </row>
    <row r="1342" spans="11:11" x14ac:dyDescent="0.25">
      <c r="K1342" s="146"/>
    </row>
    <row r="1343" spans="11:11" x14ac:dyDescent="0.25">
      <c r="K1343" s="146"/>
    </row>
    <row r="1344" spans="11:11" x14ac:dyDescent="0.25">
      <c r="K1344" s="146"/>
    </row>
    <row r="1345" spans="11:11" x14ac:dyDescent="0.25">
      <c r="K1345" s="146"/>
    </row>
    <row r="1346" spans="11:11" x14ac:dyDescent="0.25">
      <c r="K1346" s="146"/>
    </row>
    <row r="1347" spans="11:11" x14ac:dyDescent="0.25">
      <c r="K1347" s="146"/>
    </row>
    <row r="1348" spans="11:11" x14ac:dyDescent="0.25">
      <c r="K1348" s="146"/>
    </row>
    <row r="1349" spans="11:11" x14ac:dyDescent="0.25">
      <c r="K1349" s="146"/>
    </row>
    <row r="1350" spans="11:11" x14ac:dyDescent="0.25">
      <c r="K1350" s="146"/>
    </row>
    <row r="1351" spans="11:11" x14ac:dyDescent="0.25">
      <c r="K1351" s="146"/>
    </row>
    <row r="1352" spans="11:11" x14ac:dyDescent="0.25">
      <c r="K1352" s="146"/>
    </row>
    <row r="1353" spans="11:11" x14ac:dyDescent="0.25">
      <c r="K1353" s="146"/>
    </row>
    <row r="1354" spans="11:11" x14ac:dyDescent="0.25">
      <c r="K1354" s="146"/>
    </row>
    <row r="1355" spans="11:11" x14ac:dyDescent="0.25">
      <c r="K1355" s="146"/>
    </row>
    <row r="1356" spans="11:11" x14ac:dyDescent="0.25">
      <c r="K1356" s="146"/>
    </row>
    <row r="1357" spans="11:11" x14ac:dyDescent="0.25">
      <c r="K1357" s="146"/>
    </row>
    <row r="1358" spans="11:11" x14ac:dyDescent="0.25">
      <c r="K1358" s="146"/>
    </row>
    <row r="1359" spans="11:11" x14ac:dyDescent="0.25">
      <c r="K1359" s="146"/>
    </row>
    <row r="1360" spans="11:11" x14ac:dyDescent="0.25">
      <c r="K1360" s="146"/>
    </row>
    <row r="1361" spans="11:11" x14ac:dyDescent="0.25">
      <c r="K1361" s="146"/>
    </row>
    <row r="1362" spans="11:11" x14ac:dyDescent="0.25">
      <c r="K1362" s="146"/>
    </row>
    <row r="1363" spans="11:11" x14ac:dyDescent="0.25">
      <c r="K1363" s="146"/>
    </row>
    <row r="1364" spans="11:11" x14ac:dyDescent="0.25">
      <c r="K1364" s="146"/>
    </row>
    <row r="1365" spans="11:11" x14ac:dyDescent="0.25">
      <c r="K1365" s="146"/>
    </row>
    <row r="1366" spans="11:11" x14ac:dyDescent="0.25">
      <c r="K1366" s="146"/>
    </row>
    <row r="1367" spans="11:11" x14ac:dyDescent="0.25">
      <c r="K1367" s="146"/>
    </row>
    <row r="1368" spans="11:11" x14ac:dyDescent="0.25">
      <c r="K1368" s="146"/>
    </row>
    <row r="1369" spans="11:11" x14ac:dyDescent="0.25">
      <c r="K1369" s="146"/>
    </row>
    <row r="1370" spans="11:11" x14ac:dyDescent="0.25">
      <c r="K1370" s="146"/>
    </row>
    <row r="1371" spans="11:11" x14ac:dyDescent="0.25">
      <c r="K1371" s="146"/>
    </row>
    <row r="1372" spans="11:11" x14ac:dyDescent="0.25">
      <c r="K1372" s="146"/>
    </row>
    <row r="1373" spans="11:11" x14ac:dyDescent="0.25">
      <c r="K1373" s="146"/>
    </row>
    <row r="1374" spans="11:11" x14ac:dyDescent="0.25">
      <c r="K1374" s="146"/>
    </row>
    <row r="1375" spans="11:11" x14ac:dyDescent="0.25">
      <c r="K1375" s="146"/>
    </row>
    <row r="1376" spans="11:11" x14ac:dyDescent="0.25">
      <c r="K1376" s="146"/>
    </row>
    <row r="1377" spans="11:11" x14ac:dyDescent="0.25">
      <c r="K1377" s="146"/>
    </row>
    <row r="1378" spans="11:11" x14ac:dyDescent="0.25">
      <c r="K1378" s="146"/>
    </row>
    <row r="1379" spans="11:11" x14ac:dyDescent="0.25">
      <c r="K1379" s="146"/>
    </row>
    <row r="1380" spans="11:11" x14ac:dyDescent="0.25">
      <c r="K1380" s="146"/>
    </row>
    <row r="1381" spans="11:11" x14ac:dyDescent="0.25">
      <c r="K1381" s="146"/>
    </row>
    <row r="1382" spans="11:11" x14ac:dyDescent="0.25">
      <c r="K1382" s="146"/>
    </row>
    <row r="1383" spans="11:11" x14ac:dyDescent="0.25">
      <c r="K1383" s="146"/>
    </row>
    <row r="1384" spans="11:11" x14ac:dyDescent="0.25">
      <c r="K1384" s="146"/>
    </row>
    <row r="1385" spans="11:11" x14ac:dyDescent="0.25">
      <c r="K1385" s="146"/>
    </row>
    <row r="1386" spans="11:11" x14ac:dyDescent="0.25">
      <c r="K1386" s="146"/>
    </row>
    <row r="1387" spans="11:11" x14ac:dyDescent="0.25">
      <c r="K1387" s="146"/>
    </row>
    <row r="1388" spans="11:11" x14ac:dyDescent="0.25">
      <c r="K1388" s="146"/>
    </row>
    <row r="1389" spans="11:11" x14ac:dyDescent="0.25">
      <c r="K1389" s="146"/>
    </row>
    <row r="1390" spans="11:11" x14ac:dyDescent="0.25">
      <c r="K1390" s="146"/>
    </row>
    <row r="1391" spans="11:11" x14ac:dyDescent="0.25">
      <c r="K1391" s="146"/>
    </row>
    <row r="1392" spans="11:11" x14ac:dyDescent="0.25">
      <c r="K1392" s="146"/>
    </row>
    <row r="1393" spans="11:11" x14ac:dyDescent="0.25">
      <c r="K1393" s="146"/>
    </row>
    <row r="1394" spans="11:11" x14ac:dyDescent="0.25">
      <c r="K1394" s="146"/>
    </row>
    <row r="1395" spans="11:11" x14ac:dyDescent="0.25">
      <c r="K1395" s="146"/>
    </row>
    <row r="1396" spans="11:11" x14ac:dyDescent="0.25">
      <c r="K1396" s="146"/>
    </row>
    <row r="1397" spans="11:11" x14ac:dyDescent="0.25">
      <c r="K1397" s="146"/>
    </row>
    <row r="1398" spans="11:11" x14ac:dyDescent="0.25">
      <c r="K1398" s="146"/>
    </row>
    <row r="1399" spans="11:11" x14ac:dyDescent="0.25">
      <c r="K1399" s="146"/>
    </row>
    <row r="1400" spans="11:11" x14ac:dyDescent="0.25">
      <c r="K1400" s="146"/>
    </row>
    <row r="1401" spans="11:11" x14ac:dyDescent="0.25">
      <c r="K1401" s="146"/>
    </row>
    <row r="1402" spans="11:11" x14ac:dyDescent="0.25">
      <c r="K1402" s="146"/>
    </row>
    <row r="1403" spans="11:11" x14ac:dyDescent="0.25">
      <c r="K1403" s="146"/>
    </row>
    <row r="1404" spans="11:11" x14ac:dyDescent="0.25">
      <c r="K1404" s="146"/>
    </row>
    <row r="1405" spans="11:11" x14ac:dyDescent="0.25">
      <c r="K1405" s="146"/>
    </row>
    <row r="1406" spans="11:11" x14ac:dyDescent="0.25">
      <c r="K1406" s="146"/>
    </row>
    <row r="1407" spans="11:11" x14ac:dyDescent="0.25">
      <c r="K1407" s="146"/>
    </row>
    <row r="1408" spans="11:11" x14ac:dyDescent="0.25">
      <c r="K1408" s="146"/>
    </row>
    <row r="1409" spans="11:11" x14ac:dyDescent="0.25">
      <c r="K1409" s="146"/>
    </row>
    <row r="1410" spans="11:11" x14ac:dyDescent="0.25">
      <c r="K1410" s="146"/>
    </row>
    <row r="1411" spans="11:11" x14ac:dyDescent="0.25">
      <c r="K1411" s="146"/>
    </row>
    <row r="1412" spans="11:11" x14ac:dyDescent="0.25">
      <c r="K1412" s="146"/>
    </row>
    <row r="1413" spans="11:11" x14ac:dyDescent="0.25">
      <c r="K1413" s="146"/>
    </row>
    <row r="1414" spans="11:11" x14ac:dyDescent="0.25">
      <c r="K1414" s="146"/>
    </row>
    <row r="1415" spans="11:11" x14ac:dyDescent="0.25">
      <c r="K1415" s="146"/>
    </row>
    <row r="1416" spans="11:11" x14ac:dyDescent="0.25">
      <c r="K1416" s="146"/>
    </row>
    <row r="1417" spans="11:11" x14ac:dyDescent="0.25">
      <c r="K1417" s="146"/>
    </row>
    <row r="1418" spans="11:11" x14ac:dyDescent="0.25">
      <c r="K1418" s="146"/>
    </row>
    <row r="1419" spans="11:11" x14ac:dyDescent="0.25">
      <c r="K1419" s="146"/>
    </row>
    <row r="1420" spans="11:11" x14ac:dyDescent="0.25">
      <c r="K1420" s="146"/>
    </row>
    <row r="1421" spans="11:11" x14ac:dyDescent="0.25">
      <c r="K1421" s="146"/>
    </row>
    <row r="1422" spans="11:11" x14ac:dyDescent="0.25">
      <c r="K1422" s="146"/>
    </row>
    <row r="1423" spans="11:11" x14ac:dyDescent="0.25">
      <c r="K1423" s="146"/>
    </row>
    <row r="1424" spans="11:11" x14ac:dyDescent="0.25">
      <c r="K1424" s="146"/>
    </row>
    <row r="1425" spans="11:11" x14ac:dyDescent="0.25">
      <c r="K1425" s="146"/>
    </row>
    <row r="1426" spans="11:11" x14ac:dyDescent="0.25">
      <c r="K1426" s="146"/>
    </row>
    <row r="1427" spans="11:11" x14ac:dyDescent="0.25">
      <c r="K1427" s="146"/>
    </row>
    <row r="1428" spans="11:11" x14ac:dyDescent="0.25">
      <c r="K1428" s="146"/>
    </row>
    <row r="1429" spans="11:11" x14ac:dyDescent="0.25">
      <c r="K1429" s="146"/>
    </row>
    <row r="1430" spans="11:11" x14ac:dyDescent="0.25">
      <c r="K1430" s="146"/>
    </row>
    <row r="1431" spans="11:11" x14ac:dyDescent="0.25">
      <c r="K1431" s="146"/>
    </row>
    <row r="1432" spans="11:11" x14ac:dyDescent="0.25">
      <c r="K1432" s="146"/>
    </row>
    <row r="1433" spans="11:11" x14ac:dyDescent="0.25">
      <c r="K1433" s="146"/>
    </row>
    <row r="1434" spans="11:11" x14ac:dyDescent="0.25">
      <c r="K1434" s="146"/>
    </row>
    <row r="1435" spans="11:11" x14ac:dyDescent="0.25">
      <c r="K1435" s="146"/>
    </row>
    <row r="1436" spans="11:11" x14ac:dyDescent="0.25">
      <c r="K1436" s="146"/>
    </row>
    <row r="1437" spans="11:11" x14ac:dyDescent="0.25">
      <c r="K1437" s="146"/>
    </row>
    <row r="1438" spans="11:11" x14ac:dyDescent="0.25">
      <c r="K1438" s="146"/>
    </row>
    <row r="1439" spans="11:11" x14ac:dyDescent="0.25">
      <c r="K1439" s="146"/>
    </row>
    <row r="1440" spans="11:11" x14ac:dyDescent="0.25">
      <c r="K1440" s="146"/>
    </row>
    <row r="1441" spans="11:11" x14ac:dyDescent="0.25">
      <c r="K1441" s="146"/>
    </row>
    <row r="1442" spans="11:11" x14ac:dyDescent="0.25">
      <c r="K1442" s="146"/>
    </row>
    <row r="1443" spans="11:11" x14ac:dyDescent="0.25">
      <c r="K1443" s="146"/>
    </row>
    <row r="1444" spans="11:11" x14ac:dyDescent="0.25">
      <c r="K1444" s="146"/>
    </row>
    <row r="1445" spans="11:11" x14ac:dyDescent="0.25">
      <c r="K1445" s="146"/>
    </row>
    <row r="1446" spans="11:11" x14ac:dyDescent="0.25">
      <c r="K1446" s="146"/>
    </row>
    <row r="1447" spans="11:11" x14ac:dyDescent="0.25">
      <c r="K1447" s="146"/>
    </row>
    <row r="1448" spans="11:11" x14ac:dyDescent="0.25">
      <c r="K1448" s="146"/>
    </row>
    <row r="1449" spans="11:11" x14ac:dyDescent="0.25">
      <c r="K1449" s="146"/>
    </row>
    <row r="1450" spans="11:11" x14ac:dyDescent="0.25">
      <c r="K1450" s="146"/>
    </row>
    <row r="1451" spans="11:11" x14ac:dyDescent="0.25">
      <c r="K1451" s="146"/>
    </row>
    <row r="1452" spans="11:11" x14ac:dyDescent="0.25">
      <c r="K1452" s="146"/>
    </row>
    <row r="1453" spans="11:11" x14ac:dyDescent="0.25">
      <c r="K1453" s="146"/>
    </row>
    <row r="1454" spans="11:11" x14ac:dyDescent="0.25">
      <c r="K1454" s="146"/>
    </row>
    <row r="1455" spans="11:11" x14ac:dyDescent="0.25">
      <c r="K1455" s="146"/>
    </row>
    <row r="1456" spans="11:11" x14ac:dyDescent="0.25">
      <c r="K1456" s="146"/>
    </row>
    <row r="1457" spans="11:11" x14ac:dyDescent="0.25">
      <c r="K1457" s="146"/>
    </row>
    <row r="1458" spans="11:11" x14ac:dyDescent="0.25">
      <c r="K1458" s="146"/>
    </row>
    <row r="1459" spans="11:11" x14ac:dyDescent="0.25">
      <c r="K1459" s="146"/>
    </row>
    <row r="1460" spans="11:11" x14ac:dyDescent="0.25">
      <c r="K1460" s="146"/>
    </row>
    <row r="1461" spans="11:11" x14ac:dyDescent="0.25">
      <c r="K1461" s="146"/>
    </row>
    <row r="1462" spans="11:11" x14ac:dyDescent="0.25">
      <c r="K1462" s="146"/>
    </row>
    <row r="1463" spans="11:11" x14ac:dyDescent="0.25">
      <c r="K1463" s="146"/>
    </row>
    <row r="1464" spans="11:11" x14ac:dyDescent="0.25">
      <c r="K1464" s="146"/>
    </row>
    <row r="1465" spans="11:11" x14ac:dyDescent="0.25">
      <c r="K1465" s="146"/>
    </row>
    <row r="1466" spans="11:11" x14ac:dyDescent="0.25">
      <c r="K1466" s="146"/>
    </row>
    <row r="1467" spans="11:11" x14ac:dyDescent="0.25">
      <c r="K1467" s="146"/>
    </row>
    <row r="1468" spans="11:11" x14ac:dyDescent="0.25">
      <c r="K1468" s="146"/>
    </row>
    <row r="1469" spans="11:11" x14ac:dyDescent="0.25">
      <c r="K1469" s="146"/>
    </row>
    <row r="1470" spans="11:11" x14ac:dyDescent="0.25">
      <c r="K1470" s="146"/>
    </row>
    <row r="1471" spans="11:11" x14ac:dyDescent="0.25">
      <c r="K1471" s="146"/>
    </row>
    <row r="1472" spans="11:11" x14ac:dyDescent="0.25">
      <c r="K1472" s="146"/>
    </row>
    <row r="1473" spans="11:11" x14ac:dyDescent="0.25">
      <c r="K1473" s="146"/>
    </row>
    <row r="1474" spans="11:11" x14ac:dyDescent="0.25">
      <c r="K1474" s="146"/>
    </row>
    <row r="1475" spans="11:11" x14ac:dyDescent="0.25">
      <c r="K1475" s="146"/>
    </row>
    <row r="1476" spans="11:11" x14ac:dyDescent="0.25">
      <c r="K1476" s="146"/>
    </row>
    <row r="1477" spans="11:11" x14ac:dyDescent="0.25">
      <c r="K1477" s="146"/>
    </row>
    <row r="1478" spans="11:11" x14ac:dyDescent="0.25">
      <c r="K1478" s="146"/>
    </row>
    <row r="1479" spans="11:11" x14ac:dyDescent="0.25">
      <c r="K1479" s="146"/>
    </row>
    <row r="1480" spans="11:11" x14ac:dyDescent="0.25">
      <c r="K1480" s="146"/>
    </row>
    <row r="1481" spans="11:11" x14ac:dyDescent="0.25">
      <c r="K1481" s="146"/>
    </row>
    <row r="1482" spans="11:11" x14ac:dyDescent="0.25">
      <c r="K1482" s="146"/>
    </row>
    <row r="1483" spans="11:11" x14ac:dyDescent="0.25">
      <c r="K1483" s="146"/>
    </row>
    <row r="1484" spans="11:11" x14ac:dyDescent="0.25">
      <c r="K1484" s="146"/>
    </row>
    <row r="1485" spans="11:11" x14ac:dyDescent="0.25">
      <c r="K1485" s="146"/>
    </row>
    <row r="1486" spans="11:11" x14ac:dyDescent="0.25">
      <c r="K1486" s="146"/>
    </row>
    <row r="1487" spans="11:11" x14ac:dyDescent="0.25">
      <c r="K1487" s="146"/>
    </row>
    <row r="1488" spans="11:11" x14ac:dyDescent="0.25">
      <c r="K1488" s="146"/>
    </row>
    <row r="1489" spans="11:11" x14ac:dyDescent="0.25">
      <c r="K1489" s="146"/>
    </row>
    <row r="1490" spans="11:11" x14ac:dyDescent="0.25">
      <c r="K1490" s="146"/>
    </row>
    <row r="1491" spans="11:11" x14ac:dyDescent="0.25">
      <c r="K1491" s="146"/>
    </row>
    <row r="1492" spans="11:11" x14ac:dyDescent="0.25">
      <c r="K1492" s="146"/>
    </row>
    <row r="1493" spans="11:11" x14ac:dyDescent="0.25">
      <c r="K1493" s="146"/>
    </row>
    <row r="1494" spans="11:11" x14ac:dyDescent="0.25">
      <c r="K1494" s="146"/>
    </row>
    <row r="1495" spans="11:11" x14ac:dyDescent="0.25">
      <c r="K1495" s="146"/>
    </row>
    <row r="1496" spans="11:11" x14ac:dyDescent="0.25">
      <c r="K1496" s="146"/>
    </row>
    <row r="1497" spans="11:11" x14ac:dyDescent="0.25">
      <c r="K1497" s="146"/>
    </row>
    <row r="1498" spans="11:11" x14ac:dyDescent="0.25">
      <c r="K1498" s="146"/>
    </row>
    <row r="1499" spans="11:11" x14ac:dyDescent="0.25">
      <c r="K1499" s="146"/>
    </row>
    <row r="1500" spans="11:11" x14ac:dyDescent="0.25">
      <c r="K1500" s="146"/>
    </row>
    <row r="1501" spans="11:11" x14ac:dyDescent="0.25">
      <c r="K1501" s="146"/>
    </row>
    <row r="1502" spans="11:11" x14ac:dyDescent="0.25">
      <c r="K1502" s="146"/>
    </row>
    <row r="1503" spans="11:11" x14ac:dyDescent="0.25">
      <c r="K1503" s="146"/>
    </row>
    <row r="1504" spans="11:11" x14ac:dyDescent="0.25">
      <c r="K1504" s="146"/>
    </row>
    <row r="1505" spans="11:11" x14ac:dyDescent="0.25">
      <c r="K1505" s="146"/>
    </row>
    <row r="1506" spans="11:11" x14ac:dyDescent="0.25">
      <c r="K1506" s="146"/>
    </row>
    <row r="1507" spans="11:11" x14ac:dyDescent="0.25">
      <c r="K1507" s="146"/>
    </row>
    <row r="1508" spans="11:11" x14ac:dyDescent="0.25">
      <c r="K1508" s="146"/>
    </row>
    <row r="1509" spans="11:11" x14ac:dyDescent="0.25">
      <c r="K1509" s="146"/>
    </row>
    <row r="1510" spans="11:11" x14ac:dyDescent="0.25">
      <c r="K1510" s="146"/>
    </row>
    <row r="1511" spans="11:11" x14ac:dyDescent="0.25">
      <c r="K1511" s="146"/>
    </row>
    <row r="1512" spans="11:11" x14ac:dyDescent="0.25">
      <c r="K1512" s="146"/>
    </row>
    <row r="1513" spans="11:11" x14ac:dyDescent="0.25">
      <c r="K1513" s="146"/>
    </row>
    <row r="1514" spans="11:11" x14ac:dyDescent="0.25">
      <c r="K1514" s="146"/>
    </row>
    <row r="1515" spans="11:11" x14ac:dyDescent="0.25">
      <c r="K1515" s="146"/>
    </row>
    <row r="1516" spans="11:11" x14ac:dyDescent="0.25">
      <c r="K1516" s="146"/>
    </row>
    <row r="1517" spans="11:11" x14ac:dyDescent="0.25">
      <c r="K1517" s="146"/>
    </row>
    <row r="1518" spans="11:11" x14ac:dyDescent="0.25">
      <c r="K1518" s="146"/>
    </row>
    <row r="1519" spans="11:11" x14ac:dyDescent="0.25">
      <c r="K1519" s="146"/>
    </row>
    <row r="1520" spans="11:11" x14ac:dyDescent="0.25">
      <c r="K1520" s="146"/>
    </row>
    <row r="1521" spans="11:11" x14ac:dyDescent="0.25">
      <c r="K1521" s="146"/>
    </row>
    <row r="1522" spans="11:11" x14ac:dyDescent="0.25">
      <c r="K1522" s="146"/>
    </row>
    <row r="1523" spans="11:11" x14ac:dyDescent="0.25">
      <c r="K1523" s="146"/>
    </row>
    <row r="1524" spans="11:11" x14ac:dyDescent="0.25">
      <c r="K1524" s="146"/>
    </row>
    <row r="1525" spans="11:11" x14ac:dyDescent="0.25">
      <c r="K1525" s="146"/>
    </row>
    <row r="1526" spans="11:11" x14ac:dyDescent="0.25">
      <c r="K1526" s="146"/>
    </row>
    <row r="1527" spans="11:11" x14ac:dyDescent="0.25">
      <c r="K1527" s="146"/>
    </row>
    <row r="1528" spans="11:11" x14ac:dyDescent="0.25">
      <c r="K1528" s="146"/>
    </row>
    <row r="1529" spans="11:11" x14ac:dyDescent="0.25">
      <c r="K1529" s="146"/>
    </row>
    <row r="1530" spans="11:11" x14ac:dyDescent="0.25">
      <c r="K1530" s="146"/>
    </row>
    <row r="1531" spans="11:11" x14ac:dyDescent="0.25">
      <c r="K1531" s="146"/>
    </row>
    <row r="1532" spans="11:11" x14ac:dyDescent="0.25">
      <c r="K1532" s="146"/>
    </row>
    <row r="1533" spans="11:11" x14ac:dyDescent="0.25">
      <c r="K1533" s="146"/>
    </row>
    <row r="1534" spans="11:11" x14ac:dyDescent="0.25">
      <c r="K1534" s="146"/>
    </row>
    <row r="1535" spans="11:11" x14ac:dyDescent="0.25">
      <c r="K1535" s="146"/>
    </row>
    <row r="1536" spans="11:11" x14ac:dyDescent="0.25">
      <c r="K1536" s="146"/>
    </row>
    <row r="1537" spans="11:11" x14ac:dyDescent="0.25">
      <c r="K1537" s="146"/>
    </row>
    <row r="1538" spans="11:11" x14ac:dyDescent="0.25">
      <c r="K1538" s="146"/>
    </row>
    <row r="1539" spans="11:11" x14ac:dyDescent="0.25">
      <c r="K1539" s="146"/>
    </row>
    <row r="1540" spans="11:11" x14ac:dyDescent="0.25">
      <c r="K1540" s="146"/>
    </row>
    <row r="1541" spans="11:11" x14ac:dyDescent="0.25">
      <c r="K1541" s="146"/>
    </row>
    <row r="1542" spans="11:11" x14ac:dyDescent="0.25">
      <c r="K1542" s="146"/>
    </row>
    <row r="1543" spans="11:11" x14ac:dyDescent="0.25">
      <c r="K1543" s="146"/>
    </row>
    <row r="1544" spans="11:11" x14ac:dyDescent="0.25">
      <c r="K1544" s="146"/>
    </row>
    <row r="1545" spans="11:11" x14ac:dyDescent="0.25">
      <c r="K1545" s="146"/>
    </row>
    <row r="1546" spans="11:11" x14ac:dyDescent="0.25">
      <c r="K1546" s="146"/>
    </row>
    <row r="1547" spans="11:11" x14ac:dyDescent="0.25">
      <c r="K1547" s="146"/>
    </row>
    <row r="1548" spans="11:11" x14ac:dyDescent="0.25">
      <c r="K1548" s="146"/>
    </row>
    <row r="1549" spans="11:11" x14ac:dyDescent="0.25">
      <c r="K1549" s="146"/>
    </row>
    <row r="1550" spans="11:11" x14ac:dyDescent="0.25">
      <c r="K1550" s="146"/>
    </row>
    <row r="1551" spans="11:11" x14ac:dyDescent="0.25">
      <c r="K1551" s="146"/>
    </row>
    <row r="1552" spans="11:11" x14ac:dyDescent="0.25">
      <c r="K1552" s="146"/>
    </row>
    <row r="1553" spans="11:11" x14ac:dyDescent="0.25">
      <c r="K1553" s="146"/>
    </row>
    <row r="1554" spans="11:11" x14ac:dyDescent="0.25">
      <c r="K1554" s="146"/>
    </row>
    <row r="1555" spans="11:11" x14ac:dyDescent="0.25">
      <c r="K1555" s="146"/>
    </row>
    <row r="1556" spans="11:11" x14ac:dyDescent="0.25">
      <c r="K1556" s="146"/>
    </row>
    <row r="1557" spans="11:11" x14ac:dyDescent="0.25">
      <c r="K1557" s="146"/>
    </row>
    <row r="1558" spans="11:11" x14ac:dyDescent="0.25">
      <c r="K1558" s="146"/>
    </row>
    <row r="1559" spans="11:11" x14ac:dyDescent="0.25">
      <c r="K1559" s="146"/>
    </row>
    <row r="1560" spans="11:11" x14ac:dyDescent="0.25">
      <c r="K1560" s="146"/>
    </row>
    <row r="1561" spans="11:11" x14ac:dyDescent="0.25">
      <c r="K1561" s="146"/>
    </row>
    <row r="1562" spans="11:11" x14ac:dyDescent="0.25">
      <c r="K1562" s="146"/>
    </row>
    <row r="1563" spans="11:11" x14ac:dyDescent="0.25">
      <c r="K1563" s="146"/>
    </row>
    <row r="1564" spans="11:11" x14ac:dyDescent="0.25">
      <c r="K1564" s="146"/>
    </row>
    <row r="1565" spans="11:11" x14ac:dyDescent="0.25">
      <c r="K1565" s="146"/>
    </row>
    <row r="1566" spans="11:11" x14ac:dyDescent="0.25">
      <c r="K1566" s="146"/>
    </row>
    <row r="1567" spans="11:11" x14ac:dyDescent="0.25">
      <c r="K1567" s="146"/>
    </row>
    <row r="1568" spans="11:11" x14ac:dyDescent="0.25">
      <c r="K1568" s="146"/>
    </row>
    <row r="1569" spans="11:11" x14ac:dyDescent="0.25">
      <c r="K1569" s="146"/>
    </row>
    <row r="1570" spans="11:11" x14ac:dyDescent="0.25">
      <c r="K1570" s="146"/>
    </row>
    <row r="1571" spans="11:11" x14ac:dyDescent="0.25">
      <c r="K1571" s="146"/>
    </row>
    <row r="1572" spans="11:11" x14ac:dyDescent="0.25">
      <c r="K1572" s="146"/>
    </row>
    <row r="1573" spans="11:11" x14ac:dyDescent="0.25">
      <c r="K1573" s="146"/>
    </row>
    <row r="1574" spans="11:11" x14ac:dyDescent="0.25">
      <c r="K1574" s="146"/>
    </row>
    <row r="1575" spans="11:11" x14ac:dyDescent="0.25">
      <c r="K1575" s="146"/>
    </row>
    <row r="1576" spans="11:11" x14ac:dyDescent="0.25">
      <c r="K1576" s="146"/>
    </row>
    <row r="1577" spans="11:11" x14ac:dyDescent="0.25">
      <c r="K1577" s="146"/>
    </row>
    <row r="1578" spans="11:11" x14ac:dyDescent="0.25">
      <c r="K1578" s="146"/>
    </row>
    <row r="1579" spans="11:11" x14ac:dyDescent="0.25">
      <c r="K1579" s="146"/>
    </row>
    <row r="1580" spans="11:11" x14ac:dyDescent="0.25">
      <c r="K1580" s="146"/>
    </row>
    <row r="1581" spans="11:11" x14ac:dyDescent="0.25">
      <c r="K1581" s="146"/>
    </row>
    <row r="1582" spans="11:11" x14ac:dyDescent="0.25">
      <c r="K1582" s="146"/>
    </row>
    <row r="1583" spans="11:11" x14ac:dyDescent="0.25">
      <c r="K1583" s="146"/>
    </row>
    <row r="1584" spans="11:11" x14ac:dyDescent="0.25">
      <c r="K1584" s="146"/>
    </row>
    <row r="1585" spans="11:11" x14ac:dyDescent="0.25">
      <c r="K1585" s="146"/>
    </row>
    <row r="1586" spans="11:11" x14ac:dyDescent="0.25">
      <c r="K1586" s="146"/>
    </row>
    <row r="1587" spans="11:11" x14ac:dyDescent="0.25">
      <c r="K1587" s="146"/>
    </row>
    <row r="1588" spans="11:11" x14ac:dyDescent="0.25">
      <c r="K1588" s="146"/>
    </row>
    <row r="1589" spans="11:11" x14ac:dyDescent="0.25">
      <c r="K1589" s="146"/>
    </row>
    <row r="1590" spans="11:11" x14ac:dyDescent="0.25">
      <c r="K1590" s="146"/>
    </row>
    <row r="1591" spans="11:11" x14ac:dyDescent="0.25">
      <c r="K1591" s="146"/>
    </row>
    <row r="1592" spans="11:11" x14ac:dyDescent="0.25">
      <c r="K1592" s="146"/>
    </row>
    <row r="1593" spans="11:11" x14ac:dyDescent="0.25">
      <c r="K1593" s="146"/>
    </row>
    <row r="1594" spans="11:11" x14ac:dyDescent="0.25">
      <c r="K1594" s="146"/>
    </row>
    <row r="1595" spans="11:11" x14ac:dyDescent="0.25">
      <c r="K1595" s="146"/>
    </row>
    <row r="1596" spans="11:11" x14ac:dyDescent="0.25">
      <c r="K1596" s="146"/>
    </row>
    <row r="1597" spans="11:11" x14ac:dyDescent="0.25">
      <c r="K1597" s="146"/>
    </row>
    <row r="1598" spans="11:11" x14ac:dyDescent="0.25">
      <c r="K1598" s="146"/>
    </row>
    <row r="1599" spans="11:11" x14ac:dyDescent="0.25">
      <c r="K1599" s="146"/>
    </row>
    <row r="1600" spans="11:11" x14ac:dyDescent="0.25">
      <c r="K1600" s="146"/>
    </row>
    <row r="1601" spans="11:11" x14ac:dyDescent="0.25">
      <c r="K1601" s="146"/>
    </row>
    <row r="1602" spans="11:11" x14ac:dyDescent="0.25">
      <c r="K1602" s="146"/>
    </row>
    <row r="1603" spans="11:11" x14ac:dyDescent="0.25">
      <c r="K1603" s="146"/>
    </row>
    <row r="1604" spans="11:11" x14ac:dyDescent="0.25">
      <c r="K1604" s="146"/>
    </row>
    <row r="1605" spans="11:11" x14ac:dyDescent="0.25">
      <c r="K1605" s="146"/>
    </row>
    <row r="1606" spans="11:11" x14ac:dyDescent="0.25">
      <c r="K1606" s="146"/>
    </row>
    <row r="1607" spans="11:11" x14ac:dyDescent="0.25">
      <c r="K1607" s="146"/>
    </row>
    <row r="1608" spans="11:11" x14ac:dyDescent="0.25">
      <c r="K1608" s="146"/>
    </row>
    <row r="1609" spans="11:11" x14ac:dyDescent="0.25">
      <c r="K1609" s="146"/>
    </row>
    <row r="1610" spans="11:11" x14ac:dyDescent="0.25">
      <c r="K1610" s="146"/>
    </row>
    <row r="1611" spans="11:11" x14ac:dyDescent="0.25">
      <c r="K1611" s="146"/>
    </row>
    <row r="1612" spans="11:11" x14ac:dyDescent="0.25">
      <c r="K1612" s="146"/>
    </row>
    <row r="1613" spans="11:11" x14ac:dyDescent="0.25">
      <c r="K1613" s="146"/>
    </row>
    <row r="1614" spans="11:11" x14ac:dyDescent="0.25">
      <c r="K1614" s="146"/>
    </row>
    <row r="1615" spans="11:11" x14ac:dyDescent="0.25">
      <c r="K1615" s="146"/>
    </row>
    <row r="1616" spans="11:11" x14ac:dyDescent="0.25">
      <c r="K1616" s="146"/>
    </row>
    <row r="1617" spans="11:11" x14ac:dyDescent="0.25">
      <c r="K1617" s="146"/>
    </row>
    <row r="1618" spans="11:11" x14ac:dyDescent="0.25">
      <c r="K1618" s="146"/>
    </row>
    <row r="1619" spans="11:11" x14ac:dyDescent="0.25">
      <c r="K1619" s="146"/>
    </row>
    <row r="1620" spans="11:11" x14ac:dyDescent="0.25">
      <c r="K1620" s="146"/>
    </row>
    <row r="1621" spans="11:11" x14ac:dyDescent="0.25">
      <c r="K1621" s="146"/>
    </row>
    <row r="1622" spans="11:11" x14ac:dyDescent="0.25">
      <c r="K1622" s="146"/>
    </row>
    <row r="1623" spans="11:11" x14ac:dyDescent="0.25">
      <c r="K1623" s="146"/>
    </row>
    <row r="1624" spans="11:11" x14ac:dyDescent="0.25">
      <c r="K1624" s="146"/>
    </row>
    <row r="1625" spans="11:11" x14ac:dyDescent="0.25">
      <c r="K1625" s="146"/>
    </row>
    <row r="1626" spans="11:11" x14ac:dyDescent="0.25">
      <c r="K1626" s="146"/>
    </row>
    <row r="1627" spans="11:11" x14ac:dyDescent="0.25">
      <c r="K1627" s="146"/>
    </row>
    <row r="1628" spans="11:11" x14ac:dyDescent="0.25">
      <c r="K1628" s="146"/>
    </row>
    <row r="1629" spans="11:11" x14ac:dyDescent="0.25">
      <c r="K1629" s="146"/>
    </row>
    <row r="1630" spans="11:11" x14ac:dyDescent="0.25">
      <c r="K1630" s="146"/>
    </row>
    <row r="1631" spans="11:11" x14ac:dyDescent="0.25">
      <c r="K1631" s="146"/>
    </row>
    <row r="1632" spans="11:11" x14ac:dyDescent="0.25">
      <c r="K1632" s="146"/>
    </row>
    <row r="1633" spans="11:11" x14ac:dyDescent="0.25">
      <c r="K1633" s="146"/>
    </row>
    <row r="1634" spans="11:11" x14ac:dyDescent="0.25">
      <c r="K1634" s="146"/>
    </row>
    <row r="1635" spans="11:11" x14ac:dyDescent="0.25">
      <c r="K1635" s="146"/>
    </row>
    <row r="1636" spans="11:11" x14ac:dyDescent="0.25">
      <c r="K1636" s="146"/>
    </row>
    <row r="1637" spans="11:11" x14ac:dyDescent="0.25">
      <c r="K1637" s="146"/>
    </row>
    <row r="1638" spans="11:11" x14ac:dyDescent="0.25">
      <c r="K1638" s="146"/>
    </row>
    <row r="1639" spans="11:11" x14ac:dyDescent="0.25">
      <c r="K1639" s="146"/>
    </row>
    <row r="1640" spans="11:11" x14ac:dyDescent="0.25">
      <c r="K1640" s="146"/>
    </row>
    <row r="1641" spans="11:11" x14ac:dyDescent="0.25">
      <c r="K1641" s="146"/>
    </row>
    <row r="1642" spans="11:11" x14ac:dyDescent="0.25">
      <c r="K1642" s="146"/>
    </row>
    <row r="1643" spans="11:11" x14ac:dyDescent="0.25">
      <c r="K1643" s="146"/>
    </row>
    <row r="1644" spans="11:11" x14ac:dyDescent="0.25">
      <c r="K1644" s="146"/>
    </row>
    <row r="1645" spans="11:11" x14ac:dyDescent="0.25">
      <c r="K1645" s="146"/>
    </row>
    <row r="1646" spans="11:11" x14ac:dyDescent="0.25">
      <c r="K1646" s="146"/>
    </row>
    <row r="1647" spans="11:11" x14ac:dyDescent="0.25">
      <c r="K1647" s="146"/>
    </row>
    <row r="1648" spans="11:11" x14ac:dyDescent="0.25">
      <c r="K1648" s="146"/>
    </row>
    <row r="1649" spans="11:11" x14ac:dyDescent="0.25">
      <c r="K1649" s="146"/>
    </row>
    <row r="1650" spans="11:11" x14ac:dyDescent="0.25">
      <c r="K1650" s="146"/>
    </row>
    <row r="1651" spans="11:11" x14ac:dyDescent="0.25">
      <c r="K1651" s="146"/>
    </row>
    <row r="1652" spans="11:11" x14ac:dyDescent="0.25">
      <c r="K1652" s="146"/>
    </row>
    <row r="1653" spans="11:11" x14ac:dyDescent="0.25">
      <c r="K1653" s="146"/>
    </row>
    <row r="1654" spans="11:11" x14ac:dyDescent="0.25">
      <c r="K1654" s="146"/>
    </row>
    <row r="1655" spans="11:11" x14ac:dyDescent="0.25">
      <c r="K1655" s="146"/>
    </row>
    <row r="1656" spans="11:11" x14ac:dyDescent="0.25">
      <c r="K1656" s="146"/>
    </row>
    <row r="1657" spans="11:11" x14ac:dyDescent="0.25">
      <c r="K1657" s="146"/>
    </row>
    <row r="1658" spans="11:11" x14ac:dyDescent="0.25">
      <c r="K1658" s="146"/>
    </row>
    <row r="1659" spans="11:11" x14ac:dyDescent="0.25">
      <c r="K1659" s="146"/>
    </row>
    <row r="1660" spans="11:11" x14ac:dyDescent="0.25">
      <c r="K1660" s="146"/>
    </row>
    <row r="1661" spans="11:11" x14ac:dyDescent="0.25">
      <c r="K1661" s="146"/>
    </row>
    <row r="1662" spans="11:11" x14ac:dyDescent="0.25">
      <c r="K1662" s="146"/>
    </row>
    <row r="1663" spans="11:11" x14ac:dyDescent="0.25">
      <c r="K1663" s="146"/>
    </row>
    <row r="1664" spans="11:11" x14ac:dyDescent="0.25">
      <c r="K1664" s="146"/>
    </row>
    <row r="1665" spans="11:11" x14ac:dyDescent="0.25">
      <c r="K1665" s="146"/>
    </row>
    <row r="1666" spans="11:11" x14ac:dyDescent="0.25">
      <c r="K1666" s="146"/>
    </row>
    <row r="1667" spans="11:11" x14ac:dyDescent="0.25">
      <c r="K1667" s="146"/>
    </row>
    <row r="1668" spans="11:11" x14ac:dyDescent="0.25">
      <c r="K1668" s="146"/>
    </row>
    <row r="1669" spans="11:11" x14ac:dyDescent="0.25">
      <c r="K1669" s="146"/>
    </row>
    <row r="1670" spans="11:11" x14ac:dyDescent="0.25">
      <c r="K1670" s="146"/>
    </row>
    <row r="1671" spans="11:11" x14ac:dyDescent="0.25">
      <c r="K1671" s="146"/>
    </row>
    <row r="1672" spans="11:11" x14ac:dyDescent="0.25">
      <c r="K1672" s="146"/>
    </row>
    <row r="1673" spans="11:11" x14ac:dyDescent="0.25">
      <c r="K1673" s="146"/>
    </row>
    <row r="1674" spans="11:11" x14ac:dyDescent="0.25">
      <c r="K1674" s="146"/>
    </row>
    <row r="1675" spans="11:11" x14ac:dyDescent="0.25">
      <c r="K1675" s="146"/>
    </row>
    <row r="1676" spans="11:11" x14ac:dyDescent="0.25">
      <c r="K1676" s="146"/>
    </row>
    <row r="1677" spans="11:11" x14ac:dyDescent="0.25">
      <c r="K1677" s="146"/>
    </row>
    <row r="1678" spans="11:11" x14ac:dyDescent="0.25">
      <c r="K1678" s="146"/>
    </row>
    <row r="1679" spans="11:11" x14ac:dyDescent="0.25">
      <c r="K1679" s="146"/>
    </row>
    <row r="1680" spans="11:11" x14ac:dyDescent="0.25">
      <c r="K1680" s="146"/>
    </row>
    <row r="1681" spans="11:11" x14ac:dyDescent="0.25">
      <c r="K1681" s="146"/>
    </row>
    <row r="1682" spans="11:11" x14ac:dyDescent="0.25">
      <c r="K1682" s="146"/>
    </row>
    <row r="1683" spans="11:11" x14ac:dyDescent="0.25">
      <c r="K1683" s="146"/>
    </row>
    <row r="1684" spans="11:11" x14ac:dyDescent="0.25">
      <c r="K1684" s="146"/>
    </row>
    <row r="1685" spans="11:11" x14ac:dyDescent="0.25">
      <c r="K1685" s="146"/>
    </row>
    <row r="1686" spans="11:11" x14ac:dyDescent="0.25">
      <c r="K1686" s="146"/>
    </row>
    <row r="1687" spans="11:11" x14ac:dyDescent="0.25">
      <c r="K1687" s="146"/>
    </row>
    <row r="1688" spans="11:11" x14ac:dyDescent="0.25">
      <c r="K1688" s="146"/>
    </row>
    <row r="1689" spans="11:11" x14ac:dyDescent="0.25">
      <c r="K1689" s="146"/>
    </row>
    <row r="1690" spans="11:11" x14ac:dyDescent="0.25">
      <c r="K1690" s="146"/>
    </row>
    <row r="1691" spans="11:11" x14ac:dyDescent="0.25">
      <c r="K1691" s="146"/>
    </row>
    <row r="1692" spans="11:11" x14ac:dyDescent="0.25">
      <c r="K1692" s="146"/>
    </row>
    <row r="1693" spans="11:11" x14ac:dyDescent="0.25">
      <c r="K1693" s="146"/>
    </row>
    <row r="1694" spans="11:11" x14ac:dyDescent="0.25">
      <c r="K1694" s="146"/>
    </row>
    <row r="1695" spans="11:11" x14ac:dyDescent="0.25">
      <c r="K1695" s="146"/>
    </row>
    <row r="1696" spans="11:11" x14ac:dyDescent="0.25">
      <c r="K1696" s="146"/>
    </row>
    <row r="1697" spans="11:11" x14ac:dyDescent="0.25">
      <c r="K1697" s="146"/>
    </row>
    <row r="1698" spans="11:11" x14ac:dyDescent="0.25">
      <c r="K1698" s="146"/>
    </row>
    <row r="1699" spans="11:11" x14ac:dyDescent="0.25">
      <c r="K1699" s="146"/>
    </row>
    <row r="1700" spans="11:11" x14ac:dyDescent="0.25">
      <c r="K1700" s="146"/>
    </row>
    <row r="1701" spans="11:11" x14ac:dyDescent="0.25">
      <c r="K1701" s="146"/>
    </row>
    <row r="1702" spans="11:11" x14ac:dyDescent="0.25">
      <c r="K1702" s="146"/>
    </row>
    <row r="1703" spans="11:11" x14ac:dyDescent="0.25">
      <c r="K1703" s="146"/>
    </row>
    <row r="1704" spans="11:11" x14ac:dyDescent="0.25">
      <c r="K1704" s="146"/>
    </row>
    <row r="1705" spans="11:11" x14ac:dyDescent="0.25">
      <c r="K1705" s="146"/>
    </row>
    <row r="1706" spans="11:11" x14ac:dyDescent="0.25">
      <c r="K1706" s="146"/>
    </row>
    <row r="1707" spans="11:11" x14ac:dyDescent="0.25">
      <c r="K1707" s="146"/>
    </row>
    <row r="1708" spans="11:11" x14ac:dyDescent="0.25">
      <c r="K1708" s="146"/>
    </row>
    <row r="1709" spans="11:11" x14ac:dyDescent="0.25">
      <c r="K1709" s="146"/>
    </row>
    <row r="1710" spans="11:11" x14ac:dyDescent="0.25">
      <c r="K1710" s="146"/>
    </row>
    <row r="1711" spans="11:11" x14ac:dyDescent="0.25">
      <c r="K1711" s="146"/>
    </row>
    <row r="1712" spans="11:11" x14ac:dyDescent="0.25">
      <c r="K1712" s="146"/>
    </row>
    <row r="1713" spans="11:11" x14ac:dyDescent="0.25">
      <c r="K1713" s="146"/>
    </row>
    <row r="1714" spans="11:11" x14ac:dyDescent="0.25">
      <c r="K1714" s="146"/>
    </row>
    <row r="1715" spans="11:11" x14ac:dyDescent="0.25">
      <c r="K1715" s="146"/>
    </row>
    <row r="1716" spans="11:11" x14ac:dyDescent="0.25">
      <c r="K1716" s="146"/>
    </row>
    <row r="1717" spans="11:11" x14ac:dyDescent="0.25">
      <c r="K1717" s="146"/>
    </row>
    <row r="1718" spans="11:11" x14ac:dyDescent="0.25">
      <c r="K1718" s="146"/>
    </row>
    <row r="1719" spans="11:11" x14ac:dyDescent="0.25">
      <c r="K1719" s="146"/>
    </row>
    <row r="1720" spans="11:11" x14ac:dyDescent="0.25">
      <c r="K1720" s="146"/>
    </row>
    <row r="1721" spans="11:11" x14ac:dyDescent="0.25">
      <c r="K1721" s="146"/>
    </row>
    <row r="1722" spans="11:11" x14ac:dyDescent="0.25">
      <c r="K1722" s="146"/>
    </row>
    <row r="1723" spans="11:11" x14ac:dyDescent="0.25">
      <c r="K1723" s="146"/>
    </row>
    <row r="1724" spans="11:11" x14ac:dyDescent="0.25">
      <c r="K1724" s="146"/>
    </row>
    <row r="1725" spans="11:11" x14ac:dyDescent="0.25">
      <c r="K1725" s="146"/>
    </row>
    <row r="1726" spans="11:11" x14ac:dyDescent="0.25">
      <c r="K1726" s="146"/>
    </row>
    <row r="1727" spans="11:11" x14ac:dyDescent="0.25">
      <c r="K1727" s="146"/>
    </row>
    <row r="1728" spans="11:11" x14ac:dyDescent="0.25">
      <c r="K1728" s="146"/>
    </row>
    <row r="1729" spans="11:11" x14ac:dyDescent="0.25">
      <c r="K1729" s="146"/>
    </row>
    <row r="1730" spans="11:11" x14ac:dyDescent="0.25">
      <c r="K1730" s="146"/>
    </row>
    <row r="1731" spans="11:11" x14ac:dyDescent="0.25">
      <c r="K1731" s="146"/>
    </row>
    <row r="1732" spans="11:11" x14ac:dyDescent="0.25">
      <c r="K1732" s="146"/>
    </row>
    <row r="1733" spans="11:11" x14ac:dyDescent="0.25">
      <c r="K1733" s="146"/>
    </row>
    <row r="1734" spans="11:11" x14ac:dyDescent="0.25">
      <c r="K1734" s="146"/>
    </row>
    <row r="1735" spans="11:11" x14ac:dyDescent="0.25">
      <c r="K1735" s="146"/>
    </row>
    <row r="1736" spans="11:11" x14ac:dyDescent="0.25">
      <c r="K1736" s="146"/>
    </row>
    <row r="1737" spans="11:11" x14ac:dyDescent="0.25">
      <c r="K1737" s="146"/>
    </row>
    <row r="1738" spans="11:11" x14ac:dyDescent="0.25">
      <c r="K1738" s="146"/>
    </row>
    <row r="1739" spans="11:11" x14ac:dyDescent="0.25">
      <c r="K1739" s="146"/>
    </row>
    <row r="1740" spans="11:11" x14ac:dyDescent="0.25">
      <c r="K1740" s="146"/>
    </row>
    <row r="1741" spans="11:11" x14ac:dyDescent="0.25">
      <c r="K1741" s="146"/>
    </row>
    <row r="1742" spans="11:11" x14ac:dyDescent="0.25">
      <c r="K1742" s="146"/>
    </row>
    <row r="1743" spans="11:11" x14ac:dyDescent="0.25">
      <c r="K1743" s="146"/>
    </row>
    <row r="1744" spans="11:11" x14ac:dyDescent="0.25">
      <c r="K1744" s="146"/>
    </row>
    <row r="1745" spans="11:11" x14ac:dyDescent="0.25">
      <c r="K1745" s="146"/>
    </row>
    <row r="1746" spans="11:11" x14ac:dyDescent="0.25">
      <c r="K1746" s="146"/>
    </row>
    <row r="1747" spans="11:11" x14ac:dyDescent="0.25">
      <c r="K1747" s="146"/>
    </row>
    <row r="1748" spans="11:11" x14ac:dyDescent="0.25">
      <c r="K1748" s="146"/>
    </row>
    <row r="1749" spans="11:11" x14ac:dyDescent="0.25">
      <c r="K1749" s="146"/>
    </row>
    <row r="1750" spans="11:11" x14ac:dyDescent="0.25">
      <c r="K1750" s="146"/>
    </row>
    <row r="1751" spans="11:11" x14ac:dyDescent="0.25">
      <c r="K1751" s="146"/>
    </row>
    <row r="1752" spans="11:11" x14ac:dyDescent="0.25">
      <c r="K1752" s="146"/>
    </row>
    <row r="1753" spans="11:11" x14ac:dyDescent="0.25">
      <c r="K1753" s="146"/>
    </row>
    <row r="1754" spans="11:11" x14ac:dyDescent="0.25">
      <c r="K1754" s="146"/>
    </row>
    <row r="1755" spans="11:11" x14ac:dyDescent="0.25">
      <c r="K1755" s="146"/>
    </row>
    <row r="1756" spans="11:11" x14ac:dyDescent="0.25">
      <c r="K1756" s="146"/>
    </row>
    <row r="1757" spans="11:11" x14ac:dyDescent="0.25">
      <c r="K1757" s="146"/>
    </row>
    <row r="1758" spans="11:11" x14ac:dyDescent="0.25">
      <c r="K1758" s="146"/>
    </row>
    <row r="1759" spans="11:11" x14ac:dyDescent="0.25">
      <c r="K1759" s="146"/>
    </row>
    <row r="1760" spans="11:11" x14ac:dyDescent="0.25">
      <c r="K1760" s="146"/>
    </row>
    <row r="1761" spans="11:11" x14ac:dyDescent="0.25">
      <c r="K1761" s="146"/>
    </row>
    <row r="1762" spans="11:11" x14ac:dyDescent="0.25">
      <c r="K1762" s="146"/>
    </row>
    <row r="1763" spans="11:11" x14ac:dyDescent="0.25">
      <c r="K1763" s="146"/>
    </row>
    <row r="1764" spans="11:11" x14ac:dyDescent="0.25">
      <c r="K1764" s="146"/>
    </row>
    <row r="1765" spans="11:11" x14ac:dyDescent="0.25">
      <c r="K1765" s="146"/>
    </row>
    <row r="1766" spans="11:11" x14ac:dyDescent="0.25">
      <c r="K1766" s="146"/>
    </row>
    <row r="1767" spans="11:11" x14ac:dyDescent="0.25">
      <c r="K1767" s="146"/>
    </row>
    <row r="1768" spans="11:11" x14ac:dyDescent="0.25">
      <c r="K1768" s="146"/>
    </row>
    <row r="1769" spans="11:11" x14ac:dyDescent="0.25">
      <c r="K1769" s="146"/>
    </row>
    <row r="1770" spans="11:11" x14ac:dyDescent="0.25">
      <c r="K1770" s="146"/>
    </row>
    <row r="1771" spans="11:11" x14ac:dyDescent="0.25">
      <c r="K1771" s="146"/>
    </row>
    <row r="1772" spans="11:11" x14ac:dyDescent="0.25">
      <c r="K1772" s="146"/>
    </row>
    <row r="1773" spans="11:11" x14ac:dyDescent="0.25">
      <c r="K1773" s="146"/>
    </row>
    <row r="1774" spans="11:11" x14ac:dyDescent="0.25">
      <c r="K1774" s="146"/>
    </row>
    <row r="1775" spans="11:11" x14ac:dyDescent="0.25">
      <c r="K1775" s="146"/>
    </row>
    <row r="1776" spans="11:11" x14ac:dyDescent="0.25">
      <c r="K1776" s="146"/>
    </row>
    <row r="1777" spans="11:11" x14ac:dyDescent="0.25">
      <c r="K1777" s="146"/>
    </row>
    <row r="1778" spans="11:11" x14ac:dyDescent="0.25">
      <c r="K1778" s="146"/>
    </row>
    <row r="1779" spans="11:11" x14ac:dyDescent="0.25">
      <c r="K1779" s="146"/>
    </row>
    <row r="1780" spans="11:11" x14ac:dyDescent="0.25">
      <c r="K1780" s="146"/>
    </row>
    <row r="1781" spans="11:11" x14ac:dyDescent="0.25">
      <c r="K1781" s="146"/>
    </row>
    <row r="1782" spans="11:11" x14ac:dyDescent="0.25">
      <c r="K1782" s="146"/>
    </row>
    <row r="1783" spans="11:11" x14ac:dyDescent="0.25">
      <c r="K1783" s="146"/>
    </row>
    <row r="1784" spans="11:11" x14ac:dyDescent="0.25">
      <c r="K1784" s="146"/>
    </row>
    <row r="1785" spans="11:11" x14ac:dyDescent="0.25">
      <c r="K1785" s="146"/>
    </row>
    <row r="1786" spans="11:11" x14ac:dyDescent="0.25">
      <c r="K1786" s="146"/>
    </row>
    <row r="1787" spans="11:11" x14ac:dyDescent="0.25">
      <c r="K1787" s="146"/>
    </row>
    <row r="1788" spans="11:11" x14ac:dyDescent="0.25">
      <c r="K1788" s="146"/>
    </row>
    <row r="1789" spans="11:11" x14ac:dyDescent="0.25">
      <c r="K1789" s="146"/>
    </row>
    <row r="1790" spans="11:11" x14ac:dyDescent="0.25">
      <c r="K1790" s="146"/>
    </row>
    <row r="1791" spans="11:11" x14ac:dyDescent="0.25">
      <c r="K1791" s="146"/>
    </row>
    <row r="1792" spans="11:11" x14ac:dyDescent="0.25">
      <c r="K1792" s="146"/>
    </row>
    <row r="1793" spans="11:11" x14ac:dyDescent="0.25">
      <c r="K1793" s="146"/>
    </row>
    <row r="1794" spans="11:11" x14ac:dyDescent="0.25">
      <c r="K1794" s="146"/>
    </row>
    <row r="1795" spans="11:11" x14ac:dyDescent="0.25">
      <c r="K1795" s="146"/>
    </row>
    <row r="1796" spans="11:11" x14ac:dyDescent="0.25">
      <c r="K1796" s="146"/>
    </row>
    <row r="1797" spans="11:11" x14ac:dyDescent="0.25">
      <c r="K1797" s="146"/>
    </row>
    <row r="1798" spans="11:11" x14ac:dyDescent="0.25">
      <c r="K1798" s="146"/>
    </row>
    <row r="1799" spans="11:11" x14ac:dyDescent="0.25">
      <c r="K1799" s="146"/>
    </row>
    <row r="1800" spans="11:11" x14ac:dyDescent="0.25">
      <c r="K1800" s="146"/>
    </row>
    <row r="1801" spans="11:11" x14ac:dyDescent="0.25">
      <c r="K1801" s="146"/>
    </row>
    <row r="1802" spans="11:11" x14ac:dyDescent="0.25">
      <c r="K1802" s="146"/>
    </row>
    <row r="1803" spans="11:11" x14ac:dyDescent="0.25">
      <c r="K1803" s="146"/>
    </row>
    <row r="1804" spans="11:11" x14ac:dyDescent="0.25">
      <c r="K1804" s="146"/>
    </row>
    <row r="1805" spans="11:11" x14ac:dyDescent="0.25">
      <c r="K1805" s="146"/>
    </row>
    <row r="1806" spans="11:11" x14ac:dyDescent="0.25">
      <c r="K1806" s="146"/>
    </row>
    <row r="1807" spans="11:11" x14ac:dyDescent="0.25">
      <c r="K1807" s="146"/>
    </row>
    <row r="1808" spans="11:11" x14ac:dyDescent="0.25">
      <c r="K1808" s="146"/>
    </row>
    <row r="1809" spans="11:11" x14ac:dyDescent="0.25">
      <c r="K1809" s="146"/>
    </row>
    <row r="1810" spans="11:11" x14ac:dyDescent="0.25">
      <c r="K1810" s="146"/>
    </row>
    <row r="1811" spans="11:11" x14ac:dyDescent="0.25">
      <c r="K1811" s="146"/>
    </row>
    <row r="1812" spans="11:11" x14ac:dyDescent="0.25">
      <c r="K1812" s="146"/>
    </row>
    <row r="1813" spans="11:11" x14ac:dyDescent="0.25">
      <c r="K1813" s="146"/>
    </row>
    <row r="1814" spans="11:11" x14ac:dyDescent="0.25">
      <c r="K1814" s="146"/>
    </row>
    <row r="1815" spans="11:11" x14ac:dyDescent="0.25">
      <c r="K1815" s="146"/>
    </row>
    <row r="1816" spans="11:11" x14ac:dyDescent="0.25">
      <c r="K1816" s="146"/>
    </row>
    <row r="1817" spans="11:11" x14ac:dyDescent="0.25">
      <c r="K1817" s="146"/>
    </row>
    <row r="1818" spans="11:11" x14ac:dyDescent="0.25">
      <c r="K1818" s="146"/>
    </row>
    <row r="1819" spans="11:11" x14ac:dyDescent="0.25">
      <c r="K1819" s="146"/>
    </row>
    <row r="1820" spans="11:11" x14ac:dyDescent="0.25">
      <c r="K1820" s="146"/>
    </row>
    <row r="1821" spans="11:11" x14ac:dyDescent="0.25">
      <c r="K1821" s="146"/>
    </row>
    <row r="1822" spans="11:11" x14ac:dyDescent="0.25">
      <c r="K1822" s="146"/>
    </row>
    <row r="1823" spans="11:11" x14ac:dyDescent="0.25">
      <c r="K1823" s="146"/>
    </row>
    <row r="1824" spans="11:11" x14ac:dyDescent="0.25">
      <c r="K1824" s="146"/>
    </row>
    <row r="1825" spans="11:11" x14ac:dyDescent="0.25">
      <c r="K1825" s="146"/>
    </row>
    <row r="1826" spans="11:11" x14ac:dyDescent="0.25">
      <c r="K1826" s="146"/>
    </row>
    <row r="1827" spans="11:11" x14ac:dyDescent="0.25">
      <c r="K1827" s="146"/>
    </row>
    <row r="1828" spans="11:11" x14ac:dyDescent="0.25">
      <c r="K1828" s="146"/>
    </row>
    <row r="1829" spans="11:11" x14ac:dyDescent="0.25">
      <c r="K1829" s="146"/>
    </row>
    <row r="1830" spans="11:11" x14ac:dyDescent="0.25">
      <c r="K1830" s="146"/>
    </row>
    <row r="1831" spans="11:11" x14ac:dyDescent="0.25">
      <c r="K1831" s="146"/>
    </row>
    <row r="1832" spans="11:11" x14ac:dyDescent="0.25">
      <c r="K1832" s="146"/>
    </row>
    <row r="1833" spans="11:11" x14ac:dyDescent="0.25">
      <c r="K1833" s="146"/>
    </row>
    <row r="1834" spans="11:11" x14ac:dyDescent="0.25">
      <c r="K1834" s="146"/>
    </row>
    <row r="1835" spans="11:11" x14ac:dyDescent="0.25">
      <c r="K1835" s="146"/>
    </row>
    <row r="1836" spans="11:11" x14ac:dyDescent="0.25">
      <c r="K1836" s="146"/>
    </row>
    <row r="1837" spans="11:11" x14ac:dyDescent="0.25">
      <c r="K1837" s="146"/>
    </row>
    <row r="1838" spans="11:11" x14ac:dyDescent="0.25">
      <c r="K1838" s="146"/>
    </row>
    <row r="1839" spans="11:11" x14ac:dyDescent="0.25">
      <c r="K1839" s="146"/>
    </row>
    <row r="1840" spans="11:11" x14ac:dyDescent="0.25">
      <c r="K1840" s="146"/>
    </row>
    <row r="1841" spans="11:11" x14ac:dyDescent="0.25">
      <c r="K1841" s="146"/>
    </row>
    <row r="1842" spans="11:11" x14ac:dyDescent="0.25">
      <c r="K1842" s="146"/>
    </row>
    <row r="1843" spans="11:11" x14ac:dyDescent="0.25">
      <c r="K1843" s="146"/>
    </row>
    <row r="1844" spans="11:11" x14ac:dyDescent="0.25">
      <c r="K1844" s="146"/>
    </row>
    <row r="1845" spans="11:11" x14ac:dyDescent="0.25">
      <c r="K1845" s="146"/>
    </row>
    <row r="1846" spans="11:11" x14ac:dyDescent="0.25">
      <c r="K1846" s="146"/>
    </row>
    <row r="1847" spans="11:11" x14ac:dyDescent="0.25">
      <c r="K1847" s="146"/>
    </row>
    <row r="1848" spans="11:11" x14ac:dyDescent="0.25">
      <c r="K1848" s="146"/>
    </row>
    <row r="1849" spans="11:11" x14ac:dyDescent="0.25">
      <c r="K1849" s="146"/>
    </row>
    <row r="1850" spans="11:11" x14ac:dyDescent="0.25">
      <c r="K1850" s="146"/>
    </row>
    <row r="1851" spans="11:11" x14ac:dyDescent="0.25">
      <c r="K1851" s="146"/>
    </row>
    <row r="1852" spans="11:11" x14ac:dyDescent="0.25">
      <c r="K1852" s="146"/>
    </row>
    <row r="1853" spans="11:11" x14ac:dyDescent="0.25">
      <c r="K1853" s="146"/>
    </row>
    <row r="1854" spans="11:11" x14ac:dyDescent="0.25">
      <c r="K1854" s="146"/>
    </row>
    <row r="1855" spans="11:11" x14ac:dyDescent="0.25">
      <c r="K1855" s="146"/>
    </row>
    <row r="1856" spans="11:11" x14ac:dyDescent="0.25">
      <c r="K1856" s="146"/>
    </row>
    <row r="1857" spans="11:11" x14ac:dyDescent="0.25">
      <c r="K1857" s="146"/>
    </row>
    <row r="1858" spans="11:11" x14ac:dyDescent="0.25">
      <c r="K1858" s="146"/>
    </row>
    <row r="1859" spans="11:11" x14ac:dyDescent="0.25">
      <c r="K1859" s="146"/>
    </row>
    <row r="1860" spans="11:11" x14ac:dyDescent="0.25">
      <c r="K1860" s="146"/>
    </row>
    <row r="1861" spans="11:11" x14ac:dyDescent="0.25">
      <c r="K1861" s="146"/>
    </row>
    <row r="1862" spans="11:11" x14ac:dyDescent="0.25">
      <c r="K1862" s="146"/>
    </row>
    <row r="1863" spans="11:11" x14ac:dyDescent="0.25">
      <c r="K1863" s="146"/>
    </row>
    <row r="1864" spans="11:11" x14ac:dyDescent="0.25">
      <c r="K1864" s="146"/>
    </row>
    <row r="1865" spans="11:11" x14ac:dyDescent="0.25">
      <c r="K1865" s="146"/>
    </row>
    <row r="1866" spans="11:11" x14ac:dyDescent="0.25">
      <c r="K1866" s="146"/>
    </row>
    <row r="1867" spans="11:11" x14ac:dyDescent="0.25">
      <c r="K1867" s="146"/>
    </row>
    <row r="1868" spans="11:11" x14ac:dyDescent="0.25">
      <c r="K1868" s="146"/>
    </row>
    <row r="1869" spans="11:11" x14ac:dyDescent="0.25">
      <c r="K1869" s="146"/>
    </row>
    <row r="1870" spans="11:11" x14ac:dyDescent="0.25">
      <c r="K1870" s="146"/>
    </row>
    <row r="1871" spans="11:11" x14ac:dyDescent="0.25">
      <c r="K1871" s="146"/>
    </row>
    <row r="1872" spans="11:11" x14ac:dyDescent="0.25">
      <c r="K1872" s="146"/>
    </row>
    <row r="1873" spans="11:11" x14ac:dyDescent="0.25">
      <c r="K1873" s="146"/>
    </row>
    <row r="1874" spans="11:11" x14ac:dyDescent="0.25">
      <c r="K1874" s="146"/>
    </row>
    <row r="1875" spans="11:11" x14ac:dyDescent="0.25">
      <c r="K1875" s="146"/>
    </row>
    <row r="1876" spans="11:11" x14ac:dyDescent="0.25">
      <c r="K1876" s="146"/>
    </row>
    <row r="1877" spans="11:11" x14ac:dyDescent="0.25">
      <c r="K1877" s="146"/>
    </row>
    <row r="1878" spans="11:11" x14ac:dyDescent="0.25">
      <c r="K1878" s="146"/>
    </row>
    <row r="1879" spans="11:11" x14ac:dyDescent="0.25">
      <c r="K1879" s="146"/>
    </row>
    <row r="1880" spans="11:11" x14ac:dyDescent="0.25">
      <c r="K1880" s="146"/>
    </row>
    <row r="1881" spans="11:11" x14ac:dyDescent="0.25">
      <c r="K1881" s="146"/>
    </row>
    <row r="1882" spans="11:11" x14ac:dyDescent="0.25">
      <c r="K1882" s="146"/>
    </row>
    <row r="1883" spans="11:11" x14ac:dyDescent="0.25">
      <c r="K1883" s="146"/>
    </row>
    <row r="1884" spans="11:11" x14ac:dyDescent="0.25">
      <c r="K1884" s="146"/>
    </row>
    <row r="1885" spans="11:11" x14ac:dyDescent="0.25">
      <c r="K1885" s="146"/>
    </row>
    <row r="1886" spans="11:11" x14ac:dyDescent="0.25">
      <c r="K1886" s="146"/>
    </row>
    <row r="1887" spans="11:11" x14ac:dyDescent="0.25">
      <c r="K1887" s="146"/>
    </row>
    <row r="1888" spans="11:11" x14ac:dyDescent="0.25">
      <c r="K1888" s="146"/>
    </row>
    <row r="1889" spans="11:11" x14ac:dyDescent="0.25">
      <c r="K1889" s="146"/>
    </row>
    <row r="1890" spans="11:11" x14ac:dyDescent="0.25">
      <c r="K1890" s="146"/>
    </row>
    <row r="1891" spans="11:11" x14ac:dyDescent="0.25">
      <c r="K1891" s="146"/>
    </row>
    <row r="1892" spans="11:11" x14ac:dyDescent="0.25">
      <c r="K1892" s="146"/>
    </row>
    <row r="1893" spans="11:11" x14ac:dyDescent="0.25">
      <c r="K1893" s="146"/>
    </row>
    <row r="1894" spans="11:11" x14ac:dyDescent="0.25">
      <c r="K1894" s="146"/>
    </row>
    <row r="1895" spans="11:11" x14ac:dyDescent="0.25">
      <c r="K1895" s="146"/>
    </row>
    <row r="1896" spans="11:11" x14ac:dyDescent="0.25">
      <c r="K1896" s="146"/>
    </row>
    <row r="1897" spans="11:11" x14ac:dyDescent="0.25">
      <c r="K1897" s="146"/>
    </row>
    <row r="1898" spans="11:11" x14ac:dyDescent="0.25">
      <c r="K1898" s="146"/>
    </row>
    <row r="1899" spans="11:11" x14ac:dyDescent="0.25">
      <c r="K1899" s="146"/>
    </row>
    <row r="1900" spans="11:11" x14ac:dyDescent="0.25">
      <c r="K1900" s="146"/>
    </row>
    <row r="1901" spans="11:11" x14ac:dyDescent="0.25">
      <c r="K1901" s="146"/>
    </row>
    <row r="1902" spans="11:11" x14ac:dyDescent="0.25">
      <c r="K1902" s="146"/>
    </row>
    <row r="1903" spans="11:11" x14ac:dyDescent="0.25">
      <c r="K1903" s="146"/>
    </row>
    <row r="1904" spans="11:11" x14ac:dyDescent="0.25">
      <c r="K1904" s="146"/>
    </row>
    <row r="1905" spans="11:11" x14ac:dyDescent="0.25">
      <c r="K1905" s="146"/>
    </row>
    <row r="1906" spans="11:11" x14ac:dyDescent="0.25">
      <c r="K1906" s="146"/>
    </row>
    <row r="1907" spans="11:11" x14ac:dyDescent="0.25">
      <c r="K1907" s="146"/>
    </row>
    <row r="1908" spans="11:11" x14ac:dyDescent="0.25">
      <c r="K1908" s="146"/>
    </row>
    <row r="1909" spans="11:11" x14ac:dyDescent="0.25">
      <c r="K1909" s="146"/>
    </row>
    <row r="1910" spans="11:11" x14ac:dyDescent="0.25">
      <c r="K1910" s="146"/>
    </row>
    <row r="1911" spans="11:11" x14ac:dyDescent="0.25">
      <c r="K1911" s="146"/>
    </row>
    <row r="1912" spans="11:11" x14ac:dyDescent="0.25">
      <c r="K1912" s="146"/>
    </row>
    <row r="1913" spans="11:11" x14ac:dyDescent="0.25">
      <c r="K1913" s="146"/>
    </row>
    <row r="1914" spans="11:11" x14ac:dyDescent="0.25">
      <c r="K1914" s="146"/>
    </row>
    <row r="1915" spans="11:11" x14ac:dyDescent="0.25">
      <c r="K1915" s="146"/>
    </row>
    <row r="1916" spans="11:11" x14ac:dyDescent="0.25">
      <c r="K1916" s="146"/>
    </row>
    <row r="1917" spans="11:11" x14ac:dyDescent="0.25">
      <c r="K1917" s="146"/>
    </row>
    <row r="1918" spans="11:11" x14ac:dyDescent="0.25">
      <c r="K1918" s="146"/>
    </row>
    <row r="1919" spans="11:11" x14ac:dyDescent="0.25">
      <c r="K1919" s="146"/>
    </row>
    <row r="1920" spans="11:11" x14ac:dyDescent="0.25">
      <c r="K1920" s="146"/>
    </row>
    <row r="1921" spans="11:11" x14ac:dyDescent="0.25">
      <c r="K1921" s="146"/>
    </row>
    <row r="1922" spans="11:11" x14ac:dyDescent="0.25">
      <c r="K1922" s="146"/>
    </row>
    <row r="1923" spans="11:11" x14ac:dyDescent="0.25">
      <c r="K1923" s="146"/>
    </row>
    <row r="1924" spans="11:11" x14ac:dyDescent="0.25">
      <c r="K1924" s="146"/>
    </row>
    <row r="1925" spans="11:11" x14ac:dyDescent="0.25">
      <c r="K1925" s="146"/>
    </row>
    <row r="1926" spans="11:11" x14ac:dyDescent="0.25">
      <c r="K1926" s="146"/>
    </row>
    <row r="1927" spans="11:11" x14ac:dyDescent="0.25">
      <c r="K1927" s="146"/>
    </row>
    <row r="1928" spans="11:11" x14ac:dyDescent="0.25">
      <c r="K1928" s="146"/>
    </row>
    <row r="1929" spans="11:11" x14ac:dyDescent="0.25">
      <c r="K1929" s="146"/>
    </row>
    <row r="1930" spans="11:11" x14ac:dyDescent="0.25">
      <c r="K1930" s="146"/>
    </row>
    <row r="1931" spans="11:11" x14ac:dyDescent="0.25">
      <c r="K1931" s="146"/>
    </row>
    <row r="1932" spans="11:11" x14ac:dyDescent="0.25">
      <c r="K1932" s="146"/>
    </row>
    <row r="1933" spans="11:11" x14ac:dyDescent="0.25">
      <c r="K1933" s="146"/>
    </row>
    <row r="1934" spans="11:11" x14ac:dyDescent="0.25">
      <c r="K1934" s="146"/>
    </row>
    <row r="1935" spans="11:11" x14ac:dyDescent="0.25">
      <c r="K1935" s="146"/>
    </row>
    <row r="1936" spans="11:11" x14ac:dyDescent="0.25">
      <c r="K1936" s="146"/>
    </row>
    <row r="1937" spans="11:11" x14ac:dyDescent="0.25">
      <c r="K1937" s="146"/>
    </row>
    <row r="1938" spans="11:11" x14ac:dyDescent="0.25">
      <c r="K1938" s="146"/>
    </row>
    <row r="1939" spans="11:11" x14ac:dyDescent="0.25">
      <c r="K1939" s="146"/>
    </row>
    <row r="1940" spans="11:11" x14ac:dyDescent="0.25">
      <c r="K1940" s="146"/>
    </row>
    <row r="1941" spans="11:11" x14ac:dyDescent="0.25">
      <c r="K1941" s="146"/>
    </row>
    <row r="1942" spans="11:11" x14ac:dyDescent="0.25">
      <c r="K1942" s="146"/>
    </row>
    <row r="1943" spans="11:11" x14ac:dyDescent="0.25">
      <c r="K1943" s="146"/>
    </row>
    <row r="1944" spans="11:11" x14ac:dyDescent="0.25">
      <c r="K1944" s="146"/>
    </row>
    <row r="1945" spans="11:11" x14ac:dyDescent="0.25">
      <c r="K1945" s="146"/>
    </row>
    <row r="1946" spans="11:11" x14ac:dyDescent="0.25">
      <c r="K1946" s="146"/>
    </row>
    <row r="1947" spans="11:11" x14ac:dyDescent="0.25">
      <c r="K1947" s="146"/>
    </row>
    <row r="1948" spans="11:11" x14ac:dyDescent="0.25">
      <c r="K1948" s="146"/>
    </row>
    <row r="1949" spans="11:11" x14ac:dyDescent="0.25">
      <c r="K1949" s="146"/>
    </row>
    <row r="1950" spans="11:11" x14ac:dyDescent="0.25">
      <c r="K1950" s="146"/>
    </row>
    <row r="1951" spans="11:11" x14ac:dyDescent="0.25">
      <c r="K1951" s="146"/>
    </row>
    <row r="1952" spans="11:11" x14ac:dyDescent="0.25">
      <c r="K1952" s="146"/>
    </row>
    <row r="1953" spans="11:11" x14ac:dyDescent="0.25">
      <c r="K1953" s="146"/>
    </row>
    <row r="1954" spans="11:11" x14ac:dyDescent="0.25">
      <c r="K1954" s="146"/>
    </row>
    <row r="1955" spans="11:11" x14ac:dyDescent="0.25">
      <c r="K1955" s="146"/>
    </row>
    <row r="1956" spans="11:11" x14ac:dyDescent="0.25">
      <c r="K1956" s="146"/>
    </row>
    <row r="1957" spans="11:11" x14ac:dyDescent="0.25">
      <c r="K1957" s="146"/>
    </row>
    <row r="1958" spans="11:11" x14ac:dyDescent="0.25">
      <c r="K1958" s="146"/>
    </row>
    <row r="1959" spans="11:11" x14ac:dyDescent="0.25">
      <c r="K1959" s="146"/>
    </row>
    <row r="1960" spans="11:11" x14ac:dyDescent="0.25">
      <c r="K1960" s="146"/>
    </row>
    <row r="1961" spans="11:11" x14ac:dyDescent="0.25">
      <c r="K1961" s="146"/>
    </row>
    <row r="1962" spans="11:11" x14ac:dyDescent="0.25">
      <c r="K1962" s="146"/>
    </row>
    <row r="1963" spans="11:11" x14ac:dyDescent="0.25">
      <c r="K1963" s="146"/>
    </row>
    <row r="1964" spans="11:11" x14ac:dyDescent="0.25">
      <c r="K1964" s="146"/>
    </row>
    <row r="1965" spans="11:11" x14ac:dyDescent="0.25">
      <c r="K1965" s="146"/>
    </row>
    <row r="1966" spans="11:11" x14ac:dyDescent="0.25">
      <c r="K1966" s="146"/>
    </row>
    <row r="1967" spans="11:11" x14ac:dyDescent="0.25">
      <c r="K1967" s="146"/>
    </row>
    <row r="1968" spans="11:11" x14ac:dyDescent="0.25">
      <c r="K1968" s="146"/>
    </row>
    <row r="1969" spans="11:11" x14ac:dyDescent="0.25">
      <c r="K1969" s="146"/>
    </row>
    <row r="1970" spans="11:11" x14ac:dyDescent="0.25">
      <c r="K1970" s="146"/>
    </row>
    <row r="1971" spans="11:11" x14ac:dyDescent="0.25">
      <c r="K1971" s="146"/>
    </row>
    <row r="1972" spans="11:11" x14ac:dyDescent="0.25">
      <c r="K1972" s="146"/>
    </row>
    <row r="1973" spans="11:11" x14ac:dyDescent="0.25">
      <c r="K1973" s="146"/>
    </row>
    <row r="1974" spans="11:11" x14ac:dyDescent="0.25">
      <c r="K1974" s="146"/>
    </row>
    <row r="1975" spans="11:11" x14ac:dyDescent="0.25">
      <c r="K1975" s="146"/>
    </row>
    <row r="1976" spans="11:11" x14ac:dyDescent="0.25">
      <c r="K1976" s="146"/>
    </row>
    <row r="1977" spans="11:11" x14ac:dyDescent="0.25">
      <c r="K1977" s="146"/>
    </row>
    <row r="1978" spans="11:11" x14ac:dyDescent="0.25">
      <c r="K1978" s="146"/>
    </row>
    <row r="1979" spans="11:11" x14ac:dyDescent="0.25">
      <c r="K1979" s="146"/>
    </row>
    <row r="1980" spans="11:11" x14ac:dyDescent="0.25">
      <c r="K1980" s="146"/>
    </row>
    <row r="1981" spans="11:11" x14ac:dyDescent="0.25">
      <c r="K1981" s="146"/>
    </row>
    <row r="1982" spans="11:11" x14ac:dyDescent="0.25">
      <c r="K1982" s="146"/>
    </row>
    <row r="1983" spans="11:11" x14ac:dyDescent="0.25">
      <c r="K1983" s="146"/>
    </row>
    <row r="1984" spans="11:11" x14ac:dyDescent="0.25">
      <c r="K1984" s="146"/>
    </row>
    <row r="1985" spans="11:11" x14ac:dyDescent="0.25">
      <c r="K1985" s="146"/>
    </row>
    <row r="1986" spans="11:11" x14ac:dyDescent="0.25">
      <c r="K1986" s="146"/>
    </row>
    <row r="1987" spans="11:11" x14ac:dyDescent="0.25">
      <c r="K1987" s="146"/>
    </row>
    <row r="1988" spans="11:11" x14ac:dyDescent="0.25">
      <c r="K1988" s="146"/>
    </row>
    <row r="1989" spans="11:11" x14ac:dyDescent="0.25">
      <c r="K1989" s="146"/>
    </row>
    <row r="1990" spans="11:11" x14ac:dyDescent="0.25">
      <c r="K1990" s="146"/>
    </row>
    <row r="1991" spans="11:11" x14ac:dyDescent="0.25">
      <c r="K1991" s="146"/>
    </row>
    <row r="1992" spans="11:11" x14ac:dyDescent="0.25">
      <c r="K1992" s="146"/>
    </row>
    <row r="1993" spans="11:11" x14ac:dyDescent="0.25">
      <c r="K1993" s="146"/>
    </row>
    <row r="1994" spans="11:11" x14ac:dyDescent="0.25">
      <c r="K1994" s="146"/>
    </row>
    <row r="1995" spans="11:11" x14ac:dyDescent="0.25">
      <c r="K1995" s="146"/>
    </row>
    <row r="1996" spans="11:11" x14ac:dyDescent="0.25">
      <c r="K1996" s="146"/>
    </row>
    <row r="1997" spans="11:11" x14ac:dyDescent="0.25">
      <c r="K1997" s="146"/>
    </row>
    <row r="1998" spans="11:11" x14ac:dyDescent="0.25">
      <c r="K1998" s="146"/>
    </row>
    <row r="1999" spans="11:11" x14ac:dyDescent="0.25">
      <c r="K1999" s="146"/>
    </row>
    <row r="2000" spans="11:11" x14ac:dyDescent="0.25">
      <c r="K2000" s="146"/>
    </row>
    <row r="2001" spans="11:11" x14ac:dyDescent="0.25">
      <c r="K2001" s="146"/>
    </row>
    <row r="2002" spans="11:11" x14ac:dyDescent="0.25">
      <c r="K2002" s="146"/>
    </row>
    <row r="2003" spans="11:11" x14ac:dyDescent="0.25">
      <c r="K2003" s="146"/>
    </row>
    <row r="2004" spans="11:11" x14ac:dyDescent="0.25">
      <c r="K2004" s="146"/>
    </row>
    <row r="2005" spans="11:11" x14ac:dyDescent="0.25">
      <c r="K2005" s="146"/>
    </row>
    <row r="2006" spans="11:11" x14ac:dyDescent="0.25">
      <c r="K2006" s="146"/>
    </row>
    <row r="2007" spans="11:11" x14ac:dyDescent="0.25">
      <c r="K2007" s="146"/>
    </row>
    <row r="2008" spans="11:11" x14ac:dyDescent="0.25">
      <c r="K2008" s="146"/>
    </row>
    <row r="2009" spans="11:11" x14ac:dyDescent="0.25">
      <c r="K2009" s="146"/>
    </row>
    <row r="2010" spans="11:11" x14ac:dyDescent="0.25">
      <c r="K2010" s="146"/>
    </row>
    <row r="2011" spans="11:11" x14ac:dyDescent="0.25">
      <c r="K2011" s="146"/>
    </row>
    <row r="2012" spans="11:11" x14ac:dyDescent="0.25">
      <c r="K2012" s="146"/>
    </row>
    <row r="2013" spans="11:11" x14ac:dyDescent="0.25">
      <c r="K2013" s="146"/>
    </row>
    <row r="2014" spans="11:11" x14ac:dyDescent="0.25">
      <c r="K2014" s="146"/>
    </row>
    <row r="2015" spans="11:11" x14ac:dyDescent="0.25">
      <c r="K2015" s="146"/>
    </row>
    <row r="2016" spans="11:11" x14ac:dyDescent="0.25">
      <c r="K2016" s="146"/>
    </row>
    <row r="2017" spans="11:11" x14ac:dyDescent="0.25">
      <c r="K2017" s="146"/>
    </row>
    <row r="2018" spans="11:11" x14ac:dyDescent="0.25">
      <c r="K2018" s="146"/>
    </row>
    <row r="2019" spans="11:11" x14ac:dyDescent="0.25">
      <c r="K2019" s="146"/>
    </row>
    <row r="2020" spans="11:11" x14ac:dyDescent="0.25">
      <c r="K2020" s="146"/>
    </row>
    <row r="2021" spans="11:11" x14ac:dyDescent="0.25">
      <c r="K2021" s="146"/>
    </row>
    <row r="2022" spans="11:11" x14ac:dyDescent="0.25">
      <c r="K2022" s="146"/>
    </row>
    <row r="2023" spans="11:11" x14ac:dyDescent="0.25">
      <c r="K2023" s="146"/>
    </row>
    <row r="2024" spans="11:11" x14ac:dyDescent="0.25">
      <c r="K2024" s="146"/>
    </row>
    <row r="2025" spans="11:11" x14ac:dyDescent="0.25">
      <c r="K2025" s="146"/>
    </row>
    <row r="2026" spans="11:11" x14ac:dyDescent="0.25">
      <c r="K2026" s="146"/>
    </row>
    <row r="2027" spans="11:11" x14ac:dyDescent="0.25">
      <c r="K2027" s="146"/>
    </row>
    <row r="2028" spans="11:11" x14ac:dyDescent="0.25">
      <c r="K2028" s="146"/>
    </row>
    <row r="2029" spans="11:11" x14ac:dyDescent="0.25">
      <c r="K2029" s="146"/>
    </row>
    <row r="2030" spans="11:11" x14ac:dyDescent="0.25">
      <c r="K2030" s="146"/>
    </row>
    <row r="2031" spans="11:11" x14ac:dyDescent="0.25">
      <c r="K2031" s="146"/>
    </row>
    <row r="2032" spans="11:11" x14ac:dyDescent="0.25">
      <c r="K2032" s="146"/>
    </row>
    <row r="2033" spans="11:11" x14ac:dyDescent="0.25">
      <c r="K2033" s="146"/>
    </row>
    <row r="2034" spans="11:11" x14ac:dyDescent="0.25">
      <c r="K2034" s="146"/>
    </row>
    <row r="2035" spans="11:11" x14ac:dyDescent="0.25">
      <c r="K2035" s="146"/>
    </row>
    <row r="2036" spans="11:11" x14ac:dyDescent="0.25">
      <c r="K2036" s="146"/>
    </row>
    <row r="2037" spans="11:11" x14ac:dyDescent="0.25">
      <c r="K2037" s="146"/>
    </row>
    <row r="2038" spans="11:11" x14ac:dyDescent="0.25">
      <c r="K2038" s="146"/>
    </row>
    <row r="2039" spans="11:11" x14ac:dyDescent="0.25">
      <c r="K2039" s="146"/>
    </row>
    <row r="2040" spans="11:11" x14ac:dyDescent="0.25">
      <c r="K2040" s="146"/>
    </row>
    <row r="2041" spans="11:11" x14ac:dyDescent="0.25">
      <c r="K2041" s="146"/>
    </row>
    <row r="2042" spans="11:11" x14ac:dyDescent="0.25">
      <c r="K2042" s="146"/>
    </row>
    <row r="2043" spans="11:11" x14ac:dyDescent="0.25">
      <c r="K2043" s="146"/>
    </row>
    <row r="2044" spans="11:11" x14ac:dyDescent="0.25">
      <c r="K2044" s="146"/>
    </row>
    <row r="2045" spans="11:11" x14ac:dyDescent="0.25">
      <c r="K2045" s="146"/>
    </row>
    <row r="2046" spans="11:11" x14ac:dyDescent="0.25">
      <c r="K2046" s="146"/>
    </row>
    <row r="2047" spans="11:11" x14ac:dyDescent="0.25">
      <c r="K2047" s="146"/>
    </row>
    <row r="2048" spans="11:11" x14ac:dyDescent="0.25">
      <c r="K2048" s="146"/>
    </row>
    <row r="2049" spans="11:11" x14ac:dyDescent="0.25">
      <c r="K2049" s="146"/>
    </row>
    <row r="2050" spans="11:11" x14ac:dyDescent="0.25">
      <c r="K2050" s="146"/>
    </row>
    <row r="2051" spans="11:11" x14ac:dyDescent="0.25">
      <c r="K2051" s="146"/>
    </row>
    <row r="2052" spans="11:11" x14ac:dyDescent="0.25">
      <c r="K2052" s="146"/>
    </row>
    <row r="2053" spans="11:11" x14ac:dyDescent="0.25">
      <c r="K2053" s="146"/>
    </row>
    <row r="2054" spans="11:11" x14ac:dyDescent="0.25">
      <c r="K2054" s="146"/>
    </row>
    <row r="2055" spans="11:11" x14ac:dyDescent="0.25">
      <c r="K2055" s="146"/>
    </row>
    <row r="2056" spans="11:11" x14ac:dyDescent="0.25">
      <c r="K2056" s="146"/>
    </row>
    <row r="2057" spans="11:11" x14ac:dyDescent="0.25">
      <c r="K2057" s="146"/>
    </row>
    <row r="2058" spans="11:11" x14ac:dyDescent="0.25">
      <c r="K2058" s="146"/>
    </row>
    <row r="2059" spans="11:11" x14ac:dyDescent="0.25">
      <c r="K2059" s="146"/>
    </row>
    <row r="2060" spans="11:11" x14ac:dyDescent="0.25">
      <c r="K2060" s="146"/>
    </row>
    <row r="2061" spans="11:11" x14ac:dyDescent="0.25">
      <c r="K2061" s="146"/>
    </row>
    <row r="2062" spans="11:11" x14ac:dyDescent="0.25">
      <c r="K2062" s="146"/>
    </row>
    <row r="2063" spans="11:11" x14ac:dyDescent="0.25">
      <c r="K2063" s="146"/>
    </row>
    <row r="2064" spans="11:11" x14ac:dyDescent="0.25">
      <c r="K2064" s="146"/>
    </row>
    <row r="2065" spans="11:11" x14ac:dyDescent="0.25">
      <c r="K2065" s="146"/>
    </row>
    <row r="2066" spans="11:11" x14ac:dyDescent="0.25">
      <c r="K2066" s="146"/>
    </row>
    <row r="2067" spans="11:11" x14ac:dyDescent="0.25">
      <c r="K2067" s="146"/>
    </row>
    <row r="2068" spans="11:11" x14ac:dyDescent="0.25">
      <c r="K2068" s="146"/>
    </row>
    <row r="2069" spans="11:11" x14ac:dyDescent="0.25">
      <c r="K2069" s="146"/>
    </row>
    <row r="2070" spans="11:11" x14ac:dyDescent="0.25">
      <c r="K2070" s="146"/>
    </row>
    <row r="2071" spans="11:11" x14ac:dyDescent="0.25">
      <c r="K2071" s="146"/>
    </row>
    <row r="2072" spans="11:11" x14ac:dyDescent="0.25">
      <c r="K2072" s="146"/>
    </row>
    <row r="2073" spans="11:11" x14ac:dyDescent="0.25">
      <c r="K2073" s="146"/>
    </row>
    <row r="2074" spans="11:11" x14ac:dyDescent="0.25">
      <c r="K2074" s="146"/>
    </row>
    <row r="2075" spans="11:11" x14ac:dyDescent="0.25">
      <c r="K2075" s="146"/>
    </row>
    <row r="2076" spans="11:11" x14ac:dyDescent="0.25">
      <c r="K2076" s="146"/>
    </row>
    <row r="2077" spans="11:11" x14ac:dyDescent="0.25">
      <c r="K2077" s="146"/>
    </row>
    <row r="2078" spans="11:11" x14ac:dyDescent="0.25">
      <c r="K2078" s="146"/>
    </row>
    <row r="2079" spans="11:11" x14ac:dyDescent="0.25">
      <c r="K2079" s="146"/>
    </row>
    <row r="2080" spans="11:11" x14ac:dyDescent="0.25">
      <c r="K2080" s="146"/>
    </row>
    <row r="2081" spans="11:11" x14ac:dyDescent="0.25">
      <c r="K2081" s="146"/>
    </row>
    <row r="2082" spans="11:11" x14ac:dyDescent="0.25">
      <c r="K2082" s="146"/>
    </row>
    <row r="2083" spans="11:11" x14ac:dyDescent="0.25">
      <c r="K2083" s="146"/>
    </row>
    <row r="2084" spans="11:11" x14ac:dyDescent="0.25">
      <c r="K2084" s="146"/>
    </row>
    <row r="2085" spans="11:11" x14ac:dyDescent="0.25">
      <c r="K2085" s="146"/>
    </row>
    <row r="2086" spans="11:11" x14ac:dyDescent="0.25">
      <c r="K2086" s="146"/>
    </row>
    <row r="2087" spans="11:11" x14ac:dyDescent="0.25">
      <c r="K2087" s="146"/>
    </row>
    <row r="2088" spans="11:11" x14ac:dyDescent="0.25">
      <c r="K2088" s="146"/>
    </row>
    <row r="2089" spans="11:11" x14ac:dyDescent="0.25">
      <c r="K2089" s="146"/>
    </row>
    <row r="2090" spans="11:11" x14ac:dyDescent="0.25">
      <c r="K2090" s="146"/>
    </row>
    <row r="2091" spans="11:11" x14ac:dyDescent="0.25">
      <c r="K2091" s="146"/>
    </row>
    <row r="2092" spans="11:11" x14ac:dyDescent="0.25">
      <c r="K2092" s="146"/>
    </row>
    <row r="2093" spans="11:11" x14ac:dyDescent="0.25">
      <c r="K2093" s="146"/>
    </row>
    <row r="2094" spans="11:11" x14ac:dyDescent="0.25">
      <c r="K2094" s="146"/>
    </row>
    <row r="2095" spans="11:11" x14ac:dyDescent="0.25">
      <c r="K2095" s="146"/>
    </row>
    <row r="2096" spans="11:11" x14ac:dyDescent="0.25">
      <c r="K2096" s="146"/>
    </row>
    <row r="2097" spans="11:11" x14ac:dyDescent="0.25">
      <c r="K2097" s="146"/>
    </row>
    <row r="2098" spans="11:11" x14ac:dyDescent="0.25">
      <c r="K2098" s="146"/>
    </row>
    <row r="2099" spans="11:11" x14ac:dyDescent="0.25">
      <c r="K2099" s="146"/>
    </row>
    <row r="2100" spans="11:11" x14ac:dyDescent="0.25">
      <c r="K2100" s="146"/>
    </row>
    <row r="2101" spans="11:11" x14ac:dyDescent="0.25">
      <c r="K2101" s="146"/>
    </row>
    <row r="2102" spans="11:11" x14ac:dyDescent="0.25">
      <c r="K2102" s="146"/>
    </row>
    <row r="2103" spans="11:11" x14ac:dyDescent="0.25">
      <c r="K2103" s="146"/>
    </row>
    <row r="2104" spans="11:11" x14ac:dyDescent="0.25">
      <c r="K2104" s="146"/>
    </row>
    <row r="2105" spans="11:11" x14ac:dyDescent="0.25">
      <c r="K2105" s="146"/>
    </row>
    <row r="2106" spans="11:11" x14ac:dyDescent="0.25">
      <c r="K2106" s="146"/>
    </row>
    <row r="2107" spans="11:11" x14ac:dyDescent="0.25">
      <c r="K2107" s="146"/>
    </row>
    <row r="2108" spans="11:11" x14ac:dyDescent="0.25">
      <c r="K2108" s="146"/>
    </row>
    <row r="2109" spans="11:11" x14ac:dyDescent="0.25">
      <c r="K2109" s="146"/>
    </row>
    <row r="2110" spans="11:11" x14ac:dyDescent="0.25">
      <c r="K2110" s="146"/>
    </row>
    <row r="2111" spans="11:11" x14ac:dyDescent="0.25">
      <c r="K2111" s="146"/>
    </row>
    <row r="2112" spans="11:11" x14ac:dyDescent="0.25">
      <c r="K2112" s="146"/>
    </row>
    <row r="2113" spans="11:11" x14ac:dyDescent="0.25">
      <c r="K2113" s="146"/>
    </row>
    <row r="2114" spans="11:11" x14ac:dyDescent="0.25">
      <c r="K2114" s="146"/>
    </row>
    <row r="2115" spans="11:11" x14ac:dyDescent="0.25">
      <c r="K2115" s="146"/>
    </row>
    <row r="2116" spans="11:11" x14ac:dyDescent="0.25">
      <c r="K2116" s="146"/>
    </row>
    <row r="2117" spans="11:11" x14ac:dyDescent="0.25">
      <c r="K2117" s="146"/>
    </row>
    <row r="2118" spans="11:11" x14ac:dyDescent="0.25">
      <c r="K2118" s="146"/>
    </row>
    <row r="2119" spans="11:11" x14ac:dyDescent="0.25">
      <c r="K2119" s="146"/>
    </row>
    <row r="2120" spans="11:11" x14ac:dyDescent="0.25">
      <c r="K2120" s="146"/>
    </row>
    <row r="2121" spans="11:11" x14ac:dyDescent="0.25">
      <c r="K2121" s="146"/>
    </row>
    <row r="2122" spans="11:11" x14ac:dyDescent="0.25">
      <c r="K2122" s="146"/>
    </row>
    <row r="2123" spans="11:11" x14ac:dyDescent="0.25">
      <c r="K2123" s="146"/>
    </row>
    <row r="2124" spans="11:11" x14ac:dyDescent="0.25">
      <c r="K2124" s="146"/>
    </row>
    <row r="2125" spans="11:11" x14ac:dyDescent="0.25">
      <c r="K2125" s="146"/>
    </row>
    <row r="2126" spans="11:11" x14ac:dyDescent="0.25">
      <c r="K2126" s="146"/>
    </row>
    <row r="2127" spans="11:11" x14ac:dyDescent="0.25">
      <c r="K2127" s="146"/>
    </row>
    <row r="2128" spans="11:11" x14ac:dyDescent="0.25">
      <c r="K2128" s="146"/>
    </row>
    <row r="2129" spans="11:11" x14ac:dyDescent="0.25">
      <c r="K2129" s="146"/>
    </row>
    <row r="2130" spans="11:11" x14ac:dyDescent="0.25">
      <c r="K2130" s="146"/>
    </row>
    <row r="2131" spans="11:11" x14ac:dyDescent="0.25">
      <c r="K2131" s="146"/>
    </row>
    <row r="2132" spans="11:11" x14ac:dyDescent="0.25">
      <c r="K2132" s="146"/>
    </row>
    <row r="2133" spans="11:11" x14ac:dyDescent="0.25">
      <c r="K2133" s="146"/>
    </row>
    <row r="2134" spans="11:11" x14ac:dyDescent="0.25">
      <c r="K2134" s="146"/>
    </row>
    <row r="2135" spans="11:11" x14ac:dyDescent="0.25">
      <c r="K2135" s="146"/>
    </row>
    <row r="2136" spans="11:11" x14ac:dyDescent="0.25">
      <c r="K2136" s="146"/>
    </row>
    <row r="2137" spans="11:11" x14ac:dyDescent="0.25">
      <c r="K2137" s="146"/>
    </row>
    <row r="2138" spans="11:11" x14ac:dyDescent="0.25">
      <c r="K2138" s="146"/>
    </row>
    <row r="2139" spans="11:11" x14ac:dyDescent="0.25">
      <c r="K2139" s="146"/>
    </row>
    <row r="2140" spans="11:11" x14ac:dyDescent="0.25">
      <c r="K2140" s="146"/>
    </row>
    <row r="2141" spans="11:11" x14ac:dyDescent="0.25">
      <c r="K2141" s="146"/>
    </row>
    <row r="2142" spans="11:11" x14ac:dyDescent="0.25">
      <c r="K2142" s="146"/>
    </row>
    <row r="2143" spans="11:11" x14ac:dyDescent="0.25">
      <c r="K2143" s="146"/>
    </row>
    <row r="2144" spans="11:11" x14ac:dyDescent="0.25">
      <c r="K2144" s="146"/>
    </row>
    <row r="2145" spans="11:11" x14ac:dyDescent="0.25">
      <c r="K2145" s="146"/>
    </row>
    <row r="2146" spans="11:11" x14ac:dyDescent="0.25">
      <c r="K2146" s="146"/>
    </row>
    <row r="2147" spans="11:11" x14ac:dyDescent="0.25">
      <c r="K2147" s="146"/>
    </row>
    <row r="2148" spans="11:11" x14ac:dyDescent="0.25">
      <c r="K2148" s="146"/>
    </row>
    <row r="2149" spans="11:11" x14ac:dyDescent="0.25">
      <c r="K2149" s="146"/>
    </row>
    <row r="2150" spans="11:11" x14ac:dyDescent="0.25">
      <c r="K2150" s="146"/>
    </row>
    <row r="2151" spans="11:11" x14ac:dyDescent="0.25">
      <c r="K2151" s="146"/>
    </row>
    <row r="2152" spans="11:11" x14ac:dyDescent="0.25">
      <c r="K2152" s="146"/>
    </row>
    <row r="2153" spans="11:11" x14ac:dyDescent="0.25">
      <c r="K2153" s="146"/>
    </row>
    <row r="2154" spans="11:11" x14ac:dyDescent="0.25">
      <c r="K2154" s="146"/>
    </row>
    <row r="2155" spans="11:11" x14ac:dyDescent="0.25">
      <c r="K2155" s="146"/>
    </row>
    <row r="2156" spans="11:11" x14ac:dyDescent="0.25">
      <c r="K2156" s="146"/>
    </row>
    <row r="2157" spans="11:11" x14ac:dyDescent="0.25">
      <c r="K2157" s="146"/>
    </row>
    <row r="2158" spans="11:11" x14ac:dyDescent="0.25">
      <c r="K2158" s="146"/>
    </row>
    <row r="2159" spans="11:11" x14ac:dyDescent="0.25">
      <c r="K2159" s="146"/>
    </row>
    <row r="2160" spans="11:11" x14ac:dyDescent="0.25">
      <c r="K2160" s="146"/>
    </row>
    <row r="2161" spans="11:11" x14ac:dyDescent="0.25">
      <c r="K2161" s="146"/>
    </row>
    <row r="2162" spans="11:11" x14ac:dyDescent="0.25">
      <c r="K2162" s="146"/>
    </row>
    <row r="2163" spans="11:11" x14ac:dyDescent="0.25">
      <c r="K2163" s="146"/>
    </row>
    <row r="2164" spans="11:11" x14ac:dyDescent="0.25">
      <c r="K2164" s="146"/>
    </row>
    <row r="2165" spans="11:11" x14ac:dyDescent="0.25">
      <c r="K2165" s="146"/>
    </row>
    <row r="2166" spans="11:11" x14ac:dyDescent="0.25">
      <c r="K2166" s="146"/>
    </row>
    <row r="2167" spans="11:11" x14ac:dyDescent="0.25">
      <c r="K2167" s="146"/>
    </row>
    <row r="2168" spans="11:11" x14ac:dyDescent="0.25">
      <c r="K2168" s="146"/>
    </row>
    <row r="2169" spans="11:11" x14ac:dyDescent="0.25">
      <c r="K2169" s="146"/>
    </row>
    <row r="2170" spans="11:11" x14ac:dyDescent="0.25">
      <c r="K2170" s="146"/>
    </row>
    <row r="2171" spans="11:11" x14ac:dyDescent="0.25">
      <c r="K2171" s="146"/>
    </row>
    <row r="2172" spans="11:11" x14ac:dyDescent="0.25">
      <c r="K2172" s="146"/>
    </row>
    <row r="2173" spans="11:11" x14ac:dyDescent="0.25">
      <c r="K2173" s="146"/>
    </row>
    <row r="2174" spans="11:11" x14ac:dyDescent="0.25">
      <c r="K2174" s="146"/>
    </row>
    <row r="2175" spans="11:11" x14ac:dyDescent="0.25">
      <c r="K2175" s="146"/>
    </row>
    <row r="2176" spans="11:11" x14ac:dyDescent="0.25">
      <c r="K2176" s="146"/>
    </row>
    <row r="2177" spans="11:11" x14ac:dyDescent="0.25">
      <c r="K2177" s="146"/>
    </row>
    <row r="2178" spans="11:11" x14ac:dyDescent="0.25">
      <c r="K2178" s="146"/>
    </row>
    <row r="2179" spans="11:11" x14ac:dyDescent="0.25">
      <c r="K2179" s="146"/>
    </row>
    <row r="2180" spans="11:11" x14ac:dyDescent="0.25">
      <c r="K2180" s="146"/>
    </row>
    <row r="2181" spans="11:11" x14ac:dyDescent="0.25">
      <c r="K2181" s="146"/>
    </row>
    <row r="2182" spans="11:11" x14ac:dyDescent="0.25">
      <c r="K2182" s="146"/>
    </row>
    <row r="2183" spans="11:11" x14ac:dyDescent="0.25">
      <c r="K2183" s="146"/>
    </row>
    <row r="2184" spans="11:11" x14ac:dyDescent="0.25">
      <c r="K2184" s="146"/>
    </row>
    <row r="2185" spans="11:11" x14ac:dyDescent="0.25">
      <c r="K2185" s="146"/>
    </row>
    <row r="2186" spans="11:11" x14ac:dyDescent="0.25">
      <c r="K2186" s="146"/>
    </row>
    <row r="2187" spans="11:11" x14ac:dyDescent="0.25">
      <c r="K2187" s="146"/>
    </row>
    <row r="2188" spans="11:11" x14ac:dyDescent="0.25">
      <c r="K2188" s="146"/>
    </row>
    <row r="2189" spans="11:11" x14ac:dyDescent="0.25">
      <c r="K2189" s="146"/>
    </row>
    <row r="2190" spans="11:11" x14ac:dyDescent="0.25">
      <c r="K2190" s="146"/>
    </row>
    <row r="2191" spans="11:11" x14ac:dyDescent="0.25">
      <c r="K2191" s="146"/>
    </row>
    <row r="2192" spans="11:11" x14ac:dyDescent="0.25">
      <c r="K2192" s="146"/>
    </row>
    <row r="2193" spans="11:11" x14ac:dyDescent="0.25">
      <c r="K2193" s="146"/>
    </row>
    <row r="2194" spans="11:11" x14ac:dyDescent="0.25">
      <c r="K2194" s="146"/>
    </row>
    <row r="2195" spans="11:11" x14ac:dyDescent="0.25">
      <c r="K2195" s="146"/>
    </row>
    <row r="2196" spans="11:11" x14ac:dyDescent="0.25">
      <c r="K2196" s="146"/>
    </row>
    <row r="2197" spans="11:11" x14ac:dyDescent="0.25">
      <c r="K2197" s="146"/>
    </row>
    <row r="2198" spans="11:11" x14ac:dyDescent="0.25">
      <c r="K2198" s="146"/>
    </row>
    <row r="2199" spans="11:11" x14ac:dyDescent="0.25">
      <c r="K2199" s="146"/>
    </row>
    <row r="2200" spans="11:11" x14ac:dyDescent="0.25">
      <c r="K2200" s="146"/>
    </row>
    <row r="2201" spans="11:11" x14ac:dyDescent="0.25">
      <c r="K2201" s="146"/>
    </row>
    <row r="2202" spans="11:11" x14ac:dyDescent="0.25">
      <c r="K2202" s="146"/>
    </row>
    <row r="2203" spans="11:11" x14ac:dyDescent="0.25">
      <c r="K2203" s="146"/>
    </row>
    <row r="2204" spans="11:11" x14ac:dyDescent="0.25">
      <c r="K2204" s="146"/>
    </row>
    <row r="2205" spans="11:11" x14ac:dyDescent="0.25">
      <c r="K2205" s="146"/>
    </row>
    <row r="2206" spans="11:11" x14ac:dyDescent="0.25">
      <c r="K2206" s="146"/>
    </row>
    <row r="2207" spans="11:11" x14ac:dyDescent="0.25">
      <c r="K2207" s="146"/>
    </row>
    <row r="2208" spans="11:11" x14ac:dyDescent="0.25">
      <c r="K2208" s="146"/>
    </row>
    <row r="2209" spans="11:11" x14ac:dyDescent="0.25">
      <c r="K2209" s="146"/>
    </row>
    <row r="2210" spans="11:11" x14ac:dyDescent="0.25">
      <c r="K2210" s="146"/>
    </row>
    <row r="2211" spans="11:11" x14ac:dyDescent="0.25">
      <c r="K2211" s="146"/>
    </row>
    <row r="2212" spans="11:11" x14ac:dyDescent="0.25">
      <c r="K2212" s="146"/>
    </row>
    <row r="2213" spans="11:11" x14ac:dyDescent="0.25">
      <c r="K2213" s="146"/>
    </row>
    <row r="2214" spans="11:11" x14ac:dyDescent="0.25">
      <c r="K2214" s="146"/>
    </row>
    <row r="2215" spans="11:11" x14ac:dyDescent="0.25">
      <c r="K2215" s="146"/>
    </row>
    <row r="2216" spans="11:11" x14ac:dyDescent="0.25">
      <c r="K2216" s="146"/>
    </row>
    <row r="2217" spans="11:11" x14ac:dyDescent="0.25">
      <c r="K2217" s="146"/>
    </row>
    <row r="2218" spans="11:11" x14ac:dyDescent="0.25">
      <c r="K2218" s="146"/>
    </row>
    <row r="2219" spans="11:11" x14ac:dyDescent="0.25">
      <c r="K2219" s="146"/>
    </row>
    <row r="2220" spans="11:11" x14ac:dyDescent="0.25">
      <c r="K2220" s="146"/>
    </row>
    <row r="2221" spans="11:11" x14ac:dyDescent="0.25">
      <c r="K2221" s="146"/>
    </row>
    <row r="2222" spans="11:11" x14ac:dyDescent="0.25">
      <c r="K2222" s="146"/>
    </row>
    <row r="2223" spans="11:11" x14ac:dyDescent="0.25">
      <c r="K2223" s="146"/>
    </row>
    <row r="2224" spans="11:11" x14ac:dyDescent="0.25">
      <c r="K2224" s="146"/>
    </row>
    <row r="2225" spans="11:11" x14ac:dyDescent="0.25">
      <c r="K2225" s="146"/>
    </row>
    <row r="2226" spans="11:11" x14ac:dyDescent="0.25">
      <c r="K2226" s="146"/>
    </row>
    <row r="2227" spans="11:11" x14ac:dyDescent="0.25">
      <c r="K2227" s="146"/>
    </row>
    <row r="2228" spans="11:11" x14ac:dyDescent="0.25">
      <c r="K2228" s="146"/>
    </row>
    <row r="2229" spans="11:11" x14ac:dyDescent="0.25">
      <c r="K2229" s="146"/>
    </row>
    <row r="2230" spans="11:11" x14ac:dyDescent="0.25">
      <c r="K2230" s="146"/>
    </row>
    <row r="2231" spans="11:11" x14ac:dyDescent="0.25">
      <c r="K2231" s="146"/>
    </row>
    <row r="2232" spans="11:11" x14ac:dyDescent="0.25">
      <c r="K2232" s="146"/>
    </row>
    <row r="2233" spans="11:11" x14ac:dyDescent="0.25">
      <c r="K2233" s="146"/>
    </row>
    <row r="2234" spans="11:11" x14ac:dyDescent="0.25">
      <c r="K2234" s="146"/>
    </row>
    <row r="2235" spans="11:11" x14ac:dyDescent="0.25">
      <c r="K2235" s="146"/>
    </row>
    <row r="2236" spans="11:11" x14ac:dyDescent="0.25">
      <c r="K2236" s="146"/>
    </row>
    <row r="2237" spans="11:11" x14ac:dyDescent="0.25">
      <c r="K2237" s="146"/>
    </row>
    <row r="2238" spans="11:11" x14ac:dyDescent="0.25">
      <c r="K2238" s="146"/>
    </row>
    <row r="2239" spans="11:11" x14ac:dyDescent="0.25">
      <c r="K2239" s="146"/>
    </row>
    <row r="2240" spans="11:11" x14ac:dyDescent="0.25">
      <c r="K2240" s="146"/>
    </row>
    <row r="2241" spans="11:11" x14ac:dyDescent="0.25">
      <c r="K2241" s="146"/>
    </row>
    <row r="2242" spans="11:11" x14ac:dyDescent="0.25">
      <c r="K2242" s="146"/>
    </row>
    <row r="2243" spans="11:11" x14ac:dyDescent="0.25">
      <c r="K2243" s="146"/>
    </row>
    <row r="2244" spans="11:11" x14ac:dyDescent="0.25">
      <c r="K2244" s="146"/>
    </row>
    <row r="2245" spans="11:11" x14ac:dyDescent="0.25">
      <c r="K2245" s="146"/>
    </row>
    <row r="2246" spans="11:11" x14ac:dyDescent="0.25">
      <c r="K2246" s="146"/>
    </row>
    <row r="2247" spans="11:11" x14ac:dyDescent="0.25">
      <c r="K2247" s="146"/>
    </row>
    <row r="2248" spans="11:11" x14ac:dyDescent="0.25">
      <c r="K2248" s="146"/>
    </row>
    <row r="2249" spans="11:11" x14ac:dyDescent="0.25">
      <c r="K2249" s="146"/>
    </row>
    <row r="2250" spans="11:11" x14ac:dyDescent="0.25">
      <c r="K2250" s="146"/>
    </row>
    <row r="2251" spans="11:11" x14ac:dyDescent="0.25">
      <c r="K2251" s="146"/>
    </row>
    <row r="2252" spans="11:11" x14ac:dyDescent="0.25">
      <c r="K2252" s="146"/>
    </row>
    <row r="2253" spans="11:11" x14ac:dyDescent="0.25">
      <c r="K2253" s="146"/>
    </row>
    <row r="2254" spans="11:11" x14ac:dyDescent="0.25">
      <c r="K2254" s="146"/>
    </row>
    <row r="2255" spans="11:11" x14ac:dyDescent="0.25">
      <c r="K2255" s="146"/>
    </row>
    <row r="2256" spans="11:11" x14ac:dyDescent="0.25">
      <c r="K2256" s="146"/>
    </row>
    <row r="2257" spans="11:11" x14ac:dyDescent="0.25">
      <c r="K2257" s="146"/>
    </row>
    <row r="2258" spans="11:11" x14ac:dyDescent="0.25">
      <c r="K2258" s="146"/>
    </row>
    <row r="2259" spans="11:11" x14ac:dyDescent="0.25">
      <c r="K2259" s="146"/>
    </row>
    <row r="2260" spans="11:11" x14ac:dyDescent="0.25">
      <c r="K2260" s="146"/>
    </row>
    <row r="2261" spans="11:11" x14ac:dyDescent="0.25">
      <c r="K2261" s="146"/>
    </row>
    <row r="2262" spans="11:11" x14ac:dyDescent="0.25">
      <c r="K2262" s="146"/>
    </row>
    <row r="2263" spans="11:11" x14ac:dyDescent="0.25">
      <c r="K2263" s="146"/>
    </row>
    <row r="2264" spans="11:11" x14ac:dyDescent="0.25">
      <c r="K2264" s="146"/>
    </row>
    <row r="2265" spans="11:11" x14ac:dyDescent="0.25">
      <c r="K2265" s="146"/>
    </row>
    <row r="2266" spans="11:11" x14ac:dyDescent="0.25">
      <c r="K2266" s="146"/>
    </row>
    <row r="2267" spans="11:11" x14ac:dyDescent="0.25">
      <c r="K2267" s="146"/>
    </row>
    <row r="2268" spans="11:11" x14ac:dyDescent="0.25">
      <c r="K2268" s="146"/>
    </row>
    <row r="2269" spans="11:11" x14ac:dyDescent="0.25">
      <c r="K2269" s="146"/>
    </row>
    <row r="2270" spans="11:11" x14ac:dyDescent="0.25">
      <c r="K2270" s="146"/>
    </row>
    <row r="2271" spans="11:11" x14ac:dyDescent="0.25">
      <c r="K2271" s="146"/>
    </row>
    <row r="2272" spans="11:11" x14ac:dyDescent="0.25">
      <c r="K2272" s="146"/>
    </row>
    <row r="2273" spans="11:11" x14ac:dyDescent="0.25">
      <c r="K2273" s="146"/>
    </row>
    <row r="2274" spans="11:11" x14ac:dyDescent="0.25">
      <c r="K2274" s="146"/>
    </row>
    <row r="2275" spans="11:11" x14ac:dyDescent="0.25">
      <c r="K2275" s="146"/>
    </row>
    <row r="2276" spans="11:11" x14ac:dyDescent="0.25">
      <c r="K2276" s="146"/>
    </row>
    <row r="2277" spans="11:11" x14ac:dyDescent="0.25">
      <c r="K2277" s="146"/>
    </row>
    <row r="2278" spans="11:11" x14ac:dyDescent="0.25">
      <c r="K2278" s="146"/>
    </row>
    <row r="2279" spans="11:11" x14ac:dyDescent="0.25">
      <c r="K2279" s="146"/>
    </row>
    <row r="2280" spans="11:11" x14ac:dyDescent="0.25">
      <c r="K2280" s="146"/>
    </row>
    <row r="2281" spans="11:11" x14ac:dyDescent="0.25">
      <c r="K2281" s="146"/>
    </row>
    <row r="2282" spans="11:11" x14ac:dyDescent="0.25">
      <c r="K2282" s="146"/>
    </row>
    <row r="2283" spans="11:11" x14ac:dyDescent="0.25">
      <c r="K2283" s="146"/>
    </row>
    <row r="2284" spans="11:11" x14ac:dyDescent="0.25">
      <c r="K2284" s="146"/>
    </row>
    <row r="2285" spans="11:11" x14ac:dyDescent="0.25">
      <c r="K2285" s="146"/>
    </row>
    <row r="2286" spans="11:11" x14ac:dyDescent="0.25">
      <c r="K2286" s="146"/>
    </row>
    <row r="2287" spans="11:11" x14ac:dyDescent="0.25">
      <c r="K2287" s="146"/>
    </row>
    <row r="2288" spans="11:11" x14ac:dyDescent="0.25">
      <c r="K2288" s="146"/>
    </row>
    <row r="2289" spans="11:11" x14ac:dyDescent="0.25">
      <c r="K2289" s="146"/>
    </row>
    <row r="2290" spans="11:11" x14ac:dyDescent="0.25">
      <c r="K2290" s="146"/>
    </row>
    <row r="2291" spans="11:11" x14ac:dyDescent="0.25">
      <c r="K2291" s="146"/>
    </row>
    <row r="2292" spans="11:11" x14ac:dyDescent="0.25">
      <c r="K2292" s="146"/>
    </row>
    <row r="2293" spans="11:11" x14ac:dyDescent="0.25">
      <c r="K2293" s="146"/>
    </row>
    <row r="2294" spans="11:11" x14ac:dyDescent="0.25">
      <c r="K2294" s="146"/>
    </row>
    <row r="2295" spans="11:11" x14ac:dyDescent="0.25">
      <c r="K2295" s="146"/>
    </row>
    <row r="2296" spans="11:11" x14ac:dyDescent="0.25">
      <c r="K2296" s="146"/>
    </row>
    <row r="2297" spans="11:11" x14ac:dyDescent="0.25">
      <c r="K2297" s="146"/>
    </row>
    <row r="2298" spans="11:11" x14ac:dyDescent="0.25">
      <c r="K2298" s="146"/>
    </row>
    <row r="2299" spans="11:11" x14ac:dyDescent="0.25">
      <c r="K2299" s="146"/>
    </row>
    <row r="2300" spans="11:11" x14ac:dyDescent="0.25">
      <c r="K2300" s="146"/>
    </row>
    <row r="2301" spans="11:11" x14ac:dyDescent="0.25">
      <c r="K2301" s="146"/>
    </row>
    <row r="2302" spans="11:11" x14ac:dyDescent="0.25">
      <c r="K2302" s="146"/>
    </row>
    <row r="2303" spans="11:11" x14ac:dyDescent="0.25">
      <c r="K2303" s="146"/>
    </row>
    <row r="2304" spans="11:11" x14ac:dyDescent="0.25">
      <c r="K2304" s="146"/>
    </row>
    <row r="2305" spans="11:11" x14ac:dyDescent="0.25">
      <c r="K2305" s="146"/>
    </row>
    <row r="2306" spans="11:11" x14ac:dyDescent="0.25">
      <c r="K2306" s="146"/>
    </row>
    <row r="2307" spans="11:11" x14ac:dyDescent="0.25">
      <c r="K2307" s="146"/>
    </row>
    <row r="2308" spans="11:11" x14ac:dyDescent="0.25">
      <c r="K2308" s="146"/>
    </row>
    <row r="2309" spans="11:11" x14ac:dyDescent="0.25">
      <c r="K2309" s="146"/>
    </row>
    <row r="2310" spans="11:11" x14ac:dyDescent="0.25">
      <c r="K2310" s="146"/>
    </row>
    <row r="2311" spans="11:11" x14ac:dyDescent="0.25">
      <c r="K2311" s="146"/>
    </row>
    <row r="2312" spans="11:11" x14ac:dyDescent="0.25">
      <c r="K2312" s="146"/>
    </row>
    <row r="2313" spans="11:11" x14ac:dyDescent="0.25">
      <c r="K2313" s="146"/>
    </row>
    <row r="2314" spans="11:11" x14ac:dyDescent="0.25">
      <c r="K2314" s="146"/>
    </row>
    <row r="2315" spans="11:11" x14ac:dyDescent="0.25">
      <c r="K2315" s="146"/>
    </row>
    <row r="2316" spans="11:11" x14ac:dyDescent="0.25">
      <c r="K2316" s="146"/>
    </row>
    <row r="2317" spans="11:11" x14ac:dyDescent="0.25">
      <c r="K2317" s="146"/>
    </row>
    <row r="2318" spans="11:11" x14ac:dyDescent="0.25">
      <c r="K2318" s="146"/>
    </row>
    <row r="2319" spans="11:11" x14ac:dyDescent="0.25">
      <c r="K2319" s="146"/>
    </row>
    <row r="2320" spans="11:11" x14ac:dyDescent="0.25">
      <c r="K2320" s="146"/>
    </row>
    <row r="2321" spans="11:11" x14ac:dyDescent="0.25">
      <c r="K2321" s="146"/>
    </row>
    <row r="2322" spans="11:11" x14ac:dyDescent="0.25">
      <c r="K2322" s="146"/>
    </row>
    <row r="2323" spans="11:11" x14ac:dyDescent="0.25">
      <c r="K2323" s="146"/>
    </row>
    <row r="2324" spans="11:11" x14ac:dyDescent="0.25">
      <c r="K2324" s="146"/>
    </row>
    <row r="2325" spans="11:11" x14ac:dyDescent="0.25">
      <c r="K2325" s="146"/>
    </row>
    <row r="2326" spans="11:11" x14ac:dyDescent="0.25">
      <c r="K2326" s="146"/>
    </row>
    <row r="2327" spans="11:11" x14ac:dyDescent="0.25">
      <c r="K2327" s="146"/>
    </row>
    <row r="2328" spans="11:11" x14ac:dyDescent="0.25">
      <c r="K2328" s="146"/>
    </row>
    <row r="2329" spans="11:11" x14ac:dyDescent="0.25">
      <c r="K2329" s="146"/>
    </row>
    <row r="2330" spans="11:11" x14ac:dyDescent="0.25">
      <c r="K2330" s="146"/>
    </row>
    <row r="2331" spans="11:11" x14ac:dyDescent="0.25">
      <c r="K2331" s="146"/>
    </row>
    <row r="2332" spans="11:11" x14ac:dyDescent="0.25">
      <c r="K2332" s="146"/>
    </row>
    <row r="2333" spans="11:11" x14ac:dyDescent="0.25">
      <c r="K2333" s="146"/>
    </row>
    <row r="2334" spans="11:11" x14ac:dyDescent="0.25">
      <c r="K2334" s="146"/>
    </row>
    <row r="2335" spans="11:11" x14ac:dyDescent="0.25">
      <c r="K2335" s="146"/>
    </row>
    <row r="2336" spans="11:11" x14ac:dyDescent="0.25">
      <c r="K2336" s="146"/>
    </row>
    <row r="2337" spans="11:11" x14ac:dyDescent="0.25">
      <c r="K2337" s="146"/>
    </row>
    <row r="2338" spans="11:11" x14ac:dyDescent="0.25">
      <c r="K2338" s="146"/>
    </row>
    <row r="2339" spans="11:11" x14ac:dyDescent="0.25">
      <c r="K2339" s="146"/>
    </row>
    <row r="2340" spans="11:11" x14ac:dyDescent="0.25">
      <c r="K2340" s="146"/>
    </row>
    <row r="2341" spans="11:11" x14ac:dyDescent="0.25">
      <c r="K2341" s="146"/>
    </row>
    <row r="2342" spans="11:11" x14ac:dyDescent="0.25">
      <c r="K2342" s="146"/>
    </row>
    <row r="2343" spans="11:11" x14ac:dyDescent="0.25">
      <c r="K2343" s="146"/>
    </row>
    <row r="2344" spans="11:11" x14ac:dyDescent="0.25">
      <c r="K2344" s="146"/>
    </row>
    <row r="2345" spans="11:11" x14ac:dyDescent="0.25">
      <c r="K2345" s="146"/>
    </row>
    <row r="2346" spans="11:11" x14ac:dyDescent="0.25">
      <c r="K2346" s="146"/>
    </row>
    <row r="2347" spans="11:11" x14ac:dyDescent="0.25">
      <c r="K2347" s="146"/>
    </row>
    <row r="2348" spans="11:11" x14ac:dyDescent="0.25">
      <c r="K2348" s="146"/>
    </row>
    <row r="2349" spans="11:11" x14ac:dyDescent="0.25">
      <c r="K2349" s="146"/>
    </row>
    <row r="2350" spans="11:11" x14ac:dyDescent="0.25">
      <c r="K2350" s="146"/>
    </row>
    <row r="2351" spans="11:11" x14ac:dyDescent="0.25">
      <c r="K2351" s="146"/>
    </row>
    <row r="2352" spans="11:11" x14ac:dyDescent="0.25">
      <c r="K2352" s="146"/>
    </row>
    <row r="2353" spans="11:11" x14ac:dyDescent="0.25">
      <c r="K2353" s="146"/>
    </row>
    <row r="2354" spans="11:11" x14ac:dyDescent="0.25">
      <c r="K2354" s="146"/>
    </row>
    <row r="2355" spans="11:11" x14ac:dyDescent="0.25">
      <c r="K2355" s="146"/>
    </row>
    <row r="2356" spans="11:11" x14ac:dyDescent="0.25">
      <c r="K2356" s="146"/>
    </row>
    <row r="2357" spans="11:11" x14ac:dyDescent="0.25">
      <c r="K2357" s="146"/>
    </row>
    <row r="2358" spans="11:11" x14ac:dyDescent="0.25">
      <c r="K2358" s="146"/>
    </row>
    <row r="2359" spans="11:11" x14ac:dyDescent="0.25">
      <c r="K2359" s="146"/>
    </row>
    <row r="2360" spans="11:11" x14ac:dyDescent="0.25">
      <c r="K2360" s="146"/>
    </row>
    <row r="2361" spans="11:11" x14ac:dyDescent="0.25">
      <c r="K2361" s="146"/>
    </row>
    <row r="2362" spans="11:11" x14ac:dyDescent="0.25">
      <c r="K2362" s="146"/>
    </row>
    <row r="2363" spans="11:11" x14ac:dyDescent="0.25">
      <c r="K2363" s="146"/>
    </row>
    <row r="2364" spans="11:11" x14ac:dyDescent="0.25">
      <c r="K2364" s="146"/>
    </row>
    <row r="2365" spans="11:11" x14ac:dyDescent="0.25">
      <c r="K2365" s="146"/>
    </row>
    <row r="2366" spans="11:11" x14ac:dyDescent="0.25">
      <c r="K2366" s="146"/>
    </row>
    <row r="2367" spans="11:11" x14ac:dyDescent="0.25">
      <c r="K2367" s="146"/>
    </row>
    <row r="2368" spans="11:11" x14ac:dyDescent="0.25">
      <c r="K2368" s="146"/>
    </row>
    <row r="2369" spans="11:11" x14ac:dyDescent="0.25">
      <c r="K2369" s="146"/>
    </row>
    <row r="2370" spans="11:11" x14ac:dyDescent="0.25">
      <c r="K2370" s="146"/>
    </row>
    <row r="2371" spans="11:11" x14ac:dyDescent="0.25">
      <c r="K2371" s="146"/>
    </row>
    <row r="2372" spans="11:11" x14ac:dyDescent="0.25">
      <c r="K2372" s="146"/>
    </row>
    <row r="2373" spans="11:11" x14ac:dyDescent="0.25">
      <c r="K2373" s="146"/>
    </row>
    <row r="2374" spans="11:11" x14ac:dyDescent="0.25">
      <c r="K2374" s="146"/>
    </row>
    <row r="2375" spans="11:11" x14ac:dyDescent="0.25">
      <c r="K2375" s="146"/>
    </row>
    <row r="2376" spans="11:11" x14ac:dyDescent="0.25">
      <c r="K2376" s="146"/>
    </row>
    <row r="2377" spans="11:11" x14ac:dyDescent="0.25">
      <c r="K2377" s="146"/>
    </row>
    <row r="2378" spans="11:11" x14ac:dyDescent="0.25">
      <c r="K2378" s="146"/>
    </row>
    <row r="2379" spans="11:11" x14ac:dyDescent="0.25">
      <c r="K2379" s="146"/>
    </row>
    <row r="2380" spans="11:11" x14ac:dyDescent="0.25">
      <c r="K2380" s="146"/>
    </row>
    <row r="2381" spans="11:11" x14ac:dyDescent="0.25">
      <c r="K2381" s="146"/>
    </row>
    <row r="2382" spans="11:11" x14ac:dyDescent="0.25">
      <c r="K2382" s="146"/>
    </row>
    <row r="2383" spans="11:11" x14ac:dyDescent="0.25">
      <c r="K2383" s="146"/>
    </row>
    <row r="2384" spans="11:11" x14ac:dyDescent="0.25">
      <c r="K2384" s="146"/>
    </row>
    <row r="2385" spans="11:11" x14ac:dyDescent="0.25">
      <c r="K2385" s="146"/>
    </row>
    <row r="2386" spans="11:11" x14ac:dyDescent="0.25">
      <c r="K2386" s="146"/>
    </row>
    <row r="2387" spans="11:11" x14ac:dyDescent="0.25">
      <c r="K2387" s="146"/>
    </row>
    <row r="2388" spans="11:11" x14ac:dyDescent="0.25">
      <c r="K2388" s="146"/>
    </row>
    <row r="2389" spans="11:11" x14ac:dyDescent="0.25">
      <c r="K2389" s="146"/>
    </row>
    <row r="2390" spans="11:11" x14ac:dyDescent="0.25">
      <c r="K2390" s="146"/>
    </row>
    <row r="2391" spans="11:11" x14ac:dyDescent="0.25">
      <c r="K2391" s="146"/>
    </row>
    <row r="2392" spans="11:11" x14ac:dyDescent="0.25">
      <c r="K2392" s="146"/>
    </row>
    <row r="2393" spans="11:11" x14ac:dyDescent="0.25">
      <c r="K2393" s="146"/>
    </row>
    <row r="2394" spans="11:11" x14ac:dyDescent="0.25">
      <c r="K2394" s="146"/>
    </row>
    <row r="2395" spans="11:11" x14ac:dyDescent="0.25">
      <c r="K2395" s="146"/>
    </row>
    <row r="2396" spans="11:11" x14ac:dyDescent="0.25">
      <c r="K2396" s="146"/>
    </row>
    <row r="2397" spans="11:11" x14ac:dyDescent="0.25">
      <c r="K2397" s="146"/>
    </row>
    <row r="2398" spans="11:11" x14ac:dyDescent="0.25">
      <c r="K2398" s="146"/>
    </row>
    <row r="2399" spans="11:11" x14ac:dyDescent="0.25">
      <c r="K2399" s="146"/>
    </row>
    <row r="2400" spans="11:11" x14ac:dyDescent="0.25">
      <c r="K2400" s="146"/>
    </row>
    <row r="2401" spans="11:11" x14ac:dyDescent="0.25">
      <c r="K2401" s="146"/>
    </row>
    <row r="2402" spans="11:11" x14ac:dyDescent="0.25">
      <c r="K2402" s="146"/>
    </row>
    <row r="2403" spans="11:11" x14ac:dyDescent="0.25">
      <c r="K2403" s="146"/>
    </row>
    <row r="2404" spans="11:11" x14ac:dyDescent="0.25">
      <c r="K2404" s="146"/>
    </row>
    <row r="2405" spans="11:11" x14ac:dyDescent="0.25">
      <c r="K2405" s="146"/>
    </row>
    <row r="2406" spans="11:11" x14ac:dyDescent="0.25">
      <c r="K2406" s="146"/>
    </row>
    <row r="2407" spans="11:11" x14ac:dyDescent="0.25">
      <c r="K2407" s="146"/>
    </row>
    <row r="2408" spans="11:11" x14ac:dyDescent="0.25">
      <c r="K2408" s="146"/>
    </row>
    <row r="2409" spans="11:11" x14ac:dyDescent="0.25">
      <c r="K2409" s="146"/>
    </row>
    <row r="2410" spans="11:11" x14ac:dyDescent="0.25">
      <c r="K2410" s="146"/>
    </row>
    <row r="2411" spans="11:11" x14ac:dyDescent="0.25">
      <c r="K2411" s="146"/>
    </row>
    <row r="2412" spans="11:11" x14ac:dyDescent="0.25">
      <c r="K2412" s="146"/>
    </row>
    <row r="2413" spans="11:11" x14ac:dyDescent="0.25">
      <c r="K2413" s="146"/>
    </row>
    <row r="2414" spans="11:11" x14ac:dyDescent="0.25">
      <c r="K2414" s="146"/>
    </row>
    <row r="2415" spans="11:11" x14ac:dyDescent="0.25">
      <c r="K2415" s="146"/>
    </row>
    <row r="2416" spans="11:11" x14ac:dyDescent="0.25">
      <c r="K2416" s="146"/>
    </row>
    <row r="2417" spans="11:11" x14ac:dyDescent="0.25">
      <c r="K2417" s="146"/>
    </row>
    <row r="2418" spans="11:11" x14ac:dyDescent="0.25">
      <c r="K2418" s="146"/>
    </row>
    <row r="2419" spans="11:11" x14ac:dyDescent="0.25">
      <c r="K2419" s="146"/>
    </row>
    <row r="2420" spans="11:11" x14ac:dyDescent="0.25">
      <c r="K2420" s="146"/>
    </row>
    <row r="2421" spans="11:11" x14ac:dyDescent="0.25">
      <c r="K2421" s="146"/>
    </row>
    <row r="2422" spans="11:11" x14ac:dyDescent="0.25">
      <c r="K2422" s="146"/>
    </row>
    <row r="2423" spans="11:11" x14ac:dyDescent="0.25">
      <c r="K2423" s="146"/>
    </row>
    <row r="2424" spans="11:11" x14ac:dyDescent="0.25">
      <c r="K2424" s="146"/>
    </row>
    <row r="2425" spans="11:11" x14ac:dyDescent="0.25">
      <c r="K2425" s="146"/>
    </row>
    <row r="2426" spans="11:11" x14ac:dyDescent="0.25">
      <c r="K2426" s="146"/>
    </row>
    <row r="2427" spans="11:11" x14ac:dyDescent="0.25">
      <c r="K2427" s="146"/>
    </row>
    <row r="2428" spans="11:11" x14ac:dyDescent="0.25">
      <c r="K2428" s="146"/>
    </row>
    <row r="2429" spans="11:11" x14ac:dyDescent="0.25">
      <c r="K2429" s="146"/>
    </row>
    <row r="2430" spans="11:11" x14ac:dyDescent="0.25">
      <c r="K2430" s="146"/>
    </row>
    <row r="2431" spans="11:11" x14ac:dyDescent="0.25">
      <c r="K2431" s="146"/>
    </row>
    <row r="2432" spans="11:11" x14ac:dyDescent="0.25">
      <c r="K2432" s="146"/>
    </row>
    <row r="2433" spans="11:11" x14ac:dyDescent="0.25">
      <c r="K2433" s="146"/>
    </row>
    <row r="2434" spans="11:11" x14ac:dyDescent="0.25">
      <c r="K2434" s="146"/>
    </row>
    <row r="2435" spans="11:11" x14ac:dyDescent="0.25">
      <c r="K2435" s="146"/>
    </row>
    <row r="2436" spans="11:11" x14ac:dyDescent="0.25">
      <c r="K2436" s="146"/>
    </row>
    <row r="2437" spans="11:11" x14ac:dyDescent="0.25">
      <c r="K2437" s="146"/>
    </row>
    <row r="2438" spans="11:11" x14ac:dyDescent="0.25">
      <c r="K2438" s="146"/>
    </row>
    <row r="2439" spans="11:11" x14ac:dyDescent="0.25">
      <c r="K2439" s="146"/>
    </row>
    <row r="2440" spans="11:11" x14ac:dyDescent="0.25">
      <c r="K2440" s="146"/>
    </row>
    <row r="2441" spans="11:11" x14ac:dyDescent="0.25">
      <c r="K2441" s="146"/>
    </row>
    <row r="2442" spans="11:11" x14ac:dyDescent="0.25">
      <c r="K2442" s="146"/>
    </row>
    <row r="2443" spans="11:11" x14ac:dyDescent="0.25">
      <c r="K2443" s="146"/>
    </row>
    <row r="2444" spans="11:11" x14ac:dyDescent="0.25">
      <c r="K2444" s="146"/>
    </row>
    <row r="2445" spans="11:11" x14ac:dyDescent="0.25">
      <c r="K2445" s="146"/>
    </row>
    <row r="2446" spans="11:11" x14ac:dyDescent="0.25">
      <c r="K2446" s="146"/>
    </row>
    <row r="2447" spans="11:11" x14ac:dyDescent="0.25">
      <c r="K2447" s="146"/>
    </row>
    <row r="2448" spans="11:11" x14ac:dyDescent="0.25">
      <c r="K2448" s="146"/>
    </row>
    <row r="2449" spans="11:11" x14ac:dyDescent="0.25">
      <c r="K2449" s="146"/>
    </row>
    <row r="2450" spans="11:11" x14ac:dyDescent="0.25">
      <c r="K2450" s="146"/>
    </row>
    <row r="2451" spans="11:11" x14ac:dyDescent="0.25">
      <c r="K2451" s="146"/>
    </row>
    <row r="2452" spans="11:11" x14ac:dyDescent="0.25">
      <c r="K2452" s="146"/>
    </row>
    <row r="2453" spans="11:11" x14ac:dyDescent="0.25">
      <c r="K2453" s="146"/>
    </row>
    <row r="2454" spans="11:11" x14ac:dyDescent="0.25">
      <c r="K2454" s="146"/>
    </row>
    <row r="2455" spans="11:11" x14ac:dyDescent="0.25">
      <c r="K2455" s="146"/>
    </row>
    <row r="2456" spans="11:11" x14ac:dyDescent="0.25">
      <c r="K2456" s="146"/>
    </row>
    <row r="2457" spans="11:11" x14ac:dyDescent="0.25">
      <c r="K2457" s="146"/>
    </row>
    <row r="2458" spans="11:11" x14ac:dyDescent="0.25">
      <c r="K2458" s="146"/>
    </row>
    <row r="2459" spans="11:11" x14ac:dyDescent="0.25">
      <c r="K2459" s="146"/>
    </row>
    <row r="2460" spans="11:11" x14ac:dyDescent="0.25">
      <c r="K2460" s="146"/>
    </row>
    <row r="2461" spans="11:11" x14ac:dyDescent="0.25">
      <c r="K2461" s="146"/>
    </row>
    <row r="2462" spans="11:11" x14ac:dyDescent="0.25">
      <c r="K2462" s="146"/>
    </row>
    <row r="2463" spans="11:11" x14ac:dyDescent="0.25">
      <c r="K2463" s="146"/>
    </row>
    <row r="2464" spans="11:11" x14ac:dyDescent="0.25">
      <c r="K2464" s="146"/>
    </row>
    <row r="2465" spans="11:11" x14ac:dyDescent="0.25">
      <c r="K2465" s="146"/>
    </row>
    <row r="2466" spans="11:11" x14ac:dyDescent="0.25">
      <c r="K2466" s="146"/>
    </row>
    <row r="2467" spans="11:11" x14ac:dyDescent="0.25">
      <c r="K2467" s="146"/>
    </row>
    <row r="2468" spans="11:11" x14ac:dyDescent="0.25">
      <c r="K2468" s="146"/>
    </row>
    <row r="2469" spans="11:11" x14ac:dyDescent="0.25">
      <c r="K2469" s="146"/>
    </row>
    <row r="2470" spans="11:11" x14ac:dyDescent="0.25">
      <c r="K2470" s="146"/>
    </row>
    <row r="2471" spans="11:11" x14ac:dyDescent="0.25">
      <c r="K2471" s="146"/>
    </row>
    <row r="2472" spans="11:11" x14ac:dyDescent="0.25">
      <c r="K2472" s="146"/>
    </row>
    <row r="2473" spans="11:11" x14ac:dyDescent="0.25">
      <c r="K2473" s="146"/>
    </row>
    <row r="2474" spans="11:11" x14ac:dyDescent="0.25">
      <c r="K2474" s="146"/>
    </row>
    <row r="2475" spans="11:11" x14ac:dyDescent="0.25">
      <c r="K2475" s="146"/>
    </row>
    <row r="2476" spans="11:11" x14ac:dyDescent="0.25">
      <c r="K2476" s="146"/>
    </row>
    <row r="2477" spans="11:11" x14ac:dyDescent="0.25">
      <c r="K2477" s="146"/>
    </row>
    <row r="2478" spans="11:11" x14ac:dyDescent="0.25">
      <c r="K2478" s="146"/>
    </row>
    <row r="2479" spans="11:11" x14ac:dyDescent="0.25">
      <c r="K2479" s="146"/>
    </row>
    <row r="2480" spans="11:11" x14ac:dyDescent="0.25">
      <c r="K2480" s="146"/>
    </row>
    <row r="2481" spans="11:11" x14ac:dyDescent="0.25">
      <c r="K2481" s="146"/>
    </row>
    <row r="2482" spans="11:11" x14ac:dyDescent="0.25">
      <c r="K2482" s="146"/>
    </row>
    <row r="2483" spans="11:11" x14ac:dyDescent="0.25">
      <c r="K2483" s="146"/>
    </row>
    <row r="2484" spans="11:11" x14ac:dyDescent="0.25">
      <c r="K2484" s="146"/>
    </row>
    <row r="2485" spans="11:11" x14ac:dyDescent="0.25">
      <c r="K2485" s="146"/>
    </row>
    <row r="2486" spans="11:11" x14ac:dyDescent="0.25">
      <c r="K2486" s="146"/>
    </row>
    <row r="2487" spans="11:11" x14ac:dyDescent="0.25">
      <c r="K2487" s="146"/>
    </row>
    <row r="2488" spans="11:11" x14ac:dyDescent="0.25">
      <c r="K2488" s="146"/>
    </row>
    <row r="2489" spans="11:11" x14ac:dyDescent="0.25">
      <c r="K2489" s="146"/>
    </row>
    <row r="2490" spans="11:11" x14ac:dyDescent="0.25">
      <c r="K2490" s="146"/>
    </row>
    <row r="2491" spans="11:11" x14ac:dyDescent="0.25">
      <c r="K2491" s="146"/>
    </row>
    <row r="2492" spans="11:11" x14ac:dyDescent="0.25">
      <c r="K2492" s="146"/>
    </row>
    <row r="2493" spans="11:11" x14ac:dyDescent="0.25">
      <c r="K2493" s="146"/>
    </row>
    <row r="2494" spans="11:11" x14ac:dyDescent="0.25">
      <c r="K2494" s="146"/>
    </row>
    <row r="2495" spans="11:11" x14ac:dyDescent="0.25">
      <c r="K2495" s="146"/>
    </row>
    <row r="2496" spans="11:11" x14ac:dyDescent="0.25">
      <c r="K2496" s="146"/>
    </row>
    <row r="2497" spans="11:11" x14ac:dyDescent="0.25">
      <c r="K2497" s="146"/>
    </row>
    <row r="2498" spans="11:11" x14ac:dyDescent="0.25">
      <c r="K2498" s="146"/>
    </row>
    <row r="2499" spans="11:11" x14ac:dyDescent="0.25">
      <c r="K2499" s="146"/>
    </row>
    <row r="2500" spans="11:11" x14ac:dyDescent="0.25">
      <c r="K2500" s="146"/>
    </row>
    <row r="2501" spans="11:11" x14ac:dyDescent="0.25">
      <c r="K2501" s="146"/>
    </row>
    <row r="2502" spans="11:11" x14ac:dyDescent="0.25">
      <c r="K2502" s="146"/>
    </row>
    <row r="2503" spans="11:11" x14ac:dyDescent="0.25">
      <c r="K2503" s="146"/>
    </row>
    <row r="2504" spans="11:11" x14ac:dyDescent="0.25">
      <c r="K2504" s="146"/>
    </row>
    <row r="2505" spans="11:11" x14ac:dyDescent="0.25">
      <c r="K2505" s="146"/>
    </row>
    <row r="2506" spans="11:11" x14ac:dyDescent="0.25">
      <c r="K2506" s="146"/>
    </row>
    <row r="2507" spans="11:11" x14ac:dyDescent="0.25">
      <c r="K2507" s="146"/>
    </row>
    <row r="2508" spans="11:11" x14ac:dyDescent="0.25">
      <c r="K2508" s="146"/>
    </row>
    <row r="2509" spans="11:11" x14ac:dyDescent="0.25">
      <c r="K2509" s="146"/>
    </row>
    <row r="2510" spans="11:11" x14ac:dyDescent="0.25">
      <c r="K2510" s="146"/>
    </row>
    <row r="2511" spans="11:11" x14ac:dyDescent="0.25">
      <c r="K2511" s="146"/>
    </row>
    <row r="2512" spans="11:11" x14ac:dyDescent="0.25">
      <c r="K2512" s="146"/>
    </row>
    <row r="2513" spans="11:11" x14ac:dyDescent="0.25">
      <c r="K2513" s="146"/>
    </row>
    <row r="2514" spans="11:11" x14ac:dyDescent="0.25">
      <c r="K2514" s="146"/>
    </row>
    <row r="2515" spans="11:11" x14ac:dyDescent="0.25">
      <c r="K2515" s="146"/>
    </row>
    <row r="2516" spans="11:11" x14ac:dyDescent="0.25">
      <c r="K2516" s="146"/>
    </row>
    <row r="2517" spans="11:11" x14ac:dyDescent="0.25">
      <c r="K2517" s="146"/>
    </row>
    <row r="2518" spans="11:11" x14ac:dyDescent="0.25">
      <c r="K2518" s="146"/>
    </row>
    <row r="2519" spans="11:11" x14ac:dyDescent="0.25">
      <c r="K2519" s="146"/>
    </row>
    <row r="2520" spans="11:11" x14ac:dyDescent="0.25">
      <c r="K2520" s="146"/>
    </row>
    <row r="2521" spans="11:11" x14ac:dyDescent="0.25">
      <c r="K2521" s="146"/>
    </row>
    <row r="2522" spans="11:11" x14ac:dyDescent="0.25">
      <c r="K2522" s="146"/>
    </row>
    <row r="2523" spans="11:11" x14ac:dyDescent="0.25">
      <c r="K2523" s="146"/>
    </row>
    <row r="2524" spans="11:11" x14ac:dyDescent="0.25">
      <c r="K2524" s="146"/>
    </row>
    <row r="2525" spans="11:11" x14ac:dyDescent="0.25">
      <c r="K2525" s="146"/>
    </row>
    <row r="2526" spans="11:11" x14ac:dyDescent="0.25">
      <c r="K2526" s="146"/>
    </row>
    <row r="2527" spans="11:11" x14ac:dyDescent="0.25">
      <c r="K2527" s="146"/>
    </row>
    <row r="2528" spans="11:11" x14ac:dyDescent="0.25">
      <c r="K2528" s="146"/>
    </row>
    <row r="2529" spans="11:11" x14ac:dyDescent="0.25">
      <c r="K2529" s="146"/>
    </row>
    <row r="2530" spans="11:11" x14ac:dyDescent="0.25">
      <c r="K2530" s="146"/>
    </row>
    <row r="2531" spans="11:11" x14ac:dyDescent="0.25">
      <c r="K2531" s="146"/>
    </row>
    <row r="2532" spans="11:11" x14ac:dyDescent="0.25">
      <c r="K2532" s="146"/>
    </row>
    <row r="2533" spans="11:11" x14ac:dyDescent="0.25">
      <c r="K2533" s="146"/>
    </row>
    <row r="2534" spans="11:11" x14ac:dyDescent="0.25">
      <c r="K2534" s="146"/>
    </row>
    <row r="2535" spans="11:11" x14ac:dyDescent="0.25">
      <c r="K2535" s="146"/>
    </row>
    <row r="2536" spans="11:11" x14ac:dyDescent="0.25">
      <c r="K2536" s="146"/>
    </row>
    <row r="2537" spans="11:11" x14ac:dyDescent="0.25">
      <c r="K2537" s="146"/>
    </row>
    <row r="2538" spans="11:11" x14ac:dyDescent="0.25">
      <c r="K2538" s="146"/>
    </row>
    <row r="2539" spans="11:11" x14ac:dyDescent="0.25">
      <c r="K2539" s="146"/>
    </row>
    <row r="2540" spans="11:11" x14ac:dyDescent="0.25">
      <c r="K2540" s="146"/>
    </row>
    <row r="2541" spans="11:11" x14ac:dyDescent="0.25">
      <c r="K2541" s="146"/>
    </row>
    <row r="2542" spans="11:11" x14ac:dyDescent="0.25">
      <c r="K2542" s="146"/>
    </row>
    <row r="2543" spans="11:11" x14ac:dyDescent="0.25">
      <c r="K2543" s="146"/>
    </row>
    <row r="2544" spans="11:11" x14ac:dyDescent="0.25">
      <c r="K2544" s="146"/>
    </row>
    <row r="2545" spans="11:11" x14ac:dyDescent="0.25">
      <c r="K2545" s="146"/>
    </row>
    <row r="2546" spans="11:11" x14ac:dyDescent="0.25">
      <c r="K2546" s="146"/>
    </row>
    <row r="2547" spans="11:11" x14ac:dyDescent="0.25">
      <c r="K2547" s="146"/>
    </row>
    <row r="2548" spans="11:11" x14ac:dyDescent="0.25">
      <c r="K2548" s="146"/>
    </row>
    <row r="2549" spans="11:11" x14ac:dyDescent="0.25">
      <c r="K2549" s="146"/>
    </row>
    <row r="2550" spans="11:11" x14ac:dyDescent="0.25">
      <c r="K2550" s="146"/>
    </row>
    <row r="2551" spans="11:11" x14ac:dyDescent="0.25">
      <c r="K2551" s="146"/>
    </row>
    <row r="2552" spans="11:11" x14ac:dyDescent="0.25">
      <c r="K2552" s="146"/>
    </row>
    <row r="2553" spans="11:11" x14ac:dyDescent="0.25">
      <c r="K2553" s="146"/>
    </row>
    <row r="2554" spans="11:11" x14ac:dyDescent="0.25">
      <c r="K2554" s="146"/>
    </row>
    <row r="2555" spans="11:11" x14ac:dyDescent="0.25">
      <c r="K2555" s="146"/>
    </row>
    <row r="2556" spans="11:11" x14ac:dyDescent="0.25">
      <c r="K2556" s="146"/>
    </row>
    <row r="2557" spans="11:11" x14ac:dyDescent="0.25">
      <c r="K2557" s="146"/>
    </row>
    <row r="2558" spans="11:11" x14ac:dyDescent="0.25">
      <c r="K2558" s="146"/>
    </row>
    <row r="2559" spans="11:11" x14ac:dyDescent="0.25">
      <c r="K2559" s="146"/>
    </row>
    <row r="2560" spans="11:11" x14ac:dyDescent="0.25">
      <c r="K2560" s="146"/>
    </row>
    <row r="2561" spans="11:11" x14ac:dyDescent="0.25">
      <c r="K2561" s="146"/>
    </row>
    <row r="2562" spans="11:11" x14ac:dyDescent="0.25">
      <c r="K2562" s="146"/>
    </row>
    <row r="2563" spans="11:11" x14ac:dyDescent="0.25">
      <c r="K2563" s="146"/>
    </row>
    <row r="2564" spans="11:11" x14ac:dyDescent="0.25">
      <c r="K2564" s="146"/>
    </row>
    <row r="2565" spans="11:11" x14ac:dyDescent="0.25">
      <c r="K2565" s="146"/>
    </row>
    <row r="2566" spans="11:11" x14ac:dyDescent="0.25">
      <c r="K2566" s="146"/>
    </row>
    <row r="2567" spans="11:11" x14ac:dyDescent="0.25">
      <c r="K2567" s="146"/>
    </row>
    <row r="2568" spans="11:11" x14ac:dyDescent="0.25">
      <c r="K2568" s="146"/>
    </row>
    <row r="2569" spans="11:11" x14ac:dyDescent="0.25">
      <c r="K2569" s="146"/>
    </row>
    <row r="2570" spans="11:11" x14ac:dyDescent="0.25">
      <c r="K2570" s="146"/>
    </row>
    <row r="2571" spans="11:11" x14ac:dyDescent="0.25">
      <c r="K2571" s="146"/>
    </row>
    <row r="2572" spans="11:11" x14ac:dyDescent="0.25">
      <c r="K2572" s="146"/>
    </row>
    <row r="2573" spans="11:11" x14ac:dyDescent="0.25">
      <c r="K2573" s="146"/>
    </row>
    <row r="2574" spans="11:11" x14ac:dyDescent="0.25">
      <c r="K2574" s="146"/>
    </row>
    <row r="2575" spans="11:11" x14ac:dyDescent="0.25">
      <c r="K2575" s="146"/>
    </row>
    <row r="2576" spans="11:11" x14ac:dyDescent="0.25">
      <c r="K2576" s="146"/>
    </row>
    <row r="2577" spans="11:11" x14ac:dyDescent="0.25">
      <c r="K2577" s="146"/>
    </row>
    <row r="2578" spans="11:11" x14ac:dyDescent="0.25">
      <c r="K2578" s="146"/>
    </row>
    <row r="2579" spans="11:11" x14ac:dyDescent="0.25">
      <c r="K2579" s="146"/>
    </row>
    <row r="2580" spans="11:11" x14ac:dyDescent="0.25">
      <c r="K2580" s="146"/>
    </row>
    <row r="2581" spans="11:11" x14ac:dyDescent="0.25">
      <c r="K2581" s="146"/>
    </row>
    <row r="2582" spans="11:11" x14ac:dyDescent="0.25">
      <c r="K2582" s="146"/>
    </row>
    <row r="2583" spans="11:11" x14ac:dyDescent="0.25">
      <c r="K2583" s="146"/>
    </row>
    <row r="2584" spans="11:11" x14ac:dyDescent="0.25">
      <c r="K2584" s="146"/>
    </row>
    <row r="2585" spans="11:11" x14ac:dyDescent="0.25">
      <c r="K2585" s="146"/>
    </row>
    <row r="2586" spans="11:11" x14ac:dyDescent="0.25">
      <c r="K2586" s="146"/>
    </row>
    <row r="2587" spans="11:11" x14ac:dyDescent="0.25">
      <c r="K2587" s="146"/>
    </row>
    <row r="2588" spans="11:11" x14ac:dyDescent="0.25">
      <c r="K2588" s="146"/>
    </row>
    <row r="2589" spans="11:11" x14ac:dyDescent="0.25">
      <c r="K2589" s="146"/>
    </row>
    <row r="2590" spans="11:11" x14ac:dyDescent="0.25">
      <c r="K2590" s="146"/>
    </row>
    <row r="2591" spans="11:11" x14ac:dyDescent="0.25">
      <c r="K2591" s="146"/>
    </row>
    <row r="2592" spans="11:11" x14ac:dyDescent="0.25">
      <c r="K2592" s="146"/>
    </row>
    <row r="2593" spans="11:11" x14ac:dyDescent="0.25">
      <c r="K2593" s="146"/>
    </row>
    <row r="2594" spans="11:11" x14ac:dyDescent="0.25">
      <c r="K2594" s="146"/>
    </row>
    <row r="2595" spans="11:11" x14ac:dyDescent="0.25">
      <c r="K2595" s="146"/>
    </row>
    <row r="2596" spans="11:11" x14ac:dyDescent="0.25">
      <c r="K2596" s="146"/>
    </row>
    <row r="2597" spans="11:11" x14ac:dyDescent="0.25">
      <c r="K2597" s="146"/>
    </row>
    <row r="2598" spans="11:11" x14ac:dyDescent="0.25">
      <c r="K2598" s="146"/>
    </row>
    <row r="2599" spans="11:11" x14ac:dyDescent="0.25">
      <c r="K2599" s="146"/>
    </row>
    <row r="2600" spans="11:11" x14ac:dyDescent="0.25">
      <c r="K2600" s="146"/>
    </row>
    <row r="2601" spans="11:11" x14ac:dyDescent="0.25">
      <c r="K2601" s="146"/>
    </row>
    <row r="2602" spans="11:11" x14ac:dyDescent="0.25">
      <c r="K2602" s="146"/>
    </row>
    <row r="2603" spans="11:11" x14ac:dyDescent="0.25">
      <c r="K2603" s="146"/>
    </row>
    <row r="2604" spans="11:11" x14ac:dyDescent="0.25">
      <c r="K2604" s="146"/>
    </row>
    <row r="2605" spans="11:11" x14ac:dyDescent="0.25">
      <c r="K2605" s="146"/>
    </row>
    <row r="2606" spans="11:11" x14ac:dyDescent="0.25">
      <c r="K2606" s="146"/>
    </row>
    <row r="2607" spans="11:11" x14ac:dyDescent="0.25">
      <c r="K2607" s="146"/>
    </row>
    <row r="2608" spans="11:11" x14ac:dyDescent="0.25">
      <c r="K2608" s="146"/>
    </row>
    <row r="2609" spans="11:11" x14ac:dyDescent="0.25">
      <c r="K2609" s="146"/>
    </row>
    <row r="2610" spans="11:11" x14ac:dyDescent="0.25">
      <c r="K2610" s="146"/>
    </row>
    <row r="2611" spans="11:11" x14ac:dyDescent="0.25">
      <c r="K2611" s="146"/>
    </row>
    <row r="2612" spans="11:11" x14ac:dyDescent="0.25">
      <c r="K2612" s="146"/>
    </row>
    <row r="2613" spans="11:11" x14ac:dyDescent="0.25">
      <c r="K2613" s="146"/>
    </row>
    <row r="2614" spans="11:11" x14ac:dyDescent="0.25">
      <c r="K2614" s="146"/>
    </row>
    <row r="2615" spans="11:11" x14ac:dyDescent="0.25">
      <c r="K2615" s="146"/>
    </row>
    <row r="2616" spans="11:11" x14ac:dyDescent="0.25">
      <c r="K2616" s="146"/>
    </row>
    <row r="2617" spans="11:11" x14ac:dyDescent="0.25">
      <c r="K2617" s="146"/>
    </row>
    <row r="2618" spans="11:11" x14ac:dyDescent="0.25">
      <c r="K2618" s="146"/>
    </row>
    <row r="2619" spans="11:11" x14ac:dyDescent="0.25">
      <c r="K2619" s="146"/>
    </row>
    <row r="2620" spans="11:11" x14ac:dyDescent="0.25">
      <c r="K2620" s="146"/>
    </row>
    <row r="2621" spans="11:11" x14ac:dyDescent="0.25">
      <c r="K2621" s="146"/>
    </row>
    <row r="2622" spans="11:11" x14ac:dyDescent="0.25">
      <c r="K2622" s="146"/>
    </row>
    <row r="2623" spans="11:11" x14ac:dyDescent="0.25">
      <c r="K2623" s="146"/>
    </row>
    <row r="2624" spans="11:11" x14ac:dyDescent="0.25">
      <c r="K2624" s="146"/>
    </row>
    <row r="2625" spans="11:11" x14ac:dyDescent="0.25">
      <c r="K2625" s="146"/>
    </row>
    <row r="2626" spans="11:11" x14ac:dyDescent="0.25">
      <c r="K2626" s="146"/>
    </row>
    <row r="2627" spans="11:11" x14ac:dyDescent="0.25">
      <c r="K2627" s="146"/>
    </row>
    <row r="2628" spans="11:11" x14ac:dyDescent="0.25">
      <c r="K2628" s="146"/>
    </row>
    <row r="2629" spans="11:11" x14ac:dyDescent="0.25">
      <c r="K2629" s="146"/>
    </row>
    <row r="2630" spans="11:11" x14ac:dyDescent="0.25">
      <c r="K2630" s="146"/>
    </row>
    <row r="2631" spans="11:11" x14ac:dyDescent="0.25">
      <c r="K2631" s="146"/>
    </row>
    <row r="2632" spans="11:11" x14ac:dyDescent="0.25">
      <c r="K2632" s="146"/>
    </row>
    <row r="2633" spans="11:11" x14ac:dyDescent="0.25">
      <c r="K2633" s="146"/>
    </row>
    <row r="2634" spans="11:11" x14ac:dyDescent="0.25">
      <c r="K2634" s="146"/>
    </row>
    <row r="2635" spans="11:11" x14ac:dyDescent="0.25">
      <c r="K2635" s="146"/>
    </row>
    <row r="2636" spans="11:11" x14ac:dyDescent="0.25">
      <c r="K2636" s="146"/>
    </row>
    <row r="2637" spans="11:11" x14ac:dyDescent="0.25">
      <c r="K2637" s="146"/>
    </row>
    <row r="2638" spans="11:11" x14ac:dyDescent="0.25">
      <c r="K2638" s="146"/>
    </row>
    <row r="2639" spans="11:11" x14ac:dyDescent="0.25">
      <c r="K2639" s="146"/>
    </row>
    <row r="2640" spans="11:11" x14ac:dyDescent="0.25">
      <c r="K2640" s="146"/>
    </row>
    <row r="2641" spans="11:11" x14ac:dyDescent="0.25">
      <c r="K2641" s="146"/>
    </row>
    <row r="2642" spans="11:11" x14ac:dyDescent="0.25">
      <c r="K2642" s="146"/>
    </row>
    <row r="2643" spans="11:11" x14ac:dyDescent="0.25">
      <c r="K2643" s="146"/>
    </row>
    <row r="2644" spans="11:11" x14ac:dyDescent="0.25">
      <c r="K2644" s="146"/>
    </row>
    <row r="2645" spans="11:11" x14ac:dyDescent="0.25">
      <c r="K2645" s="146"/>
    </row>
    <row r="2646" spans="11:11" x14ac:dyDescent="0.25">
      <c r="K2646" s="146"/>
    </row>
    <row r="2647" spans="11:11" x14ac:dyDescent="0.25">
      <c r="K2647" s="146"/>
    </row>
    <row r="2648" spans="11:11" x14ac:dyDescent="0.25">
      <c r="K2648" s="146"/>
    </row>
    <row r="2649" spans="11:11" x14ac:dyDescent="0.25">
      <c r="K2649" s="146"/>
    </row>
    <row r="2650" spans="11:11" x14ac:dyDescent="0.25">
      <c r="K2650" s="146"/>
    </row>
    <row r="2651" spans="11:11" x14ac:dyDescent="0.25">
      <c r="K2651" s="146"/>
    </row>
    <row r="2652" spans="11:11" x14ac:dyDescent="0.25">
      <c r="K2652" s="146"/>
    </row>
    <row r="2653" spans="11:11" x14ac:dyDescent="0.25">
      <c r="K2653" s="146"/>
    </row>
    <row r="2654" spans="11:11" x14ac:dyDescent="0.25">
      <c r="K2654" s="146"/>
    </row>
    <row r="2655" spans="11:11" x14ac:dyDescent="0.25">
      <c r="K2655" s="146"/>
    </row>
    <row r="2656" spans="11:11" x14ac:dyDescent="0.25">
      <c r="K2656" s="146"/>
    </row>
    <row r="2657" spans="11:11" x14ac:dyDescent="0.25">
      <c r="K2657" s="146"/>
    </row>
    <row r="2658" spans="11:11" x14ac:dyDescent="0.25">
      <c r="K2658" s="146"/>
    </row>
    <row r="2659" spans="11:11" x14ac:dyDescent="0.25">
      <c r="K2659" s="146"/>
    </row>
    <row r="2660" spans="11:11" x14ac:dyDescent="0.25">
      <c r="K2660" s="146"/>
    </row>
    <row r="2661" spans="11:11" x14ac:dyDescent="0.25">
      <c r="K2661" s="146"/>
    </row>
    <row r="2662" spans="11:11" x14ac:dyDescent="0.25">
      <c r="K2662" s="146"/>
    </row>
    <row r="2663" spans="11:11" x14ac:dyDescent="0.25">
      <c r="K2663" s="146"/>
    </row>
    <row r="2664" spans="11:11" x14ac:dyDescent="0.25">
      <c r="K2664" s="146"/>
    </row>
    <row r="2665" spans="11:11" x14ac:dyDescent="0.25">
      <c r="K2665" s="146"/>
    </row>
    <row r="2666" spans="11:11" x14ac:dyDescent="0.25">
      <c r="K2666" s="146"/>
    </row>
    <row r="2667" spans="11:11" x14ac:dyDescent="0.25">
      <c r="K2667" s="146"/>
    </row>
    <row r="2668" spans="11:11" x14ac:dyDescent="0.25">
      <c r="K2668" s="146"/>
    </row>
    <row r="2669" spans="11:11" x14ac:dyDescent="0.25">
      <c r="K2669" s="146"/>
    </row>
    <row r="2670" spans="11:11" x14ac:dyDescent="0.25">
      <c r="K2670" s="146"/>
    </row>
    <row r="2671" spans="11:11" x14ac:dyDescent="0.25">
      <c r="K2671" s="146"/>
    </row>
    <row r="2672" spans="11:11" x14ac:dyDescent="0.25">
      <c r="K2672" s="146"/>
    </row>
    <row r="2673" spans="11:11" x14ac:dyDescent="0.25">
      <c r="K2673" s="146"/>
    </row>
    <row r="2674" spans="11:11" x14ac:dyDescent="0.25">
      <c r="K2674" s="146"/>
    </row>
    <row r="2675" spans="11:11" x14ac:dyDescent="0.25">
      <c r="K2675" s="146"/>
    </row>
    <row r="2676" spans="11:11" x14ac:dyDescent="0.25">
      <c r="K2676" s="146"/>
    </row>
    <row r="2677" spans="11:11" x14ac:dyDescent="0.25">
      <c r="K2677" s="146"/>
    </row>
    <row r="2678" spans="11:11" x14ac:dyDescent="0.25">
      <c r="K2678" s="146"/>
    </row>
    <row r="2679" spans="11:11" x14ac:dyDescent="0.25">
      <c r="K2679" s="146"/>
    </row>
    <row r="2680" spans="11:11" x14ac:dyDescent="0.25">
      <c r="K2680" s="146"/>
    </row>
    <row r="2681" spans="11:11" x14ac:dyDescent="0.25">
      <c r="K2681" s="146"/>
    </row>
    <row r="2682" spans="11:11" x14ac:dyDescent="0.25">
      <c r="K2682" s="146"/>
    </row>
    <row r="2683" spans="11:11" x14ac:dyDescent="0.25">
      <c r="K2683" s="146"/>
    </row>
    <row r="2684" spans="11:11" x14ac:dyDescent="0.25">
      <c r="K2684" s="146"/>
    </row>
    <row r="2685" spans="11:11" x14ac:dyDescent="0.25">
      <c r="K2685" s="146"/>
    </row>
    <row r="2686" spans="11:11" x14ac:dyDescent="0.25">
      <c r="K2686" s="146"/>
    </row>
    <row r="2687" spans="11:11" x14ac:dyDescent="0.25">
      <c r="K2687" s="146"/>
    </row>
    <row r="2688" spans="11:11" x14ac:dyDescent="0.25">
      <c r="K2688" s="146"/>
    </row>
    <row r="2689" spans="11:11" x14ac:dyDescent="0.25">
      <c r="K2689" s="146"/>
    </row>
    <row r="2690" spans="11:11" x14ac:dyDescent="0.25">
      <c r="K2690" s="146"/>
    </row>
    <row r="2691" spans="11:11" x14ac:dyDescent="0.25">
      <c r="K2691" s="146"/>
    </row>
    <row r="2692" spans="11:11" x14ac:dyDescent="0.25">
      <c r="K2692" s="146"/>
    </row>
    <row r="2693" spans="11:11" x14ac:dyDescent="0.25">
      <c r="K2693" s="146"/>
    </row>
    <row r="2694" spans="11:11" x14ac:dyDescent="0.25">
      <c r="K2694" s="146"/>
    </row>
    <row r="2695" spans="11:11" x14ac:dyDescent="0.25">
      <c r="K2695" s="146"/>
    </row>
    <row r="2696" spans="11:11" x14ac:dyDescent="0.25">
      <c r="K2696" s="146"/>
    </row>
    <row r="2697" spans="11:11" x14ac:dyDescent="0.25">
      <c r="K2697" s="146"/>
    </row>
    <row r="2698" spans="11:11" x14ac:dyDescent="0.25">
      <c r="K2698" s="146"/>
    </row>
    <row r="2699" spans="11:11" x14ac:dyDescent="0.25">
      <c r="K2699" s="146"/>
    </row>
    <row r="2700" spans="11:11" x14ac:dyDescent="0.25">
      <c r="K2700" s="146"/>
    </row>
    <row r="2701" spans="11:11" x14ac:dyDescent="0.25">
      <c r="K2701" s="146"/>
    </row>
    <row r="2702" spans="11:11" x14ac:dyDescent="0.25">
      <c r="K2702" s="146"/>
    </row>
    <row r="2703" spans="11:11" x14ac:dyDescent="0.25">
      <c r="K2703" s="146"/>
    </row>
    <row r="2704" spans="11:11" x14ac:dyDescent="0.25">
      <c r="K2704" s="146"/>
    </row>
    <row r="2705" spans="11:11" x14ac:dyDescent="0.25">
      <c r="K2705" s="146"/>
    </row>
    <row r="2706" spans="11:11" x14ac:dyDescent="0.25">
      <c r="K2706" s="146"/>
    </row>
    <row r="2707" spans="11:11" x14ac:dyDescent="0.25">
      <c r="K2707" s="146"/>
    </row>
    <row r="2708" spans="11:11" x14ac:dyDescent="0.25">
      <c r="K2708" s="146"/>
    </row>
    <row r="2709" spans="11:11" x14ac:dyDescent="0.25">
      <c r="K2709" s="146"/>
    </row>
    <row r="2710" spans="11:11" x14ac:dyDescent="0.25">
      <c r="K2710" s="146"/>
    </row>
    <row r="2711" spans="11:11" x14ac:dyDescent="0.25">
      <c r="K2711" s="146"/>
    </row>
    <row r="2712" spans="11:11" x14ac:dyDescent="0.25">
      <c r="K2712" s="146"/>
    </row>
    <row r="2713" spans="11:11" x14ac:dyDescent="0.25">
      <c r="K2713" s="146"/>
    </row>
    <row r="2714" spans="11:11" x14ac:dyDescent="0.25">
      <c r="K2714" s="146"/>
    </row>
    <row r="2715" spans="11:11" x14ac:dyDescent="0.25">
      <c r="K2715" s="146"/>
    </row>
    <row r="2716" spans="11:11" x14ac:dyDescent="0.25">
      <c r="K2716" s="146"/>
    </row>
    <row r="2717" spans="11:11" x14ac:dyDescent="0.25">
      <c r="K2717" s="146"/>
    </row>
    <row r="2718" spans="11:11" x14ac:dyDescent="0.25">
      <c r="K2718" s="146"/>
    </row>
    <row r="2719" spans="11:11" x14ac:dyDescent="0.25">
      <c r="K2719" s="146"/>
    </row>
    <row r="2720" spans="11:11" x14ac:dyDescent="0.25">
      <c r="K2720" s="146"/>
    </row>
    <row r="2721" spans="11:11" x14ac:dyDescent="0.25">
      <c r="K2721" s="146"/>
    </row>
    <row r="2722" spans="11:11" x14ac:dyDescent="0.25">
      <c r="K2722" s="146"/>
    </row>
    <row r="2723" spans="11:11" x14ac:dyDescent="0.25">
      <c r="K2723" s="146"/>
    </row>
    <row r="2724" spans="11:11" x14ac:dyDescent="0.25">
      <c r="K2724" s="146"/>
    </row>
    <row r="2725" spans="11:11" x14ac:dyDescent="0.25">
      <c r="K2725" s="146"/>
    </row>
    <row r="2726" spans="11:11" x14ac:dyDescent="0.25">
      <c r="K2726" s="146"/>
    </row>
    <row r="2727" spans="11:11" x14ac:dyDescent="0.25">
      <c r="K2727" s="146"/>
    </row>
    <row r="2728" spans="11:11" x14ac:dyDescent="0.25">
      <c r="K2728" s="146"/>
    </row>
    <row r="2729" spans="11:11" x14ac:dyDescent="0.25">
      <c r="K2729" s="146"/>
    </row>
    <row r="2730" spans="11:11" x14ac:dyDescent="0.25">
      <c r="K2730" s="146"/>
    </row>
    <row r="2731" spans="11:11" x14ac:dyDescent="0.25">
      <c r="K2731" s="146"/>
    </row>
    <row r="2732" spans="11:11" x14ac:dyDescent="0.25">
      <c r="K2732" s="146"/>
    </row>
    <row r="2733" spans="11:11" x14ac:dyDescent="0.25">
      <c r="K2733" s="146"/>
    </row>
    <row r="2734" spans="11:11" x14ac:dyDescent="0.25">
      <c r="K2734" s="146"/>
    </row>
    <row r="2735" spans="11:11" x14ac:dyDescent="0.25">
      <c r="K2735" s="146"/>
    </row>
    <row r="2736" spans="11:11" x14ac:dyDescent="0.25">
      <c r="K2736" s="146"/>
    </row>
    <row r="2737" spans="11:11" x14ac:dyDescent="0.25">
      <c r="K2737" s="146"/>
    </row>
    <row r="2738" spans="11:11" x14ac:dyDescent="0.25">
      <c r="K2738" s="146"/>
    </row>
    <row r="2739" spans="11:11" x14ac:dyDescent="0.25">
      <c r="K2739" s="146"/>
    </row>
    <row r="2740" spans="11:11" x14ac:dyDescent="0.25">
      <c r="K2740" s="146"/>
    </row>
    <row r="2741" spans="11:11" x14ac:dyDescent="0.25">
      <c r="K2741" s="146"/>
    </row>
    <row r="2742" spans="11:11" x14ac:dyDescent="0.25">
      <c r="K2742" s="146"/>
    </row>
    <row r="2743" spans="11:11" x14ac:dyDescent="0.25">
      <c r="K2743" s="146"/>
    </row>
    <row r="2744" spans="11:11" x14ac:dyDescent="0.25">
      <c r="K2744" s="146"/>
    </row>
    <row r="2745" spans="11:11" x14ac:dyDescent="0.25">
      <c r="K2745" s="146"/>
    </row>
    <row r="2746" spans="11:11" x14ac:dyDescent="0.25">
      <c r="K2746" s="146"/>
    </row>
    <row r="2747" spans="11:11" x14ac:dyDescent="0.25">
      <c r="K2747" s="146"/>
    </row>
    <row r="2748" spans="11:11" x14ac:dyDescent="0.25">
      <c r="K2748" s="146"/>
    </row>
    <row r="2749" spans="11:11" x14ac:dyDescent="0.25">
      <c r="K2749" s="146"/>
    </row>
    <row r="2750" spans="11:11" x14ac:dyDescent="0.25">
      <c r="K2750" s="146"/>
    </row>
    <row r="2751" spans="11:11" x14ac:dyDescent="0.25">
      <c r="K2751" s="146"/>
    </row>
    <row r="2752" spans="11:11" x14ac:dyDescent="0.25">
      <c r="K2752" s="146"/>
    </row>
    <row r="2753" spans="11:11" x14ac:dyDescent="0.25">
      <c r="K2753" s="146"/>
    </row>
    <row r="2754" spans="11:11" x14ac:dyDescent="0.25">
      <c r="K2754" s="146"/>
    </row>
    <row r="2755" spans="11:11" x14ac:dyDescent="0.25">
      <c r="K2755" s="146"/>
    </row>
    <row r="2756" spans="11:11" x14ac:dyDescent="0.25">
      <c r="K2756" s="146"/>
    </row>
    <row r="2757" spans="11:11" x14ac:dyDescent="0.25">
      <c r="K2757" s="146"/>
    </row>
    <row r="2758" spans="11:11" x14ac:dyDescent="0.25">
      <c r="K2758" s="146"/>
    </row>
    <row r="2759" spans="11:11" x14ac:dyDescent="0.25">
      <c r="K2759" s="146"/>
    </row>
    <row r="2760" spans="11:11" x14ac:dyDescent="0.25">
      <c r="K2760" s="146"/>
    </row>
    <row r="2761" spans="11:11" x14ac:dyDescent="0.25">
      <c r="K2761" s="146"/>
    </row>
    <row r="2762" spans="11:11" x14ac:dyDescent="0.25">
      <c r="K2762" s="146"/>
    </row>
    <row r="2763" spans="11:11" x14ac:dyDescent="0.25">
      <c r="K2763" s="146"/>
    </row>
    <row r="2764" spans="11:11" x14ac:dyDescent="0.25">
      <c r="K2764" s="146"/>
    </row>
    <row r="2765" spans="11:11" x14ac:dyDescent="0.25">
      <c r="K2765" s="146"/>
    </row>
    <row r="2766" spans="11:11" x14ac:dyDescent="0.25">
      <c r="K2766" s="146"/>
    </row>
    <row r="2767" spans="11:11" x14ac:dyDescent="0.25">
      <c r="K2767" s="146"/>
    </row>
    <row r="2768" spans="11:11" x14ac:dyDescent="0.25">
      <c r="K2768" s="146"/>
    </row>
    <row r="2769" spans="11:11" x14ac:dyDescent="0.25">
      <c r="K2769" s="146"/>
    </row>
    <row r="2770" spans="11:11" x14ac:dyDescent="0.25">
      <c r="K2770" s="146"/>
    </row>
    <row r="2771" spans="11:11" x14ac:dyDescent="0.25">
      <c r="K2771" s="146"/>
    </row>
    <row r="2772" spans="11:11" x14ac:dyDescent="0.25">
      <c r="K2772" s="146"/>
    </row>
    <row r="2773" spans="11:11" x14ac:dyDescent="0.25">
      <c r="K2773" s="146"/>
    </row>
    <row r="2774" spans="11:11" x14ac:dyDescent="0.25">
      <c r="K2774" s="146"/>
    </row>
    <row r="2775" spans="11:11" x14ac:dyDescent="0.25">
      <c r="K2775" s="146"/>
    </row>
    <row r="2776" spans="11:11" x14ac:dyDescent="0.25">
      <c r="K2776" s="146"/>
    </row>
    <row r="2777" spans="11:11" x14ac:dyDescent="0.25">
      <c r="K2777" s="146"/>
    </row>
    <row r="2778" spans="11:11" x14ac:dyDescent="0.25">
      <c r="K2778" s="146"/>
    </row>
    <row r="2779" spans="11:11" x14ac:dyDescent="0.25">
      <c r="K2779" s="146"/>
    </row>
    <row r="2780" spans="11:11" x14ac:dyDescent="0.25">
      <c r="K2780" s="146"/>
    </row>
    <row r="2781" spans="11:11" x14ac:dyDescent="0.25">
      <c r="K2781" s="146"/>
    </row>
    <row r="2782" spans="11:11" x14ac:dyDescent="0.25">
      <c r="K2782" s="146"/>
    </row>
    <row r="2783" spans="11:11" x14ac:dyDescent="0.25">
      <c r="K2783" s="146"/>
    </row>
    <row r="2784" spans="11:11" x14ac:dyDescent="0.25">
      <c r="K2784" s="146"/>
    </row>
    <row r="2785" spans="11:11" x14ac:dyDescent="0.25">
      <c r="K2785" s="146"/>
    </row>
    <row r="2786" spans="11:11" x14ac:dyDescent="0.25">
      <c r="K2786" s="146"/>
    </row>
    <row r="2787" spans="11:11" x14ac:dyDescent="0.25">
      <c r="K2787" s="146"/>
    </row>
    <row r="2788" spans="11:11" x14ac:dyDescent="0.25">
      <c r="K2788" s="146"/>
    </row>
    <row r="2789" spans="11:11" x14ac:dyDescent="0.25">
      <c r="K2789" s="146"/>
    </row>
    <row r="2790" spans="11:11" x14ac:dyDescent="0.25">
      <c r="K2790" s="146"/>
    </row>
    <row r="2791" spans="11:11" x14ac:dyDescent="0.25">
      <c r="K2791" s="146"/>
    </row>
    <row r="2792" spans="11:11" x14ac:dyDescent="0.25">
      <c r="K2792" s="146"/>
    </row>
    <row r="2793" spans="11:11" x14ac:dyDescent="0.25">
      <c r="K2793" s="146"/>
    </row>
    <row r="2794" spans="11:11" x14ac:dyDescent="0.25">
      <c r="K2794" s="146"/>
    </row>
    <row r="2795" spans="11:11" x14ac:dyDescent="0.25">
      <c r="K2795" s="146"/>
    </row>
    <row r="2796" spans="11:11" x14ac:dyDescent="0.25">
      <c r="K2796" s="146"/>
    </row>
    <row r="2797" spans="11:11" x14ac:dyDescent="0.25">
      <c r="K2797" s="146"/>
    </row>
    <row r="2798" spans="11:11" x14ac:dyDescent="0.25">
      <c r="K2798" s="146"/>
    </row>
    <row r="2799" spans="11:11" x14ac:dyDescent="0.25">
      <c r="K2799" s="146"/>
    </row>
    <row r="2800" spans="11:11" x14ac:dyDescent="0.25">
      <c r="K2800" s="146"/>
    </row>
    <row r="2801" spans="11:11" x14ac:dyDescent="0.25">
      <c r="K2801" s="146"/>
    </row>
    <row r="2802" spans="11:11" x14ac:dyDescent="0.25">
      <c r="K2802" s="146"/>
    </row>
    <row r="2803" spans="11:11" x14ac:dyDescent="0.25">
      <c r="K2803" s="146"/>
    </row>
    <row r="2804" spans="11:11" x14ac:dyDescent="0.25">
      <c r="K2804" s="146"/>
    </row>
    <row r="2805" spans="11:11" x14ac:dyDescent="0.25">
      <c r="K2805" s="146"/>
    </row>
    <row r="2806" spans="11:11" x14ac:dyDescent="0.25">
      <c r="K2806" s="146"/>
    </row>
    <row r="2807" spans="11:11" x14ac:dyDescent="0.25">
      <c r="K2807" s="146"/>
    </row>
    <row r="2808" spans="11:11" x14ac:dyDescent="0.25">
      <c r="K2808" s="146"/>
    </row>
    <row r="2809" spans="11:11" x14ac:dyDescent="0.25">
      <c r="K2809" s="146"/>
    </row>
    <row r="2810" spans="11:11" x14ac:dyDescent="0.25">
      <c r="K2810" s="146"/>
    </row>
    <row r="2811" spans="11:11" x14ac:dyDescent="0.25">
      <c r="K2811" s="146"/>
    </row>
    <row r="2812" spans="11:11" x14ac:dyDescent="0.25">
      <c r="K2812" s="146"/>
    </row>
    <row r="2813" spans="11:11" x14ac:dyDescent="0.25">
      <c r="K2813" s="146"/>
    </row>
    <row r="2814" spans="11:11" x14ac:dyDescent="0.25">
      <c r="K2814" s="146"/>
    </row>
    <row r="2815" spans="11:11" x14ac:dyDescent="0.25">
      <c r="K2815" s="146"/>
    </row>
    <row r="2816" spans="11:11" x14ac:dyDescent="0.25">
      <c r="K2816" s="146"/>
    </row>
    <row r="2817" spans="11:11" x14ac:dyDescent="0.25">
      <c r="K2817" s="146"/>
    </row>
    <row r="2818" spans="11:11" x14ac:dyDescent="0.25">
      <c r="K2818" s="146"/>
    </row>
    <row r="2819" spans="11:11" x14ac:dyDescent="0.25">
      <c r="K2819" s="146"/>
    </row>
    <row r="2820" spans="11:11" x14ac:dyDescent="0.25">
      <c r="K2820" s="146"/>
    </row>
    <row r="2821" spans="11:11" x14ac:dyDescent="0.25">
      <c r="K2821" s="146"/>
    </row>
    <row r="2822" spans="11:11" x14ac:dyDescent="0.25">
      <c r="K2822" s="146"/>
    </row>
    <row r="2823" spans="11:11" x14ac:dyDescent="0.25">
      <c r="K2823" s="146"/>
    </row>
    <row r="2824" spans="11:11" x14ac:dyDescent="0.25">
      <c r="K2824" s="146"/>
    </row>
    <row r="2825" spans="11:11" x14ac:dyDescent="0.25">
      <c r="K2825" s="146"/>
    </row>
    <row r="2826" spans="11:11" x14ac:dyDescent="0.25">
      <c r="K2826" s="146"/>
    </row>
    <row r="2827" spans="11:11" x14ac:dyDescent="0.25">
      <c r="K2827" s="146"/>
    </row>
    <row r="2828" spans="11:11" x14ac:dyDescent="0.25">
      <c r="K2828" s="146"/>
    </row>
    <row r="2829" spans="11:11" x14ac:dyDescent="0.25">
      <c r="K2829" s="146"/>
    </row>
    <row r="2830" spans="11:11" x14ac:dyDescent="0.25">
      <c r="K2830" s="146"/>
    </row>
    <row r="2831" spans="11:11" x14ac:dyDescent="0.25">
      <c r="K2831" s="146"/>
    </row>
    <row r="2832" spans="11:11" x14ac:dyDescent="0.25">
      <c r="K2832" s="146"/>
    </row>
    <row r="2833" spans="11:11" x14ac:dyDescent="0.25">
      <c r="K2833" s="146"/>
    </row>
    <row r="2834" spans="11:11" x14ac:dyDescent="0.25">
      <c r="K2834" s="146"/>
    </row>
    <row r="2835" spans="11:11" x14ac:dyDescent="0.25">
      <c r="K2835" s="146"/>
    </row>
    <row r="2836" spans="11:11" x14ac:dyDescent="0.25">
      <c r="K2836" s="146"/>
    </row>
    <row r="2837" spans="11:11" x14ac:dyDescent="0.25">
      <c r="K2837" s="146"/>
    </row>
    <row r="2838" spans="11:11" x14ac:dyDescent="0.25">
      <c r="K2838" s="146"/>
    </row>
    <row r="2839" spans="11:11" x14ac:dyDescent="0.25">
      <c r="K2839" s="146"/>
    </row>
    <row r="2840" spans="11:11" x14ac:dyDescent="0.25">
      <c r="K2840" s="146"/>
    </row>
    <row r="2841" spans="11:11" x14ac:dyDescent="0.25">
      <c r="K2841" s="146"/>
    </row>
    <row r="2842" spans="11:11" x14ac:dyDescent="0.25">
      <c r="K2842" s="146"/>
    </row>
    <row r="2843" spans="11:11" x14ac:dyDescent="0.25">
      <c r="K2843" s="146"/>
    </row>
    <row r="2844" spans="11:11" x14ac:dyDescent="0.25">
      <c r="K2844" s="146"/>
    </row>
    <row r="2845" spans="11:11" x14ac:dyDescent="0.25">
      <c r="K2845" s="146"/>
    </row>
    <row r="2846" spans="11:11" x14ac:dyDescent="0.25">
      <c r="K2846" s="146"/>
    </row>
    <row r="2847" spans="11:11" x14ac:dyDescent="0.25">
      <c r="K2847" s="146"/>
    </row>
    <row r="2848" spans="11:11" x14ac:dyDescent="0.25">
      <c r="K2848" s="146"/>
    </row>
    <row r="2849" spans="11:11" x14ac:dyDescent="0.25">
      <c r="K2849" s="146"/>
    </row>
    <row r="2850" spans="11:11" x14ac:dyDescent="0.25">
      <c r="K2850" s="146"/>
    </row>
    <row r="2851" spans="11:11" x14ac:dyDescent="0.25">
      <c r="K2851" s="146"/>
    </row>
    <row r="2852" spans="11:11" x14ac:dyDescent="0.25">
      <c r="K2852" s="146"/>
    </row>
    <row r="2853" spans="11:11" x14ac:dyDescent="0.25">
      <c r="K2853" s="146"/>
    </row>
    <row r="2854" spans="11:11" x14ac:dyDescent="0.25">
      <c r="K2854" s="146"/>
    </row>
    <row r="2855" spans="11:11" x14ac:dyDescent="0.25">
      <c r="K2855" s="146"/>
    </row>
    <row r="2856" spans="11:11" x14ac:dyDescent="0.25">
      <c r="K2856" s="146"/>
    </row>
    <row r="2857" spans="11:11" x14ac:dyDescent="0.25">
      <c r="K2857" s="146"/>
    </row>
    <row r="2858" spans="11:11" x14ac:dyDescent="0.25">
      <c r="K2858" s="146"/>
    </row>
    <row r="2859" spans="11:11" x14ac:dyDescent="0.25">
      <c r="K2859" s="146"/>
    </row>
    <row r="2860" spans="11:11" x14ac:dyDescent="0.25">
      <c r="K2860" s="146"/>
    </row>
    <row r="2861" spans="11:11" x14ac:dyDescent="0.25">
      <c r="K2861" s="146"/>
    </row>
    <row r="2862" spans="11:11" x14ac:dyDescent="0.25">
      <c r="K2862" s="146"/>
    </row>
    <row r="2863" spans="11:11" x14ac:dyDescent="0.25">
      <c r="K2863" s="146"/>
    </row>
    <row r="2864" spans="11:11" x14ac:dyDescent="0.25">
      <c r="K2864" s="146"/>
    </row>
    <row r="2865" spans="11:11" x14ac:dyDescent="0.25">
      <c r="K2865" s="146"/>
    </row>
    <row r="2866" spans="11:11" x14ac:dyDescent="0.25">
      <c r="K2866" s="146"/>
    </row>
    <row r="2867" spans="11:11" x14ac:dyDescent="0.25">
      <c r="K2867" s="146"/>
    </row>
    <row r="2868" spans="11:11" x14ac:dyDescent="0.25">
      <c r="K2868" s="146"/>
    </row>
    <row r="2869" spans="11:11" x14ac:dyDescent="0.25">
      <c r="K2869" s="146"/>
    </row>
    <row r="2870" spans="11:11" x14ac:dyDescent="0.25">
      <c r="K2870" s="146"/>
    </row>
    <row r="2871" spans="11:11" x14ac:dyDescent="0.25">
      <c r="K2871" s="146"/>
    </row>
    <row r="2872" spans="11:11" x14ac:dyDescent="0.25">
      <c r="K2872" s="146"/>
    </row>
    <row r="2873" spans="11:11" x14ac:dyDescent="0.25">
      <c r="K2873" s="146"/>
    </row>
    <row r="2874" spans="11:11" x14ac:dyDescent="0.25">
      <c r="K2874" s="146"/>
    </row>
    <row r="2875" spans="11:11" x14ac:dyDescent="0.25">
      <c r="K2875" s="146"/>
    </row>
    <row r="2876" spans="11:11" x14ac:dyDescent="0.25">
      <c r="K2876" s="146"/>
    </row>
    <row r="2877" spans="11:11" x14ac:dyDescent="0.25">
      <c r="K2877" s="146"/>
    </row>
    <row r="2878" spans="11:11" x14ac:dyDescent="0.25">
      <c r="K2878" s="146"/>
    </row>
    <row r="2879" spans="11:11" x14ac:dyDescent="0.25">
      <c r="K2879" s="146"/>
    </row>
    <row r="2880" spans="11:11" x14ac:dyDescent="0.25">
      <c r="K2880" s="146"/>
    </row>
    <row r="2881" spans="11:11" x14ac:dyDescent="0.25">
      <c r="K2881" s="146"/>
    </row>
    <row r="2882" spans="11:11" x14ac:dyDescent="0.25">
      <c r="K2882" s="146"/>
    </row>
    <row r="2883" spans="11:11" x14ac:dyDescent="0.25">
      <c r="K2883" s="146"/>
    </row>
    <row r="2884" spans="11:11" x14ac:dyDescent="0.25">
      <c r="K2884" s="146"/>
    </row>
    <row r="2885" spans="11:11" x14ac:dyDescent="0.25">
      <c r="K2885" s="146"/>
    </row>
    <row r="2886" spans="11:11" x14ac:dyDescent="0.25">
      <c r="K2886" s="146"/>
    </row>
    <row r="2887" spans="11:11" x14ac:dyDescent="0.25">
      <c r="K2887" s="146"/>
    </row>
    <row r="2888" spans="11:11" x14ac:dyDescent="0.25">
      <c r="K2888" s="146"/>
    </row>
    <row r="2889" spans="11:11" x14ac:dyDescent="0.25">
      <c r="K2889" s="146"/>
    </row>
    <row r="2890" spans="11:11" x14ac:dyDescent="0.25">
      <c r="K2890" s="146"/>
    </row>
    <row r="2891" spans="11:11" x14ac:dyDescent="0.25">
      <c r="K2891" s="146"/>
    </row>
    <row r="2892" spans="11:11" x14ac:dyDescent="0.25">
      <c r="K2892" s="146"/>
    </row>
    <row r="2893" spans="11:11" x14ac:dyDescent="0.25">
      <c r="K2893" s="146"/>
    </row>
    <row r="2894" spans="11:11" x14ac:dyDescent="0.25">
      <c r="K2894" s="146"/>
    </row>
    <row r="2895" spans="11:11" x14ac:dyDescent="0.25">
      <c r="K2895" s="146"/>
    </row>
    <row r="2896" spans="11:11" x14ac:dyDescent="0.25">
      <c r="K2896" s="146"/>
    </row>
    <row r="2897" spans="11:11" x14ac:dyDescent="0.25">
      <c r="K2897" s="146"/>
    </row>
    <row r="2898" spans="11:11" x14ac:dyDescent="0.25">
      <c r="K2898" s="146"/>
    </row>
    <row r="2899" spans="11:11" x14ac:dyDescent="0.25">
      <c r="K2899" s="146"/>
    </row>
    <row r="2900" spans="11:11" x14ac:dyDescent="0.25">
      <c r="K2900" s="146"/>
    </row>
    <row r="2901" spans="11:11" x14ac:dyDescent="0.25">
      <c r="K2901" s="146"/>
    </row>
    <row r="2902" spans="11:11" x14ac:dyDescent="0.25">
      <c r="K2902" s="146"/>
    </row>
    <row r="2903" spans="11:11" x14ac:dyDescent="0.25">
      <c r="K2903" s="146"/>
    </row>
    <row r="2904" spans="11:11" x14ac:dyDescent="0.25">
      <c r="K2904" s="146"/>
    </row>
    <row r="2905" spans="11:11" x14ac:dyDescent="0.25">
      <c r="K2905" s="146"/>
    </row>
    <row r="2906" spans="11:11" x14ac:dyDescent="0.25">
      <c r="K2906" s="146"/>
    </row>
    <row r="2907" spans="11:11" x14ac:dyDescent="0.25">
      <c r="K2907" s="146"/>
    </row>
    <row r="2908" spans="11:11" x14ac:dyDescent="0.25">
      <c r="K2908" s="146"/>
    </row>
    <row r="2909" spans="11:11" x14ac:dyDescent="0.25">
      <c r="K2909" s="146"/>
    </row>
    <row r="2910" spans="11:11" x14ac:dyDescent="0.25">
      <c r="K2910" s="146"/>
    </row>
    <row r="2911" spans="11:11" x14ac:dyDescent="0.25">
      <c r="K2911" s="146"/>
    </row>
    <row r="2912" spans="11:11" x14ac:dyDescent="0.25">
      <c r="K2912" s="146"/>
    </row>
    <row r="2913" spans="11:11" x14ac:dyDescent="0.25">
      <c r="K2913" s="146"/>
    </row>
    <row r="2914" spans="11:11" x14ac:dyDescent="0.25">
      <c r="K2914" s="146"/>
    </row>
    <row r="2915" spans="11:11" x14ac:dyDescent="0.25">
      <c r="K2915" s="146"/>
    </row>
    <row r="2916" spans="11:11" x14ac:dyDescent="0.25">
      <c r="K2916" s="146"/>
    </row>
    <row r="2917" spans="11:11" x14ac:dyDescent="0.25">
      <c r="K2917" s="146"/>
    </row>
    <row r="2918" spans="11:11" x14ac:dyDescent="0.25">
      <c r="K2918" s="146"/>
    </row>
    <row r="2919" spans="11:11" x14ac:dyDescent="0.25">
      <c r="K2919" s="146"/>
    </row>
    <row r="2920" spans="11:11" x14ac:dyDescent="0.25">
      <c r="K2920" s="146"/>
    </row>
    <row r="2921" spans="11:11" x14ac:dyDescent="0.25">
      <c r="K2921" s="146"/>
    </row>
    <row r="2922" spans="11:11" x14ac:dyDescent="0.25">
      <c r="K2922" s="146"/>
    </row>
    <row r="2923" spans="11:11" x14ac:dyDescent="0.25">
      <c r="K2923" s="146"/>
    </row>
    <row r="2924" spans="11:11" x14ac:dyDescent="0.25">
      <c r="K2924" s="146"/>
    </row>
    <row r="2925" spans="11:11" x14ac:dyDescent="0.25">
      <c r="K2925" s="146"/>
    </row>
    <row r="2926" spans="11:11" x14ac:dyDescent="0.25">
      <c r="K2926" s="146"/>
    </row>
    <row r="2927" spans="11:11" x14ac:dyDescent="0.25">
      <c r="K2927" s="146"/>
    </row>
    <row r="2928" spans="11:11" x14ac:dyDescent="0.25">
      <c r="K2928" s="146"/>
    </row>
    <row r="2929" spans="11:11" x14ac:dyDescent="0.25">
      <c r="K2929" s="146"/>
    </row>
    <row r="2930" spans="11:11" x14ac:dyDescent="0.25">
      <c r="K2930" s="146"/>
    </row>
    <row r="2931" spans="11:11" x14ac:dyDescent="0.25">
      <c r="K2931" s="146"/>
    </row>
    <row r="2932" spans="11:11" x14ac:dyDescent="0.25">
      <c r="K2932" s="146"/>
    </row>
    <row r="2933" spans="11:11" x14ac:dyDescent="0.25">
      <c r="K2933" s="146"/>
    </row>
    <row r="2934" spans="11:11" x14ac:dyDescent="0.25">
      <c r="K2934" s="146"/>
    </row>
    <row r="2935" spans="11:11" x14ac:dyDescent="0.25">
      <c r="K2935" s="146"/>
    </row>
    <row r="2936" spans="11:11" x14ac:dyDescent="0.25">
      <c r="K2936" s="146"/>
    </row>
    <row r="2937" spans="11:11" x14ac:dyDescent="0.25">
      <c r="K2937" s="146"/>
    </row>
    <row r="2938" spans="11:11" x14ac:dyDescent="0.25">
      <c r="K2938" s="146"/>
    </row>
    <row r="2939" spans="11:11" x14ac:dyDescent="0.25">
      <c r="K2939" s="146"/>
    </row>
    <row r="2940" spans="11:11" x14ac:dyDescent="0.25">
      <c r="K2940" s="146"/>
    </row>
    <row r="2941" spans="11:11" x14ac:dyDescent="0.25">
      <c r="K2941" s="146"/>
    </row>
    <row r="2942" spans="11:11" x14ac:dyDescent="0.25">
      <c r="K2942" s="146"/>
    </row>
    <row r="2943" spans="11:11" x14ac:dyDescent="0.25">
      <c r="K2943" s="146"/>
    </row>
    <row r="2944" spans="11:11" x14ac:dyDescent="0.25">
      <c r="K2944" s="146"/>
    </row>
    <row r="2945" spans="11:11" x14ac:dyDescent="0.25">
      <c r="K2945" s="146"/>
    </row>
    <row r="2946" spans="11:11" x14ac:dyDescent="0.25">
      <c r="K2946" s="146"/>
    </row>
    <row r="2947" spans="11:11" x14ac:dyDescent="0.25">
      <c r="K2947" s="146"/>
    </row>
    <row r="2948" spans="11:11" x14ac:dyDescent="0.25">
      <c r="K2948" s="146"/>
    </row>
    <row r="2949" spans="11:11" x14ac:dyDescent="0.25">
      <c r="K2949" s="146"/>
    </row>
    <row r="2950" spans="11:11" x14ac:dyDescent="0.25">
      <c r="K2950" s="146"/>
    </row>
    <row r="2951" spans="11:11" x14ac:dyDescent="0.25">
      <c r="K2951" s="146"/>
    </row>
    <row r="2952" spans="11:11" x14ac:dyDescent="0.25">
      <c r="K2952" s="146"/>
    </row>
    <row r="2953" spans="11:11" x14ac:dyDescent="0.25">
      <c r="K2953" s="146"/>
    </row>
    <row r="2954" spans="11:11" x14ac:dyDescent="0.25">
      <c r="K2954" s="146"/>
    </row>
    <row r="2955" spans="11:11" x14ac:dyDescent="0.25">
      <c r="K2955" s="146"/>
    </row>
    <row r="2956" spans="11:11" x14ac:dyDescent="0.25">
      <c r="K2956" s="146"/>
    </row>
    <row r="2957" spans="11:11" x14ac:dyDescent="0.25">
      <c r="K2957" s="146"/>
    </row>
    <row r="2958" spans="11:11" x14ac:dyDescent="0.25">
      <c r="K2958" s="146"/>
    </row>
    <row r="2959" spans="11:11" x14ac:dyDescent="0.25">
      <c r="K2959" s="146"/>
    </row>
    <row r="2960" spans="11:11" x14ac:dyDescent="0.25">
      <c r="K2960" s="146"/>
    </row>
    <row r="2961" spans="11:11" x14ac:dyDescent="0.25">
      <c r="K2961" s="146"/>
    </row>
    <row r="2962" spans="11:11" x14ac:dyDescent="0.25">
      <c r="K2962" s="146"/>
    </row>
    <row r="2963" spans="11:11" x14ac:dyDescent="0.25">
      <c r="K2963" s="146"/>
    </row>
    <row r="2964" spans="11:11" x14ac:dyDescent="0.25">
      <c r="K2964" s="146"/>
    </row>
    <row r="2965" spans="11:11" x14ac:dyDescent="0.25">
      <c r="K2965" s="146"/>
    </row>
    <row r="2966" spans="11:11" x14ac:dyDescent="0.25">
      <c r="K2966" s="146"/>
    </row>
    <row r="2967" spans="11:11" x14ac:dyDescent="0.25">
      <c r="K2967" s="146"/>
    </row>
    <row r="2968" spans="11:11" x14ac:dyDescent="0.25">
      <c r="K2968" s="146"/>
    </row>
    <row r="2969" spans="11:11" x14ac:dyDescent="0.25">
      <c r="K2969" s="146"/>
    </row>
    <row r="2970" spans="11:11" x14ac:dyDescent="0.25">
      <c r="K2970" s="146"/>
    </row>
    <row r="2971" spans="11:11" x14ac:dyDescent="0.25">
      <c r="K2971" s="146"/>
    </row>
    <row r="2972" spans="11:11" x14ac:dyDescent="0.25">
      <c r="K2972" s="146"/>
    </row>
    <row r="2973" spans="11:11" x14ac:dyDescent="0.25">
      <c r="K2973" s="146"/>
    </row>
    <row r="2974" spans="11:11" x14ac:dyDescent="0.25">
      <c r="K2974" s="146"/>
    </row>
    <row r="2975" spans="11:11" x14ac:dyDescent="0.25">
      <c r="K2975" s="146"/>
    </row>
    <row r="2976" spans="11:11" x14ac:dyDescent="0.25">
      <c r="K2976" s="146"/>
    </row>
    <row r="2977" spans="11:11" x14ac:dyDescent="0.25">
      <c r="K2977" s="146"/>
    </row>
    <row r="2978" spans="11:11" x14ac:dyDescent="0.25">
      <c r="K2978" s="146"/>
    </row>
    <row r="2979" spans="11:11" x14ac:dyDescent="0.25">
      <c r="K2979" s="146"/>
    </row>
    <row r="2980" spans="11:11" x14ac:dyDescent="0.25">
      <c r="K2980" s="146"/>
    </row>
    <row r="2981" spans="11:11" x14ac:dyDescent="0.25">
      <c r="K2981" s="146"/>
    </row>
    <row r="2982" spans="11:11" x14ac:dyDescent="0.25">
      <c r="K2982" s="146"/>
    </row>
    <row r="2983" spans="11:11" x14ac:dyDescent="0.25">
      <c r="K2983" s="146"/>
    </row>
    <row r="2984" spans="11:11" x14ac:dyDescent="0.25">
      <c r="K2984" s="146"/>
    </row>
    <row r="2985" spans="11:11" x14ac:dyDescent="0.25">
      <c r="K2985" s="146"/>
    </row>
    <row r="2986" spans="11:11" x14ac:dyDescent="0.25">
      <c r="K2986" s="146"/>
    </row>
    <row r="2987" spans="11:11" x14ac:dyDescent="0.25">
      <c r="K2987" s="146"/>
    </row>
    <row r="2988" spans="11:11" x14ac:dyDescent="0.25">
      <c r="K2988" s="146"/>
    </row>
    <row r="2989" spans="11:11" x14ac:dyDescent="0.25">
      <c r="K2989" s="146"/>
    </row>
    <row r="2990" spans="11:11" x14ac:dyDescent="0.25">
      <c r="K2990" s="146"/>
    </row>
    <row r="2991" spans="11:11" x14ac:dyDescent="0.25">
      <c r="K2991" s="146"/>
    </row>
    <row r="2992" spans="11:11" x14ac:dyDescent="0.25">
      <c r="K2992" s="146"/>
    </row>
    <row r="2993" spans="11:11" x14ac:dyDescent="0.25">
      <c r="K2993" s="146"/>
    </row>
    <row r="2994" spans="11:11" x14ac:dyDescent="0.25">
      <c r="K2994" s="146"/>
    </row>
    <row r="2995" spans="11:11" x14ac:dyDescent="0.25">
      <c r="K2995" s="146"/>
    </row>
    <row r="2996" spans="11:11" x14ac:dyDescent="0.25">
      <c r="K2996" s="146"/>
    </row>
    <row r="2997" spans="11:11" x14ac:dyDescent="0.25">
      <c r="K2997" s="146"/>
    </row>
    <row r="2998" spans="11:11" x14ac:dyDescent="0.25">
      <c r="K2998" s="146"/>
    </row>
    <row r="2999" spans="11:11" x14ac:dyDescent="0.25">
      <c r="K2999" s="146"/>
    </row>
    <row r="3000" spans="11:11" x14ac:dyDescent="0.25">
      <c r="K3000" s="146"/>
    </row>
    <row r="3001" spans="11:11" x14ac:dyDescent="0.25">
      <c r="K3001" s="146"/>
    </row>
    <row r="3002" spans="11:11" x14ac:dyDescent="0.25">
      <c r="K3002" s="146"/>
    </row>
    <row r="3003" spans="11:11" x14ac:dyDescent="0.25">
      <c r="K3003" s="146"/>
    </row>
    <row r="3004" spans="11:11" x14ac:dyDescent="0.25">
      <c r="K3004" s="146"/>
    </row>
    <row r="3005" spans="11:11" x14ac:dyDescent="0.25">
      <c r="K3005" s="146"/>
    </row>
    <row r="3006" spans="11:11" x14ac:dyDescent="0.25">
      <c r="K3006" s="146"/>
    </row>
    <row r="3007" spans="11:11" x14ac:dyDescent="0.25">
      <c r="K3007" s="146"/>
    </row>
    <row r="3008" spans="11:11" x14ac:dyDescent="0.25">
      <c r="K3008" s="146"/>
    </row>
    <row r="3009" spans="11:11" x14ac:dyDescent="0.25">
      <c r="K3009" s="146"/>
    </row>
    <row r="3010" spans="11:11" x14ac:dyDescent="0.25">
      <c r="K3010" s="146"/>
    </row>
    <row r="3011" spans="11:11" x14ac:dyDescent="0.25">
      <c r="K3011" s="146"/>
    </row>
    <row r="3012" spans="11:11" x14ac:dyDescent="0.25">
      <c r="K3012" s="146"/>
    </row>
    <row r="3013" spans="11:11" x14ac:dyDescent="0.25">
      <c r="K3013" s="146"/>
    </row>
    <row r="3014" spans="11:11" x14ac:dyDescent="0.25">
      <c r="K3014" s="146"/>
    </row>
    <row r="3015" spans="11:11" x14ac:dyDescent="0.25">
      <c r="K3015" s="146"/>
    </row>
    <row r="3016" spans="11:11" x14ac:dyDescent="0.25">
      <c r="K3016" s="146"/>
    </row>
    <row r="3017" spans="11:11" x14ac:dyDescent="0.25">
      <c r="K3017" s="146"/>
    </row>
    <row r="3018" spans="11:11" x14ac:dyDescent="0.25">
      <c r="K3018" s="146"/>
    </row>
    <row r="3019" spans="11:11" x14ac:dyDescent="0.25">
      <c r="K3019" s="146"/>
    </row>
    <row r="3020" spans="11:11" x14ac:dyDescent="0.25">
      <c r="K3020" s="146"/>
    </row>
    <row r="3021" spans="11:11" x14ac:dyDescent="0.25">
      <c r="K3021" s="146"/>
    </row>
    <row r="3022" spans="11:11" x14ac:dyDescent="0.25">
      <c r="K3022" s="146"/>
    </row>
    <row r="3023" spans="11:11" x14ac:dyDescent="0.25">
      <c r="K3023" s="146"/>
    </row>
    <row r="3024" spans="11:11" x14ac:dyDescent="0.25">
      <c r="K3024" s="146"/>
    </row>
    <row r="3025" spans="11:11" x14ac:dyDescent="0.25">
      <c r="K3025" s="146"/>
    </row>
    <row r="3026" spans="11:11" x14ac:dyDescent="0.25">
      <c r="K3026" s="146"/>
    </row>
    <row r="3027" spans="11:11" x14ac:dyDescent="0.25">
      <c r="K3027" s="146"/>
    </row>
    <row r="3028" spans="11:11" x14ac:dyDescent="0.25">
      <c r="K3028" s="146"/>
    </row>
    <row r="3029" spans="11:11" x14ac:dyDescent="0.25">
      <c r="K3029" s="146"/>
    </row>
    <row r="3030" spans="11:11" x14ac:dyDescent="0.25">
      <c r="K3030" s="146"/>
    </row>
    <row r="3031" spans="11:11" x14ac:dyDescent="0.25">
      <c r="K3031" s="146"/>
    </row>
    <row r="3032" spans="11:11" x14ac:dyDescent="0.25">
      <c r="K3032" s="146"/>
    </row>
    <row r="3033" spans="11:11" x14ac:dyDescent="0.25">
      <c r="K3033" s="146"/>
    </row>
    <row r="3034" spans="11:11" x14ac:dyDescent="0.25">
      <c r="K3034" s="146"/>
    </row>
    <row r="3035" spans="11:11" x14ac:dyDescent="0.25">
      <c r="K3035" s="146"/>
    </row>
    <row r="3036" spans="11:11" x14ac:dyDescent="0.25">
      <c r="K3036" s="146"/>
    </row>
    <row r="3037" spans="11:11" x14ac:dyDescent="0.25">
      <c r="K3037" s="146"/>
    </row>
    <row r="3038" spans="11:11" x14ac:dyDescent="0.25">
      <c r="K3038" s="146"/>
    </row>
    <row r="3039" spans="11:11" x14ac:dyDescent="0.25">
      <c r="K3039" s="146"/>
    </row>
    <row r="3040" spans="11:11" x14ac:dyDescent="0.25">
      <c r="K3040" s="146"/>
    </row>
    <row r="3041" spans="11:11" x14ac:dyDescent="0.25">
      <c r="K3041" s="146"/>
    </row>
    <row r="3042" spans="11:11" x14ac:dyDescent="0.25">
      <c r="K3042" s="146"/>
    </row>
    <row r="3043" spans="11:11" x14ac:dyDescent="0.25">
      <c r="K3043" s="146"/>
    </row>
    <row r="3044" spans="11:11" x14ac:dyDescent="0.25">
      <c r="K3044" s="146"/>
    </row>
    <row r="3045" spans="11:11" x14ac:dyDescent="0.25">
      <c r="K3045" s="146"/>
    </row>
    <row r="3046" spans="11:11" x14ac:dyDescent="0.25">
      <c r="K3046" s="146"/>
    </row>
    <row r="3047" spans="11:11" x14ac:dyDescent="0.25">
      <c r="K3047" s="146"/>
    </row>
    <row r="3048" spans="11:11" x14ac:dyDescent="0.25">
      <c r="K3048" s="146"/>
    </row>
    <row r="3049" spans="11:11" x14ac:dyDescent="0.25">
      <c r="K3049" s="146"/>
    </row>
    <row r="3050" spans="11:11" x14ac:dyDescent="0.25">
      <c r="K3050" s="146"/>
    </row>
    <row r="3051" spans="11:11" x14ac:dyDescent="0.25">
      <c r="K3051" s="146"/>
    </row>
    <row r="3052" spans="11:11" x14ac:dyDescent="0.25">
      <c r="K3052" s="146"/>
    </row>
    <row r="3053" spans="11:11" x14ac:dyDescent="0.25">
      <c r="K3053" s="146"/>
    </row>
    <row r="3054" spans="11:11" x14ac:dyDescent="0.25">
      <c r="K3054" s="146"/>
    </row>
    <row r="3055" spans="11:11" x14ac:dyDescent="0.25">
      <c r="K3055" s="146"/>
    </row>
    <row r="3056" spans="11:11" x14ac:dyDescent="0.25">
      <c r="K3056" s="146"/>
    </row>
    <row r="3057" spans="11:11" x14ac:dyDescent="0.25">
      <c r="K3057" s="146"/>
    </row>
    <row r="3058" spans="11:11" x14ac:dyDescent="0.25">
      <c r="K3058" s="146"/>
    </row>
    <row r="3059" spans="11:11" x14ac:dyDescent="0.25">
      <c r="K3059" s="146"/>
    </row>
    <row r="3060" spans="11:11" x14ac:dyDescent="0.25">
      <c r="K3060" s="146"/>
    </row>
    <row r="3061" spans="11:11" x14ac:dyDescent="0.25">
      <c r="K3061" s="146"/>
    </row>
    <row r="3062" spans="11:11" x14ac:dyDescent="0.25">
      <c r="K3062" s="146"/>
    </row>
    <row r="3063" spans="11:11" x14ac:dyDescent="0.25">
      <c r="K3063" s="146"/>
    </row>
    <row r="3064" spans="11:11" x14ac:dyDescent="0.25">
      <c r="K3064" s="146"/>
    </row>
    <row r="3065" spans="11:11" x14ac:dyDescent="0.25">
      <c r="K3065" s="146"/>
    </row>
    <row r="3066" spans="11:11" x14ac:dyDescent="0.25">
      <c r="K3066" s="146"/>
    </row>
    <row r="3067" spans="11:11" x14ac:dyDescent="0.25">
      <c r="K3067" s="146"/>
    </row>
    <row r="3068" spans="11:11" x14ac:dyDescent="0.25">
      <c r="K3068" s="146"/>
    </row>
    <row r="3069" spans="11:11" x14ac:dyDescent="0.25">
      <c r="K3069" s="146"/>
    </row>
    <row r="3070" spans="11:11" x14ac:dyDescent="0.25">
      <c r="K3070" s="146"/>
    </row>
    <row r="3071" spans="11:11" x14ac:dyDescent="0.25">
      <c r="K3071" s="146"/>
    </row>
    <row r="3072" spans="11:11" x14ac:dyDescent="0.25">
      <c r="K3072" s="146"/>
    </row>
    <row r="3073" spans="11:11" x14ac:dyDescent="0.25">
      <c r="K3073" s="146"/>
    </row>
    <row r="3074" spans="11:11" x14ac:dyDescent="0.25">
      <c r="K3074" s="146"/>
    </row>
    <row r="3075" spans="11:11" x14ac:dyDescent="0.25">
      <c r="K3075" s="146"/>
    </row>
    <row r="3076" spans="11:11" x14ac:dyDescent="0.25">
      <c r="K3076" s="146"/>
    </row>
    <row r="3077" spans="11:11" x14ac:dyDescent="0.25">
      <c r="K3077" s="146"/>
    </row>
    <row r="3078" spans="11:11" x14ac:dyDescent="0.25">
      <c r="K3078" s="146"/>
    </row>
    <row r="3079" spans="11:11" x14ac:dyDescent="0.25">
      <c r="K3079" s="146"/>
    </row>
    <row r="3080" spans="11:11" x14ac:dyDescent="0.25">
      <c r="K3080" s="146"/>
    </row>
    <row r="3081" spans="11:11" x14ac:dyDescent="0.25">
      <c r="K3081" s="146"/>
    </row>
    <row r="3082" spans="11:11" x14ac:dyDescent="0.25">
      <c r="K3082" s="146"/>
    </row>
    <row r="3083" spans="11:11" x14ac:dyDescent="0.25">
      <c r="K3083" s="146"/>
    </row>
    <row r="3084" spans="11:11" x14ac:dyDescent="0.25">
      <c r="K3084" s="146"/>
    </row>
    <row r="3085" spans="11:11" x14ac:dyDescent="0.25">
      <c r="K3085" s="146"/>
    </row>
    <row r="3086" spans="11:11" x14ac:dyDescent="0.25">
      <c r="K3086" s="146"/>
    </row>
    <row r="3087" spans="11:11" x14ac:dyDescent="0.25">
      <c r="K3087" s="146"/>
    </row>
    <row r="3088" spans="11:11" x14ac:dyDescent="0.25">
      <c r="K3088" s="146"/>
    </row>
    <row r="3089" spans="11:11" x14ac:dyDescent="0.25">
      <c r="K3089" s="146"/>
    </row>
    <row r="3090" spans="11:11" x14ac:dyDescent="0.25">
      <c r="K3090" s="146"/>
    </row>
    <row r="3091" spans="11:11" x14ac:dyDescent="0.25">
      <c r="K3091" s="146"/>
    </row>
    <row r="3092" spans="11:11" x14ac:dyDescent="0.25">
      <c r="K3092" s="146"/>
    </row>
    <row r="3093" spans="11:11" x14ac:dyDescent="0.25">
      <c r="K3093" s="146"/>
    </row>
    <row r="3094" spans="11:11" x14ac:dyDescent="0.25">
      <c r="K3094" s="146"/>
    </row>
    <row r="3095" spans="11:11" x14ac:dyDescent="0.25">
      <c r="K3095" s="146"/>
    </row>
    <row r="3096" spans="11:11" x14ac:dyDescent="0.25">
      <c r="K3096" s="146"/>
    </row>
    <row r="3097" spans="11:11" x14ac:dyDescent="0.25">
      <c r="K3097" s="146"/>
    </row>
    <row r="3098" spans="11:11" x14ac:dyDescent="0.25">
      <c r="K3098" s="146"/>
    </row>
    <row r="3099" spans="11:11" x14ac:dyDescent="0.25">
      <c r="K3099" s="146"/>
    </row>
    <row r="3100" spans="11:11" x14ac:dyDescent="0.25">
      <c r="K3100" s="146"/>
    </row>
    <row r="3101" spans="11:11" x14ac:dyDescent="0.25">
      <c r="K3101" s="146"/>
    </row>
    <row r="3102" spans="11:11" x14ac:dyDescent="0.25">
      <c r="K3102" s="146"/>
    </row>
    <row r="3103" spans="11:11" x14ac:dyDescent="0.25">
      <c r="K3103" s="146"/>
    </row>
    <row r="3104" spans="11:11" x14ac:dyDescent="0.25">
      <c r="K3104" s="146"/>
    </row>
    <row r="3105" spans="11:11" x14ac:dyDescent="0.25">
      <c r="K3105" s="146"/>
    </row>
    <row r="3106" spans="11:11" x14ac:dyDescent="0.25">
      <c r="K3106" s="146"/>
    </row>
    <row r="3107" spans="11:11" x14ac:dyDescent="0.25">
      <c r="K3107" s="146"/>
    </row>
    <row r="3108" spans="11:11" x14ac:dyDescent="0.25">
      <c r="K3108" s="146"/>
    </row>
    <row r="3109" spans="11:11" x14ac:dyDescent="0.25">
      <c r="K3109" s="146"/>
    </row>
    <row r="3110" spans="11:11" x14ac:dyDescent="0.25">
      <c r="K3110" s="146"/>
    </row>
    <row r="3111" spans="11:11" x14ac:dyDescent="0.25">
      <c r="K3111" s="146"/>
    </row>
    <row r="3112" spans="11:11" x14ac:dyDescent="0.25">
      <c r="K3112" s="146"/>
    </row>
    <row r="3113" spans="11:11" x14ac:dyDescent="0.25">
      <c r="K3113" s="146"/>
    </row>
    <row r="3114" spans="11:11" x14ac:dyDescent="0.25">
      <c r="K3114" s="146"/>
    </row>
    <row r="3115" spans="11:11" x14ac:dyDescent="0.25">
      <c r="K3115" s="146"/>
    </row>
    <row r="3116" spans="11:11" x14ac:dyDescent="0.25">
      <c r="K3116" s="146"/>
    </row>
    <row r="3117" spans="11:11" x14ac:dyDescent="0.25">
      <c r="K3117" s="146"/>
    </row>
    <row r="3118" spans="11:11" x14ac:dyDescent="0.25">
      <c r="K3118" s="146"/>
    </row>
    <row r="3119" spans="11:11" x14ac:dyDescent="0.25">
      <c r="K3119" s="146"/>
    </row>
    <row r="3120" spans="11:11" x14ac:dyDescent="0.25">
      <c r="K3120" s="146"/>
    </row>
    <row r="3121" spans="11:11" x14ac:dyDescent="0.25">
      <c r="K3121" s="146"/>
    </row>
    <row r="3122" spans="11:11" x14ac:dyDescent="0.25">
      <c r="K3122" s="146"/>
    </row>
    <row r="3123" spans="11:11" x14ac:dyDescent="0.25">
      <c r="K3123" s="146"/>
    </row>
    <row r="3124" spans="11:11" x14ac:dyDescent="0.25">
      <c r="K3124" s="146"/>
    </row>
    <row r="3125" spans="11:11" x14ac:dyDescent="0.25">
      <c r="K3125" s="146"/>
    </row>
    <row r="3126" spans="11:11" x14ac:dyDescent="0.25">
      <c r="K3126" s="146"/>
    </row>
    <row r="3127" spans="11:11" x14ac:dyDescent="0.25">
      <c r="K3127" s="146"/>
    </row>
    <row r="3128" spans="11:11" x14ac:dyDescent="0.25">
      <c r="K3128" s="146"/>
    </row>
    <row r="3129" spans="11:11" x14ac:dyDescent="0.25">
      <c r="K3129" s="146"/>
    </row>
    <row r="3130" spans="11:11" x14ac:dyDescent="0.25">
      <c r="K3130" s="146"/>
    </row>
    <row r="3131" spans="11:11" x14ac:dyDescent="0.25">
      <c r="K3131" s="146"/>
    </row>
    <row r="3132" spans="11:11" x14ac:dyDescent="0.25">
      <c r="K3132" s="146"/>
    </row>
    <row r="3133" spans="11:11" x14ac:dyDescent="0.25">
      <c r="K3133" s="146"/>
    </row>
    <row r="3134" spans="11:11" x14ac:dyDescent="0.25">
      <c r="K3134" s="146"/>
    </row>
    <row r="3135" spans="11:11" x14ac:dyDescent="0.25">
      <c r="K3135" s="146"/>
    </row>
    <row r="3136" spans="11:11" x14ac:dyDescent="0.25">
      <c r="K3136" s="146"/>
    </row>
    <row r="3137" spans="11:11" x14ac:dyDescent="0.25">
      <c r="K3137" s="146"/>
    </row>
    <row r="3138" spans="11:11" x14ac:dyDescent="0.25">
      <c r="K3138" s="146"/>
    </row>
    <row r="3139" spans="11:11" x14ac:dyDescent="0.25">
      <c r="K3139" s="146"/>
    </row>
    <row r="3140" spans="11:11" x14ac:dyDescent="0.25">
      <c r="K3140" s="146"/>
    </row>
    <row r="3141" spans="11:11" x14ac:dyDescent="0.25">
      <c r="K3141" s="146"/>
    </row>
    <row r="3142" spans="11:11" x14ac:dyDescent="0.25">
      <c r="K3142" s="146"/>
    </row>
    <row r="3143" spans="11:11" x14ac:dyDescent="0.25">
      <c r="K3143" s="146"/>
    </row>
    <row r="3144" spans="11:11" x14ac:dyDescent="0.25">
      <c r="K3144" s="146"/>
    </row>
    <row r="3145" spans="11:11" x14ac:dyDescent="0.25">
      <c r="K3145" s="146"/>
    </row>
    <row r="3146" spans="11:11" x14ac:dyDescent="0.25">
      <c r="K3146" s="146"/>
    </row>
    <row r="3147" spans="11:11" x14ac:dyDescent="0.25">
      <c r="K3147" s="146"/>
    </row>
    <row r="3148" spans="11:11" x14ac:dyDescent="0.25">
      <c r="K3148" s="146"/>
    </row>
    <row r="3149" spans="11:11" x14ac:dyDescent="0.25">
      <c r="K3149" s="146"/>
    </row>
    <row r="3150" spans="11:11" x14ac:dyDescent="0.25">
      <c r="K3150" s="146"/>
    </row>
    <row r="3151" spans="11:11" x14ac:dyDescent="0.25">
      <c r="K3151" s="146"/>
    </row>
    <row r="3152" spans="11:11" x14ac:dyDescent="0.25">
      <c r="K3152" s="146"/>
    </row>
    <row r="3153" spans="11:11" x14ac:dyDescent="0.25">
      <c r="K3153" s="146"/>
    </row>
    <row r="3154" spans="11:11" x14ac:dyDescent="0.25">
      <c r="K3154" s="146"/>
    </row>
    <row r="3155" spans="11:11" x14ac:dyDescent="0.25">
      <c r="K3155" s="146"/>
    </row>
    <row r="3156" spans="11:11" x14ac:dyDescent="0.25">
      <c r="K3156" s="146"/>
    </row>
    <row r="3157" spans="11:11" x14ac:dyDescent="0.25">
      <c r="K3157" s="146"/>
    </row>
    <row r="3158" spans="11:11" x14ac:dyDescent="0.25">
      <c r="K3158" s="146"/>
    </row>
    <row r="3159" spans="11:11" x14ac:dyDescent="0.25">
      <c r="K3159" s="146"/>
    </row>
    <row r="3160" spans="11:11" x14ac:dyDescent="0.25">
      <c r="K3160" s="146"/>
    </row>
    <row r="3161" spans="11:11" x14ac:dyDescent="0.25">
      <c r="K3161" s="146"/>
    </row>
    <row r="3162" spans="11:11" x14ac:dyDescent="0.25">
      <c r="K3162" s="146"/>
    </row>
    <row r="3163" spans="11:11" x14ac:dyDescent="0.25">
      <c r="K3163" s="146"/>
    </row>
    <row r="3164" spans="11:11" x14ac:dyDescent="0.25">
      <c r="K3164" s="146"/>
    </row>
    <row r="3165" spans="11:11" x14ac:dyDescent="0.25">
      <c r="K3165" s="146"/>
    </row>
    <row r="3166" spans="11:11" x14ac:dyDescent="0.25">
      <c r="K3166" s="146"/>
    </row>
    <row r="3167" spans="11:11" x14ac:dyDescent="0.25">
      <c r="K3167" s="146"/>
    </row>
    <row r="3168" spans="11:11" x14ac:dyDescent="0.25">
      <c r="K3168" s="146"/>
    </row>
    <row r="3169" spans="11:11" x14ac:dyDescent="0.25">
      <c r="K3169" s="146"/>
    </row>
    <row r="3170" spans="11:11" x14ac:dyDescent="0.25">
      <c r="K3170" s="146"/>
    </row>
    <row r="3171" spans="11:11" x14ac:dyDescent="0.25">
      <c r="K3171" s="146"/>
    </row>
    <row r="3172" spans="11:11" x14ac:dyDescent="0.25">
      <c r="K3172" s="146"/>
    </row>
    <row r="3173" spans="11:11" x14ac:dyDescent="0.25">
      <c r="K3173" s="146"/>
    </row>
    <row r="3174" spans="11:11" x14ac:dyDescent="0.25">
      <c r="K3174" s="146"/>
    </row>
    <row r="3175" spans="11:11" x14ac:dyDescent="0.25">
      <c r="K3175" s="146"/>
    </row>
    <row r="3176" spans="11:11" x14ac:dyDescent="0.25">
      <c r="K3176" s="146"/>
    </row>
    <row r="3177" spans="11:11" x14ac:dyDescent="0.25">
      <c r="K3177" s="146"/>
    </row>
    <row r="3178" spans="11:11" x14ac:dyDescent="0.25">
      <c r="K3178" s="146"/>
    </row>
    <row r="3179" spans="11:11" x14ac:dyDescent="0.25">
      <c r="K3179" s="146"/>
    </row>
    <row r="3180" spans="11:11" x14ac:dyDescent="0.25">
      <c r="K3180" s="146"/>
    </row>
    <row r="3181" spans="11:11" x14ac:dyDescent="0.25">
      <c r="K3181" s="146"/>
    </row>
    <row r="3182" spans="11:11" x14ac:dyDescent="0.25">
      <c r="K3182" s="146"/>
    </row>
    <row r="3183" spans="11:11" x14ac:dyDescent="0.25">
      <c r="K3183" s="146"/>
    </row>
    <row r="3184" spans="11:11" x14ac:dyDescent="0.25">
      <c r="K3184" s="146"/>
    </row>
    <row r="3185" spans="11:11" x14ac:dyDescent="0.25">
      <c r="K3185" s="146"/>
    </row>
    <row r="3186" spans="11:11" x14ac:dyDescent="0.25">
      <c r="K3186" s="146"/>
    </row>
    <row r="3187" spans="11:11" x14ac:dyDescent="0.25">
      <c r="K3187" s="146"/>
    </row>
    <row r="3188" spans="11:11" x14ac:dyDescent="0.25">
      <c r="K3188" s="146"/>
    </row>
    <row r="3189" spans="11:11" x14ac:dyDescent="0.25">
      <c r="K3189" s="146"/>
    </row>
    <row r="3190" spans="11:11" x14ac:dyDescent="0.25">
      <c r="K3190" s="146"/>
    </row>
    <row r="3191" spans="11:11" x14ac:dyDescent="0.25">
      <c r="K3191" s="146"/>
    </row>
    <row r="3192" spans="11:11" x14ac:dyDescent="0.25">
      <c r="K3192" s="146"/>
    </row>
    <row r="3193" spans="11:11" x14ac:dyDescent="0.25">
      <c r="K3193" s="146"/>
    </row>
    <row r="3194" spans="11:11" x14ac:dyDescent="0.25">
      <c r="K3194" s="146"/>
    </row>
    <row r="3195" spans="11:11" x14ac:dyDescent="0.25">
      <c r="K3195" s="146"/>
    </row>
    <row r="3196" spans="11:11" x14ac:dyDescent="0.25">
      <c r="K3196" s="146"/>
    </row>
    <row r="3197" spans="11:11" x14ac:dyDescent="0.25">
      <c r="K3197" s="146"/>
    </row>
    <row r="3198" spans="11:11" x14ac:dyDescent="0.25">
      <c r="K3198" s="146"/>
    </row>
    <row r="3199" spans="11:11" x14ac:dyDescent="0.25">
      <c r="K3199" s="146"/>
    </row>
    <row r="3200" spans="11:11" x14ac:dyDescent="0.25">
      <c r="K3200" s="146"/>
    </row>
    <row r="3201" spans="11:11" x14ac:dyDescent="0.25">
      <c r="K3201" s="146"/>
    </row>
    <row r="3202" spans="11:11" x14ac:dyDescent="0.25">
      <c r="K3202" s="146"/>
    </row>
    <row r="3203" spans="11:11" x14ac:dyDescent="0.25">
      <c r="K3203" s="146"/>
    </row>
    <row r="3204" spans="11:11" x14ac:dyDescent="0.25">
      <c r="K3204" s="146"/>
    </row>
    <row r="3205" spans="11:11" x14ac:dyDescent="0.25">
      <c r="K3205" s="146"/>
    </row>
    <row r="3206" spans="11:11" x14ac:dyDescent="0.25">
      <c r="K3206" s="146"/>
    </row>
    <row r="3207" spans="11:11" x14ac:dyDescent="0.25">
      <c r="K3207" s="146"/>
    </row>
    <row r="3208" spans="11:11" x14ac:dyDescent="0.25">
      <c r="K3208" s="146"/>
    </row>
    <row r="3209" spans="11:11" x14ac:dyDescent="0.25">
      <c r="K3209" s="146"/>
    </row>
    <row r="3210" spans="11:11" x14ac:dyDescent="0.25">
      <c r="K3210" s="146"/>
    </row>
    <row r="3211" spans="11:11" x14ac:dyDescent="0.25">
      <c r="K3211" s="146"/>
    </row>
    <row r="3212" spans="11:11" x14ac:dyDescent="0.25">
      <c r="K3212" s="146"/>
    </row>
    <row r="3213" spans="11:11" x14ac:dyDescent="0.25">
      <c r="K3213" s="146"/>
    </row>
    <row r="3214" spans="11:11" x14ac:dyDescent="0.25">
      <c r="K3214" s="146"/>
    </row>
    <row r="3215" spans="11:11" x14ac:dyDescent="0.25">
      <c r="K3215" s="146"/>
    </row>
    <row r="3216" spans="11:11" x14ac:dyDescent="0.25">
      <c r="K3216" s="146"/>
    </row>
    <row r="3217" spans="11:11" x14ac:dyDescent="0.25">
      <c r="K3217" s="146"/>
    </row>
    <row r="3218" spans="11:11" x14ac:dyDescent="0.25">
      <c r="K3218" s="146"/>
    </row>
    <row r="3219" spans="11:11" x14ac:dyDescent="0.25">
      <c r="K3219" s="146"/>
    </row>
    <row r="3220" spans="11:11" x14ac:dyDescent="0.25">
      <c r="K3220" s="146"/>
    </row>
    <row r="3221" spans="11:11" x14ac:dyDescent="0.25">
      <c r="K3221" s="146"/>
    </row>
    <row r="3222" spans="11:11" x14ac:dyDescent="0.25">
      <c r="K3222" s="146"/>
    </row>
    <row r="3223" spans="11:11" x14ac:dyDescent="0.25">
      <c r="K3223" s="146"/>
    </row>
    <row r="3224" spans="11:11" x14ac:dyDescent="0.25">
      <c r="K3224" s="146"/>
    </row>
    <row r="3225" spans="11:11" x14ac:dyDescent="0.25">
      <c r="K3225" s="146"/>
    </row>
    <row r="3226" spans="11:11" x14ac:dyDescent="0.25">
      <c r="K3226" s="146"/>
    </row>
    <row r="3227" spans="11:11" x14ac:dyDescent="0.25">
      <c r="K3227" s="146"/>
    </row>
    <row r="3228" spans="11:11" x14ac:dyDescent="0.25">
      <c r="K3228" s="146"/>
    </row>
    <row r="3229" spans="11:11" x14ac:dyDescent="0.25">
      <c r="K3229" s="146"/>
    </row>
    <row r="3230" spans="11:11" x14ac:dyDescent="0.25">
      <c r="K3230" s="146"/>
    </row>
    <row r="3231" spans="11:11" x14ac:dyDescent="0.25">
      <c r="K3231" s="146"/>
    </row>
    <row r="3232" spans="11:11" x14ac:dyDescent="0.25">
      <c r="K3232" s="146"/>
    </row>
    <row r="3233" spans="11:11" x14ac:dyDescent="0.25">
      <c r="K3233" s="146"/>
    </row>
    <row r="3234" spans="11:11" x14ac:dyDescent="0.25">
      <c r="K3234" s="146"/>
    </row>
    <row r="3235" spans="11:11" x14ac:dyDescent="0.25">
      <c r="K3235" s="146"/>
    </row>
    <row r="3236" spans="11:11" x14ac:dyDescent="0.25">
      <c r="K3236" s="146"/>
    </row>
    <row r="3237" spans="11:11" x14ac:dyDescent="0.25">
      <c r="K3237" s="146"/>
    </row>
    <row r="3238" spans="11:11" x14ac:dyDescent="0.25">
      <c r="K3238" s="146"/>
    </row>
    <row r="3239" spans="11:11" x14ac:dyDescent="0.25">
      <c r="K3239" s="146"/>
    </row>
    <row r="3240" spans="11:11" x14ac:dyDescent="0.25">
      <c r="K3240" s="146"/>
    </row>
    <row r="3241" spans="11:11" x14ac:dyDescent="0.25">
      <c r="K3241" s="146"/>
    </row>
    <row r="3242" spans="11:11" x14ac:dyDescent="0.25">
      <c r="K3242" s="146"/>
    </row>
    <row r="3243" spans="11:11" x14ac:dyDescent="0.25">
      <c r="K3243" s="146"/>
    </row>
    <row r="3244" spans="11:11" x14ac:dyDescent="0.25">
      <c r="K3244" s="146"/>
    </row>
    <row r="3245" spans="11:11" x14ac:dyDescent="0.25">
      <c r="K3245" s="146"/>
    </row>
    <row r="3246" spans="11:11" x14ac:dyDescent="0.25">
      <c r="K3246" s="146"/>
    </row>
    <row r="3247" spans="11:11" x14ac:dyDescent="0.25">
      <c r="K3247" s="146"/>
    </row>
    <row r="3248" spans="11:11" x14ac:dyDescent="0.25">
      <c r="K3248" s="146"/>
    </row>
    <row r="3249" spans="11:11" x14ac:dyDescent="0.25">
      <c r="K3249" s="146"/>
    </row>
    <row r="3250" spans="11:11" x14ac:dyDescent="0.25">
      <c r="K3250" s="146"/>
    </row>
    <row r="3251" spans="11:11" x14ac:dyDescent="0.25">
      <c r="K3251" s="146"/>
    </row>
    <row r="3252" spans="11:11" x14ac:dyDescent="0.25">
      <c r="K3252" s="146"/>
    </row>
    <row r="3253" spans="11:11" x14ac:dyDescent="0.25">
      <c r="K3253" s="146"/>
    </row>
    <row r="3254" spans="11:11" x14ac:dyDescent="0.25">
      <c r="K3254" s="146"/>
    </row>
    <row r="3255" spans="11:11" x14ac:dyDescent="0.25">
      <c r="K3255" s="146"/>
    </row>
    <row r="3256" spans="11:11" x14ac:dyDescent="0.25">
      <c r="K3256" s="146"/>
    </row>
    <row r="3257" spans="11:11" x14ac:dyDescent="0.25">
      <c r="K3257" s="146"/>
    </row>
    <row r="3258" spans="11:11" x14ac:dyDescent="0.25">
      <c r="K3258" s="146"/>
    </row>
    <row r="3259" spans="11:11" x14ac:dyDescent="0.25">
      <c r="K3259" s="146"/>
    </row>
    <row r="3260" spans="11:11" x14ac:dyDescent="0.25">
      <c r="K3260" s="146"/>
    </row>
    <row r="3261" spans="11:11" x14ac:dyDescent="0.25">
      <c r="K3261" s="146"/>
    </row>
    <row r="3262" spans="11:11" x14ac:dyDescent="0.25">
      <c r="K3262" s="146"/>
    </row>
    <row r="3263" spans="11:11" x14ac:dyDescent="0.25">
      <c r="K3263" s="146"/>
    </row>
    <row r="3264" spans="11:11" x14ac:dyDescent="0.25">
      <c r="K3264" s="146"/>
    </row>
    <row r="3265" spans="11:11" x14ac:dyDescent="0.25">
      <c r="K3265" s="146"/>
    </row>
    <row r="3266" spans="11:11" x14ac:dyDescent="0.25">
      <c r="K3266" s="146"/>
    </row>
    <row r="3267" spans="11:11" x14ac:dyDescent="0.25">
      <c r="K3267" s="146"/>
    </row>
    <row r="3268" spans="11:11" x14ac:dyDescent="0.25">
      <c r="K3268" s="146"/>
    </row>
    <row r="3269" spans="11:11" x14ac:dyDescent="0.25">
      <c r="K3269" s="146"/>
    </row>
    <row r="3270" spans="11:11" x14ac:dyDescent="0.25">
      <c r="K3270" s="146"/>
    </row>
    <row r="3271" spans="11:11" x14ac:dyDescent="0.25">
      <c r="K3271" s="146"/>
    </row>
    <row r="3272" spans="11:11" x14ac:dyDescent="0.25">
      <c r="K3272" s="146"/>
    </row>
    <row r="3273" spans="11:11" x14ac:dyDescent="0.25">
      <c r="K3273" s="146"/>
    </row>
    <row r="3274" spans="11:11" x14ac:dyDescent="0.25">
      <c r="K3274" s="146"/>
    </row>
    <row r="3275" spans="11:11" x14ac:dyDescent="0.25">
      <c r="K3275" s="146"/>
    </row>
    <row r="3276" spans="11:11" x14ac:dyDescent="0.25">
      <c r="K3276" s="146"/>
    </row>
    <row r="3277" spans="11:11" x14ac:dyDescent="0.25">
      <c r="K3277" s="146"/>
    </row>
    <row r="3278" spans="11:11" x14ac:dyDescent="0.25">
      <c r="K3278" s="146"/>
    </row>
    <row r="3279" spans="11:11" x14ac:dyDescent="0.25">
      <c r="K3279" s="146"/>
    </row>
    <row r="3280" spans="11:11" x14ac:dyDescent="0.25">
      <c r="K3280" s="146"/>
    </row>
    <row r="3281" spans="11:11" x14ac:dyDescent="0.25">
      <c r="K3281" s="146"/>
    </row>
    <row r="3282" spans="11:11" x14ac:dyDescent="0.25">
      <c r="K3282" s="146"/>
    </row>
    <row r="3283" spans="11:11" x14ac:dyDescent="0.25">
      <c r="K3283" s="146"/>
    </row>
    <row r="3284" spans="11:11" x14ac:dyDescent="0.25">
      <c r="K3284" s="146"/>
    </row>
    <row r="3285" spans="11:11" x14ac:dyDescent="0.25">
      <c r="K3285" s="146"/>
    </row>
    <row r="3286" spans="11:11" x14ac:dyDescent="0.25">
      <c r="K3286" s="146"/>
    </row>
    <row r="3287" spans="11:11" x14ac:dyDescent="0.25">
      <c r="K3287" s="146"/>
    </row>
    <row r="3288" spans="11:11" x14ac:dyDescent="0.25">
      <c r="K3288" s="146"/>
    </row>
    <row r="3289" spans="11:11" x14ac:dyDescent="0.25">
      <c r="K3289" s="146"/>
    </row>
    <row r="3290" spans="11:11" x14ac:dyDescent="0.25">
      <c r="K3290" s="146"/>
    </row>
    <row r="3291" spans="11:11" x14ac:dyDescent="0.25">
      <c r="K3291" s="146"/>
    </row>
    <row r="3292" spans="11:11" x14ac:dyDescent="0.25">
      <c r="K3292" s="146"/>
    </row>
    <row r="3293" spans="11:11" x14ac:dyDescent="0.25">
      <c r="K3293" s="146"/>
    </row>
    <row r="3294" spans="11:11" x14ac:dyDescent="0.25">
      <c r="K3294" s="146"/>
    </row>
    <row r="3295" spans="11:11" x14ac:dyDescent="0.25">
      <c r="K3295" s="146"/>
    </row>
    <row r="3296" spans="11:11" x14ac:dyDescent="0.25">
      <c r="K3296" s="146"/>
    </row>
    <row r="3297" spans="11:11" x14ac:dyDescent="0.25">
      <c r="K3297" s="146"/>
    </row>
    <row r="3298" spans="11:11" x14ac:dyDescent="0.25">
      <c r="K3298" s="146"/>
    </row>
    <row r="3299" spans="11:11" x14ac:dyDescent="0.25">
      <c r="K3299" s="146"/>
    </row>
    <row r="3300" spans="11:11" x14ac:dyDescent="0.25">
      <c r="K3300" s="146"/>
    </row>
    <row r="3301" spans="11:11" x14ac:dyDescent="0.25">
      <c r="K3301" s="146"/>
    </row>
    <row r="3302" spans="11:11" x14ac:dyDescent="0.25">
      <c r="K3302" s="146"/>
    </row>
    <row r="3303" spans="11:11" x14ac:dyDescent="0.25">
      <c r="K3303" s="146"/>
    </row>
    <row r="3304" spans="11:11" x14ac:dyDescent="0.25">
      <c r="K3304" s="146"/>
    </row>
    <row r="3305" spans="11:11" x14ac:dyDescent="0.25">
      <c r="K3305" s="146"/>
    </row>
    <row r="3306" spans="11:11" x14ac:dyDescent="0.25">
      <c r="K3306" s="146"/>
    </row>
    <row r="3307" spans="11:11" x14ac:dyDescent="0.25">
      <c r="K3307" s="146"/>
    </row>
    <row r="3308" spans="11:11" x14ac:dyDescent="0.25">
      <c r="K3308" s="146"/>
    </row>
    <row r="3309" spans="11:11" x14ac:dyDescent="0.25">
      <c r="K3309" s="146"/>
    </row>
    <row r="3310" spans="11:11" x14ac:dyDescent="0.25">
      <c r="K3310" s="146"/>
    </row>
    <row r="3311" spans="11:11" x14ac:dyDescent="0.25">
      <c r="K3311" s="146"/>
    </row>
    <row r="3312" spans="11:11" x14ac:dyDescent="0.25">
      <c r="K3312" s="146"/>
    </row>
    <row r="3313" spans="11:11" x14ac:dyDescent="0.25">
      <c r="K3313" s="146"/>
    </row>
    <row r="3314" spans="11:11" x14ac:dyDescent="0.25">
      <c r="K3314" s="146"/>
    </row>
    <row r="3315" spans="11:11" x14ac:dyDescent="0.25">
      <c r="K3315" s="146"/>
    </row>
    <row r="3316" spans="11:11" x14ac:dyDescent="0.25">
      <c r="K3316" s="146"/>
    </row>
    <row r="3317" spans="11:11" x14ac:dyDescent="0.25">
      <c r="K3317" s="146"/>
    </row>
    <row r="3318" spans="11:11" x14ac:dyDescent="0.25">
      <c r="K3318" s="146"/>
    </row>
    <row r="3319" spans="11:11" x14ac:dyDescent="0.25">
      <c r="K3319" s="146"/>
    </row>
    <row r="3320" spans="11:11" x14ac:dyDescent="0.25">
      <c r="K3320" s="146"/>
    </row>
    <row r="3321" spans="11:11" x14ac:dyDescent="0.25">
      <c r="K3321" s="146"/>
    </row>
    <row r="3322" spans="11:11" x14ac:dyDescent="0.25">
      <c r="K3322" s="146"/>
    </row>
    <row r="3323" spans="11:11" x14ac:dyDescent="0.25">
      <c r="K3323" s="146"/>
    </row>
    <row r="3324" spans="11:11" x14ac:dyDescent="0.25">
      <c r="K3324" s="146"/>
    </row>
    <row r="3325" spans="11:11" x14ac:dyDescent="0.25">
      <c r="K3325" s="146"/>
    </row>
    <row r="3326" spans="11:11" x14ac:dyDescent="0.25">
      <c r="K3326" s="146"/>
    </row>
    <row r="3327" spans="11:11" x14ac:dyDescent="0.25">
      <c r="K3327" s="146"/>
    </row>
    <row r="3328" spans="11:11" x14ac:dyDescent="0.25">
      <c r="K3328" s="146"/>
    </row>
    <row r="3329" spans="11:11" x14ac:dyDescent="0.25">
      <c r="K3329" s="146"/>
    </row>
    <row r="3330" spans="11:11" x14ac:dyDescent="0.25">
      <c r="K3330" s="146"/>
    </row>
    <row r="3331" spans="11:11" x14ac:dyDescent="0.25">
      <c r="K3331" s="146"/>
    </row>
    <row r="3332" spans="11:11" x14ac:dyDescent="0.25">
      <c r="K3332" s="146"/>
    </row>
    <row r="3333" spans="11:11" x14ac:dyDescent="0.25">
      <c r="K3333" s="146"/>
    </row>
    <row r="3334" spans="11:11" x14ac:dyDescent="0.25">
      <c r="K3334" s="146"/>
    </row>
    <row r="3335" spans="11:11" x14ac:dyDescent="0.25">
      <c r="K3335" s="146"/>
    </row>
    <row r="3336" spans="11:11" x14ac:dyDescent="0.25">
      <c r="K3336" s="146"/>
    </row>
    <row r="3337" spans="11:11" x14ac:dyDescent="0.25">
      <c r="K3337" s="146"/>
    </row>
    <row r="3338" spans="11:11" x14ac:dyDescent="0.25">
      <c r="K3338" s="146"/>
    </row>
    <row r="3339" spans="11:11" x14ac:dyDescent="0.25">
      <c r="K3339" s="146"/>
    </row>
    <row r="3340" spans="11:11" x14ac:dyDescent="0.25">
      <c r="K3340" s="146"/>
    </row>
    <row r="3341" spans="11:11" x14ac:dyDescent="0.25">
      <c r="K3341" s="146"/>
    </row>
    <row r="3342" spans="11:11" x14ac:dyDescent="0.25">
      <c r="K3342" s="146"/>
    </row>
    <row r="3343" spans="11:11" x14ac:dyDescent="0.25">
      <c r="K3343" s="146"/>
    </row>
    <row r="3344" spans="11:11" x14ac:dyDescent="0.25">
      <c r="K3344" s="146"/>
    </row>
    <row r="3345" spans="11:11" x14ac:dyDescent="0.25">
      <c r="K3345" s="146"/>
    </row>
    <row r="3346" spans="11:11" x14ac:dyDescent="0.25">
      <c r="K3346" s="146"/>
    </row>
    <row r="3347" spans="11:11" x14ac:dyDescent="0.25">
      <c r="K3347" s="146"/>
    </row>
    <row r="3348" spans="11:11" x14ac:dyDescent="0.25">
      <c r="K3348" s="146"/>
    </row>
    <row r="3349" spans="11:11" x14ac:dyDescent="0.25">
      <c r="K3349" s="146"/>
    </row>
    <row r="3350" spans="11:11" x14ac:dyDescent="0.25">
      <c r="K3350" s="146"/>
    </row>
    <row r="3351" spans="11:11" x14ac:dyDescent="0.25">
      <c r="K3351" s="146"/>
    </row>
    <row r="3352" spans="11:11" x14ac:dyDescent="0.25">
      <c r="K3352" s="146"/>
    </row>
    <row r="3353" spans="11:11" x14ac:dyDescent="0.25">
      <c r="K3353" s="146"/>
    </row>
    <row r="3354" spans="11:11" x14ac:dyDescent="0.25">
      <c r="K3354" s="146"/>
    </row>
    <row r="3355" spans="11:11" x14ac:dyDescent="0.25">
      <c r="K3355" s="146"/>
    </row>
    <row r="3356" spans="11:11" x14ac:dyDescent="0.25">
      <c r="K3356" s="146"/>
    </row>
    <row r="3357" spans="11:11" x14ac:dyDescent="0.25">
      <c r="K3357" s="146"/>
    </row>
    <row r="3358" spans="11:11" x14ac:dyDescent="0.25">
      <c r="K3358" s="146"/>
    </row>
    <row r="3359" spans="11:11" x14ac:dyDescent="0.25">
      <c r="K3359" s="146"/>
    </row>
    <row r="3360" spans="11:11" x14ac:dyDescent="0.25">
      <c r="K3360" s="146"/>
    </row>
    <row r="3361" spans="11:11" x14ac:dyDescent="0.25">
      <c r="K3361" s="146"/>
    </row>
    <row r="3362" spans="11:11" x14ac:dyDescent="0.25">
      <c r="K3362" s="146"/>
    </row>
    <row r="3363" spans="11:11" x14ac:dyDescent="0.25">
      <c r="K3363" s="146"/>
    </row>
    <row r="3364" spans="11:11" x14ac:dyDescent="0.25">
      <c r="K3364" s="146"/>
    </row>
    <row r="3365" spans="11:11" x14ac:dyDescent="0.25">
      <c r="K3365" s="146"/>
    </row>
    <row r="3366" spans="11:11" x14ac:dyDescent="0.25">
      <c r="K3366" s="146"/>
    </row>
    <row r="3367" spans="11:11" x14ac:dyDescent="0.25">
      <c r="K3367" s="146"/>
    </row>
    <row r="3368" spans="11:11" x14ac:dyDescent="0.25">
      <c r="K3368" s="146"/>
    </row>
    <row r="3369" spans="11:11" x14ac:dyDescent="0.25">
      <c r="K3369" s="146"/>
    </row>
    <row r="3370" spans="11:11" x14ac:dyDescent="0.25">
      <c r="K3370" s="146"/>
    </row>
    <row r="3371" spans="11:11" x14ac:dyDescent="0.25">
      <c r="K3371" s="146"/>
    </row>
    <row r="3372" spans="11:11" x14ac:dyDescent="0.25">
      <c r="K3372" s="146"/>
    </row>
    <row r="3373" spans="11:11" x14ac:dyDescent="0.25">
      <c r="K3373" s="146"/>
    </row>
    <row r="3374" spans="11:11" x14ac:dyDescent="0.25">
      <c r="K3374" s="146"/>
    </row>
    <row r="3375" spans="11:11" x14ac:dyDescent="0.25">
      <c r="K3375" s="146"/>
    </row>
    <row r="3376" spans="11:11" x14ac:dyDescent="0.25">
      <c r="K3376" s="146"/>
    </row>
    <row r="3377" spans="11:11" x14ac:dyDescent="0.25">
      <c r="K3377" s="146"/>
    </row>
    <row r="3378" spans="11:11" x14ac:dyDescent="0.25">
      <c r="K3378" s="146"/>
    </row>
    <row r="3379" spans="11:11" x14ac:dyDescent="0.25">
      <c r="K3379" s="146"/>
    </row>
    <row r="3380" spans="11:11" x14ac:dyDescent="0.25">
      <c r="K3380" s="146"/>
    </row>
    <row r="3381" spans="11:11" x14ac:dyDescent="0.25">
      <c r="K3381" s="146"/>
    </row>
    <row r="3382" spans="11:11" x14ac:dyDescent="0.25">
      <c r="K3382" s="146"/>
    </row>
    <row r="3383" spans="11:11" x14ac:dyDescent="0.25">
      <c r="K3383" s="146"/>
    </row>
    <row r="3384" spans="11:11" x14ac:dyDescent="0.25">
      <c r="K3384" s="146"/>
    </row>
    <row r="3385" spans="11:11" x14ac:dyDescent="0.25">
      <c r="K3385" s="146"/>
    </row>
    <row r="3386" spans="11:11" x14ac:dyDescent="0.25">
      <c r="K3386" s="146"/>
    </row>
    <row r="3387" spans="11:11" x14ac:dyDescent="0.25">
      <c r="K3387" s="146"/>
    </row>
    <row r="3388" spans="11:11" x14ac:dyDescent="0.25">
      <c r="K3388" s="146"/>
    </row>
    <row r="3389" spans="11:11" x14ac:dyDescent="0.25">
      <c r="K3389" s="146"/>
    </row>
    <row r="3390" spans="11:11" x14ac:dyDescent="0.25">
      <c r="K3390" s="146"/>
    </row>
    <row r="3391" spans="11:11" x14ac:dyDescent="0.25">
      <c r="K3391" s="146"/>
    </row>
    <row r="3392" spans="11:11" x14ac:dyDescent="0.25">
      <c r="K3392" s="146"/>
    </row>
    <row r="3393" spans="11:11" x14ac:dyDescent="0.25">
      <c r="K3393" s="146"/>
    </row>
    <row r="3394" spans="11:11" x14ac:dyDescent="0.25">
      <c r="K3394" s="146"/>
    </row>
    <row r="3395" spans="11:11" x14ac:dyDescent="0.25">
      <c r="K3395" s="146"/>
    </row>
    <row r="3396" spans="11:11" x14ac:dyDescent="0.25">
      <c r="K3396" s="146"/>
    </row>
    <row r="3397" spans="11:11" x14ac:dyDescent="0.25">
      <c r="K3397" s="146"/>
    </row>
    <row r="3398" spans="11:11" x14ac:dyDescent="0.25">
      <c r="K3398" s="146"/>
    </row>
    <row r="3399" spans="11:11" x14ac:dyDescent="0.25">
      <c r="K3399" s="146"/>
    </row>
    <row r="3400" spans="11:11" x14ac:dyDescent="0.25">
      <c r="K3400" s="146"/>
    </row>
    <row r="3401" spans="11:11" x14ac:dyDescent="0.25">
      <c r="K3401" s="146"/>
    </row>
    <row r="3402" spans="11:11" x14ac:dyDescent="0.25">
      <c r="K3402" s="146"/>
    </row>
    <row r="3403" spans="11:11" x14ac:dyDescent="0.25">
      <c r="K3403" s="146"/>
    </row>
    <row r="3404" spans="11:11" x14ac:dyDescent="0.25">
      <c r="K3404" s="146"/>
    </row>
    <row r="3405" spans="11:11" x14ac:dyDescent="0.25">
      <c r="K3405" s="146"/>
    </row>
    <row r="3406" spans="11:11" x14ac:dyDescent="0.25">
      <c r="K3406" s="146"/>
    </row>
    <row r="3407" spans="11:11" x14ac:dyDescent="0.25">
      <c r="K3407" s="146"/>
    </row>
    <row r="3408" spans="11:11" x14ac:dyDescent="0.25">
      <c r="K3408" s="146"/>
    </row>
    <row r="3409" spans="11:11" x14ac:dyDescent="0.25">
      <c r="K3409" s="146"/>
    </row>
    <row r="3410" spans="11:11" x14ac:dyDescent="0.25">
      <c r="K3410" s="146"/>
    </row>
    <row r="3411" spans="11:11" x14ac:dyDescent="0.25">
      <c r="K3411" s="146"/>
    </row>
    <row r="3412" spans="11:11" x14ac:dyDescent="0.25">
      <c r="K3412" s="146"/>
    </row>
    <row r="3413" spans="11:11" x14ac:dyDescent="0.25">
      <c r="K3413" s="146"/>
    </row>
    <row r="3414" spans="11:11" x14ac:dyDescent="0.25">
      <c r="K3414" s="146"/>
    </row>
    <row r="3415" spans="11:11" x14ac:dyDescent="0.25">
      <c r="K3415" s="146"/>
    </row>
    <row r="3416" spans="11:11" x14ac:dyDescent="0.25">
      <c r="K3416" s="146"/>
    </row>
    <row r="3417" spans="11:11" x14ac:dyDescent="0.25">
      <c r="K3417" s="146"/>
    </row>
    <row r="3418" spans="11:11" x14ac:dyDescent="0.25">
      <c r="K3418" s="146"/>
    </row>
    <row r="3419" spans="11:11" x14ac:dyDescent="0.25">
      <c r="K3419" s="146"/>
    </row>
    <row r="3420" spans="11:11" x14ac:dyDescent="0.25">
      <c r="K3420" s="146"/>
    </row>
    <row r="3421" spans="11:11" x14ac:dyDescent="0.25">
      <c r="K3421" s="146"/>
    </row>
    <row r="3422" spans="11:11" x14ac:dyDescent="0.25">
      <c r="K3422" s="146"/>
    </row>
    <row r="3423" spans="11:11" x14ac:dyDescent="0.25">
      <c r="K3423" s="146"/>
    </row>
    <row r="3424" spans="11:11" x14ac:dyDescent="0.25">
      <c r="K3424" s="146"/>
    </row>
    <row r="3425" spans="11:11" x14ac:dyDescent="0.25">
      <c r="K3425" s="146"/>
    </row>
    <row r="3426" spans="11:11" x14ac:dyDescent="0.25">
      <c r="K3426" s="146"/>
    </row>
    <row r="3427" spans="11:11" x14ac:dyDescent="0.25">
      <c r="K3427" s="146"/>
    </row>
    <row r="3428" spans="11:11" x14ac:dyDescent="0.25">
      <c r="K3428" s="146"/>
    </row>
    <row r="3429" spans="11:11" x14ac:dyDescent="0.25">
      <c r="K3429" s="146"/>
    </row>
    <row r="3430" spans="11:11" x14ac:dyDescent="0.25">
      <c r="K3430" s="146"/>
    </row>
    <row r="3431" spans="11:11" x14ac:dyDescent="0.25">
      <c r="K3431" s="146"/>
    </row>
    <row r="3432" spans="11:11" x14ac:dyDescent="0.25">
      <c r="K3432" s="146"/>
    </row>
    <row r="3433" spans="11:11" x14ac:dyDescent="0.25">
      <c r="K3433" s="146"/>
    </row>
    <row r="3434" spans="11:11" x14ac:dyDescent="0.25">
      <c r="K3434" s="146"/>
    </row>
    <row r="3435" spans="11:11" x14ac:dyDescent="0.25">
      <c r="K3435" s="146"/>
    </row>
    <row r="3436" spans="11:11" x14ac:dyDescent="0.25">
      <c r="K3436" s="146"/>
    </row>
    <row r="3437" spans="11:11" x14ac:dyDescent="0.25">
      <c r="K3437" s="146"/>
    </row>
    <row r="3438" spans="11:11" x14ac:dyDescent="0.25">
      <c r="K3438" s="146"/>
    </row>
    <row r="3439" spans="11:11" x14ac:dyDescent="0.25">
      <c r="K3439" s="146"/>
    </row>
    <row r="3440" spans="11:11" x14ac:dyDescent="0.25">
      <c r="K3440" s="146"/>
    </row>
    <row r="3441" spans="11:11" x14ac:dyDescent="0.25">
      <c r="K3441" s="146"/>
    </row>
    <row r="3442" spans="11:11" x14ac:dyDescent="0.25">
      <c r="K3442" s="146"/>
    </row>
    <row r="3443" spans="11:11" x14ac:dyDescent="0.25">
      <c r="K3443" s="146"/>
    </row>
    <row r="3444" spans="11:11" x14ac:dyDescent="0.25">
      <c r="K3444" s="146"/>
    </row>
    <row r="3445" spans="11:11" x14ac:dyDescent="0.25">
      <c r="K3445" s="146"/>
    </row>
    <row r="3446" spans="11:11" x14ac:dyDescent="0.25">
      <c r="K3446" s="146"/>
    </row>
    <row r="3447" spans="11:11" x14ac:dyDescent="0.25">
      <c r="K3447" s="146"/>
    </row>
    <row r="3448" spans="11:11" x14ac:dyDescent="0.25">
      <c r="K3448" s="146"/>
    </row>
    <row r="3449" spans="11:11" x14ac:dyDescent="0.25">
      <c r="K3449" s="146"/>
    </row>
    <row r="3450" spans="11:11" x14ac:dyDescent="0.25">
      <c r="K3450" s="146"/>
    </row>
    <row r="3451" spans="11:11" x14ac:dyDescent="0.25">
      <c r="K3451" s="146"/>
    </row>
    <row r="3452" spans="11:11" x14ac:dyDescent="0.25">
      <c r="K3452" s="146"/>
    </row>
    <row r="3453" spans="11:11" x14ac:dyDescent="0.25">
      <c r="K3453" s="146"/>
    </row>
    <row r="3454" spans="11:11" x14ac:dyDescent="0.25">
      <c r="K3454" s="146"/>
    </row>
    <row r="3455" spans="11:11" x14ac:dyDescent="0.25">
      <c r="K3455" s="146"/>
    </row>
    <row r="3456" spans="11:11" x14ac:dyDescent="0.25">
      <c r="K3456" s="146"/>
    </row>
    <row r="3457" spans="11:11" x14ac:dyDescent="0.25">
      <c r="K3457" s="146"/>
    </row>
    <row r="3458" spans="11:11" x14ac:dyDescent="0.25">
      <c r="K3458" s="146"/>
    </row>
    <row r="3459" spans="11:11" x14ac:dyDescent="0.25">
      <c r="K3459" s="146"/>
    </row>
    <row r="3460" spans="11:11" x14ac:dyDescent="0.25">
      <c r="K3460" s="146"/>
    </row>
    <row r="3461" spans="11:11" x14ac:dyDescent="0.25">
      <c r="K3461" s="146"/>
    </row>
    <row r="3462" spans="11:11" x14ac:dyDescent="0.25">
      <c r="K3462" s="146"/>
    </row>
    <row r="3463" spans="11:11" x14ac:dyDescent="0.25">
      <c r="K3463" s="146"/>
    </row>
    <row r="3464" spans="11:11" x14ac:dyDescent="0.25">
      <c r="K3464" s="146"/>
    </row>
    <row r="3465" spans="11:11" x14ac:dyDescent="0.25">
      <c r="K3465" s="146"/>
    </row>
    <row r="3466" spans="11:11" x14ac:dyDescent="0.25">
      <c r="K3466" s="146"/>
    </row>
    <row r="3467" spans="11:11" x14ac:dyDescent="0.25">
      <c r="K3467" s="146"/>
    </row>
    <row r="3468" spans="11:11" x14ac:dyDescent="0.25">
      <c r="K3468" s="146"/>
    </row>
    <row r="3469" spans="11:11" x14ac:dyDescent="0.25">
      <c r="K3469" s="146"/>
    </row>
    <row r="3470" spans="11:11" x14ac:dyDescent="0.25">
      <c r="K3470" s="146"/>
    </row>
    <row r="3471" spans="11:11" x14ac:dyDescent="0.25">
      <c r="K3471" s="146"/>
    </row>
    <row r="3472" spans="11:11" x14ac:dyDescent="0.25">
      <c r="K3472" s="146"/>
    </row>
    <row r="3473" spans="11:11" x14ac:dyDescent="0.25">
      <c r="K3473" s="146"/>
    </row>
    <row r="3474" spans="11:11" x14ac:dyDescent="0.25">
      <c r="K3474" s="146"/>
    </row>
    <row r="3475" spans="11:11" x14ac:dyDescent="0.25">
      <c r="K3475" s="146"/>
    </row>
    <row r="3476" spans="11:11" x14ac:dyDescent="0.25">
      <c r="K3476" s="146"/>
    </row>
    <row r="3477" spans="11:11" x14ac:dyDescent="0.25">
      <c r="K3477" s="146"/>
    </row>
    <row r="3478" spans="11:11" x14ac:dyDescent="0.25">
      <c r="K3478" s="146"/>
    </row>
    <row r="3479" spans="11:11" x14ac:dyDescent="0.25">
      <c r="K3479" s="146"/>
    </row>
    <row r="3480" spans="11:11" x14ac:dyDescent="0.25">
      <c r="K3480" s="146"/>
    </row>
    <row r="3481" spans="11:11" x14ac:dyDescent="0.25">
      <c r="K3481" s="146"/>
    </row>
    <row r="3482" spans="11:11" x14ac:dyDescent="0.25">
      <c r="K3482" s="146"/>
    </row>
    <row r="3483" spans="11:11" x14ac:dyDescent="0.25">
      <c r="K3483" s="146"/>
    </row>
    <row r="3484" spans="11:11" x14ac:dyDescent="0.25">
      <c r="K3484" s="146"/>
    </row>
    <row r="3485" spans="11:11" x14ac:dyDescent="0.25">
      <c r="K3485" s="146"/>
    </row>
    <row r="3486" spans="11:11" x14ac:dyDescent="0.25">
      <c r="K3486" s="146"/>
    </row>
    <row r="3487" spans="11:11" x14ac:dyDescent="0.25">
      <c r="K3487" s="146"/>
    </row>
    <row r="3488" spans="11:11" x14ac:dyDescent="0.25">
      <c r="K3488" s="146"/>
    </row>
    <row r="3489" spans="11:11" x14ac:dyDescent="0.25">
      <c r="K3489" s="146"/>
    </row>
    <row r="3490" spans="11:11" x14ac:dyDescent="0.25">
      <c r="K3490" s="146"/>
    </row>
    <row r="3491" spans="11:11" x14ac:dyDescent="0.25">
      <c r="K3491" s="146"/>
    </row>
    <row r="3492" spans="11:11" x14ac:dyDescent="0.25">
      <c r="K3492" s="146"/>
    </row>
    <row r="3493" spans="11:11" x14ac:dyDescent="0.25">
      <c r="K3493" s="146"/>
    </row>
    <row r="3494" spans="11:11" x14ac:dyDescent="0.25">
      <c r="K3494" s="146"/>
    </row>
    <row r="3495" spans="11:11" x14ac:dyDescent="0.25">
      <c r="K3495" s="146"/>
    </row>
    <row r="3496" spans="11:11" x14ac:dyDescent="0.25">
      <c r="K3496" s="146"/>
    </row>
    <row r="3497" spans="11:11" x14ac:dyDescent="0.25">
      <c r="K3497" s="146"/>
    </row>
    <row r="3498" spans="11:11" x14ac:dyDescent="0.25">
      <c r="K3498" s="146"/>
    </row>
    <row r="3499" spans="11:11" x14ac:dyDescent="0.25">
      <c r="K3499" s="146"/>
    </row>
    <row r="3500" spans="11:11" x14ac:dyDescent="0.25">
      <c r="K3500" s="146"/>
    </row>
    <row r="3501" spans="11:11" x14ac:dyDescent="0.25">
      <c r="K3501" s="146"/>
    </row>
    <row r="3502" spans="11:11" x14ac:dyDescent="0.25">
      <c r="K3502" s="146"/>
    </row>
    <row r="3503" spans="11:11" x14ac:dyDescent="0.25">
      <c r="K3503" s="146"/>
    </row>
    <row r="3504" spans="11:11" x14ac:dyDescent="0.25">
      <c r="K3504" s="146"/>
    </row>
    <row r="3505" spans="11:11" x14ac:dyDescent="0.25">
      <c r="K3505" s="146"/>
    </row>
    <row r="3506" spans="11:11" x14ac:dyDescent="0.25">
      <c r="K3506" s="146"/>
    </row>
    <row r="3507" spans="11:11" x14ac:dyDescent="0.25">
      <c r="K3507" s="146"/>
    </row>
    <row r="3508" spans="11:11" x14ac:dyDescent="0.25">
      <c r="K3508" s="146"/>
    </row>
    <row r="3509" spans="11:11" x14ac:dyDescent="0.25">
      <c r="K3509" s="146"/>
    </row>
    <row r="3510" spans="11:11" x14ac:dyDescent="0.25">
      <c r="K3510" s="146"/>
    </row>
    <row r="3511" spans="11:11" x14ac:dyDescent="0.25">
      <c r="K3511" s="146"/>
    </row>
    <row r="3512" spans="11:11" x14ac:dyDescent="0.25">
      <c r="K3512" s="146"/>
    </row>
    <row r="3513" spans="11:11" x14ac:dyDescent="0.25">
      <c r="K3513" s="146"/>
    </row>
    <row r="3514" spans="11:11" x14ac:dyDescent="0.25">
      <c r="K3514" s="146"/>
    </row>
    <row r="3515" spans="11:11" x14ac:dyDescent="0.25">
      <c r="K3515" s="146"/>
    </row>
    <row r="3516" spans="11:11" x14ac:dyDescent="0.25">
      <c r="K3516" s="146"/>
    </row>
    <row r="3517" spans="11:11" x14ac:dyDescent="0.25">
      <c r="K3517" s="146"/>
    </row>
    <row r="3518" spans="11:11" x14ac:dyDescent="0.25">
      <c r="K3518" s="146"/>
    </row>
    <row r="3519" spans="11:11" x14ac:dyDescent="0.25">
      <c r="K3519" s="146"/>
    </row>
    <row r="3520" spans="11:11" x14ac:dyDescent="0.25">
      <c r="K3520" s="146"/>
    </row>
    <row r="3521" spans="11:11" x14ac:dyDescent="0.25">
      <c r="K3521" s="146"/>
    </row>
    <row r="3522" spans="11:11" x14ac:dyDescent="0.25">
      <c r="K3522" s="146"/>
    </row>
    <row r="3523" spans="11:11" x14ac:dyDescent="0.25">
      <c r="K3523" s="146"/>
    </row>
    <row r="3524" spans="11:11" x14ac:dyDescent="0.25">
      <c r="K3524" s="146"/>
    </row>
    <row r="3525" spans="11:11" x14ac:dyDescent="0.25">
      <c r="K3525" s="146"/>
    </row>
    <row r="3526" spans="11:11" x14ac:dyDescent="0.25">
      <c r="K3526" s="146"/>
    </row>
    <row r="3527" spans="11:11" x14ac:dyDescent="0.25">
      <c r="K3527" s="146"/>
    </row>
    <row r="3528" spans="11:11" x14ac:dyDescent="0.25">
      <c r="K3528" s="146"/>
    </row>
    <row r="3529" spans="11:11" x14ac:dyDescent="0.25">
      <c r="K3529" s="146"/>
    </row>
    <row r="3530" spans="11:11" x14ac:dyDescent="0.25">
      <c r="K3530" s="146"/>
    </row>
    <row r="3531" spans="11:11" x14ac:dyDescent="0.25">
      <c r="K3531" s="146"/>
    </row>
    <row r="3532" spans="11:11" x14ac:dyDescent="0.25">
      <c r="K3532" s="146"/>
    </row>
    <row r="3533" spans="11:11" x14ac:dyDescent="0.25">
      <c r="K3533" s="146"/>
    </row>
    <row r="3534" spans="11:11" x14ac:dyDescent="0.25">
      <c r="K3534" s="146"/>
    </row>
    <row r="3535" spans="11:11" x14ac:dyDescent="0.25">
      <c r="K3535" s="146"/>
    </row>
    <row r="3536" spans="11:11" x14ac:dyDescent="0.25">
      <c r="K3536" s="146"/>
    </row>
    <row r="3537" spans="11:11" x14ac:dyDescent="0.25">
      <c r="K3537" s="146"/>
    </row>
    <row r="3538" spans="11:11" x14ac:dyDescent="0.25">
      <c r="K3538" s="146"/>
    </row>
    <row r="3539" spans="11:11" x14ac:dyDescent="0.25">
      <c r="K3539" s="146"/>
    </row>
    <row r="3540" spans="11:11" x14ac:dyDescent="0.25">
      <c r="K3540" s="146"/>
    </row>
    <row r="3541" spans="11:11" x14ac:dyDescent="0.25">
      <c r="K3541" s="146"/>
    </row>
    <row r="3542" spans="11:11" x14ac:dyDescent="0.25">
      <c r="K3542" s="146"/>
    </row>
    <row r="3543" spans="11:11" x14ac:dyDescent="0.25">
      <c r="K3543" s="146"/>
    </row>
    <row r="3544" spans="11:11" x14ac:dyDescent="0.25">
      <c r="K3544" s="146"/>
    </row>
    <row r="3545" spans="11:11" x14ac:dyDescent="0.25">
      <c r="K3545" s="146"/>
    </row>
    <row r="3546" spans="11:11" x14ac:dyDescent="0.25">
      <c r="K3546" s="146"/>
    </row>
    <row r="3547" spans="11:11" x14ac:dyDescent="0.25">
      <c r="K3547" s="146"/>
    </row>
    <row r="3548" spans="11:11" x14ac:dyDescent="0.25">
      <c r="K3548" s="146"/>
    </row>
    <row r="3549" spans="11:11" x14ac:dyDescent="0.25">
      <c r="K3549" s="146"/>
    </row>
    <row r="3550" spans="11:11" x14ac:dyDescent="0.25">
      <c r="K3550" s="146"/>
    </row>
    <row r="3551" spans="11:11" x14ac:dyDescent="0.25">
      <c r="K3551" s="146"/>
    </row>
    <row r="3552" spans="11:11" x14ac:dyDescent="0.25">
      <c r="K3552" s="146"/>
    </row>
    <row r="3553" spans="11:11" x14ac:dyDescent="0.25">
      <c r="K3553" s="146"/>
    </row>
    <row r="3554" spans="11:11" x14ac:dyDescent="0.25">
      <c r="K3554" s="146"/>
    </row>
    <row r="3555" spans="11:11" x14ac:dyDescent="0.25">
      <c r="K3555" s="146"/>
    </row>
    <row r="3556" spans="11:11" x14ac:dyDescent="0.25">
      <c r="K3556" s="146"/>
    </row>
    <row r="3557" spans="11:11" x14ac:dyDescent="0.25">
      <c r="K3557" s="146"/>
    </row>
    <row r="3558" spans="11:11" x14ac:dyDescent="0.25">
      <c r="K3558" s="146"/>
    </row>
    <row r="3559" spans="11:11" x14ac:dyDescent="0.25">
      <c r="K3559" s="146"/>
    </row>
    <row r="3560" spans="11:11" x14ac:dyDescent="0.25">
      <c r="K3560" s="146"/>
    </row>
    <row r="3561" spans="11:11" x14ac:dyDescent="0.25">
      <c r="K3561" s="146"/>
    </row>
    <row r="3562" spans="11:11" x14ac:dyDescent="0.25">
      <c r="K3562" s="146"/>
    </row>
    <row r="3563" spans="11:11" x14ac:dyDescent="0.25">
      <c r="K3563" s="146"/>
    </row>
    <row r="3564" spans="11:11" x14ac:dyDescent="0.25">
      <c r="K3564" s="146"/>
    </row>
    <row r="3565" spans="11:11" x14ac:dyDescent="0.25">
      <c r="K3565" s="146"/>
    </row>
    <row r="3566" spans="11:11" x14ac:dyDescent="0.25">
      <c r="K3566" s="146"/>
    </row>
    <row r="3567" spans="11:11" x14ac:dyDescent="0.25">
      <c r="K3567" s="146"/>
    </row>
    <row r="3568" spans="11:11" x14ac:dyDescent="0.25">
      <c r="K3568" s="146"/>
    </row>
    <row r="3569" spans="11:11" x14ac:dyDescent="0.25">
      <c r="K3569" s="146"/>
    </row>
    <row r="3570" spans="11:11" x14ac:dyDescent="0.25">
      <c r="K3570" s="146"/>
    </row>
    <row r="3571" spans="11:11" x14ac:dyDescent="0.25">
      <c r="K3571" s="146"/>
    </row>
    <row r="3572" spans="11:11" x14ac:dyDescent="0.25">
      <c r="K3572" s="146"/>
    </row>
    <row r="3573" spans="11:11" x14ac:dyDescent="0.25">
      <c r="K3573" s="146"/>
    </row>
    <row r="3574" spans="11:11" x14ac:dyDescent="0.25">
      <c r="K3574" s="146"/>
    </row>
    <row r="3575" spans="11:11" x14ac:dyDescent="0.25">
      <c r="K3575" s="146"/>
    </row>
    <row r="3576" spans="11:11" x14ac:dyDescent="0.25">
      <c r="K3576" s="146"/>
    </row>
    <row r="3577" spans="11:11" x14ac:dyDescent="0.25">
      <c r="K3577" s="146"/>
    </row>
    <row r="3578" spans="11:11" x14ac:dyDescent="0.25">
      <c r="K3578" s="146"/>
    </row>
    <row r="3579" spans="11:11" x14ac:dyDescent="0.25">
      <c r="K3579" s="146"/>
    </row>
    <row r="3580" spans="11:11" x14ac:dyDescent="0.25">
      <c r="K3580" s="146"/>
    </row>
    <row r="3581" spans="11:11" x14ac:dyDescent="0.25">
      <c r="K3581" s="146"/>
    </row>
    <row r="3582" spans="11:11" x14ac:dyDescent="0.25">
      <c r="K3582" s="146"/>
    </row>
    <row r="3583" spans="11:11" x14ac:dyDescent="0.25">
      <c r="K3583" s="146"/>
    </row>
    <row r="3584" spans="11:11" x14ac:dyDescent="0.25">
      <c r="K3584" s="146"/>
    </row>
    <row r="3585" spans="11:11" x14ac:dyDescent="0.25">
      <c r="K3585" s="146"/>
    </row>
    <row r="3586" spans="11:11" x14ac:dyDescent="0.25">
      <c r="K3586" s="146"/>
    </row>
    <row r="3587" spans="11:11" x14ac:dyDescent="0.25">
      <c r="K3587" s="146"/>
    </row>
    <row r="3588" spans="11:11" x14ac:dyDescent="0.25">
      <c r="K3588" s="146"/>
    </row>
    <row r="3589" spans="11:11" x14ac:dyDescent="0.25">
      <c r="K3589" s="146"/>
    </row>
    <row r="3590" spans="11:11" x14ac:dyDescent="0.25">
      <c r="K3590" s="146"/>
    </row>
    <row r="3591" spans="11:11" x14ac:dyDescent="0.25">
      <c r="K3591" s="146"/>
    </row>
    <row r="3592" spans="11:11" x14ac:dyDescent="0.25">
      <c r="K3592" s="146"/>
    </row>
    <row r="3593" spans="11:11" x14ac:dyDescent="0.25">
      <c r="K3593" s="146"/>
    </row>
    <row r="3594" spans="11:11" x14ac:dyDescent="0.25">
      <c r="K3594" s="146"/>
    </row>
    <row r="3595" spans="11:11" x14ac:dyDescent="0.25">
      <c r="K3595" s="146"/>
    </row>
    <row r="3596" spans="11:11" x14ac:dyDescent="0.25">
      <c r="K3596" s="146"/>
    </row>
    <row r="3597" spans="11:11" x14ac:dyDescent="0.25">
      <c r="K3597" s="146"/>
    </row>
    <row r="3598" spans="11:11" x14ac:dyDescent="0.25">
      <c r="K3598" s="146"/>
    </row>
    <row r="3599" spans="11:11" x14ac:dyDescent="0.25">
      <c r="K3599" s="146"/>
    </row>
    <row r="3600" spans="11:11" x14ac:dyDescent="0.25">
      <c r="K3600" s="146"/>
    </row>
    <row r="3601" spans="11:11" x14ac:dyDescent="0.25">
      <c r="K3601" s="146"/>
    </row>
    <row r="3602" spans="11:11" x14ac:dyDescent="0.25">
      <c r="K3602" s="146"/>
    </row>
    <row r="3603" spans="11:11" x14ac:dyDescent="0.25">
      <c r="K3603" s="146"/>
    </row>
    <row r="3604" spans="11:11" x14ac:dyDescent="0.25">
      <c r="K3604" s="146"/>
    </row>
    <row r="3605" spans="11:11" x14ac:dyDescent="0.25">
      <c r="K3605" s="146"/>
    </row>
    <row r="3606" spans="11:11" x14ac:dyDescent="0.25">
      <c r="K3606" s="146"/>
    </row>
    <row r="3607" spans="11:11" x14ac:dyDescent="0.25">
      <c r="K3607" s="146"/>
    </row>
    <row r="3608" spans="11:11" x14ac:dyDescent="0.25">
      <c r="K3608" s="146"/>
    </row>
    <row r="3609" spans="11:11" x14ac:dyDescent="0.25">
      <c r="K3609" s="146"/>
    </row>
    <row r="3610" spans="11:11" x14ac:dyDescent="0.25">
      <c r="K3610" s="146"/>
    </row>
    <row r="3611" spans="11:11" x14ac:dyDescent="0.25">
      <c r="K3611" s="146"/>
    </row>
    <row r="3612" spans="11:11" x14ac:dyDescent="0.25">
      <c r="K3612" s="146"/>
    </row>
    <row r="3613" spans="11:11" x14ac:dyDescent="0.25">
      <c r="K3613" s="146"/>
    </row>
    <row r="3614" spans="11:11" x14ac:dyDescent="0.25">
      <c r="K3614" s="146"/>
    </row>
    <row r="3615" spans="11:11" x14ac:dyDescent="0.25">
      <c r="K3615" s="146"/>
    </row>
    <row r="3616" spans="11:11" x14ac:dyDescent="0.25">
      <c r="K3616" s="146"/>
    </row>
    <row r="3617" spans="11:11" x14ac:dyDescent="0.25">
      <c r="K3617" s="146"/>
    </row>
    <row r="3618" spans="11:11" x14ac:dyDescent="0.25">
      <c r="K3618" s="146"/>
    </row>
    <row r="3619" spans="11:11" x14ac:dyDescent="0.25">
      <c r="K3619" s="146"/>
    </row>
    <row r="3620" spans="11:11" x14ac:dyDescent="0.25">
      <c r="K3620" s="146"/>
    </row>
    <row r="3621" spans="11:11" x14ac:dyDescent="0.25">
      <c r="K3621" s="146"/>
    </row>
    <row r="3622" spans="11:11" x14ac:dyDescent="0.25">
      <c r="K3622" s="146"/>
    </row>
    <row r="3623" spans="11:11" x14ac:dyDescent="0.25">
      <c r="K3623" s="146"/>
    </row>
    <row r="3624" spans="11:11" x14ac:dyDescent="0.25">
      <c r="K3624" s="146"/>
    </row>
    <row r="3625" spans="11:11" x14ac:dyDescent="0.25">
      <c r="K3625" s="146"/>
    </row>
    <row r="3626" spans="11:11" x14ac:dyDescent="0.25">
      <c r="K3626" s="146"/>
    </row>
    <row r="3627" spans="11:11" x14ac:dyDescent="0.25">
      <c r="K3627" s="146"/>
    </row>
    <row r="3628" spans="11:11" x14ac:dyDescent="0.25">
      <c r="K3628" s="146"/>
    </row>
    <row r="3629" spans="11:11" x14ac:dyDescent="0.25">
      <c r="K3629" s="146"/>
    </row>
    <row r="3630" spans="11:11" x14ac:dyDescent="0.25">
      <c r="K3630" s="146"/>
    </row>
    <row r="3631" spans="11:11" x14ac:dyDescent="0.25">
      <c r="K3631" s="146"/>
    </row>
    <row r="3632" spans="11:11" x14ac:dyDescent="0.25">
      <c r="K3632" s="146"/>
    </row>
    <row r="3633" spans="11:11" x14ac:dyDescent="0.25">
      <c r="K3633" s="146"/>
    </row>
    <row r="3634" spans="11:11" x14ac:dyDescent="0.25">
      <c r="K3634" s="146"/>
    </row>
    <row r="3635" spans="11:11" x14ac:dyDescent="0.25">
      <c r="K3635" s="146"/>
    </row>
    <row r="3636" spans="11:11" x14ac:dyDescent="0.25">
      <c r="K3636" s="146"/>
    </row>
    <row r="3637" spans="11:11" x14ac:dyDescent="0.25">
      <c r="K3637" s="146"/>
    </row>
    <row r="3638" spans="11:11" x14ac:dyDescent="0.25">
      <c r="K3638" s="146"/>
    </row>
    <row r="3639" spans="11:11" x14ac:dyDescent="0.25">
      <c r="K3639" s="146"/>
    </row>
    <row r="3640" spans="11:11" x14ac:dyDescent="0.25">
      <c r="K3640" s="146"/>
    </row>
    <row r="3641" spans="11:11" x14ac:dyDescent="0.25">
      <c r="K3641" s="146"/>
    </row>
    <row r="3642" spans="11:11" x14ac:dyDescent="0.25">
      <c r="K3642" s="146"/>
    </row>
    <row r="3643" spans="11:11" x14ac:dyDescent="0.25">
      <c r="K3643" s="146"/>
    </row>
    <row r="3644" spans="11:11" x14ac:dyDescent="0.25">
      <c r="K3644" s="146"/>
    </row>
    <row r="3645" spans="11:11" x14ac:dyDescent="0.25">
      <c r="K3645" s="146"/>
    </row>
    <row r="3646" spans="11:11" x14ac:dyDescent="0.25">
      <c r="K3646" s="146"/>
    </row>
    <row r="3647" spans="11:11" x14ac:dyDescent="0.25">
      <c r="K3647" s="146"/>
    </row>
    <row r="3648" spans="11:11" x14ac:dyDescent="0.25">
      <c r="K3648" s="146"/>
    </row>
    <row r="3649" spans="11:11" x14ac:dyDescent="0.25">
      <c r="K3649" s="146"/>
    </row>
    <row r="3650" spans="11:11" x14ac:dyDescent="0.25">
      <c r="K3650" s="146"/>
    </row>
    <row r="3651" spans="11:11" x14ac:dyDescent="0.25">
      <c r="K3651" s="146"/>
    </row>
    <row r="3652" spans="11:11" x14ac:dyDescent="0.25">
      <c r="K3652" s="146"/>
    </row>
    <row r="3653" spans="11:11" x14ac:dyDescent="0.25">
      <c r="K3653" s="146"/>
    </row>
    <row r="3654" spans="11:11" x14ac:dyDescent="0.25">
      <c r="K3654" s="146"/>
    </row>
    <row r="3655" spans="11:11" x14ac:dyDescent="0.25">
      <c r="K3655" s="146"/>
    </row>
    <row r="3656" spans="11:11" x14ac:dyDescent="0.25">
      <c r="K3656" s="146"/>
    </row>
    <row r="3657" spans="11:11" x14ac:dyDescent="0.25">
      <c r="K3657" s="146"/>
    </row>
    <row r="3658" spans="11:11" x14ac:dyDescent="0.25">
      <c r="K3658" s="146"/>
    </row>
    <row r="3659" spans="11:11" x14ac:dyDescent="0.25">
      <c r="K3659" s="146"/>
    </row>
    <row r="3660" spans="11:11" x14ac:dyDescent="0.25">
      <c r="K3660" s="146"/>
    </row>
    <row r="3661" spans="11:11" x14ac:dyDescent="0.25">
      <c r="K3661" s="146"/>
    </row>
    <row r="3662" spans="11:11" x14ac:dyDescent="0.25">
      <c r="K3662" s="146"/>
    </row>
    <row r="3663" spans="11:11" x14ac:dyDescent="0.25">
      <c r="K3663" s="146"/>
    </row>
    <row r="3664" spans="11:11" x14ac:dyDescent="0.25">
      <c r="K3664" s="146"/>
    </row>
    <row r="3665" spans="11:11" x14ac:dyDescent="0.25">
      <c r="K3665" s="146"/>
    </row>
    <row r="3666" spans="11:11" x14ac:dyDescent="0.25">
      <c r="K3666" s="146"/>
    </row>
    <row r="3667" spans="11:11" x14ac:dyDescent="0.25">
      <c r="K3667" s="146"/>
    </row>
    <row r="3668" spans="11:11" x14ac:dyDescent="0.25">
      <c r="K3668" s="146"/>
    </row>
    <row r="3669" spans="11:11" x14ac:dyDescent="0.25">
      <c r="K3669" s="146"/>
    </row>
    <row r="3670" spans="11:11" x14ac:dyDescent="0.25">
      <c r="K3670" s="146"/>
    </row>
    <row r="3671" spans="11:11" x14ac:dyDescent="0.25">
      <c r="K3671" s="146"/>
    </row>
    <row r="3672" spans="11:11" x14ac:dyDescent="0.25">
      <c r="K3672" s="146"/>
    </row>
    <row r="3673" spans="11:11" x14ac:dyDescent="0.25">
      <c r="K3673" s="146"/>
    </row>
    <row r="3674" spans="11:11" x14ac:dyDescent="0.25">
      <c r="K3674" s="146"/>
    </row>
    <row r="3675" spans="11:11" x14ac:dyDescent="0.25">
      <c r="K3675" s="146"/>
    </row>
    <row r="3676" spans="11:11" x14ac:dyDescent="0.25">
      <c r="K3676" s="146"/>
    </row>
    <row r="3677" spans="11:11" x14ac:dyDescent="0.25">
      <c r="K3677" s="146"/>
    </row>
    <row r="3678" spans="11:11" x14ac:dyDescent="0.25">
      <c r="K3678" s="146"/>
    </row>
    <row r="3679" spans="11:11" x14ac:dyDescent="0.25">
      <c r="K3679" s="146"/>
    </row>
    <row r="3680" spans="11:11" x14ac:dyDescent="0.25">
      <c r="K3680" s="146"/>
    </row>
    <row r="3681" spans="11:11" x14ac:dyDescent="0.25">
      <c r="K3681" s="146"/>
    </row>
    <row r="3682" spans="11:11" x14ac:dyDescent="0.25">
      <c r="K3682" s="146"/>
    </row>
    <row r="3683" spans="11:11" x14ac:dyDescent="0.25">
      <c r="K3683" s="146"/>
    </row>
    <row r="3684" spans="11:11" x14ac:dyDescent="0.25">
      <c r="K3684" s="146"/>
    </row>
    <row r="3685" spans="11:11" x14ac:dyDescent="0.25">
      <c r="K3685" s="146"/>
    </row>
    <row r="3686" spans="11:11" x14ac:dyDescent="0.25">
      <c r="K3686" s="146"/>
    </row>
    <row r="3687" spans="11:11" x14ac:dyDescent="0.25">
      <c r="K3687" s="146"/>
    </row>
    <row r="3688" spans="11:11" x14ac:dyDescent="0.25">
      <c r="K3688" s="146"/>
    </row>
    <row r="3689" spans="11:11" x14ac:dyDescent="0.25">
      <c r="K3689" s="146"/>
    </row>
    <row r="3690" spans="11:11" x14ac:dyDescent="0.25">
      <c r="K3690" s="146"/>
    </row>
    <row r="3691" spans="11:11" x14ac:dyDescent="0.25">
      <c r="K3691" s="146"/>
    </row>
    <row r="3692" spans="11:11" x14ac:dyDescent="0.25">
      <c r="K3692" s="146"/>
    </row>
    <row r="3693" spans="11:11" x14ac:dyDescent="0.25">
      <c r="K3693" s="146"/>
    </row>
    <row r="3694" spans="11:11" x14ac:dyDescent="0.25">
      <c r="K3694" s="146"/>
    </row>
    <row r="3695" spans="11:11" x14ac:dyDescent="0.25">
      <c r="K3695" s="146"/>
    </row>
    <row r="3696" spans="11:11" x14ac:dyDescent="0.25">
      <c r="K3696" s="146"/>
    </row>
    <row r="3697" spans="11:11" x14ac:dyDescent="0.25">
      <c r="K3697" s="146"/>
    </row>
    <row r="3698" spans="11:11" x14ac:dyDescent="0.25">
      <c r="K3698" s="146"/>
    </row>
    <row r="3699" spans="11:11" x14ac:dyDescent="0.25">
      <c r="K3699" s="146"/>
    </row>
    <row r="3700" spans="11:11" x14ac:dyDescent="0.25">
      <c r="K3700" s="146"/>
    </row>
    <row r="3701" spans="11:11" x14ac:dyDescent="0.25">
      <c r="K3701" s="146"/>
    </row>
    <row r="3702" spans="11:11" x14ac:dyDescent="0.25">
      <c r="K3702" s="146"/>
    </row>
    <row r="3703" spans="11:11" x14ac:dyDescent="0.25">
      <c r="K3703" s="146"/>
    </row>
    <row r="3704" spans="11:11" x14ac:dyDescent="0.25">
      <c r="K3704" s="146"/>
    </row>
    <row r="3705" spans="11:11" x14ac:dyDescent="0.25">
      <c r="K3705" s="146"/>
    </row>
    <row r="3706" spans="11:11" x14ac:dyDescent="0.25">
      <c r="K3706" s="146"/>
    </row>
    <row r="3707" spans="11:11" x14ac:dyDescent="0.25">
      <c r="K3707" s="146"/>
    </row>
    <row r="3708" spans="11:11" x14ac:dyDescent="0.25">
      <c r="K3708" s="146"/>
    </row>
    <row r="3709" spans="11:11" x14ac:dyDescent="0.25">
      <c r="K3709" s="146"/>
    </row>
    <row r="3710" spans="11:11" x14ac:dyDescent="0.25">
      <c r="K3710" s="146"/>
    </row>
    <row r="3711" spans="11:11" x14ac:dyDescent="0.25">
      <c r="K3711" s="146"/>
    </row>
    <row r="3712" spans="11:11" x14ac:dyDescent="0.25">
      <c r="K3712" s="146"/>
    </row>
    <row r="3713" spans="11:11" x14ac:dyDescent="0.25">
      <c r="K3713" s="146"/>
    </row>
    <row r="3714" spans="11:11" x14ac:dyDescent="0.25">
      <c r="K3714" s="146"/>
    </row>
    <row r="3715" spans="11:11" x14ac:dyDescent="0.25">
      <c r="K3715" s="146"/>
    </row>
    <row r="3716" spans="11:11" x14ac:dyDescent="0.25">
      <c r="K3716" s="146"/>
    </row>
    <row r="3717" spans="11:11" x14ac:dyDescent="0.25">
      <c r="K3717" s="146"/>
    </row>
    <row r="3718" spans="11:11" x14ac:dyDescent="0.25">
      <c r="K3718" s="146"/>
    </row>
    <row r="3719" spans="11:11" x14ac:dyDescent="0.25">
      <c r="K3719" s="146"/>
    </row>
    <row r="3720" spans="11:11" x14ac:dyDescent="0.25">
      <c r="K3720" s="146"/>
    </row>
    <row r="3721" spans="11:11" x14ac:dyDescent="0.25">
      <c r="K3721" s="146"/>
    </row>
    <row r="3722" spans="11:11" x14ac:dyDescent="0.25">
      <c r="K3722" s="146"/>
    </row>
    <row r="3723" spans="11:11" x14ac:dyDescent="0.25">
      <c r="K3723" s="146"/>
    </row>
    <row r="3724" spans="11:11" x14ac:dyDescent="0.25">
      <c r="K3724" s="146"/>
    </row>
    <row r="3725" spans="11:11" x14ac:dyDescent="0.25">
      <c r="K3725" s="146"/>
    </row>
    <row r="3726" spans="11:11" x14ac:dyDescent="0.25">
      <c r="K3726" s="146"/>
    </row>
    <row r="3727" spans="11:11" x14ac:dyDescent="0.25">
      <c r="K3727" s="146"/>
    </row>
    <row r="3728" spans="11:11" x14ac:dyDescent="0.25">
      <c r="K3728" s="146"/>
    </row>
    <row r="3729" spans="11:11" x14ac:dyDescent="0.25">
      <c r="K3729" s="146"/>
    </row>
    <row r="3730" spans="11:11" x14ac:dyDescent="0.25">
      <c r="K3730" s="146"/>
    </row>
    <row r="3731" spans="11:11" x14ac:dyDescent="0.25">
      <c r="K3731" s="146"/>
    </row>
    <row r="3732" spans="11:11" x14ac:dyDescent="0.25">
      <c r="K3732" s="146"/>
    </row>
    <row r="3733" spans="11:11" x14ac:dyDescent="0.25">
      <c r="K3733" s="146"/>
    </row>
    <row r="3734" spans="11:11" x14ac:dyDescent="0.25">
      <c r="K3734" s="146"/>
    </row>
    <row r="3735" spans="11:11" x14ac:dyDescent="0.25">
      <c r="K3735" s="146"/>
    </row>
    <row r="3736" spans="11:11" x14ac:dyDescent="0.25">
      <c r="K3736" s="146"/>
    </row>
    <row r="3737" spans="11:11" x14ac:dyDescent="0.25">
      <c r="K3737" s="146"/>
    </row>
    <row r="3738" spans="11:11" x14ac:dyDescent="0.25">
      <c r="K3738" s="146"/>
    </row>
    <row r="3739" spans="11:11" x14ac:dyDescent="0.25">
      <c r="K3739" s="146"/>
    </row>
    <row r="3740" spans="11:11" x14ac:dyDescent="0.25">
      <c r="K3740" s="146"/>
    </row>
    <row r="3741" spans="11:11" x14ac:dyDescent="0.25">
      <c r="K3741" s="146"/>
    </row>
    <row r="3742" spans="11:11" x14ac:dyDescent="0.25">
      <c r="K3742" s="146"/>
    </row>
    <row r="3743" spans="11:11" x14ac:dyDescent="0.25">
      <c r="K3743" s="146"/>
    </row>
    <row r="3744" spans="11:11" x14ac:dyDescent="0.25">
      <c r="K3744" s="146"/>
    </row>
    <row r="3745" spans="11:11" x14ac:dyDescent="0.25">
      <c r="K3745" s="146"/>
    </row>
    <row r="3746" spans="11:11" x14ac:dyDescent="0.25">
      <c r="K3746" s="146"/>
    </row>
    <row r="3747" spans="11:11" x14ac:dyDescent="0.25">
      <c r="K3747" s="146"/>
    </row>
    <row r="3748" spans="11:11" x14ac:dyDescent="0.25">
      <c r="K3748" s="146"/>
    </row>
    <row r="3749" spans="11:11" x14ac:dyDescent="0.25">
      <c r="K3749" s="146"/>
    </row>
    <row r="3750" spans="11:11" x14ac:dyDescent="0.25">
      <c r="K3750" s="146"/>
    </row>
    <row r="3751" spans="11:11" x14ac:dyDescent="0.25">
      <c r="K3751" s="146"/>
    </row>
    <row r="3752" spans="11:11" x14ac:dyDescent="0.25">
      <c r="K3752" s="146"/>
    </row>
    <row r="3753" spans="11:11" x14ac:dyDescent="0.25">
      <c r="K3753" s="146"/>
    </row>
    <row r="3754" spans="11:11" x14ac:dyDescent="0.25">
      <c r="K3754" s="146"/>
    </row>
    <row r="3755" spans="11:11" x14ac:dyDescent="0.25">
      <c r="K3755" s="146"/>
    </row>
    <row r="3756" spans="11:11" x14ac:dyDescent="0.25">
      <c r="K3756" s="146"/>
    </row>
    <row r="3757" spans="11:11" x14ac:dyDescent="0.25">
      <c r="K3757" s="146"/>
    </row>
    <row r="3758" spans="11:11" x14ac:dyDescent="0.25">
      <c r="K3758" s="146"/>
    </row>
    <row r="3759" spans="11:11" x14ac:dyDescent="0.25">
      <c r="K3759" s="146"/>
    </row>
    <row r="3760" spans="11:11" x14ac:dyDescent="0.25">
      <c r="K3760" s="146"/>
    </row>
    <row r="3761" spans="11:11" x14ac:dyDescent="0.25">
      <c r="K3761" s="146"/>
    </row>
    <row r="3762" spans="11:11" x14ac:dyDescent="0.25">
      <c r="K3762" s="146"/>
    </row>
    <row r="3763" spans="11:11" x14ac:dyDescent="0.25">
      <c r="K3763" s="146"/>
    </row>
    <row r="3764" spans="11:11" x14ac:dyDescent="0.25">
      <c r="K3764" s="146"/>
    </row>
    <row r="3765" spans="11:11" x14ac:dyDescent="0.25">
      <c r="K3765" s="146"/>
    </row>
    <row r="3766" spans="11:11" x14ac:dyDescent="0.25">
      <c r="K3766" s="146"/>
    </row>
    <row r="3767" spans="11:11" x14ac:dyDescent="0.25">
      <c r="K3767" s="146"/>
    </row>
    <row r="3768" spans="11:11" x14ac:dyDescent="0.25">
      <c r="K3768" s="146"/>
    </row>
    <row r="3769" spans="11:11" x14ac:dyDescent="0.25">
      <c r="K3769" s="146"/>
    </row>
    <row r="3770" spans="11:11" x14ac:dyDescent="0.25">
      <c r="K3770" s="146"/>
    </row>
    <row r="3771" spans="11:11" x14ac:dyDescent="0.25">
      <c r="K3771" s="146"/>
    </row>
    <row r="3772" spans="11:11" x14ac:dyDescent="0.25">
      <c r="K3772" s="146"/>
    </row>
    <row r="3773" spans="11:11" x14ac:dyDescent="0.25">
      <c r="K3773" s="146"/>
    </row>
    <row r="3774" spans="11:11" x14ac:dyDescent="0.25">
      <c r="K3774" s="146"/>
    </row>
    <row r="3775" spans="11:11" x14ac:dyDescent="0.25">
      <c r="K3775" s="146"/>
    </row>
    <row r="3776" spans="11:11" x14ac:dyDescent="0.25">
      <c r="K3776" s="146"/>
    </row>
    <row r="3777" spans="11:11" x14ac:dyDescent="0.25">
      <c r="K3777" s="146"/>
    </row>
    <row r="3778" spans="11:11" x14ac:dyDescent="0.25">
      <c r="K3778" s="146"/>
    </row>
    <row r="3779" spans="11:11" x14ac:dyDescent="0.25">
      <c r="K3779" s="146"/>
    </row>
    <row r="3780" spans="11:11" x14ac:dyDescent="0.25">
      <c r="K3780" s="146"/>
    </row>
    <row r="3781" spans="11:11" x14ac:dyDescent="0.25">
      <c r="K3781" s="146"/>
    </row>
    <row r="3782" spans="11:11" x14ac:dyDescent="0.25">
      <c r="K3782" s="146"/>
    </row>
    <row r="3783" spans="11:11" x14ac:dyDescent="0.25">
      <c r="K3783" s="146"/>
    </row>
    <row r="3784" spans="11:11" x14ac:dyDescent="0.25">
      <c r="K3784" s="146"/>
    </row>
    <row r="3785" spans="11:11" x14ac:dyDescent="0.25">
      <c r="K3785" s="146"/>
    </row>
    <row r="3786" spans="11:11" x14ac:dyDescent="0.25">
      <c r="K3786" s="146"/>
    </row>
    <row r="3787" spans="11:11" x14ac:dyDescent="0.25">
      <c r="K3787" s="146"/>
    </row>
    <row r="3788" spans="11:11" x14ac:dyDescent="0.25">
      <c r="K3788" s="146"/>
    </row>
    <row r="3789" spans="11:11" x14ac:dyDescent="0.25">
      <c r="K3789" s="146"/>
    </row>
    <row r="3790" spans="11:11" x14ac:dyDescent="0.25">
      <c r="K3790" s="146"/>
    </row>
    <row r="3791" spans="11:11" x14ac:dyDescent="0.25">
      <c r="K3791" s="146"/>
    </row>
    <row r="3792" spans="11:11" x14ac:dyDescent="0.25">
      <c r="K3792" s="146"/>
    </row>
    <row r="3793" spans="11:11" x14ac:dyDescent="0.25">
      <c r="K3793" s="146"/>
    </row>
    <row r="3794" spans="11:11" x14ac:dyDescent="0.25">
      <c r="K3794" s="146"/>
    </row>
    <row r="3795" spans="11:11" x14ac:dyDescent="0.25">
      <c r="K3795" s="146"/>
    </row>
    <row r="3796" spans="11:11" x14ac:dyDescent="0.25">
      <c r="K3796" s="146"/>
    </row>
    <row r="3797" spans="11:11" x14ac:dyDescent="0.25">
      <c r="K3797" s="146"/>
    </row>
    <row r="3798" spans="11:11" x14ac:dyDescent="0.25">
      <c r="K3798" s="146"/>
    </row>
    <row r="3799" spans="11:11" x14ac:dyDescent="0.25">
      <c r="K3799" s="146"/>
    </row>
    <row r="3800" spans="11:11" x14ac:dyDescent="0.25">
      <c r="K3800" s="146"/>
    </row>
    <row r="3801" spans="11:11" x14ac:dyDescent="0.25">
      <c r="K3801" s="146"/>
    </row>
    <row r="3802" spans="11:11" x14ac:dyDescent="0.25">
      <c r="K3802" s="146"/>
    </row>
    <row r="3803" spans="11:11" x14ac:dyDescent="0.25">
      <c r="K3803" s="146"/>
    </row>
    <row r="3804" spans="11:11" x14ac:dyDescent="0.25">
      <c r="K3804" s="146"/>
    </row>
    <row r="3805" spans="11:11" x14ac:dyDescent="0.25">
      <c r="K3805" s="146"/>
    </row>
    <row r="3806" spans="11:11" x14ac:dyDescent="0.25">
      <c r="K3806" s="146"/>
    </row>
    <row r="3807" spans="11:11" x14ac:dyDescent="0.25">
      <c r="K3807" s="146"/>
    </row>
    <row r="3808" spans="11:11" x14ac:dyDescent="0.25">
      <c r="K3808" s="146"/>
    </row>
    <row r="3809" spans="11:11" x14ac:dyDescent="0.25">
      <c r="K3809" s="146"/>
    </row>
    <row r="3810" spans="11:11" x14ac:dyDescent="0.25">
      <c r="K3810" s="146"/>
    </row>
    <row r="3811" spans="11:11" x14ac:dyDescent="0.25">
      <c r="K3811" s="146"/>
    </row>
    <row r="3812" spans="11:11" x14ac:dyDescent="0.25">
      <c r="K3812" s="146"/>
    </row>
    <row r="3813" spans="11:11" x14ac:dyDescent="0.25">
      <c r="K3813" s="146"/>
    </row>
    <row r="3814" spans="11:11" x14ac:dyDescent="0.25">
      <c r="K3814" s="146"/>
    </row>
    <row r="3815" spans="11:11" x14ac:dyDescent="0.25">
      <c r="K3815" s="146"/>
    </row>
    <row r="3816" spans="11:11" x14ac:dyDescent="0.25">
      <c r="K3816" s="146"/>
    </row>
    <row r="3817" spans="11:11" x14ac:dyDescent="0.25">
      <c r="K3817" s="146"/>
    </row>
    <row r="3818" spans="11:11" x14ac:dyDescent="0.25">
      <c r="K3818" s="146"/>
    </row>
    <row r="3819" spans="11:11" x14ac:dyDescent="0.25">
      <c r="K3819" s="146"/>
    </row>
    <row r="3820" spans="11:11" x14ac:dyDescent="0.25">
      <c r="K3820" s="146"/>
    </row>
    <row r="3821" spans="11:11" x14ac:dyDescent="0.25">
      <c r="K3821" s="146"/>
    </row>
    <row r="3822" spans="11:11" x14ac:dyDescent="0.25">
      <c r="K3822" s="146"/>
    </row>
    <row r="3823" spans="11:11" x14ac:dyDescent="0.25">
      <c r="K3823" s="146"/>
    </row>
    <row r="3824" spans="11:11" x14ac:dyDescent="0.25">
      <c r="K3824" s="146"/>
    </row>
    <row r="3825" spans="11:11" x14ac:dyDescent="0.25">
      <c r="K3825" s="146"/>
    </row>
    <row r="3826" spans="11:11" x14ac:dyDescent="0.25">
      <c r="K3826" s="146"/>
    </row>
    <row r="3827" spans="11:11" x14ac:dyDescent="0.25">
      <c r="K3827" s="146"/>
    </row>
    <row r="3828" spans="11:11" x14ac:dyDescent="0.25">
      <c r="K3828" s="146"/>
    </row>
    <row r="3829" spans="11:11" x14ac:dyDescent="0.25">
      <c r="K3829" s="146"/>
    </row>
    <row r="3830" spans="11:11" x14ac:dyDescent="0.25">
      <c r="K3830" s="146"/>
    </row>
    <row r="3831" spans="11:11" x14ac:dyDescent="0.25">
      <c r="K3831" s="146"/>
    </row>
    <row r="3832" spans="11:11" x14ac:dyDescent="0.25">
      <c r="K3832" s="146"/>
    </row>
    <row r="3833" spans="11:11" x14ac:dyDescent="0.25">
      <c r="K3833" s="146"/>
    </row>
    <row r="3834" spans="11:11" x14ac:dyDescent="0.25">
      <c r="K3834" s="146"/>
    </row>
    <row r="3835" spans="11:11" x14ac:dyDescent="0.25">
      <c r="K3835" s="146"/>
    </row>
    <row r="3836" spans="11:11" x14ac:dyDescent="0.25">
      <c r="K3836" s="146"/>
    </row>
    <row r="3837" spans="11:11" x14ac:dyDescent="0.25">
      <c r="K3837" s="146"/>
    </row>
    <row r="3838" spans="11:11" x14ac:dyDescent="0.25">
      <c r="K3838" s="146"/>
    </row>
    <row r="3839" spans="11:11" x14ac:dyDescent="0.25">
      <c r="K3839" s="146"/>
    </row>
    <row r="3840" spans="11:11" x14ac:dyDescent="0.25">
      <c r="K3840" s="146"/>
    </row>
    <row r="3841" spans="11:11" x14ac:dyDescent="0.25">
      <c r="K3841" s="146"/>
    </row>
    <row r="3842" spans="11:11" x14ac:dyDescent="0.25">
      <c r="K3842" s="146"/>
    </row>
    <row r="3843" spans="11:11" x14ac:dyDescent="0.25">
      <c r="K3843" s="146"/>
    </row>
    <row r="3844" spans="11:11" x14ac:dyDescent="0.25">
      <c r="K3844" s="146"/>
    </row>
    <row r="3845" spans="11:11" x14ac:dyDescent="0.25">
      <c r="K3845" s="146"/>
    </row>
    <row r="3846" spans="11:11" x14ac:dyDescent="0.25">
      <c r="K3846" s="146"/>
    </row>
    <row r="3847" spans="11:11" x14ac:dyDescent="0.25">
      <c r="K3847" s="146"/>
    </row>
    <row r="3848" spans="11:11" x14ac:dyDescent="0.25">
      <c r="K3848" s="146"/>
    </row>
    <row r="3849" spans="11:11" x14ac:dyDescent="0.25">
      <c r="K3849" s="146"/>
    </row>
    <row r="3850" spans="11:11" x14ac:dyDescent="0.25">
      <c r="K3850" s="146"/>
    </row>
    <row r="3851" spans="11:11" x14ac:dyDescent="0.25">
      <c r="K3851" s="146"/>
    </row>
    <row r="3852" spans="11:11" x14ac:dyDescent="0.25">
      <c r="K3852" s="146"/>
    </row>
    <row r="3853" spans="11:11" x14ac:dyDescent="0.25">
      <c r="K3853" s="146"/>
    </row>
    <row r="3854" spans="11:11" x14ac:dyDescent="0.25">
      <c r="K3854" s="146"/>
    </row>
    <row r="3855" spans="11:11" x14ac:dyDescent="0.25">
      <c r="K3855" s="146"/>
    </row>
    <row r="3856" spans="11:11" x14ac:dyDescent="0.25">
      <c r="K3856" s="146"/>
    </row>
    <row r="3857" spans="11:11" x14ac:dyDescent="0.25">
      <c r="K3857" s="146"/>
    </row>
    <row r="3858" spans="11:11" x14ac:dyDescent="0.25">
      <c r="K3858" s="146"/>
    </row>
    <row r="3859" spans="11:11" x14ac:dyDescent="0.25">
      <c r="K3859" s="146"/>
    </row>
    <row r="3860" spans="11:11" x14ac:dyDescent="0.25">
      <c r="K3860" s="146"/>
    </row>
    <row r="3861" spans="11:11" x14ac:dyDescent="0.25">
      <c r="K3861" s="146"/>
    </row>
    <row r="3862" spans="11:11" x14ac:dyDescent="0.25">
      <c r="K3862" s="146"/>
    </row>
    <row r="3863" spans="11:11" x14ac:dyDescent="0.25">
      <c r="K3863" s="146"/>
    </row>
    <row r="3864" spans="11:11" x14ac:dyDescent="0.25">
      <c r="K3864" s="146"/>
    </row>
    <row r="3865" spans="11:11" x14ac:dyDescent="0.25">
      <c r="K3865" s="146"/>
    </row>
    <row r="3866" spans="11:11" x14ac:dyDescent="0.25">
      <c r="K3866" s="146"/>
    </row>
    <row r="3867" spans="11:11" x14ac:dyDescent="0.25">
      <c r="K3867" s="146"/>
    </row>
    <row r="3868" spans="11:11" x14ac:dyDescent="0.25">
      <c r="K3868" s="146"/>
    </row>
    <row r="3869" spans="11:11" x14ac:dyDescent="0.25">
      <c r="K3869" s="146"/>
    </row>
    <row r="3870" spans="11:11" x14ac:dyDescent="0.25">
      <c r="K3870" s="146"/>
    </row>
    <row r="3871" spans="11:11" x14ac:dyDescent="0.25">
      <c r="K3871" s="146"/>
    </row>
    <row r="3872" spans="11:11" x14ac:dyDescent="0.25">
      <c r="K3872" s="146"/>
    </row>
    <row r="3873" spans="11:11" x14ac:dyDescent="0.25">
      <c r="K3873" s="146"/>
    </row>
    <row r="3874" spans="11:11" x14ac:dyDescent="0.25">
      <c r="K3874" s="146"/>
    </row>
    <row r="3875" spans="11:11" x14ac:dyDescent="0.25">
      <c r="K3875" s="146"/>
    </row>
    <row r="3876" spans="11:11" x14ac:dyDescent="0.25">
      <c r="K3876" s="146"/>
    </row>
    <row r="3877" spans="11:11" x14ac:dyDescent="0.25">
      <c r="K3877" s="146"/>
    </row>
    <row r="3878" spans="11:11" x14ac:dyDescent="0.25">
      <c r="K3878" s="146"/>
    </row>
    <row r="3879" spans="11:11" x14ac:dyDescent="0.25">
      <c r="K3879" s="146"/>
    </row>
    <row r="3880" spans="11:11" x14ac:dyDescent="0.25">
      <c r="K3880" s="146"/>
    </row>
    <row r="3881" spans="11:11" x14ac:dyDescent="0.25">
      <c r="K3881" s="146"/>
    </row>
    <row r="3882" spans="11:11" x14ac:dyDescent="0.25">
      <c r="K3882" s="146"/>
    </row>
    <row r="3883" spans="11:11" x14ac:dyDescent="0.25">
      <c r="K3883" s="146"/>
    </row>
    <row r="3884" spans="11:11" x14ac:dyDescent="0.25">
      <c r="K3884" s="146"/>
    </row>
    <row r="3885" spans="11:11" x14ac:dyDescent="0.25">
      <c r="K3885" s="146"/>
    </row>
    <row r="3886" spans="11:11" x14ac:dyDescent="0.25">
      <c r="K3886" s="146"/>
    </row>
    <row r="3887" spans="11:11" x14ac:dyDescent="0.25">
      <c r="K3887" s="146"/>
    </row>
    <row r="3888" spans="11:11" x14ac:dyDescent="0.25">
      <c r="K3888" s="146"/>
    </row>
    <row r="3889" spans="11:11" x14ac:dyDescent="0.25">
      <c r="K3889" s="146"/>
    </row>
    <row r="3890" spans="11:11" x14ac:dyDescent="0.25">
      <c r="K3890" s="146"/>
    </row>
    <row r="3891" spans="11:11" x14ac:dyDescent="0.25">
      <c r="K3891" s="146"/>
    </row>
    <row r="3892" spans="11:11" x14ac:dyDescent="0.25">
      <c r="K3892" s="146"/>
    </row>
    <row r="3893" spans="11:11" x14ac:dyDescent="0.25">
      <c r="K3893" s="146"/>
    </row>
    <row r="3894" spans="11:11" x14ac:dyDescent="0.25">
      <c r="K3894" s="146"/>
    </row>
    <row r="3895" spans="11:11" x14ac:dyDescent="0.25">
      <c r="K3895" s="146"/>
    </row>
    <row r="3896" spans="11:11" x14ac:dyDescent="0.25">
      <c r="K3896" s="146"/>
    </row>
    <row r="3897" spans="11:11" x14ac:dyDescent="0.25">
      <c r="K3897" s="146"/>
    </row>
    <row r="3898" spans="11:11" x14ac:dyDescent="0.25">
      <c r="K3898" s="146"/>
    </row>
    <row r="3899" spans="11:11" x14ac:dyDescent="0.25">
      <c r="K3899" s="146"/>
    </row>
    <row r="3900" spans="11:11" x14ac:dyDescent="0.25">
      <c r="K3900" s="146"/>
    </row>
    <row r="3901" spans="11:11" x14ac:dyDescent="0.25">
      <c r="K3901" s="146"/>
    </row>
    <row r="3902" spans="11:11" x14ac:dyDescent="0.25">
      <c r="K3902" s="146"/>
    </row>
    <row r="3903" spans="11:11" x14ac:dyDescent="0.25">
      <c r="K3903" s="146"/>
    </row>
    <row r="3904" spans="11:11" x14ac:dyDescent="0.25">
      <c r="K3904" s="146"/>
    </row>
    <row r="3905" spans="11:11" x14ac:dyDescent="0.25">
      <c r="K3905" s="146"/>
    </row>
    <row r="3906" spans="11:11" x14ac:dyDescent="0.25">
      <c r="K3906" s="146"/>
    </row>
    <row r="3907" spans="11:11" x14ac:dyDescent="0.25">
      <c r="K3907" s="146"/>
    </row>
    <row r="3908" spans="11:11" x14ac:dyDescent="0.25">
      <c r="K3908" s="146"/>
    </row>
    <row r="3909" spans="11:11" x14ac:dyDescent="0.25">
      <c r="K3909" s="146"/>
    </row>
    <row r="3910" spans="11:11" x14ac:dyDescent="0.25">
      <c r="K3910" s="146"/>
    </row>
    <row r="3911" spans="11:11" x14ac:dyDescent="0.25">
      <c r="K3911" s="146"/>
    </row>
    <row r="3912" spans="11:11" x14ac:dyDescent="0.25">
      <c r="K3912" s="146"/>
    </row>
    <row r="3913" spans="11:11" x14ac:dyDescent="0.25">
      <c r="K3913" s="146"/>
    </row>
    <row r="3914" spans="11:11" x14ac:dyDescent="0.25">
      <c r="K3914" s="146"/>
    </row>
    <row r="3915" spans="11:11" x14ac:dyDescent="0.25">
      <c r="K3915" s="146"/>
    </row>
    <row r="3916" spans="11:11" x14ac:dyDescent="0.25">
      <c r="K3916" s="146"/>
    </row>
    <row r="3917" spans="11:11" x14ac:dyDescent="0.25">
      <c r="K3917" s="146"/>
    </row>
    <row r="3918" spans="11:11" x14ac:dyDescent="0.25">
      <c r="K3918" s="146"/>
    </row>
    <row r="3919" spans="11:11" x14ac:dyDescent="0.25">
      <c r="K3919" s="146"/>
    </row>
    <row r="3920" spans="11:11" x14ac:dyDescent="0.25">
      <c r="K3920" s="146"/>
    </row>
    <row r="3921" spans="11:11" x14ac:dyDescent="0.25">
      <c r="K3921" s="146"/>
    </row>
    <row r="3922" spans="11:11" x14ac:dyDescent="0.25">
      <c r="K3922" s="146"/>
    </row>
    <row r="3923" spans="11:11" x14ac:dyDescent="0.25">
      <c r="K3923" s="146"/>
    </row>
    <row r="3924" spans="11:11" x14ac:dyDescent="0.25">
      <c r="K3924" s="146"/>
    </row>
    <row r="3925" spans="11:11" x14ac:dyDescent="0.25">
      <c r="K3925" s="146"/>
    </row>
    <row r="3926" spans="11:11" x14ac:dyDescent="0.25">
      <c r="K3926" s="146"/>
    </row>
    <row r="3927" spans="11:11" x14ac:dyDescent="0.25">
      <c r="K3927" s="146"/>
    </row>
    <row r="3928" spans="11:11" x14ac:dyDescent="0.25">
      <c r="K3928" s="146"/>
    </row>
    <row r="3929" spans="11:11" x14ac:dyDescent="0.25">
      <c r="K3929" s="146"/>
    </row>
    <row r="3930" spans="11:11" x14ac:dyDescent="0.25">
      <c r="K3930" s="146"/>
    </row>
    <row r="3931" spans="11:11" x14ac:dyDescent="0.25">
      <c r="K3931" s="146"/>
    </row>
    <row r="3932" spans="11:11" x14ac:dyDescent="0.25">
      <c r="K3932" s="146"/>
    </row>
    <row r="3933" spans="11:11" x14ac:dyDescent="0.25">
      <c r="K3933" s="146"/>
    </row>
    <row r="3934" spans="11:11" x14ac:dyDescent="0.25">
      <c r="K3934" s="146"/>
    </row>
    <row r="3935" spans="11:11" x14ac:dyDescent="0.25">
      <c r="K3935" s="146"/>
    </row>
    <row r="3936" spans="11:11" x14ac:dyDescent="0.25">
      <c r="K3936" s="146"/>
    </row>
    <row r="3937" spans="11:11" x14ac:dyDescent="0.25">
      <c r="K3937" s="146"/>
    </row>
    <row r="3938" spans="11:11" x14ac:dyDescent="0.25">
      <c r="K3938" s="146"/>
    </row>
    <row r="3939" spans="11:11" x14ac:dyDescent="0.25">
      <c r="K3939" s="146"/>
    </row>
    <row r="3940" spans="11:11" x14ac:dyDescent="0.25">
      <c r="K3940" s="146"/>
    </row>
    <row r="3941" spans="11:11" x14ac:dyDescent="0.25">
      <c r="K3941" s="146"/>
    </row>
    <row r="3942" spans="11:11" x14ac:dyDescent="0.25">
      <c r="K3942" s="146"/>
    </row>
    <row r="3943" spans="11:11" x14ac:dyDescent="0.25">
      <c r="K3943" s="146"/>
    </row>
    <row r="3944" spans="11:11" x14ac:dyDescent="0.25">
      <c r="K3944" s="146"/>
    </row>
    <row r="3945" spans="11:11" x14ac:dyDescent="0.25">
      <c r="K3945" s="146"/>
    </row>
    <row r="3946" spans="11:11" x14ac:dyDescent="0.25">
      <c r="K3946" s="146"/>
    </row>
    <row r="3947" spans="11:11" x14ac:dyDescent="0.25">
      <c r="K3947" s="146"/>
    </row>
    <row r="3948" spans="11:11" x14ac:dyDescent="0.25">
      <c r="K3948" s="146"/>
    </row>
    <row r="3949" spans="11:11" x14ac:dyDescent="0.25">
      <c r="K3949" s="146"/>
    </row>
    <row r="3950" spans="11:11" x14ac:dyDescent="0.25">
      <c r="K3950" s="146"/>
    </row>
    <row r="3951" spans="11:11" x14ac:dyDescent="0.25">
      <c r="K3951" s="146"/>
    </row>
    <row r="3952" spans="11:11" x14ac:dyDescent="0.25">
      <c r="K3952" s="146"/>
    </row>
    <row r="3953" spans="11:11" x14ac:dyDescent="0.25">
      <c r="K3953" s="146"/>
    </row>
    <row r="3954" spans="11:11" x14ac:dyDescent="0.25">
      <c r="K3954" s="146"/>
    </row>
    <row r="3955" spans="11:11" x14ac:dyDescent="0.25">
      <c r="K3955" s="146"/>
    </row>
    <row r="3956" spans="11:11" x14ac:dyDescent="0.25">
      <c r="K3956" s="146"/>
    </row>
    <row r="3957" spans="11:11" x14ac:dyDescent="0.25">
      <c r="K3957" s="146"/>
    </row>
    <row r="3958" spans="11:11" x14ac:dyDescent="0.25">
      <c r="K3958" s="146"/>
    </row>
    <row r="3959" spans="11:11" x14ac:dyDescent="0.25">
      <c r="K3959" s="146"/>
    </row>
    <row r="3960" spans="11:11" x14ac:dyDescent="0.25">
      <c r="K3960" s="146"/>
    </row>
    <row r="3961" spans="11:11" x14ac:dyDescent="0.25">
      <c r="K3961" s="146"/>
    </row>
    <row r="3962" spans="11:11" x14ac:dyDescent="0.25">
      <c r="K3962" s="146"/>
    </row>
    <row r="3963" spans="11:11" x14ac:dyDescent="0.25">
      <c r="K3963" s="146"/>
    </row>
    <row r="3964" spans="11:11" x14ac:dyDescent="0.25">
      <c r="K3964" s="146"/>
    </row>
    <row r="3965" spans="11:11" x14ac:dyDescent="0.25">
      <c r="K3965" s="146"/>
    </row>
    <row r="3966" spans="11:11" x14ac:dyDescent="0.25">
      <c r="K3966" s="146"/>
    </row>
    <row r="3967" spans="11:11" x14ac:dyDescent="0.25">
      <c r="K3967" s="146"/>
    </row>
    <row r="3968" spans="11:11" x14ac:dyDescent="0.25">
      <c r="K3968" s="146"/>
    </row>
    <row r="3969" spans="11:11" x14ac:dyDescent="0.25">
      <c r="K3969" s="146"/>
    </row>
    <row r="3970" spans="11:11" x14ac:dyDescent="0.25">
      <c r="K3970" s="146"/>
    </row>
    <row r="3971" spans="11:11" x14ac:dyDescent="0.25">
      <c r="K3971" s="146"/>
    </row>
    <row r="3972" spans="11:11" x14ac:dyDescent="0.25">
      <c r="K3972" s="146"/>
    </row>
    <row r="3973" spans="11:11" x14ac:dyDescent="0.25">
      <c r="K3973" s="146"/>
    </row>
    <row r="3974" spans="11:11" x14ac:dyDescent="0.25">
      <c r="K3974" s="146"/>
    </row>
    <row r="3975" spans="11:11" x14ac:dyDescent="0.25">
      <c r="K3975" s="146"/>
    </row>
    <row r="3976" spans="11:11" x14ac:dyDescent="0.25">
      <c r="K3976" s="146"/>
    </row>
    <row r="3977" spans="11:11" x14ac:dyDescent="0.25">
      <c r="K3977" s="146"/>
    </row>
    <row r="3978" spans="11:11" x14ac:dyDescent="0.25">
      <c r="K3978" s="146"/>
    </row>
    <row r="3979" spans="11:11" x14ac:dyDescent="0.25">
      <c r="K3979" s="146"/>
    </row>
    <row r="3980" spans="11:11" x14ac:dyDescent="0.25">
      <c r="K3980" s="146"/>
    </row>
    <row r="3981" spans="11:11" x14ac:dyDescent="0.25">
      <c r="K3981" s="146"/>
    </row>
    <row r="3982" spans="11:11" x14ac:dyDescent="0.25">
      <c r="K3982" s="146"/>
    </row>
    <row r="3983" spans="11:11" x14ac:dyDescent="0.25">
      <c r="K3983" s="146"/>
    </row>
    <row r="3984" spans="11:11" x14ac:dyDescent="0.25">
      <c r="K3984" s="146"/>
    </row>
    <row r="3985" spans="11:11" x14ac:dyDescent="0.25">
      <c r="K3985" s="146"/>
    </row>
    <row r="3986" spans="11:11" x14ac:dyDescent="0.25">
      <c r="K3986" s="146"/>
    </row>
    <row r="3987" spans="11:11" x14ac:dyDescent="0.25">
      <c r="K3987" s="146"/>
    </row>
    <row r="3988" spans="11:11" x14ac:dyDescent="0.25">
      <c r="K3988" s="146"/>
    </row>
    <row r="3989" spans="11:11" x14ac:dyDescent="0.25">
      <c r="K3989" s="146"/>
    </row>
    <row r="3990" spans="11:11" x14ac:dyDescent="0.25">
      <c r="K3990" s="146"/>
    </row>
    <row r="3991" spans="11:11" x14ac:dyDescent="0.25">
      <c r="K3991" s="146"/>
    </row>
    <row r="3992" spans="11:11" x14ac:dyDescent="0.25">
      <c r="K3992" s="146"/>
    </row>
    <row r="3993" spans="11:11" x14ac:dyDescent="0.25">
      <c r="K3993" s="146"/>
    </row>
    <row r="3994" spans="11:11" x14ac:dyDescent="0.25">
      <c r="K3994" s="146"/>
    </row>
    <row r="3995" spans="11:11" x14ac:dyDescent="0.25">
      <c r="K3995" s="146"/>
    </row>
    <row r="3996" spans="11:11" x14ac:dyDescent="0.25">
      <c r="K3996" s="146"/>
    </row>
    <row r="3997" spans="11:11" x14ac:dyDescent="0.25">
      <c r="K3997" s="146"/>
    </row>
    <row r="3998" spans="11:11" x14ac:dyDescent="0.25">
      <c r="K3998" s="146"/>
    </row>
    <row r="3999" spans="11:11" x14ac:dyDescent="0.25">
      <c r="K3999" s="146"/>
    </row>
    <row r="4000" spans="11:11" x14ac:dyDescent="0.25">
      <c r="K4000" s="146"/>
    </row>
    <row r="4001" spans="11:11" x14ac:dyDescent="0.25">
      <c r="K4001" s="146"/>
    </row>
    <row r="4002" spans="11:11" x14ac:dyDescent="0.25">
      <c r="K4002" s="146"/>
    </row>
    <row r="4003" spans="11:11" x14ac:dyDescent="0.25">
      <c r="K4003" s="146"/>
    </row>
    <row r="4004" spans="11:11" x14ac:dyDescent="0.25">
      <c r="K4004" s="146"/>
    </row>
    <row r="4005" spans="11:11" x14ac:dyDescent="0.25">
      <c r="K4005" s="146"/>
    </row>
    <row r="4006" spans="11:11" x14ac:dyDescent="0.25">
      <c r="K4006" s="146"/>
    </row>
    <row r="4007" spans="11:11" x14ac:dyDescent="0.25">
      <c r="K4007" s="146"/>
    </row>
    <row r="4008" spans="11:11" x14ac:dyDescent="0.25">
      <c r="K4008" s="146"/>
    </row>
    <row r="4009" spans="11:11" x14ac:dyDescent="0.25">
      <c r="K4009" s="146"/>
    </row>
    <row r="4010" spans="11:11" x14ac:dyDescent="0.25">
      <c r="K4010" s="146"/>
    </row>
    <row r="4011" spans="11:11" x14ac:dyDescent="0.25">
      <c r="K4011" s="146"/>
    </row>
    <row r="4012" spans="11:11" x14ac:dyDescent="0.25">
      <c r="K4012" s="146"/>
    </row>
    <row r="4013" spans="11:11" x14ac:dyDescent="0.25">
      <c r="K4013" s="146"/>
    </row>
    <row r="4014" spans="11:11" x14ac:dyDescent="0.25">
      <c r="K4014" s="146"/>
    </row>
    <row r="4015" spans="11:11" x14ac:dyDescent="0.25">
      <c r="K4015" s="146"/>
    </row>
    <row r="4016" spans="11:11" x14ac:dyDescent="0.25">
      <c r="K4016" s="146"/>
    </row>
    <row r="4017" spans="11:11" x14ac:dyDescent="0.25">
      <c r="K4017" s="146"/>
    </row>
    <row r="4018" spans="11:11" x14ac:dyDescent="0.25">
      <c r="K4018" s="146"/>
    </row>
    <row r="4019" spans="11:11" x14ac:dyDescent="0.25">
      <c r="K4019" s="146"/>
    </row>
    <row r="4020" spans="11:11" x14ac:dyDescent="0.25">
      <c r="K4020" s="146"/>
    </row>
    <row r="4021" spans="11:11" x14ac:dyDescent="0.25">
      <c r="K4021" s="146"/>
    </row>
    <row r="4022" spans="11:11" x14ac:dyDescent="0.25">
      <c r="K4022" s="146"/>
    </row>
    <row r="4023" spans="11:11" x14ac:dyDescent="0.25">
      <c r="K4023" s="146"/>
    </row>
    <row r="4024" spans="11:11" x14ac:dyDescent="0.25">
      <c r="K4024" s="146"/>
    </row>
    <row r="4025" spans="11:11" x14ac:dyDescent="0.25">
      <c r="K4025" s="146"/>
    </row>
    <row r="4026" spans="11:11" x14ac:dyDescent="0.25">
      <c r="K4026" s="146"/>
    </row>
    <row r="4027" spans="11:11" x14ac:dyDescent="0.25">
      <c r="K4027" s="146"/>
    </row>
    <row r="4028" spans="11:11" x14ac:dyDescent="0.25">
      <c r="K4028" s="146"/>
    </row>
    <row r="4029" spans="11:11" x14ac:dyDescent="0.25">
      <c r="K4029" s="146"/>
    </row>
    <row r="4030" spans="11:11" x14ac:dyDescent="0.25">
      <c r="K4030" s="146"/>
    </row>
    <row r="4031" spans="11:11" x14ac:dyDescent="0.25">
      <c r="K4031" s="146"/>
    </row>
    <row r="4032" spans="11:11" x14ac:dyDescent="0.25">
      <c r="K4032" s="146"/>
    </row>
    <row r="4033" spans="11:11" x14ac:dyDescent="0.25">
      <c r="K4033" s="146"/>
    </row>
    <row r="4034" spans="11:11" x14ac:dyDescent="0.25">
      <c r="K4034" s="146"/>
    </row>
    <row r="4035" spans="11:11" x14ac:dyDescent="0.25">
      <c r="K4035" s="146"/>
    </row>
    <row r="4036" spans="11:11" x14ac:dyDescent="0.25">
      <c r="K4036" s="146"/>
    </row>
    <row r="4037" spans="11:11" x14ac:dyDescent="0.25">
      <c r="K4037" s="146"/>
    </row>
    <row r="4038" spans="11:11" x14ac:dyDescent="0.25">
      <c r="K4038" s="146"/>
    </row>
    <row r="4039" spans="11:11" x14ac:dyDescent="0.25">
      <c r="K4039" s="146"/>
    </row>
    <row r="4040" spans="11:11" x14ac:dyDescent="0.25">
      <c r="K4040" s="146"/>
    </row>
    <row r="4041" spans="11:11" x14ac:dyDescent="0.25">
      <c r="K4041" s="146"/>
    </row>
    <row r="4042" spans="11:11" x14ac:dyDescent="0.25">
      <c r="K4042" s="146"/>
    </row>
    <row r="4043" spans="11:11" x14ac:dyDescent="0.25">
      <c r="K4043" s="146"/>
    </row>
    <row r="4044" spans="11:11" x14ac:dyDescent="0.25">
      <c r="K4044" s="146"/>
    </row>
    <row r="4045" spans="11:11" x14ac:dyDescent="0.25">
      <c r="K4045" s="146"/>
    </row>
    <row r="4046" spans="11:11" x14ac:dyDescent="0.25">
      <c r="K4046" s="146"/>
    </row>
    <row r="4047" spans="11:11" x14ac:dyDescent="0.25">
      <c r="K4047" s="146"/>
    </row>
    <row r="4048" spans="11:11" x14ac:dyDescent="0.25">
      <c r="K4048" s="146"/>
    </row>
    <row r="4049" spans="11:11" x14ac:dyDescent="0.25">
      <c r="K4049" s="146"/>
    </row>
    <row r="4050" spans="11:11" x14ac:dyDescent="0.25">
      <c r="K4050" s="146"/>
    </row>
    <row r="4051" spans="11:11" x14ac:dyDescent="0.25">
      <c r="K4051" s="146"/>
    </row>
    <row r="4052" spans="11:11" x14ac:dyDescent="0.25">
      <c r="K4052" s="146"/>
    </row>
    <row r="4053" spans="11:11" x14ac:dyDescent="0.25">
      <c r="K4053" s="146"/>
    </row>
    <row r="4054" spans="11:11" x14ac:dyDescent="0.25">
      <c r="K4054" s="146"/>
    </row>
    <row r="4055" spans="11:11" x14ac:dyDescent="0.25">
      <c r="K4055" s="146"/>
    </row>
    <row r="4056" spans="11:11" x14ac:dyDescent="0.25">
      <c r="K4056" s="146"/>
    </row>
    <row r="4057" spans="11:11" x14ac:dyDescent="0.25">
      <c r="K4057" s="146"/>
    </row>
    <row r="4058" spans="11:11" x14ac:dyDescent="0.25">
      <c r="K4058" s="146"/>
    </row>
    <row r="4059" spans="11:11" x14ac:dyDescent="0.25">
      <c r="K4059" s="146"/>
    </row>
    <row r="4060" spans="11:11" x14ac:dyDescent="0.25">
      <c r="K4060" s="146"/>
    </row>
    <row r="4061" spans="11:11" x14ac:dyDescent="0.25">
      <c r="K4061" s="146"/>
    </row>
    <row r="4062" spans="11:11" x14ac:dyDescent="0.25">
      <c r="K4062" s="146"/>
    </row>
    <row r="4063" spans="11:11" x14ac:dyDescent="0.25">
      <c r="K4063" s="146"/>
    </row>
    <row r="4064" spans="11:11" x14ac:dyDescent="0.25">
      <c r="K4064" s="146"/>
    </row>
    <row r="4065" spans="11:11" x14ac:dyDescent="0.25">
      <c r="K4065" s="146"/>
    </row>
    <row r="4066" spans="11:11" x14ac:dyDescent="0.25">
      <c r="K4066" s="146"/>
    </row>
    <row r="4067" spans="11:11" x14ac:dyDescent="0.25">
      <c r="K4067" s="146"/>
    </row>
    <row r="4068" spans="11:11" x14ac:dyDescent="0.25">
      <c r="K4068" s="146"/>
    </row>
    <row r="4069" spans="11:11" x14ac:dyDescent="0.25">
      <c r="K4069" s="146"/>
    </row>
    <row r="4070" spans="11:11" x14ac:dyDescent="0.25">
      <c r="K4070" s="146"/>
    </row>
    <row r="4071" spans="11:11" x14ac:dyDescent="0.25">
      <c r="K4071" s="146"/>
    </row>
    <row r="4072" spans="11:11" x14ac:dyDescent="0.25">
      <c r="K4072" s="146"/>
    </row>
    <row r="4073" spans="11:11" x14ac:dyDescent="0.25">
      <c r="K4073" s="146"/>
    </row>
    <row r="4074" spans="11:11" x14ac:dyDescent="0.25">
      <c r="K4074" s="146"/>
    </row>
    <row r="4075" spans="11:11" x14ac:dyDescent="0.25">
      <c r="K4075" s="146"/>
    </row>
    <row r="4076" spans="11:11" x14ac:dyDescent="0.25">
      <c r="K4076" s="146"/>
    </row>
    <row r="4077" spans="11:11" x14ac:dyDescent="0.25">
      <c r="K4077" s="146"/>
    </row>
    <row r="4078" spans="11:11" x14ac:dyDescent="0.25">
      <c r="K4078" s="146"/>
    </row>
    <row r="4079" spans="11:11" x14ac:dyDescent="0.25">
      <c r="K4079" s="146"/>
    </row>
    <row r="4080" spans="11:11" x14ac:dyDescent="0.25">
      <c r="K4080" s="146"/>
    </row>
    <row r="4081" spans="11:11" x14ac:dyDescent="0.25">
      <c r="K4081" s="146"/>
    </row>
    <row r="4082" spans="11:11" x14ac:dyDescent="0.25">
      <c r="K4082" s="146"/>
    </row>
    <row r="4083" spans="11:11" x14ac:dyDescent="0.25">
      <c r="K4083" s="146"/>
    </row>
    <row r="4084" spans="11:11" x14ac:dyDescent="0.25">
      <c r="K4084" s="146"/>
    </row>
    <row r="4085" spans="11:11" x14ac:dyDescent="0.25">
      <c r="K4085" s="146"/>
    </row>
    <row r="4086" spans="11:11" x14ac:dyDescent="0.25">
      <c r="K4086" s="146"/>
    </row>
    <row r="4087" spans="11:11" x14ac:dyDescent="0.25">
      <c r="K4087" s="146"/>
    </row>
    <row r="4088" spans="11:11" x14ac:dyDescent="0.25">
      <c r="K4088" s="146"/>
    </row>
    <row r="4089" spans="11:11" x14ac:dyDescent="0.25">
      <c r="K4089" s="146"/>
    </row>
    <row r="4090" spans="11:11" x14ac:dyDescent="0.25">
      <c r="K4090" s="146"/>
    </row>
    <row r="4091" spans="11:11" x14ac:dyDescent="0.25">
      <c r="K4091" s="146"/>
    </row>
    <row r="4092" spans="11:11" x14ac:dyDescent="0.25">
      <c r="K4092" s="146"/>
    </row>
    <row r="4093" spans="11:11" x14ac:dyDescent="0.25">
      <c r="K4093" s="146"/>
    </row>
    <row r="4094" spans="11:11" x14ac:dyDescent="0.25">
      <c r="K4094" s="146"/>
    </row>
    <row r="4095" spans="11:11" x14ac:dyDescent="0.25">
      <c r="K4095" s="146"/>
    </row>
    <row r="4096" spans="11:11" x14ac:dyDescent="0.25">
      <c r="K4096" s="146"/>
    </row>
    <row r="4097" spans="11:11" x14ac:dyDescent="0.25">
      <c r="K4097" s="146"/>
    </row>
    <row r="4098" spans="11:11" x14ac:dyDescent="0.25">
      <c r="K4098" s="146"/>
    </row>
    <row r="4099" spans="11:11" x14ac:dyDescent="0.25">
      <c r="K4099" s="146"/>
    </row>
    <row r="4100" spans="11:11" x14ac:dyDescent="0.25">
      <c r="K4100" s="146"/>
    </row>
    <row r="4101" spans="11:11" x14ac:dyDescent="0.25">
      <c r="K4101" s="146"/>
    </row>
    <row r="4102" spans="11:11" x14ac:dyDescent="0.25">
      <c r="K4102" s="146"/>
    </row>
    <row r="4103" spans="11:11" x14ac:dyDescent="0.25">
      <c r="K4103" s="146"/>
    </row>
    <row r="4104" spans="11:11" x14ac:dyDescent="0.25">
      <c r="K4104" s="146"/>
    </row>
    <row r="4105" spans="11:11" x14ac:dyDescent="0.25">
      <c r="K4105" s="146"/>
    </row>
    <row r="4106" spans="11:11" x14ac:dyDescent="0.25">
      <c r="K4106" s="146"/>
    </row>
    <row r="4107" spans="11:11" x14ac:dyDescent="0.25">
      <c r="K4107" s="146"/>
    </row>
    <row r="4108" spans="11:11" x14ac:dyDescent="0.25">
      <c r="K4108" s="146"/>
    </row>
    <row r="4109" spans="11:11" x14ac:dyDescent="0.25">
      <c r="K4109" s="146"/>
    </row>
    <row r="4110" spans="11:11" x14ac:dyDescent="0.25">
      <c r="K4110" s="146"/>
    </row>
    <row r="4111" spans="11:11" x14ac:dyDescent="0.25">
      <c r="K4111" s="146"/>
    </row>
    <row r="4112" spans="11:11" x14ac:dyDescent="0.25">
      <c r="K4112" s="146"/>
    </row>
    <row r="4113" spans="11:11" x14ac:dyDescent="0.25">
      <c r="K4113" s="146"/>
    </row>
    <row r="4114" spans="11:11" x14ac:dyDescent="0.25">
      <c r="K4114" s="146"/>
    </row>
    <row r="4115" spans="11:11" x14ac:dyDescent="0.25">
      <c r="K4115" s="146"/>
    </row>
    <row r="4116" spans="11:11" x14ac:dyDescent="0.25">
      <c r="K4116" s="146"/>
    </row>
    <row r="4117" spans="11:11" x14ac:dyDescent="0.25">
      <c r="K4117" s="146"/>
    </row>
    <row r="4118" spans="11:11" x14ac:dyDescent="0.25">
      <c r="K4118" s="146"/>
    </row>
    <row r="4119" spans="11:11" x14ac:dyDescent="0.25">
      <c r="K4119" s="146"/>
    </row>
    <row r="4120" spans="11:11" x14ac:dyDescent="0.25">
      <c r="K4120" s="146"/>
    </row>
    <row r="4121" spans="11:11" x14ac:dyDescent="0.25">
      <c r="K4121" s="146"/>
    </row>
    <row r="4122" spans="11:11" x14ac:dyDescent="0.25">
      <c r="K4122" s="146"/>
    </row>
    <row r="4123" spans="11:11" x14ac:dyDescent="0.25">
      <c r="K4123" s="146"/>
    </row>
    <row r="4124" spans="11:11" x14ac:dyDescent="0.25">
      <c r="K4124" s="146"/>
    </row>
    <row r="4125" spans="11:11" x14ac:dyDescent="0.25">
      <c r="K4125" s="146"/>
    </row>
    <row r="4126" spans="11:11" x14ac:dyDescent="0.25">
      <c r="K4126" s="146"/>
    </row>
    <row r="4127" spans="11:11" x14ac:dyDescent="0.25">
      <c r="K4127" s="146"/>
    </row>
    <row r="4128" spans="11:11" x14ac:dyDescent="0.25">
      <c r="K4128" s="146"/>
    </row>
    <row r="4129" spans="11:11" x14ac:dyDescent="0.25">
      <c r="K4129" s="146"/>
    </row>
    <row r="4130" spans="11:11" x14ac:dyDescent="0.25">
      <c r="K4130" s="146"/>
    </row>
    <row r="4131" spans="11:11" x14ac:dyDescent="0.25">
      <c r="K4131" s="146"/>
    </row>
    <row r="4132" spans="11:11" x14ac:dyDescent="0.25">
      <c r="K4132" s="146"/>
    </row>
    <row r="4133" spans="11:11" x14ac:dyDescent="0.25">
      <c r="K4133" s="146"/>
    </row>
    <row r="4134" spans="11:11" x14ac:dyDescent="0.25">
      <c r="K4134" s="146"/>
    </row>
    <row r="4135" spans="11:11" x14ac:dyDescent="0.25">
      <c r="K4135" s="146"/>
    </row>
    <row r="4136" spans="11:11" x14ac:dyDescent="0.25">
      <c r="K4136" s="146"/>
    </row>
    <row r="4137" spans="11:11" x14ac:dyDescent="0.25">
      <c r="K4137" s="146"/>
    </row>
    <row r="4138" spans="11:11" x14ac:dyDescent="0.25">
      <c r="K4138" s="146"/>
    </row>
    <row r="4139" spans="11:11" x14ac:dyDescent="0.25">
      <c r="K4139" s="146"/>
    </row>
    <row r="4140" spans="11:11" x14ac:dyDescent="0.25">
      <c r="K4140" s="146"/>
    </row>
    <row r="4141" spans="11:11" x14ac:dyDescent="0.25">
      <c r="K4141" s="146"/>
    </row>
    <row r="4142" spans="11:11" x14ac:dyDescent="0.25">
      <c r="K4142" s="146"/>
    </row>
    <row r="4143" spans="11:11" x14ac:dyDescent="0.25">
      <c r="K4143" s="146"/>
    </row>
    <row r="4144" spans="11:11" x14ac:dyDescent="0.25">
      <c r="K4144" s="146"/>
    </row>
    <row r="4145" spans="11:11" x14ac:dyDescent="0.25">
      <c r="K4145" s="146"/>
    </row>
    <row r="4146" spans="11:11" x14ac:dyDescent="0.25">
      <c r="K4146" s="146"/>
    </row>
    <row r="4147" spans="11:11" x14ac:dyDescent="0.25">
      <c r="K4147" s="146"/>
    </row>
    <row r="4148" spans="11:11" x14ac:dyDescent="0.25">
      <c r="K4148" s="146"/>
    </row>
    <row r="4149" spans="11:11" x14ac:dyDescent="0.25">
      <c r="K4149" s="146"/>
    </row>
    <row r="4150" spans="11:11" x14ac:dyDescent="0.25">
      <c r="K4150" s="146"/>
    </row>
    <row r="4151" spans="11:11" x14ac:dyDescent="0.25">
      <c r="K4151" s="146"/>
    </row>
    <row r="4152" spans="11:11" x14ac:dyDescent="0.25">
      <c r="K4152" s="146"/>
    </row>
    <row r="4153" spans="11:11" x14ac:dyDescent="0.25">
      <c r="K4153" s="146"/>
    </row>
    <row r="4154" spans="11:11" x14ac:dyDescent="0.25">
      <c r="K4154" s="146"/>
    </row>
    <row r="4155" spans="11:11" x14ac:dyDescent="0.25">
      <c r="K4155" s="146"/>
    </row>
    <row r="4156" spans="11:11" x14ac:dyDescent="0.25">
      <c r="K4156" s="146"/>
    </row>
    <row r="4157" spans="11:11" x14ac:dyDescent="0.25">
      <c r="K4157" s="146"/>
    </row>
    <row r="4158" spans="11:11" x14ac:dyDescent="0.25">
      <c r="K4158" s="146"/>
    </row>
    <row r="4159" spans="11:11" x14ac:dyDescent="0.25">
      <c r="K4159" s="146"/>
    </row>
    <row r="4160" spans="11:11" x14ac:dyDescent="0.25">
      <c r="K4160" s="146"/>
    </row>
    <row r="4161" spans="11:11" x14ac:dyDescent="0.25">
      <c r="K4161" s="146"/>
    </row>
    <row r="4162" spans="11:11" x14ac:dyDescent="0.25">
      <c r="K4162" s="146"/>
    </row>
    <row r="4163" spans="11:11" x14ac:dyDescent="0.25">
      <c r="K4163" s="146"/>
    </row>
    <row r="4164" spans="11:11" x14ac:dyDescent="0.25">
      <c r="K4164" s="146"/>
    </row>
    <row r="4165" spans="11:11" x14ac:dyDescent="0.25">
      <c r="K4165" s="146"/>
    </row>
    <row r="4166" spans="11:11" x14ac:dyDescent="0.25">
      <c r="K4166" s="146"/>
    </row>
    <row r="4167" spans="11:11" x14ac:dyDescent="0.25">
      <c r="K4167" s="146"/>
    </row>
    <row r="4168" spans="11:11" x14ac:dyDescent="0.25">
      <c r="K4168" s="146"/>
    </row>
    <row r="4169" spans="11:11" x14ac:dyDescent="0.25">
      <c r="K4169" s="146"/>
    </row>
    <row r="4170" spans="11:11" x14ac:dyDescent="0.25">
      <c r="K4170" s="146"/>
    </row>
    <row r="4171" spans="11:11" x14ac:dyDescent="0.25">
      <c r="K4171" s="146"/>
    </row>
    <row r="4172" spans="11:11" x14ac:dyDescent="0.25">
      <c r="K4172" s="146"/>
    </row>
    <row r="4173" spans="11:11" x14ac:dyDescent="0.25">
      <c r="K4173" s="146"/>
    </row>
    <row r="4174" spans="11:11" x14ac:dyDescent="0.25">
      <c r="K4174" s="146"/>
    </row>
    <row r="4175" spans="11:11" x14ac:dyDescent="0.25">
      <c r="K4175" s="146"/>
    </row>
    <row r="4176" spans="11:11" x14ac:dyDescent="0.25">
      <c r="K4176" s="146"/>
    </row>
    <row r="4177" spans="11:11" x14ac:dyDescent="0.25">
      <c r="K4177" s="146"/>
    </row>
    <row r="4178" spans="11:11" x14ac:dyDescent="0.25">
      <c r="K4178" s="146"/>
    </row>
    <row r="4179" spans="11:11" x14ac:dyDescent="0.25">
      <c r="K4179" s="146"/>
    </row>
    <row r="4180" spans="11:11" x14ac:dyDescent="0.25">
      <c r="K4180" s="146"/>
    </row>
    <row r="4181" spans="11:11" x14ac:dyDescent="0.25">
      <c r="K4181" s="146"/>
    </row>
    <row r="4182" spans="11:11" x14ac:dyDescent="0.25">
      <c r="K4182" s="146"/>
    </row>
    <row r="4183" spans="11:11" x14ac:dyDescent="0.25">
      <c r="K4183" s="146"/>
    </row>
    <row r="4184" spans="11:11" x14ac:dyDescent="0.25">
      <c r="K4184" s="146"/>
    </row>
    <row r="4185" spans="11:11" x14ac:dyDescent="0.25">
      <c r="K4185" s="146"/>
    </row>
    <row r="4186" spans="11:11" x14ac:dyDescent="0.25">
      <c r="K4186" s="146"/>
    </row>
    <row r="4187" spans="11:11" x14ac:dyDescent="0.25">
      <c r="K4187" s="146"/>
    </row>
    <row r="4188" spans="11:11" x14ac:dyDescent="0.25">
      <c r="K4188" s="146"/>
    </row>
    <row r="4189" spans="11:11" x14ac:dyDescent="0.25">
      <c r="K4189" s="146"/>
    </row>
    <row r="4190" spans="11:11" x14ac:dyDescent="0.25">
      <c r="K4190" s="146"/>
    </row>
    <row r="4191" spans="11:11" x14ac:dyDescent="0.25">
      <c r="K4191" s="146"/>
    </row>
    <row r="4192" spans="11:11" x14ac:dyDescent="0.25">
      <c r="K4192" s="146"/>
    </row>
    <row r="4193" spans="11:11" x14ac:dyDescent="0.25">
      <c r="K4193" s="146"/>
    </row>
    <row r="4194" spans="11:11" x14ac:dyDescent="0.25">
      <c r="K4194" s="146"/>
    </row>
    <row r="4195" spans="11:11" x14ac:dyDescent="0.25">
      <c r="K4195" s="146"/>
    </row>
    <row r="4196" spans="11:11" x14ac:dyDescent="0.25">
      <c r="K4196" s="146"/>
    </row>
    <row r="4197" spans="11:11" x14ac:dyDescent="0.25">
      <c r="K4197" s="146"/>
    </row>
    <row r="4198" spans="11:11" x14ac:dyDescent="0.25">
      <c r="K4198" s="146"/>
    </row>
    <row r="4199" spans="11:11" x14ac:dyDescent="0.25">
      <c r="K4199" s="146"/>
    </row>
    <row r="4200" spans="11:11" x14ac:dyDescent="0.25">
      <c r="K4200" s="146"/>
    </row>
    <row r="4201" spans="11:11" x14ac:dyDescent="0.25">
      <c r="K4201" s="146"/>
    </row>
    <row r="4202" spans="11:11" x14ac:dyDescent="0.25">
      <c r="K4202" s="146"/>
    </row>
    <row r="4203" spans="11:11" x14ac:dyDescent="0.25">
      <c r="K4203" s="146"/>
    </row>
    <row r="4204" spans="11:11" x14ac:dyDescent="0.25">
      <c r="K4204" s="146"/>
    </row>
    <row r="4205" spans="11:11" x14ac:dyDescent="0.25">
      <c r="K4205" s="146"/>
    </row>
    <row r="4206" spans="11:11" x14ac:dyDescent="0.25">
      <c r="K4206" s="146"/>
    </row>
    <row r="4207" spans="11:11" x14ac:dyDescent="0.25">
      <c r="K4207" s="146"/>
    </row>
    <row r="4208" spans="11:11" x14ac:dyDescent="0.25">
      <c r="K4208" s="146"/>
    </row>
    <row r="4209" spans="11:11" x14ac:dyDescent="0.25">
      <c r="K4209" s="146"/>
    </row>
    <row r="4210" spans="11:11" x14ac:dyDescent="0.25">
      <c r="K4210" s="146"/>
    </row>
    <row r="4211" spans="11:11" x14ac:dyDescent="0.25">
      <c r="K4211" s="146"/>
    </row>
    <row r="4212" spans="11:11" x14ac:dyDescent="0.25">
      <c r="K4212" s="146"/>
    </row>
    <row r="4213" spans="11:11" x14ac:dyDescent="0.25">
      <c r="K4213" s="146"/>
    </row>
    <row r="4214" spans="11:11" x14ac:dyDescent="0.25">
      <c r="K4214" s="146"/>
    </row>
    <row r="4215" spans="11:11" x14ac:dyDescent="0.25">
      <c r="K4215" s="146"/>
    </row>
    <row r="4216" spans="11:11" x14ac:dyDescent="0.25">
      <c r="K4216" s="146"/>
    </row>
    <row r="4217" spans="11:11" x14ac:dyDescent="0.25">
      <c r="K4217" s="146"/>
    </row>
    <row r="4218" spans="11:11" x14ac:dyDescent="0.25">
      <c r="K4218" s="146"/>
    </row>
    <row r="4219" spans="11:11" x14ac:dyDescent="0.25">
      <c r="K4219" s="146"/>
    </row>
    <row r="4220" spans="11:11" x14ac:dyDescent="0.25">
      <c r="K4220" s="146"/>
    </row>
    <row r="4221" spans="11:11" x14ac:dyDescent="0.25">
      <c r="K4221" s="146"/>
    </row>
    <row r="4222" spans="11:11" x14ac:dyDescent="0.25">
      <c r="K4222" s="146"/>
    </row>
    <row r="4223" spans="11:11" x14ac:dyDescent="0.25">
      <c r="K4223" s="146"/>
    </row>
    <row r="4224" spans="11:11" x14ac:dyDescent="0.25">
      <c r="K4224" s="146"/>
    </row>
    <row r="4225" spans="11:11" x14ac:dyDescent="0.25">
      <c r="K4225" s="146"/>
    </row>
    <row r="4226" spans="11:11" x14ac:dyDescent="0.25">
      <c r="K4226" s="146"/>
    </row>
    <row r="4227" spans="11:11" x14ac:dyDescent="0.25">
      <c r="K4227" s="146"/>
    </row>
    <row r="4228" spans="11:11" x14ac:dyDescent="0.25">
      <c r="K4228" s="146"/>
    </row>
    <row r="4229" spans="11:11" x14ac:dyDescent="0.25">
      <c r="K4229" s="146"/>
    </row>
    <row r="4230" spans="11:11" x14ac:dyDescent="0.25">
      <c r="K4230" s="146"/>
    </row>
    <row r="4231" spans="11:11" x14ac:dyDescent="0.25">
      <c r="K4231" s="146"/>
    </row>
    <row r="4232" spans="11:11" x14ac:dyDescent="0.25">
      <c r="K4232" s="146"/>
    </row>
    <row r="4233" spans="11:11" x14ac:dyDescent="0.25">
      <c r="K4233" s="146"/>
    </row>
    <row r="4234" spans="11:11" x14ac:dyDescent="0.25">
      <c r="K4234" s="146"/>
    </row>
    <row r="4235" spans="11:11" x14ac:dyDescent="0.25">
      <c r="K4235" s="146"/>
    </row>
    <row r="4236" spans="11:11" x14ac:dyDescent="0.25">
      <c r="K4236" s="146"/>
    </row>
    <row r="4237" spans="11:11" x14ac:dyDescent="0.25">
      <c r="K4237" s="146"/>
    </row>
    <row r="4238" spans="11:11" x14ac:dyDescent="0.25">
      <c r="K4238" s="146"/>
    </row>
    <row r="4239" spans="11:11" x14ac:dyDescent="0.25">
      <c r="K4239" s="146"/>
    </row>
    <row r="4240" spans="11:11" x14ac:dyDescent="0.25">
      <c r="K4240" s="146"/>
    </row>
    <row r="4241" spans="11:11" x14ac:dyDescent="0.25">
      <c r="K4241" s="146"/>
    </row>
    <row r="4242" spans="11:11" x14ac:dyDescent="0.25">
      <c r="K4242" s="146"/>
    </row>
    <row r="4243" spans="11:11" x14ac:dyDescent="0.25">
      <c r="K4243" s="146"/>
    </row>
    <row r="4244" spans="11:11" x14ac:dyDescent="0.25">
      <c r="K4244" s="146"/>
    </row>
    <row r="4245" spans="11:11" x14ac:dyDescent="0.25">
      <c r="K4245" s="146"/>
    </row>
    <row r="4246" spans="11:11" x14ac:dyDescent="0.25">
      <c r="K4246" s="146"/>
    </row>
    <row r="4247" spans="11:11" x14ac:dyDescent="0.25">
      <c r="K4247" s="146"/>
    </row>
    <row r="4248" spans="11:11" x14ac:dyDescent="0.25">
      <c r="K4248" s="146"/>
    </row>
    <row r="4249" spans="11:11" x14ac:dyDescent="0.25">
      <c r="K4249" s="146"/>
    </row>
    <row r="4250" spans="11:11" x14ac:dyDescent="0.25">
      <c r="K4250" s="146"/>
    </row>
    <row r="4251" spans="11:11" x14ac:dyDescent="0.25">
      <c r="K4251" s="146"/>
    </row>
    <row r="4252" spans="11:11" x14ac:dyDescent="0.25">
      <c r="K4252" s="146"/>
    </row>
    <row r="4253" spans="11:11" x14ac:dyDescent="0.25">
      <c r="K4253" s="146"/>
    </row>
    <row r="4254" spans="11:11" x14ac:dyDescent="0.25">
      <c r="K4254" s="146"/>
    </row>
    <row r="4255" spans="11:11" x14ac:dyDescent="0.25">
      <c r="K4255" s="146"/>
    </row>
    <row r="4256" spans="11:11" x14ac:dyDescent="0.25">
      <c r="K4256" s="146"/>
    </row>
    <row r="4257" spans="11:11" x14ac:dyDescent="0.25">
      <c r="K4257" s="146"/>
    </row>
    <row r="4258" spans="11:11" x14ac:dyDescent="0.25">
      <c r="K4258" s="146"/>
    </row>
    <row r="4259" spans="11:11" x14ac:dyDescent="0.25">
      <c r="K4259" s="146"/>
    </row>
    <row r="4260" spans="11:11" x14ac:dyDescent="0.25">
      <c r="K4260" s="146"/>
    </row>
    <row r="4261" spans="11:11" x14ac:dyDescent="0.25">
      <c r="K4261" s="146"/>
    </row>
    <row r="4262" spans="11:11" x14ac:dyDescent="0.25">
      <c r="K4262" s="146"/>
    </row>
    <row r="4263" spans="11:11" x14ac:dyDescent="0.25">
      <c r="K4263" s="146"/>
    </row>
    <row r="4264" spans="11:11" x14ac:dyDescent="0.25">
      <c r="K4264" s="146"/>
    </row>
    <row r="4265" spans="11:11" x14ac:dyDescent="0.25">
      <c r="K4265" s="146"/>
    </row>
    <row r="4266" spans="11:11" x14ac:dyDescent="0.25">
      <c r="K4266" s="146"/>
    </row>
    <row r="4267" spans="11:11" x14ac:dyDescent="0.25">
      <c r="K4267" s="146"/>
    </row>
    <row r="4268" spans="11:11" x14ac:dyDescent="0.25">
      <c r="K4268" s="146"/>
    </row>
    <row r="4269" spans="11:11" x14ac:dyDescent="0.25">
      <c r="K4269" s="146"/>
    </row>
    <row r="4270" spans="11:11" x14ac:dyDescent="0.25">
      <c r="K4270" s="146"/>
    </row>
    <row r="4271" spans="11:11" x14ac:dyDescent="0.25">
      <c r="K4271" s="146"/>
    </row>
    <row r="4272" spans="11:11" x14ac:dyDescent="0.25">
      <c r="K4272" s="146"/>
    </row>
    <row r="4273" spans="11:11" x14ac:dyDescent="0.25">
      <c r="K4273" s="146"/>
    </row>
    <row r="4274" spans="11:11" x14ac:dyDescent="0.25">
      <c r="K4274" s="146"/>
    </row>
    <row r="4275" spans="11:11" x14ac:dyDescent="0.25">
      <c r="K4275" s="146"/>
    </row>
    <row r="4276" spans="11:11" x14ac:dyDescent="0.25">
      <c r="K4276" s="146"/>
    </row>
    <row r="4277" spans="11:11" x14ac:dyDescent="0.25">
      <c r="K4277" s="146"/>
    </row>
    <row r="4278" spans="11:11" x14ac:dyDescent="0.25">
      <c r="K4278" s="146"/>
    </row>
    <row r="4279" spans="11:11" x14ac:dyDescent="0.25">
      <c r="K4279" s="146"/>
    </row>
    <row r="4280" spans="11:11" x14ac:dyDescent="0.25">
      <c r="K4280" s="146"/>
    </row>
    <row r="4281" spans="11:11" x14ac:dyDescent="0.25">
      <c r="K4281" s="146"/>
    </row>
    <row r="4282" spans="11:11" x14ac:dyDescent="0.25">
      <c r="K4282" s="146"/>
    </row>
    <row r="4283" spans="11:11" x14ac:dyDescent="0.25">
      <c r="K4283" s="146"/>
    </row>
    <row r="4284" spans="11:11" x14ac:dyDescent="0.25">
      <c r="K4284" s="146"/>
    </row>
    <row r="4285" spans="11:11" x14ac:dyDescent="0.25">
      <c r="K4285" s="146"/>
    </row>
    <row r="4286" spans="11:11" x14ac:dyDescent="0.25">
      <c r="K4286" s="146"/>
    </row>
    <row r="4287" spans="11:11" x14ac:dyDescent="0.25">
      <c r="K4287" s="146"/>
    </row>
    <row r="4288" spans="11:11" x14ac:dyDescent="0.25">
      <c r="K4288" s="146"/>
    </row>
    <row r="4289" spans="11:11" x14ac:dyDescent="0.25">
      <c r="K4289" s="146"/>
    </row>
    <row r="4290" spans="11:11" x14ac:dyDescent="0.25">
      <c r="K4290" s="146"/>
    </row>
    <row r="4291" spans="11:11" x14ac:dyDescent="0.25">
      <c r="K4291" s="146"/>
    </row>
    <row r="4292" spans="11:11" x14ac:dyDescent="0.25">
      <c r="K4292" s="146"/>
    </row>
    <row r="4293" spans="11:11" x14ac:dyDescent="0.25">
      <c r="K4293" s="146"/>
    </row>
    <row r="4294" spans="11:11" x14ac:dyDescent="0.25">
      <c r="K4294" s="146"/>
    </row>
    <row r="4295" spans="11:11" x14ac:dyDescent="0.25">
      <c r="K4295" s="146"/>
    </row>
    <row r="4296" spans="11:11" x14ac:dyDescent="0.25">
      <c r="K4296" s="146"/>
    </row>
    <row r="4297" spans="11:11" x14ac:dyDescent="0.25">
      <c r="K4297" s="146"/>
    </row>
    <row r="4298" spans="11:11" x14ac:dyDescent="0.25">
      <c r="K4298" s="146"/>
    </row>
    <row r="4299" spans="11:11" x14ac:dyDescent="0.25">
      <c r="K4299" s="146"/>
    </row>
    <row r="4300" spans="11:11" x14ac:dyDescent="0.25">
      <c r="K4300" s="146"/>
    </row>
    <row r="4301" spans="11:11" x14ac:dyDescent="0.25">
      <c r="K4301" s="146"/>
    </row>
    <row r="4302" spans="11:11" x14ac:dyDescent="0.25">
      <c r="K4302" s="146"/>
    </row>
    <row r="4303" spans="11:11" x14ac:dyDescent="0.25">
      <c r="K4303" s="146"/>
    </row>
    <row r="4304" spans="11:11" x14ac:dyDescent="0.25">
      <c r="K4304" s="146"/>
    </row>
    <row r="4305" spans="11:11" x14ac:dyDescent="0.25">
      <c r="K4305" s="146"/>
    </row>
    <row r="4306" spans="11:11" x14ac:dyDescent="0.25">
      <c r="K4306" s="146"/>
    </row>
    <row r="4307" spans="11:11" x14ac:dyDescent="0.25">
      <c r="K4307" s="146"/>
    </row>
    <row r="4308" spans="11:11" x14ac:dyDescent="0.25">
      <c r="K4308" s="146"/>
    </row>
    <row r="4309" spans="11:11" x14ac:dyDescent="0.25">
      <c r="K4309" s="146"/>
    </row>
    <row r="4310" spans="11:11" x14ac:dyDescent="0.25">
      <c r="K4310" s="146"/>
    </row>
    <row r="4311" spans="11:11" x14ac:dyDescent="0.25">
      <c r="K4311" s="146"/>
    </row>
    <row r="4312" spans="11:11" x14ac:dyDescent="0.25">
      <c r="K4312" s="146"/>
    </row>
    <row r="4313" spans="11:11" x14ac:dyDescent="0.25">
      <c r="K4313" s="146"/>
    </row>
    <row r="4314" spans="11:11" x14ac:dyDescent="0.25">
      <c r="K4314" s="146"/>
    </row>
    <row r="4315" spans="11:11" x14ac:dyDescent="0.25">
      <c r="K4315" s="146"/>
    </row>
    <row r="4316" spans="11:11" x14ac:dyDescent="0.25">
      <c r="K4316" s="146"/>
    </row>
    <row r="4317" spans="11:11" x14ac:dyDescent="0.25">
      <c r="K4317" s="146"/>
    </row>
    <row r="4318" spans="11:11" x14ac:dyDescent="0.25">
      <c r="K4318" s="146"/>
    </row>
    <row r="4319" spans="11:11" x14ac:dyDescent="0.25">
      <c r="K4319" s="146"/>
    </row>
    <row r="4320" spans="11:11" x14ac:dyDescent="0.25">
      <c r="K4320" s="146"/>
    </row>
    <row r="4321" spans="11:11" x14ac:dyDescent="0.25">
      <c r="K4321" s="146"/>
    </row>
    <row r="4322" spans="11:11" x14ac:dyDescent="0.25">
      <c r="K4322" s="146"/>
    </row>
    <row r="4323" spans="11:11" x14ac:dyDescent="0.25">
      <c r="K4323" s="146"/>
    </row>
    <row r="4324" spans="11:11" x14ac:dyDescent="0.25">
      <c r="K4324" s="146"/>
    </row>
    <row r="4325" spans="11:11" x14ac:dyDescent="0.25">
      <c r="K4325" s="146"/>
    </row>
    <row r="4326" spans="11:11" x14ac:dyDescent="0.25">
      <c r="K4326" s="146"/>
    </row>
    <row r="4327" spans="11:11" x14ac:dyDescent="0.25">
      <c r="K4327" s="146"/>
    </row>
    <row r="4328" spans="11:11" x14ac:dyDescent="0.25">
      <c r="K4328" s="146"/>
    </row>
    <row r="4329" spans="11:11" x14ac:dyDescent="0.25">
      <c r="K4329" s="146"/>
    </row>
    <row r="4330" spans="11:11" x14ac:dyDescent="0.25">
      <c r="K4330" s="146"/>
    </row>
    <row r="4331" spans="11:11" x14ac:dyDescent="0.25">
      <c r="K4331" s="146"/>
    </row>
    <row r="4332" spans="11:11" x14ac:dyDescent="0.25">
      <c r="K4332" s="146"/>
    </row>
    <row r="4333" spans="11:11" x14ac:dyDescent="0.25">
      <c r="K4333" s="146"/>
    </row>
    <row r="4334" spans="11:11" x14ac:dyDescent="0.25">
      <c r="K4334" s="146"/>
    </row>
    <row r="4335" spans="11:11" x14ac:dyDescent="0.25">
      <c r="K4335" s="146"/>
    </row>
    <row r="4336" spans="11:11" x14ac:dyDescent="0.25">
      <c r="K4336" s="146"/>
    </row>
    <row r="4337" spans="11:11" x14ac:dyDescent="0.25">
      <c r="K4337" s="146"/>
    </row>
    <row r="4338" spans="11:11" x14ac:dyDescent="0.25">
      <c r="K4338" s="146"/>
    </row>
    <row r="4339" spans="11:11" x14ac:dyDescent="0.25">
      <c r="K4339" s="146"/>
    </row>
    <row r="4340" spans="11:11" x14ac:dyDescent="0.25">
      <c r="K4340" s="146"/>
    </row>
    <row r="4341" spans="11:11" x14ac:dyDescent="0.25">
      <c r="K4341" s="146"/>
    </row>
    <row r="4342" spans="11:11" x14ac:dyDescent="0.25">
      <c r="K4342" s="146"/>
    </row>
    <row r="4343" spans="11:11" x14ac:dyDescent="0.25">
      <c r="K4343" s="146"/>
    </row>
    <row r="4344" spans="11:11" x14ac:dyDescent="0.25">
      <c r="K4344" s="146"/>
    </row>
    <row r="4345" spans="11:11" x14ac:dyDescent="0.25">
      <c r="K4345" s="146"/>
    </row>
    <row r="4346" spans="11:11" x14ac:dyDescent="0.25">
      <c r="K4346" s="146"/>
    </row>
    <row r="4347" spans="11:11" x14ac:dyDescent="0.25">
      <c r="K4347" s="146"/>
    </row>
    <row r="4348" spans="11:11" x14ac:dyDescent="0.25">
      <c r="K4348" s="146"/>
    </row>
    <row r="4349" spans="11:11" x14ac:dyDescent="0.25">
      <c r="K4349" s="146"/>
    </row>
    <row r="4350" spans="11:11" x14ac:dyDescent="0.25">
      <c r="K4350" s="146"/>
    </row>
    <row r="4351" spans="11:11" x14ac:dyDescent="0.25">
      <c r="K4351" s="146"/>
    </row>
    <row r="4352" spans="11:11" x14ac:dyDescent="0.25">
      <c r="K4352" s="146"/>
    </row>
    <row r="4353" spans="11:11" x14ac:dyDescent="0.25">
      <c r="K4353" s="146"/>
    </row>
    <row r="4354" spans="11:11" x14ac:dyDescent="0.25">
      <c r="K4354" s="146"/>
    </row>
    <row r="4355" spans="11:11" x14ac:dyDescent="0.25">
      <c r="K4355" s="146"/>
    </row>
    <row r="4356" spans="11:11" x14ac:dyDescent="0.25">
      <c r="K4356" s="146"/>
    </row>
    <row r="4357" spans="11:11" x14ac:dyDescent="0.25">
      <c r="K4357" s="146"/>
    </row>
    <row r="4358" spans="11:11" x14ac:dyDescent="0.25">
      <c r="K4358" s="146"/>
    </row>
    <row r="4359" spans="11:11" x14ac:dyDescent="0.25">
      <c r="K4359" s="146"/>
    </row>
    <row r="4360" spans="11:11" x14ac:dyDescent="0.25">
      <c r="K4360" s="146"/>
    </row>
    <row r="4361" spans="11:11" x14ac:dyDescent="0.25">
      <c r="K4361" s="146"/>
    </row>
    <row r="4362" spans="11:11" x14ac:dyDescent="0.25">
      <c r="K4362" s="146"/>
    </row>
    <row r="4363" spans="11:11" x14ac:dyDescent="0.25">
      <c r="K4363" s="146"/>
    </row>
    <row r="4364" spans="11:11" x14ac:dyDescent="0.25">
      <c r="K4364" s="146"/>
    </row>
    <row r="4365" spans="11:11" x14ac:dyDescent="0.25">
      <c r="K4365" s="146"/>
    </row>
    <row r="4366" spans="11:11" x14ac:dyDescent="0.25">
      <c r="K4366" s="146"/>
    </row>
    <row r="4367" spans="11:11" x14ac:dyDescent="0.25">
      <c r="K4367" s="146"/>
    </row>
    <row r="4368" spans="11:11" x14ac:dyDescent="0.25">
      <c r="K4368" s="146"/>
    </row>
    <row r="4369" spans="11:11" x14ac:dyDescent="0.25">
      <c r="K4369" s="146"/>
    </row>
    <row r="4370" spans="11:11" x14ac:dyDescent="0.25">
      <c r="K4370" s="146"/>
    </row>
    <row r="4371" spans="11:11" x14ac:dyDescent="0.25">
      <c r="K4371" s="146"/>
    </row>
    <row r="4372" spans="11:11" x14ac:dyDescent="0.25">
      <c r="K4372" s="146"/>
    </row>
    <row r="4373" spans="11:11" x14ac:dyDescent="0.25">
      <c r="K4373" s="146"/>
    </row>
    <row r="4374" spans="11:11" x14ac:dyDescent="0.25">
      <c r="K4374" s="146"/>
    </row>
    <row r="4375" spans="11:11" x14ac:dyDescent="0.25">
      <c r="K4375" s="146"/>
    </row>
    <row r="4376" spans="11:11" x14ac:dyDescent="0.25">
      <c r="K4376" s="146"/>
    </row>
    <row r="4377" spans="11:11" x14ac:dyDescent="0.25">
      <c r="K4377" s="146"/>
    </row>
    <row r="4378" spans="11:11" x14ac:dyDescent="0.25">
      <c r="K4378" s="146"/>
    </row>
    <row r="4379" spans="11:11" x14ac:dyDescent="0.25">
      <c r="K4379" s="146"/>
    </row>
    <row r="4380" spans="11:11" x14ac:dyDescent="0.25">
      <c r="K4380" s="146"/>
    </row>
    <row r="4381" spans="11:11" x14ac:dyDescent="0.25">
      <c r="K4381" s="146"/>
    </row>
    <row r="4382" spans="11:11" x14ac:dyDescent="0.25">
      <c r="K4382" s="146"/>
    </row>
    <row r="4383" spans="11:11" x14ac:dyDescent="0.25">
      <c r="K4383" s="146"/>
    </row>
    <row r="4384" spans="11:11" x14ac:dyDescent="0.25">
      <c r="K4384" s="146"/>
    </row>
    <row r="4385" spans="11:11" x14ac:dyDescent="0.25">
      <c r="K4385" s="146"/>
    </row>
    <row r="4386" spans="11:11" x14ac:dyDescent="0.25">
      <c r="K4386" s="146"/>
    </row>
    <row r="4387" spans="11:11" x14ac:dyDescent="0.25">
      <c r="K4387" s="146"/>
    </row>
    <row r="4388" spans="11:11" x14ac:dyDescent="0.25">
      <c r="K4388" s="146"/>
    </row>
    <row r="4389" spans="11:11" x14ac:dyDescent="0.25">
      <c r="K4389" s="146"/>
    </row>
    <row r="4390" spans="11:11" x14ac:dyDescent="0.25">
      <c r="K4390" s="146"/>
    </row>
    <row r="4391" spans="11:11" x14ac:dyDescent="0.25">
      <c r="K4391" s="146"/>
    </row>
    <row r="4392" spans="11:11" x14ac:dyDescent="0.25">
      <c r="K4392" s="146"/>
    </row>
    <row r="4393" spans="11:11" x14ac:dyDescent="0.25">
      <c r="K4393" s="146"/>
    </row>
    <row r="4394" spans="11:11" x14ac:dyDescent="0.25">
      <c r="K4394" s="146"/>
    </row>
    <row r="4395" spans="11:11" x14ac:dyDescent="0.25">
      <c r="K4395" s="146"/>
    </row>
    <row r="4396" spans="11:11" x14ac:dyDescent="0.25">
      <c r="K4396" s="146"/>
    </row>
    <row r="4397" spans="11:11" x14ac:dyDescent="0.25">
      <c r="K4397" s="146"/>
    </row>
    <row r="4398" spans="11:11" x14ac:dyDescent="0.25">
      <c r="K4398" s="146"/>
    </row>
    <row r="4399" spans="11:11" x14ac:dyDescent="0.25">
      <c r="K4399" s="146"/>
    </row>
    <row r="4400" spans="11:11" x14ac:dyDescent="0.25">
      <c r="K4400" s="146"/>
    </row>
    <row r="4401" spans="11:11" x14ac:dyDescent="0.25">
      <c r="K4401" s="146"/>
    </row>
    <row r="4402" spans="11:11" x14ac:dyDescent="0.25">
      <c r="K4402" s="146"/>
    </row>
    <row r="4403" spans="11:11" x14ac:dyDescent="0.25">
      <c r="K4403" s="146"/>
    </row>
    <row r="4404" spans="11:11" x14ac:dyDescent="0.25">
      <c r="K4404" s="146"/>
    </row>
    <row r="4405" spans="11:11" x14ac:dyDescent="0.25">
      <c r="K4405" s="146"/>
    </row>
    <row r="4406" spans="11:11" x14ac:dyDescent="0.25">
      <c r="K4406" s="146"/>
    </row>
    <row r="4407" spans="11:11" x14ac:dyDescent="0.25">
      <c r="K4407" s="146"/>
    </row>
    <row r="4408" spans="11:11" x14ac:dyDescent="0.25">
      <c r="K4408" s="146"/>
    </row>
    <row r="4409" spans="11:11" x14ac:dyDescent="0.25">
      <c r="K4409" s="146"/>
    </row>
    <row r="4410" spans="11:11" x14ac:dyDescent="0.25">
      <c r="K4410" s="146"/>
    </row>
    <row r="4411" spans="11:11" x14ac:dyDescent="0.25">
      <c r="K4411" s="146"/>
    </row>
    <row r="4412" spans="11:11" x14ac:dyDescent="0.25">
      <c r="K4412" s="146"/>
    </row>
    <row r="4413" spans="11:11" x14ac:dyDescent="0.25">
      <c r="K4413" s="146"/>
    </row>
    <row r="4414" spans="11:11" x14ac:dyDescent="0.25">
      <c r="K4414" s="146"/>
    </row>
    <row r="4415" spans="11:11" x14ac:dyDescent="0.25">
      <c r="K4415" s="146"/>
    </row>
    <row r="4416" spans="11:11" x14ac:dyDescent="0.25">
      <c r="K4416" s="146"/>
    </row>
    <row r="4417" spans="11:11" x14ac:dyDescent="0.25">
      <c r="K4417" s="146"/>
    </row>
    <row r="4418" spans="11:11" x14ac:dyDescent="0.25">
      <c r="K4418" s="146"/>
    </row>
    <row r="4419" spans="11:11" x14ac:dyDescent="0.25">
      <c r="K4419" s="146"/>
    </row>
    <row r="4420" spans="11:11" x14ac:dyDescent="0.25">
      <c r="K4420" s="146"/>
    </row>
    <row r="4421" spans="11:11" x14ac:dyDescent="0.25">
      <c r="K4421" s="146"/>
    </row>
    <row r="4422" spans="11:11" x14ac:dyDescent="0.25">
      <c r="K4422" s="146"/>
    </row>
    <row r="4423" spans="11:11" x14ac:dyDescent="0.25">
      <c r="K4423" s="146"/>
    </row>
    <row r="4424" spans="11:11" x14ac:dyDescent="0.25">
      <c r="K4424" s="146"/>
    </row>
    <row r="4425" spans="11:11" x14ac:dyDescent="0.25">
      <c r="K4425" s="146"/>
    </row>
    <row r="4426" spans="11:11" x14ac:dyDescent="0.25">
      <c r="K4426" s="146"/>
    </row>
    <row r="4427" spans="11:11" x14ac:dyDescent="0.25">
      <c r="K4427" s="146"/>
    </row>
    <row r="4428" spans="11:11" x14ac:dyDescent="0.25">
      <c r="K4428" s="146"/>
    </row>
    <row r="4429" spans="11:11" x14ac:dyDescent="0.25">
      <c r="K4429" s="146"/>
    </row>
    <row r="4430" spans="11:11" x14ac:dyDescent="0.25">
      <c r="K4430" s="146"/>
    </row>
    <row r="4431" spans="11:11" x14ac:dyDescent="0.25">
      <c r="K4431" s="146"/>
    </row>
    <row r="4432" spans="11:11" x14ac:dyDescent="0.25">
      <c r="K4432" s="146"/>
    </row>
    <row r="4433" spans="11:11" x14ac:dyDescent="0.25">
      <c r="K4433" s="146"/>
    </row>
    <row r="4434" spans="11:11" x14ac:dyDescent="0.25">
      <c r="K4434" s="146"/>
    </row>
    <row r="4435" spans="11:11" x14ac:dyDescent="0.25">
      <c r="K4435" s="146"/>
    </row>
    <row r="4436" spans="11:11" x14ac:dyDescent="0.25">
      <c r="K4436" s="146"/>
    </row>
    <row r="4437" spans="11:11" x14ac:dyDescent="0.25">
      <c r="K4437" s="146"/>
    </row>
    <row r="4438" spans="11:11" x14ac:dyDescent="0.25">
      <c r="K4438" s="146"/>
    </row>
    <row r="4439" spans="11:11" x14ac:dyDescent="0.25">
      <c r="K4439" s="146"/>
    </row>
    <row r="4440" spans="11:11" x14ac:dyDescent="0.25">
      <c r="K4440" s="146"/>
    </row>
    <row r="4441" spans="11:11" x14ac:dyDescent="0.25">
      <c r="K4441" s="146"/>
    </row>
    <row r="4442" spans="11:11" x14ac:dyDescent="0.25">
      <c r="K4442" s="146"/>
    </row>
    <row r="4443" spans="11:11" x14ac:dyDescent="0.25">
      <c r="K4443" s="146"/>
    </row>
    <row r="4444" spans="11:11" x14ac:dyDescent="0.25">
      <c r="K4444" s="146"/>
    </row>
    <row r="4445" spans="11:11" x14ac:dyDescent="0.25">
      <c r="K4445" s="146"/>
    </row>
    <row r="4446" spans="11:11" x14ac:dyDescent="0.25">
      <c r="K4446" s="146"/>
    </row>
    <row r="4447" spans="11:11" x14ac:dyDescent="0.25">
      <c r="K4447" s="146"/>
    </row>
    <row r="4448" spans="11:11" x14ac:dyDescent="0.25">
      <c r="K4448" s="146"/>
    </row>
    <row r="4449" spans="11:11" x14ac:dyDescent="0.25">
      <c r="K4449" s="146"/>
    </row>
    <row r="4450" spans="11:11" x14ac:dyDescent="0.25">
      <c r="K4450" s="146"/>
    </row>
    <row r="4451" spans="11:11" x14ac:dyDescent="0.25">
      <c r="K4451" s="146"/>
    </row>
    <row r="4452" spans="11:11" x14ac:dyDescent="0.25">
      <c r="K4452" s="146"/>
    </row>
    <row r="4453" spans="11:11" x14ac:dyDescent="0.25">
      <c r="K4453" s="146"/>
    </row>
    <row r="4454" spans="11:11" x14ac:dyDescent="0.25">
      <c r="K4454" s="146"/>
    </row>
    <row r="4455" spans="11:11" x14ac:dyDescent="0.25">
      <c r="K4455" s="146"/>
    </row>
    <row r="4456" spans="11:11" x14ac:dyDescent="0.25">
      <c r="K4456" s="146"/>
    </row>
    <row r="4457" spans="11:11" x14ac:dyDescent="0.25">
      <c r="K4457" s="146"/>
    </row>
    <row r="4458" spans="11:11" x14ac:dyDescent="0.25">
      <c r="K4458" s="146"/>
    </row>
    <row r="4459" spans="11:11" x14ac:dyDescent="0.25">
      <c r="K4459" s="146"/>
    </row>
    <row r="4460" spans="11:11" x14ac:dyDescent="0.25">
      <c r="K4460" s="146"/>
    </row>
    <row r="4461" spans="11:11" x14ac:dyDescent="0.25">
      <c r="K4461" s="146"/>
    </row>
    <row r="4462" spans="11:11" x14ac:dyDescent="0.25">
      <c r="K4462" s="146"/>
    </row>
    <row r="4463" spans="11:11" x14ac:dyDescent="0.25">
      <c r="K4463" s="146"/>
    </row>
    <row r="4464" spans="11:11" x14ac:dyDescent="0.25">
      <c r="K4464" s="146"/>
    </row>
    <row r="4465" spans="11:11" x14ac:dyDescent="0.25">
      <c r="K4465" s="146"/>
    </row>
    <row r="4466" spans="11:11" x14ac:dyDescent="0.25">
      <c r="K4466" s="146"/>
    </row>
    <row r="4467" spans="11:11" x14ac:dyDescent="0.25">
      <c r="K4467" s="146"/>
    </row>
    <row r="4468" spans="11:11" x14ac:dyDescent="0.25">
      <c r="K4468" s="146"/>
    </row>
    <row r="4469" spans="11:11" x14ac:dyDescent="0.25">
      <c r="K4469" s="146"/>
    </row>
    <row r="4470" spans="11:11" x14ac:dyDescent="0.25">
      <c r="K4470" s="146"/>
    </row>
    <row r="4471" spans="11:11" x14ac:dyDescent="0.25">
      <c r="K4471" s="146"/>
    </row>
    <row r="4472" spans="11:11" x14ac:dyDescent="0.25">
      <c r="K4472" s="146"/>
    </row>
    <row r="4473" spans="11:11" x14ac:dyDescent="0.25">
      <c r="K4473" s="146"/>
    </row>
    <row r="4474" spans="11:11" x14ac:dyDescent="0.25">
      <c r="K4474" s="146"/>
    </row>
    <row r="4475" spans="11:11" x14ac:dyDescent="0.25">
      <c r="K4475" s="146"/>
    </row>
    <row r="4476" spans="11:11" x14ac:dyDescent="0.25">
      <c r="K4476" s="146"/>
    </row>
    <row r="4477" spans="11:11" x14ac:dyDescent="0.25">
      <c r="K4477" s="146"/>
    </row>
    <row r="4478" spans="11:11" x14ac:dyDescent="0.25">
      <c r="K4478" s="146"/>
    </row>
    <row r="4479" spans="11:11" x14ac:dyDescent="0.25">
      <c r="K4479" s="146"/>
    </row>
    <row r="4480" spans="11:11" x14ac:dyDescent="0.25">
      <c r="K4480" s="146"/>
    </row>
    <row r="4481" spans="11:11" x14ac:dyDescent="0.25">
      <c r="K4481" s="146"/>
    </row>
    <row r="4482" spans="11:11" x14ac:dyDescent="0.25">
      <c r="K4482" s="146"/>
    </row>
    <row r="4483" spans="11:11" x14ac:dyDescent="0.25">
      <c r="K4483" s="146"/>
    </row>
    <row r="4484" spans="11:11" x14ac:dyDescent="0.25">
      <c r="K4484" s="146"/>
    </row>
    <row r="4485" spans="11:11" x14ac:dyDescent="0.25">
      <c r="K4485" s="146"/>
    </row>
    <row r="4486" spans="11:11" x14ac:dyDescent="0.25">
      <c r="K4486" s="146"/>
    </row>
    <row r="4487" spans="11:11" x14ac:dyDescent="0.25">
      <c r="K4487" s="146"/>
    </row>
    <row r="4488" spans="11:11" x14ac:dyDescent="0.25">
      <c r="K4488" s="146"/>
    </row>
    <row r="4489" spans="11:11" x14ac:dyDescent="0.25">
      <c r="K4489" s="146"/>
    </row>
    <row r="4490" spans="11:11" x14ac:dyDescent="0.25">
      <c r="K4490" s="146"/>
    </row>
    <row r="4491" spans="11:11" x14ac:dyDescent="0.25">
      <c r="K4491" s="146"/>
    </row>
    <row r="4492" spans="11:11" x14ac:dyDescent="0.25">
      <c r="K4492" s="146"/>
    </row>
    <row r="4493" spans="11:11" x14ac:dyDescent="0.25">
      <c r="K4493" s="146"/>
    </row>
    <row r="4494" spans="11:11" x14ac:dyDescent="0.25">
      <c r="K4494" s="146"/>
    </row>
    <row r="4495" spans="11:11" x14ac:dyDescent="0.25">
      <c r="K4495" s="146"/>
    </row>
    <row r="4496" spans="11:11" x14ac:dyDescent="0.25">
      <c r="K4496" s="146"/>
    </row>
    <row r="4497" spans="11:11" x14ac:dyDescent="0.25">
      <c r="K4497" s="146"/>
    </row>
    <row r="4498" spans="11:11" x14ac:dyDescent="0.25">
      <c r="K4498" s="146"/>
    </row>
    <row r="4499" spans="11:11" x14ac:dyDescent="0.25">
      <c r="K4499" s="146"/>
    </row>
    <row r="4500" spans="11:11" x14ac:dyDescent="0.25">
      <c r="K4500" s="146"/>
    </row>
    <row r="4501" spans="11:11" x14ac:dyDescent="0.25">
      <c r="K4501" s="146"/>
    </row>
    <row r="4502" spans="11:11" x14ac:dyDescent="0.25">
      <c r="K4502" s="146"/>
    </row>
    <row r="4503" spans="11:11" x14ac:dyDescent="0.25">
      <c r="K4503" s="146"/>
    </row>
    <row r="4504" spans="11:11" x14ac:dyDescent="0.25">
      <c r="K4504" s="146"/>
    </row>
    <row r="4505" spans="11:11" x14ac:dyDescent="0.25">
      <c r="K4505" s="146"/>
    </row>
    <row r="4506" spans="11:11" x14ac:dyDescent="0.25">
      <c r="K4506" s="146"/>
    </row>
    <row r="4507" spans="11:11" x14ac:dyDescent="0.25">
      <c r="K4507" s="146"/>
    </row>
    <row r="4508" spans="11:11" x14ac:dyDescent="0.25">
      <c r="K4508" s="146"/>
    </row>
    <row r="4509" spans="11:11" x14ac:dyDescent="0.25">
      <c r="K4509" s="146"/>
    </row>
    <row r="4510" spans="11:11" x14ac:dyDescent="0.25">
      <c r="K4510" s="146"/>
    </row>
    <row r="4511" spans="11:11" x14ac:dyDescent="0.25">
      <c r="K4511" s="146"/>
    </row>
    <row r="4512" spans="11:11" x14ac:dyDescent="0.25">
      <c r="K4512" s="146"/>
    </row>
    <row r="4513" spans="11:11" x14ac:dyDescent="0.25">
      <c r="K4513" s="146"/>
    </row>
    <row r="4514" spans="11:11" x14ac:dyDescent="0.25">
      <c r="K4514" s="146"/>
    </row>
    <row r="4515" spans="11:11" x14ac:dyDescent="0.25">
      <c r="K4515" s="146"/>
    </row>
    <row r="4516" spans="11:11" x14ac:dyDescent="0.25">
      <c r="K4516" s="146"/>
    </row>
    <row r="4517" spans="11:11" x14ac:dyDescent="0.25">
      <c r="K4517" s="146"/>
    </row>
    <row r="4518" spans="11:11" x14ac:dyDescent="0.25">
      <c r="K4518" s="146"/>
    </row>
    <row r="4519" spans="11:11" x14ac:dyDescent="0.25">
      <c r="K4519" s="146"/>
    </row>
    <row r="4520" spans="11:11" x14ac:dyDescent="0.25">
      <c r="K4520" s="146"/>
    </row>
    <row r="4521" spans="11:11" x14ac:dyDescent="0.25">
      <c r="K4521" s="146"/>
    </row>
    <row r="4522" spans="11:11" x14ac:dyDescent="0.25">
      <c r="K4522" s="146"/>
    </row>
    <row r="4523" spans="11:11" x14ac:dyDescent="0.25">
      <c r="K4523" s="146"/>
    </row>
    <row r="4524" spans="11:11" x14ac:dyDescent="0.25">
      <c r="K4524" s="146"/>
    </row>
    <row r="4525" spans="11:11" x14ac:dyDescent="0.25">
      <c r="K4525" s="146"/>
    </row>
    <row r="4526" spans="11:11" x14ac:dyDescent="0.25">
      <c r="K4526" s="146"/>
    </row>
    <row r="4527" spans="11:11" x14ac:dyDescent="0.25">
      <c r="K4527" s="146"/>
    </row>
    <row r="4528" spans="11:11" x14ac:dyDescent="0.25">
      <c r="K4528" s="146"/>
    </row>
    <row r="4529" spans="11:11" x14ac:dyDescent="0.25">
      <c r="K4529" s="146"/>
    </row>
    <row r="4530" spans="11:11" x14ac:dyDescent="0.25">
      <c r="K4530" s="146"/>
    </row>
    <row r="4531" spans="11:11" x14ac:dyDescent="0.25">
      <c r="K4531" s="146"/>
    </row>
    <row r="4532" spans="11:11" x14ac:dyDescent="0.25">
      <c r="K4532" s="146"/>
    </row>
    <row r="4533" spans="11:11" x14ac:dyDescent="0.25">
      <c r="K4533" s="146"/>
    </row>
    <row r="4534" spans="11:11" x14ac:dyDescent="0.25">
      <c r="K4534" s="146"/>
    </row>
    <row r="4535" spans="11:11" x14ac:dyDescent="0.25">
      <c r="K4535" s="146"/>
    </row>
    <row r="4536" spans="11:11" x14ac:dyDescent="0.25">
      <c r="K4536" s="146"/>
    </row>
    <row r="4537" spans="11:11" x14ac:dyDescent="0.25">
      <c r="K4537" s="146"/>
    </row>
    <row r="4538" spans="11:11" x14ac:dyDescent="0.25">
      <c r="K4538" s="146"/>
    </row>
    <row r="4539" spans="11:11" x14ac:dyDescent="0.25">
      <c r="K4539" s="146"/>
    </row>
    <row r="4540" spans="11:11" x14ac:dyDescent="0.25">
      <c r="K4540" s="146"/>
    </row>
    <row r="4541" spans="11:11" x14ac:dyDescent="0.25">
      <c r="K4541" s="146"/>
    </row>
    <row r="4542" spans="11:11" x14ac:dyDescent="0.25">
      <c r="K4542" s="146"/>
    </row>
    <row r="4543" spans="11:11" x14ac:dyDescent="0.25">
      <c r="K4543" s="146"/>
    </row>
    <row r="4544" spans="11:11" x14ac:dyDescent="0.25">
      <c r="K4544" s="146"/>
    </row>
    <row r="4545" spans="11:11" x14ac:dyDescent="0.25">
      <c r="K4545" s="146"/>
    </row>
    <row r="4546" spans="11:11" x14ac:dyDescent="0.25">
      <c r="K4546" s="146"/>
    </row>
    <row r="4547" spans="11:11" x14ac:dyDescent="0.25">
      <c r="K4547" s="146"/>
    </row>
    <row r="4548" spans="11:11" x14ac:dyDescent="0.25">
      <c r="K4548" s="146"/>
    </row>
    <row r="4549" spans="11:11" x14ac:dyDescent="0.25">
      <c r="K4549" s="146"/>
    </row>
    <row r="4550" spans="11:11" x14ac:dyDescent="0.25">
      <c r="K4550" s="146"/>
    </row>
    <row r="4551" spans="11:11" x14ac:dyDescent="0.25">
      <c r="K4551" s="146"/>
    </row>
    <row r="4552" spans="11:11" x14ac:dyDescent="0.25">
      <c r="K4552" s="146"/>
    </row>
    <row r="4553" spans="11:11" x14ac:dyDescent="0.25">
      <c r="K4553" s="146"/>
    </row>
    <row r="4554" spans="11:11" x14ac:dyDescent="0.25">
      <c r="K4554" s="146"/>
    </row>
    <row r="4555" spans="11:11" x14ac:dyDescent="0.25">
      <c r="K4555" s="146"/>
    </row>
    <row r="4556" spans="11:11" x14ac:dyDescent="0.25">
      <c r="K4556" s="146"/>
    </row>
    <row r="4557" spans="11:11" x14ac:dyDescent="0.25">
      <c r="K4557" s="146"/>
    </row>
    <row r="4558" spans="11:11" x14ac:dyDescent="0.25">
      <c r="K4558" s="146"/>
    </row>
    <row r="4559" spans="11:11" x14ac:dyDescent="0.25">
      <c r="K4559" s="146"/>
    </row>
    <row r="4560" spans="11:11" x14ac:dyDescent="0.25">
      <c r="K4560" s="146"/>
    </row>
    <row r="4561" spans="11:11" x14ac:dyDescent="0.25">
      <c r="K4561" s="146"/>
    </row>
    <row r="4562" spans="11:11" x14ac:dyDescent="0.25">
      <c r="K4562" s="146"/>
    </row>
    <row r="4563" spans="11:11" x14ac:dyDescent="0.25">
      <c r="K4563" s="146"/>
    </row>
    <row r="4564" spans="11:11" x14ac:dyDescent="0.25">
      <c r="K4564" s="146"/>
    </row>
    <row r="4565" spans="11:11" x14ac:dyDescent="0.25">
      <c r="K4565" s="146"/>
    </row>
    <row r="4566" spans="11:11" x14ac:dyDescent="0.25">
      <c r="K4566" s="146"/>
    </row>
    <row r="4567" spans="11:11" x14ac:dyDescent="0.25">
      <c r="K4567" s="146"/>
    </row>
    <row r="4568" spans="11:11" x14ac:dyDescent="0.25">
      <c r="K4568" s="146"/>
    </row>
    <row r="4569" spans="11:11" x14ac:dyDescent="0.25">
      <c r="K4569" s="146"/>
    </row>
    <row r="4570" spans="11:11" x14ac:dyDescent="0.25">
      <c r="K4570" s="146"/>
    </row>
    <row r="4571" spans="11:11" x14ac:dyDescent="0.25">
      <c r="K4571" s="146"/>
    </row>
    <row r="4572" spans="11:11" x14ac:dyDescent="0.25">
      <c r="K4572" s="146"/>
    </row>
    <row r="4573" spans="11:11" x14ac:dyDescent="0.25">
      <c r="K4573" s="146"/>
    </row>
    <row r="4574" spans="11:11" x14ac:dyDescent="0.25">
      <c r="K4574" s="146"/>
    </row>
    <row r="4575" spans="11:11" x14ac:dyDescent="0.25">
      <c r="K4575" s="146"/>
    </row>
    <row r="4576" spans="11:11" x14ac:dyDescent="0.25">
      <c r="K4576" s="146"/>
    </row>
    <row r="4577" spans="11:11" x14ac:dyDescent="0.25">
      <c r="K4577" s="146"/>
    </row>
    <row r="4578" spans="11:11" x14ac:dyDescent="0.25">
      <c r="K4578" s="146"/>
    </row>
    <row r="4579" spans="11:11" x14ac:dyDescent="0.25">
      <c r="K4579" s="146"/>
    </row>
    <row r="4580" spans="11:11" x14ac:dyDescent="0.25">
      <c r="K4580" s="146"/>
    </row>
    <row r="4581" spans="11:11" x14ac:dyDescent="0.25">
      <c r="K4581" s="146"/>
    </row>
    <row r="4582" spans="11:11" x14ac:dyDescent="0.25">
      <c r="K4582" s="146"/>
    </row>
    <row r="4583" spans="11:11" x14ac:dyDescent="0.25">
      <c r="K4583" s="146"/>
    </row>
    <row r="4584" spans="11:11" x14ac:dyDescent="0.25">
      <c r="K4584" s="146"/>
    </row>
    <row r="4585" spans="11:11" x14ac:dyDescent="0.25">
      <c r="K4585" s="146"/>
    </row>
    <row r="4586" spans="11:11" x14ac:dyDescent="0.25">
      <c r="K4586" s="146"/>
    </row>
    <row r="4587" spans="11:11" x14ac:dyDescent="0.25">
      <c r="K4587" s="146"/>
    </row>
    <row r="4588" spans="11:11" x14ac:dyDescent="0.25">
      <c r="K4588" s="146"/>
    </row>
    <row r="4589" spans="11:11" x14ac:dyDescent="0.25">
      <c r="K4589" s="146"/>
    </row>
    <row r="4590" spans="11:11" x14ac:dyDescent="0.25">
      <c r="K4590" s="146"/>
    </row>
    <row r="4591" spans="11:11" x14ac:dyDescent="0.25">
      <c r="K4591" s="146"/>
    </row>
    <row r="4592" spans="11:11" x14ac:dyDescent="0.25">
      <c r="K4592" s="146"/>
    </row>
    <row r="4593" spans="11:11" x14ac:dyDescent="0.25">
      <c r="K4593" s="146"/>
    </row>
    <row r="4594" spans="11:11" x14ac:dyDescent="0.25">
      <c r="K4594" s="146"/>
    </row>
    <row r="4595" spans="11:11" x14ac:dyDescent="0.25">
      <c r="K4595" s="146"/>
    </row>
    <row r="4596" spans="11:11" x14ac:dyDescent="0.25">
      <c r="K4596" s="146"/>
    </row>
    <row r="4597" spans="11:11" x14ac:dyDescent="0.25">
      <c r="K4597" s="146"/>
    </row>
    <row r="4598" spans="11:11" x14ac:dyDescent="0.25">
      <c r="K4598" s="146"/>
    </row>
    <row r="4599" spans="11:11" x14ac:dyDescent="0.25">
      <c r="K4599" s="146"/>
    </row>
    <row r="4600" spans="11:11" x14ac:dyDescent="0.25">
      <c r="K4600" s="146"/>
    </row>
    <row r="4601" spans="11:11" x14ac:dyDescent="0.25">
      <c r="K4601" s="146"/>
    </row>
    <row r="4602" spans="11:11" x14ac:dyDescent="0.25">
      <c r="K4602" s="146"/>
    </row>
    <row r="4603" spans="11:11" x14ac:dyDescent="0.25">
      <c r="K4603" s="146"/>
    </row>
    <row r="4604" spans="11:11" x14ac:dyDescent="0.25">
      <c r="K4604" s="146"/>
    </row>
    <row r="4605" spans="11:11" x14ac:dyDescent="0.25">
      <c r="K4605" s="146"/>
    </row>
    <row r="4606" spans="11:11" x14ac:dyDescent="0.25">
      <c r="K4606" s="146"/>
    </row>
    <row r="4607" spans="11:11" x14ac:dyDescent="0.25">
      <c r="K4607" s="146"/>
    </row>
    <row r="4608" spans="11:11" x14ac:dyDescent="0.25">
      <c r="K4608" s="146"/>
    </row>
    <row r="4609" spans="11:11" x14ac:dyDescent="0.25">
      <c r="K4609" s="146"/>
    </row>
    <row r="4610" spans="11:11" x14ac:dyDescent="0.25">
      <c r="K4610" s="146"/>
    </row>
    <row r="4611" spans="11:11" x14ac:dyDescent="0.25">
      <c r="K4611" s="146"/>
    </row>
    <row r="4612" spans="11:11" x14ac:dyDescent="0.25">
      <c r="K4612" s="146"/>
    </row>
    <row r="4613" spans="11:11" x14ac:dyDescent="0.25">
      <c r="K4613" s="146"/>
    </row>
    <row r="4614" spans="11:11" x14ac:dyDescent="0.25">
      <c r="K4614" s="146"/>
    </row>
    <row r="4615" spans="11:11" x14ac:dyDescent="0.25">
      <c r="K4615" s="146"/>
    </row>
    <row r="4616" spans="11:11" x14ac:dyDescent="0.25">
      <c r="K4616" s="146"/>
    </row>
    <row r="4617" spans="11:11" x14ac:dyDescent="0.25">
      <c r="K4617" s="146"/>
    </row>
    <row r="4618" spans="11:11" x14ac:dyDescent="0.25">
      <c r="K4618" s="146"/>
    </row>
    <row r="4619" spans="11:11" x14ac:dyDescent="0.25">
      <c r="K4619" s="146"/>
    </row>
    <row r="4620" spans="11:11" x14ac:dyDescent="0.25">
      <c r="K4620" s="146"/>
    </row>
    <row r="4621" spans="11:11" x14ac:dyDescent="0.25">
      <c r="K4621" s="146"/>
    </row>
    <row r="4622" spans="11:11" x14ac:dyDescent="0.25">
      <c r="K4622" s="146"/>
    </row>
    <row r="4623" spans="11:11" x14ac:dyDescent="0.25">
      <c r="K4623" s="146"/>
    </row>
    <row r="4624" spans="11:11" x14ac:dyDescent="0.25">
      <c r="K4624" s="146"/>
    </row>
    <row r="4625" spans="11:11" x14ac:dyDescent="0.25">
      <c r="K4625" s="146"/>
    </row>
    <row r="4626" spans="11:11" x14ac:dyDescent="0.25">
      <c r="K4626" s="146"/>
    </row>
    <row r="4627" spans="11:11" x14ac:dyDescent="0.25">
      <c r="K4627" s="146"/>
    </row>
    <row r="4628" spans="11:11" x14ac:dyDescent="0.25">
      <c r="K4628" s="146"/>
    </row>
    <row r="4629" spans="11:11" x14ac:dyDescent="0.25">
      <c r="K4629" s="146"/>
    </row>
    <row r="4630" spans="11:11" x14ac:dyDescent="0.25">
      <c r="K4630" s="146"/>
    </row>
    <row r="4631" spans="11:11" x14ac:dyDescent="0.25">
      <c r="K4631" s="146"/>
    </row>
    <row r="4632" spans="11:11" x14ac:dyDescent="0.25">
      <c r="K4632" s="146"/>
    </row>
    <row r="4633" spans="11:11" x14ac:dyDescent="0.25">
      <c r="K4633" s="146"/>
    </row>
    <row r="4634" spans="11:11" x14ac:dyDescent="0.25">
      <c r="K4634" s="146"/>
    </row>
    <row r="4635" spans="11:11" x14ac:dyDescent="0.25">
      <c r="K4635" s="146"/>
    </row>
    <row r="4636" spans="11:11" x14ac:dyDescent="0.25">
      <c r="K4636" s="146"/>
    </row>
    <row r="4637" spans="11:11" x14ac:dyDescent="0.25">
      <c r="K4637" s="146"/>
    </row>
    <row r="4638" spans="11:11" x14ac:dyDescent="0.25">
      <c r="K4638" s="146"/>
    </row>
    <row r="4639" spans="11:11" x14ac:dyDescent="0.25">
      <c r="K4639" s="146"/>
    </row>
    <row r="4640" spans="11:11" x14ac:dyDescent="0.25">
      <c r="K4640" s="146"/>
    </row>
    <row r="4641" spans="11:11" x14ac:dyDescent="0.25">
      <c r="K4641" s="146"/>
    </row>
    <row r="4642" spans="11:11" x14ac:dyDescent="0.25">
      <c r="K4642" s="146"/>
    </row>
    <row r="4643" spans="11:11" x14ac:dyDescent="0.25">
      <c r="K4643" s="146"/>
    </row>
    <row r="4644" spans="11:11" x14ac:dyDescent="0.25">
      <c r="K4644" s="146"/>
    </row>
    <row r="4645" spans="11:11" x14ac:dyDescent="0.25">
      <c r="K4645" s="146"/>
    </row>
    <row r="4646" spans="11:11" x14ac:dyDescent="0.25">
      <c r="K4646" s="146"/>
    </row>
    <row r="4647" spans="11:11" x14ac:dyDescent="0.25">
      <c r="K4647" s="146"/>
    </row>
    <row r="4648" spans="11:11" x14ac:dyDescent="0.25">
      <c r="K4648" s="146"/>
    </row>
    <row r="4649" spans="11:11" x14ac:dyDescent="0.25">
      <c r="K4649" s="146"/>
    </row>
    <row r="4650" spans="11:11" x14ac:dyDescent="0.25">
      <c r="K4650" s="146"/>
    </row>
    <row r="4651" spans="11:11" x14ac:dyDescent="0.25">
      <c r="K4651" s="146"/>
    </row>
    <row r="4652" spans="11:11" x14ac:dyDescent="0.25">
      <c r="K4652" s="146"/>
    </row>
    <row r="4653" spans="11:11" x14ac:dyDescent="0.25">
      <c r="K4653" s="146"/>
    </row>
    <row r="4654" spans="11:11" x14ac:dyDescent="0.25">
      <c r="K4654" s="146"/>
    </row>
    <row r="4655" spans="11:11" x14ac:dyDescent="0.25">
      <c r="K4655" s="146"/>
    </row>
    <row r="4656" spans="11:11" x14ac:dyDescent="0.25">
      <c r="K4656" s="146"/>
    </row>
    <row r="4657" spans="11:11" x14ac:dyDescent="0.25">
      <c r="K4657" s="146"/>
    </row>
    <row r="4658" spans="11:11" x14ac:dyDescent="0.25">
      <c r="K4658" s="146"/>
    </row>
    <row r="4659" spans="11:11" x14ac:dyDescent="0.25">
      <c r="K4659" s="146"/>
    </row>
    <row r="4660" spans="11:11" x14ac:dyDescent="0.25">
      <c r="K4660" s="146"/>
    </row>
    <row r="4661" spans="11:11" x14ac:dyDescent="0.25">
      <c r="K4661" s="146"/>
    </row>
    <row r="4662" spans="11:11" x14ac:dyDescent="0.25">
      <c r="K4662" s="146"/>
    </row>
    <row r="4663" spans="11:11" x14ac:dyDescent="0.25">
      <c r="K4663" s="146"/>
    </row>
    <row r="4664" spans="11:11" x14ac:dyDescent="0.25">
      <c r="K4664" s="146"/>
    </row>
    <row r="4665" spans="11:11" x14ac:dyDescent="0.25">
      <c r="K4665" s="146"/>
    </row>
    <row r="4666" spans="11:11" x14ac:dyDescent="0.25">
      <c r="K4666" s="146"/>
    </row>
    <row r="4667" spans="11:11" x14ac:dyDescent="0.25">
      <c r="K4667" s="146"/>
    </row>
    <row r="4668" spans="11:11" x14ac:dyDescent="0.25">
      <c r="K4668" s="146"/>
    </row>
    <row r="4669" spans="11:11" x14ac:dyDescent="0.25">
      <c r="K4669" s="146"/>
    </row>
    <row r="4670" spans="11:11" x14ac:dyDescent="0.25">
      <c r="K4670" s="146"/>
    </row>
    <row r="4671" spans="11:11" x14ac:dyDescent="0.25">
      <c r="K4671" s="146"/>
    </row>
    <row r="4672" spans="11:11" x14ac:dyDescent="0.25">
      <c r="K4672" s="146"/>
    </row>
    <row r="4673" spans="11:11" x14ac:dyDescent="0.25">
      <c r="K4673" s="146"/>
    </row>
    <row r="4674" spans="11:11" x14ac:dyDescent="0.25">
      <c r="K4674" s="146"/>
    </row>
    <row r="4675" spans="11:11" x14ac:dyDescent="0.25">
      <c r="K4675" s="146"/>
    </row>
    <row r="4676" spans="11:11" x14ac:dyDescent="0.25">
      <c r="K4676" s="146"/>
    </row>
    <row r="4677" spans="11:11" x14ac:dyDescent="0.25">
      <c r="K4677" s="146"/>
    </row>
    <row r="4678" spans="11:11" x14ac:dyDescent="0.25">
      <c r="K4678" s="146"/>
    </row>
    <row r="4679" spans="11:11" x14ac:dyDescent="0.25">
      <c r="K4679" s="146"/>
    </row>
    <row r="4680" spans="11:11" x14ac:dyDescent="0.25">
      <c r="K4680" s="146"/>
    </row>
    <row r="4681" spans="11:11" x14ac:dyDescent="0.25">
      <c r="K4681" s="146"/>
    </row>
    <row r="4682" spans="11:11" x14ac:dyDescent="0.25">
      <c r="K4682" s="146"/>
    </row>
    <row r="4683" spans="11:11" x14ac:dyDescent="0.25">
      <c r="K4683" s="146"/>
    </row>
    <row r="4684" spans="11:11" x14ac:dyDescent="0.25">
      <c r="K4684" s="146"/>
    </row>
    <row r="4685" spans="11:11" x14ac:dyDescent="0.25">
      <c r="K4685" s="146"/>
    </row>
    <row r="4686" spans="11:11" x14ac:dyDescent="0.25">
      <c r="K4686" s="146"/>
    </row>
    <row r="4687" spans="11:11" x14ac:dyDescent="0.25">
      <c r="K4687" s="146"/>
    </row>
    <row r="4688" spans="11:11" x14ac:dyDescent="0.25">
      <c r="K4688" s="146"/>
    </row>
    <row r="4689" spans="11:11" x14ac:dyDescent="0.25">
      <c r="K4689" s="146"/>
    </row>
    <row r="4690" spans="11:11" x14ac:dyDescent="0.25">
      <c r="K4690" s="146"/>
    </row>
    <row r="4691" spans="11:11" x14ac:dyDescent="0.25">
      <c r="K4691" s="146"/>
    </row>
    <row r="4692" spans="11:11" x14ac:dyDescent="0.25">
      <c r="K4692" s="146"/>
    </row>
    <row r="4693" spans="11:11" x14ac:dyDescent="0.25">
      <c r="K4693" s="146"/>
    </row>
    <row r="4694" spans="11:11" x14ac:dyDescent="0.25">
      <c r="K4694" s="146"/>
    </row>
    <row r="4695" spans="11:11" x14ac:dyDescent="0.25">
      <c r="K4695" s="146"/>
    </row>
    <row r="4696" spans="11:11" x14ac:dyDescent="0.25">
      <c r="K4696" s="146"/>
    </row>
    <row r="4697" spans="11:11" x14ac:dyDescent="0.25">
      <c r="K4697" s="146"/>
    </row>
    <row r="4698" spans="11:11" x14ac:dyDescent="0.25">
      <c r="K4698" s="146"/>
    </row>
    <row r="4699" spans="11:11" x14ac:dyDescent="0.25">
      <c r="K4699" s="146"/>
    </row>
    <row r="4700" spans="11:11" x14ac:dyDescent="0.25">
      <c r="K4700" s="146"/>
    </row>
    <row r="4701" spans="11:11" x14ac:dyDescent="0.25">
      <c r="K4701" s="146"/>
    </row>
    <row r="4702" spans="11:11" x14ac:dyDescent="0.25">
      <c r="K4702" s="146"/>
    </row>
    <row r="4703" spans="11:11" x14ac:dyDescent="0.25">
      <c r="K4703" s="146"/>
    </row>
    <row r="4704" spans="11:11" x14ac:dyDescent="0.25">
      <c r="K4704" s="146"/>
    </row>
    <row r="4705" spans="11:11" x14ac:dyDescent="0.25">
      <c r="K4705" s="146"/>
    </row>
    <row r="4706" spans="11:11" x14ac:dyDescent="0.25">
      <c r="K4706" s="146"/>
    </row>
    <row r="4707" spans="11:11" x14ac:dyDescent="0.25">
      <c r="K4707" s="146"/>
    </row>
    <row r="4708" spans="11:11" x14ac:dyDescent="0.25">
      <c r="K4708" s="146"/>
    </row>
    <row r="4709" spans="11:11" x14ac:dyDescent="0.25">
      <c r="K4709" s="146"/>
    </row>
    <row r="4710" spans="11:11" x14ac:dyDescent="0.25">
      <c r="K4710" s="146"/>
    </row>
    <row r="4711" spans="11:11" x14ac:dyDescent="0.25">
      <c r="K4711" s="146"/>
    </row>
    <row r="4712" spans="11:11" x14ac:dyDescent="0.25">
      <c r="K4712" s="146"/>
    </row>
    <row r="4713" spans="11:11" x14ac:dyDescent="0.25">
      <c r="K4713" s="146"/>
    </row>
    <row r="4714" spans="11:11" x14ac:dyDescent="0.25">
      <c r="K4714" s="146"/>
    </row>
    <row r="4715" spans="11:11" x14ac:dyDescent="0.25">
      <c r="K4715" s="146"/>
    </row>
    <row r="4716" spans="11:11" x14ac:dyDescent="0.25">
      <c r="K4716" s="146"/>
    </row>
    <row r="4717" spans="11:11" x14ac:dyDescent="0.25">
      <c r="K4717" s="146"/>
    </row>
    <row r="4718" spans="11:11" x14ac:dyDescent="0.25">
      <c r="K4718" s="146"/>
    </row>
    <row r="4719" spans="11:11" x14ac:dyDescent="0.25">
      <c r="K4719" s="146"/>
    </row>
    <row r="4720" spans="11:11" x14ac:dyDescent="0.25">
      <c r="K4720" s="146"/>
    </row>
    <row r="4721" spans="11:11" x14ac:dyDescent="0.25">
      <c r="K4721" s="146"/>
    </row>
    <row r="4722" spans="11:11" x14ac:dyDescent="0.25">
      <c r="K4722" s="146"/>
    </row>
    <row r="4723" spans="11:11" x14ac:dyDescent="0.25">
      <c r="K4723" s="146"/>
    </row>
    <row r="4724" spans="11:11" x14ac:dyDescent="0.25">
      <c r="K4724" s="146"/>
    </row>
    <row r="4725" spans="11:11" x14ac:dyDescent="0.25">
      <c r="K4725" s="146"/>
    </row>
    <row r="4726" spans="11:11" x14ac:dyDescent="0.25">
      <c r="K4726" s="146"/>
    </row>
    <row r="4727" spans="11:11" x14ac:dyDescent="0.25">
      <c r="K4727" s="146"/>
    </row>
    <row r="4728" spans="11:11" x14ac:dyDescent="0.25">
      <c r="K4728" s="146"/>
    </row>
    <row r="4729" spans="11:11" x14ac:dyDescent="0.25">
      <c r="K4729" s="146"/>
    </row>
    <row r="4730" spans="11:11" x14ac:dyDescent="0.25">
      <c r="K4730" s="146"/>
    </row>
    <row r="4731" spans="11:11" x14ac:dyDescent="0.25">
      <c r="K4731" s="146"/>
    </row>
    <row r="4732" spans="11:11" x14ac:dyDescent="0.25">
      <c r="K4732" s="146"/>
    </row>
    <row r="4733" spans="11:11" x14ac:dyDescent="0.25">
      <c r="K4733" s="146"/>
    </row>
    <row r="4734" spans="11:11" x14ac:dyDescent="0.25">
      <c r="K4734" s="146"/>
    </row>
    <row r="4735" spans="11:11" x14ac:dyDescent="0.25">
      <c r="K4735" s="146"/>
    </row>
    <row r="4736" spans="11:11" x14ac:dyDescent="0.25">
      <c r="K4736" s="146"/>
    </row>
    <row r="4737" spans="11:11" x14ac:dyDescent="0.25">
      <c r="K4737" s="146"/>
    </row>
    <row r="4738" spans="11:11" x14ac:dyDescent="0.25">
      <c r="K4738" s="146"/>
    </row>
    <row r="4739" spans="11:11" x14ac:dyDescent="0.25">
      <c r="K4739" s="146"/>
    </row>
    <row r="4740" spans="11:11" x14ac:dyDescent="0.25">
      <c r="K4740" s="146"/>
    </row>
    <row r="4741" spans="11:11" x14ac:dyDescent="0.25">
      <c r="K4741" s="146"/>
    </row>
    <row r="4742" spans="11:11" x14ac:dyDescent="0.25">
      <c r="K4742" s="146"/>
    </row>
    <row r="4743" spans="11:11" x14ac:dyDescent="0.25">
      <c r="K4743" s="146"/>
    </row>
    <row r="4744" spans="11:11" x14ac:dyDescent="0.25">
      <c r="K4744" s="146"/>
    </row>
    <row r="4745" spans="11:11" x14ac:dyDescent="0.25">
      <c r="K4745" s="146"/>
    </row>
    <row r="4746" spans="11:11" x14ac:dyDescent="0.25">
      <c r="K4746" s="146"/>
    </row>
    <row r="4747" spans="11:11" x14ac:dyDescent="0.25">
      <c r="K4747" s="146"/>
    </row>
    <row r="4748" spans="11:11" x14ac:dyDescent="0.25">
      <c r="K4748" s="146"/>
    </row>
    <row r="4749" spans="11:11" x14ac:dyDescent="0.25">
      <c r="K4749" s="146"/>
    </row>
    <row r="4750" spans="11:11" x14ac:dyDescent="0.25">
      <c r="K4750" s="146"/>
    </row>
    <row r="4751" spans="11:11" x14ac:dyDescent="0.25">
      <c r="K4751" s="146"/>
    </row>
    <row r="4752" spans="11:11" x14ac:dyDescent="0.25">
      <c r="K4752" s="146"/>
    </row>
    <row r="4753" spans="11:11" x14ac:dyDescent="0.25">
      <c r="K4753" s="146"/>
    </row>
    <row r="4754" spans="11:11" x14ac:dyDescent="0.25">
      <c r="K4754" s="146"/>
    </row>
    <row r="4755" spans="11:11" x14ac:dyDescent="0.25">
      <c r="K4755" s="146"/>
    </row>
    <row r="4756" spans="11:11" x14ac:dyDescent="0.25">
      <c r="K4756" s="146"/>
    </row>
    <row r="4757" spans="11:11" x14ac:dyDescent="0.25">
      <c r="K4757" s="146"/>
    </row>
    <row r="4758" spans="11:11" x14ac:dyDescent="0.25">
      <c r="K4758" s="146"/>
    </row>
    <row r="4759" spans="11:11" x14ac:dyDescent="0.25">
      <c r="K4759" s="146"/>
    </row>
    <row r="4760" spans="11:11" x14ac:dyDescent="0.25">
      <c r="K4760" s="146"/>
    </row>
    <row r="4761" spans="11:11" x14ac:dyDescent="0.25">
      <c r="K4761" s="146"/>
    </row>
    <row r="4762" spans="11:11" x14ac:dyDescent="0.25">
      <c r="K4762" s="146"/>
    </row>
    <row r="4763" spans="11:11" x14ac:dyDescent="0.25">
      <c r="K4763" s="146"/>
    </row>
    <row r="4764" spans="11:11" x14ac:dyDescent="0.25">
      <c r="K4764" s="146"/>
    </row>
    <row r="4765" spans="11:11" x14ac:dyDescent="0.25">
      <c r="K4765" s="146"/>
    </row>
    <row r="4766" spans="11:11" x14ac:dyDescent="0.25">
      <c r="K4766" s="146"/>
    </row>
    <row r="4767" spans="11:11" x14ac:dyDescent="0.25">
      <c r="K4767" s="146"/>
    </row>
    <row r="4768" spans="11:11" x14ac:dyDescent="0.25">
      <c r="K4768" s="146"/>
    </row>
    <row r="4769" spans="11:11" x14ac:dyDescent="0.25">
      <c r="K4769" s="146"/>
    </row>
    <row r="4770" spans="11:11" x14ac:dyDescent="0.25">
      <c r="K4770" s="146"/>
    </row>
    <row r="4771" spans="11:11" x14ac:dyDescent="0.25">
      <c r="K4771" s="146"/>
    </row>
    <row r="4772" spans="11:11" x14ac:dyDescent="0.25">
      <c r="K4772" s="146"/>
    </row>
    <row r="4773" spans="11:11" x14ac:dyDescent="0.25">
      <c r="K4773" s="146"/>
    </row>
    <row r="4774" spans="11:11" x14ac:dyDescent="0.25">
      <c r="K4774" s="146"/>
    </row>
    <row r="4775" spans="11:11" x14ac:dyDescent="0.25">
      <c r="K4775" s="146"/>
    </row>
    <row r="4776" spans="11:11" x14ac:dyDescent="0.25">
      <c r="K4776" s="146"/>
    </row>
    <row r="4777" spans="11:11" x14ac:dyDescent="0.25">
      <c r="K4777" s="146"/>
    </row>
    <row r="4778" spans="11:11" x14ac:dyDescent="0.25">
      <c r="K4778" s="146"/>
    </row>
    <row r="4779" spans="11:11" x14ac:dyDescent="0.25">
      <c r="K4779" s="146"/>
    </row>
    <row r="4780" spans="11:11" x14ac:dyDescent="0.25">
      <c r="K4780" s="146"/>
    </row>
    <row r="4781" spans="11:11" x14ac:dyDescent="0.25">
      <c r="K4781" s="146"/>
    </row>
    <row r="4782" spans="11:11" x14ac:dyDescent="0.25">
      <c r="K4782" s="146"/>
    </row>
    <row r="4783" spans="11:11" x14ac:dyDescent="0.25">
      <c r="K4783" s="146"/>
    </row>
    <row r="4784" spans="11:11" x14ac:dyDescent="0.25">
      <c r="K4784" s="146"/>
    </row>
    <row r="4785" spans="11:11" x14ac:dyDescent="0.25">
      <c r="K4785" s="146"/>
    </row>
    <row r="4786" spans="11:11" x14ac:dyDescent="0.25">
      <c r="K4786" s="146"/>
    </row>
    <row r="4787" spans="11:11" x14ac:dyDescent="0.25">
      <c r="K4787" s="146"/>
    </row>
    <row r="4788" spans="11:11" x14ac:dyDescent="0.25">
      <c r="K4788" s="146"/>
    </row>
    <row r="4789" spans="11:11" x14ac:dyDescent="0.25">
      <c r="K4789" s="146"/>
    </row>
    <row r="4790" spans="11:11" x14ac:dyDescent="0.25">
      <c r="K4790" s="146"/>
    </row>
    <row r="4791" spans="11:11" x14ac:dyDescent="0.25">
      <c r="K4791" s="146"/>
    </row>
    <row r="4792" spans="11:11" x14ac:dyDescent="0.25">
      <c r="K4792" s="146"/>
    </row>
    <row r="4793" spans="11:11" x14ac:dyDescent="0.25">
      <c r="K4793" s="146"/>
    </row>
    <row r="4794" spans="11:11" x14ac:dyDescent="0.25">
      <c r="K4794" s="146"/>
    </row>
    <row r="4795" spans="11:11" x14ac:dyDescent="0.25">
      <c r="K4795" s="146"/>
    </row>
    <row r="4796" spans="11:11" x14ac:dyDescent="0.25">
      <c r="K4796" s="146"/>
    </row>
    <row r="4797" spans="11:11" x14ac:dyDescent="0.25">
      <c r="K4797" s="146"/>
    </row>
    <row r="4798" spans="11:11" x14ac:dyDescent="0.25">
      <c r="K4798" s="146"/>
    </row>
    <row r="4799" spans="11:11" x14ac:dyDescent="0.25">
      <c r="K4799" s="146"/>
    </row>
    <row r="4800" spans="11:11" x14ac:dyDescent="0.25">
      <c r="K4800" s="146"/>
    </row>
    <row r="4801" spans="11:11" x14ac:dyDescent="0.25">
      <c r="K4801" s="146"/>
    </row>
    <row r="4802" spans="11:11" x14ac:dyDescent="0.25">
      <c r="K4802" s="146"/>
    </row>
    <row r="4803" spans="11:11" x14ac:dyDescent="0.25">
      <c r="K4803" s="146"/>
    </row>
    <row r="4804" spans="11:11" x14ac:dyDescent="0.25">
      <c r="K4804" s="146"/>
    </row>
    <row r="4805" spans="11:11" x14ac:dyDescent="0.25">
      <c r="K4805" s="146"/>
    </row>
    <row r="4806" spans="11:11" x14ac:dyDescent="0.25">
      <c r="K4806" s="146"/>
    </row>
    <row r="4807" spans="11:11" x14ac:dyDescent="0.25">
      <c r="K4807" s="146"/>
    </row>
    <row r="4808" spans="11:11" x14ac:dyDescent="0.25">
      <c r="K4808" s="146"/>
    </row>
    <row r="4809" spans="11:11" x14ac:dyDescent="0.25">
      <c r="K4809" s="146"/>
    </row>
    <row r="4810" spans="11:11" x14ac:dyDescent="0.25">
      <c r="K4810" s="146"/>
    </row>
    <row r="4811" spans="11:11" x14ac:dyDescent="0.25">
      <c r="K4811" s="146"/>
    </row>
    <row r="4812" spans="11:11" x14ac:dyDescent="0.25">
      <c r="K4812" s="146"/>
    </row>
    <row r="4813" spans="11:11" x14ac:dyDescent="0.25">
      <c r="K4813" s="146"/>
    </row>
    <row r="4814" spans="11:11" x14ac:dyDescent="0.25">
      <c r="K4814" s="146"/>
    </row>
    <row r="4815" spans="11:11" x14ac:dyDescent="0.25">
      <c r="K4815" s="146"/>
    </row>
    <row r="4816" spans="11:11" x14ac:dyDescent="0.25">
      <c r="K4816" s="146"/>
    </row>
    <row r="4817" spans="11:11" x14ac:dyDescent="0.25">
      <c r="K4817" s="146"/>
    </row>
    <row r="4818" spans="11:11" x14ac:dyDescent="0.25">
      <c r="K4818" s="146"/>
    </row>
    <row r="4819" spans="11:11" x14ac:dyDescent="0.25">
      <c r="K4819" s="146"/>
    </row>
    <row r="4820" spans="11:11" x14ac:dyDescent="0.25">
      <c r="K4820" s="146"/>
    </row>
    <row r="4821" spans="11:11" x14ac:dyDescent="0.25">
      <c r="K4821" s="146"/>
    </row>
    <row r="4822" spans="11:11" x14ac:dyDescent="0.25">
      <c r="K4822" s="146"/>
    </row>
    <row r="4823" spans="11:11" x14ac:dyDescent="0.25">
      <c r="K4823" s="146"/>
    </row>
    <row r="4824" spans="11:11" x14ac:dyDescent="0.25">
      <c r="K4824" s="146"/>
    </row>
    <row r="4825" spans="11:11" x14ac:dyDescent="0.25">
      <c r="K4825" s="146"/>
    </row>
    <row r="4826" spans="11:11" x14ac:dyDescent="0.25">
      <c r="K4826" s="146"/>
    </row>
    <row r="4827" spans="11:11" x14ac:dyDescent="0.25">
      <c r="K4827" s="146"/>
    </row>
    <row r="4828" spans="11:11" x14ac:dyDescent="0.25">
      <c r="K4828" s="146"/>
    </row>
    <row r="4829" spans="11:11" x14ac:dyDescent="0.25">
      <c r="K4829" s="146"/>
    </row>
    <row r="4830" spans="11:11" x14ac:dyDescent="0.25">
      <c r="K4830" s="146"/>
    </row>
    <row r="4831" spans="11:11" x14ac:dyDescent="0.25">
      <c r="K4831" s="146"/>
    </row>
    <row r="4832" spans="11:11" x14ac:dyDescent="0.25">
      <c r="K4832" s="146"/>
    </row>
    <row r="4833" spans="11:11" x14ac:dyDescent="0.25">
      <c r="K4833" s="146"/>
    </row>
    <row r="4834" spans="11:11" x14ac:dyDescent="0.25">
      <c r="K4834" s="146"/>
    </row>
    <row r="4835" spans="11:11" x14ac:dyDescent="0.25">
      <c r="K4835" s="146"/>
    </row>
    <row r="4836" spans="11:11" x14ac:dyDescent="0.25">
      <c r="K4836" s="146"/>
    </row>
    <row r="4837" spans="11:11" x14ac:dyDescent="0.25">
      <c r="K4837" s="146"/>
    </row>
    <row r="4838" spans="11:11" x14ac:dyDescent="0.25">
      <c r="K4838" s="146"/>
    </row>
    <row r="4839" spans="11:11" x14ac:dyDescent="0.25">
      <c r="K4839" s="146"/>
    </row>
    <row r="4840" spans="11:11" x14ac:dyDescent="0.25">
      <c r="K4840" s="146"/>
    </row>
    <row r="4841" spans="11:11" x14ac:dyDescent="0.25">
      <c r="K4841" s="146"/>
    </row>
    <row r="4842" spans="11:11" x14ac:dyDescent="0.25">
      <c r="K4842" s="146"/>
    </row>
    <row r="4843" spans="11:11" x14ac:dyDescent="0.25">
      <c r="K4843" s="146"/>
    </row>
    <row r="4844" spans="11:11" x14ac:dyDescent="0.25">
      <c r="K4844" s="146"/>
    </row>
    <row r="4845" spans="11:11" x14ac:dyDescent="0.25">
      <c r="K4845" s="146"/>
    </row>
    <row r="4846" spans="11:11" x14ac:dyDescent="0.25">
      <c r="K4846" s="146"/>
    </row>
    <row r="4847" spans="11:11" x14ac:dyDescent="0.25">
      <c r="K4847" s="146"/>
    </row>
    <row r="4848" spans="11:11" x14ac:dyDescent="0.25">
      <c r="K4848" s="146"/>
    </row>
    <row r="4849" spans="11:11" x14ac:dyDescent="0.25">
      <c r="K4849" s="146"/>
    </row>
    <row r="4850" spans="11:11" x14ac:dyDescent="0.25">
      <c r="K4850" s="146"/>
    </row>
    <row r="4851" spans="11:11" x14ac:dyDescent="0.25">
      <c r="K4851" s="146"/>
    </row>
    <row r="4852" spans="11:11" x14ac:dyDescent="0.25">
      <c r="K4852" s="146"/>
    </row>
    <row r="4853" spans="11:11" x14ac:dyDescent="0.25">
      <c r="K4853" s="146"/>
    </row>
    <row r="4854" spans="11:11" x14ac:dyDescent="0.25">
      <c r="K4854" s="146"/>
    </row>
    <row r="4855" spans="11:11" x14ac:dyDescent="0.25">
      <c r="K4855" s="146"/>
    </row>
    <row r="4856" spans="11:11" x14ac:dyDescent="0.25">
      <c r="K4856" s="146"/>
    </row>
    <row r="4857" spans="11:11" x14ac:dyDescent="0.25">
      <c r="K4857" s="146"/>
    </row>
    <row r="4858" spans="11:11" x14ac:dyDescent="0.25">
      <c r="K4858" s="146"/>
    </row>
    <row r="4859" spans="11:11" x14ac:dyDescent="0.25">
      <c r="K4859" s="146"/>
    </row>
    <row r="4860" spans="11:11" x14ac:dyDescent="0.25">
      <c r="K4860" s="146"/>
    </row>
    <row r="4861" spans="11:11" x14ac:dyDescent="0.25">
      <c r="K4861" s="146"/>
    </row>
    <row r="4862" spans="11:11" x14ac:dyDescent="0.25">
      <c r="K4862" s="146"/>
    </row>
    <row r="4863" spans="11:11" x14ac:dyDescent="0.25">
      <c r="K4863" s="146"/>
    </row>
    <row r="4864" spans="11:11" x14ac:dyDescent="0.25">
      <c r="K4864" s="146"/>
    </row>
    <row r="4865" spans="11:11" x14ac:dyDescent="0.25">
      <c r="K4865" s="146"/>
    </row>
    <row r="4866" spans="11:11" x14ac:dyDescent="0.25">
      <c r="K4866" s="146"/>
    </row>
    <row r="4867" spans="11:11" x14ac:dyDescent="0.25">
      <c r="K4867" s="146"/>
    </row>
    <row r="4868" spans="11:11" x14ac:dyDescent="0.25">
      <c r="K4868" s="146"/>
    </row>
    <row r="4869" spans="11:11" x14ac:dyDescent="0.25">
      <c r="K4869" s="146"/>
    </row>
    <row r="4870" spans="11:11" x14ac:dyDescent="0.25">
      <c r="K4870" s="146"/>
    </row>
    <row r="4871" spans="11:11" x14ac:dyDescent="0.25">
      <c r="K4871" s="146"/>
    </row>
    <row r="4872" spans="11:11" x14ac:dyDescent="0.25">
      <c r="K4872" s="146"/>
    </row>
    <row r="4873" spans="11:11" x14ac:dyDescent="0.25">
      <c r="K4873" s="146"/>
    </row>
    <row r="4874" spans="11:11" x14ac:dyDescent="0.25">
      <c r="K4874" s="146"/>
    </row>
    <row r="4875" spans="11:11" x14ac:dyDescent="0.25">
      <c r="K4875" s="146"/>
    </row>
    <row r="4876" spans="11:11" x14ac:dyDescent="0.25">
      <c r="K4876" s="146"/>
    </row>
    <row r="4877" spans="11:11" x14ac:dyDescent="0.25">
      <c r="K4877" s="146"/>
    </row>
    <row r="4878" spans="11:11" x14ac:dyDescent="0.25">
      <c r="K4878" s="146"/>
    </row>
    <row r="4879" spans="11:11" x14ac:dyDescent="0.25">
      <c r="K4879" s="146"/>
    </row>
    <row r="4880" spans="11:11" x14ac:dyDescent="0.25">
      <c r="K4880" s="146"/>
    </row>
    <row r="4881" spans="11:11" x14ac:dyDescent="0.25">
      <c r="K4881" s="146"/>
    </row>
    <row r="4882" spans="11:11" x14ac:dyDescent="0.25">
      <c r="K4882" s="146"/>
    </row>
    <row r="4883" spans="11:11" x14ac:dyDescent="0.25">
      <c r="K4883" s="146"/>
    </row>
    <row r="4884" spans="11:11" x14ac:dyDescent="0.25">
      <c r="K4884" s="146"/>
    </row>
    <row r="4885" spans="11:11" x14ac:dyDescent="0.25">
      <c r="K4885" s="146"/>
    </row>
    <row r="4886" spans="11:11" x14ac:dyDescent="0.25">
      <c r="K4886" s="146"/>
    </row>
    <row r="4887" spans="11:11" x14ac:dyDescent="0.25">
      <c r="K4887" s="146"/>
    </row>
    <row r="4888" spans="11:11" x14ac:dyDescent="0.25">
      <c r="K4888" s="146"/>
    </row>
    <row r="4889" spans="11:11" x14ac:dyDescent="0.25">
      <c r="K4889" s="146"/>
    </row>
    <row r="4890" spans="11:11" x14ac:dyDescent="0.25">
      <c r="K4890" s="146"/>
    </row>
    <row r="4891" spans="11:11" x14ac:dyDescent="0.25">
      <c r="K4891" s="146"/>
    </row>
    <row r="4892" spans="11:11" x14ac:dyDescent="0.25">
      <c r="K4892" s="146"/>
    </row>
    <row r="4893" spans="11:11" x14ac:dyDescent="0.25">
      <c r="K4893" s="146"/>
    </row>
    <row r="4894" spans="11:11" x14ac:dyDescent="0.25">
      <c r="K4894" s="146"/>
    </row>
    <row r="4895" spans="11:11" x14ac:dyDescent="0.25">
      <c r="K4895" s="146"/>
    </row>
    <row r="4896" spans="11:11" x14ac:dyDescent="0.25">
      <c r="K4896" s="146"/>
    </row>
    <row r="4897" spans="11:11" x14ac:dyDescent="0.25">
      <c r="K4897" s="146"/>
    </row>
    <row r="4898" spans="11:11" x14ac:dyDescent="0.25">
      <c r="K4898" s="146"/>
    </row>
    <row r="4899" spans="11:11" x14ac:dyDescent="0.25">
      <c r="K4899" s="146"/>
    </row>
    <row r="4900" spans="11:11" x14ac:dyDescent="0.25">
      <c r="K4900" s="146"/>
    </row>
    <row r="4901" spans="11:11" x14ac:dyDescent="0.25">
      <c r="K4901" s="146"/>
    </row>
    <row r="4902" spans="11:11" x14ac:dyDescent="0.25">
      <c r="K4902" s="146"/>
    </row>
    <row r="4903" spans="11:11" x14ac:dyDescent="0.25">
      <c r="K4903" s="146"/>
    </row>
    <row r="4904" spans="11:11" x14ac:dyDescent="0.25">
      <c r="K4904" s="146"/>
    </row>
    <row r="4905" spans="11:11" x14ac:dyDescent="0.25">
      <c r="K4905" s="146"/>
    </row>
    <row r="4906" spans="11:11" x14ac:dyDescent="0.25">
      <c r="K4906" s="146"/>
    </row>
    <row r="4907" spans="11:11" x14ac:dyDescent="0.25">
      <c r="K4907" s="146"/>
    </row>
    <row r="4908" spans="11:11" x14ac:dyDescent="0.25">
      <c r="K4908" s="146"/>
    </row>
    <row r="4909" spans="11:11" x14ac:dyDescent="0.25">
      <c r="K4909" s="146"/>
    </row>
    <row r="4910" spans="11:11" x14ac:dyDescent="0.25">
      <c r="K4910" s="146"/>
    </row>
    <row r="4911" spans="11:11" x14ac:dyDescent="0.25">
      <c r="K4911" s="146"/>
    </row>
    <row r="4912" spans="11:11" x14ac:dyDescent="0.25">
      <c r="K4912" s="146"/>
    </row>
    <row r="4913" spans="11:11" x14ac:dyDescent="0.25">
      <c r="K4913" s="146"/>
    </row>
    <row r="4914" spans="11:11" x14ac:dyDescent="0.25">
      <c r="K4914" s="146"/>
    </row>
    <row r="4915" spans="11:11" x14ac:dyDescent="0.25">
      <c r="K4915" s="146"/>
    </row>
    <row r="4916" spans="11:11" x14ac:dyDescent="0.25">
      <c r="K4916" s="146"/>
    </row>
    <row r="4917" spans="11:11" x14ac:dyDescent="0.25">
      <c r="K4917" s="146"/>
    </row>
    <row r="4918" spans="11:11" x14ac:dyDescent="0.25">
      <c r="K4918" s="146"/>
    </row>
    <row r="4919" spans="11:11" x14ac:dyDescent="0.25">
      <c r="K4919" s="146"/>
    </row>
    <row r="4920" spans="11:11" x14ac:dyDescent="0.25">
      <c r="K4920" s="146"/>
    </row>
    <row r="4921" spans="11:11" x14ac:dyDescent="0.25">
      <c r="K4921" s="146"/>
    </row>
    <row r="4922" spans="11:11" x14ac:dyDescent="0.25">
      <c r="K4922" s="146"/>
    </row>
    <row r="4923" spans="11:11" x14ac:dyDescent="0.25">
      <c r="K4923" s="146"/>
    </row>
    <row r="4924" spans="11:11" x14ac:dyDescent="0.25">
      <c r="K4924" s="146"/>
    </row>
    <row r="4925" spans="11:11" x14ac:dyDescent="0.25">
      <c r="K4925" s="146"/>
    </row>
    <row r="4926" spans="11:11" x14ac:dyDescent="0.25">
      <c r="K4926" s="146"/>
    </row>
    <row r="4927" spans="11:11" x14ac:dyDescent="0.25">
      <c r="K4927" s="146"/>
    </row>
    <row r="4928" spans="11:11" x14ac:dyDescent="0.25">
      <c r="K4928" s="146"/>
    </row>
    <row r="4929" spans="11:11" x14ac:dyDescent="0.25">
      <c r="K4929" s="146"/>
    </row>
    <row r="4930" spans="11:11" x14ac:dyDescent="0.25">
      <c r="K4930" s="146"/>
    </row>
    <row r="4931" spans="11:11" x14ac:dyDescent="0.25">
      <c r="K4931" s="146"/>
    </row>
    <row r="4932" spans="11:11" x14ac:dyDescent="0.25">
      <c r="K4932" s="146"/>
    </row>
    <row r="4933" spans="11:11" x14ac:dyDescent="0.25">
      <c r="K4933" s="146"/>
    </row>
    <row r="4934" spans="11:11" x14ac:dyDescent="0.25">
      <c r="K4934" s="146"/>
    </row>
    <row r="4935" spans="11:11" x14ac:dyDescent="0.25">
      <c r="K4935" s="146"/>
    </row>
    <row r="4936" spans="11:11" x14ac:dyDescent="0.25">
      <c r="K4936" s="146"/>
    </row>
    <row r="4937" spans="11:11" x14ac:dyDescent="0.25">
      <c r="K4937" s="146"/>
    </row>
    <row r="4938" spans="11:11" x14ac:dyDescent="0.25">
      <c r="K4938" s="146"/>
    </row>
    <row r="4939" spans="11:11" x14ac:dyDescent="0.25">
      <c r="K4939" s="146"/>
    </row>
    <row r="4940" spans="11:11" x14ac:dyDescent="0.25">
      <c r="K4940" s="146"/>
    </row>
    <row r="4941" spans="11:11" x14ac:dyDescent="0.25">
      <c r="K4941" s="146"/>
    </row>
    <row r="4942" spans="11:11" x14ac:dyDescent="0.25">
      <c r="K4942" s="146"/>
    </row>
    <row r="4943" spans="11:11" x14ac:dyDescent="0.25">
      <c r="K4943" s="146"/>
    </row>
    <row r="4944" spans="11:11" x14ac:dyDescent="0.25">
      <c r="K4944" s="146"/>
    </row>
    <row r="4945" spans="11:11" x14ac:dyDescent="0.25">
      <c r="K4945" s="146"/>
    </row>
    <row r="4946" spans="11:11" x14ac:dyDescent="0.25">
      <c r="K4946" s="146"/>
    </row>
    <row r="4947" spans="11:11" x14ac:dyDescent="0.25">
      <c r="K4947" s="146"/>
    </row>
    <row r="4948" spans="11:11" x14ac:dyDescent="0.25">
      <c r="K4948" s="146"/>
    </row>
    <row r="4949" spans="11:11" x14ac:dyDescent="0.25">
      <c r="K4949" s="146"/>
    </row>
    <row r="4950" spans="11:11" x14ac:dyDescent="0.25">
      <c r="K4950" s="146"/>
    </row>
    <row r="4951" spans="11:11" x14ac:dyDescent="0.25">
      <c r="K4951" s="146"/>
    </row>
    <row r="4952" spans="11:11" x14ac:dyDescent="0.25">
      <c r="K4952" s="146"/>
    </row>
    <row r="4953" spans="11:11" x14ac:dyDescent="0.25">
      <c r="K4953" s="146"/>
    </row>
    <row r="4954" spans="11:11" x14ac:dyDescent="0.25">
      <c r="K4954" s="146"/>
    </row>
    <row r="4955" spans="11:11" x14ac:dyDescent="0.25">
      <c r="K4955" s="146"/>
    </row>
    <row r="4956" spans="11:11" x14ac:dyDescent="0.25">
      <c r="K4956" s="146"/>
    </row>
    <row r="4957" spans="11:11" x14ac:dyDescent="0.25">
      <c r="K4957" s="146"/>
    </row>
    <row r="4958" spans="11:11" x14ac:dyDescent="0.25">
      <c r="K4958" s="146"/>
    </row>
    <row r="4959" spans="11:11" x14ac:dyDescent="0.25">
      <c r="K4959" s="146"/>
    </row>
    <row r="4960" spans="11:11" x14ac:dyDescent="0.25">
      <c r="K4960" s="146"/>
    </row>
    <row r="4961" spans="11:11" x14ac:dyDescent="0.25">
      <c r="K4961" s="146"/>
    </row>
    <row r="4962" spans="11:11" x14ac:dyDescent="0.25">
      <c r="K4962" s="146"/>
    </row>
    <row r="4963" spans="11:11" x14ac:dyDescent="0.25">
      <c r="K4963" s="146"/>
    </row>
    <row r="4964" spans="11:11" x14ac:dyDescent="0.25">
      <c r="K4964" s="146"/>
    </row>
    <row r="4965" spans="11:11" x14ac:dyDescent="0.25">
      <c r="K4965" s="146"/>
    </row>
    <row r="4966" spans="11:11" x14ac:dyDescent="0.25">
      <c r="K4966" s="146"/>
    </row>
    <row r="4967" spans="11:11" x14ac:dyDescent="0.25">
      <c r="K4967" s="146"/>
    </row>
    <row r="4968" spans="11:11" x14ac:dyDescent="0.25">
      <c r="K4968" s="146"/>
    </row>
    <row r="4969" spans="11:11" x14ac:dyDescent="0.25">
      <c r="K4969" s="146"/>
    </row>
    <row r="4970" spans="11:11" x14ac:dyDescent="0.25">
      <c r="K4970" s="146"/>
    </row>
    <row r="4971" spans="11:11" x14ac:dyDescent="0.25">
      <c r="K4971" s="146"/>
    </row>
    <row r="4972" spans="11:11" x14ac:dyDescent="0.25">
      <c r="K4972" s="146"/>
    </row>
    <row r="4973" spans="11:11" x14ac:dyDescent="0.25">
      <c r="K4973" s="146"/>
    </row>
    <row r="4974" spans="11:11" x14ac:dyDescent="0.25">
      <c r="K4974" s="146"/>
    </row>
    <row r="4975" spans="11:11" x14ac:dyDescent="0.25">
      <c r="K4975" s="146"/>
    </row>
    <row r="4976" spans="11:11" x14ac:dyDescent="0.25">
      <c r="K4976" s="146"/>
    </row>
    <row r="4977" spans="11:11" x14ac:dyDescent="0.25">
      <c r="K4977" s="146"/>
    </row>
    <row r="4978" spans="11:11" x14ac:dyDescent="0.25">
      <c r="K4978" s="146"/>
    </row>
    <row r="4979" spans="11:11" x14ac:dyDescent="0.25">
      <c r="K4979" s="146"/>
    </row>
    <row r="4980" spans="11:11" x14ac:dyDescent="0.25">
      <c r="K4980" s="146"/>
    </row>
    <row r="4981" spans="11:11" x14ac:dyDescent="0.25">
      <c r="K4981" s="146"/>
    </row>
    <row r="4982" spans="11:11" x14ac:dyDescent="0.25">
      <c r="K4982" s="146"/>
    </row>
    <row r="4983" spans="11:11" x14ac:dyDescent="0.25">
      <c r="K4983" s="146"/>
    </row>
    <row r="4984" spans="11:11" x14ac:dyDescent="0.25">
      <c r="K4984" s="146"/>
    </row>
    <row r="4985" spans="11:11" x14ac:dyDescent="0.25">
      <c r="K4985" s="146"/>
    </row>
    <row r="4986" spans="11:11" x14ac:dyDescent="0.25">
      <c r="K4986" s="146"/>
    </row>
    <row r="4987" spans="11:11" x14ac:dyDescent="0.25">
      <c r="K4987" s="146"/>
    </row>
    <row r="4988" spans="11:11" x14ac:dyDescent="0.25">
      <c r="K4988" s="146"/>
    </row>
    <row r="4989" spans="11:11" x14ac:dyDescent="0.25">
      <c r="K4989" s="146"/>
    </row>
    <row r="4990" spans="11:11" x14ac:dyDescent="0.25">
      <c r="K4990" s="146"/>
    </row>
    <row r="4991" spans="11:11" x14ac:dyDescent="0.25">
      <c r="K4991" s="146"/>
    </row>
    <row r="4992" spans="11:11" x14ac:dyDescent="0.25">
      <c r="K4992" s="146"/>
    </row>
    <row r="4993" spans="11:11" x14ac:dyDescent="0.25">
      <c r="K4993" s="146"/>
    </row>
    <row r="4994" spans="11:11" x14ac:dyDescent="0.25">
      <c r="K4994" s="146"/>
    </row>
    <row r="4995" spans="11:11" x14ac:dyDescent="0.25">
      <c r="K4995" s="146"/>
    </row>
    <row r="4996" spans="11:11" x14ac:dyDescent="0.25">
      <c r="K4996" s="146"/>
    </row>
    <row r="4997" spans="11:11" x14ac:dyDescent="0.25">
      <c r="K4997" s="146"/>
    </row>
    <row r="4998" spans="11:11" x14ac:dyDescent="0.25">
      <c r="K4998" s="146"/>
    </row>
    <row r="4999" spans="11:11" x14ac:dyDescent="0.25">
      <c r="K4999" s="146"/>
    </row>
    <row r="5000" spans="11:11" x14ac:dyDescent="0.25">
      <c r="K5000" s="146"/>
    </row>
  </sheetData>
  <autoFilter ref="A7:AQ591" xr:uid="{00000000-0001-0000-0000-000000000000}"/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4" priority="537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3" priority="536" operator="equal">
      <formula>$C$295</formula>
    </cfRule>
  </conditionalFormatting>
  <conditionalFormatting sqref="C1:C591 D20:D21 D162:D163 D221:D222 D257 D279:D282 D292:D294 D398:D402 D414:D416 D419:D420 C673:C1048576">
    <cfRule type="cellIs" dxfId="142" priority="82" operator="equal">
      <formula>"IPCOMS"</formula>
    </cfRule>
  </conditionalFormatting>
  <conditionalFormatting sqref="E1:E563 E578:E591 E673:E1048576">
    <cfRule type="containsText" dxfId="141" priority="542" operator="containsText" text="fija">
      <formula>NOT(ISERROR(SEARCH("fija",E1)))</formula>
    </cfRule>
    <cfRule type="containsText" dxfId="140" priority="543" operator="containsText" text="domo">
      <formula>NOT(ISERROR(SEARCH("domo",E1)))</formula>
    </cfRule>
  </conditionalFormatting>
  <conditionalFormatting sqref="E1:E591 E673:E1048576">
    <cfRule type="cellIs" dxfId="139" priority="538" operator="equal">
      <formula>$E$10</formula>
    </cfRule>
  </conditionalFormatting>
  <conditionalFormatting sqref="E34 E233:I396">
    <cfRule type="containsText" dxfId="138" priority="10" operator="containsText" text="Radio">
      <formula>NOT(ISERROR(SEARCH("Radio",E34)))</formula>
    </cfRule>
  </conditionalFormatting>
  <conditionalFormatting sqref="E134:E147 G147:I147">
    <cfRule type="containsText" dxfId="137" priority="24" operator="containsText" text="Radio">
      <formula>NOT(ISERROR(SEARCH("Radio",E134)))</formula>
    </cfRule>
  </conditionalFormatting>
  <conditionalFormatting sqref="E398:E402">
    <cfRule type="containsText" dxfId="136" priority="43" operator="containsText" text="Radio">
      <formula>NOT(ISERROR(SEARCH("Radio",E398)))</formula>
    </cfRule>
  </conditionalFormatting>
  <conditionalFormatting sqref="E565">
    <cfRule type="containsText" dxfId="135" priority="485" operator="containsText" text="Radio">
      <formula>NOT(ISERROR(SEARCH("Radio",E565)))</formula>
    </cfRule>
    <cfRule type="containsText" dxfId="134" priority="484" operator="containsText" text="domo">
      <formula>NOT(ISERROR(SEARCH("domo",E565)))</formula>
    </cfRule>
    <cfRule type="containsText" dxfId="133" priority="483" operator="containsText" text="fija">
      <formula>NOT(ISERROR(SEARCH("fija",E565)))</formula>
    </cfRule>
  </conditionalFormatting>
  <conditionalFormatting sqref="E565:E566">
    <cfRule type="containsText" dxfId="132" priority="478" operator="containsText" text="fija">
      <formula>NOT(ISERROR(SEARCH("fija",E565)))</formula>
    </cfRule>
    <cfRule type="containsText" dxfId="131" priority="479" operator="containsText" text="domo">
      <formula>NOT(ISERROR(SEARCH("domo",E565)))</formula>
    </cfRule>
  </conditionalFormatting>
  <conditionalFormatting sqref="E566">
    <cfRule type="containsText" dxfId="130" priority="476" operator="containsText" text="fija">
      <formula>NOT(ISERROR(SEARCH("fija",E566)))</formula>
    </cfRule>
    <cfRule type="containsText" dxfId="129" priority="480" operator="containsText" text="Radio">
      <formula>NOT(ISERROR(SEARCH("Radio",E566)))</formula>
    </cfRule>
    <cfRule type="containsText" dxfId="128" priority="477" operator="containsText" text="domo">
      <formula>NOT(ISERROR(SEARCH("domo",E566)))</formula>
    </cfRule>
  </conditionalFormatting>
  <conditionalFormatting sqref="E569">
    <cfRule type="containsText" dxfId="127" priority="473" operator="containsText" text="fija">
      <formula>NOT(ISERROR(SEARCH("fija",E569)))</formula>
    </cfRule>
    <cfRule type="containsText" dxfId="126" priority="474" operator="containsText" text="domo">
      <formula>NOT(ISERROR(SEARCH("domo",E569)))</formula>
    </cfRule>
    <cfRule type="containsText" dxfId="125" priority="475" operator="containsText" text="Radio">
      <formula>NOT(ISERROR(SEARCH("Radio",E569)))</formula>
    </cfRule>
  </conditionalFormatting>
  <conditionalFormatting sqref="E569:E570">
    <cfRule type="containsText" dxfId="124" priority="469" operator="containsText" text="domo">
      <formula>NOT(ISERROR(SEARCH("domo",E569)))</formula>
    </cfRule>
    <cfRule type="containsText" dxfId="123" priority="468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2" priority="470" operator="containsText" text="Radio">
      <formula>NOT(ISERROR(SEARCH("Radio",E47)))</formula>
    </cfRule>
  </conditionalFormatting>
  <conditionalFormatting sqref="E570:E571">
    <cfRule type="containsText" dxfId="121" priority="464" operator="containsText" text="domo">
      <formula>NOT(ISERROR(SEARCH("domo",E570)))</formula>
    </cfRule>
    <cfRule type="containsText" dxfId="120" priority="463" operator="containsText" text="fija">
      <formula>NOT(ISERROR(SEARCH("fija",E570)))</formula>
    </cfRule>
  </conditionalFormatting>
  <conditionalFormatting sqref="E571">
    <cfRule type="containsText" dxfId="119" priority="465" operator="containsText" text="Radio">
      <formula>NOT(ISERROR(SEARCH("Radio",E571)))</formula>
    </cfRule>
  </conditionalFormatting>
  <conditionalFormatting sqref="E571:E572">
    <cfRule type="containsText" dxfId="118" priority="459" operator="containsText" text="domo">
      <formula>NOT(ISERROR(SEARCH("domo",E571)))</formula>
    </cfRule>
    <cfRule type="containsText" dxfId="117" priority="458" operator="containsText" text="fija">
      <formula>NOT(ISERROR(SEARCH("fija",E571)))</formula>
    </cfRule>
  </conditionalFormatting>
  <conditionalFormatting sqref="E572">
    <cfRule type="containsText" dxfId="116" priority="460" operator="containsText" text="Radio">
      <formula>NOT(ISERROR(SEARCH("Radio",E572)))</formula>
    </cfRule>
    <cfRule type="containsText" dxfId="115" priority="457" operator="containsText" text="domo">
      <formula>NOT(ISERROR(SEARCH("domo",E572)))</formula>
    </cfRule>
    <cfRule type="containsText" dxfId="114" priority="456" operator="containsText" text="fija">
      <formula>NOT(ISERROR(SEARCH("fija",E572)))</formula>
    </cfRule>
  </conditionalFormatting>
  <conditionalFormatting sqref="E576">
    <cfRule type="containsText" dxfId="113" priority="755" operator="containsText" text="domo">
      <formula>NOT(ISERROR(SEARCH("domo",E576)))</formula>
    </cfRule>
    <cfRule type="containsText" dxfId="112" priority="754" operator="containsText" text="fija">
      <formula>NOT(ISERROR(SEARCH("fija",E576)))</formula>
    </cfRule>
  </conditionalFormatting>
  <conditionalFormatting sqref="E579:E582">
    <cfRule type="containsText" dxfId="111" priority="486" operator="containsText" text="fija">
      <formula>NOT(ISERROR(SEARCH("fija",E579)))</formula>
    </cfRule>
    <cfRule type="containsText" dxfId="110" priority="487" operator="containsText" text="domo">
      <formula>NOT(ISERROR(SEARCH("domo",E579)))</formula>
    </cfRule>
  </conditionalFormatting>
  <conditionalFormatting sqref="E230:F230">
    <cfRule type="containsText" dxfId="109" priority="45" operator="containsText" text="Radio">
      <formula>NOT(ISERROR(SEARCH("Radio",E230)))</formula>
    </cfRule>
  </conditionalFormatting>
  <conditionalFormatting sqref="E36:G46">
    <cfRule type="containsText" dxfId="108" priority="15" operator="containsText" text="Radio">
      <formula>NOT(ISERROR(SEARCH("Radio",E36)))</formula>
    </cfRule>
  </conditionalFormatting>
  <conditionalFormatting sqref="E1:I35">
    <cfRule type="containsText" dxfId="107" priority="80" operator="containsText" text="Radio">
      <formula>NOT(ISERROR(SEARCH("Radio",E1)))</formula>
    </cfRule>
  </conditionalFormatting>
  <conditionalFormatting sqref="E148:I159">
    <cfRule type="containsText" dxfId="106" priority="18" operator="containsText" text="Radio">
      <formula>NOT(ISERROR(SEARCH("Radio",E148)))</formula>
    </cfRule>
  </conditionalFormatting>
  <conditionalFormatting sqref="E576:I576 F577">
    <cfRule type="containsText" dxfId="105" priority="1011" operator="containsText" text="Radio">
      <formula>NOT(ISERROR(SEARCH("Radio",E576)))</formula>
    </cfRule>
  </conditionalFormatting>
  <conditionalFormatting sqref="F1:F135 F160:F591 F673:F1048576">
    <cfRule type="cellIs" dxfId="104" priority="83" operator="equal">
      <formula>"GPON"</formula>
    </cfRule>
    <cfRule type="cellIs" dxfId="103" priority="84" operator="equal">
      <formula>"GPON"</formula>
    </cfRule>
  </conditionalFormatting>
  <conditionalFormatting sqref="F138">
    <cfRule type="cellIs" dxfId="102" priority="71" operator="equal">
      <formula>"GPON"</formula>
    </cfRule>
    <cfRule type="containsText" dxfId="101" priority="73" operator="containsText" text="Radio">
      <formula>NOT(ISERROR(SEARCH("Radio",F138)))</formula>
    </cfRule>
    <cfRule type="cellIs" dxfId="100" priority="74" operator="equal">
      <formula>$F$13</formula>
    </cfRule>
    <cfRule type="cellIs" dxfId="99" priority="75" operator="equal">
      <formula>"PTP A FO"</formula>
    </cfRule>
    <cfRule type="cellIs" dxfId="98" priority="76" operator="equal">
      <formula>"PTP A FO"</formula>
    </cfRule>
    <cfRule type="cellIs" dxfId="97" priority="72" operator="equal">
      <formula>"GPON"</formula>
    </cfRule>
  </conditionalFormatting>
  <conditionalFormatting sqref="F141:F148">
    <cfRule type="cellIs" dxfId="96" priority="49" operator="equal">
      <formula>$F$13</formula>
    </cfRule>
    <cfRule type="containsText" dxfId="95" priority="48" operator="containsText" text="Radio">
      <formula>NOT(ISERROR(SEARCH("Radio",F141)))</formula>
    </cfRule>
    <cfRule type="cellIs" dxfId="94" priority="51" operator="equal">
      <formula>"PTP A FO"</formula>
    </cfRule>
    <cfRule type="cellIs" dxfId="93" priority="50" operator="equal">
      <formula>"PTP A FO"</formula>
    </cfRule>
  </conditionalFormatting>
  <conditionalFormatting sqref="F141:F159">
    <cfRule type="cellIs" dxfId="92" priority="16" operator="equal">
      <formula>"GPON"</formula>
    </cfRule>
    <cfRule type="cellIs" dxfId="91" priority="17" operator="equal">
      <formula>"GPON"</formula>
    </cfRule>
  </conditionalFormatting>
  <conditionalFormatting sqref="F145:F146">
    <cfRule type="containsText" dxfId="90" priority="11" operator="containsText" text="Radio">
      <formula>NOT(ISERROR(SEARCH("Radio",F145)))</formula>
    </cfRule>
    <cfRule type="cellIs" dxfId="89" priority="12" operator="equal">
      <formula>$F$13</formula>
    </cfRule>
    <cfRule type="cellIs" dxfId="88" priority="13" operator="equal">
      <formula>"PTP A FO"</formula>
    </cfRule>
    <cfRule type="cellIs" dxfId="87" priority="14" operator="equal">
      <formula>"PTP A FO"</formula>
    </cfRule>
  </conditionalFormatting>
  <conditionalFormatting sqref="F230:F232">
    <cfRule type="cellIs" dxfId="86" priority="64" operator="equal">
      <formula>"PTP A FO"</formula>
    </cfRule>
    <cfRule type="cellIs" dxfId="85" priority="63" operator="equal">
      <formula>"PTP A FO"</formula>
    </cfRule>
    <cfRule type="cellIs" dxfId="84" priority="62" operator="equal">
      <formula>$F$13</formula>
    </cfRule>
  </conditionalFormatting>
  <conditionalFormatting sqref="F231:F232">
    <cfRule type="cellIs" dxfId="83" priority="60" operator="equal">
      <formula>"PTP A FO"</formula>
    </cfRule>
    <cfRule type="cellIs" dxfId="82" priority="59" operator="equal">
      <formula>"PTP A FO"</formula>
    </cfRule>
    <cfRule type="cellIs" dxfId="81" priority="58" operator="equal">
      <formula>$F$13</formula>
    </cfRule>
  </conditionalFormatting>
  <conditionalFormatting sqref="F419:F420">
    <cfRule type="cellIs" dxfId="80" priority="70" operator="equal">
      <formula>"PTP A FO"</formula>
    </cfRule>
    <cfRule type="cellIs" dxfId="79" priority="69" operator="equal">
      <formula>"PTP A FO"</formula>
    </cfRule>
    <cfRule type="cellIs" dxfId="78" priority="68" operator="equal">
      <formula>$F$13</formula>
    </cfRule>
    <cfRule type="containsText" dxfId="77" priority="67" operator="containsText" text="Radio">
      <formula>NOT(ISERROR(SEARCH("Radio",F419)))</formula>
    </cfRule>
  </conditionalFormatting>
  <conditionalFormatting sqref="F564">
    <cfRule type="cellIs" dxfId="76" priority="134" operator="equal">
      <formula>"PTP A FO"</formula>
    </cfRule>
    <cfRule type="containsText" dxfId="75" priority="133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4" priority="735" operator="equal">
      <formula>"PTP A FO"</formula>
    </cfRule>
  </conditionalFormatting>
  <conditionalFormatting sqref="F1:G133 F134:F135 F160:G229 F233:G418 F419:F420 F421:G591 F673:G1048576">
    <cfRule type="cellIs" dxfId="73" priority="539" operator="equal">
      <formula>$F$13</formula>
    </cfRule>
    <cfRule type="cellIs" dxfId="72" priority="540" operator="equal">
      <formula>"PTP A FO"</formula>
    </cfRule>
  </conditionalFormatting>
  <conditionalFormatting sqref="F148:G159">
    <cfRule type="cellIs" dxfId="71" priority="20" operator="equal">
      <formula>"PTP A FO"</formula>
    </cfRule>
    <cfRule type="cellIs" dxfId="70" priority="19" operator="equal">
      <formula>$F$13</formula>
    </cfRule>
    <cfRule type="cellIs" dxfId="69" priority="21" operator="equal">
      <formula>"PTP A FO"</formula>
    </cfRule>
  </conditionalFormatting>
  <conditionalFormatting sqref="G147">
    <cfRule type="cellIs" dxfId="68" priority="27" operator="equal">
      <formula>"PTP A FO"</formula>
    </cfRule>
    <cfRule type="cellIs" dxfId="67" priority="26" operator="equal">
      <formula>"PTP A FO"</formula>
    </cfRule>
    <cfRule type="cellIs" dxfId="66" priority="25" operator="equal">
      <formula>$F$13</formula>
    </cfRule>
  </conditionalFormatting>
  <conditionalFormatting sqref="M7:M591">
    <cfRule type="cellIs" dxfId="65" priority="970" operator="lessThan">
      <formula>0.8</formula>
    </cfRule>
    <cfRule type="cellIs" dxfId="64" priority="971" operator="greaterThan">
      <formula>0.8</formula>
    </cfRule>
  </conditionalFormatting>
  <conditionalFormatting sqref="N8:AO35 AP8:AQ229 N36:AE36 AG36:AO36 N37:AO93 N94:AH94 AJ94:AO94 N95:AO119 N120:V120 X120:AO120 N121:AO229 AA230:AA232 N233:AO322 AP233:AQ397 N323:V323 X323:AO323 N324:AO346 N347:AC347 AE347:AO347 N348:AO397 O398:P398 N398:N403 O399:O402 P399:P403 N403:O403 Q403:AO403 AP403:AQ418 N404:AO411 P412:AO418 N412:O420 N421:AQ591 AJ673:AQ1048576">
    <cfRule type="cellIs" dxfId="63" priority="116" operator="equal">
      <formula>"APAGADO"</formula>
    </cfRule>
  </conditionalFormatting>
  <conditionalFormatting sqref="N673:AQ749 X673:AI1048576">
    <cfRule type="cellIs" dxfId="62" priority="117" operator="equal">
      <formula>"apagado"</formula>
    </cfRule>
  </conditionalFormatting>
  <conditionalFormatting sqref="N673:AQ1048576">
    <cfRule type="containsText" dxfId="61" priority="667" operator="containsText" text="Caida">
      <formula>NOT(ISERROR(SEARCH("Caida",N673)))</formula>
    </cfRule>
    <cfRule type="notContainsText" dxfId="60" priority="1000" operator="notContains" text="Caida">
      <formula>ISERROR(SEARCH("Caida",N673))</formula>
    </cfRule>
  </conditionalFormatting>
  <conditionalFormatting sqref="P673:P1192">
    <cfRule type="cellIs" dxfId="59" priority="426" operator="equal">
      <formula>"APAGADO"</formula>
    </cfRule>
    <cfRule type="cellIs" dxfId="58" priority="322" operator="greaterThan">
      <formula>0.8</formula>
    </cfRule>
    <cfRule type="cellIs" dxfId="57" priority="299" operator="greaterThan">
      <formula>0.8</formula>
    </cfRule>
    <cfRule type="cellIs" dxfId="56" priority="298" operator="lessThan">
      <formula>0.8</formula>
    </cfRule>
    <cfRule type="containsText" dxfId="55" priority="297" operator="containsText" text="Caida">
      <formula>NOT(ISERROR(SEARCH("Caida",P673)))</formula>
    </cfRule>
    <cfRule type="notContainsText" dxfId="54" priority="296" operator="notContains" text="Caida">
      <formula>ISERROR(SEARCH("Caida",P673))</formula>
    </cfRule>
  </conditionalFormatting>
  <conditionalFormatting sqref="P673:P1048576">
    <cfRule type="cellIs" dxfId="53" priority="316" operator="equal">
      <formula>$P$16</formula>
    </cfRule>
  </conditionalFormatting>
  <conditionalFormatting sqref="S401:T402">
    <cfRule type="cellIs" dxfId="52" priority="1" operator="equal">
      <formula>"APAGADO"</formula>
    </cfRule>
  </conditionalFormatting>
  <conditionalFormatting sqref="Y401">
    <cfRule type="cellIs" dxfId="51" priority="9" operator="equal">
      <formula>"APAGADO"</formula>
    </cfRule>
  </conditionalFormatting>
  <conditionalFormatting sqref="AQ401:AQ402">
    <cfRule type="cellIs" dxfId="50" priority="5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1296</v>
      </c>
      <c r="D1" s="29">
        <f>COUNTIFS(A5:A602,"=paradas seguras")/2</f>
        <v>0</v>
      </c>
      <c r="E1" s="77" t="s">
        <v>1297</v>
      </c>
      <c r="F1" s="77"/>
      <c r="G1" s="77"/>
      <c r="H1" s="78">
        <f>COUNTIFS(A5:A602,"=paradas seguras")</f>
        <v>0</v>
      </c>
      <c r="I1" s="79" t="s">
        <v>1298</v>
      </c>
      <c r="J1" s="79"/>
      <c r="K1" s="80">
        <f>COUNTIFS(D5:D602,"=GFIJA")</f>
        <v>0</v>
      </c>
      <c r="L1" s="81" t="s">
        <v>1299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1516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>
        <f>'RESUMEN TOTAL'!Z19</f>
        <v>0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>
        <f>'RESUMEN TOTAL'!AC75</f>
        <v>0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>
        <f>'RESUMEN TOTAL'!Z90</f>
        <v>0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>
        <f>'RESUMEN TOTAL'!Z95</f>
        <v>0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>
        <f>'RESUMEN TOTAL'!AA131</f>
        <v>0</v>
      </c>
      <c r="T109" s="70">
        <f>'RESUMEN TOTAL'!AB131</f>
        <v>0</v>
      </c>
      <c r="U109" s="70">
        <f>'RESUMEN TOTAL'!AC131</f>
        <v>0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>
        <f>'RESUMEN TOTAL'!U152</f>
        <v>0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>
        <f>'RESUMEN TOTAL'!Z152</f>
        <v>0</v>
      </c>
      <c r="S116" s="70">
        <f>'RESUMEN TOTAL'!AA152</f>
        <v>0</v>
      </c>
      <c r="T116" s="70">
        <f>'RESUMEN TOTAL'!AB152</f>
        <v>0</v>
      </c>
      <c r="U116" s="70">
        <f>'RESUMEN TOTAL'!AC152</f>
        <v>0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>
        <f>'RESUMEN TOTAL'!Z187</f>
        <v>0</v>
      </c>
      <c r="S144" s="70">
        <f>'RESUMEN TOTAL'!AA187</f>
        <v>0</v>
      </c>
      <c r="T144" s="70">
        <f>'RESUMEN TOTAL'!AB187</f>
        <v>0</v>
      </c>
      <c r="U144" s="70">
        <f>'RESUMEN TOTAL'!AC187</f>
        <v>0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>
        <f>'RESUMEN TOTAL'!Z188</f>
        <v>0</v>
      </c>
      <c r="S145" s="70">
        <f>'RESUMEN TOTAL'!AA188</f>
        <v>0</v>
      </c>
      <c r="T145" s="70">
        <f>'RESUMEN TOTAL'!AB188</f>
        <v>0</v>
      </c>
      <c r="U145" s="70">
        <f>'RESUMEN TOTAL'!AC188</f>
        <v>0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>
        <f>'RESUMEN TOTAL'!Z197</f>
        <v>0</v>
      </c>
      <c r="S148" s="70">
        <f>'RESUMEN TOTAL'!AA197</f>
        <v>0</v>
      </c>
      <c r="T148" s="70">
        <f>'RESUMEN TOTAL'!AB197</f>
        <v>0</v>
      </c>
      <c r="U148" s="70">
        <f>'RESUMEN TOTAL'!AC197</f>
        <v>0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>
        <f>'RESUMEN TOTAL'!Z199</f>
        <v>0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>
        <f>'RESUMEN TOTAL'!Z250</f>
        <v>0</v>
      </c>
      <c r="S192" s="70">
        <f>'RESUMEN TOTAL'!AA250</f>
        <v>0</v>
      </c>
      <c r="T192" s="70">
        <f>'RESUMEN TOTAL'!AB250</f>
        <v>0</v>
      </c>
      <c r="U192" s="70">
        <f>'RESUMEN TOTAL'!AC250</f>
        <v>0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>
        <f>'RESUMEN TOTAL'!Z254</f>
        <v>0</v>
      </c>
      <c r="S196" s="70">
        <f>'RESUMEN TOTAL'!AA254</f>
        <v>0</v>
      </c>
      <c r="T196" s="70">
        <f>'RESUMEN TOTAL'!AB254</f>
        <v>0</v>
      </c>
      <c r="U196" s="70">
        <f>'RESUMEN TOTAL'!AC254</f>
        <v>0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 t="e">
        <f>'RESUMEN TOTAL'!#REF!</f>
        <v>#REF!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 t="e">
        <f>'RESUMEN TOTAL'!#REF!</f>
        <v>#REF!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 t="e">
        <f>'RESUMEN TOTAL'!#REF!</f>
        <v>#REF!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 t="e">
        <f>'RESUMEN TOTAL'!#REF!</f>
        <v>#REF!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 t="str">
        <f>'RESUMEN TOTAL'!N265</f>
        <v>APAGADO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 t="str">
        <f>'RESUMEN TOTAL'!T265</f>
        <v>APAGADO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 t="e">
        <f>'RESUMEN TOTAL'!#REF!</f>
        <v>#REF!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>
        <f>'RESUMEN TOTAL'!S266</f>
        <v>0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 t="e">
        <f>'RESUMEN TOTAL'!#REF!</f>
        <v>#REF!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 t="e">
        <f>'RESUMEN TOTAL'!#REF!</f>
        <v>#REF!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 t="e">
        <f>'RESUMEN TOTAL'!#REF!</f>
        <v>#REF!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 t="e">
        <f>'RESUMEN TOTAL'!#REF!</f>
        <v>#REF!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 t="e">
        <f>'RESUMEN TOTAL'!#REF!</f>
        <v>#REF!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 t="e">
        <f>'RESUMEN TOTAL'!#REF!</f>
        <v>#REF!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>
        <f>'RESUMEN TOTAL'!N272</f>
        <v>0</v>
      </c>
      <c r="G211" s="70">
        <f>'RESUMEN TOTAL'!O272</f>
        <v>0</v>
      </c>
      <c r="H211" s="70">
        <f>'RESUMEN TOTAL'!P272</f>
        <v>0</v>
      </c>
      <c r="I211" s="70">
        <f>'RESUMEN TOTAL'!Q272</f>
        <v>0</v>
      </c>
      <c r="J211" s="70">
        <f>'RESUMEN TOTAL'!R272</f>
        <v>0</v>
      </c>
      <c r="K211" s="70">
        <f>'RESUMEN TOTAL'!S272</f>
        <v>0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>
        <f>'RESUMEN TOTAL'!AC272</f>
        <v>0</v>
      </c>
      <c r="V211" s="70">
        <f>'RESUMEN TOTAL'!AD272</f>
        <v>0</v>
      </c>
      <c r="W211" s="70">
        <f>'RESUMEN TOTAL'!AE272</f>
        <v>0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 t="e">
        <f>'RESUMEN TOTAL'!#REF!</f>
        <v>#REF!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 t="e">
        <f>'RESUMEN TOTAL'!#REF!</f>
        <v>#REF!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 t="e">
        <f>'RESUMEN TOTAL'!#REF!</f>
        <v>#REF!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 t="e">
        <f>'RESUMEN TOTAL'!#REF!</f>
        <v>#REF!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>
        <f>'RESUMEN TOTAL'!S276</f>
        <v>0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 t="e">
        <f>'RESUMEN TOTAL'!#REF!</f>
        <v>#REF!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>
        <f>'RESUMEN TOTAL'!S277</f>
        <v>0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 t="e">
        <f>'RESUMEN TOTAL'!#REF!</f>
        <v>#REF!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 t="e">
        <f>'RESUMEN TOTAL'!#REF!</f>
        <v>#REF!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>
        <f>'RESUMEN TOTAL'!Z283</f>
        <v>0</v>
      </c>
      <c r="S218" s="70">
        <f>'RESUMEN TOTAL'!AA283</f>
        <v>0</v>
      </c>
      <c r="T218" s="70">
        <f>'RESUMEN TOTAL'!AB283</f>
        <v>0</v>
      </c>
      <c r="U218" s="70">
        <f>'RESUMEN TOTAL'!AC283</f>
        <v>0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 t="e">
        <f>'RESUMEN TOTAL'!#REF!</f>
        <v>#REF!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 t="e">
        <f>'RESUMEN TOTAL'!#REF!</f>
        <v>#REF!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>
        <f>'RESUMEN TOTAL'!O285</f>
        <v>0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>
        <f>'RESUMEN TOTAL'!X285</f>
        <v>0</v>
      </c>
      <c r="Q220" s="70">
        <f>'RESUMEN TOTAL'!Y285</f>
        <v>0</v>
      </c>
      <c r="R220" s="70">
        <f>'RESUMEN TOTAL'!Z285</f>
        <v>0</v>
      </c>
      <c r="S220" s="70">
        <f>'RESUMEN TOTAL'!AA285</f>
        <v>0</v>
      </c>
      <c r="T220" s="70">
        <f>'RESUMEN TOTAL'!AB285</f>
        <v>0</v>
      </c>
      <c r="U220" s="70">
        <f>'RESUMEN TOTAL'!AC285</f>
        <v>0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 t="e">
        <f>'RESUMEN TOTAL'!#REF!</f>
        <v>#REF!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>
        <f>'RESUMEN TOTAL'!P286</f>
        <v>0</v>
      </c>
      <c r="I221" s="70">
        <f>'RESUMEN TOTAL'!Q286</f>
        <v>0</v>
      </c>
      <c r="J221" s="70">
        <f>'RESUMEN TOTAL'!R286</f>
        <v>0</v>
      </c>
      <c r="K221" s="70">
        <f>'RESUMEN TOTAL'!S286</f>
        <v>0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>
        <f>'RESUMEN TOTAL'!Z286</f>
        <v>0</v>
      </c>
      <c r="S221" s="70">
        <f>'RESUMEN TOTAL'!AA286</f>
        <v>0</v>
      </c>
      <c r="T221" s="70">
        <f>'RESUMEN TOTAL'!AB286</f>
        <v>0</v>
      </c>
      <c r="U221" s="70">
        <f>'RESUMEN TOTAL'!AC286</f>
        <v>0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 t="e">
        <f>'RESUMEN TOTAL'!#REF!</f>
        <v>#REF!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TOTAL'!N287</f>
        <v>0</v>
      </c>
      <c r="G222" s="70">
        <f>'RESUMEN TOTAL'!O287</f>
        <v>0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>
        <f>'RESUMEN TOTAL'!S287</f>
        <v>0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 t="e">
        <f>'RESUMEN TOTAL'!#REF!</f>
        <v>#REF!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 t="e">
        <f>'RESUMEN TOTAL'!#REF!</f>
        <v>#REF!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TOTAL'!N289</f>
        <v>APAGADO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 t="e">
        <f>'RESUMEN TOTAL'!#REF!</f>
        <v>#REF!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 t="e">
        <f>'RESUMEN TOTAL'!#REF!</f>
        <v>#REF!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>
        <f>'RESUMEN TOTAL'!P291</f>
        <v>0</v>
      </c>
      <c r="I226" s="70">
        <f>'RESUMEN TOTAL'!Q291</f>
        <v>0</v>
      </c>
      <c r="J226" s="70">
        <f>'RESUMEN TOTAL'!R291</f>
        <v>0</v>
      </c>
      <c r="K226" s="70">
        <f>'RESUMEN TOTAL'!S291</f>
        <v>0</v>
      </c>
      <c r="L226" s="70">
        <f>'RESUMEN TOTAL'!T291</f>
        <v>0</v>
      </c>
      <c r="M226" s="70">
        <f>'RESUMEN TOTAL'!U291</f>
        <v>0</v>
      </c>
      <c r="N226" s="70">
        <f>'RESUMEN TOTAL'!V291</f>
        <v>0</v>
      </c>
      <c r="O226" s="70">
        <f>'RESUMEN TOTAL'!W291</f>
        <v>0</v>
      </c>
      <c r="P226" s="70">
        <f>'RESUMEN TOTAL'!X291</f>
        <v>0</v>
      </c>
      <c r="Q226" s="70">
        <f>'RESUMEN TOTAL'!Y291</f>
        <v>0</v>
      </c>
      <c r="R226" s="70">
        <f>'RESUMEN TOTAL'!Z291</f>
        <v>0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 t="e">
        <f>'RESUMEN TOTAL'!#REF!</f>
        <v>#REF!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 t="str">
        <f>'RESUMEN TOTAL'!N295</f>
        <v>APAGADO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>
        <f>'RESUMEN TOTAL'!AE295</f>
        <v>0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 t="e">
        <f>'RESUMEN TOTAL'!#REF!</f>
        <v>#REF!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 t="str">
        <f>'RESUMEN TOTAL'!N296</f>
        <v>APAGADO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 t="e">
        <f>'RESUMEN TOTAL'!#REF!</f>
        <v>#REF!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 t="str">
        <f>'RESUMEN TOTAL'!N297</f>
        <v>APAGADO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 t="e">
        <f>'RESUMEN TOTAL'!#REF!</f>
        <v>#REF!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 t="str">
        <f>'RESUMEN TOTAL'!N298</f>
        <v>APAGADO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 t="e">
        <f>'RESUMEN TOTAL'!#REF!</f>
        <v>#REF!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 t="e">
        <f>'RESUMEN TOTAL'!#REF!</f>
        <v>#REF!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 t="e">
        <f>'RESUMEN TOTAL'!#REF!</f>
        <v>#REF!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 t="e">
        <f>'RESUMEN TOTAL'!#REF!</f>
        <v>#REF!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 t="e">
        <f>'RESUMEN TOTAL'!#REF!</f>
        <v>#REF!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 t="str">
        <f>'RESUMEN TOTAL'!N303</f>
        <v>APAGADO</v>
      </c>
      <c r="G235" s="70">
        <f>'RESUMEN TOTAL'!O303</f>
        <v>0</v>
      </c>
      <c r="H235" s="70">
        <f>'RESUMEN TOTAL'!P303</f>
        <v>0</v>
      </c>
      <c r="I235" s="70">
        <f>'RESUMEN TOTAL'!Q303</f>
        <v>0</v>
      </c>
      <c r="J235" s="70">
        <f>'RESUMEN TOTAL'!R303</f>
        <v>0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>
        <f>'RESUMEN TOTAL'!V303</f>
        <v>0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>
        <f>'RESUMEN TOTAL'!AC303</f>
        <v>0</v>
      </c>
      <c r="V235" s="70">
        <f>'RESUMEN TOTAL'!AD303</f>
        <v>0</v>
      </c>
      <c r="W235" s="70">
        <f>'RESUMEN TOTAL'!AE303</f>
        <v>0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 t="e">
        <f>'RESUMEN TOTAL'!#REF!</f>
        <v>#REF!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>
        <f>'RESUMEN TOTAL'!O304</f>
        <v>0</v>
      </c>
      <c r="H236" s="70">
        <f>'RESUMEN TOTAL'!P304</f>
        <v>0</v>
      </c>
      <c r="I236" s="70">
        <f>'RESUMEN TOTAL'!Q304</f>
        <v>0</v>
      </c>
      <c r="J236" s="70">
        <f>'RESUMEN TOTAL'!R304</f>
        <v>0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>
        <f>'RESUMEN TOTAL'!V304</f>
        <v>0</v>
      </c>
      <c r="O236" s="70">
        <f>'RESUMEN TOTAL'!W304</f>
        <v>0</v>
      </c>
      <c r="P236" s="70">
        <f>'RESUMEN TOTAL'!X304</f>
        <v>0</v>
      </c>
      <c r="Q236" s="70">
        <f>'RESUMEN TOTAL'!Y304</f>
        <v>0</v>
      </c>
      <c r="R236" s="70">
        <f>'RESUMEN TOTAL'!Z304</f>
        <v>0</v>
      </c>
      <c r="S236" s="70">
        <f>'RESUMEN TOTAL'!AA304</f>
        <v>0</v>
      </c>
      <c r="T236" s="70">
        <f>'RESUMEN TOTAL'!AB304</f>
        <v>0</v>
      </c>
      <c r="U236" s="70">
        <f>'RESUMEN TOTAL'!AC304</f>
        <v>0</v>
      </c>
      <c r="V236" s="70">
        <f>'RESUMEN TOTAL'!AD304</f>
        <v>0</v>
      </c>
      <c r="W236" s="70">
        <f>'RESUMEN TOTAL'!AE304</f>
        <v>0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 t="e">
        <f>'RESUMEN TOTAL'!#REF!</f>
        <v>#REF!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>
        <f>'RESUMEN TOTAL'!Q305</f>
        <v>0</v>
      </c>
      <c r="J237" s="70">
        <f>'RESUMEN TOTAL'!R305</f>
        <v>0</v>
      </c>
      <c r="K237" s="70">
        <f>'RESUMEN TOTAL'!S305</f>
        <v>0</v>
      </c>
      <c r="L237" s="70">
        <f>'RESUMEN TOTAL'!T305</f>
        <v>0</v>
      </c>
      <c r="M237" s="70">
        <f>'RESUMEN TOTAL'!U305</f>
        <v>0</v>
      </c>
      <c r="N237" s="70">
        <f>'RESUMEN TOTAL'!V305</f>
        <v>0</v>
      </c>
      <c r="O237" s="70">
        <f>'RESUMEN TOTAL'!W305</f>
        <v>0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 t="e">
        <f>'RESUMEN TOTAL'!#REF!</f>
        <v>#REF!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>
        <f>'RESUMEN TOTAL'!Q306</f>
        <v>0</v>
      </c>
      <c r="J238" s="70">
        <f>'RESUMEN TOTAL'!R306</f>
        <v>0</v>
      </c>
      <c r="K238" s="70">
        <f>'RESUMEN TOTAL'!S306</f>
        <v>0</v>
      </c>
      <c r="L238" s="70">
        <f>'RESUMEN TOTAL'!T306</f>
        <v>0</v>
      </c>
      <c r="M238" s="70">
        <f>'RESUMEN TOTAL'!U306</f>
        <v>0</v>
      </c>
      <c r="N238" s="70">
        <f>'RESUMEN TOTAL'!V306</f>
        <v>0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 t="e">
        <f>'RESUMEN TOTAL'!#REF!</f>
        <v>#REF!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 t="str">
        <f>'RESUMEN TOTAL'!N307</f>
        <v>APAGADO</v>
      </c>
      <c r="G239" s="70">
        <f>'RESUMEN TOTAL'!O307</f>
        <v>0</v>
      </c>
      <c r="H239" s="70">
        <f>'RESUMEN TOTAL'!P307</f>
        <v>0</v>
      </c>
      <c r="I239" s="70">
        <f>'RESUMEN TOTAL'!Q307</f>
        <v>0</v>
      </c>
      <c r="J239" s="70">
        <f>'RESUMEN TOTAL'!R307</f>
        <v>0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>
        <f>'RESUMEN TOTAL'!V307</f>
        <v>0</v>
      </c>
      <c r="O239" s="70">
        <f>'RESUMEN TOTAL'!W307</f>
        <v>0</v>
      </c>
      <c r="P239" s="70">
        <f>'RESUMEN TOTAL'!X307</f>
        <v>0</v>
      </c>
      <c r="Q239" s="70">
        <f>'RESUMEN TOTAL'!Y307</f>
        <v>0</v>
      </c>
      <c r="R239" s="70">
        <f>'RESUMEN TOTAL'!Z307</f>
        <v>0</v>
      </c>
      <c r="S239" s="70">
        <f>'RESUMEN TOTAL'!AA307</f>
        <v>0</v>
      </c>
      <c r="T239" s="70">
        <f>'RESUMEN TOTAL'!AB307</f>
        <v>0</v>
      </c>
      <c r="U239" s="70">
        <f>'RESUMEN TOTAL'!AC307</f>
        <v>0</v>
      </c>
      <c r="V239" s="70">
        <f>'RESUMEN TOTAL'!AD307</f>
        <v>0</v>
      </c>
      <c r="W239" s="70">
        <f>'RESUMEN TOTAL'!AE307</f>
        <v>0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 t="e">
        <f>'RESUMEN TOTAL'!#REF!</f>
        <v>#REF!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 t="str">
        <f>'RESUMEN TOTAL'!N308</f>
        <v>APAGADO</v>
      </c>
      <c r="G240" s="70">
        <f>'RESUMEN TOTAL'!O308</f>
        <v>0</v>
      </c>
      <c r="H240" s="70">
        <f>'RESUMEN TOTAL'!P308</f>
        <v>0</v>
      </c>
      <c r="I240" s="70">
        <f>'RESUMEN TOTAL'!Q308</f>
        <v>0</v>
      </c>
      <c r="J240" s="70">
        <f>'RESUMEN TOTAL'!R308</f>
        <v>0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>
        <f>'RESUMEN TOTAL'!V308</f>
        <v>0</v>
      </c>
      <c r="O240" s="70">
        <f>'RESUMEN TOTAL'!W308</f>
        <v>0</v>
      </c>
      <c r="P240" s="70">
        <f>'RESUMEN TOTAL'!X308</f>
        <v>0</v>
      </c>
      <c r="Q240" s="70">
        <f>'RESUMEN TOTAL'!Y308</f>
        <v>0</v>
      </c>
      <c r="R240" s="70">
        <f>'RESUMEN TOTAL'!Z308</f>
        <v>0</v>
      </c>
      <c r="S240" s="70">
        <f>'RESUMEN TOTAL'!AA308</f>
        <v>0</v>
      </c>
      <c r="T240" s="70">
        <f>'RESUMEN TOTAL'!AB308</f>
        <v>0</v>
      </c>
      <c r="U240" s="70">
        <f>'RESUMEN TOTAL'!AC308</f>
        <v>0</v>
      </c>
      <c r="V240" s="70">
        <f>'RESUMEN TOTAL'!AD308</f>
        <v>0</v>
      </c>
      <c r="W240" s="70">
        <f>'RESUMEN TOTAL'!AE308</f>
        <v>0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 t="e">
        <f>'RESUMEN TOTAL'!#REF!</f>
        <v>#REF!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>
        <f>'RESUMEN TOTAL'!AE309</f>
        <v>0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 t="e">
        <f>'RESUMEN TOTAL'!#REF!</f>
        <v>#REF!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>
        <f>'RESUMEN TOTAL'!AE310</f>
        <v>0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 t="e">
        <f>'RESUMEN TOTAL'!#REF!</f>
        <v>#REF!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TOTAL'!N311</f>
        <v>0</v>
      </c>
      <c r="G243" s="70">
        <f>'RESUMEN TOTAL'!O311</f>
        <v>0</v>
      </c>
      <c r="H243" s="70">
        <f>'RESUMEN TOTAL'!P311</f>
        <v>0</v>
      </c>
      <c r="I243" s="70">
        <f>'RESUMEN TOTAL'!Q311</f>
        <v>0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>
        <f>'RESUMEN TOTAL'!AE311</f>
        <v>0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 t="e">
        <f>'RESUMEN TOTAL'!#REF!</f>
        <v>#REF!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 t="e">
        <f>'RESUMEN TOTAL'!#REF!</f>
        <v>#REF!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 t="e">
        <f>'RESUMEN TOTAL'!#REF!</f>
        <v>#REF!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 t="e">
        <f>'RESUMEN TOTAL'!#REF!</f>
        <v>#REF!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 t="e">
        <f>'RESUMEN TOTAL'!#REF!</f>
        <v>#REF!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>
        <f>'RESUMEN TOTAL'!O316</f>
        <v>0</v>
      </c>
      <c r="H248" s="70">
        <f>'RESUMEN TOTAL'!P316</f>
        <v>0</v>
      </c>
      <c r="I248" s="70">
        <f>'RESUMEN TOTAL'!Q316</f>
        <v>0</v>
      </c>
      <c r="J248" s="70">
        <f>'RESUMEN TOTAL'!R316</f>
        <v>0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>
        <f>'RESUMEN TOTAL'!V316</f>
        <v>0</v>
      </c>
      <c r="O248" s="70">
        <f>'RESUMEN TOTAL'!W316</f>
        <v>0</v>
      </c>
      <c r="P248" s="70">
        <f>'RESUMEN TOTAL'!X316</f>
        <v>0</v>
      </c>
      <c r="Q248" s="70">
        <f>'RESUMEN TOTAL'!Y316</f>
        <v>0</v>
      </c>
      <c r="R248" s="70">
        <f>'RESUMEN TOTAL'!Z316</f>
        <v>0</v>
      </c>
      <c r="S248" s="70">
        <f>'RESUMEN TOTAL'!AA316</f>
        <v>0</v>
      </c>
      <c r="T248" s="70">
        <f>'RESUMEN TOTAL'!AB316</f>
        <v>0</v>
      </c>
      <c r="U248" s="70">
        <f>'RESUMEN TOTAL'!AC316</f>
        <v>0</v>
      </c>
      <c r="V248" s="70">
        <f>'RESUMEN TOTAL'!AD316</f>
        <v>0</v>
      </c>
      <c r="W248" s="70">
        <f>'RESUMEN TOTAL'!AE316</f>
        <v>0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 t="e">
        <f>'RESUMEN TOTAL'!#REF!</f>
        <v>#REF!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 t="e">
        <f>'RESUMEN TOTAL'!#REF!</f>
        <v>#REF!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>
        <f>'RESUMEN TOTAL'!O318</f>
        <v>0</v>
      </c>
      <c r="H250" s="70">
        <f>'RESUMEN TOTAL'!P318</f>
        <v>0</v>
      </c>
      <c r="I250" s="70">
        <f>'RESUMEN TOTAL'!Q318</f>
        <v>0</v>
      </c>
      <c r="J250" s="70">
        <f>'RESUMEN TOTAL'!R318</f>
        <v>0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>
        <f>'RESUMEN TOTAL'!V318</f>
        <v>0</v>
      </c>
      <c r="O250" s="70">
        <f>'RESUMEN TOTAL'!W318</f>
        <v>0</v>
      </c>
      <c r="P250" s="70">
        <f>'RESUMEN TOTAL'!X318</f>
        <v>0</v>
      </c>
      <c r="Q250" s="70">
        <f>'RESUMEN TOTAL'!Y318</f>
        <v>0</v>
      </c>
      <c r="R250" s="70">
        <f>'RESUMEN TOTAL'!Z318</f>
        <v>0</v>
      </c>
      <c r="S250" s="70">
        <f>'RESUMEN TOTAL'!AA318</f>
        <v>0</v>
      </c>
      <c r="T250" s="70">
        <f>'RESUMEN TOTAL'!AB318</f>
        <v>0</v>
      </c>
      <c r="U250" s="70">
        <f>'RESUMEN TOTAL'!AC318</f>
        <v>0</v>
      </c>
      <c r="V250" s="70">
        <f>'RESUMEN TOTAL'!AD318</f>
        <v>0</v>
      </c>
      <c r="W250" s="70">
        <f>'RESUMEN TOTAL'!AE318</f>
        <v>0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 t="e">
        <f>'RESUMEN TOTAL'!#REF!</f>
        <v>#REF!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>
        <f>'RESUMEN TOTAL'!O319</f>
        <v>0</v>
      </c>
      <c r="H251" s="70">
        <f>'RESUMEN TOTAL'!P319</f>
        <v>0</v>
      </c>
      <c r="I251" s="70">
        <f>'RESUMEN TOTAL'!Q319</f>
        <v>0</v>
      </c>
      <c r="J251" s="70">
        <f>'RESUMEN TOTAL'!R319</f>
        <v>0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>
        <f>'RESUMEN TOTAL'!V319</f>
        <v>0</v>
      </c>
      <c r="O251" s="70">
        <f>'RESUMEN TOTAL'!W319</f>
        <v>0</v>
      </c>
      <c r="P251" s="70">
        <f>'RESUMEN TOTAL'!X319</f>
        <v>0</v>
      </c>
      <c r="Q251" s="70">
        <f>'RESUMEN TOTAL'!Y319</f>
        <v>0</v>
      </c>
      <c r="R251" s="70">
        <f>'RESUMEN TOTAL'!Z319</f>
        <v>0</v>
      </c>
      <c r="S251" s="70">
        <f>'RESUMEN TOTAL'!AA319</f>
        <v>0</v>
      </c>
      <c r="T251" s="70">
        <f>'RESUMEN TOTAL'!AB319</f>
        <v>0</v>
      </c>
      <c r="U251" s="70">
        <f>'RESUMEN TOTAL'!AC319</f>
        <v>0</v>
      </c>
      <c r="V251" s="70">
        <f>'RESUMEN TOTAL'!AD319</f>
        <v>0</v>
      </c>
      <c r="W251" s="70">
        <f>'RESUMEN TOTAL'!AE319</f>
        <v>0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 t="e">
        <f>'RESUMEN TOTAL'!#REF!</f>
        <v>#REF!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>
        <f>'RESUMEN TOTAL'!O320</f>
        <v>0</v>
      </c>
      <c r="H252" s="70">
        <f>'RESUMEN TOTAL'!P320</f>
        <v>0</v>
      </c>
      <c r="I252" s="70">
        <f>'RESUMEN TOTAL'!Q320</f>
        <v>0</v>
      </c>
      <c r="J252" s="70">
        <f>'RESUMEN TOTAL'!R320</f>
        <v>0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>
        <f>'RESUMEN TOTAL'!V320</f>
        <v>0</v>
      </c>
      <c r="O252" s="70">
        <f>'RESUMEN TOTAL'!W320</f>
        <v>0</v>
      </c>
      <c r="P252" s="70">
        <f>'RESUMEN TOTAL'!X320</f>
        <v>0</v>
      </c>
      <c r="Q252" s="70">
        <f>'RESUMEN TOTAL'!Y320</f>
        <v>0</v>
      </c>
      <c r="R252" s="70">
        <f>'RESUMEN TOTAL'!Z320</f>
        <v>0</v>
      </c>
      <c r="S252" s="70">
        <f>'RESUMEN TOTAL'!AA320</f>
        <v>0</v>
      </c>
      <c r="T252" s="70">
        <f>'RESUMEN TOTAL'!AB320</f>
        <v>0</v>
      </c>
      <c r="U252" s="70">
        <f>'RESUMEN TOTAL'!AC320</f>
        <v>0</v>
      </c>
      <c r="V252" s="70">
        <f>'RESUMEN TOTAL'!AD320</f>
        <v>0</v>
      </c>
      <c r="W252" s="70">
        <f>'RESUMEN TOTAL'!AE320</f>
        <v>0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 t="e">
        <f>'RESUMEN TOTAL'!#REF!</f>
        <v>#REF!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>
        <f>'RESUMEN TOTAL'!O321</f>
        <v>0</v>
      </c>
      <c r="H253" s="70">
        <f>'RESUMEN TOTAL'!P321</f>
        <v>0</v>
      </c>
      <c r="I253" s="70">
        <f>'RESUMEN TOTAL'!Q321</f>
        <v>0</v>
      </c>
      <c r="J253" s="70">
        <f>'RESUMEN TOTAL'!R321</f>
        <v>0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>
        <f>'RESUMEN TOTAL'!V321</f>
        <v>0</v>
      </c>
      <c r="O253" s="70">
        <f>'RESUMEN TOTAL'!W321</f>
        <v>0</v>
      </c>
      <c r="P253" s="70">
        <f>'RESUMEN TOTAL'!X321</f>
        <v>0</v>
      </c>
      <c r="Q253" s="70">
        <f>'RESUMEN TOTAL'!Y321</f>
        <v>0</v>
      </c>
      <c r="R253" s="70">
        <f>'RESUMEN TOTAL'!Z321</f>
        <v>0</v>
      </c>
      <c r="S253" s="70">
        <f>'RESUMEN TOTAL'!AA321</f>
        <v>0</v>
      </c>
      <c r="T253" s="70">
        <f>'RESUMEN TOTAL'!AB321</f>
        <v>0</v>
      </c>
      <c r="U253" s="70">
        <f>'RESUMEN TOTAL'!AC321</f>
        <v>0</v>
      </c>
      <c r="V253" s="70">
        <f>'RESUMEN TOTAL'!AD321</f>
        <v>0</v>
      </c>
      <c r="W253" s="70">
        <f>'RESUMEN TOTAL'!AE321</f>
        <v>0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 t="e">
        <f>'RESUMEN TOTAL'!#REF!</f>
        <v>#REF!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TOTAL'!N322</f>
        <v>APAGADO</v>
      </c>
      <c r="G254" s="70">
        <f>'RESUMEN TOTAL'!O322</f>
        <v>0</v>
      </c>
      <c r="H254" s="70">
        <f>'RESUMEN TOTAL'!P322</f>
        <v>0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>
        <f>'RESUMEN TOTAL'!Y322</f>
        <v>0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>
        <f>'RESUMEN TOTAL'!AD322</f>
        <v>0</v>
      </c>
      <c r="W254" s="70">
        <f>'RESUMEN TOTAL'!AE322</f>
        <v>0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 t="e">
        <f>'RESUMEN TOTAL'!#REF!</f>
        <v>#REF!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>
        <f>'RESUMEN TOTAL'!W322</f>
        <v>0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>
        <f>'RESUMEN TOTAL'!AE323</f>
        <v>0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 t="e">
        <f>'RESUMEN TOTAL'!#REF!</f>
        <v>#REF!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>
        <f>'RESUMEN TOTAL'!AE324</f>
        <v>0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 t="e">
        <f>'RESUMEN TOTAL'!#REF!</f>
        <v>#REF!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 t="e">
        <f>'RESUMEN TOTAL'!#REF!</f>
        <v>#REF!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 t="e">
        <f>'RESUMEN TOTAL'!#REF!</f>
        <v>#REF!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 t="e">
        <f>'RESUMEN TOTAL'!#REF!</f>
        <v>#REF!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 t="str">
        <f>'RESUMEN TOTAL'!S328</f>
        <v>APAGADO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 t="e">
        <f>'RESUMEN TOTAL'!#REF!</f>
        <v>#REF!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 t="str">
        <f>'RESUMEN TOTAL'!S329</f>
        <v>APAGADO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 t="e">
        <f>'RESUMEN TOTAL'!#REF!</f>
        <v>#REF!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 t="str">
        <f>'RESUMEN TOTAL'!S330</f>
        <v>APAGADO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 t="e">
        <f>'RESUMEN TOTAL'!#REF!</f>
        <v>#REF!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 t="str">
        <f>'RESUMEN TOTAL'!S331</f>
        <v>APAGADO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 t="e">
        <f>'RESUMEN TOTAL'!#REF!</f>
        <v>#REF!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 t="str">
        <f>'RESUMEN TOTAL'!S332</f>
        <v>APAGADO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 t="e">
        <f>'RESUMEN TOTAL'!#REF!</f>
        <v>#REF!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 t="str">
        <f>'RESUMEN TOTAL'!S333</f>
        <v>APAGADO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 t="e">
        <f>'RESUMEN TOTAL'!#REF!</f>
        <v>#REF!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 t="e">
        <f>'RESUMEN TOTAL'!#REF!</f>
        <v>#REF!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 t="e">
        <f>'RESUMEN TOTAL'!#REF!</f>
        <v>#REF!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 t="e">
        <f>'RESUMEN TOTAL'!#REF!</f>
        <v>#REF!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 t="e">
        <f>'RESUMEN TOTAL'!#REF!</f>
        <v>#REF!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 t="e">
        <f>'RESUMEN TOTAL'!#REF!</f>
        <v>#REF!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 t="str">
        <f>'RESUMEN TOTAL'!S345</f>
        <v>APAGADO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 t="e">
        <f>'RESUMEN TOTAL'!#REF!</f>
        <v>#REF!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 t="e">
        <f>'RESUMEN TOTAL'!#REF!</f>
        <v>#REF!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 t="e">
        <f>'RESUMEN TOTAL'!#REF!</f>
        <v>#REF!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 t="str">
        <f>'RESUMEN TOTAL'!S348</f>
        <v>APAGADO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 t="e">
        <f>'RESUMEN TOTAL'!#REF!</f>
        <v>#REF!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 t="e">
        <f>'RESUMEN TOTAL'!#REF!</f>
        <v>#REF!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 t="e">
        <f>'RESUMEN TOTAL'!#REF!</f>
        <v>#REF!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 t="e">
        <f>'RESUMEN TOTAL'!#REF!</f>
        <v>#REF!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 t="e">
        <f>'RESUMEN TOTAL'!#REF!</f>
        <v>#REF!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 t="e">
        <f>'RESUMEN TOTAL'!#REF!</f>
        <v>#REF!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 t="e">
        <f>'RESUMEN TOTAL'!#REF!</f>
        <v>#REF!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 t="e">
        <f>'RESUMEN TOTAL'!#REF!</f>
        <v>#REF!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 t="e">
        <f>'RESUMEN TOTAL'!#REF!</f>
        <v>#REF!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 t="e">
        <f>'RESUMEN TOTAL'!#REF!</f>
        <v>#REF!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 t="e">
        <f>'RESUMEN TOTAL'!#REF!</f>
        <v>#REF!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 t="e">
        <f>'RESUMEN TOTAL'!#REF!</f>
        <v>#REF!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 t="e">
        <f>'RESUMEN TOTAL'!#REF!</f>
        <v>#REF!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 t="e">
        <f>'RESUMEN TOTAL'!#REF!</f>
        <v>#REF!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 t="e">
        <f>'RESUMEN TOTAL'!#REF!</f>
        <v>#REF!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 t="e">
        <f>'RESUMEN TOTAL'!#REF!</f>
        <v>#REF!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>
        <f>'RESUMEN TOTAL'!S367</f>
        <v>0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 t="e">
        <f>'RESUMEN TOTAL'!#REF!</f>
        <v>#REF!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 t="e">
        <f>'RESUMEN TOTAL'!#REF!</f>
        <v>#REF!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 t="e">
        <f>'RESUMEN TOTAL'!#REF!</f>
        <v>#REF!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 t="e">
        <f>'RESUMEN TOTAL'!#REF!</f>
        <v>#REF!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 t="e">
        <f>'RESUMEN TOTAL'!#REF!</f>
        <v>#REF!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 t="e">
        <f>'RESUMEN TOTAL'!#REF!</f>
        <v>#REF!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 t="e">
        <f>'RESUMEN TOTAL'!#REF!</f>
        <v>#REF!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 t="e">
        <f>'RESUMEN TOTAL'!#REF!</f>
        <v>#REF!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 t="e">
        <f>'RESUMEN TOTAL'!#REF!</f>
        <v>#REF!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 t="e">
        <f>'RESUMEN TOTAL'!#REF!</f>
        <v>#REF!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>
        <f>'RESUMEN TOTAL'!AC382</f>
        <v>0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 t="e">
        <f>'RESUMEN TOTAL'!#REF!</f>
        <v>#REF!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>
        <f>'RESUMEN TOTAL'!O383</f>
        <v>0</v>
      </c>
      <c r="H301" s="70">
        <f>'RESUMEN TOTAL'!P383</f>
        <v>0</v>
      </c>
      <c r="I301" s="70">
        <f>'RESUMEN TOTAL'!Q383</f>
        <v>0</v>
      </c>
      <c r="J301" s="70">
        <f>'RESUMEN TOTAL'!R383</f>
        <v>0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>
        <f>'RESUMEN TOTAL'!V383</f>
        <v>0</v>
      </c>
      <c r="O301" s="70">
        <f>'RESUMEN TOTAL'!W383</f>
        <v>0</v>
      </c>
      <c r="P301" s="70">
        <f>'RESUMEN TOTAL'!X383</f>
        <v>0</v>
      </c>
      <c r="Q301" s="70">
        <f>'RESUMEN TOTAL'!Y383</f>
        <v>0</v>
      </c>
      <c r="R301" s="70">
        <f>'RESUMEN TOTAL'!Z383</f>
        <v>0</v>
      </c>
      <c r="S301" s="70">
        <f>'RESUMEN TOTAL'!AA383</f>
        <v>0</v>
      </c>
      <c r="T301" s="70">
        <f>'RESUMEN TOTAL'!AB383</f>
        <v>0</v>
      </c>
      <c r="U301" s="70">
        <f>'RESUMEN TOTAL'!AC383</f>
        <v>0</v>
      </c>
      <c r="V301" s="70">
        <f>'RESUMEN TOTAL'!AD383</f>
        <v>0</v>
      </c>
      <c r="W301" s="70">
        <f>'RESUMEN TOTAL'!AE383</f>
        <v>0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 t="e">
        <f>'RESUMEN TOTAL'!#REF!</f>
        <v>#REF!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>
        <f>'RESUMEN TOTAL'!O384</f>
        <v>0</v>
      </c>
      <c r="H302" s="70">
        <f>'RESUMEN TOTAL'!P384</f>
        <v>0</v>
      </c>
      <c r="I302" s="70">
        <f>'RESUMEN TOTAL'!Q384</f>
        <v>0</v>
      </c>
      <c r="J302" s="70">
        <f>'RESUMEN TOTAL'!R384</f>
        <v>0</v>
      </c>
      <c r="K302" s="70">
        <f>'RESUMEN TOTAL'!S384</f>
        <v>0</v>
      </c>
      <c r="L302" s="70" t="str">
        <f>'RESUMEN TOTAL'!T384</f>
        <v>APAGADO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>
        <f>'RESUMEN TOTAL'!AC384</f>
        <v>0</v>
      </c>
      <c r="V302" s="70">
        <f>'RESUMEN TOTAL'!AD384</f>
        <v>0</v>
      </c>
      <c r="W302" s="70">
        <f>'RESUMEN TOTAL'!AE384</f>
        <v>0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 t="e">
        <f>'RESUMEN TOTAL'!#REF!</f>
        <v>#REF!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 t="e">
        <f>'RESUMEN TOTAL'!#REF!</f>
        <v>#REF!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 t="e">
        <f>'RESUMEN TOTAL'!#REF!</f>
        <v>#REF!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 t="e">
        <f>'RESUMEN TOTAL'!#REF!</f>
        <v>#REF!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 t="e">
        <f>'RESUMEN TOTAL'!#REF!</f>
        <v>#REF!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>
        <f>'RESUMEN TOTAL'!O389</f>
        <v>0</v>
      </c>
      <c r="H307" s="70">
        <f>'RESUMEN TOTAL'!P389</f>
        <v>0</v>
      </c>
      <c r="I307" s="70">
        <f>'RESUMEN TOTAL'!Q389</f>
        <v>0</v>
      </c>
      <c r="J307" s="70">
        <f>'RESUMEN TOTAL'!R389</f>
        <v>0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>
        <f>'RESUMEN TOTAL'!V389</f>
        <v>0</v>
      </c>
      <c r="O307" s="70">
        <f>'RESUMEN TOTAL'!W389</f>
        <v>0</v>
      </c>
      <c r="P307" s="70">
        <f>'RESUMEN TOTAL'!X389</f>
        <v>0</v>
      </c>
      <c r="Q307" s="70">
        <f>'RESUMEN TOTAL'!Y389</f>
        <v>0</v>
      </c>
      <c r="R307" s="70">
        <f>'RESUMEN TOTAL'!Z389</f>
        <v>0</v>
      </c>
      <c r="S307" s="70">
        <f>'RESUMEN TOTAL'!AA389</f>
        <v>0</v>
      </c>
      <c r="T307" s="70">
        <f>'RESUMEN TOTAL'!AB389</f>
        <v>0</v>
      </c>
      <c r="U307" s="70">
        <f>'RESUMEN TOTAL'!AC389</f>
        <v>0</v>
      </c>
      <c r="V307" s="70">
        <f>'RESUMEN TOTAL'!AD389</f>
        <v>0</v>
      </c>
      <c r="W307" s="70">
        <f>'RESUMEN TOTAL'!AE389</f>
        <v>0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 t="e">
        <f>'RESUMEN TOTAL'!#REF!</f>
        <v>#REF!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>
        <f>'RESUMEN TOTAL'!O390</f>
        <v>0</v>
      </c>
      <c r="H308" s="70">
        <f>'RESUMEN TOTAL'!P390</f>
        <v>0</v>
      </c>
      <c r="I308" s="70">
        <f>'RESUMEN TOTAL'!Q390</f>
        <v>0</v>
      </c>
      <c r="J308" s="70">
        <f>'RESUMEN TOTAL'!R390</f>
        <v>0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>
        <f>'RESUMEN TOTAL'!V390</f>
        <v>0</v>
      </c>
      <c r="O308" s="70">
        <f>'RESUMEN TOTAL'!W390</f>
        <v>0</v>
      </c>
      <c r="P308" s="70">
        <f>'RESUMEN TOTAL'!X390</f>
        <v>0</v>
      </c>
      <c r="Q308" s="70">
        <f>'RESUMEN TOTAL'!Y390</f>
        <v>0</v>
      </c>
      <c r="R308" s="70">
        <f>'RESUMEN TOTAL'!Z390</f>
        <v>0</v>
      </c>
      <c r="S308" s="70">
        <f>'RESUMEN TOTAL'!AA390</f>
        <v>0</v>
      </c>
      <c r="T308" s="70">
        <f>'RESUMEN TOTAL'!AB390</f>
        <v>0</v>
      </c>
      <c r="U308" s="70">
        <f>'RESUMEN TOTAL'!AC390</f>
        <v>0</v>
      </c>
      <c r="V308" s="70">
        <f>'RESUMEN TOTAL'!AD390</f>
        <v>0</v>
      </c>
      <c r="W308" s="70">
        <f>'RESUMEN TOTAL'!AE390</f>
        <v>0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 t="e">
        <f>'RESUMEN TOTAL'!#REF!</f>
        <v>#REF!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 t="str">
        <f>'RESUMEN TOTAL'!N391</f>
        <v>APAGADO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 t="str">
        <f>'RESUMEN TOTAL'!S391</f>
        <v>APAGADO</v>
      </c>
      <c r="L309" s="70" t="str">
        <f>'RESUMEN TOTAL'!T391</f>
        <v>APAGADO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 t="e">
        <f>'RESUMEN TOTAL'!#REF!</f>
        <v>#REF!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 t="str">
        <f>'RESUMEN TOTAL'!N392</f>
        <v>APAGADO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 t="str">
        <f>'RESUMEN TOTAL'!S392</f>
        <v>APAGADO</v>
      </c>
      <c r="L310" s="70" t="str">
        <f>'RESUMEN TOTAL'!T392</f>
        <v>APAGADO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 t="e">
        <f>'RESUMEN TOTAL'!#REF!</f>
        <v>#REF!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 t="str">
        <f>'RESUMEN TOTAL'!N393</f>
        <v>APAGADO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 t="str">
        <f>'RESUMEN TOTAL'!S393</f>
        <v>APAGADO</v>
      </c>
      <c r="L311" s="70" t="str">
        <f>'RESUMEN TOTAL'!T393</f>
        <v>APAGADO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 t="e">
        <f>'RESUMEN TOTAL'!#REF!</f>
        <v>#REF!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 t="str">
        <f>'RESUMEN TOTAL'!N394</f>
        <v>APAGADO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 t="str">
        <f>'RESUMEN TOTAL'!S394</f>
        <v>APAGADO</v>
      </c>
      <c r="L312" s="70" t="str">
        <f>'RESUMEN TOTAL'!T394</f>
        <v>APAGADO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 t="e">
        <f>'RESUMEN TOTAL'!#REF!</f>
        <v>#REF!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>
        <f>'RESUMEN TOTAL'!O395</f>
        <v>0</v>
      </c>
      <c r="H313" s="70">
        <f>'RESUMEN TOTAL'!P395</f>
        <v>0</v>
      </c>
      <c r="I313" s="70">
        <f>'RESUMEN TOTAL'!Q395</f>
        <v>0</v>
      </c>
      <c r="J313" s="70">
        <f>'RESUMEN TOTAL'!R395</f>
        <v>0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>
        <f>'RESUMEN TOTAL'!V395</f>
        <v>0</v>
      </c>
      <c r="O313" s="70">
        <f>'RESUMEN TOTAL'!W395</f>
        <v>0</v>
      </c>
      <c r="P313" s="70">
        <f>'RESUMEN TOTAL'!X395</f>
        <v>0</v>
      </c>
      <c r="Q313" s="70">
        <f>'RESUMEN TOTAL'!Y395</f>
        <v>0</v>
      </c>
      <c r="R313" s="70">
        <f>'RESUMEN TOTAL'!Z395</f>
        <v>0</v>
      </c>
      <c r="S313" s="70">
        <f>'RESUMEN TOTAL'!AA395</f>
        <v>0</v>
      </c>
      <c r="T313" s="70">
        <f>'RESUMEN TOTAL'!AB395</f>
        <v>0</v>
      </c>
      <c r="U313" s="70">
        <f>'RESUMEN TOTAL'!AC395</f>
        <v>0</v>
      </c>
      <c r="V313" s="70">
        <f>'RESUMEN TOTAL'!AD395</f>
        <v>0</v>
      </c>
      <c r="W313" s="70">
        <f>'RESUMEN TOTAL'!AE395</f>
        <v>0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 t="e">
        <f>'RESUMEN TOTAL'!#REF!</f>
        <v>#REF!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>
        <f>'RESUMEN TOTAL'!O396</f>
        <v>0</v>
      </c>
      <c r="H314" s="70">
        <f>'RESUMEN TOTAL'!P396</f>
        <v>0</v>
      </c>
      <c r="I314" s="70">
        <f>'RESUMEN TOTAL'!Q396</f>
        <v>0</v>
      </c>
      <c r="J314" s="70">
        <f>'RESUMEN TOTAL'!R396</f>
        <v>0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>
        <f>'RESUMEN TOTAL'!V396</f>
        <v>0</v>
      </c>
      <c r="O314" s="70">
        <f>'RESUMEN TOTAL'!W396</f>
        <v>0</v>
      </c>
      <c r="P314" s="70">
        <f>'RESUMEN TOTAL'!X396</f>
        <v>0</v>
      </c>
      <c r="Q314" s="70">
        <f>'RESUMEN TOTAL'!Y396</f>
        <v>0</v>
      </c>
      <c r="R314" s="70">
        <f>'RESUMEN TOTAL'!Z396</f>
        <v>0</v>
      </c>
      <c r="S314" s="70">
        <f>'RESUMEN TOTAL'!AA396</f>
        <v>0</v>
      </c>
      <c r="T314" s="70">
        <f>'RESUMEN TOTAL'!AB396</f>
        <v>0</v>
      </c>
      <c r="U314" s="70">
        <f>'RESUMEN TOTAL'!AC396</f>
        <v>0</v>
      </c>
      <c r="V314" s="70">
        <f>'RESUMEN TOTAL'!AD396</f>
        <v>0</v>
      </c>
      <c r="W314" s="70">
        <f>'RESUMEN TOTAL'!AE396</f>
        <v>0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 t="e">
        <f>'RESUMEN TOTAL'!#REF!</f>
        <v>#REF!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>
        <f>'RESUMEN TOTAL'!O397</f>
        <v>0</v>
      </c>
      <c r="H315" s="70">
        <f>'RESUMEN TOTAL'!P397</f>
        <v>0</v>
      </c>
      <c r="I315" s="70">
        <f>'RESUMEN TOTAL'!Q397</f>
        <v>0</v>
      </c>
      <c r="J315" s="70">
        <f>'RESUMEN TOTAL'!R397</f>
        <v>0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>
        <f>'RESUMEN TOTAL'!V397</f>
        <v>0</v>
      </c>
      <c r="O315" s="70">
        <f>'RESUMEN TOTAL'!W397</f>
        <v>0</v>
      </c>
      <c r="P315" s="70">
        <f>'RESUMEN TOTAL'!X397</f>
        <v>0</v>
      </c>
      <c r="Q315" s="70">
        <f>'RESUMEN TOTAL'!Y397</f>
        <v>0</v>
      </c>
      <c r="R315" s="70">
        <f>'RESUMEN TOTAL'!Z397</f>
        <v>0</v>
      </c>
      <c r="S315" s="70">
        <f>'RESUMEN TOTAL'!AA397</f>
        <v>0</v>
      </c>
      <c r="T315" s="70">
        <f>'RESUMEN TOTAL'!AB397</f>
        <v>0</v>
      </c>
      <c r="U315" s="70">
        <f>'RESUMEN TOTAL'!AC397</f>
        <v>0</v>
      </c>
      <c r="V315" s="70">
        <f>'RESUMEN TOTAL'!AD397</f>
        <v>0</v>
      </c>
      <c r="W315" s="70">
        <f>'RESUMEN TOTAL'!AE397</f>
        <v>0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 t="e">
        <f>'RESUMEN TOTAL'!#REF!</f>
        <v>#REF!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>
        <f>'RESUMEN TOTAL'!O403</f>
        <v>0</v>
      </c>
      <c r="H316" s="70">
        <f>'RESUMEN TOTAL'!P403</f>
        <v>0</v>
      </c>
      <c r="I316" s="70">
        <f>'RESUMEN TOTAL'!Q403</f>
        <v>0</v>
      </c>
      <c r="J316" s="70">
        <f>'RESUMEN TOTAL'!R403</f>
        <v>0</v>
      </c>
      <c r="K316" s="70" t="str">
        <f>'RESUMEN TOTAL'!S403</f>
        <v>APAGADO</v>
      </c>
      <c r="L316" s="70" t="str">
        <f>'RESUMEN TOTAL'!T403</f>
        <v>APAGADO</v>
      </c>
      <c r="M316" s="70">
        <f>'RESUMEN TOTAL'!U403</f>
        <v>0</v>
      </c>
      <c r="N316" s="70">
        <f>'RESUMEN TOTAL'!V403</f>
        <v>0</v>
      </c>
      <c r="O316" s="70">
        <f>'RESUMEN TOTAL'!W403</f>
        <v>0</v>
      </c>
      <c r="P316" s="70">
        <f>'RESUMEN TOTAL'!X403</f>
        <v>0</v>
      </c>
      <c r="Q316" s="70">
        <f>'RESUMEN TOTAL'!Y403</f>
        <v>0</v>
      </c>
      <c r="R316" s="70">
        <f>'RESUMEN TOTAL'!Z403</f>
        <v>0</v>
      </c>
      <c r="S316" s="70">
        <f>'RESUMEN TOTAL'!AA403</f>
        <v>0</v>
      </c>
      <c r="T316" s="70">
        <f>'RESUMEN TOTAL'!AB403</f>
        <v>0</v>
      </c>
      <c r="U316" s="70">
        <f>'RESUMEN TOTAL'!AC403</f>
        <v>0</v>
      </c>
      <c r="V316" s="70">
        <f>'RESUMEN TOTAL'!AD403</f>
        <v>0</v>
      </c>
      <c r="W316" s="70">
        <f>'RESUMEN TOTAL'!AE403</f>
        <v>0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 t="e">
        <f>'RESUMEN TOTAL'!#REF!</f>
        <v>#REF!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 t="e">
        <f>'RESUMEN TOTAL'!#REF!</f>
        <v>#REF!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 t="str">
        <f>'RESUMEN TOTAL'!N405</f>
        <v>APAGADO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 t="e">
        <f>'RESUMEN TOTAL'!#REF!</f>
        <v>#REF!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 t="str">
        <f>'RESUMEN TOTAL'!N406</f>
        <v>APAGADO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 t="e">
        <f>'RESUMEN TOTAL'!#REF!</f>
        <v>#REF!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>
        <f>'RESUMEN TOTAL'!N407</f>
        <v>0</v>
      </c>
      <c r="G320" s="70">
        <f>'RESUMEN TOTAL'!O407</f>
        <v>0</v>
      </c>
      <c r="H320" s="70">
        <f>'RESUMEN TOTAL'!P407</f>
        <v>0</v>
      </c>
      <c r="I320" s="70">
        <f>'RESUMEN TOTAL'!Q407</f>
        <v>0</v>
      </c>
      <c r="J320" s="70">
        <f>'RESUMEN TOTAL'!R407</f>
        <v>0</v>
      </c>
      <c r="K320" s="70">
        <f>'RESUMEN TOTAL'!S407</f>
        <v>0</v>
      </c>
      <c r="L320" s="70">
        <f>'RESUMEN TOTAL'!T407</f>
        <v>0</v>
      </c>
      <c r="M320" s="70">
        <f>'RESUMEN TOTAL'!U407</f>
        <v>0</v>
      </c>
      <c r="N320" s="70">
        <f>'RESUMEN TOTAL'!V407</f>
        <v>0</v>
      </c>
      <c r="O320" s="70">
        <f>'RESUMEN TOTAL'!W407</f>
        <v>0</v>
      </c>
      <c r="P320" s="70">
        <f>'RESUMEN TOTAL'!X407</f>
        <v>0</v>
      </c>
      <c r="Q320" s="70">
        <f>'RESUMEN TOTAL'!Y407</f>
        <v>0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 t="e">
        <f>'RESUMEN TOTAL'!#REF!</f>
        <v>#REF!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 t="str">
        <f>'RESUMEN TOTAL'!N408</f>
        <v>APAGADO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 t="e">
        <f>'RESUMEN TOTAL'!#REF!</f>
        <v>#REF!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>
        <f>'RESUMEN TOTAL'!O409</f>
        <v>0</v>
      </c>
      <c r="H322" s="70">
        <f>'RESUMEN TOTAL'!Q409</f>
        <v>0</v>
      </c>
      <c r="I322" s="70">
        <v>0</v>
      </c>
      <c r="J322" s="70">
        <f>'RESUMEN TOTAL'!R409</f>
        <v>0</v>
      </c>
      <c r="K322" s="70" t="str">
        <f>'RESUMEN TOTAL'!S409</f>
        <v>APAGADO</v>
      </c>
      <c r="L322" s="70" t="str">
        <f>'RESUMEN TOTAL'!T409</f>
        <v>APAGADO</v>
      </c>
      <c r="M322" s="70">
        <f>'RESUMEN TOTAL'!U409</f>
        <v>0</v>
      </c>
      <c r="N322" s="70">
        <f>'RESUMEN TOTAL'!V409</f>
        <v>0</v>
      </c>
      <c r="O322" s="70">
        <f>'RESUMEN TOTAL'!W409</f>
        <v>0</v>
      </c>
      <c r="P322" s="70">
        <f>'RESUMEN TOTAL'!X409</f>
        <v>0</v>
      </c>
      <c r="Q322" s="70">
        <f>'RESUMEN TOTAL'!Y409</f>
        <v>0</v>
      </c>
      <c r="R322" s="70">
        <f>'RESUMEN TOTAL'!Z409</f>
        <v>0</v>
      </c>
      <c r="S322" s="70">
        <f>'RESUMEN TOTAL'!AA409</f>
        <v>0</v>
      </c>
      <c r="T322" s="70">
        <f>'RESUMEN TOTAL'!AB409</f>
        <v>0</v>
      </c>
      <c r="U322" s="70">
        <f>'RESUMEN TOTAL'!AC409</f>
        <v>0</v>
      </c>
      <c r="V322" s="70">
        <f>'RESUMEN TOTAL'!AD409</f>
        <v>0</v>
      </c>
      <c r="W322" s="70">
        <f>'RESUMEN TOTAL'!AE409</f>
        <v>0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 t="e">
        <f>'RESUMEN TOTAL'!#REF!</f>
        <v>#REF!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>
        <f>'RESUMEN TOTAL'!O410</f>
        <v>0</v>
      </c>
      <c r="H323" s="70">
        <f>'RESUMEN TOTAL'!Q410</f>
        <v>0</v>
      </c>
      <c r="I323" s="70">
        <v>0</v>
      </c>
      <c r="J323" s="70">
        <f>'RESUMEN TOTAL'!R410</f>
        <v>0</v>
      </c>
      <c r="K323" s="70" t="str">
        <f>'RESUMEN TOTAL'!S410</f>
        <v>APAGADO</v>
      </c>
      <c r="L323" s="70" t="str">
        <f>'RESUMEN TOTAL'!T410</f>
        <v>APAGADO</v>
      </c>
      <c r="M323" s="70">
        <f>'RESUMEN TOTAL'!U410</f>
        <v>0</v>
      </c>
      <c r="N323" s="70">
        <f>'RESUMEN TOTAL'!V410</f>
        <v>0</v>
      </c>
      <c r="O323" s="70">
        <f>'RESUMEN TOTAL'!W410</f>
        <v>0</v>
      </c>
      <c r="P323" s="70">
        <f>'RESUMEN TOTAL'!X410</f>
        <v>0</v>
      </c>
      <c r="Q323" s="70">
        <f>'RESUMEN TOTAL'!Y410</f>
        <v>0</v>
      </c>
      <c r="R323" s="70">
        <f>'RESUMEN TOTAL'!Z410</f>
        <v>0</v>
      </c>
      <c r="S323" s="70">
        <f>'RESUMEN TOTAL'!AA410</f>
        <v>0</v>
      </c>
      <c r="T323" s="70">
        <f>'RESUMEN TOTAL'!AB410</f>
        <v>0</v>
      </c>
      <c r="U323" s="70">
        <f>'RESUMEN TOTAL'!AC410</f>
        <v>0</v>
      </c>
      <c r="V323" s="70">
        <f>'RESUMEN TOTAL'!AD410</f>
        <v>0</v>
      </c>
      <c r="W323" s="70">
        <f>'RESUMEN TOTAL'!AE410</f>
        <v>0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 t="e">
        <f>'RESUMEN TOTAL'!#REF!</f>
        <v>#REF!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>
        <f>'RESUMEN TOTAL'!O411</f>
        <v>0</v>
      </c>
      <c r="H324" s="70">
        <f>'RESUMEN TOTAL'!Q411</f>
        <v>0</v>
      </c>
      <c r="I324" s="70">
        <v>0</v>
      </c>
      <c r="J324" s="70">
        <f>'RESUMEN TOTAL'!R411</f>
        <v>0</v>
      </c>
      <c r="K324" s="70" t="str">
        <f>'RESUMEN TOTAL'!S411</f>
        <v>APAGADO</v>
      </c>
      <c r="L324" s="70" t="str">
        <f>'RESUMEN TOTAL'!T411</f>
        <v>APAGADO</v>
      </c>
      <c r="M324" s="70">
        <f>'RESUMEN TOTAL'!U411</f>
        <v>0</v>
      </c>
      <c r="N324" s="70">
        <f>'RESUMEN TOTAL'!V411</f>
        <v>0</v>
      </c>
      <c r="O324" s="70">
        <f>'RESUMEN TOTAL'!W411</f>
        <v>0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 t="e">
        <f>'RESUMEN TOTAL'!#REF!</f>
        <v>#REF!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>
        <f>'RESUMEN TOTAL'!O412</f>
        <v>0</v>
      </c>
      <c r="H325" s="70">
        <f>'RESUMEN TOTAL'!Q412</f>
        <v>0</v>
      </c>
      <c r="I325" s="70">
        <v>0</v>
      </c>
      <c r="J325" s="70">
        <f>'RESUMEN TOTAL'!R412</f>
        <v>0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>
        <f>'RESUMEN TOTAL'!V412</f>
        <v>0</v>
      </c>
      <c r="O325" s="70">
        <f>'RESUMEN TOTAL'!W412</f>
        <v>0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 t="e">
        <f>'RESUMEN TOTAL'!#REF!</f>
        <v>#REF!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 t="e">
        <f>'RESUMEN TOTAL'!#REF!</f>
        <v>#REF!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 t="e">
        <f>'RESUMEN TOTAL'!#REF!</f>
        <v>#REF!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 t="str">
        <f>'RESUMEN TOTAL'!N422</f>
        <v>APAGADO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 t="str">
        <f>'RESUMEN TOTAL'!S422</f>
        <v>APAGADO</v>
      </c>
      <c r="L328" s="70" t="str">
        <f>'RESUMEN TOTAL'!T422</f>
        <v>APAGADO</v>
      </c>
      <c r="M328" s="70">
        <f>'RESUMEN TOTAL'!U422</f>
        <v>0</v>
      </c>
      <c r="N328" s="70">
        <f>'RESUMEN TOTAL'!V422</f>
        <v>0</v>
      </c>
      <c r="O328" s="70">
        <f>'RESUMEN TOTAL'!W422</f>
        <v>0</v>
      </c>
      <c r="P328" s="70">
        <f>'RESUMEN TOTAL'!X422</f>
        <v>0</v>
      </c>
      <c r="Q328" s="70">
        <f>'RESUMEN TOTAL'!Y422</f>
        <v>0</v>
      </c>
      <c r="R328" s="70">
        <f>'RESUMEN TOTAL'!Z422</f>
        <v>0</v>
      </c>
      <c r="S328" s="70">
        <f>'RESUMEN TOTAL'!AA422</f>
        <v>0</v>
      </c>
      <c r="T328" s="70">
        <f>'RESUMEN TOTAL'!AB422</f>
        <v>0</v>
      </c>
      <c r="U328" s="70">
        <f>'RESUMEN TOTAL'!AC422</f>
        <v>0</v>
      </c>
      <c r="V328" s="70">
        <f>'RESUMEN TOTAL'!AD422</f>
        <v>0</v>
      </c>
      <c r="W328" s="70">
        <f>'RESUMEN TOTAL'!AE422</f>
        <v>0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 t="e">
        <f>'RESUMEN TOTAL'!#REF!</f>
        <v>#REF!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>
        <f>'RESUMEN TOTAL'!O423</f>
        <v>0</v>
      </c>
      <c r="H329" s="70">
        <f>'RESUMEN TOTAL'!P423</f>
        <v>0</v>
      </c>
      <c r="I329" s="70">
        <f>'RESUMEN TOTAL'!Q423</f>
        <v>0</v>
      </c>
      <c r="J329" s="70">
        <f>'RESUMEN TOTAL'!R423</f>
        <v>0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>
        <f>'RESUMEN TOTAL'!V423</f>
        <v>0</v>
      </c>
      <c r="O329" s="70">
        <f>'RESUMEN TOTAL'!W423</f>
        <v>0</v>
      </c>
      <c r="P329" s="70">
        <f>'RESUMEN TOTAL'!X423</f>
        <v>0</v>
      </c>
      <c r="Q329" s="70">
        <f>'RESUMEN TOTAL'!Y423</f>
        <v>0</v>
      </c>
      <c r="R329" s="70">
        <f>'RESUMEN TOTAL'!Z423</f>
        <v>0</v>
      </c>
      <c r="S329" s="70">
        <f>'RESUMEN TOTAL'!AA423</f>
        <v>0</v>
      </c>
      <c r="T329" s="70">
        <f>'RESUMEN TOTAL'!AB423</f>
        <v>0</v>
      </c>
      <c r="U329" s="70">
        <f>'RESUMEN TOTAL'!AC423</f>
        <v>0</v>
      </c>
      <c r="V329" s="70">
        <f>'RESUMEN TOTAL'!AD423</f>
        <v>0</v>
      </c>
      <c r="W329" s="70">
        <f>'RESUMEN TOTAL'!AE423</f>
        <v>0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 t="e">
        <f>'RESUMEN TOTAL'!#REF!</f>
        <v>#REF!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 t="e">
        <f>'RESUMEN TOTAL'!#REF!</f>
        <v>#REF!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 t="e">
        <f>'RESUMEN TOTAL'!#REF!</f>
        <v>#REF!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 t="e">
        <f>'RESUMEN TOTAL'!#REF!</f>
        <v>#REF!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 t="str">
        <f>'RESUMEN TOTAL'!S427</f>
        <v>APAGADO</v>
      </c>
      <c r="L333" s="70" t="str">
        <f>'RESUMEN TOTAL'!T427</f>
        <v>APAGADO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 t="e">
        <f>'RESUMEN TOTAL'!#REF!</f>
        <v>#REF!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>
        <f>'RESUMEN TOTAL'!AE428</f>
        <v>0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 t="e">
        <f>'RESUMEN TOTAL'!#REF!</f>
        <v>#REF!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>
        <f>'RESUMEN TOTAL'!AE429</f>
        <v>0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 t="e">
        <f>'RESUMEN TOTAL'!#REF!</f>
        <v>#REF!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 t="e">
        <f>'RESUMEN TOTAL'!#REF!</f>
        <v>#REF!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 t="e">
        <f>'RESUMEN TOTAL'!#REF!</f>
        <v>#REF!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 t="e">
        <f>'RESUMEN TOTAL'!#REF!</f>
        <v>#REF!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 t="e">
        <f>'RESUMEN TOTAL'!#REF!</f>
        <v>#REF!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TOTAL'!N437</f>
        <v>APAGADO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 t="str">
        <f>'RESUMEN TOTAL'!S437</f>
        <v>APAGADO</v>
      </c>
      <c r="L340" s="70" t="str">
        <f>'RESUMEN TOTAL'!T437</f>
        <v>APAGADO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>
        <f>'RESUMEN TOTAL'!AE437</f>
        <v>0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 t="e">
        <f>'RESUMEN TOTAL'!#REF!</f>
        <v>#REF!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TOTAL'!N438</f>
        <v>APAGADO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 t="str">
        <f>'RESUMEN TOTAL'!S438</f>
        <v>APAGADO</v>
      </c>
      <c r="L341" s="70" t="str">
        <f>'RESUMEN TOTAL'!T438</f>
        <v>APAGADO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>
        <f>'RESUMEN TOTAL'!AE438</f>
        <v>0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 t="e">
        <f>'RESUMEN TOTAL'!#REF!</f>
        <v>#REF!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 t="e">
        <f>'RESUMEN TOTAL'!#REF!</f>
        <v>#REF!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 t="str">
        <f>'RESUMEN TOTAL'!N440</f>
        <v>APAGADO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 t="str">
        <f>'RESUMEN TOTAL'!S440</f>
        <v>APAGADO</v>
      </c>
      <c r="L343" s="70" t="str">
        <f>'RESUMEN TOTAL'!T440</f>
        <v>APAGADO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>
        <f>'RESUMEN TOTAL'!AE440</f>
        <v>0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 t="e">
        <f>'RESUMEN TOTAL'!#REF!</f>
        <v>#REF!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 t="e">
        <f>'RESUMEN TOTAL'!#REF!</f>
        <v>#REF!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 t="e">
        <f>'RESUMEN TOTAL'!#REF!</f>
        <v>#REF!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 t="e">
        <f>'RESUMEN TOTAL'!#REF!</f>
        <v>#REF!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 t="e">
        <f>'RESUMEN TOTAL'!#REF!</f>
        <v>#REF!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 t="e">
        <f>'RESUMEN TOTAL'!#REF!</f>
        <v>#REF!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 t="str">
        <f>'RESUMEN TOTAL'!N446</f>
        <v>APAGADO</v>
      </c>
      <c r="G349" s="70">
        <f>'RESUMEN TOTAL'!O446</f>
        <v>0</v>
      </c>
      <c r="H349" s="70">
        <f>'RESUMEN TOTAL'!P446</f>
        <v>0</v>
      </c>
      <c r="I349" s="70">
        <f>'RESUMEN TOTAL'!Q446</f>
        <v>0</v>
      </c>
      <c r="J349" s="70">
        <f>'RESUMEN TOTAL'!R446</f>
        <v>0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>
        <f>'RESUMEN TOTAL'!V446</f>
        <v>0</v>
      </c>
      <c r="O349" s="70">
        <f>'RESUMEN TOTAL'!W446</f>
        <v>0</v>
      </c>
      <c r="P349" s="70">
        <f>'RESUMEN TOTAL'!X446</f>
        <v>0</v>
      </c>
      <c r="Q349" s="70">
        <f>'RESUMEN TOTAL'!Y446</f>
        <v>0</v>
      </c>
      <c r="R349" s="70">
        <f>'RESUMEN TOTAL'!Z446</f>
        <v>0</v>
      </c>
      <c r="S349" s="70">
        <f>'RESUMEN TOTAL'!AA446</f>
        <v>0</v>
      </c>
      <c r="T349" s="70">
        <f>'RESUMEN TOTAL'!AB446</f>
        <v>0</v>
      </c>
      <c r="U349" s="70">
        <f>'RESUMEN TOTAL'!AC446</f>
        <v>0</v>
      </c>
      <c r="V349" s="70">
        <f>'RESUMEN TOTAL'!AD446</f>
        <v>0</v>
      </c>
      <c r="W349" s="70">
        <f>'RESUMEN TOTAL'!AE446</f>
        <v>0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 t="e">
        <f>'RESUMEN TOTAL'!#REF!</f>
        <v>#REF!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 t="str">
        <f>'RESUMEN TOTAL'!N447</f>
        <v>APAGADO</v>
      </c>
      <c r="G350" s="70">
        <f>'RESUMEN TOTAL'!O447</f>
        <v>0</v>
      </c>
      <c r="H350" s="70">
        <f>'RESUMEN TOTAL'!P447</f>
        <v>0</v>
      </c>
      <c r="I350" s="70">
        <f>'RESUMEN TOTAL'!Q447</f>
        <v>0</v>
      </c>
      <c r="J350" s="70">
        <f>'RESUMEN TOTAL'!R447</f>
        <v>0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>
        <f>'RESUMEN TOTAL'!V447</f>
        <v>0</v>
      </c>
      <c r="O350" s="70">
        <f>'RESUMEN TOTAL'!W447</f>
        <v>0</v>
      </c>
      <c r="P350" s="70">
        <f>'RESUMEN TOTAL'!X447</f>
        <v>0</v>
      </c>
      <c r="Q350" s="70">
        <f>'RESUMEN TOTAL'!Y447</f>
        <v>0</v>
      </c>
      <c r="R350" s="70">
        <f>'RESUMEN TOTAL'!Z447</f>
        <v>0</v>
      </c>
      <c r="S350" s="70">
        <f>'RESUMEN TOTAL'!AA447</f>
        <v>0</v>
      </c>
      <c r="T350" s="70">
        <f>'RESUMEN TOTAL'!AB447</f>
        <v>0</v>
      </c>
      <c r="U350" s="70">
        <f>'RESUMEN TOTAL'!AC447</f>
        <v>0</v>
      </c>
      <c r="V350" s="70">
        <f>'RESUMEN TOTAL'!AD447</f>
        <v>0</v>
      </c>
      <c r="W350" s="70">
        <f>'RESUMEN TOTAL'!AE447</f>
        <v>0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 t="e">
        <f>'RESUMEN TOTAL'!#REF!</f>
        <v>#REF!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 t="e">
        <f>'RESUMEN TOTAL'!#REF!</f>
        <v>#REF!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TOTAL'!N449</f>
        <v>APAGADO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 t="str">
        <f>'RESUMEN TOTAL'!S449</f>
        <v>APAGADO</v>
      </c>
      <c r="L352" s="70" t="str">
        <f>'RESUMEN TOTAL'!T449</f>
        <v>APAGADO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>
        <f>'RESUMEN TOTAL'!AE449</f>
        <v>0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 t="e">
        <f>'RESUMEN TOTAL'!#REF!</f>
        <v>#REF!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>
        <f>'RESUMEN TOTAL'!O450</f>
        <v>0</v>
      </c>
      <c r="H353" s="70">
        <f>'RESUMEN TOTAL'!P450</f>
        <v>0</v>
      </c>
      <c r="I353" s="70">
        <f>'RESUMEN TOTAL'!Q450</f>
        <v>0</v>
      </c>
      <c r="J353" s="70">
        <f>'RESUMEN TOTAL'!R450</f>
        <v>0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>
        <f>'RESUMEN TOTAL'!V450</f>
        <v>0</v>
      </c>
      <c r="O353" s="70">
        <f>'RESUMEN TOTAL'!W450</f>
        <v>0</v>
      </c>
      <c r="P353" s="70">
        <f>'RESUMEN TOTAL'!X450</f>
        <v>0</v>
      </c>
      <c r="Q353" s="70">
        <f>'RESUMEN TOTAL'!Y450</f>
        <v>0</v>
      </c>
      <c r="R353" s="70">
        <f>'RESUMEN TOTAL'!Z450</f>
        <v>0</v>
      </c>
      <c r="S353" s="70">
        <f>'RESUMEN TOTAL'!AA450</f>
        <v>0</v>
      </c>
      <c r="T353" s="70">
        <f>'RESUMEN TOTAL'!AB450</f>
        <v>0</v>
      </c>
      <c r="U353" s="70">
        <f>'RESUMEN TOTAL'!AC450</f>
        <v>0</v>
      </c>
      <c r="V353" s="70">
        <f>'RESUMEN TOTAL'!AD450</f>
        <v>0</v>
      </c>
      <c r="W353" s="70">
        <f>'RESUMEN TOTAL'!AE450</f>
        <v>0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 t="e">
        <f>'RESUMEN TOTAL'!#REF!</f>
        <v>#REF!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 t="e">
        <f>'RESUMEN TOTAL'!#REF!</f>
        <v>#REF!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>
        <f>'RESUMEN TOTAL'!T452</f>
        <v>0</v>
      </c>
      <c r="M355" s="70">
        <f>'RESUMEN TOTAL'!U452</f>
        <v>0</v>
      </c>
      <c r="N355" s="70">
        <f>'RESUMEN TOTAL'!V452</f>
        <v>0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 t="e">
        <f>'RESUMEN TOTAL'!#REF!</f>
        <v>#REF!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>
        <f>'RESUMEN TOTAL'!T453</f>
        <v>0</v>
      </c>
      <c r="M356" s="70">
        <f>'RESUMEN TOTAL'!U453</f>
        <v>0</v>
      </c>
      <c r="N356" s="70">
        <f>'RESUMEN TOTAL'!V453</f>
        <v>0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 t="e">
        <f>'RESUMEN TOTAL'!#REF!</f>
        <v>#REF!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>
        <f>'RESUMEN TOTAL'!AE454</f>
        <v>0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 t="e">
        <f>'RESUMEN TOTAL'!#REF!</f>
        <v>#REF!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 t="e">
        <f>'RESUMEN TOTAL'!#REF!</f>
        <v>#REF!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 t="e">
        <f>'RESUMEN TOTAL'!#REF!</f>
        <v>#REF!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 t="e">
        <f>'RESUMEN TOTAL'!#REF!</f>
        <v>#REF!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>
        <f>'RESUMEN TOTAL'!O464</f>
        <v>0</v>
      </c>
      <c r="H361" s="70">
        <f>'RESUMEN TOTAL'!P464</f>
        <v>0</v>
      </c>
      <c r="I361" s="70">
        <f>'RESUMEN TOTAL'!Q464</f>
        <v>0</v>
      </c>
      <c r="J361" s="70">
        <f>'RESUMEN TOTAL'!R464</f>
        <v>0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>
        <f>'RESUMEN TOTAL'!V464</f>
        <v>0</v>
      </c>
      <c r="O361" s="70">
        <f>'RESUMEN TOTAL'!W464</f>
        <v>0</v>
      </c>
      <c r="P361" s="70">
        <f>'RESUMEN TOTAL'!X464</f>
        <v>0</v>
      </c>
      <c r="Q361" s="70">
        <f>'RESUMEN TOTAL'!Y464</f>
        <v>0</v>
      </c>
      <c r="R361" s="70">
        <f>'RESUMEN TOTAL'!Z464</f>
        <v>0</v>
      </c>
      <c r="S361" s="70">
        <f>'RESUMEN TOTAL'!AA464</f>
        <v>0</v>
      </c>
      <c r="T361" s="70">
        <f>'RESUMEN TOTAL'!AB464</f>
        <v>0</v>
      </c>
      <c r="U361" s="70">
        <f>'RESUMEN TOTAL'!AC464</f>
        <v>0</v>
      </c>
      <c r="V361" s="70">
        <f>'RESUMEN TOTAL'!AD464</f>
        <v>0</v>
      </c>
      <c r="W361" s="70">
        <f>'RESUMEN TOTAL'!AE464</f>
        <v>0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 t="e">
        <f>'RESUMEN TOTAL'!#REF!</f>
        <v>#REF!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>
        <f>'RESUMEN TOTAL'!O465</f>
        <v>0</v>
      </c>
      <c r="H362" s="70">
        <f>'RESUMEN TOTAL'!P465</f>
        <v>0</v>
      </c>
      <c r="I362" s="70">
        <f>'RESUMEN TOTAL'!Q465</f>
        <v>0</v>
      </c>
      <c r="J362" s="70">
        <f>'RESUMEN TOTAL'!R465</f>
        <v>0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>
        <f>'RESUMEN TOTAL'!V465</f>
        <v>0</v>
      </c>
      <c r="O362" s="70">
        <f>'RESUMEN TOTAL'!W465</f>
        <v>0</v>
      </c>
      <c r="P362" s="70">
        <f>'RESUMEN TOTAL'!X465</f>
        <v>0</v>
      </c>
      <c r="Q362" s="70">
        <f>'RESUMEN TOTAL'!Y465</f>
        <v>0</v>
      </c>
      <c r="R362" s="70">
        <f>'RESUMEN TOTAL'!Z465</f>
        <v>0</v>
      </c>
      <c r="S362" s="70">
        <f>'RESUMEN TOTAL'!AA465</f>
        <v>0</v>
      </c>
      <c r="T362" s="70">
        <f>'RESUMEN TOTAL'!AB465</f>
        <v>0</v>
      </c>
      <c r="U362" s="70">
        <f>'RESUMEN TOTAL'!AC465</f>
        <v>0</v>
      </c>
      <c r="V362" s="70">
        <f>'RESUMEN TOTAL'!AD465</f>
        <v>0</v>
      </c>
      <c r="W362" s="70">
        <f>'RESUMEN TOTAL'!AE465</f>
        <v>0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 t="e">
        <f>'RESUMEN TOTAL'!#REF!</f>
        <v>#REF!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>
        <f>'RESUMEN TOTAL'!O466</f>
        <v>0</v>
      </c>
      <c r="H363" s="70">
        <f>'RESUMEN TOTAL'!P466</f>
        <v>0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>
        <f>'RESUMEN TOTAL'!V466</f>
        <v>0</v>
      </c>
      <c r="O363" s="70">
        <f>'RESUMEN TOTAL'!W466</f>
        <v>0</v>
      </c>
      <c r="P363" s="70">
        <f>'RESUMEN TOTAL'!X466</f>
        <v>0</v>
      </c>
      <c r="Q363" s="70">
        <f>'RESUMEN TOTAL'!Y466</f>
        <v>0</v>
      </c>
      <c r="R363" s="70">
        <f>'RESUMEN TOTAL'!Z466</f>
        <v>0</v>
      </c>
      <c r="S363" s="70">
        <f>'RESUMEN TOTAL'!AA466</f>
        <v>0</v>
      </c>
      <c r="T363" s="70">
        <f>'RESUMEN TOTAL'!AB466</f>
        <v>0</v>
      </c>
      <c r="U363" s="70">
        <f>'RESUMEN TOTAL'!AC466</f>
        <v>0</v>
      </c>
      <c r="V363" s="70">
        <f>'RESUMEN TOTAL'!AD466</f>
        <v>0</v>
      </c>
      <c r="W363" s="70">
        <f>'RESUMEN TOTAL'!AE466</f>
        <v>0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 t="e">
        <f>'RESUMEN TOTAL'!#REF!</f>
        <v>#REF!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 t="e">
        <f>'RESUMEN TOTAL'!#REF!</f>
        <v>#REF!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>
        <f>'RESUMEN TOTAL'!N470</f>
        <v>0</v>
      </c>
      <c r="G365" s="70">
        <f>'RESUMEN TOTAL'!O470</f>
        <v>0</v>
      </c>
      <c r="H365" s="70">
        <f>'RESUMEN TOTAL'!P470</f>
        <v>0</v>
      </c>
      <c r="I365" s="70">
        <f>'RESUMEN TOTAL'!Q470</f>
        <v>0</v>
      </c>
      <c r="J365" s="70">
        <f>'RESUMEN TOTAL'!R470</f>
        <v>0</v>
      </c>
      <c r="K365" s="70">
        <f>'RESUMEN TOTAL'!S470</f>
        <v>0</v>
      </c>
      <c r="L365" s="70">
        <f>'RESUMEN TOTAL'!T470</f>
        <v>0</v>
      </c>
      <c r="M365" s="70">
        <f>'RESUMEN TOTAL'!U470</f>
        <v>0</v>
      </c>
      <c r="N365" s="70">
        <f>'RESUMEN TOTAL'!V470</f>
        <v>0</v>
      </c>
      <c r="O365" s="70">
        <f>'RESUMEN TOTAL'!W470</f>
        <v>0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>
        <f>'RESUMEN TOTAL'!AE470</f>
        <v>0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 t="e">
        <f>'RESUMEN TOTAL'!#REF!</f>
        <v>#REF!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 t="e">
        <f>'RESUMEN TOTAL'!#REF!</f>
        <v>#REF!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 t="e">
        <f>'RESUMEN TOTAL'!#REF!</f>
        <v>#REF!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 t="e">
        <f>'RESUMEN TOTAL'!#REF!</f>
        <v>#REF!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 t="e">
        <f>'RESUMEN TOTAL'!#REF!</f>
        <v>#REF!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 t="e">
        <f>'RESUMEN TOTAL'!#REF!</f>
        <v>#REF!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 t="e">
        <f>'RESUMEN TOTAL'!#REF!</f>
        <v>#REF!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 t="str">
        <f>'RESUMEN TOTAL'!N477</f>
        <v>APAGADO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 t="str">
        <f>'RESUMEN TOTAL'!S477</f>
        <v>APAGADO</v>
      </c>
      <c r="L372" s="70" t="str">
        <f>'RESUMEN TOTAL'!T477</f>
        <v>APAGADO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 t="e">
        <f>'RESUMEN TOTAL'!#REF!</f>
        <v>#REF!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 t="e">
        <f>'RESUMEN TOTAL'!#REF!</f>
        <v>#REF!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 t="e">
        <f>'RESUMEN TOTAL'!#REF!</f>
        <v>#REF!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 t="e">
        <f>'RESUMEN TOTAL'!#REF!</f>
        <v>#REF!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 t="e">
        <f>'RESUMEN TOTAL'!#REF!</f>
        <v>#REF!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 t="e">
        <f>'RESUMEN TOTAL'!#REF!</f>
        <v>#REF!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 t="str">
        <f>'RESUMEN TOTAL'!N490</f>
        <v>APAGADO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 t="e">
        <f>'RESUMEN TOTAL'!#REF!</f>
        <v>#REF!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 t="str">
        <f>'RESUMEN TOTAL'!N491</f>
        <v>APAGADO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>
        <f>'RESUMEN TOTAL'!AD491</f>
        <v>0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 t="e">
        <f>'RESUMEN TOTAL'!#REF!</f>
        <v>#REF!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 t="str">
        <f>'RESUMEN TOTAL'!N492</f>
        <v>APAGADO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>
        <f>'RESUMEN TOTAL'!AD492</f>
        <v>0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 t="e">
        <f>'RESUMEN TOTAL'!#REF!</f>
        <v>#REF!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 t="str">
        <f>'RESUMEN TOTAL'!N493</f>
        <v>APAGADO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 t="e">
        <f>'RESUMEN TOTAL'!#REF!</f>
        <v>#REF!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 t="str">
        <f>'RESUMEN TOTAL'!N494</f>
        <v>APAGADO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 t="e">
        <f>'RESUMEN TOTAL'!#REF!</f>
        <v>#REF!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>
        <f>'RESUMEN TOTAL'!AE495</f>
        <v>0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 t="e">
        <f>'RESUMEN TOTAL'!#REF!</f>
        <v>#REF!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 t="e">
        <f>'RESUMEN TOTAL'!#REF!</f>
        <v>#REF!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 t="e">
        <f>'RESUMEN TOTAL'!#REF!</f>
        <v>#REF!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 t="e">
        <f>'RESUMEN TOTAL'!#REF!</f>
        <v>#REF!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 t="e">
        <f>'RESUMEN TOTAL'!#REF!</f>
        <v>#REF!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>
        <f>'RESUMEN TOTAL'!Q500</f>
        <v>0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 t="e">
        <f>'RESUMEN TOTAL'!#REF!</f>
        <v>#REF!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 t="e">
        <f>'RESUMEN TOTAL'!#REF!</f>
        <v>#REF!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 t="e">
        <f>'RESUMEN TOTAL'!#REF!</f>
        <v>#REF!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 t="e">
        <f>'RESUMEN TOTAL'!#REF!</f>
        <v>#REF!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 t="e">
        <f>'RESUMEN TOTAL'!#REF!</f>
        <v>#REF!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 t="e">
        <f>'RESUMEN TOTAL'!#REF!</f>
        <v>#REF!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 t="e">
        <f>'RESUMEN TOTAL'!#REF!</f>
        <v>#REF!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 t="e">
        <f>'RESUMEN TOTAL'!#REF!</f>
        <v>#REF!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 t="str">
        <f>'RESUMEN TOTAL'!S508</f>
        <v>APAGADO</v>
      </c>
      <c r="L396" s="70" t="str">
        <f>'RESUMEN TOTAL'!T508</f>
        <v>APAGADO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 t="e">
        <f>'RESUMEN TOTAL'!#REF!</f>
        <v>#REF!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>
        <f>'RESUMEN TOTAL'!AC509</f>
        <v>0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 t="e">
        <f>'RESUMEN TOTAL'!#REF!</f>
        <v>#REF!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 t="e">
        <f>'RESUMEN TOTAL'!#REF!</f>
        <v>#REF!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 t="e">
        <f>'RESUMEN TOTAL'!#REF!</f>
        <v>#REF!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 t="e">
        <f>'RESUMEN TOTAL'!#REF!</f>
        <v>#REF!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 t="e">
        <f>'RESUMEN TOTAL'!#REF!</f>
        <v>#REF!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TOTAL'!N514</f>
        <v>0</v>
      </c>
      <c r="G402" s="70">
        <f>'RESUMEN TOTAL'!O514</f>
        <v>0</v>
      </c>
      <c r="H402" s="70">
        <f>'RESUMEN TOTAL'!P514</f>
        <v>0</v>
      </c>
      <c r="I402" s="70">
        <f>'RESUMEN TOTAL'!Q514</f>
        <v>0</v>
      </c>
      <c r="J402" s="70">
        <f>'RESUMEN TOTAL'!R514</f>
        <v>0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>
        <f>'RESUMEN TOTAL'!V514</f>
        <v>0</v>
      </c>
      <c r="O402" s="70">
        <f>'RESUMEN TOTAL'!W514</f>
        <v>0</v>
      </c>
      <c r="P402" s="70">
        <f>'RESUMEN TOTAL'!X514</f>
        <v>0</v>
      </c>
      <c r="Q402" s="70">
        <f>'RESUMEN TOTAL'!Y514</f>
        <v>0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 t="e">
        <f>'RESUMEN TOTAL'!#REF!</f>
        <v>#REF!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>
        <f>'RESUMEN TOTAL'!N515</f>
        <v>0</v>
      </c>
      <c r="G403" s="70">
        <f>'RESUMEN TOTAL'!O515</f>
        <v>0</v>
      </c>
      <c r="H403" s="70">
        <f>'RESUMEN TOTAL'!P515</f>
        <v>0</v>
      </c>
      <c r="I403" s="70">
        <f>'RESUMEN TOTAL'!Q515</f>
        <v>0</v>
      </c>
      <c r="J403" s="70">
        <f>'RESUMEN TOTAL'!R515</f>
        <v>0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 t="e">
        <f>'RESUMEN TOTAL'!#REF!</f>
        <v>#REF!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 t="str">
        <f>'RESUMEN TOTAL'!N516</f>
        <v>APAGADO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 t="str">
        <f>'RESUMEN TOTAL'!S516</f>
        <v>APAGADO</v>
      </c>
      <c r="L404" s="70" t="str">
        <f>'RESUMEN TOTAL'!T516</f>
        <v>APAGADO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 t="e">
        <f>'RESUMEN TOTAL'!#REF!</f>
        <v>#REF!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 t="e">
        <f>'RESUMEN TOTAL'!#REF!</f>
        <v>#REF!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 t="e">
        <f>'RESUMEN TOTAL'!#REF!</f>
        <v>#REF!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>
        <f>'RESUMEN TOTAL'!O519</f>
        <v>0</v>
      </c>
      <c r="H407" s="70">
        <f>'RESUMEN TOTAL'!P519</f>
        <v>0</v>
      </c>
      <c r="I407" s="70">
        <f>'RESUMEN TOTAL'!Q519</f>
        <v>0</v>
      </c>
      <c r="J407" s="70">
        <f>'RESUMEN TOTAL'!R519</f>
        <v>0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>
        <f>'RESUMEN TOTAL'!V519</f>
        <v>0</v>
      </c>
      <c r="O407" s="70">
        <f>'RESUMEN TOTAL'!W519</f>
        <v>0</v>
      </c>
      <c r="P407" s="70">
        <f>'RESUMEN TOTAL'!X519</f>
        <v>0</v>
      </c>
      <c r="Q407" s="70">
        <f>'RESUMEN TOTAL'!Y519</f>
        <v>0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>
        <f>'RESUMEN TOTAL'!AC519</f>
        <v>0</v>
      </c>
      <c r="V407" s="70">
        <f>'RESUMEN TOTAL'!AD519</f>
        <v>0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 t="e">
        <f>'RESUMEN TOTAL'!#REF!</f>
        <v>#REF!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 t="e">
        <f>'RESUMEN TOTAL'!#REF!</f>
        <v>#REF!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 t="e">
        <f>'RESUMEN TOTAL'!#REF!</f>
        <v>#REF!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 t="e">
        <f>'RESUMEN TOTAL'!#REF!</f>
        <v>#REF!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 t="e">
        <f>'RESUMEN TOTAL'!#REF!</f>
        <v>#REF!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 t="e">
        <f>'RESUMEN TOTAL'!#REF!</f>
        <v>#REF!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 t="e">
        <f>'RESUMEN TOTAL'!#REF!</f>
        <v>#REF!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 t="e">
        <f>'RESUMEN TOTAL'!#REF!</f>
        <v>#REF!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 t="e">
        <f>'RESUMEN TOTAL'!#REF!</f>
        <v>#REF!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 t="e">
        <f>'RESUMEN TOTAL'!#REF!</f>
        <v>#REF!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 t="e">
        <f>'RESUMEN TOTAL'!#REF!</f>
        <v>#REF!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 t="e">
        <f>'RESUMEN TOTAL'!#REF!</f>
        <v>#REF!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 t="e">
        <f>'RESUMEN TOTAL'!#REF!</f>
        <v>#REF!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 t="e">
        <f>'RESUMEN TOTAL'!#REF!</f>
        <v>#REF!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 t="e">
        <f>'RESUMEN TOTAL'!#REF!</f>
        <v>#REF!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 t="e">
        <f>'RESUMEN TOTAL'!#REF!</f>
        <v>#REF!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 t="e">
        <f>'RESUMEN TOTAL'!#REF!</f>
        <v>#REF!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 t="str">
        <f>'RESUMEN TOTAL'!N541</f>
        <v>APAGADO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 t="str">
        <f>'RESUMEN TOTAL'!S541</f>
        <v>APAGADO</v>
      </c>
      <c r="L424" s="70" t="str">
        <f>'RESUMEN TOTAL'!T541</f>
        <v>APAGADO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>
        <f>'RESUMEN TOTAL'!AD541</f>
        <v>0</v>
      </c>
      <c r="W424" s="70">
        <f>'RESUMEN TOTAL'!AE541</f>
        <v>0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 t="e">
        <f>'RESUMEN TOTAL'!#REF!</f>
        <v>#REF!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 t="e">
        <f>'RESUMEN TOTAL'!#REF!</f>
        <v>#REF!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 t="e">
        <f>'RESUMEN TOTAL'!#REF!</f>
        <v>#REF!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TOTAL'!N545</f>
        <v>0</v>
      </c>
      <c r="G427" s="70">
        <f>'RESUMEN TOTAL'!O545</f>
        <v>0</v>
      </c>
      <c r="H427" s="70">
        <f>'RESUMEN TOTAL'!P545</f>
        <v>0</v>
      </c>
      <c r="I427" s="70">
        <f>'RESUMEN TOTAL'!Q545</f>
        <v>0</v>
      </c>
      <c r="J427" s="70">
        <f>'RESUMEN TOTAL'!R545</f>
        <v>0</v>
      </c>
      <c r="K427" s="70">
        <f>'RESUMEN TOTAL'!S545</f>
        <v>0</v>
      </c>
      <c r="L427" s="70">
        <f>'RESUMEN TOTAL'!T545</f>
        <v>0</v>
      </c>
      <c r="M427" s="70">
        <f>'RESUMEN TOTAL'!U545</f>
        <v>0</v>
      </c>
      <c r="N427" s="70">
        <f>'RESUMEN TOTAL'!V545</f>
        <v>0</v>
      </c>
      <c r="O427" s="70">
        <f>'RESUMEN TOTAL'!W545</f>
        <v>0</v>
      </c>
      <c r="P427" s="70">
        <f>'RESUMEN TOTAL'!X545</f>
        <v>0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 t="e">
        <f>'RESUMEN TOTAL'!#REF!</f>
        <v>#REF!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 t="str">
        <f>'RESUMEN TOTAL'!N546</f>
        <v>APAGADO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 t="str">
        <f>'RESUMEN TOTAL'!S546</f>
        <v>APAGADO</v>
      </c>
      <c r="L428" s="70" t="str">
        <f>'RESUMEN TOTAL'!T546</f>
        <v>APAGADO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 t="e">
        <f>'RESUMEN TOTAL'!#REF!</f>
        <v>#REF!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 t="e">
        <f>'RESUMEN TOTAL'!#REF!</f>
        <v>#REF!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 t="e">
        <f>'RESUMEN TOTAL'!#REF!</f>
        <v>#REF!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>
        <f>'RESUMEN TOTAL'!X549</f>
        <v>0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 t="e">
        <f>'RESUMEN TOTAL'!#REF!</f>
        <v>#REF!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 t="e">
        <f>'RESUMEN TOTAL'!#REF!</f>
        <v>#REF!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 t="e">
        <f>'RESUMEN TOTAL'!#REF!</f>
        <v>#REF!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 t="e">
        <f>'RESUMEN TOTAL'!#REF!</f>
        <v>#REF!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 t="e">
        <f>'RESUMEN TOTAL'!#REF!</f>
        <v>#REF!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>
        <f>'RESUMEN TOTAL'!O558</f>
        <v>0</v>
      </c>
      <c r="H436" s="70">
        <f>'RESUMEN TOTAL'!P558</f>
        <v>0</v>
      </c>
      <c r="I436" s="70">
        <f>'RESUMEN TOTAL'!Q558</f>
        <v>0</v>
      </c>
      <c r="J436" s="70">
        <f>'RESUMEN TOTAL'!R558</f>
        <v>0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>
        <f>'RESUMEN TOTAL'!V558</f>
        <v>0</v>
      </c>
      <c r="O436" s="70">
        <f>'RESUMEN TOTAL'!W558</f>
        <v>0</v>
      </c>
      <c r="P436" s="70">
        <f>'RESUMEN TOTAL'!X558</f>
        <v>0</v>
      </c>
      <c r="Q436" s="70">
        <f>'RESUMEN TOTAL'!Y558</f>
        <v>0</v>
      </c>
      <c r="R436" s="70">
        <f>'RESUMEN TOTAL'!Z558</f>
        <v>0</v>
      </c>
      <c r="S436" s="70">
        <f>'RESUMEN TOTAL'!AA558</f>
        <v>0</v>
      </c>
      <c r="T436" s="70">
        <f>'RESUMEN TOTAL'!AB558</f>
        <v>0</v>
      </c>
      <c r="U436" s="70">
        <f>'RESUMEN TOTAL'!AC558</f>
        <v>0</v>
      </c>
      <c r="V436" s="70">
        <f>'RESUMEN TOTAL'!AD558</f>
        <v>0</v>
      </c>
      <c r="W436" s="70">
        <f>'RESUMEN TOTAL'!AE558</f>
        <v>0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 t="e">
        <f>'RESUMEN TOTAL'!#REF!</f>
        <v>#REF!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>
        <f>'RESUMEN TOTAL'!AE559</f>
        <v>0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 t="e">
        <f>'RESUMEN TOTAL'!#REF!</f>
        <v>#REF!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>
        <f>'RESUMEN TOTAL'!O560</f>
        <v>0</v>
      </c>
      <c r="H438" s="70">
        <f>'RESUMEN TOTAL'!P560</f>
        <v>0</v>
      </c>
      <c r="I438" s="70">
        <f>'RESUMEN TOTAL'!Q560</f>
        <v>0</v>
      </c>
      <c r="J438" s="70">
        <f>'RESUMEN TOTAL'!R560</f>
        <v>0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>
        <f>'RESUMEN TOTAL'!V560</f>
        <v>0</v>
      </c>
      <c r="O438" s="70">
        <f>'RESUMEN TOTAL'!W560</f>
        <v>0</v>
      </c>
      <c r="P438" s="70">
        <f>'RESUMEN TOTAL'!X560</f>
        <v>0</v>
      </c>
      <c r="Q438" s="70">
        <f>'RESUMEN TOTAL'!Y560</f>
        <v>0</v>
      </c>
      <c r="R438" s="70">
        <f>'RESUMEN TOTAL'!Z560</f>
        <v>0</v>
      </c>
      <c r="S438" s="70">
        <f>'RESUMEN TOTAL'!AA560</f>
        <v>0</v>
      </c>
      <c r="T438" s="70">
        <f>'RESUMEN TOTAL'!AB560</f>
        <v>0</v>
      </c>
      <c r="U438" s="70">
        <f>'RESUMEN TOTAL'!AC560</f>
        <v>0</v>
      </c>
      <c r="V438" s="70">
        <f>'RESUMEN TOTAL'!AD560</f>
        <v>0</v>
      </c>
      <c r="W438" s="70">
        <f>'RESUMEN TOTAL'!AE560</f>
        <v>0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 t="e">
        <f>'RESUMEN TOTAL'!#REF!</f>
        <v>#REF!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>
        <f>'RESUMEN TOTAL'!AE561</f>
        <v>0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 t="e">
        <f>'RESUMEN TOTAL'!#REF!</f>
        <v>#REF!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>
        <f>'RESUMEN TOTAL'!AE562</f>
        <v>0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 t="e">
        <f>'RESUMEN TOTAL'!#REF!</f>
        <v>#REF!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>
        <f>'RESUMEN TOTAL'!Q564</f>
        <v>0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 t="e">
        <f>'RESUMEN TOTAL'!#REF!</f>
        <v>#REF!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 t="str">
        <f>'RESUMEN TOTAL'!N565</f>
        <v>APAGADO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 t="e">
        <f>'RESUMEN TOTAL'!#REF!</f>
        <v>#REF!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 t="str">
        <f>'RESUMEN TOTAL'!N566</f>
        <v>APAGADO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 t="e">
        <f>'RESUMEN TOTAL'!#REF!</f>
        <v>#REF!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 t="str">
        <f>'RESUMEN TOTAL'!N567</f>
        <v>APAGADO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 t="e">
        <f>'RESUMEN TOTAL'!#REF!</f>
        <v>#REF!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>
        <f>'RESUMEN TOTAL'!N568</f>
        <v>0</v>
      </c>
      <c r="G445" s="70">
        <f>'RESUMEN TOTAL'!O568</f>
        <v>0</v>
      </c>
      <c r="H445" s="70">
        <f>'RESUMEN TOTAL'!P568</f>
        <v>0</v>
      </c>
      <c r="I445" s="70">
        <f>'RESUMEN TOTAL'!Q568</f>
        <v>0</v>
      </c>
      <c r="J445" s="70">
        <f>'RESUMEN TOTAL'!R568</f>
        <v>0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>
        <f>'RESUMEN TOTAL'!V568</f>
        <v>0</v>
      </c>
      <c r="O445" s="70">
        <f>'RESUMEN TOTAL'!W568</f>
        <v>0</v>
      </c>
      <c r="P445" s="70">
        <f>'RESUMEN TOTAL'!X568</f>
        <v>0</v>
      </c>
      <c r="Q445" s="70">
        <f>'RESUMEN TOTAL'!Y568</f>
        <v>0</v>
      </c>
      <c r="R445" s="70">
        <f>'RESUMEN TOTAL'!Z568</f>
        <v>0</v>
      </c>
      <c r="S445" s="70">
        <f>'RESUMEN TOTAL'!AA568</f>
        <v>0</v>
      </c>
      <c r="T445" s="70">
        <f>'RESUMEN TOTAL'!AB568</f>
        <v>0</v>
      </c>
      <c r="U445" s="70">
        <f>'RESUMEN TOTAL'!AC568</f>
        <v>0</v>
      </c>
      <c r="V445" s="70">
        <f>'RESUMEN TOTAL'!AD568</f>
        <v>0</v>
      </c>
      <c r="W445" s="70">
        <f>'RESUMEN TOTAL'!AE568</f>
        <v>0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 t="e">
        <f>'RESUMEN TOTAL'!#REF!</f>
        <v>#REF!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>
        <f>'RESUMEN TOTAL'!O569</f>
        <v>0</v>
      </c>
      <c r="H446" s="70">
        <f>'RESUMEN TOTAL'!P569</f>
        <v>0</v>
      </c>
      <c r="I446" s="70">
        <f>'RESUMEN TOTAL'!Q569</f>
        <v>0</v>
      </c>
      <c r="J446" s="70">
        <f>'RESUMEN TOTAL'!R569</f>
        <v>0</v>
      </c>
      <c r="K446" s="70">
        <f>'RESUMEN TOTAL'!S569</f>
        <v>0</v>
      </c>
      <c r="L446" s="70">
        <f>'RESUMEN TOTAL'!T569</f>
        <v>0</v>
      </c>
      <c r="M446" s="70">
        <f>'RESUMEN TOTAL'!U569</f>
        <v>0</v>
      </c>
      <c r="N446" s="70">
        <f>'RESUMEN TOTAL'!V569</f>
        <v>0</v>
      </c>
      <c r="O446" s="70">
        <f>'RESUMEN TOTAL'!W569</f>
        <v>0</v>
      </c>
      <c r="P446" s="70">
        <f>'RESUMEN TOTAL'!X569</f>
        <v>0</v>
      </c>
      <c r="Q446" s="70">
        <f>'RESUMEN TOTAL'!Y569</f>
        <v>0</v>
      </c>
      <c r="R446" s="70">
        <f>'RESUMEN TOTAL'!Z569</f>
        <v>0</v>
      </c>
      <c r="S446" s="70">
        <f>'RESUMEN TOTAL'!AA569</f>
        <v>0</v>
      </c>
      <c r="T446" s="70">
        <f>'RESUMEN TOTAL'!AB569</f>
        <v>0</v>
      </c>
      <c r="U446" s="70">
        <f>'RESUMEN TOTAL'!AC569</f>
        <v>0</v>
      </c>
      <c r="V446" s="70">
        <f>'RESUMEN TOTAL'!AD569</f>
        <v>0</v>
      </c>
      <c r="W446" s="70">
        <f>'RESUMEN TOTAL'!AE569</f>
        <v>0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 t="e">
        <f>'RESUMEN TOTAL'!#REF!</f>
        <v>#REF!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>
        <f>'RESUMEN TOTAL'!O570</f>
        <v>0</v>
      </c>
      <c r="H447" s="70">
        <f>'RESUMEN TOTAL'!P570</f>
        <v>0</v>
      </c>
      <c r="I447" s="70">
        <f>'RESUMEN TOTAL'!Q570</f>
        <v>0</v>
      </c>
      <c r="J447" s="70">
        <f>'RESUMEN TOTAL'!R570</f>
        <v>0</v>
      </c>
      <c r="K447" s="70">
        <f>'RESUMEN TOTAL'!S570</f>
        <v>0</v>
      </c>
      <c r="L447" s="70">
        <f>'RESUMEN TOTAL'!T570</f>
        <v>0</v>
      </c>
      <c r="M447" s="70">
        <f>'RESUMEN TOTAL'!U570</f>
        <v>0</v>
      </c>
      <c r="N447" s="70">
        <f>'RESUMEN TOTAL'!V570</f>
        <v>0</v>
      </c>
      <c r="O447" s="70">
        <f>'RESUMEN TOTAL'!W570</f>
        <v>0</v>
      </c>
      <c r="P447" s="70">
        <f>'RESUMEN TOTAL'!X570</f>
        <v>0</v>
      </c>
      <c r="Q447" s="70">
        <f>'RESUMEN TOTAL'!Y570</f>
        <v>0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>
        <f>'RESUMEN TOTAL'!AC570</f>
        <v>0</v>
      </c>
      <c r="V447" s="70">
        <f>'RESUMEN TOTAL'!AD570</f>
        <v>0</v>
      </c>
      <c r="W447" s="70">
        <f>'RESUMEN TOTAL'!AE570</f>
        <v>0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 t="e">
        <f>'RESUMEN TOTAL'!#REF!</f>
        <v>#REF!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>
        <f>'RESUMEN TOTAL'!O571</f>
        <v>0</v>
      </c>
      <c r="H448" s="70">
        <f>'RESUMEN TOTAL'!P571</f>
        <v>0</v>
      </c>
      <c r="I448" s="70">
        <f>'RESUMEN TOTAL'!Q571</f>
        <v>0</v>
      </c>
      <c r="J448" s="70">
        <f>'RESUMEN TOTAL'!R571</f>
        <v>0</v>
      </c>
      <c r="K448" s="70">
        <f>'RESUMEN TOTAL'!S571</f>
        <v>0</v>
      </c>
      <c r="L448" s="70">
        <f>'RESUMEN TOTAL'!T571</f>
        <v>0</v>
      </c>
      <c r="M448" s="70">
        <f>'RESUMEN TOTAL'!U571</f>
        <v>0</v>
      </c>
      <c r="N448" s="70">
        <f>'RESUMEN TOTAL'!V571</f>
        <v>0</v>
      </c>
      <c r="O448" s="70">
        <f>'RESUMEN TOTAL'!W571</f>
        <v>0</v>
      </c>
      <c r="P448" s="70">
        <f>'RESUMEN TOTAL'!X571</f>
        <v>0</v>
      </c>
      <c r="Q448" s="70">
        <f>'RESUMEN TOTAL'!Y571</f>
        <v>0</v>
      </c>
      <c r="R448" s="70">
        <f>'RESUMEN TOTAL'!Z571</f>
        <v>0</v>
      </c>
      <c r="S448" s="70">
        <f>'RESUMEN TOTAL'!AA571</f>
        <v>0</v>
      </c>
      <c r="T448" s="70">
        <f>'RESUMEN TOTAL'!AB571</f>
        <v>0</v>
      </c>
      <c r="U448" s="70">
        <f>'RESUMEN TOTAL'!AC571</f>
        <v>0</v>
      </c>
      <c r="V448" s="70">
        <f>'RESUMEN TOTAL'!AD571</f>
        <v>0</v>
      </c>
      <c r="W448" s="70">
        <f>'RESUMEN TOTAL'!AE571</f>
        <v>0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 t="e">
        <f>'RESUMEN TOTAL'!#REF!</f>
        <v>#REF!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>
        <f>'RESUMEN TOTAL'!O572</f>
        <v>0</v>
      </c>
      <c r="H449" s="70">
        <f>'RESUMEN TOTAL'!P572</f>
        <v>0</v>
      </c>
      <c r="I449" s="70">
        <f>'RESUMEN TOTAL'!Q572</f>
        <v>0</v>
      </c>
      <c r="J449" s="70">
        <f>'RESUMEN TOTAL'!R572</f>
        <v>0</v>
      </c>
      <c r="K449" s="70">
        <f>'RESUMEN TOTAL'!S572</f>
        <v>0</v>
      </c>
      <c r="L449" s="70">
        <f>'RESUMEN TOTAL'!T572</f>
        <v>0</v>
      </c>
      <c r="M449" s="70">
        <f>'RESUMEN TOTAL'!U572</f>
        <v>0</v>
      </c>
      <c r="N449" s="70">
        <f>'RESUMEN TOTAL'!V572</f>
        <v>0</v>
      </c>
      <c r="O449" s="70">
        <f>'RESUMEN TOTAL'!W572</f>
        <v>0</v>
      </c>
      <c r="P449" s="70">
        <f>'RESUMEN TOTAL'!X572</f>
        <v>0</v>
      </c>
      <c r="Q449" s="70">
        <f>'RESUMEN TOTAL'!Y572</f>
        <v>0</v>
      </c>
      <c r="R449" s="70">
        <f>'RESUMEN TOTAL'!Z572</f>
        <v>0</v>
      </c>
      <c r="S449" s="70">
        <f>'RESUMEN TOTAL'!AA572</f>
        <v>0</v>
      </c>
      <c r="T449" s="70">
        <f>'RESUMEN TOTAL'!AB572</f>
        <v>0</v>
      </c>
      <c r="U449" s="70">
        <f>'RESUMEN TOTAL'!AC572</f>
        <v>0</v>
      </c>
      <c r="V449" s="70">
        <f>'RESUMEN TOTAL'!AD572</f>
        <v>0</v>
      </c>
      <c r="W449" s="70">
        <f>'RESUMEN TOTAL'!AE572</f>
        <v>0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 t="e">
        <f>'RESUMEN TOTAL'!#REF!</f>
        <v>#REF!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 t="e">
        <f>'RESUMEN TOTAL'!#REF!</f>
        <v>#REF!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 t="e">
        <f>'RESUMEN TOTAL'!#REF!</f>
        <v>#REF!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 t="str">
        <f>'RESUMEN TOTAL'!N577</f>
        <v>APAGADO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 t="str">
        <f>'RESUMEN TOTAL'!S577</f>
        <v>APAGADO</v>
      </c>
      <c r="L452" s="70" t="str">
        <f>'RESUMEN TOTAL'!T577</f>
        <v>APAGADO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>
        <f>'RESUMEN TOTAL'!AD577</f>
        <v>0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 t="e">
        <f>'RESUMEN TOTAL'!#REF!</f>
        <v>#REF!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 t="e">
        <f>'RESUMEN TOTAL'!#REF!</f>
        <v>#REF!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 t="e">
        <f>'RESUMEN TOTAL'!#REF!</f>
        <v>#REF!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 t="e">
        <f>'RESUMEN TOTAL'!#REF!</f>
        <v>#REF!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 t="e">
        <f>'RESUMEN TOTAL'!#REF!</f>
        <v>#REF!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 t="e">
        <f>'RESUMEN TOTAL'!#REF!</f>
        <v>#REF!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 t="e">
        <f>'RESUMEN TOTAL'!#REF!</f>
        <v>#REF!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 t="e">
        <f>'RESUMEN TOTAL'!#REF!</f>
        <v>#REF!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TOTAL'!N586</f>
        <v>APAGADO</v>
      </c>
      <c r="G460" s="70">
        <f>'RESUMEN TOTAL'!O586</f>
        <v>0</v>
      </c>
      <c r="H460" s="70">
        <f>'RESUMEN TOTAL'!P586</f>
        <v>0</v>
      </c>
      <c r="I460" s="70">
        <f>'RESUMEN TOTAL'!Q586</f>
        <v>0</v>
      </c>
      <c r="J460" s="70">
        <f>'RESUMEN TOTAL'!R586</f>
        <v>0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>
        <f>'RESUMEN TOTAL'!V586</f>
        <v>0</v>
      </c>
      <c r="O460" s="70">
        <f>'RESUMEN TOTAL'!W586</f>
        <v>0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 t="e">
        <f>'RESUMEN TOTAL'!#REF!</f>
        <v>#REF!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 t="e">
        <f>'RESUMEN TOTAL'!#REF!</f>
        <v>#REF!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 t="e">
        <f>'RESUMEN TOTAL'!#REF!</f>
        <v>#REF!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 t="e">
        <f>'RESUMEN TOTAL'!#REF!</f>
        <v>#REF!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 t="e">
        <f>'RESUMEN TOTAL'!#REF!</f>
        <v>#REF!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 t="e">
        <f>'RESUMEN TOTAL'!#REF!</f>
        <v>#REF!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 t="e">
        <f>'RESUMEN TOTAL'!#REF!</f>
        <v>#REF!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 t="e">
        <f>'RESUMEN TOTAL'!#REF!</f>
        <v>#REF!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 t="e">
        <f>'RESUMEN TOTAL'!#REF!</f>
        <v>#REF!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 t="e">
        <f>'RESUMEN TOTAL'!#REF!</f>
        <v>#REF!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 t="e">
        <f>'RESUMEN TOTAL'!#REF!</f>
        <v>#REF!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 t="e">
        <f>'RESUMEN TOTAL'!#REF!</f>
        <v>#REF!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 t="e">
        <f>'RESUMEN TOTAL'!#REF!</f>
        <v>#REF!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 t="e">
        <f>'RESUMEN TOTAL'!#REF!</f>
        <v>#REF!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 t="e">
        <f>'RESUMEN TOTAL'!#REF!</f>
        <v>#REF!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 t="e">
        <f>'RESUMEN TOTAL'!#REF!</f>
        <v>#REF!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 t="e">
        <f>'RESUMEN TOTAL'!#REF!</f>
        <v>#REF!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 t="e">
        <f>'RESUMEN TOTAL'!#REF!</f>
        <v>#REF!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 t="e">
        <f>'RESUMEN TOTAL'!#REF!</f>
        <v>#REF!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 t="e">
        <f>'RESUMEN TOTAL'!#REF!</f>
        <v>#REF!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 t="e">
        <f>'RESUMEN TOTAL'!#REF!</f>
        <v>#REF!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 t="e">
        <f>'RESUMEN TOTAL'!#REF!</f>
        <v>#REF!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 t="e">
        <f>'RESUMEN TOTAL'!#REF!</f>
        <v>#REF!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 t="e">
        <f>'RESUMEN TOTAL'!#REF!</f>
        <v>#REF!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 t="e">
        <f>'RESUMEN TOTAL'!#REF!</f>
        <v>#REF!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 t="e">
        <f>'RESUMEN TOTAL'!#REF!</f>
        <v>#REF!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 t="e">
        <f>'RESUMEN TOTAL'!#REF!</f>
        <v>#REF!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 t="e">
        <f>'RESUMEN TOTAL'!#REF!</f>
        <v>#REF!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 t="e">
        <f>'RESUMEN TOTAL'!#REF!</f>
        <v>#REF!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 t="e">
        <f>'RESUMEN TOTAL'!#REF!</f>
        <v>#REF!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 t="e">
        <f>'RESUMEN TOTAL'!#REF!</f>
        <v>#REF!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 t="e">
        <f>'RESUMEN TOTAL'!#REF!</f>
        <v>#REF!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 t="e">
        <f>'RESUMEN TOTAL'!#REF!</f>
        <v>#REF!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 t="e">
        <f>'RESUMEN TOTAL'!#REF!</f>
        <v>#REF!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 t="e">
        <f>'RESUMEN TOTAL'!#REF!</f>
        <v>#REF!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 t="e">
        <f>'RESUMEN TOTAL'!#REF!</f>
        <v>#REF!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 t="e">
        <f>'RESUMEN TOTAL'!#REF!</f>
        <v>#REF!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 t="e">
        <f>'RESUMEN TOTAL'!#REF!</f>
        <v>#REF!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 t="e">
        <f>'RESUMEN TOTAL'!#REF!</f>
        <v>#REF!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 t="e">
        <f>'RESUMEN TOTAL'!#REF!</f>
        <v>#REF!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 t="e">
        <f>'RESUMEN TOTAL'!#REF!</f>
        <v>#REF!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 t="e">
        <f>'RESUMEN TOTAL'!#REF!</f>
        <v>#REF!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 t="e">
        <f>'RESUMEN TOTAL'!#REF!</f>
        <v>#REF!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 t="e">
        <f>'RESUMEN TOTAL'!#REF!</f>
        <v>#REF!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 t="e">
        <f>'RESUMEN TOTAL'!#REF!</f>
        <v>#REF!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 t="e">
        <f>'RESUMEN TOTAL'!#REF!</f>
        <v>#REF!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 t="e">
        <f>'RESUMEN TOTAL'!#REF!</f>
        <v>#REF!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 t="e">
        <f>'RESUMEN TOTAL'!#REF!</f>
        <v>#REF!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 t="e">
        <f>'RESUMEN TOTAL'!#REF!</f>
        <v>#REF!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 t="e">
        <f>'RESUMEN TOTAL'!#REF!</f>
        <v>#REF!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 t="e">
        <f>'RESUMEN TOTAL'!#REF!</f>
        <v>#REF!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 t="e">
        <f>'RESUMEN TOTAL'!#REF!</f>
        <v>#REF!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 t="e">
        <f>'RESUMEN TOTAL'!#REF!</f>
        <v>#REF!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 t="e">
        <f>'RESUMEN TOTAL'!#REF!</f>
        <v>#REF!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 t="e">
        <f>'RESUMEN TOTAL'!#REF!</f>
        <v>#REF!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 t="e">
        <f>'RESUMEN TOTAL'!#REF!</f>
        <v>#REF!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 t="e">
        <f>'RESUMEN TOTAL'!#REF!</f>
        <v>#REF!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 t="e">
        <f>'RESUMEN TOTAL'!#REF!</f>
        <v>#REF!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 t="e">
        <f>'RESUMEN TOTAL'!#REF!</f>
        <v>#REF!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 t="e">
        <f>'RESUMEN TOTAL'!#REF!</f>
        <v>#REF!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 t="e">
        <f>'RESUMEN TOTAL'!#REF!</f>
        <v>#REF!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 t="e">
        <f>'RESUMEN TOTAL'!#REF!</f>
        <v>#REF!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 t="e">
        <f>'RESUMEN TOTAL'!#REF!</f>
        <v>#REF!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 t="e">
        <f>'RESUMEN TOTAL'!#REF!</f>
        <v>#REF!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 t="e">
        <f>'RESUMEN TOTAL'!#REF!</f>
        <v>#REF!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 t="e">
        <f>'RESUMEN TOTAL'!#REF!</f>
        <v>#REF!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 t="e">
        <f>'RESUMEN TOTAL'!#REF!</f>
        <v>#REF!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 t="e">
        <f>'RESUMEN TOTAL'!#REF!</f>
        <v>#REF!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 t="e">
        <f>'RESUMEN TOTAL'!#REF!</f>
        <v>#REF!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 t="e">
        <f>'RESUMEN TOTAL'!#REF!</f>
        <v>#REF!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 t="e">
        <f>'RESUMEN TOTAL'!#REF!</f>
        <v>#REF!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 t="e">
        <f>'RESUMEN TOTAL'!#REF!</f>
        <v>#REF!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 t="e">
        <f>'RESUMEN TOTAL'!#REF!</f>
        <v>#REF!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 t="e">
        <f>'RESUMEN TOTAL'!#REF!</f>
        <v>#REF!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 t="e">
        <f>'RESUMEN TOTAL'!#REF!</f>
        <v>#REF!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 t="e">
        <f>'RESUMEN TOTAL'!#REF!</f>
        <v>#REF!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 t="e">
        <f>'RESUMEN TOTAL'!#REF!</f>
        <v>#REF!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 t="e">
        <f>'RESUMEN TOTAL'!#REF!</f>
        <v>#REF!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 t="e">
        <f>'RESUMEN TOTAL'!#REF!</f>
        <v>#REF!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 t="e">
        <f>'RESUMEN TOTAL'!#REF!</f>
        <v>#REF!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 t="e">
        <f>'RESUMEN TOTAL'!#REF!</f>
        <v>#REF!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 t="e">
        <f>'RESUMEN TOTAL'!#REF!</f>
        <v>#REF!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 t="e">
        <f>'RESUMEN TOTAL'!#REF!</f>
        <v>#REF!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 t="e">
        <f>'RESUMEN TOTAL'!#REF!</f>
        <v>#REF!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 t="e">
        <f>'RESUMEN TOTAL'!#REF!</f>
        <v>#REF!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 t="e">
        <f>'RESUMEN TOTAL'!#REF!</f>
        <v>#REF!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 t="e">
        <f>'RESUMEN TOTAL'!#REF!</f>
        <v>#REF!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 t="e">
        <f>'RESUMEN TOTAL'!#REF!</f>
        <v>#REF!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 t="e">
        <f>'RESUMEN TOTAL'!#REF!</f>
        <v>#REF!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 t="e">
        <f>'RESUMEN TOTAL'!#REF!</f>
        <v>#REF!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 t="e">
        <f>'RESUMEN TOTAL'!#REF!</f>
        <v>#REF!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 t="e">
        <f>'RESUMEN TOTAL'!#REF!</f>
        <v>#REF!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 t="e">
        <f>'RESUMEN TOTAL'!#REF!</f>
        <v>#REF!</v>
      </c>
    </row>
    <row r="642" spans="1:36" x14ac:dyDescent="0.25">
      <c r="A642" t="s">
        <v>1295</v>
      </c>
      <c r="B642" t="s">
        <v>1331</v>
      </c>
      <c r="C642" t="s">
        <v>1330</v>
      </c>
      <c r="D642" s="30" t="s">
        <v>1300</v>
      </c>
      <c r="E642" s="30" t="s">
        <v>1294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 t="e">
        <f>'RESUMEN TOTAL'!#REF!</f>
        <v>#REF!</v>
      </c>
    </row>
    <row r="643" spans="1:36" x14ac:dyDescent="0.25">
      <c r="A643" t="s">
        <v>1295</v>
      </c>
      <c r="B643" t="s">
        <v>1332</v>
      </c>
      <c r="C643" t="s">
        <v>1330</v>
      </c>
      <c r="D643" t="s">
        <v>1293</v>
      </c>
      <c r="E643" s="30" t="s">
        <v>1294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L3" sqref="L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1063</v>
      </c>
      <c r="C1" s="36">
        <v>45992</v>
      </c>
    </row>
    <row r="2" spans="1:36" ht="16.5" thickTop="1" thickBot="1" x14ac:dyDescent="0.3">
      <c r="A2" s="49" t="s">
        <v>1055</v>
      </c>
      <c r="B2" s="41">
        <f>COUNTIFS('RESUMEN TOTAL'!C8:C621,"=BONOMO")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1055</v>
      </c>
      <c r="E3" s="45" t="s">
        <v>1064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42</v>
      </c>
      <c r="L3" s="46">
        <f>COUNTIFS('RESUMEN TOTAL'!T8:T698,"=APAGADO",'RESUMEN TOTAL'!D8:D698,"=BONOMO")</f>
        <v>0</v>
      </c>
      <c r="M3" s="46">
        <v>0</v>
      </c>
      <c r="N3" s="46">
        <f>COUNTIFS('RESUMEN TOTAL'!V8:V698,"=APAGADO",'RESUMEN TOTAL'!C8:C698,"=BONOMO")</f>
        <v>0</v>
      </c>
      <c r="O3" s="46">
        <f>COUNTIFS('RESUMEN TOTAL'!W8:W698,"=APAGADO",'RESUMEN TOTAL'!C8:C698,"=BONOMO")</f>
        <v>0</v>
      </c>
      <c r="P3" s="46">
        <f>COUNTIFS('RESUMEN TOTAL'!X8:X698,"=APAGADO",'RESUMEN TOTAL'!C8:C698,"=BONOMO")</f>
        <v>0</v>
      </c>
      <c r="Q3" s="46">
        <f>COUNTIFS('RESUMEN TOTAL'!Y8:Y698,"=APAGADO",'RESUMEN TOTAL'!C8:C698,"=BONOMO")</f>
        <v>0</v>
      </c>
      <c r="R3" s="46">
        <f>COUNTIFS('RESUMEN TOTAL'!Z8:Z698,"=APAGADO",'RESUMEN TOTAL'!C8:C698,"=BONOMO")</f>
        <v>0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0</v>
      </c>
      <c r="V3" s="46">
        <f>COUNTIFS('RESUMEN TOTAL'!AD8:AD698,"=APAGADO",'RESUMEN TOTAL'!C8:C698,"=BONOMO")</f>
        <v>0</v>
      </c>
      <c r="W3" s="46">
        <f>COUNTIFS('RESUMEN TOTAL'!AE8:AE698,"=APAGADO",'RESUMEN TOTAL'!C8:C698,"=BONOMO")</f>
        <v>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v>48</v>
      </c>
      <c r="AJ3" s="46" t="e">
        <f>COUNTIFS('RESUMEN TOTAL'!#REF!,"=APAGADO",'RESUMEN TOTAL'!F8:F698,"=BONOMO")</f>
        <v>#REF!</v>
      </c>
    </row>
    <row r="4" spans="1:36" ht="16.5" thickTop="1" thickBot="1" x14ac:dyDescent="0.3">
      <c r="A4" s="48" t="s">
        <v>1056</v>
      </c>
      <c r="B4" s="41">
        <f>COUNTIFS('RESUMEN TOTAL'!C8:C621,"=COSEIDI")</f>
        <v>277</v>
      </c>
      <c r="C4" s="46">
        <v>0</v>
      </c>
      <c r="D4" s="39"/>
      <c r="E4" s="37" t="s">
        <v>1066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 t="e">
        <f t="shared" ref="AJ4" si="2"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1056</v>
      </c>
      <c r="E5" s="47" t="s">
        <v>1065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0</v>
      </c>
      <c r="K5" s="46">
        <f>COUNTIFS('RESUMEN TOTAL'!S10:S700,"=APAGADO",'RESUMEN TOTAL'!C10:C700,"=COSEIDI")</f>
        <v>65</v>
      </c>
      <c r="L5" s="46">
        <f>COUNTIFS('RESUMEN TOTAL'!T10:T700,"=APAGADO",'RESUMEN TOTAL'!C10:C700,"=COSEIDI")</f>
        <v>52</v>
      </c>
      <c r="M5" s="46">
        <v>0</v>
      </c>
      <c r="N5" s="46">
        <f>COUNTIFS('RESUMEN TOTAL'!V10:V700,"=APAGADO",'RESUMEN TOTAL'!C10:C700,"=COSEIDI")</f>
        <v>0</v>
      </c>
      <c r="O5" s="46">
        <f>COUNTIFS('RESUMEN TOTAL'!W10:W700,"=APAGADO",'RESUMEN TOTAL'!C10:C700,"=COSEIDI")</f>
        <v>0</v>
      </c>
      <c r="P5" s="46">
        <f>COUNTIFS('RESUMEN TOTAL'!X10:X700,"=APAGADO",'RESUMEN TOTAL'!C10:C700,"=COSEIDI")</f>
        <v>0</v>
      </c>
      <c r="Q5" s="46">
        <f>COUNTIFS('RESUMEN TOTAL'!Y10:Y700,"=APAGADO",'RESUMEN TOTAL'!C10:C700,"=COSEIDI")</f>
        <v>0</v>
      </c>
      <c r="R5" s="46">
        <f>COUNTIFS('RESUMEN TOTAL'!Z10:Z700,"=APAGADO",'RESUMEN TOTAL'!C10:C700,"=COSEIDI")</f>
        <v>0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0</v>
      </c>
      <c r="V5" s="46">
        <f>COUNTIFS('RESUMEN TOTAL'!AD10:AD700,"=APAGADO",'RESUMEN TOTAL'!C10:C700,"=COSEIDI")</f>
        <v>0</v>
      </c>
      <c r="W5" s="46">
        <f>COUNTIFS('RESUMEN TOTAL'!AE10:AE700,"=APAGADO",'RESUMEN TOTAL'!C10:C700,"=COSEIDI")</f>
        <v>0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1067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0.23465703971119134</v>
      </c>
      <c r="L6" s="50">
        <f t="shared" si="3"/>
        <v>0.18772563176895307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9" zoomScaleNormal="100" workbookViewId="0">
      <selection activeCell="E76" sqref="E7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905</v>
      </c>
      <c r="D1" s="107" t="s">
        <v>1451</v>
      </c>
      <c r="E1" s="108" t="s">
        <v>906</v>
      </c>
    </row>
    <row r="2" spans="1:6" ht="15.6" customHeight="1" thickTop="1" x14ac:dyDescent="0.25">
      <c r="A2" s="75"/>
      <c r="B2" s="52" t="s">
        <v>1235</v>
      </c>
      <c r="C2" s="99">
        <f>CANTIDAD_DE_CAMARAS</f>
        <v>584</v>
      </c>
      <c r="D2" s="100"/>
      <c r="E2" s="105"/>
      <c r="F2" s="150">
        <v>46113</v>
      </c>
    </row>
    <row r="3" spans="1:6" ht="15" customHeight="1" x14ac:dyDescent="0.25">
      <c r="A3" s="76" t="s">
        <v>1463</v>
      </c>
      <c r="B3" s="53" t="s">
        <v>6</v>
      </c>
      <c r="C3" s="66">
        <f>'RESUMEN TOTAL'!N3</f>
        <v>107</v>
      </c>
      <c r="D3" s="54"/>
      <c r="E3" s="55">
        <f>C3/C2</f>
        <v>0.18321917808219179</v>
      </c>
      <c r="F3" s="151"/>
    </row>
    <row r="4" spans="1:6" x14ac:dyDescent="0.25">
      <c r="A4" s="76"/>
      <c r="B4" s="53" t="s">
        <v>1236</v>
      </c>
      <c r="C4" s="67">
        <v>17</v>
      </c>
      <c r="D4" s="102">
        <f>C3-C4</f>
        <v>90</v>
      </c>
      <c r="E4" s="55">
        <f>D4/C2</f>
        <v>0.1541095890410959</v>
      </c>
      <c r="F4" s="151"/>
    </row>
    <row r="5" spans="1:6" x14ac:dyDescent="0.25">
      <c r="A5" s="76"/>
      <c r="B5" s="53" t="s">
        <v>1237</v>
      </c>
      <c r="C5" s="67">
        <v>11</v>
      </c>
      <c r="D5" s="102">
        <f>D4-C5</f>
        <v>79</v>
      </c>
      <c r="E5" s="55">
        <f>D5/C2</f>
        <v>0.13527397260273974</v>
      </c>
      <c r="F5" s="151"/>
    </row>
    <row r="6" spans="1:6" x14ac:dyDescent="0.25">
      <c r="A6" s="96" t="s">
        <v>1463</v>
      </c>
      <c r="B6" s="53" t="s">
        <v>15</v>
      </c>
      <c r="C6" s="93">
        <v>16</v>
      </c>
      <c r="D6" s="102">
        <f>D5-C6</f>
        <v>63</v>
      </c>
      <c r="E6" s="55">
        <f>D6/C2</f>
        <v>0.10787671232876712</v>
      </c>
      <c r="F6" s="151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1"/>
    </row>
    <row r="8" spans="1:6" ht="16.5" thickTop="1" thickBot="1" x14ac:dyDescent="0.3">
      <c r="A8" s="94"/>
      <c r="B8" s="110"/>
      <c r="C8" s="109" t="s">
        <v>905</v>
      </c>
      <c r="D8" s="95" t="s">
        <v>1451</v>
      </c>
      <c r="E8" s="101" t="s">
        <v>906</v>
      </c>
      <c r="F8" s="151"/>
    </row>
    <row r="9" spans="1:6" ht="15" customHeight="1" thickTop="1" thickBot="1" x14ac:dyDescent="0.3">
      <c r="A9" s="35" t="s">
        <v>1465</v>
      </c>
      <c r="B9" s="97" t="s">
        <v>1055</v>
      </c>
      <c r="C9" s="98">
        <v>307</v>
      </c>
      <c r="D9" s="114">
        <v>39</v>
      </c>
      <c r="E9" s="104">
        <f>D9/C9</f>
        <v>0.12703583061889251</v>
      </c>
      <c r="F9" s="151"/>
    </row>
    <row r="10" spans="1:6" ht="15.75" thickBot="1" x14ac:dyDescent="0.3">
      <c r="A10" t="s">
        <v>1465</v>
      </c>
      <c r="B10" s="111" t="s">
        <v>1056</v>
      </c>
      <c r="C10" s="112">
        <f>COSEIDIcam</f>
        <v>277</v>
      </c>
      <c r="D10" s="112">
        <v>68</v>
      </c>
      <c r="E10" s="113">
        <f>D10/C10</f>
        <v>0.24548736462093862</v>
      </c>
      <c r="F10" s="152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905</v>
      </c>
      <c r="D12" s="107" t="s">
        <v>1451</v>
      </c>
      <c r="E12" s="108" t="s">
        <v>906</v>
      </c>
    </row>
    <row r="13" spans="1:6" ht="15" customHeight="1" thickTop="1" x14ac:dyDescent="0.25">
      <c r="B13" s="52" t="s">
        <v>1235</v>
      </c>
      <c r="C13" s="99">
        <f>CANTIDAD_DE_CAMARAS</f>
        <v>584</v>
      </c>
      <c r="D13" s="100"/>
      <c r="E13" s="105"/>
      <c r="F13" s="150">
        <v>46114</v>
      </c>
    </row>
    <row r="14" spans="1:6" x14ac:dyDescent="0.25">
      <c r="A14" t="s">
        <v>1464</v>
      </c>
      <c r="B14" s="53" t="s">
        <v>6</v>
      </c>
      <c r="C14" s="66">
        <v>87</v>
      </c>
      <c r="D14" s="54"/>
      <c r="E14" s="55">
        <f>C14/C13</f>
        <v>0.14897260273972604</v>
      </c>
      <c r="F14" s="151"/>
    </row>
    <row r="15" spans="1:6" x14ac:dyDescent="0.25">
      <c r="B15" s="53" t="s">
        <v>1236</v>
      </c>
      <c r="C15" s="67">
        <v>3</v>
      </c>
      <c r="D15" s="102">
        <v>84</v>
      </c>
      <c r="E15" s="55">
        <f>D15/C13</f>
        <v>0.14383561643835616</v>
      </c>
      <c r="F15" s="151"/>
    </row>
    <row r="16" spans="1:6" x14ac:dyDescent="0.25">
      <c r="B16" s="53" t="s">
        <v>1237</v>
      </c>
      <c r="C16" s="67">
        <v>7</v>
      </c>
      <c r="D16" s="102">
        <v>77</v>
      </c>
      <c r="E16" s="55">
        <f>D16/C13</f>
        <v>0.13184931506849315</v>
      </c>
      <c r="F16" s="151"/>
    </row>
    <row r="17" spans="1:6" x14ac:dyDescent="0.25">
      <c r="A17" t="s">
        <v>1464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1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1"/>
    </row>
    <row r="19" spans="1:6" ht="16.5" thickTop="1" thickBot="1" x14ac:dyDescent="0.3">
      <c r="B19" s="110"/>
      <c r="C19" s="109" t="s">
        <v>905</v>
      </c>
      <c r="D19" s="95" t="s">
        <v>1451</v>
      </c>
      <c r="E19" s="101" t="s">
        <v>906</v>
      </c>
      <c r="F19" s="151"/>
    </row>
    <row r="20" spans="1:6" ht="16.5" thickTop="1" thickBot="1" x14ac:dyDescent="0.3">
      <c r="A20" t="s">
        <v>1466</v>
      </c>
      <c r="B20" s="97" t="s">
        <v>1055</v>
      </c>
      <c r="C20" s="98">
        <v>307</v>
      </c>
      <c r="D20" s="114">
        <v>32</v>
      </c>
      <c r="E20" s="104">
        <f>D20/C20</f>
        <v>0.10423452768729642</v>
      </c>
      <c r="F20" s="151"/>
    </row>
    <row r="21" spans="1:6" ht="15.75" thickBot="1" x14ac:dyDescent="0.3">
      <c r="A21" t="s">
        <v>1466</v>
      </c>
      <c r="B21" s="111" t="s">
        <v>1056</v>
      </c>
      <c r="C21" s="112">
        <f>COSEIDIcam</f>
        <v>277</v>
      </c>
      <c r="D21" s="112">
        <v>55</v>
      </c>
      <c r="E21" s="113">
        <f>D21/C21</f>
        <v>0.19855595667870035</v>
      </c>
      <c r="F21" s="152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905</v>
      </c>
      <c r="D23" s="107" t="s">
        <v>1451</v>
      </c>
      <c r="E23" s="108" t="s">
        <v>906</v>
      </c>
    </row>
    <row r="24" spans="1:6" ht="15.75" thickTop="1" x14ac:dyDescent="0.25">
      <c r="B24" s="52" t="s">
        <v>1235</v>
      </c>
      <c r="C24" s="99">
        <f>CANTIDAD_DE_CAMARAS</f>
        <v>584</v>
      </c>
      <c r="D24" s="100"/>
      <c r="E24" s="105"/>
      <c r="F24" s="150"/>
    </row>
    <row r="25" spans="1:6" x14ac:dyDescent="0.25">
      <c r="A25" t="s">
        <v>1457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51"/>
    </row>
    <row r="26" spans="1:6" x14ac:dyDescent="0.25">
      <c r="B26" s="53" t="s">
        <v>1236</v>
      </c>
      <c r="C26" s="67">
        <v>6</v>
      </c>
      <c r="D26" s="102">
        <f>C25-C26</f>
        <v>-6</v>
      </c>
      <c r="E26" s="55">
        <f>D26/C24</f>
        <v>-1.0273972602739725E-2</v>
      </c>
      <c r="F26" s="151"/>
    </row>
    <row r="27" spans="1:6" x14ac:dyDescent="0.25">
      <c r="B27" s="53" t="s">
        <v>1237</v>
      </c>
      <c r="C27" s="67">
        <v>7</v>
      </c>
      <c r="D27" s="102">
        <f>D26-C27</f>
        <v>-13</v>
      </c>
      <c r="E27" s="55">
        <f>D27/C24</f>
        <v>-2.2260273972602738E-2</v>
      </c>
      <c r="F27" s="151"/>
    </row>
    <row r="28" spans="1:6" x14ac:dyDescent="0.25">
      <c r="A28" t="s">
        <v>1457</v>
      </c>
      <c r="B28" s="53" t="s">
        <v>15</v>
      </c>
      <c r="C28" s="93">
        <f>'RESUMEN TOTAL'!P5</f>
        <v>0</v>
      </c>
      <c r="D28" s="102">
        <f>D27-C28</f>
        <v>-13</v>
      </c>
      <c r="E28" s="55">
        <f>D28/C24</f>
        <v>-2.2260273972602738E-2</v>
      </c>
      <c r="F28" s="151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1"/>
    </row>
    <row r="30" spans="1:6" ht="16.5" thickTop="1" thickBot="1" x14ac:dyDescent="0.3">
      <c r="B30" s="110"/>
      <c r="C30" s="109" t="s">
        <v>905</v>
      </c>
      <c r="D30" s="95" t="s">
        <v>1451</v>
      </c>
      <c r="E30" s="101" t="s">
        <v>906</v>
      </c>
      <c r="F30" s="151"/>
    </row>
    <row r="31" spans="1:6" ht="16.5" thickTop="1" thickBot="1" x14ac:dyDescent="0.3">
      <c r="B31" s="97" t="s">
        <v>1055</v>
      </c>
      <c r="C31" s="98">
        <v>307</v>
      </c>
      <c r="D31" s="114">
        <v>31</v>
      </c>
      <c r="E31" s="104">
        <f>D31/C31</f>
        <v>0.10097719869706841</v>
      </c>
      <c r="F31" s="151"/>
    </row>
    <row r="32" spans="1:6" ht="15.75" thickBot="1" x14ac:dyDescent="0.3">
      <c r="B32" s="111" t="s">
        <v>1056</v>
      </c>
      <c r="C32" s="112">
        <f>COSEIDIcam</f>
        <v>277</v>
      </c>
      <c r="D32" s="112">
        <v>52</v>
      </c>
      <c r="E32" s="113">
        <f>D32/C32</f>
        <v>0.18772563176895307</v>
      </c>
      <c r="F32" s="152"/>
    </row>
    <row r="33" spans="1:6" ht="16.5" thickTop="1" thickBot="1" x14ac:dyDescent="0.3"/>
    <row r="34" spans="1:6" ht="16.5" thickTop="1" thickBot="1" x14ac:dyDescent="0.3">
      <c r="C34" s="106" t="s">
        <v>905</v>
      </c>
      <c r="D34" s="107" t="s">
        <v>1451</v>
      </c>
      <c r="E34" s="108" t="s">
        <v>906</v>
      </c>
    </row>
    <row r="35" spans="1:6" ht="15.75" thickTop="1" x14ac:dyDescent="0.25">
      <c r="B35" s="52" t="s">
        <v>1235</v>
      </c>
      <c r="C35" s="99">
        <f>CANTIDAD_DE_CAMARAS</f>
        <v>584</v>
      </c>
      <c r="D35" s="100"/>
      <c r="E35" s="105"/>
      <c r="F35" s="150"/>
    </row>
    <row r="36" spans="1:6" x14ac:dyDescent="0.25">
      <c r="A36" t="s">
        <v>1456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51"/>
    </row>
    <row r="37" spans="1:6" x14ac:dyDescent="0.25">
      <c r="B37" s="53" t="s">
        <v>1236</v>
      </c>
      <c r="C37" s="67">
        <v>7</v>
      </c>
      <c r="D37" s="102">
        <f>C36-C37</f>
        <v>-7</v>
      </c>
      <c r="E37" s="55">
        <f>D37/C35</f>
        <v>-1.1986301369863013E-2</v>
      </c>
      <c r="F37" s="151"/>
    </row>
    <row r="38" spans="1:6" x14ac:dyDescent="0.25">
      <c r="B38" s="53" t="s">
        <v>1237</v>
      </c>
      <c r="C38" s="67">
        <v>7</v>
      </c>
      <c r="D38" s="102">
        <f>D37-C38</f>
        <v>-14</v>
      </c>
      <c r="E38" s="55">
        <f>D38/C35</f>
        <v>-2.3972602739726026E-2</v>
      </c>
      <c r="F38" s="151"/>
    </row>
    <row r="39" spans="1:6" x14ac:dyDescent="0.25">
      <c r="A39" t="s">
        <v>1456</v>
      </c>
      <c r="B39" s="53" t="s">
        <v>15</v>
      </c>
      <c r="C39" s="93">
        <v>6</v>
      </c>
      <c r="D39" s="102">
        <f>D38-C39</f>
        <v>-20</v>
      </c>
      <c r="E39" s="55">
        <f>D39/C35</f>
        <v>-3.4246575342465752E-2</v>
      </c>
      <c r="F39" s="151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1"/>
    </row>
    <row r="41" spans="1:6" ht="16.5" thickTop="1" thickBot="1" x14ac:dyDescent="0.3">
      <c r="B41" s="110"/>
      <c r="C41" s="109" t="s">
        <v>905</v>
      </c>
      <c r="D41" s="95" t="s">
        <v>1451</v>
      </c>
      <c r="E41" s="101" t="s">
        <v>906</v>
      </c>
      <c r="F41" s="151"/>
    </row>
    <row r="42" spans="1:6" ht="16.5" thickTop="1" thickBot="1" x14ac:dyDescent="0.3">
      <c r="B42" s="97" t="s">
        <v>1055</v>
      </c>
      <c r="C42" s="98">
        <v>307</v>
      </c>
      <c r="D42" s="114">
        <f>Hoja1!I3</f>
        <v>29</v>
      </c>
      <c r="E42" s="104">
        <f>D42/C42</f>
        <v>9.4462540716612378E-2</v>
      </c>
      <c r="F42" s="151"/>
    </row>
    <row r="43" spans="1:6" ht="15.75" thickBot="1" x14ac:dyDescent="0.3">
      <c r="B43" s="111" t="s">
        <v>1056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2"/>
    </row>
    <row r="44" spans="1:6" ht="16.5" thickTop="1" thickBot="1" x14ac:dyDescent="0.3"/>
    <row r="45" spans="1:6" ht="16.5" thickTop="1" thickBot="1" x14ac:dyDescent="0.3">
      <c r="C45" s="106" t="s">
        <v>905</v>
      </c>
      <c r="D45" s="107" t="s">
        <v>1451</v>
      </c>
      <c r="E45" s="108" t="s">
        <v>906</v>
      </c>
    </row>
    <row r="46" spans="1:6" ht="15.75" thickTop="1" x14ac:dyDescent="0.25">
      <c r="B46" s="52" t="s">
        <v>1235</v>
      </c>
      <c r="C46" s="99">
        <f>CANTIDAD_DE_CAMARAS</f>
        <v>584</v>
      </c>
      <c r="D46" s="100"/>
      <c r="E46" s="105"/>
      <c r="F46" s="150"/>
    </row>
    <row r="47" spans="1:6" x14ac:dyDescent="0.25">
      <c r="A47" t="s">
        <v>1458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51"/>
    </row>
    <row r="48" spans="1:6" x14ac:dyDescent="0.25">
      <c r="B48" s="53" t="s">
        <v>1236</v>
      </c>
      <c r="C48" s="67">
        <v>4</v>
      </c>
      <c r="D48" s="102">
        <f>C47-C48</f>
        <v>-4</v>
      </c>
      <c r="E48" s="55">
        <f>D48/C46</f>
        <v>-6.8493150684931503E-3</v>
      </c>
      <c r="F48" s="151"/>
    </row>
    <row r="49" spans="1:6" x14ac:dyDescent="0.25">
      <c r="B49" s="53" t="s">
        <v>1237</v>
      </c>
      <c r="C49" s="67">
        <v>8</v>
      </c>
      <c r="D49" s="102">
        <f>D48-C49</f>
        <v>-12</v>
      </c>
      <c r="E49" s="55">
        <f>D49/C46</f>
        <v>-2.0547945205479451E-2</v>
      </c>
      <c r="F49" s="151"/>
    </row>
    <row r="50" spans="1:6" x14ac:dyDescent="0.25">
      <c r="A50" t="s">
        <v>1458</v>
      </c>
      <c r="B50" s="53" t="s">
        <v>15</v>
      </c>
      <c r="C50" s="93">
        <f>'RESUMEN TOTAL'!R5</f>
        <v>0</v>
      </c>
      <c r="D50" s="102">
        <f>D49-C50</f>
        <v>-12</v>
      </c>
      <c r="E50" s="55">
        <f>D50/C46</f>
        <v>-2.0547945205479451E-2</v>
      </c>
      <c r="F50" s="151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1"/>
    </row>
    <row r="52" spans="1:6" ht="16.5" thickTop="1" thickBot="1" x14ac:dyDescent="0.3">
      <c r="B52" s="110"/>
      <c r="C52" s="109" t="s">
        <v>905</v>
      </c>
      <c r="D52" s="95" t="s">
        <v>1451</v>
      </c>
      <c r="E52" s="101" t="s">
        <v>906</v>
      </c>
      <c r="F52" s="151"/>
    </row>
    <row r="53" spans="1:6" ht="16.5" thickTop="1" thickBot="1" x14ac:dyDescent="0.3">
      <c r="B53" s="97" t="s">
        <v>1055</v>
      </c>
      <c r="C53" s="98">
        <v>307</v>
      </c>
      <c r="D53" s="114">
        <f>Hoja1!J3</f>
        <v>29</v>
      </c>
      <c r="E53" s="104">
        <f>D53/C53</f>
        <v>9.4462540716612378E-2</v>
      </c>
      <c r="F53" s="151"/>
    </row>
    <row r="54" spans="1:6" ht="15.75" thickBot="1" x14ac:dyDescent="0.3">
      <c r="B54" s="111" t="s">
        <v>1056</v>
      </c>
      <c r="C54" s="112">
        <f>COSEIDIcam</f>
        <v>277</v>
      </c>
      <c r="D54" s="112">
        <f>Hoja1!J5</f>
        <v>0</v>
      </c>
      <c r="E54" s="113">
        <f>D54/C54</f>
        <v>0</v>
      </c>
      <c r="F54" s="152"/>
    </row>
    <row r="55" spans="1:6" ht="16.5" thickTop="1" thickBot="1" x14ac:dyDescent="0.3"/>
    <row r="56" spans="1:6" ht="16.5" thickTop="1" thickBot="1" x14ac:dyDescent="0.3">
      <c r="C56" s="106" t="s">
        <v>905</v>
      </c>
      <c r="D56" s="107" t="s">
        <v>1451</v>
      </c>
      <c r="E56" s="108" t="s">
        <v>906</v>
      </c>
    </row>
    <row r="57" spans="1:6" ht="15.75" thickTop="1" x14ac:dyDescent="0.25">
      <c r="B57" s="52" t="s">
        <v>1235</v>
      </c>
      <c r="C57" s="99">
        <f>CANTIDAD_DE_CAMARAS</f>
        <v>584</v>
      </c>
      <c r="D57" s="100"/>
      <c r="E57" s="105"/>
      <c r="F57" s="150">
        <v>46118</v>
      </c>
    </row>
    <row r="58" spans="1:6" x14ac:dyDescent="0.25">
      <c r="A58" t="s">
        <v>1459</v>
      </c>
      <c r="B58" s="53" t="s">
        <v>6</v>
      </c>
      <c r="C58" s="66">
        <f>'RESUMEN TOTAL'!S3</f>
        <v>107</v>
      </c>
      <c r="D58" s="54"/>
      <c r="E58" s="55">
        <f>C58/C57</f>
        <v>0.18321917808219179</v>
      </c>
      <c r="F58" s="151"/>
    </row>
    <row r="59" spans="1:6" x14ac:dyDescent="0.25">
      <c r="B59" s="53" t="s">
        <v>1236</v>
      </c>
      <c r="C59" s="67">
        <v>4</v>
      </c>
      <c r="D59" s="102">
        <f>C58-C59</f>
        <v>103</v>
      </c>
      <c r="E59" s="55">
        <f>D59/C57</f>
        <v>0.17636986301369864</v>
      </c>
      <c r="F59" s="151"/>
    </row>
    <row r="60" spans="1:6" x14ac:dyDescent="0.25">
      <c r="B60" s="53" t="s">
        <v>1237</v>
      </c>
      <c r="C60" s="67">
        <v>11</v>
      </c>
      <c r="D60" s="102">
        <f>D59-C60</f>
        <v>92</v>
      </c>
      <c r="E60" s="55">
        <f>D60/C57</f>
        <v>0.15753424657534246</v>
      </c>
      <c r="F60" s="151"/>
    </row>
    <row r="61" spans="1:6" x14ac:dyDescent="0.25">
      <c r="A61" t="s">
        <v>1459</v>
      </c>
      <c r="B61" s="53" t="s">
        <v>15</v>
      </c>
      <c r="C61" s="93">
        <v>6</v>
      </c>
      <c r="D61" s="102">
        <f>D60-C61</f>
        <v>86</v>
      </c>
      <c r="E61" s="55">
        <f>D61/C57</f>
        <v>0.14726027397260275</v>
      </c>
      <c r="F61" s="151"/>
    </row>
    <row r="62" spans="1:6" ht="15.75" thickBot="1" x14ac:dyDescent="0.3">
      <c r="B62" s="56"/>
      <c r="C62" s="130"/>
      <c r="D62" s="103"/>
      <c r="E62" s="74">
        <f>D62/C57</f>
        <v>0</v>
      </c>
      <c r="F62" s="151"/>
    </row>
    <row r="63" spans="1:6" ht="16.5" thickTop="1" thickBot="1" x14ac:dyDescent="0.3">
      <c r="B63" s="110"/>
      <c r="C63" s="109" t="s">
        <v>905</v>
      </c>
      <c r="D63" s="95" t="s">
        <v>1451</v>
      </c>
      <c r="E63" s="101" t="s">
        <v>906</v>
      </c>
      <c r="F63" s="151"/>
    </row>
    <row r="64" spans="1:6" ht="16.5" thickTop="1" thickBot="1" x14ac:dyDescent="0.3">
      <c r="B64" s="97" t="s">
        <v>1055</v>
      </c>
      <c r="C64" s="98">
        <v>307</v>
      </c>
      <c r="D64" s="114">
        <f>Hoja1!K3</f>
        <v>42</v>
      </c>
      <c r="E64" s="104">
        <f>D64/C64</f>
        <v>0.13680781758957655</v>
      </c>
      <c r="F64" s="151"/>
    </row>
    <row r="65" spans="1:6" ht="15.75" thickBot="1" x14ac:dyDescent="0.3">
      <c r="B65" s="111" t="s">
        <v>1056</v>
      </c>
      <c r="C65" s="112">
        <f>COSEIDIcam</f>
        <v>277</v>
      </c>
      <c r="D65" s="112">
        <f>Hoja1!K5</f>
        <v>65</v>
      </c>
      <c r="E65" s="113">
        <f>D65/C65</f>
        <v>0.23465703971119134</v>
      </c>
      <c r="F65" s="152"/>
    </row>
    <row r="66" spans="1:6" ht="16.5" thickTop="1" thickBot="1" x14ac:dyDescent="0.3"/>
    <row r="67" spans="1:6" ht="16.5" thickTop="1" thickBot="1" x14ac:dyDescent="0.3">
      <c r="C67" s="106" t="s">
        <v>905</v>
      </c>
      <c r="D67" s="107" t="s">
        <v>1451</v>
      </c>
      <c r="E67" s="108" t="s">
        <v>906</v>
      </c>
    </row>
    <row r="68" spans="1:6" ht="15.75" thickTop="1" x14ac:dyDescent="0.25">
      <c r="B68" s="52" t="s">
        <v>1235</v>
      </c>
      <c r="C68" s="99">
        <f>CANTIDAD_DE_CAMARAS</f>
        <v>584</v>
      </c>
      <c r="D68" s="100"/>
      <c r="E68" s="105"/>
      <c r="F68" s="150">
        <v>46119</v>
      </c>
    </row>
    <row r="69" spans="1:6" x14ac:dyDescent="0.25">
      <c r="A69" t="s">
        <v>1460</v>
      </c>
      <c r="B69" s="53" t="s">
        <v>6</v>
      </c>
      <c r="C69" s="66">
        <f>'RESUMEN TOTAL'!T3</f>
        <v>101</v>
      </c>
      <c r="D69" s="54"/>
      <c r="E69" s="55">
        <f>C69/C68</f>
        <v>0.17294520547945205</v>
      </c>
      <c r="F69" s="151"/>
    </row>
    <row r="70" spans="1:6" x14ac:dyDescent="0.25">
      <c r="B70" s="53" t="s">
        <v>1236</v>
      </c>
      <c r="C70" s="67">
        <v>3</v>
      </c>
      <c r="D70" s="102">
        <f>C69-C70</f>
        <v>98</v>
      </c>
      <c r="E70" s="55">
        <f>D70/C68</f>
        <v>0.1678082191780822</v>
      </c>
      <c r="F70" s="151"/>
    </row>
    <row r="71" spans="1:6" x14ac:dyDescent="0.25">
      <c r="B71" s="53" t="s">
        <v>1237</v>
      </c>
      <c r="C71" s="67">
        <v>11</v>
      </c>
      <c r="D71" s="102">
        <f>D70-C71</f>
        <v>87</v>
      </c>
      <c r="E71" s="55">
        <f>D71/C68</f>
        <v>0.14897260273972604</v>
      </c>
      <c r="F71" s="151"/>
    </row>
    <row r="72" spans="1:6" x14ac:dyDescent="0.25">
      <c r="A72" t="s">
        <v>1460</v>
      </c>
      <c r="B72" s="53" t="s">
        <v>15</v>
      </c>
      <c r="C72" s="93">
        <f>'RESUMEN TOTAL'!T5</f>
        <v>6</v>
      </c>
      <c r="D72" s="102">
        <f>D71-C72</f>
        <v>81</v>
      </c>
      <c r="E72" s="55">
        <f>D72/C68</f>
        <v>0.1386986301369863</v>
      </c>
      <c r="F72" s="151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1"/>
    </row>
    <row r="74" spans="1:6" ht="16.5" thickTop="1" thickBot="1" x14ac:dyDescent="0.3">
      <c r="B74" s="110"/>
      <c r="C74" s="109" t="s">
        <v>905</v>
      </c>
      <c r="D74" s="95" t="s">
        <v>1451</v>
      </c>
      <c r="E74" s="101" t="s">
        <v>906</v>
      </c>
      <c r="F74" s="151"/>
    </row>
    <row r="75" spans="1:6" ht="16.5" thickTop="1" thickBot="1" x14ac:dyDescent="0.3">
      <c r="B75" s="97" t="s">
        <v>1055</v>
      </c>
      <c r="C75" s="98">
        <v>307</v>
      </c>
      <c r="D75" s="114">
        <v>49</v>
      </c>
      <c r="E75" s="104">
        <f>D75/C75</f>
        <v>0.15960912052117263</v>
      </c>
      <c r="F75" s="151"/>
    </row>
    <row r="76" spans="1:6" ht="15.75" thickBot="1" x14ac:dyDescent="0.3">
      <c r="B76" s="111" t="s">
        <v>1056</v>
      </c>
      <c r="C76" s="112">
        <f>COSEIDIcam</f>
        <v>277</v>
      </c>
      <c r="D76" s="112">
        <f>Hoja1!L5</f>
        <v>52</v>
      </c>
      <c r="E76" s="113">
        <f>D76/C76</f>
        <v>0.18772563176895307</v>
      </c>
      <c r="F76" s="152"/>
    </row>
    <row r="77" spans="1:6" ht="16.5" thickTop="1" thickBot="1" x14ac:dyDescent="0.3"/>
    <row r="78" spans="1:6" ht="16.5" thickTop="1" thickBot="1" x14ac:dyDescent="0.3">
      <c r="C78" s="106" t="s">
        <v>905</v>
      </c>
      <c r="D78" s="107" t="s">
        <v>1451</v>
      </c>
      <c r="E78" s="108" t="s">
        <v>906</v>
      </c>
    </row>
    <row r="79" spans="1:6" ht="15.75" thickTop="1" x14ac:dyDescent="0.25">
      <c r="B79" s="52" t="s">
        <v>1235</v>
      </c>
      <c r="C79" s="99">
        <f>CANTIDAD_DE_CAMARAS</f>
        <v>584</v>
      </c>
      <c r="D79" s="100"/>
      <c r="E79" s="105"/>
      <c r="F79" s="150">
        <v>46089</v>
      </c>
    </row>
    <row r="80" spans="1:6" x14ac:dyDescent="0.25">
      <c r="A80" t="s">
        <v>1455</v>
      </c>
      <c r="B80" s="53" t="s">
        <v>6</v>
      </c>
      <c r="C80" s="66">
        <v>0</v>
      </c>
      <c r="D80" s="54"/>
      <c r="E80" s="55">
        <f>C80/C79</f>
        <v>0</v>
      </c>
      <c r="F80" s="151"/>
    </row>
    <row r="81" spans="1:6" x14ac:dyDescent="0.25">
      <c r="B81" s="53" t="s">
        <v>1236</v>
      </c>
      <c r="C81" s="67">
        <v>0</v>
      </c>
      <c r="D81" s="102">
        <v>0</v>
      </c>
      <c r="E81" s="55">
        <f>D81/C79</f>
        <v>0</v>
      </c>
      <c r="F81" s="151"/>
    </row>
    <row r="82" spans="1:6" x14ac:dyDescent="0.25">
      <c r="B82" s="53" t="s">
        <v>1237</v>
      </c>
      <c r="C82" s="67">
        <v>0</v>
      </c>
      <c r="D82" s="102">
        <v>0</v>
      </c>
      <c r="E82" s="55">
        <f>D82/C79</f>
        <v>0</v>
      </c>
      <c r="F82" s="151"/>
    </row>
    <row r="83" spans="1:6" x14ac:dyDescent="0.25">
      <c r="A83" t="s">
        <v>1455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1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1"/>
    </row>
    <row r="85" spans="1:6" ht="16.5" thickTop="1" thickBot="1" x14ac:dyDescent="0.3">
      <c r="B85" s="110"/>
      <c r="C85" s="109" t="s">
        <v>905</v>
      </c>
      <c r="D85" s="95" t="s">
        <v>1451</v>
      </c>
      <c r="E85" s="101" t="s">
        <v>906</v>
      </c>
      <c r="F85" s="151"/>
    </row>
    <row r="86" spans="1:6" ht="16.5" thickTop="1" thickBot="1" x14ac:dyDescent="0.3">
      <c r="B86" s="97" t="s">
        <v>1055</v>
      </c>
      <c r="C86" s="98">
        <v>307</v>
      </c>
      <c r="D86" s="114">
        <v>0</v>
      </c>
      <c r="E86" s="104">
        <v>0</v>
      </c>
      <c r="F86" s="151"/>
    </row>
    <row r="87" spans="1:6" ht="15.75" thickBot="1" x14ac:dyDescent="0.3">
      <c r="B87" s="111" t="s">
        <v>1056</v>
      </c>
      <c r="C87" s="112">
        <f>COSEIDIcam</f>
        <v>277</v>
      </c>
      <c r="D87" s="112">
        <v>0</v>
      </c>
      <c r="E87" s="113">
        <v>0</v>
      </c>
      <c r="F87" s="152"/>
    </row>
    <row r="88" spans="1:6" ht="16.5" thickTop="1" thickBot="1" x14ac:dyDescent="0.3"/>
    <row r="89" spans="1:6" ht="16.5" thickTop="1" thickBot="1" x14ac:dyDescent="0.3">
      <c r="C89" s="106" t="s">
        <v>905</v>
      </c>
      <c r="D89" s="107" t="s">
        <v>1451</v>
      </c>
      <c r="E89" s="108" t="s">
        <v>906</v>
      </c>
    </row>
    <row r="90" spans="1:6" ht="15.75" thickTop="1" x14ac:dyDescent="0.25">
      <c r="B90" s="52" t="s">
        <v>1235</v>
      </c>
      <c r="C90" s="99">
        <f>CANTIDAD_DE_CAMARAS</f>
        <v>584</v>
      </c>
      <c r="D90" s="100"/>
      <c r="E90" s="105"/>
      <c r="F90" s="150">
        <v>46090</v>
      </c>
    </row>
    <row r="91" spans="1:6" x14ac:dyDescent="0.25">
      <c r="A91" t="s">
        <v>1461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51"/>
    </row>
    <row r="92" spans="1:6" x14ac:dyDescent="0.25">
      <c r="B92" s="53" t="s">
        <v>1236</v>
      </c>
      <c r="C92" s="67">
        <v>5</v>
      </c>
      <c r="D92" s="102">
        <f>C91-C92</f>
        <v>-5</v>
      </c>
      <c r="E92" s="55">
        <f>D92/C90</f>
        <v>-8.5616438356164379E-3</v>
      </c>
      <c r="F92" s="151"/>
    </row>
    <row r="93" spans="1:6" x14ac:dyDescent="0.25">
      <c r="B93" s="53" t="s">
        <v>1237</v>
      </c>
      <c r="C93" s="67">
        <v>6</v>
      </c>
      <c r="D93" s="102">
        <f>D92-C93</f>
        <v>-11</v>
      </c>
      <c r="E93" s="55">
        <f>D93/C90</f>
        <v>-1.8835616438356163E-2</v>
      </c>
      <c r="F93" s="151"/>
    </row>
    <row r="94" spans="1:6" x14ac:dyDescent="0.25">
      <c r="A94" t="s">
        <v>1461</v>
      </c>
      <c r="B94" s="53" t="s">
        <v>15</v>
      </c>
      <c r="C94" s="93">
        <v>5</v>
      </c>
      <c r="D94" s="102">
        <f>D93-C94</f>
        <v>-16</v>
      </c>
      <c r="E94" s="55">
        <f>D94/C90</f>
        <v>-2.7397260273972601E-2</v>
      </c>
      <c r="F94" s="151"/>
    </row>
    <row r="95" spans="1:6" ht="15.75" thickBot="1" x14ac:dyDescent="0.3">
      <c r="B95" s="56"/>
      <c r="C95" s="130"/>
      <c r="D95" s="103"/>
      <c r="E95" s="74">
        <f>D95/C90</f>
        <v>0</v>
      </c>
      <c r="F95" s="151"/>
    </row>
    <row r="96" spans="1:6" ht="16.5" thickTop="1" thickBot="1" x14ac:dyDescent="0.3">
      <c r="B96" s="110"/>
      <c r="C96" s="109" t="s">
        <v>905</v>
      </c>
      <c r="D96" s="95" t="s">
        <v>1451</v>
      </c>
      <c r="E96" s="101" t="s">
        <v>906</v>
      </c>
      <c r="F96" s="151"/>
    </row>
    <row r="97" spans="1:6" ht="16.5" thickTop="1" thickBot="1" x14ac:dyDescent="0.3">
      <c r="B97" s="97" t="s">
        <v>1055</v>
      </c>
      <c r="C97" s="98">
        <v>307</v>
      </c>
      <c r="D97" s="114">
        <f>Hoja1!N3</f>
        <v>0</v>
      </c>
      <c r="E97" s="104">
        <f>D97/C97</f>
        <v>0</v>
      </c>
      <c r="F97" s="151"/>
    </row>
    <row r="98" spans="1:6" ht="15.75" thickBot="1" x14ac:dyDescent="0.3">
      <c r="B98" s="111" t="s">
        <v>1056</v>
      </c>
      <c r="C98" s="112">
        <f>COSEIDIcam</f>
        <v>277</v>
      </c>
      <c r="D98" s="112">
        <f>Hoja1!N5</f>
        <v>0</v>
      </c>
      <c r="E98" s="113">
        <f>D98/C98</f>
        <v>0</v>
      </c>
      <c r="F98" s="152"/>
    </row>
    <row r="99" spans="1:6" ht="16.5" thickTop="1" thickBot="1" x14ac:dyDescent="0.3"/>
    <row r="100" spans="1:6" ht="16.5" thickTop="1" thickBot="1" x14ac:dyDescent="0.3">
      <c r="C100" s="106" t="s">
        <v>905</v>
      </c>
      <c r="D100" s="107" t="s">
        <v>1451</v>
      </c>
      <c r="E100" s="108" t="s">
        <v>906</v>
      </c>
    </row>
    <row r="101" spans="1:6" ht="15.75" thickTop="1" x14ac:dyDescent="0.25">
      <c r="B101" s="52" t="s">
        <v>1235</v>
      </c>
      <c r="C101" s="99">
        <f>CANTIDAD_DE_CAMARAS</f>
        <v>584</v>
      </c>
      <c r="D101" s="100"/>
      <c r="E101" s="105"/>
      <c r="F101" s="150">
        <v>46091</v>
      </c>
    </row>
    <row r="102" spans="1:6" x14ac:dyDescent="0.25">
      <c r="A102" t="s">
        <v>1462</v>
      </c>
      <c r="B102" s="53" t="s">
        <v>6</v>
      </c>
      <c r="C102" s="66">
        <f>'RESUMEN TOTAL'!W3</f>
        <v>0</v>
      </c>
      <c r="D102" s="54"/>
      <c r="E102" s="55">
        <f>C102/C101</f>
        <v>0</v>
      </c>
      <c r="F102" s="151"/>
    </row>
    <row r="103" spans="1:6" x14ac:dyDescent="0.25">
      <c r="B103" s="53" t="s">
        <v>1236</v>
      </c>
      <c r="C103" s="67">
        <v>9</v>
      </c>
      <c r="D103" s="102">
        <f>C102-C103</f>
        <v>-9</v>
      </c>
      <c r="E103" s="55">
        <f>D103/C101</f>
        <v>-1.5410958904109588E-2</v>
      </c>
      <c r="F103" s="151"/>
    </row>
    <row r="104" spans="1:6" x14ac:dyDescent="0.25">
      <c r="B104" s="53" t="s">
        <v>1237</v>
      </c>
      <c r="C104" s="67">
        <v>7</v>
      </c>
      <c r="D104" s="102">
        <f>D103-C104</f>
        <v>-16</v>
      </c>
      <c r="E104" s="55">
        <f>D104/C101</f>
        <v>-2.7397260273972601E-2</v>
      </c>
      <c r="F104" s="151"/>
    </row>
    <row r="105" spans="1:6" x14ac:dyDescent="0.25">
      <c r="A105" t="s">
        <v>1462</v>
      </c>
      <c r="B105" s="53" t="s">
        <v>15</v>
      </c>
      <c r="C105" s="93">
        <v>5</v>
      </c>
      <c r="D105" s="102">
        <f>D104-C105</f>
        <v>-21</v>
      </c>
      <c r="E105" s="55">
        <f>D105/C101</f>
        <v>-3.5958904109589039E-2</v>
      </c>
      <c r="F105" s="151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1"/>
    </row>
    <row r="107" spans="1:6" ht="16.5" thickTop="1" thickBot="1" x14ac:dyDescent="0.3">
      <c r="B107" s="110"/>
      <c r="C107" s="109" t="s">
        <v>905</v>
      </c>
      <c r="D107" s="95" t="s">
        <v>1451</v>
      </c>
      <c r="E107" s="101" t="s">
        <v>906</v>
      </c>
      <c r="F107" s="151"/>
    </row>
    <row r="108" spans="1:6" ht="16.5" thickTop="1" thickBot="1" x14ac:dyDescent="0.3">
      <c r="B108" s="97" t="s">
        <v>1055</v>
      </c>
      <c r="C108" s="98">
        <v>307</v>
      </c>
      <c r="D108" s="114">
        <f>Hoja1!O3</f>
        <v>0</v>
      </c>
      <c r="E108" s="104">
        <f>D108/C108</f>
        <v>0</v>
      </c>
      <c r="F108" s="151"/>
    </row>
    <row r="109" spans="1:6" ht="15.75" thickBot="1" x14ac:dyDescent="0.3">
      <c r="B109" s="111" t="s">
        <v>1056</v>
      </c>
      <c r="C109" s="112">
        <f>COSEIDIcam</f>
        <v>277</v>
      </c>
      <c r="D109" s="112">
        <f>Hoja1!O5</f>
        <v>0</v>
      </c>
      <c r="E109" s="113">
        <f>D109/C109</f>
        <v>0</v>
      </c>
      <c r="F109" s="152"/>
    </row>
    <row r="110" spans="1:6" ht="16.5" thickTop="1" thickBot="1" x14ac:dyDescent="0.3"/>
    <row r="111" spans="1:6" ht="16.5" thickTop="1" thickBot="1" x14ac:dyDescent="0.3">
      <c r="C111" s="106" t="s">
        <v>905</v>
      </c>
      <c r="D111" s="107" t="s">
        <v>1451</v>
      </c>
      <c r="E111" s="108" t="s">
        <v>906</v>
      </c>
    </row>
    <row r="112" spans="1:6" ht="15.75" thickTop="1" x14ac:dyDescent="0.25">
      <c r="B112" s="52" t="s">
        <v>1235</v>
      </c>
      <c r="C112" s="99">
        <f>CANTIDAD_DE_CAMARAS</f>
        <v>584</v>
      </c>
      <c r="D112" s="100"/>
      <c r="E112" s="105"/>
      <c r="F112" s="150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51"/>
    </row>
    <row r="114" spans="2:6" x14ac:dyDescent="0.25">
      <c r="B114" s="53" t="s">
        <v>1236</v>
      </c>
      <c r="C114" s="67">
        <v>4</v>
      </c>
      <c r="D114" s="102">
        <f>C113-C114</f>
        <v>-4</v>
      </c>
      <c r="E114" s="55">
        <f>D114/C112</f>
        <v>-6.8493150684931503E-3</v>
      </c>
      <c r="F114" s="151"/>
    </row>
    <row r="115" spans="2:6" x14ac:dyDescent="0.25">
      <c r="B115" s="53" t="s">
        <v>1237</v>
      </c>
      <c r="C115" s="67">
        <v>7</v>
      </c>
      <c r="D115" s="102">
        <f>D114-C115</f>
        <v>-11</v>
      </c>
      <c r="E115" s="55">
        <f>D115/C112</f>
        <v>-1.8835616438356163E-2</v>
      </c>
      <c r="F115" s="151"/>
    </row>
    <row r="116" spans="2:6" x14ac:dyDescent="0.25">
      <c r="B116" s="53" t="s">
        <v>15</v>
      </c>
      <c r="C116" s="93">
        <v>5</v>
      </c>
      <c r="D116" s="102">
        <f>D115-C116</f>
        <v>-16</v>
      </c>
      <c r="E116" s="55">
        <f>D116/C112</f>
        <v>-2.7397260273972601E-2</v>
      </c>
      <c r="F116" s="151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1"/>
    </row>
    <row r="118" spans="2:6" ht="16.5" thickTop="1" thickBot="1" x14ac:dyDescent="0.3">
      <c r="B118" s="110"/>
      <c r="C118" s="109" t="s">
        <v>905</v>
      </c>
      <c r="D118" s="95" t="s">
        <v>1451</v>
      </c>
      <c r="E118" s="101" t="s">
        <v>906</v>
      </c>
      <c r="F118" s="151"/>
    </row>
    <row r="119" spans="2:6" ht="16.5" thickTop="1" thickBot="1" x14ac:dyDescent="0.3">
      <c r="B119" s="97" t="s">
        <v>1055</v>
      </c>
      <c r="C119" s="98">
        <v>307</v>
      </c>
      <c r="D119" s="114">
        <f>Hoja1!P3</f>
        <v>0</v>
      </c>
      <c r="E119" s="104">
        <f>D119/C119</f>
        <v>0</v>
      </c>
      <c r="F119" s="151"/>
    </row>
    <row r="120" spans="2:6" ht="15.75" thickBot="1" x14ac:dyDescent="0.3">
      <c r="B120" s="111" t="s">
        <v>1056</v>
      </c>
      <c r="C120" s="112">
        <f>COSEIDIcam</f>
        <v>277</v>
      </c>
      <c r="D120" s="112">
        <f>Hoja1!P5</f>
        <v>0</v>
      </c>
      <c r="E120" s="113">
        <f>D120/C120</f>
        <v>0</v>
      </c>
      <c r="F120" s="152"/>
    </row>
    <row r="121" spans="2:6" ht="16.5" thickTop="1" thickBot="1" x14ac:dyDescent="0.3"/>
    <row r="122" spans="2:6" ht="16.5" thickTop="1" thickBot="1" x14ac:dyDescent="0.3">
      <c r="C122" s="106" t="s">
        <v>905</v>
      </c>
      <c r="D122" s="107" t="s">
        <v>1451</v>
      </c>
      <c r="E122" s="108" t="s">
        <v>906</v>
      </c>
    </row>
    <row r="123" spans="2:6" ht="15.75" thickTop="1" x14ac:dyDescent="0.25">
      <c r="B123" s="52" t="s">
        <v>1235</v>
      </c>
      <c r="C123" s="99">
        <f>CANTIDAD_DE_CAMARAS</f>
        <v>584</v>
      </c>
      <c r="D123" s="100"/>
      <c r="E123" s="105"/>
      <c r="F123" s="150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51"/>
    </row>
    <row r="125" spans="2:6" x14ac:dyDescent="0.25">
      <c r="B125" s="53" t="s">
        <v>1236</v>
      </c>
      <c r="C125" s="67">
        <v>8</v>
      </c>
      <c r="D125" s="102">
        <f>C124-C125</f>
        <v>-8</v>
      </c>
      <c r="E125" s="55">
        <f>D125/C123</f>
        <v>-1.3698630136986301E-2</v>
      </c>
      <c r="F125" s="151"/>
    </row>
    <row r="126" spans="2:6" x14ac:dyDescent="0.25">
      <c r="B126" s="53" t="s">
        <v>1237</v>
      </c>
      <c r="C126" s="67">
        <v>8</v>
      </c>
      <c r="D126" s="102">
        <f>D125-C126</f>
        <v>-16</v>
      </c>
      <c r="E126" s="55">
        <f>D126/C123</f>
        <v>-2.7397260273972601E-2</v>
      </c>
      <c r="F126" s="151"/>
    </row>
    <row r="127" spans="2:6" x14ac:dyDescent="0.25">
      <c r="B127" s="53" t="s">
        <v>15</v>
      </c>
      <c r="C127" s="93">
        <v>4</v>
      </c>
      <c r="D127" s="102">
        <f>D126-C127</f>
        <v>-20</v>
      </c>
      <c r="E127" s="55">
        <f>D127/C123</f>
        <v>-3.4246575342465752E-2</v>
      </c>
      <c r="F127" s="151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1"/>
    </row>
    <row r="129" spans="2:6" ht="16.5" thickTop="1" thickBot="1" x14ac:dyDescent="0.3">
      <c r="B129" s="110"/>
      <c r="C129" s="109" t="s">
        <v>905</v>
      </c>
      <c r="D129" s="95" t="s">
        <v>1451</v>
      </c>
      <c r="E129" s="101" t="s">
        <v>906</v>
      </c>
      <c r="F129" s="151"/>
    </row>
    <row r="130" spans="2:6" ht="16.5" thickTop="1" thickBot="1" x14ac:dyDescent="0.3">
      <c r="B130" s="97" t="s">
        <v>1055</v>
      </c>
      <c r="C130" s="98">
        <v>307</v>
      </c>
      <c r="D130" s="114">
        <f>Hoja1!Q3</f>
        <v>0</v>
      </c>
      <c r="E130" s="104">
        <f>D130/C130</f>
        <v>0</v>
      </c>
      <c r="F130" s="151"/>
    </row>
    <row r="131" spans="2:6" ht="15.75" thickBot="1" x14ac:dyDescent="0.3">
      <c r="B131" s="111" t="s">
        <v>1056</v>
      </c>
      <c r="C131" s="112">
        <f>COSEIDIcam</f>
        <v>277</v>
      </c>
      <c r="D131" s="112">
        <f>Hoja1!Q5</f>
        <v>0</v>
      </c>
      <c r="E131" s="113">
        <f>D131/C131</f>
        <v>0</v>
      </c>
      <c r="F131" s="152"/>
    </row>
    <row r="132" spans="2:6" ht="16.5" thickTop="1" thickBot="1" x14ac:dyDescent="0.3"/>
    <row r="133" spans="2:6" ht="16.5" thickTop="1" thickBot="1" x14ac:dyDescent="0.3">
      <c r="C133" s="106" t="s">
        <v>905</v>
      </c>
      <c r="D133" s="107" t="s">
        <v>1451</v>
      </c>
      <c r="E133" s="108" t="s">
        <v>906</v>
      </c>
    </row>
    <row r="134" spans="2:6" ht="15.75" thickTop="1" x14ac:dyDescent="0.25">
      <c r="B134" s="52" t="s">
        <v>1235</v>
      </c>
      <c r="C134" s="99">
        <f>CANTIDAD_DE_CAMARAS</f>
        <v>584</v>
      </c>
      <c r="D134" s="100"/>
      <c r="E134" s="105"/>
      <c r="F134" s="150">
        <v>46094</v>
      </c>
    </row>
    <row r="135" spans="2:6" x14ac:dyDescent="0.25">
      <c r="B135" s="53" t="s">
        <v>6</v>
      </c>
      <c r="C135" s="66">
        <f>'RESUMEN TOTAL'!Z3</f>
        <v>0</v>
      </c>
      <c r="D135" s="54"/>
      <c r="E135" s="55">
        <f>C135/C134</f>
        <v>0</v>
      </c>
      <c r="F135" s="151"/>
    </row>
    <row r="136" spans="2:6" x14ac:dyDescent="0.25">
      <c r="B136" s="53" t="s">
        <v>1236</v>
      </c>
      <c r="C136" s="67">
        <v>4</v>
      </c>
      <c r="D136" s="102">
        <f>C135-C136</f>
        <v>-4</v>
      </c>
      <c r="E136" s="55">
        <f>D136/C134</f>
        <v>-6.8493150684931503E-3</v>
      </c>
      <c r="F136" s="151"/>
    </row>
    <row r="137" spans="2:6" x14ac:dyDescent="0.25">
      <c r="B137" s="53" t="s">
        <v>1237</v>
      </c>
      <c r="C137" s="67">
        <v>8</v>
      </c>
      <c r="D137" s="102">
        <f>D136-C137</f>
        <v>-12</v>
      </c>
      <c r="E137" s="55">
        <f>D137/C134</f>
        <v>-2.0547945205479451E-2</v>
      </c>
      <c r="F137" s="151"/>
    </row>
    <row r="138" spans="2:6" x14ac:dyDescent="0.25">
      <c r="B138" s="53" t="s">
        <v>15</v>
      </c>
      <c r="C138" s="93">
        <v>5</v>
      </c>
      <c r="D138" s="102">
        <f>D137-C138</f>
        <v>-17</v>
      </c>
      <c r="E138" s="55">
        <f>D138/C134</f>
        <v>-2.9109589041095889E-2</v>
      </c>
      <c r="F138" s="151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1"/>
    </row>
    <row r="140" spans="2:6" ht="16.5" thickTop="1" thickBot="1" x14ac:dyDescent="0.3">
      <c r="B140" s="110"/>
      <c r="C140" s="109" t="s">
        <v>905</v>
      </c>
      <c r="D140" s="95" t="s">
        <v>1451</v>
      </c>
      <c r="E140" s="101" t="s">
        <v>906</v>
      </c>
      <c r="F140" s="151"/>
    </row>
    <row r="141" spans="2:6" ht="16.5" thickTop="1" thickBot="1" x14ac:dyDescent="0.3">
      <c r="B141" s="97" t="s">
        <v>1055</v>
      </c>
      <c r="C141" s="98">
        <v>307</v>
      </c>
      <c r="D141" s="114">
        <f>Hoja1!R3</f>
        <v>0</v>
      </c>
      <c r="E141" s="104">
        <f>D141/C141</f>
        <v>0</v>
      </c>
      <c r="F141" s="151"/>
    </row>
    <row r="142" spans="2:6" ht="15.75" thickBot="1" x14ac:dyDescent="0.3">
      <c r="B142" s="111" t="s">
        <v>1056</v>
      </c>
      <c r="C142" s="112">
        <f>COSEIDIcam</f>
        <v>277</v>
      </c>
      <c r="D142" s="112">
        <f>Hoja1!R5</f>
        <v>0</v>
      </c>
      <c r="E142" s="113">
        <f>D142/C142</f>
        <v>0</v>
      </c>
      <c r="F142" s="152"/>
    </row>
    <row r="143" spans="2:6" ht="16.5" thickTop="1" thickBot="1" x14ac:dyDescent="0.3"/>
    <row r="144" spans="2:6" ht="16.5" thickTop="1" thickBot="1" x14ac:dyDescent="0.3">
      <c r="C144" s="106" t="s">
        <v>905</v>
      </c>
      <c r="D144" s="107" t="s">
        <v>1451</v>
      </c>
      <c r="E144" s="108" t="s">
        <v>906</v>
      </c>
    </row>
    <row r="145" spans="2:6" ht="15.75" thickTop="1" x14ac:dyDescent="0.25">
      <c r="B145" s="52" t="s">
        <v>1235</v>
      </c>
      <c r="C145" s="99">
        <f>CANTIDAD_DE_CAMARAS</f>
        <v>584</v>
      </c>
      <c r="D145" s="100"/>
      <c r="E145" s="105"/>
      <c r="F145" s="150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1"/>
    </row>
    <row r="147" spans="2:6" x14ac:dyDescent="0.25">
      <c r="B147" s="53" t="s">
        <v>1236</v>
      </c>
      <c r="C147" s="67">
        <v>0</v>
      </c>
      <c r="D147" s="102">
        <v>0</v>
      </c>
      <c r="E147" s="55">
        <f>D147/C145</f>
        <v>0</v>
      </c>
      <c r="F147" s="151"/>
    </row>
    <row r="148" spans="2:6" x14ac:dyDescent="0.25">
      <c r="B148" s="53" t="s">
        <v>1237</v>
      </c>
      <c r="C148" s="67">
        <v>0</v>
      </c>
      <c r="D148" s="102">
        <v>0</v>
      </c>
      <c r="E148" s="55">
        <f>D148/C145</f>
        <v>0</v>
      </c>
      <c r="F148" s="151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1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1"/>
    </row>
    <row r="151" spans="2:6" ht="16.5" thickTop="1" thickBot="1" x14ac:dyDescent="0.3">
      <c r="B151" s="110"/>
      <c r="C151" s="109" t="s">
        <v>905</v>
      </c>
      <c r="D151" s="95" t="s">
        <v>1451</v>
      </c>
      <c r="E151" s="101" t="s">
        <v>906</v>
      </c>
      <c r="F151" s="151"/>
    </row>
    <row r="152" spans="2:6" ht="16.5" thickTop="1" thickBot="1" x14ac:dyDescent="0.3">
      <c r="B152" s="97" t="s">
        <v>1055</v>
      </c>
      <c r="C152" s="98">
        <v>307</v>
      </c>
      <c r="D152" s="114">
        <v>0</v>
      </c>
      <c r="E152" s="104">
        <v>0</v>
      </c>
      <c r="F152" s="151"/>
    </row>
    <row r="153" spans="2:6" ht="15.75" thickBot="1" x14ac:dyDescent="0.3">
      <c r="B153" s="111" t="s">
        <v>1056</v>
      </c>
      <c r="C153" s="112">
        <f>COSEIDIcam</f>
        <v>277</v>
      </c>
      <c r="D153" s="112">
        <v>0</v>
      </c>
      <c r="E153" s="113">
        <v>0</v>
      </c>
      <c r="F153" s="152"/>
    </row>
    <row r="154" spans="2:6" ht="15" customHeight="1" thickTop="1" thickBot="1" x14ac:dyDescent="0.3"/>
    <row r="155" spans="2:6" ht="16.5" thickTop="1" thickBot="1" x14ac:dyDescent="0.3">
      <c r="C155" s="106" t="s">
        <v>905</v>
      </c>
      <c r="D155" s="107" t="s">
        <v>1451</v>
      </c>
      <c r="E155" s="108" t="s">
        <v>906</v>
      </c>
    </row>
    <row r="156" spans="2:6" ht="15.75" thickTop="1" x14ac:dyDescent="0.25">
      <c r="B156" s="52" t="s">
        <v>1235</v>
      </c>
      <c r="C156" s="99">
        <f>CANTIDAD_DE_CAMARAS</f>
        <v>584</v>
      </c>
      <c r="D156" s="100"/>
      <c r="E156" s="105"/>
      <c r="F156" s="150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1"/>
    </row>
    <row r="158" spans="2:6" x14ac:dyDescent="0.25">
      <c r="B158" s="53" t="s">
        <v>1236</v>
      </c>
      <c r="C158" s="67">
        <v>0</v>
      </c>
      <c r="D158" s="102">
        <v>0</v>
      </c>
      <c r="E158" s="55">
        <f>D158/C156</f>
        <v>0</v>
      </c>
      <c r="F158" s="151"/>
    </row>
    <row r="159" spans="2:6" x14ac:dyDescent="0.25">
      <c r="B159" s="53" t="s">
        <v>1237</v>
      </c>
      <c r="C159" s="67">
        <v>0</v>
      </c>
      <c r="D159" s="102">
        <v>0</v>
      </c>
      <c r="E159" s="55">
        <f>D159/C156</f>
        <v>0</v>
      </c>
      <c r="F159" s="151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1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1"/>
    </row>
    <row r="162" spans="2:6" ht="16.5" thickTop="1" thickBot="1" x14ac:dyDescent="0.3">
      <c r="B162" s="110"/>
      <c r="C162" s="109" t="s">
        <v>905</v>
      </c>
      <c r="D162" s="95" t="s">
        <v>1451</v>
      </c>
      <c r="E162" s="101" t="s">
        <v>906</v>
      </c>
      <c r="F162" s="151"/>
    </row>
    <row r="163" spans="2:6" ht="16.5" thickTop="1" thickBot="1" x14ac:dyDescent="0.3">
      <c r="B163" s="97" t="s">
        <v>1055</v>
      </c>
      <c r="C163" s="98">
        <v>307</v>
      </c>
      <c r="D163" s="114">
        <f>Hoja1!T3</f>
        <v>0</v>
      </c>
      <c r="E163" s="104">
        <f>D163/C163</f>
        <v>0</v>
      </c>
      <c r="F163" s="151"/>
    </row>
    <row r="164" spans="2:6" ht="15.75" thickBot="1" x14ac:dyDescent="0.3">
      <c r="B164" s="111" t="s">
        <v>1056</v>
      </c>
      <c r="C164" s="112">
        <f>COSEIDIcam</f>
        <v>277</v>
      </c>
      <c r="D164" s="112">
        <v>0</v>
      </c>
      <c r="E164" s="113">
        <v>0</v>
      </c>
      <c r="F164" s="152"/>
    </row>
    <row r="165" spans="2:6" ht="16.5" thickTop="1" thickBot="1" x14ac:dyDescent="0.3"/>
    <row r="166" spans="2:6" ht="16.5" thickTop="1" thickBot="1" x14ac:dyDescent="0.3">
      <c r="C166" s="106" t="s">
        <v>905</v>
      </c>
      <c r="D166" s="107" t="s">
        <v>1451</v>
      </c>
      <c r="E166" s="108" t="s">
        <v>906</v>
      </c>
    </row>
    <row r="167" spans="2:6" ht="15.75" thickTop="1" x14ac:dyDescent="0.25">
      <c r="B167" s="52" t="s">
        <v>1235</v>
      </c>
      <c r="C167" s="99">
        <f>CANTIDAD_DE_CAMARAS</f>
        <v>584</v>
      </c>
      <c r="D167" s="100"/>
      <c r="E167" s="105"/>
      <c r="F167" s="150">
        <v>46097</v>
      </c>
    </row>
    <row r="168" spans="2:6" x14ac:dyDescent="0.25">
      <c r="B168" s="53" t="s">
        <v>6</v>
      </c>
      <c r="C168" s="66">
        <f>'RESUMEN TOTAL'!AC3</f>
        <v>0</v>
      </c>
      <c r="D168" s="54"/>
      <c r="E168" s="55">
        <f>C168/C167</f>
        <v>0</v>
      </c>
      <c r="F168" s="151"/>
    </row>
    <row r="169" spans="2:6" x14ac:dyDescent="0.25">
      <c r="B169" s="53" t="s">
        <v>1236</v>
      </c>
      <c r="C169" s="67">
        <v>10</v>
      </c>
      <c r="D169" s="102">
        <f>C168-C169</f>
        <v>-10</v>
      </c>
      <c r="E169" s="55">
        <f>D169/C167</f>
        <v>-1.7123287671232876E-2</v>
      </c>
      <c r="F169" s="151"/>
    </row>
    <row r="170" spans="2:6" x14ac:dyDescent="0.25">
      <c r="B170" s="53" t="s">
        <v>1237</v>
      </c>
      <c r="C170" s="67">
        <v>8</v>
      </c>
      <c r="D170" s="102">
        <f>D169-C170</f>
        <v>-18</v>
      </c>
      <c r="E170" s="55">
        <f>D170/C167</f>
        <v>-3.0821917808219176E-2</v>
      </c>
      <c r="F170" s="151"/>
    </row>
    <row r="171" spans="2:6" x14ac:dyDescent="0.25">
      <c r="B171" s="53" t="s">
        <v>15</v>
      </c>
      <c r="C171" s="93">
        <v>5</v>
      </c>
      <c r="D171" s="102">
        <f>D170-C171</f>
        <v>-23</v>
      </c>
      <c r="E171" s="55">
        <f>D171/C167</f>
        <v>-3.9383561643835614E-2</v>
      </c>
      <c r="F171" s="151"/>
    </row>
    <row r="172" spans="2:6" ht="15.75" thickBot="1" x14ac:dyDescent="0.3">
      <c r="B172" s="56"/>
      <c r="C172" s="130"/>
      <c r="D172" s="103">
        <f>D171-C172</f>
        <v>-23</v>
      </c>
      <c r="E172" s="74">
        <f>D172/C167</f>
        <v>-3.9383561643835614E-2</v>
      </c>
      <c r="F172" s="151"/>
    </row>
    <row r="173" spans="2:6" ht="16.5" thickTop="1" thickBot="1" x14ac:dyDescent="0.3">
      <c r="B173" s="110"/>
      <c r="C173" s="109" t="s">
        <v>905</v>
      </c>
      <c r="D173" s="95" t="s">
        <v>1451</v>
      </c>
      <c r="E173" s="101" t="s">
        <v>906</v>
      </c>
      <c r="F173" s="151"/>
    </row>
    <row r="174" spans="2:6" ht="16.5" thickTop="1" thickBot="1" x14ac:dyDescent="0.3">
      <c r="B174" s="97" t="s">
        <v>1055</v>
      </c>
      <c r="C174" s="98">
        <v>307</v>
      </c>
      <c r="D174" s="114">
        <f>Hoja1!U3</f>
        <v>0</v>
      </c>
      <c r="E174" s="104">
        <f>D174/C174</f>
        <v>0</v>
      </c>
      <c r="F174" s="151"/>
    </row>
    <row r="175" spans="2:6" ht="15.75" thickBot="1" x14ac:dyDescent="0.3">
      <c r="B175" s="111" t="s">
        <v>1056</v>
      </c>
      <c r="C175" s="112">
        <f>COSEIDIcam</f>
        <v>277</v>
      </c>
      <c r="D175" s="112">
        <v>40</v>
      </c>
      <c r="E175" s="113">
        <f>D175/C175</f>
        <v>0.1444043321299639</v>
      </c>
      <c r="F175" s="152"/>
    </row>
    <row r="176" spans="2:6" ht="16.5" thickTop="1" thickBot="1" x14ac:dyDescent="0.3"/>
    <row r="177" spans="2:6" ht="16.5" thickTop="1" thickBot="1" x14ac:dyDescent="0.3">
      <c r="C177" s="106" t="s">
        <v>905</v>
      </c>
      <c r="D177" s="107" t="s">
        <v>1451</v>
      </c>
      <c r="E177" s="108" t="s">
        <v>906</v>
      </c>
    </row>
    <row r="178" spans="2:6" ht="15.75" thickTop="1" x14ac:dyDescent="0.25">
      <c r="B178" s="52" t="s">
        <v>1235</v>
      </c>
      <c r="C178" s="99">
        <f>CANTIDAD_DE_CAMARAS</f>
        <v>584</v>
      </c>
      <c r="D178" s="100"/>
      <c r="E178" s="105"/>
      <c r="F178" s="150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51"/>
    </row>
    <row r="180" spans="2:6" x14ac:dyDescent="0.25">
      <c r="B180" s="53" t="s">
        <v>1236</v>
      </c>
      <c r="C180" s="67">
        <v>8</v>
      </c>
      <c r="D180" s="102">
        <f>C179-C180</f>
        <v>-8</v>
      </c>
      <c r="E180" s="55">
        <f>D180/C178</f>
        <v>-1.3698630136986301E-2</v>
      </c>
      <c r="F180" s="151"/>
    </row>
    <row r="181" spans="2:6" x14ac:dyDescent="0.25">
      <c r="B181" s="53" t="s">
        <v>1237</v>
      </c>
      <c r="C181" s="67">
        <v>8</v>
      </c>
      <c r="D181" s="102">
        <f>D180-C181</f>
        <v>-16</v>
      </c>
      <c r="E181" s="55">
        <f>D181/C178</f>
        <v>-2.7397260273972601E-2</v>
      </c>
      <c r="F181" s="151"/>
    </row>
    <row r="182" spans="2:6" x14ac:dyDescent="0.25">
      <c r="B182" s="53" t="s">
        <v>15</v>
      </c>
      <c r="C182" s="93">
        <v>8</v>
      </c>
      <c r="D182" s="102">
        <f>D181-C182</f>
        <v>-24</v>
      </c>
      <c r="E182" s="55">
        <f>D182/C178</f>
        <v>-4.1095890410958902E-2</v>
      </c>
      <c r="F182" s="151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1"/>
    </row>
    <row r="184" spans="2:6" ht="16.5" thickTop="1" thickBot="1" x14ac:dyDescent="0.3">
      <c r="B184" s="110"/>
      <c r="C184" s="109" t="s">
        <v>905</v>
      </c>
      <c r="D184" s="95" t="s">
        <v>1451</v>
      </c>
      <c r="E184" s="101" t="s">
        <v>906</v>
      </c>
      <c r="F184" s="151"/>
    </row>
    <row r="185" spans="2:6" ht="16.5" thickTop="1" thickBot="1" x14ac:dyDescent="0.3">
      <c r="B185" s="97" t="s">
        <v>1055</v>
      </c>
      <c r="C185" s="98">
        <v>307</v>
      </c>
      <c r="D185" s="114">
        <f>Hoja1!V3</f>
        <v>0</v>
      </c>
      <c r="E185" s="104">
        <f>D185/C185</f>
        <v>0</v>
      </c>
      <c r="F185" s="151"/>
    </row>
    <row r="186" spans="2:6" ht="15.75" thickBot="1" x14ac:dyDescent="0.3">
      <c r="B186" s="111" t="s">
        <v>1056</v>
      </c>
      <c r="C186" s="112">
        <f>COSEIDIcam</f>
        <v>277</v>
      </c>
      <c r="D186" s="112">
        <f>Hoja1!V5</f>
        <v>0</v>
      </c>
      <c r="E186" s="113">
        <f>D186/C186</f>
        <v>0</v>
      </c>
      <c r="F186" s="152"/>
    </row>
    <row r="187" spans="2:6" ht="16.5" thickTop="1" thickBot="1" x14ac:dyDescent="0.3"/>
    <row r="188" spans="2:6" ht="16.5" thickTop="1" thickBot="1" x14ac:dyDescent="0.3">
      <c r="C188" s="106" t="s">
        <v>905</v>
      </c>
      <c r="D188" s="107" t="s">
        <v>1451</v>
      </c>
      <c r="E188" s="108" t="s">
        <v>906</v>
      </c>
    </row>
    <row r="189" spans="2:6" ht="15.75" thickTop="1" x14ac:dyDescent="0.25">
      <c r="B189" s="52" t="s">
        <v>1235</v>
      </c>
      <c r="C189" s="99">
        <f>CANTIDAD_DE_CAMARAS</f>
        <v>584</v>
      </c>
      <c r="D189" s="100"/>
      <c r="E189" s="105"/>
      <c r="F189" s="150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51"/>
    </row>
    <row r="191" spans="2:6" x14ac:dyDescent="0.25">
      <c r="B191" s="53" t="s">
        <v>1236</v>
      </c>
      <c r="C191" s="67">
        <v>3</v>
      </c>
      <c r="D191" s="102">
        <f>C190-C191</f>
        <v>-3</v>
      </c>
      <c r="E191" s="55">
        <f>D191/C189</f>
        <v>-5.1369863013698627E-3</v>
      </c>
      <c r="F191" s="151"/>
    </row>
    <row r="192" spans="2:6" x14ac:dyDescent="0.25">
      <c r="B192" s="53" t="s">
        <v>1237</v>
      </c>
      <c r="C192" s="67">
        <v>8</v>
      </c>
      <c r="D192" s="102">
        <f>D191-C192</f>
        <v>-11</v>
      </c>
      <c r="E192" s="55">
        <f>D192/C189</f>
        <v>-1.8835616438356163E-2</v>
      </c>
      <c r="F192" s="151"/>
    </row>
    <row r="193" spans="2:6" x14ac:dyDescent="0.25">
      <c r="B193" s="53" t="s">
        <v>15</v>
      </c>
      <c r="C193" s="93">
        <v>5</v>
      </c>
      <c r="D193" s="102">
        <f>D192-C193</f>
        <v>-16</v>
      </c>
      <c r="E193" s="55">
        <f>D193/C189</f>
        <v>-2.7397260273972601E-2</v>
      </c>
      <c r="F193" s="151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1"/>
    </row>
    <row r="195" spans="2:6" ht="16.5" thickTop="1" thickBot="1" x14ac:dyDescent="0.3">
      <c r="B195" s="110"/>
      <c r="C195" s="109" t="s">
        <v>905</v>
      </c>
      <c r="D195" s="95" t="s">
        <v>1451</v>
      </c>
      <c r="E195" s="101" t="s">
        <v>906</v>
      </c>
      <c r="F195" s="151"/>
    </row>
    <row r="196" spans="2:6" ht="16.5" thickTop="1" thickBot="1" x14ac:dyDescent="0.3">
      <c r="B196" s="97" t="s">
        <v>1055</v>
      </c>
      <c r="C196" s="98">
        <v>307</v>
      </c>
      <c r="D196" s="114">
        <f>Hoja1!W3</f>
        <v>0</v>
      </c>
      <c r="E196" s="104">
        <f>D196/C196</f>
        <v>0</v>
      </c>
      <c r="F196" s="151"/>
    </row>
    <row r="197" spans="2:6" ht="15.75" thickBot="1" x14ac:dyDescent="0.3">
      <c r="B197" s="111" t="s">
        <v>1056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2"/>
    </row>
    <row r="198" spans="2:6" ht="16.5" thickTop="1" thickBot="1" x14ac:dyDescent="0.3"/>
    <row r="199" spans="2:6" ht="16.5" thickTop="1" thickBot="1" x14ac:dyDescent="0.3">
      <c r="C199" s="106" t="s">
        <v>905</v>
      </c>
      <c r="D199" s="107" t="s">
        <v>1451</v>
      </c>
      <c r="E199" s="108" t="s">
        <v>906</v>
      </c>
    </row>
    <row r="200" spans="2:6" ht="15.75" thickTop="1" x14ac:dyDescent="0.25">
      <c r="B200" s="52" t="s">
        <v>1235</v>
      </c>
      <c r="C200" s="99">
        <f>CANTIDAD_DE_CAMARAS</f>
        <v>584</v>
      </c>
      <c r="D200" s="100"/>
      <c r="E200" s="105"/>
      <c r="F200" s="150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1"/>
    </row>
    <row r="202" spans="2:6" x14ac:dyDescent="0.25">
      <c r="B202" s="53" t="s">
        <v>1236</v>
      </c>
      <c r="C202" s="67">
        <v>8</v>
      </c>
      <c r="D202" s="102">
        <f>C201-C202</f>
        <v>-8</v>
      </c>
      <c r="E202" s="55">
        <f>D202/C200</f>
        <v>-1.3698630136986301E-2</v>
      </c>
      <c r="F202" s="151"/>
    </row>
    <row r="203" spans="2:6" x14ac:dyDescent="0.25">
      <c r="B203" s="53" t="s">
        <v>1237</v>
      </c>
      <c r="C203" s="67">
        <v>8</v>
      </c>
      <c r="D203" s="102">
        <f>D202-C203</f>
        <v>-16</v>
      </c>
      <c r="E203" s="55">
        <f>D203/C200</f>
        <v>-2.7397260273972601E-2</v>
      </c>
      <c r="F203" s="151"/>
    </row>
    <row r="204" spans="2:6" x14ac:dyDescent="0.25">
      <c r="B204" s="53" t="s">
        <v>15</v>
      </c>
      <c r="C204" s="93">
        <v>7</v>
      </c>
      <c r="D204" s="102">
        <f>D203-C204</f>
        <v>-23</v>
      </c>
      <c r="E204" s="55">
        <f>D204/C200</f>
        <v>-3.9383561643835614E-2</v>
      </c>
      <c r="F204" s="151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1"/>
    </row>
    <row r="206" spans="2:6" ht="16.5" thickTop="1" thickBot="1" x14ac:dyDescent="0.3">
      <c r="B206" s="110"/>
      <c r="C206" s="109" t="s">
        <v>905</v>
      </c>
      <c r="D206" s="95" t="s">
        <v>1451</v>
      </c>
      <c r="E206" s="101" t="s">
        <v>906</v>
      </c>
      <c r="F206" s="151"/>
    </row>
    <row r="207" spans="2:6" ht="16.5" thickTop="1" thickBot="1" x14ac:dyDescent="0.3">
      <c r="B207" s="97" t="s">
        <v>1055</v>
      </c>
      <c r="C207" s="98">
        <v>307</v>
      </c>
      <c r="D207" s="114">
        <f>Hoja1!X3</f>
        <v>0</v>
      </c>
      <c r="E207" s="104">
        <f>D207/C207</f>
        <v>0</v>
      </c>
      <c r="F207" s="151"/>
    </row>
    <row r="208" spans="2:6" ht="15.75" thickBot="1" x14ac:dyDescent="0.3">
      <c r="B208" s="111" t="s">
        <v>1056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2"/>
    </row>
    <row r="209" spans="2:6" ht="16.5" thickTop="1" thickBot="1" x14ac:dyDescent="0.3"/>
    <row r="210" spans="2:6" ht="16.5" thickTop="1" thickBot="1" x14ac:dyDescent="0.3">
      <c r="C210" s="106" t="s">
        <v>905</v>
      </c>
      <c r="D210" s="107" t="s">
        <v>1451</v>
      </c>
      <c r="E210" s="108" t="s">
        <v>906</v>
      </c>
    </row>
    <row r="211" spans="2:6" ht="15.75" thickTop="1" x14ac:dyDescent="0.25">
      <c r="B211" s="52" t="s">
        <v>1235</v>
      </c>
      <c r="C211" s="99">
        <f>CANTIDAD_DE_CAMARAS</f>
        <v>584</v>
      </c>
      <c r="D211" s="100"/>
      <c r="E211" s="105"/>
      <c r="F211" s="150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1"/>
    </row>
    <row r="213" spans="2:6" x14ac:dyDescent="0.25">
      <c r="B213" s="53" t="s">
        <v>1236</v>
      </c>
      <c r="C213" s="67">
        <v>6</v>
      </c>
      <c r="D213" s="102">
        <f>C212-C213</f>
        <v>-6</v>
      </c>
      <c r="E213" s="55">
        <f>D213/C211</f>
        <v>-1.0273972602739725E-2</v>
      </c>
      <c r="F213" s="151"/>
    </row>
    <row r="214" spans="2:6" x14ac:dyDescent="0.25">
      <c r="B214" s="53" t="s">
        <v>1237</v>
      </c>
      <c r="C214" s="67">
        <v>8</v>
      </c>
      <c r="D214" s="102">
        <f>D213-C214</f>
        <v>-14</v>
      </c>
      <c r="E214" s="55">
        <f>D214/C211</f>
        <v>-2.3972602739726026E-2</v>
      </c>
      <c r="F214" s="151"/>
    </row>
    <row r="215" spans="2:6" x14ac:dyDescent="0.25">
      <c r="B215" s="53" t="s">
        <v>15</v>
      </c>
      <c r="C215" s="93">
        <v>6</v>
      </c>
      <c r="D215" s="102">
        <f>D214-C215</f>
        <v>-20</v>
      </c>
      <c r="E215" s="55">
        <f>D215/C211</f>
        <v>-3.4246575342465752E-2</v>
      </c>
      <c r="F215" s="151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1"/>
    </row>
    <row r="217" spans="2:6" ht="16.5" thickTop="1" thickBot="1" x14ac:dyDescent="0.3">
      <c r="B217" s="110"/>
      <c r="C217" s="109" t="s">
        <v>905</v>
      </c>
      <c r="D217" s="95" t="s">
        <v>1451</v>
      </c>
      <c r="E217" s="101" t="s">
        <v>906</v>
      </c>
      <c r="F217" s="151"/>
    </row>
    <row r="218" spans="2:6" ht="16.5" thickTop="1" thickBot="1" x14ac:dyDescent="0.3">
      <c r="B218" s="97" t="s">
        <v>1055</v>
      </c>
      <c r="C218" s="98">
        <v>307</v>
      </c>
      <c r="D218" s="114">
        <f>Hoja1!Y3</f>
        <v>0</v>
      </c>
      <c r="E218" s="104">
        <f>D218/C218</f>
        <v>0</v>
      </c>
      <c r="F218" s="151"/>
    </row>
    <row r="219" spans="2:6" ht="15.75" thickBot="1" x14ac:dyDescent="0.3">
      <c r="B219" s="111" t="s">
        <v>1056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2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905</v>
      </c>
      <c r="D222" s="107" t="s">
        <v>1451</v>
      </c>
      <c r="E222" s="108" t="s">
        <v>906</v>
      </c>
    </row>
    <row r="223" spans="2:6" ht="15.75" thickTop="1" x14ac:dyDescent="0.25">
      <c r="B223" s="52" t="s">
        <v>1235</v>
      </c>
      <c r="C223" s="99">
        <f>CANTIDAD_DE_CAMARAS</f>
        <v>584</v>
      </c>
      <c r="D223" s="100"/>
      <c r="E223" s="105"/>
      <c r="F223" s="150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1"/>
    </row>
    <row r="225" spans="2:6" x14ac:dyDescent="0.25">
      <c r="B225" s="53" t="s">
        <v>1236</v>
      </c>
      <c r="C225" s="67">
        <v>0</v>
      </c>
      <c r="D225" s="102">
        <v>0</v>
      </c>
      <c r="E225" s="55">
        <f>D225/C223</f>
        <v>0</v>
      </c>
      <c r="F225" s="151"/>
    </row>
    <row r="226" spans="2:6" x14ac:dyDescent="0.25">
      <c r="B226" s="53" t="s">
        <v>1237</v>
      </c>
      <c r="C226" s="67">
        <v>0</v>
      </c>
      <c r="D226" s="102">
        <v>0</v>
      </c>
      <c r="E226" s="55">
        <f>D226/C223</f>
        <v>0</v>
      </c>
      <c r="F226" s="151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1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1"/>
    </row>
    <row r="229" spans="2:6" ht="16.5" thickTop="1" thickBot="1" x14ac:dyDescent="0.3">
      <c r="B229" s="110"/>
      <c r="C229" s="109" t="s">
        <v>905</v>
      </c>
      <c r="D229" s="95" t="s">
        <v>1451</v>
      </c>
      <c r="E229" s="101" t="s">
        <v>906</v>
      </c>
      <c r="F229" s="151"/>
    </row>
    <row r="230" spans="2:6" ht="16.5" thickTop="1" thickBot="1" x14ac:dyDescent="0.3">
      <c r="B230" s="97" t="s">
        <v>1055</v>
      </c>
      <c r="C230" s="98">
        <v>307</v>
      </c>
      <c r="D230" s="114">
        <f>Hoja1!Z3</f>
        <v>0</v>
      </c>
      <c r="E230" s="104">
        <f>D230/C230</f>
        <v>0</v>
      </c>
      <c r="F230" s="151"/>
    </row>
    <row r="231" spans="2:6" ht="15.75" thickBot="1" x14ac:dyDescent="0.3">
      <c r="B231" s="111" t="s">
        <v>1056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2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905</v>
      </c>
      <c r="D234" s="107" t="s">
        <v>1451</v>
      </c>
      <c r="E234" s="108" t="s">
        <v>906</v>
      </c>
    </row>
    <row r="235" spans="2:6" ht="15.75" thickTop="1" x14ac:dyDescent="0.25">
      <c r="B235" s="52" t="s">
        <v>1235</v>
      </c>
      <c r="C235" s="99">
        <f>CANTIDAD_DE_CAMARAS</f>
        <v>584</v>
      </c>
      <c r="D235" s="100"/>
      <c r="E235" s="105"/>
      <c r="F235" s="150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1"/>
    </row>
    <row r="237" spans="2:6" x14ac:dyDescent="0.25">
      <c r="B237" s="53" t="s">
        <v>1236</v>
      </c>
      <c r="C237" s="67">
        <v>0</v>
      </c>
      <c r="D237" s="102">
        <v>0</v>
      </c>
      <c r="E237" s="55">
        <f>D237/C235</f>
        <v>0</v>
      </c>
      <c r="F237" s="151"/>
    </row>
    <row r="238" spans="2:6" x14ac:dyDescent="0.25">
      <c r="B238" s="53" t="s">
        <v>1237</v>
      </c>
      <c r="C238" s="67">
        <v>0</v>
      </c>
      <c r="D238" s="102">
        <v>0</v>
      </c>
      <c r="E238" s="55">
        <f>D238/C235</f>
        <v>0</v>
      </c>
      <c r="F238" s="151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1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1"/>
    </row>
    <row r="241" spans="2:6" ht="16.5" thickTop="1" thickBot="1" x14ac:dyDescent="0.3">
      <c r="B241" s="110"/>
      <c r="C241" s="109" t="s">
        <v>905</v>
      </c>
      <c r="D241" s="95" t="s">
        <v>1451</v>
      </c>
      <c r="E241" s="101" t="s">
        <v>906</v>
      </c>
      <c r="F241" s="151"/>
    </row>
    <row r="242" spans="2:6" ht="16.5" thickTop="1" thickBot="1" x14ac:dyDescent="0.3">
      <c r="B242" s="97" t="s">
        <v>1055</v>
      </c>
      <c r="C242" s="98">
        <v>307</v>
      </c>
      <c r="D242" s="114">
        <v>0</v>
      </c>
      <c r="E242" s="104">
        <f>D242/C242</f>
        <v>0</v>
      </c>
      <c r="F242" s="151"/>
    </row>
    <row r="243" spans="2:6" ht="15.75" thickBot="1" x14ac:dyDescent="0.3">
      <c r="B243" s="111" t="s">
        <v>1056</v>
      </c>
      <c r="C243" s="112">
        <f>COSEIDIcam</f>
        <v>277</v>
      </c>
      <c r="D243" s="112">
        <v>0</v>
      </c>
      <c r="E243" s="113">
        <v>0</v>
      </c>
      <c r="F243" s="152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905</v>
      </c>
      <c r="D246" s="107" t="s">
        <v>1451</v>
      </c>
      <c r="E246" s="108" t="s">
        <v>906</v>
      </c>
    </row>
    <row r="247" spans="2:6" ht="15.75" thickTop="1" x14ac:dyDescent="0.25">
      <c r="B247" s="52" t="s">
        <v>1235</v>
      </c>
      <c r="C247" s="99">
        <f>CANTIDAD_DE_CAMARAS</f>
        <v>584</v>
      </c>
      <c r="D247" s="100"/>
      <c r="E247" s="105"/>
      <c r="F247" s="150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1"/>
    </row>
    <row r="249" spans="2:6" x14ac:dyDescent="0.25">
      <c r="B249" s="53" t="s">
        <v>1236</v>
      </c>
      <c r="C249" s="67">
        <v>0</v>
      </c>
      <c r="D249" s="102">
        <f>C248-C249</f>
        <v>0</v>
      </c>
      <c r="E249" s="55">
        <f>D249/C247</f>
        <v>0</v>
      </c>
      <c r="F249" s="151"/>
    </row>
    <row r="250" spans="2:6" x14ac:dyDescent="0.25">
      <c r="B250" s="53" t="s">
        <v>1237</v>
      </c>
      <c r="C250" s="67">
        <v>0</v>
      </c>
      <c r="D250" s="102">
        <f>D249-C250</f>
        <v>0</v>
      </c>
      <c r="E250" s="55">
        <f>D250/C247</f>
        <v>0</v>
      </c>
      <c r="F250" s="151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1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1"/>
    </row>
    <row r="253" spans="2:6" ht="16.5" thickTop="1" thickBot="1" x14ac:dyDescent="0.3">
      <c r="B253" s="110"/>
      <c r="C253" s="109" t="s">
        <v>905</v>
      </c>
      <c r="D253" s="95">
        <v>0</v>
      </c>
      <c r="E253" s="101" t="s">
        <v>906</v>
      </c>
      <c r="F253" s="151"/>
    </row>
    <row r="254" spans="2:6" ht="16.5" thickTop="1" thickBot="1" x14ac:dyDescent="0.3">
      <c r="B254" s="97" t="s">
        <v>1055</v>
      </c>
      <c r="C254" s="98">
        <v>307</v>
      </c>
      <c r="D254" s="114">
        <f>Hoja1!AB3</f>
        <v>0</v>
      </c>
      <c r="E254" s="104">
        <f>D254/C254</f>
        <v>0</v>
      </c>
      <c r="F254" s="151"/>
    </row>
    <row r="255" spans="2:6" ht="15.75" thickBot="1" x14ac:dyDescent="0.3">
      <c r="B255" s="111" t="s">
        <v>1056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2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905</v>
      </c>
      <c r="D258" s="107" t="s">
        <v>1451</v>
      </c>
      <c r="E258" s="108" t="s">
        <v>906</v>
      </c>
    </row>
    <row r="259" spans="2:6" ht="15.75" thickTop="1" x14ac:dyDescent="0.25">
      <c r="B259" s="52" t="s">
        <v>1235</v>
      </c>
      <c r="C259" s="99">
        <f>CANTIDAD_DE_CAMARAS</f>
        <v>584</v>
      </c>
      <c r="D259" s="100"/>
      <c r="E259" s="105"/>
      <c r="F259" s="150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1"/>
    </row>
    <row r="261" spans="2:6" x14ac:dyDescent="0.25">
      <c r="B261" s="53" t="s">
        <v>1236</v>
      </c>
      <c r="C261" s="67">
        <v>0</v>
      </c>
      <c r="D261" s="102">
        <f>C260-C261</f>
        <v>0</v>
      </c>
      <c r="E261" s="55">
        <f>D261/C259</f>
        <v>0</v>
      </c>
      <c r="F261" s="151"/>
    </row>
    <row r="262" spans="2:6" x14ac:dyDescent="0.25">
      <c r="B262" s="53" t="s">
        <v>1237</v>
      </c>
      <c r="C262" s="67">
        <v>0</v>
      </c>
      <c r="D262" s="102">
        <f>D261-C262</f>
        <v>0</v>
      </c>
      <c r="E262" s="55">
        <f>D262/C259</f>
        <v>0</v>
      </c>
      <c r="F262" s="151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1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1"/>
    </row>
    <row r="265" spans="2:6" ht="16.5" thickTop="1" thickBot="1" x14ac:dyDescent="0.3">
      <c r="B265" s="110"/>
      <c r="C265" s="109" t="s">
        <v>905</v>
      </c>
      <c r="D265" s="95" t="s">
        <v>1451</v>
      </c>
      <c r="E265" s="101" t="s">
        <v>906</v>
      </c>
      <c r="F265" s="151"/>
    </row>
    <row r="266" spans="2:6" ht="16.5" thickTop="1" thickBot="1" x14ac:dyDescent="0.3">
      <c r="B266" s="97" t="s">
        <v>1055</v>
      </c>
      <c r="C266" s="98">
        <v>307</v>
      </c>
      <c r="D266" s="114">
        <f>Hoja1!AC3</f>
        <v>0</v>
      </c>
      <c r="E266" s="104">
        <f>D266/C266</f>
        <v>0</v>
      </c>
      <c r="F266" s="151"/>
    </row>
    <row r="267" spans="2:6" ht="15.75" thickBot="1" x14ac:dyDescent="0.3">
      <c r="B267" s="111" t="s">
        <v>1056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2"/>
    </row>
    <row r="268" spans="2:6" ht="16.5" thickTop="1" thickBot="1" x14ac:dyDescent="0.3"/>
    <row r="269" spans="2:6" ht="16.5" thickTop="1" thickBot="1" x14ac:dyDescent="0.3">
      <c r="C269" s="106" t="s">
        <v>905</v>
      </c>
      <c r="D269" s="107" t="s">
        <v>1451</v>
      </c>
      <c r="E269" s="108" t="s">
        <v>906</v>
      </c>
    </row>
    <row r="270" spans="2:6" ht="15.75" thickTop="1" x14ac:dyDescent="0.25">
      <c r="B270" s="52" t="s">
        <v>1235</v>
      </c>
      <c r="C270" s="99">
        <f>CANTIDAD_DE_CAMARAS</f>
        <v>584</v>
      </c>
      <c r="D270" s="100"/>
      <c r="E270" s="105"/>
      <c r="F270" s="150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1"/>
    </row>
    <row r="272" spans="2:6" x14ac:dyDescent="0.25">
      <c r="B272" s="53" t="s">
        <v>1236</v>
      </c>
      <c r="C272" s="67">
        <v>6</v>
      </c>
      <c r="D272" s="102">
        <f>C271-C272</f>
        <v>-6</v>
      </c>
      <c r="E272" s="55">
        <f>D272/C270</f>
        <v>-1.0273972602739725E-2</v>
      </c>
      <c r="F272" s="151"/>
    </row>
    <row r="273" spans="2:6" x14ac:dyDescent="0.25">
      <c r="B273" s="53" t="s">
        <v>1237</v>
      </c>
      <c r="C273" s="67">
        <v>10</v>
      </c>
      <c r="D273" s="102">
        <f>D272-C273</f>
        <v>-16</v>
      </c>
      <c r="E273" s="55">
        <f>D273/C270</f>
        <v>-2.7397260273972601E-2</v>
      </c>
      <c r="F273" s="151"/>
    </row>
    <row r="274" spans="2:6" x14ac:dyDescent="0.25">
      <c r="B274" s="53" t="s">
        <v>15</v>
      </c>
      <c r="C274" s="93">
        <v>6</v>
      </c>
      <c r="D274" s="102">
        <f>D273-C274</f>
        <v>-22</v>
      </c>
      <c r="E274" s="55">
        <f>D274/C270</f>
        <v>-3.7671232876712327E-2</v>
      </c>
      <c r="F274" s="151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1"/>
    </row>
    <row r="276" spans="2:6" ht="16.5" thickTop="1" thickBot="1" x14ac:dyDescent="0.3">
      <c r="B276" s="110"/>
      <c r="C276" s="109" t="s">
        <v>905</v>
      </c>
      <c r="D276" s="95" t="s">
        <v>1451</v>
      </c>
      <c r="E276" s="101" t="s">
        <v>906</v>
      </c>
      <c r="F276" s="151"/>
    </row>
    <row r="277" spans="2:6" ht="16.5" thickTop="1" thickBot="1" x14ac:dyDescent="0.3">
      <c r="B277" s="97" t="s">
        <v>1055</v>
      </c>
      <c r="C277" s="98">
        <v>307</v>
      </c>
      <c r="D277" s="114">
        <f>Hoja1!AD3</f>
        <v>0</v>
      </c>
      <c r="E277" s="104">
        <f>D277/C277</f>
        <v>0</v>
      </c>
      <c r="F277" s="151"/>
    </row>
    <row r="278" spans="2:6" ht="15.75" thickBot="1" x14ac:dyDescent="0.3">
      <c r="B278" s="111" t="s">
        <v>1056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2"/>
    </row>
    <row r="279" spans="2:6" ht="16.5" thickTop="1" thickBot="1" x14ac:dyDescent="0.3"/>
    <row r="280" spans="2:6" ht="16.5" thickTop="1" thickBot="1" x14ac:dyDescent="0.3">
      <c r="C280" s="106" t="s">
        <v>905</v>
      </c>
      <c r="D280" s="107" t="s">
        <v>1451</v>
      </c>
      <c r="E280" s="108" t="s">
        <v>906</v>
      </c>
    </row>
    <row r="281" spans="2:6" ht="15.75" thickTop="1" x14ac:dyDescent="0.25">
      <c r="B281" s="52" t="s">
        <v>1235</v>
      </c>
      <c r="C281" s="99">
        <f>CANTIDAD_DE_CAMARAS</f>
        <v>584</v>
      </c>
      <c r="D281" s="100"/>
      <c r="E281" s="105"/>
      <c r="F281" s="150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1"/>
    </row>
    <row r="283" spans="2:6" x14ac:dyDescent="0.25">
      <c r="B283" s="53" t="s">
        <v>1236</v>
      </c>
      <c r="C283" s="67">
        <v>0</v>
      </c>
      <c r="D283" s="102">
        <f>C282-C283</f>
        <v>0</v>
      </c>
      <c r="E283" s="55">
        <f>D283/C281</f>
        <v>0</v>
      </c>
      <c r="F283" s="151"/>
    </row>
    <row r="284" spans="2:6" x14ac:dyDescent="0.25">
      <c r="B284" s="53" t="s">
        <v>1237</v>
      </c>
      <c r="C284" s="67">
        <v>10</v>
      </c>
      <c r="D284" s="102">
        <f>D283-C284</f>
        <v>-10</v>
      </c>
      <c r="E284" s="55">
        <f>D284/C281</f>
        <v>-1.7123287671232876E-2</v>
      </c>
      <c r="F284" s="151"/>
    </row>
    <row r="285" spans="2:6" x14ac:dyDescent="0.25">
      <c r="B285" s="53" t="s">
        <v>15</v>
      </c>
      <c r="C285" s="93">
        <v>4</v>
      </c>
      <c r="D285" s="102">
        <f>D284-C285</f>
        <v>-14</v>
      </c>
      <c r="E285" s="55">
        <f>D285/C281</f>
        <v>-2.3972602739726026E-2</v>
      </c>
      <c r="F285" s="151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1"/>
    </row>
    <row r="287" spans="2:6" ht="16.5" thickTop="1" thickBot="1" x14ac:dyDescent="0.3">
      <c r="B287" s="110"/>
      <c r="C287" s="109" t="s">
        <v>905</v>
      </c>
      <c r="D287" s="95" t="s">
        <v>1451</v>
      </c>
      <c r="E287" s="101" t="s">
        <v>906</v>
      </c>
      <c r="F287" s="151"/>
    </row>
    <row r="288" spans="2:6" ht="16.5" thickTop="1" thickBot="1" x14ac:dyDescent="0.3">
      <c r="B288" s="97" t="s">
        <v>1055</v>
      </c>
      <c r="C288" s="98">
        <v>307</v>
      </c>
      <c r="D288" s="114">
        <f>Hoja1!AE3</f>
        <v>29</v>
      </c>
      <c r="E288" s="104">
        <f>D288/C288</f>
        <v>9.4462540716612378E-2</v>
      </c>
      <c r="F288" s="151"/>
    </row>
    <row r="289" spans="2:6" ht="15.75" thickBot="1" x14ac:dyDescent="0.3">
      <c r="B289" s="111" t="s">
        <v>1056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2"/>
    </row>
    <row r="290" spans="2:6" ht="16.5" thickTop="1" thickBot="1" x14ac:dyDescent="0.3"/>
    <row r="291" spans="2:6" ht="16.5" thickTop="1" thickBot="1" x14ac:dyDescent="0.3">
      <c r="C291" s="106" t="s">
        <v>905</v>
      </c>
      <c r="D291" s="107" t="s">
        <v>1451</v>
      </c>
      <c r="E291" s="108" t="s">
        <v>906</v>
      </c>
    </row>
    <row r="292" spans="2:6" ht="15.75" thickTop="1" x14ac:dyDescent="0.25">
      <c r="B292" s="52" t="s">
        <v>1235</v>
      </c>
      <c r="C292" s="99">
        <f>CANTIDAD_DE_CAMARAS</f>
        <v>584</v>
      </c>
      <c r="D292" s="100"/>
      <c r="E292" s="105"/>
      <c r="F292" s="150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1"/>
    </row>
    <row r="294" spans="2:6" x14ac:dyDescent="0.25">
      <c r="B294" s="53" t="s">
        <v>1236</v>
      </c>
      <c r="C294" s="67">
        <v>5</v>
      </c>
      <c r="D294" s="102">
        <f>C293-C294</f>
        <v>-5</v>
      </c>
      <c r="E294" s="55">
        <f>D294/C292</f>
        <v>-8.5616438356164379E-3</v>
      </c>
      <c r="F294" s="151"/>
    </row>
    <row r="295" spans="2:6" x14ac:dyDescent="0.25">
      <c r="B295" s="53" t="s">
        <v>1237</v>
      </c>
      <c r="C295" s="67">
        <v>10</v>
      </c>
      <c r="D295" s="102">
        <f>D294-C295</f>
        <v>-15</v>
      </c>
      <c r="E295" s="55">
        <f>D295/C292</f>
        <v>-2.5684931506849314E-2</v>
      </c>
      <c r="F295" s="151"/>
    </row>
    <row r="296" spans="2:6" x14ac:dyDescent="0.25">
      <c r="B296" s="53" t="s">
        <v>15</v>
      </c>
      <c r="C296" s="93">
        <v>5</v>
      </c>
      <c r="D296" s="102">
        <f>D295-C296</f>
        <v>-20</v>
      </c>
      <c r="E296" s="55">
        <f>D296/C292</f>
        <v>-3.4246575342465752E-2</v>
      </c>
      <c r="F296" s="151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1"/>
    </row>
    <row r="298" spans="2:6" ht="16.5" thickTop="1" thickBot="1" x14ac:dyDescent="0.3">
      <c r="B298" s="110"/>
      <c r="C298" s="109" t="s">
        <v>905</v>
      </c>
      <c r="D298" s="95" t="s">
        <v>1451</v>
      </c>
      <c r="E298" s="101" t="s">
        <v>906</v>
      </c>
      <c r="F298" s="151"/>
    </row>
    <row r="299" spans="2:6" ht="16.5" thickTop="1" thickBot="1" x14ac:dyDescent="0.3">
      <c r="B299" s="97" t="s">
        <v>1055</v>
      </c>
      <c r="C299" s="98">
        <v>307</v>
      </c>
      <c r="D299" s="114">
        <f>Hoja1!AF3</f>
        <v>0</v>
      </c>
      <c r="E299" s="104">
        <f>D299/C299</f>
        <v>0</v>
      </c>
      <c r="F299" s="151"/>
    </row>
    <row r="300" spans="2:6" ht="15.75" thickBot="1" x14ac:dyDescent="0.3">
      <c r="B300" s="111" t="s">
        <v>1056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2"/>
    </row>
    <row r="301" spans="2:6" ht="16.5" thickTop="1" thickBot="1" x14ac:dyDescent="0.3"/>
    <row r="302" spans="2:6" ht="16.5" thickTop="1" thickBot="1" x14ac:dyDescent="0.3">
      <c r="C302" s="106" t="s">
        <v>905</v>
      </c>
      <c r="D302" s="107" t="s">
        <v>1451</v>
      </c>
      <c r="E302" s="108" t="s">
        <v>906</v>
      </c>
    </row>
    <row r="303" spans="2:6" ht="15.75" thickTop="1" x14ac:dyDescent="0.25">
      <c r="B303" s="52" t="s">
        <v>1235</v>
      </c>
      <c r="C303" s="99">
        <f>CANTIDAD_DE_CAMARAS</f>
        <v>584</v>
      </c>
      <c r="D303" s="100"/>
      <c r="E303" s="105"/>
      <c r="F303" s="150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1"/>
    </row>
    <row r="305" spans="2:6" x14ac:dyDescent="0.25">
      <c r="B305" s="53" t="s">
        <v>1236</v>
      </c>
      <c r="C305" s="67">
        <v>0</v>
      </c>
      <c r="D305" s="102">
        <v>0</v>
      </c>
      <c r="E305" s="55">
        <f>D305/C303</f>
        <v>0</v>
      </c>
      <c r="F305" s="151"/>
    </row>
    <row r="306" spans="2:6" x14ac:dyDescent="0.25">
      <c r="B306" s="53" t="s">
        <v>1237</v>
      </c>
      <c r="C306" s="67">
        <v>0</v>
      </c>
      <c r="D306" s="102">
        <v>0</v>
      </c>
      <c r="E306" s="55">
        <f>D306/C303</f>
        <v>0</v>
      </c>
      <c r="F306" s="151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1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1"/>
    </row>
    <row r="309" spans="2:6" ht="16.5" thickTop="1" thickBot="1" x14ac:dyDescent="0.3">
      <c r="B309" s="110"/>
      <c r="C309" s="109" t="s">
        <v>905</v>
      </c>
      <c r="D309" s="95" t="s">
        <v>1451</v>
      </c>
      <c r="E309" s="101" t="s">
        <v>906</v>
      </c>
      <c r="F309" s="151"/>
    </row>
    <row r="310" spans="2:6" ht="16.5" thickTop="1" thickBot="1" x14ac:dyDescent="0.3">
      <c r="B310" s="97" t="s">
        <v>1055</v>
      </c>
      <c r="C310" s="98">
        <v>307</v>
      </c>
      <c r="D310" s="114">
        <v>0</v>
      </c>
      <c r="E310" s="104">
        <v>0</v>
      </c>
      <c r="F310" s="151"/>
    </row>
    <row r="311" spans="2:6" ht="15.75" thickBot="1" x14ac:dyDescent="0.3">
      <c r="B311" s="111" t="s">
        <v>1056</v>
      </c>
      <c r="C311" s="112">
        <f>COSEIDIcam</f>
        <v>277</v>
      </c>
      <c r="D311" s="112">
        <v>0</v>
      </c>
      <c r="E311" s="113">
        <v>0</v>
      </c>
      <c r="F311" s="152"/>
    </row>
    <row r="312" spans="2:6" ht="16.5" thickTop="1" thickBot="1" x14ac:dyDescent="0.3"/>
    <row r="313" spans="2:6" ht="16.5" thickTop="1" thickBot="1" x14ac:dyDescent="0.3">
      <c r="C313" s="106" t="s">
        <v>905</v>
      </c>
      <c r="D313" s="107" t="s">
        <v>1451</v>
      </c>
      <c r="E313" s="108" t="s">
        <v>906</v>
      </c>
    </row>
    <row r="314" spans="2:6" ht="15.75" thickTop="1" x14ac:dyDescent="0.25">
      <c r="B314" s="52" t="s">
        <v>1235</v>
      </c>
      <c r="C314" s="99">
        <f>CANTIDAD_DE_CAMARAS</f>
        <v>584</v>
      </c>
      <c r="D314" s="100"/>
      <c r="E314" s="105"/>
      <c r="F314" s="150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1"/>
    </row>
    <row r="316" spans="2:6" x14ac:dyDescent="0.25">
      <c r="B316" s="53" t="s">
        <v>1236</v>
      </c>
      <c r="C316" s="67">
        <v>0</v>
      </c>
      <c r="D316" s="102">
        <v>0</v>
      </c>
      <c r="E316" s="55">
        <f>D316/C314</f>
        <v>0</v>
      </c>
      <c r="F316" s="151"/>
    </row>
    <row r="317" spans="2:6" x14ac:dyDescent="0.25">
      <c r="B317" s="53" t="s">
        <v>1237</v>
      </c>
      <c r="C317" s="67">
        <v>0</v>
      </c>
      <c r="D317" s="102">
        <v>0</v>
      </c>
      <c r="E317" s="55">
        <f>D317/C314</f>
        <v>0</v>
      </c>
      <c r="F317" s="151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1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1"/>
    </row>
    <row r="320" spans="2:6" ht="16.5" thickTop="1" thickBot="1" x14ac:dyDescent="0.3">
      <c r="B320" s="110"/>
      <c r="C320" s="109" t="s">
        <v>905</v>
      </c>
      <c r="D320" s="95" t="s">
        <v>1451</v>
      </c>
      <c r="E320" s="101" t="s">
        <v>906</v>
      </c>
      <c r="F320" s="151"/>
    </row>
    <row r="321" spans="2:6" ht="16.5" thickTop="1" thickBot="1" x14ac:dyDescent="0.3">
      <c r="B321" s="97" t="s">
        <v>1055</v>
      </c>
      <c r="C321" s="98">
        <v>307</v>
      </c>
      <c r="D321" s="114">
        <v>0</v>
      </c>
      <c r="E321" s="104">
        <v>0</v>
      </c>
      <c r="F321" s="151"/>
    </row>
    <row r="322" spans="2:6" ht="15.75" thickBot="1" x14ac:dyDescent="0.3">
      <c r="B322" s="111" t="s">
        <v>1056</v>
      </c>
      <c r="C322" s="112">
        <f>COSEIDIcam</f>
        <v>277</v>
      </c>
      <c r="D322" s="112">
        <v>0</v>
      </c>
      <c r="E322" s="113">
        <v>0</v>
      </c>
      <c r="F322" s="152"/>
    </row>
    <row r="323" spans="2:6" ht="16.5" thickTop="1" thickBot="1" x14ac:dyDescent="0.3"/>
    <row r="324" spans="2:6" ht="16.5" thickTop="1" thickBot="1" x14ac:dyDescent="0.3">
      <c r="C324" s="106" t="s">
        <v>905</v>
      </c>
      <c r="D324" s="107" t="s">
        <v>1451</v>
      </c>
      <c r="E324" s="108" t="s">
        <v>906</v>
      </c>
    </row>
    <row r="325" spans="2:6" ht="15.75" thickTop="1" x14ac:dyDescent="0.25">
      <c r="B325" s="52" t="s">
        <v>1235</v>
      </c>
      <c r="C325" s="99">
        <f>CANTIDAD_DE_CAMARAS</f>
        <v>584</v>
      </c>
      <c r="D325" s="100"/>
      <c r="E325" s="105"/>
      <c r="F325" s="150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51"/>
    </row>
    <row r="327" spans="2:6" x14ac:dyDescent="0.25">
      <c r="B327" s="53" t="s">
        <v>1236</v>
      </c>
      <c r="C327" s="67">
        <v>7</v>
      </c>
      <c r="D327" s="102">
        <f>C326-C327</f>
        <v>-7</v>
      </c>
      <c r="E327" s="55">
        <f>D327/C325</f>
        <v>-1.1986301369863013E-2</v>
      </c>
      <c r="F327" s="151"/>
    </row>
    <row r="328" spans="2:6" x14ac:dyDescent="0.25">
      <c r="B328" s="53" t="s">
        <v>1237</v>
      </c>
      <c r="C328" s="67">
        <v>12</v>
      </c>
      <c r="D328" s="102">
        <f>D327-C328</f>
        <v>-19</v>
      </c>
      <c r="E328" s="55">
        <f>D328/C325</f>
        <v>-3.2534246575342464E-2</v>
      </c>
      <c r="F328" s="151"/>
    </row>
    <row r="329" spans="2:6" x14ac:dyDescent="0.25">
      <c r="B329" s="53" t="s">
        <v>15</v>
      </c>
      <c r="C329" s="93">
        <v>6</v>
      </c>
      <c r="D329" s="102">
        <f>D328-C329</f>
        <v>-25</v>
      </c>
      <c r="E329" s="55">
        <f>D329/C325</f>
        <v>-4.2808219178082189E-2</v>
      </c>
      <c r="F329" s="151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1"/>
    </row>
    <row r="331" spans="2:6" ht="16.5" thickTop="1" thickBot="1" x14ac:dyDescent="0.3">
      <c r="B331" s="110"/>
      <c r="C331" s="109" t="s">
        <v>905</v>
      </c>
      <c r="D331" s="95" t="s">
        <v>1451</v>
      </c>
      <c r="E331" s="101" t="s">
        <v>906</v>
      </c>
      <c r="F331" s="151"/>
    </row>
    <row r="332" spans="2:6" ht="16.5" thickTop="1" thickBot="1" x14ac:dyDescent="0.3">
      <c r="B332" s="97" t="s">
        <v>1055</v>
      </c>
      <c r="C332" s="98">
        <v>307</v>
      </c>
      <c r="D332" s="114">
        <v>48</v>
      </c>
      <c r="E332" s="104">
        <f>D332/C332</f>
        <v>0.15635179153094461</v>
      </c>
      <c r="F332" s="151"/>
    </row>
    <row r="333" spans="2:6" ht="15.75" thickBot="1" x14ac:dyDescent="0.3">
      <c r="B333" s="111" t="s">
        <v>1056</v>
      </c>
      <c r="C333" s="112">
        <f>COSEIDIcam</f>
        <v>277</v>
      </c>
      <c r="D333" s="112">
        <v>66</v>
      </c>
      <c r="E333" s="113">
        <f>D333/C333</f>
        <v>0.23826714801444043</v>
      </c>
      <c r="F333" s="152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905</v>
      </c>
      <c r="D336" s="107" t="s">
        <v>1451</v>
      </c>
      <c r="E336" s="108" t="s">
        <v>906</v>
      </c>
    </row>
    <row r="337" spans="2:6" ht="15.75" thickTop="1" x14ac:dyDescent="0.25">
      <c r="B337" s="52" t="s">
        <v>1235</v>
      </c>
      <c r="C337" s="99">
        <f>CANTIDAD_DE_CAMARAS</f>
        <v>584</v>
      </c>
      <c r="D337" s="100"/>
      <c r="E337" s="105"/>
      <c r="F337" s="150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1"/>
    </row>
    <row r="339" spans="2:6" x14ac:dyDescent="0.25">
      <c r="B339" s="53" t="s">
        <v>1236</v>
      </c>
      <c r="C339" s="67">
        <v>2</v>
      </c>
      <c r="D339" s="102" t="e">
        <f>C338-C339</f>
        <v>#REF!</v>
      </c>
      <c r="E339" s="55" t="e">
        <f>D339/C337</f>
        <v>#REF!</v>
      </c>
      <c r="F339" s="151"/>
    </row>
    <row r="340" spans="2:6" x14ac:dyDescent="0.25">
      <c r="B340" s="53" t="s">
        <v>1237</v>
      </c>
      <c r="C340" s="67">
        <v>11</v>
      </c>
      <c r="D340" s="102" t="e">
        <f>D339-C340</f>
        <v>#REF!</v>
      </c>
      <c r="E340" s="55" t="e">
        <f>D340/C337</f>
        <v>#REF!</v>
      </c>
      <c r="F340" s="151"/>
    </row>
    <row r="341" spans="2:6" x14ac:dyDescent="0.25">
      <c r="B341" s="53" t="s">
        <v>15</v>
      </c>
      <c r="C341" s="93">
        <v>16</v>
      </c>
      <c r="D341" s="102" t="e">
        <f>D340-C341</f>
        <v>#REF!</v>
      </c>
      <c r="E341" s="55" t="e">
        <f>D341/C337</f>
        <v>#REF!</v>
      </c>
      <c r="F341" s="151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1"/>
    </row>
    <row r="343" spans="2:6" ht="16.5" thickTop="1" thickBot="1" x14ac:dyDescent="0.3">
      <c r="B343" s="110"/>
      <c r="C343" s="109" t="s">
        <v>905</v>
      </c>
      <c r="D343" s="95" t="s">
        <v>1451</v>
      </c>
      <c r="E343" s="101" t="s">
        <v>906</v>
      </c>
      <c r="F343" s="151"/>
    </row>
    <row r="344" spans="2:6" ht="16.5" thickTop="1" thickBot="1" x14ac:dyDescent="0.3">
      <c r="B344" s="97" t="s">
        <v>1055</v>
      </c>
      <c r="C344" s="98">
        <v>307</v>
      </c>
      <c r="D344" s="114">
        <v>44</v>
      </c>
      <c r="E344" s="104">
        <f>D344/C344</f>
        <v>0.14332247557003258</v>
      </c>
      <c r="F344" s="151"/>
    </row>
    <row r="345" spans="2:6" ht="15.75" thickBot="1" x14ac:dyDescent="0.3">
      <c r="B345" s="111" t="s">
        <v>1056</v>
      </c>
      <c r="C345" s="112">
        <f>COSEIDIcam</f>
        <v>277</v>
      </c>
      <c r="D345" s="112">
        <v>77</v>
      </c>
      <c r="E345" s="113">
        <f>D345/C345</f>
        <v>0.27797833935018051</v>
      </c>
      <c r="F345" s="152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2026-04-08T12:23:52Z</dcterms:modified>
</cp:coreProperties>
</file>