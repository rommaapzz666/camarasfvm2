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53DB8B8F-8E0A-4431-9BF3-5A148207EFE4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9" i="24" l="1"/>
  <c r="O6" i="25"/>
  <c r="O4" i="25"/>
  <c r="O5" i="25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L146" i="2" l="1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D120" i="24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<sst xmlns="http://schemas.openxmlformats.org/spreadsheetml/2006/main" count="5661" uniqueCount="2324">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</sst>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92"/>
  <sheetViews>
    <sheetView zoomScale="90" zoomScaleNormal="90" workbookViewId="0">
      <pane xSplit="12" ySplit="7" topLeftCell="T8" activePane="bottomRight" state="frozen"/>
      <selection pane="topRight" activeCell="M1" sqref="M1"/>
      <selection pane="bottomLeft" activeCell="A5" sqref="A5"/>
      <selection pane="bottomRight" activeCell="V3" sqref="V3"/>
    </sheetView>
  </sheetViews>
  <sheetFormatPr baseColWidth="10" defaultColWidth="11.5703125" defaultRowHeight="15" x14ac:dyDescent="0.25"/>
  <cols>
    <col min="1" max="1" width="31.7109375" bestFit="1" customWidth="1"/>
    <col min="2" max="2" width="42.5703125" style="30" customWidth="1"/>
    <col min="3" max="3" width="21.140625" style="30" hidden="1" customWidth="1"/>
    <col min="4" max="4" width="21.140625" hidden="1" customWidth="1"/>
    <col min="5" max="5" width="21.140625" style="61" hidden="1" customWidth="1"/>
    <col min="6" max="8" width="21.140625" style="65" hidden="1" customWidth="1"/>
    <col min="9" max="11" width="21.140625" hidden="1" customWidth="1"/>
    <col min="12" max="12" width="21.1406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0</v>
      </c>
      <c r="X3" s="125">
        <f t="shared" si="3"/>
        <v>0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1463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1464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1465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1662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23</v>
      </c>
      <c r="J8" s="146" t="s">
        <v>1663</v>
      </c>
      <c r="K8" s="31">
        <f t="shared" ref="K8:K86" si="5">COUNTIF(M8:AN8,"APAGADO")</f>
        <v>5</v>
      </c>
      <c r="L8" s="32">
        <f t="shared" ref="L8:L86" si="6">(I8)/(K8+I8)</f>
        <v>0.8214285714285714</v>
      </c>
      <c r="M8" s="70"/>
      <c r="N8" s="70"/>
      <c r="O8" s="70"/>
      <c r="P8" s="70" t="s">
        <v>2284</v>
      </c>
      <c r="Q8" s="70" t="s">
        <v>2284</v>
      </c>
      <c r="R8" s="70" t="s">
        <v>2284</v>
      </c>
      <c r="S8" s="70"/>
      <c r="T8" s="70"/>
      <c r="U8" s="70" t="s">
        <v>2284</v>
      </c>
      <c r="V8" s="70" t="s">
        <v>2284</v>
      </c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4"/>
        <v>20</v>
      </c>
      <c r="J9" s="146" t="s">
        <v>1664</v>
      </c>
      <c r="K9" s="31">
        <f t="shared" si="5"/>
        <v>8</v>
      </c>
      <c r="L9" s="32">
        <f t="shared" si="6"/>
        <v>0.7142857142857143</v>
      </c>
      <c r="M9" s="70" t="s">
        <v>2284</v>
      </c>
      <c r="N9" s="70" t="s">
        <v>2284</v>
      </c>
      <c r="O9" s="70" t="s">
        <v>2284</v>
      </c>
      <c r="P9" s="70" t="s">
        <v>2284</v>
      </c>
      <c r="Q9" s="70" t="s">
        <v>2284</v>
      </c>
      <c r="R9" s="70" t="s">
        <v>2284</v>
      </c>
      <c r="S9" s="70"/>
      <c r="T9" s="70"/>
      <c r="U9" s="70" t="s">
        <v>2284</v>
      </c>
      <c r="V9" s="70" t="s">
        <v>2284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4"/>
        <v>28</v>
      </c>
      <c r="J10" s="146" t="s">
        <v>1665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4"/>
        <v>28</v>
      </c>
      <c r="J11" s="146" t="s">
        <v>1666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4"/>
        <v>28</v>
      </c>
      <c r="J12" s="148" t="s">
        <v>1667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4"/>
        <v>28</v>
      </c>
      <c r="J13" s="146" t="s">
        <v>1668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4"/>
        <v>23</v>
      </c>
      <c r="J14" s="146" t="s">
        <v>1669</v>
      </c>
      <c r="K14" s="31">
        <f t="shared" si="5"/>
        <v>5</v>
      </c>
      <c r="L14" s="32">
        <f t="shared" si="6"/>
        <v>0.8214285714285714</v>
      </c>
      <c r="M14" s="70"/>
      <c r="N14" s="70"/>
      <c r="O14" s="70"/>
      <c r="P14" s="70" t="s">
        <v>2284</v>
      </c>
      <c r="Q14" s="70" t="s">
        <v>2284</v>
      </c>
      <c r="R14" s="70" t="s">
        <v>2284</v>
      </c>
      <c r="S14" s="70"/>
      <c r="T14" s="70"/>
      <c r="U14" s="70" t="s">
        <v>2284</v>
      </c>
      <c r="V14" s="70" t="s">
        <v>2284</v>
      </c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1670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1671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4"/>
        <v>28</v>
      </c>
      <c r="J17" s="149" t="s">
        <v>1672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1526</v>
      </c>
      <c r="C18" t="s">
        <v>1061</v>
      </c>
      <c r="D18" s="68" t="s">
        <v>1527</v>
      </c>
      <c r="E18" s="30" t="s">
        <v>73</v>
      </c>
      <c r="F18" s="85" t="s">
        <v>1300</v>
      </c>
      <c r="G18" s="30"/>
      <c r="H18" s="30" t="s">
        <v>1528</v>
      </c>
      <c r="I18" s="31">
        <f t="shared" si="4"/>
        <v>28</v>
      </c>
      <c r="J18" s="87" t="s">
        <v>2155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20</v>
      </c>
      <c r="J19" s="146" t="s">
        <v>1673</v>
      </c>
      <c r="K19" s="31">
        <f t="shared" si="5"/>
        <v>8</v>
      </c>
      <c r="L19" s="32">
        <f t="shared" si="6"/>
        <v>0.7142857142857143</v>
      </c>
      <c r="M19" s="70" t="s">
        <v>2284</v>
      </c>
      <c r="N19" s="70" t="s">
        <v>2284</v>
      </c>
      <c r="O19" s="70" t="s">
        <v>2284</v>
      </c>
      <c r="P19" s="70" t="s">
        <v>2284</v>
      </c>
      <c r="Q19" s="70" t="s">
        <v>2284</v>
      </c>
      <c r="R19" s="70" t="s">
        <v>2284</v>
      </c>
      <c r="S19" s="70"/>
      <c r="T19" s="70"/>
      <c r="U19" s="70" t="s">
        <v>2284</v>
      </c>
      <c r="V19" s="70" t="s">
        <v>2284</v>
      </c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1540</v>
      </c>
      <c r="C20" s="73" t="s">
        <v>1061</v>
      </c>
      <c r="D20" s="73" t="s">
        <v>1541</v>
      </c>
      <c r="E20" s="85" t="s">
        <v>73</v>
      </c>
      <c r="F20" s="85" t="s">
        <v>1300</v>
      </c>
      <c r="G20" s="85"/>
      <c r="H20" s="85" t="s">
        <v>1542</v>
      </c>
      <c r="I20" s="31">
        <f t="shared" si="4"/>
        <v>20</v>
      </c>
      <c r="J20" s="146" t="s">
        <v>1674</v>
      </c>
      <c r="K20" s="31">
        <f t="shared" si="5"/>
        <v>8</v>
      </c>
      <c r="L20" s="32">
        <f t="shared" si="6"/>
        <v>0.7142857142857143</v>
      </c>
      <c r="M20" s="70" t="s">
        <v>2284</v>
      </c>
      <c r="N20" s="70" t="s">
        <v>2284</v>
      </c>
      <c r="O20" s="70" t="s">
        <v>2284</v>
      </c>
      <c r="P20" s="70" t="s">
        <v>2284</v>
      </c>
      <c r="Q20" s="70" t="s">
        <v>2284</v>
      </c>
      <c r="R20" s="70" t="s">
        <v>2284</v>
      </c>
      <c r="S20" s="70"/>
      <c r="T20" s="70"/>
      <c r="U20" s="70" t="s">
        <v>2284</v>
      </c>
      <c r="V20" s="70" t="s">
        <v>2284</v>
      </c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thickBot="1" x14ac:dyDescent="0.3">
      <c r="A21" s="73" t="s">
        <v>41</v>
      </c>
      <c r="B21" s="73" t="s">
        <v>1569</v>
      </c>
      <c r="C21" s="73" t="s">
        <v>1061</v>
      </c>
      <c r="D21" s="73" t="s">
        <v>1570</v>
      </c>
      <c r="E21" s="85" t="s">
        <v>73</v>
      </c>
      <c r="F21" s="85" t="s">
        <v>1300</v>
      </c>
      <c r="G21" s="85"/>
      <c r="H21" s="85" t="s">
        <v>1571</v>
      </c>
      <c r="I21" s="31">
        <f t="shared" si="4"/>
        <v>28</v>
      </c>
      <c r="J21" s="146" t="s">
        <v>1675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1676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4"/>
        <v>28</v>
      </c>
      <c r="J23" s="146" t="s">
        <v>1677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4"/>
        <v>24</v>
      </c>
      <c r="J24" s="146" t="s">
        <v>1678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 t="s">
        <v>2284</v>
      </c>
      <c r="R24" s="70" t="s">
        <v>2284</v>
      </c>
      <c r="S24" s="70"/>
      <c r="T24" s="70"/>
      <c r="U24" s="70" t="s">
        <v>2284</v>
      </c>
      <c r="V24" s="70" t="s">
        <v>2284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4"/>
        <v>24</v>
      </c>
      <c r="J25" s="146" t="s">
        <v>1679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 t="s">
        <v>2284</v>
      </c>
      <c r="R25" s="70" t="s">
        <v>2284</v>
      </c>
      <c r="S25" s="70"/>
      <c r="T25" s="70"/>
      <c r="U25" s="70" t="s">
        <v>2284</v>
      </c>
      <c r="V25" s="70" t="s">
        <v>2284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4"/>
        <v>24</v>
      </c>
      <c r="J26" s="146" t="s">
        <v>1680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 t="s">
        <v>2284</v>
      </c>
      <c r="R26" s="70" t="s">
        <v>2284</v>
      </c>
      <c r="S26" s="70"/>
      <c r="T26" s="70"/>
      <c r="U26" s="70" t="s">
        <v>2284</v>
      </c>
      <c r="V26" s="70" t="s">
        <v>2284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4"/>
        <v>24</v>
      </c>
      <c r="J27" s="146" t="s">
        <v>1681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 t="s">
        <v>2284</v>
      </c>
      <c r="R27" s="70" t="s">
        <v>2284</v>
      </c>
      <c r="S27" s="70"/>
      <c r="T27" s="70"/>
      <c r="U27" s="70" t="s">
        <v>2284</v>
      </c>
      <c r="V27" s="70" t="s">
        <v>2284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4"/>
        <v>28</v>
      </c>
      <c r="J28" s="146" t="s">
        <v>1682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4"/>
        <v>28</v>
      </c>
      <c r="J29" s="146" t="s">
        <v>1683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4"/>
        <v>28</v>
      </c>
      <c r="J30" s="146" t="s">
        <v>1684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1193</v>
      </c>
      <c r="B31" s="85" t="s">
        <v>1594</v>
      </c>
      <c r="C31" s="85" t="s">
        <v>1062</v>
      </c>
      <c r="D31" s="73" t="s">
        <v>1597</v>
      </c>
      <c r="E31" s="85" t="s">
        <v>19</v>
      </c>
      <c r="F31" s="85" t="s">
        <v>1300</v>
      </c>
      <c r="G31" s="85"/>
      <c r="H31" s="85" t="s">
        <v>1598</v>
      </c>
      <c r="I31" s="141">
        <f t="shared" si="4"/>
        <v>28</v>
      </c>
      <c r="J31" s="87" t="s">
        <v>2156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1193</v>
      </c>
      <c r="B32" s="85" t="s">
        <v>1595</v>
      </c>
      <c r="C32" s="85" t="s">
        <v>1062</v>
      </c>
      <c r="D32" s="73" t="s">
        <v>1601</v>
      </c>
      <c r="E32" s="85" t="s">
        <v>73</v>
      </c>
      <c r="F32" s="85" t="s">
        <v>1300</v>
      </c>
      <c r="G32" s="85"/>
      <c r="H32" s="85" t="s">
        <v>1599</v>
      </c>
      <c r="I32" s="141">
        <f t="shared" si="4"/>
        <v>28</v>
      </c>
      <c r="J32" s="87" t="s">
        <v>2157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1193</v>
      </c>
      <c r="B33" s="85" t="s">
        <v>1596</v>
      </c>
      <c r="C33" s="85" t="s">
        <v>1062</v>
      </c>
      <c r="D33" s="73" t="s">
        <v>1601</v>
      </c>
      <c r="E33" s="85" t="s">
        <v>73</v>
      </c>
      <c r="F33" s="85" t="s">
        <v>1300</v>
      </c>
      <c r="G33" s="85"/>
      <c r="H33" s="85" t="s">
        <v>1600</v>
      </c>
      <c r="I33" s="141">
        <f t="shared" si="4"/>
        <v>28</v>
      </c>
      <c r="J33" s="87" t="s">
        <v>2158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1193</v>
      </c>
      <c r="B34" s="85" t="s">
        <v>2307</v>
      </c>
      <c r="C34" s="85" t="s">
        <v>1062</v>
      </c>
      <c r="D34" s="73" t="s">
        <v>2308</v>
      </c>
      <c r="E34" s="85" t="s">
        <v>19</v>
      </c>
      <c r="F34" s="85" t="s">
        <v>1300</v>
      </c>
      <c r="G34" s="85"/>
      <c r="H34" s="85" t="s">
        <v>2309</v>
      </c>
      <c r="I34" s="141">
        <f t="shared" si="4"/>
        <v>28</v>
      </c>
      <c r="J34" s="151" t="s">
        <v>2310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2154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1444</v>
      </c>
      <c r="I35" s="133">
        <f t="shared" si="4"/>
        <v>20</v>
      </c>
      <c r="J35" s="146" t="s">
        <v>1685</v>
      </c>
      <c r="K35" s="133">
        <f t="shared" si="5"/>
        <v>8</v>
      </c>
      <c r="L35" s="134">
        <f t="shared" si="6"/>
        <v>0.7142857142857143</v>
      </c>
      <c r="M35" s="135" t="s">
        <v>2284</v>
      </c>
      <c r="N35" s="135" t="s">
        <v>2284</v>
      </c>
      <c r="O35" s="135" t="s">
        <v>2284</v>
      </c>
      <c r="P35" s="135" t="s">
        <v>2284</v>
      </c>
      <c r="Q35" s="135" t="s">
        <v>2284</v>
      </c>
      <c r="R35" s="135" t="s">
        <v>2284</v>
      </c>
      <c r="S35" s="135"/>
      <c r="T35" s="135"/>
      <c r="U35" s="135" t="s">
        <v>2284</v>
      </c>
      <c r="V35" s="135" t="s">
        <v>2284</v>
      </c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2154</v>
      </c>
      <c r="B36" s="85" t="s">
        <v>1398</v>
      </c>
      <c r="C36" s="73" t="s">
        <v>1062</v>
      </c>
      <c r="D36" s="73" t="s">
        <v>1399</v>
      </c>
      <c r="E36" s="85" t="s">
        <v>19</v>
      </c>
      <c r="F36" s="85" t="s">
        <v>1300</v>
      </c>
      <c r="G36" s="85"/>
      <c r="H36" s="85" t="s">
        <v>1400</v>
      </c>
      <c r="I36" s="141">
        <f t="shared" si="4"/>
        <v>22</v>
      </c>
      <c r="J36" s="87" t="s">
        <v>2159</v>
      </c>
      <c r="K36" s="141">
        <f t="shared" si="5"/>
        <v>6</v>
      </c>
      <c r="L36" s="142">
        <f t="shared" si="6"/>
        <v>0.7857142857142857</v>
      </c>
      <c r="M36" s="70"/>
      <c r="N36" s="70"/>
      <c r="O36" s="70" t="s">
        <v>2284</v>
      </c>
      <c r="P36" s="70" t="s">
        <v>2284</v>
      </c>
      <c r="Q36" s="70" t="s">
        <v>2284</v>
      </c>
      <c r="R36" s="70" t="s">
        <v>2284</v>
      </c>
      <c r="S36" s="70"/>
      <c r="T36" s="70"/>
      <c r="U36" s="70" t="s">
        <v>2284</v>
      </c>
      <c r="V36" s="70" t="s">
        <v>2284</v>
      </c>
      <c r="W36" s="70"/>
      <c r="X36" s="70"/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2154</v>
      </c>
      <c r="B37" s="85" t="s">
        <v>2150</v>
      </c>
      <c r="C37" s="73" t="s">
        <v>1062</v>
      </c>
      <c r="D37" s="73" t="s">
        <v>2151</v>
      </c>
      <c r="E37" s="85" t="s">
        <v>19</v>
      </c>
      <c r="F37" s="85" t="s">
        <v>1300</v>
      </c>
      <c r="G37" s="85"/>
      <c r="H37" s="85" t="s">
        <v>2152</v>
      </c>
      <c r="I37" s="141">
        <f t="shared" si="4"/>
        <v>20</v>
      </c>
      <c r="J37" s="87" t="s">
        <v>2153</v>
      </c>
      <c r="K37" s="141">
        <f t="shared" si="5"/>
        <v>8</v>
      </c>
      <c r="L37" s="142">
        <f t="shared" si="6"/>
        <v>0.7142857142857143</v>
      </c>
      <c r="M37" s="70" t="s">
        <v>2284</v>
      </c>
      <c r="N37" s="70" t="s">
        <v>2284</v>
      </c>
      <c r="O37" s="70" t="s">
        <v>2284</v>
      </c>
      <c r="P37" s="70" t="s">
        <v>2284</v>
      </c>
      <c r="Q37" s="70" t="s">
        <v>2284</v>
      </c>
      <c r="R37" s="70" t="s">
        <v>2284</v>
      </c>
      <c r="S37" s="70"/>
      <c r="T37" s="70"/>
      <c r="U37" s="70" t="s">
        <v>2284</v>
      </c>
      <c r="V37" s="70" t="s">
        <v>2284</v>
      </c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thickBot="1" x14ac:dyDescent="0.3">
      <c r="A38" s="73" t="s">
        <v>1193</v>
      </c>
      <c r="B38" s="85" t="s">
        <v>1508</v>
      </c>
      <c r="C38" s="73" t="s">
        <v>1062</v>
      </c>
      <c r="D38" s="73" t="s">
        <v>1509</v>
      </c>
      <c r="E38" s="85" t="s">
        <v>19</v>
      </c>
      <c r="F38" s="85" t="s">
        <v>1300</v>
      </c>
      <c r="G38" s="85"/>
      <c r="H38" s="85" t="s">
        <v>1510</v>
      </c>
      <c r="I38" s="141">
        <f t="shared" si="4"/>
        <v>28</v>
      </c>
      <c r="J38" s="87" t="s">
        <v>2160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1456</v>
      </c>
      <c r="B39" s="30" t="s">
        <v>1455</v>
      </c>
      <c r="C39" t="s">
        <v>1062</v>
      </c>
      <c r="D39" t="s">
        <v>1454</v>
      </c>
      <c r="E39" s="30" t="s">
        <v>73</v>
      </c>
      <c r="F39" s="30" t="s">
        <v>28</v>
      </c>
      <c r="G39" s="30"/>
      <c r="H39" s="85" t="s">
        <v>1458</v>
      </c>
      <c r="I39" s="31">
        <f t="shared" si="4"/>
        <v>28</v>
      </c>
      <c r="J39" s="146" t="s">
        <v>1686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1456</v>
      </c>
      <c r="B40" s="30" t="s">
        <v>1457</v>
      </c>
      <c r="C40" t="s">
        <v>1062</v>
      </c>
      <c r="D40" t="s">
        <v>1454</v>
      </c>
      <c r="E40" s="30" t="s">
        <v>73</v>
      </c>
      <c r="F40" s="30" t="s">
        <v>28</v>
      </c>
      <c r="G40" s="30"/>
      <c r="H40" s="85" t="s">
        <v>1459</v>
      </c>
      <c r="I40" s="31">
        <f t="shared" si="4"/>
        <v>28</v>
      </c>
      <c r="J40" s="146" t="s">
        <v>1687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thickBot="1" x14ac:dyDescent="0.3">
      <c r="A41" t="s">
        <v>1456</v>
      </c>
      <c r="B41" s="30" t="s">
        <v>1635</v>
      </c>
      <c r="C41" t="s">
        <v>1062</v>
      </c>
      <c r="D41" t="s">
        <v>1637</v>
      </c>
      <c r="E41" s="30" t="s">
        <v>73</v>
      </c>
      <c r="F41" s="30" t="s">
        <v>28</v>
      </c>
      <c r="G41" s="30"/>
      <c r="H41" s="85" t="s">
        <v>1638</v>
      </c>
      <c r="I41" s="31">
        <f t="shared" si="4"/>
        <v>28</v>
      </c>
      <c r="J41" s="87" t="s">
        <v>2161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1456</v>
      </c>
      <c r="B42" s="30" t="s">
        <v>1636</v>
      </c>
      <c r="C42" t="s">
        <v>1062</v>
      </c>
      <c r="D42" t="s">
        <v>1637</v>
      </c>
      <c r="E42" s="30" t="s">
        <v>73</v>
      </c>
      <c r="F42" s="30" t="s">
        <v>28</v>
      </c>
      <c r="G42" s="30"/>
      <c r="H42" s="85" t="s">
        <v>1639</v>
      </c>
      <c r="I42" s="31">
        <f t="shared" si="4"/>
        <v>28</v>
      </c>
      <c r="J42" s="87" t="s">
        <v>2186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1456</v>
      </c>
      <c r="B43" s="30" t="s">
        <v>1643</v>
      </c>
      <c r="C43" t="s">
        <v>1062</v>
      </c>
      <c r="D43" t="s">
        <v>1637</v>
      </c>
      <c r="E43" s="30" t="s">
        <v>19</v>
      </c>
      <c r="F43" s="30" t="s">
        <v>28</v>
      </c>
      <c r="G43" s="30"/>
      <c r="H43" s="85" t="s">
        <v>1641</v>
      </c>
      <c r="I43" s="31">
        <f t="shared" si="4"/>
        <v>28</v>
      </c>
      <c r="J43" s="87" t="s">
        <v>2187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1456</v>
      </c>
      <c r="B44" s="30" t="s">
        <v>1644</v>
      </c>
      <c r="C44" t="s">
        <v>1062</v>
      </c>
      <c r="D44" t="s">
        <v>1645</v>
      </c>
      <c r="E44" s="30" t="s">
        <v>19</v>
      </c>
      <c r="F44" s="30" t="s">
        <v>28</v>
      </c>
      <c r="G44" s="30"/>
      <c r="H44" s="85" t="s">
        <v>1646</v>
      </c>
      <c r="I44" s="31">
        <f t="shared" si="4"/>
        <v>27</v>
      </c>
      <c r="J44" s="87" t="s">
        <v>2188</v>
      </c>
      <c r="K44" s="31">
        <f t="shared" si="5"/>
        <v>1</v>
      </c>
      <c r="L44" s="32">
        <f t="shared" si="6"/>
        <v>0.9642857142857143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2284</v>
      </c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thickBot="1" x14ac:dyDescent="0.3">
      <c r="A45" t="s">
        <v>1456</v>
      </c>
      <c r="B45" s="30" t="s">
        <v>2241</v>
      </c>
      <c r="C45" t="s">
        <v>1062</v>
      </c>
      <c r="D45" t="s">
        <v>2246</v>
      </c>
      <c r="E45" s="30" t="s">
        <v>73</v>
      </c>
      <c r="F45" s="30" t="s">
        <v>28</v>
      </c>
      <c r="G45" s="30"/>
      <c r="H45" s="85" t="s">
        <v>2242</v>
      </c>
      <c r="I45" s="31">
        <f t="shared" si="4"/>
        <v>27</v>
      </c>
      <c r="J45" s="151" t="s">
        <v>2243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2284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1456</v>
      </c>
      <c r="B46" s="30" t="s">
        <v>2244</v>
      </c>
      <c r="C46" t="s">
        <v>1062</v>
      </c>
      <c r="D46" t="s">
        <v>2245</v>
      </c>
      <c r="E46" s="30" t="s">
        <v>73</v>
      </c>
      <c r="F46" s="30" t="s">
        <v>28</v>
      </c>
      <c r="G46" s="30"/>
      <c r="H46" s="85" t="s">
        <v>2247</v>
      </c>
      <c r="I46" s="31">
        <f t="shared" si="4"/>
        <v>27</v>
      </c>
      <c r="J46" s="151" t="s">
        <v>2248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2284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1688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1689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1690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1691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1692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27</v>
      </c>
      <c r="J52" s="146"/>
      <c r="K52" s="31">
        <f t="shared" si="5"/>
        <v>1</v>
      </c>
      <c r="L52" s="32">
        <f t="shared" si="6"/>
        <v>0.9642857142857143</v>
      </c>
      <c r="M52" s="70"/>
      <c r="N52" s="70"/>
      <c r="O52" s="70"/>
      <c r="P52" s="70" t="s">
        <v>2284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1693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1694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1695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1696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1697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1698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4"/>
        <v>28</v>
      </c>
      <c r="J59" s="146" t="s">
        <v>1699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1700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4"/>
        <v>27</v>
      </c>
      <c r="J61" s="146" t="s">
        <v>1701</v>
      </c>
      <c r="K61" s="141">
        <f t="shared" si="5"/>
        <v>1</v>
      </c>
      <c r="L61" s="142">
        <f t="shared" si="6"/>
        <v>0.9642857142857143</v>
      </c>
      <c r="M61" s="70"/>
      <c r="N61" s="70"/>
      <c r="O61" s="70"/>
      <c r="P61" s="70" t="s">
        <v>2284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1702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4"/>
        <v>28</v>
      </c>
      <c r="J63" s="146" t="s">
        <v>1703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1704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1705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4"/>
        <v>28</v>
      </c>
      <c r="J66" s="146" t="s">
        <v>1706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1375</v>
      </c>
      <c r="I68" s="141">
        <f t="shared" si="4"/>
        <v>28</v>
      </c>
      <c r="J68" s="146" t="s">
        <v>1707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6" t="s">
        <v>1708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1440</v>
      </c>
      <c r="I70" s="31">
        <f t="shared" si="4"/>
        <v>28</v>
      </c>
      <c r="J70" s="146" t="s">
        <v>1709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6" t="s">
        <v>1710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4"/>
        <v>28</v>
      </c>
      <c r="J72" s="146" t="s">
        <v>1711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1478</v>
      </c>
      <c r="I73" s="31">
        <f t="shared" si="4"/>
        <v>28</v>
      </c>
      <c r="J73" s="146" t="s">
        <v>1712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6" t="s">
        <v>1713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6" t="s">
        <v>1714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6" t="s">
        <v>1715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6" t="s">
        <v>1716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6" t="s">
        <v>1717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6" t="s">
        <v>1718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6" t="s">
        <v>1719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6" t="s">
        <v>1720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6" t="s">
        <v>1721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6" t="s">
        <v>1722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6" t="s">
        <v>1723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6" t="s">
        <v>1724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6" t="s">
        <v>1725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4" si="7">COUNTIF(M87:AN87,"")</f>
        <v>28</v>
      </c>
      <c r="J87" s="146" t="s">
        <v>1726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1061</v>
      </c>
      <c r="D88" s="73" t="s">
        <v>1519</v>
      </c>
      <c r="E88" s="85" t="s">
        <v>19</v>
      </c>
      <c r="F88" s="85" t="s">
        <v>1300</v>
      </c>
      <c r="G88" s="85"/>
      <c r="H88" s="85" t="s">
        <v>658</v>
      </c>
      <c r="I88" s="141">
        <f t="shared" si="7"/>
        <v>28</v>
      </c>
      <c r="J88" s="146" t="s">
        <v>1727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28</v>
      </c>
      <c r="J89" s="146" t="s">
        <v>1728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20</v>
      </c>
      <c r="J90" s="146" t="s">
        <v>1729</v>
      </c>
      <c r="K90" s="31">
        <f t="shared" si="8"/>
        <v>8</v>
      </c>
      <c r="L90" s="32">
        <f t="shared" si="9"/>
        <v>0.7142857142857143</v>
      </c>
      <c r="M90" s="70" t="s">
        <v>2284</v>
      </c>
      <c r="N90" s="70" t="s">
        <v>2284</v>
      </c>
      <c r="O90" s="70" t="s">
        <v>2284</v>
      </c>
      <c r="P90" s="70" t="s">
        <v>2284</v>
      </c>
      <c r="Q90" s="70" t="s">
        <v>2284</v>
      </c>
      <c r="R90" s="70" t="s">
        <v>2284</v>
      </c>
      <c r="S90" s="70"/>
      <c r="T90" s="70"/>
      <c r="U90" s="70" t="s">
        <v>2284</v>
      </c>
      <c r="V90" s="70" t="s">
        <v>2284</v>
      </c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thickBot="1" x14ac:dyDescent="0.3">
      <c r="A91" t="s">
        <v>52</v>
      </c>
      <c r="B91" t="s">
        <v>1479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6" t="s">
        <v>1730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1480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6" t="s">
        <v>1731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6" t="s">
        <v>1732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1423</v>
      </c>
      <c r="I94" s="141">
        <f t="shared" si="7"/>
        <v>28</v>
      </c>
      <c r="J94" s="146" t="s">
        <v>1733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1460</v>
      </c>
      <c r="I95" s="31">
        <f t="shared" si="7"/>
        <v>28</v>
      </c>
      <c r="J95" s="149" t="s">
        <v>1734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1360</v>
      </c>
      <c r="I96" s="141">
        <f t="shared" si="7"/>
        <v>27</v>
      </c>
      <c r="J96" s="146" t="s">
        <v>1735</v>
      </c>
      <c r="K96" s="141">
        <f t="shared" si="8"/>
        <v>1</v>
      </c>
      <c r="L96" s="142">
        <f t="shared" si="9"/>
        <v>0.9642857142857143</v>
      </c>
      <c r="M96" s="70" t="s">
        <v>2284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7"/>
        <v>28</v>
      </c>
      <c r="J97" s="146" t="s">
        <v>1736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1431</v>
      </c>
      <c r="I98" s="141">
        <f t="shared" si="7"/>
        <v>28</v>
      </c>
      <c r="J98" s="146" t="s">
        <v>1737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1367</v>
      </c>
      <c r="I99" s="141">
        <f t="shared" si="7"/>
        <v>25</v>
      </c>
      <c r="J99" s="146" t="s">
        <v>1738</v>
      </c>
      <c r="K99" s="141">
        <f t="shared" si="8"/>
        <v>3</v>
      </c>
      <c r="L99" s="142">
        <f t="shared" si="9"/>
        <v>0.8928571428571429</v>
      </c>
      <c r="M99" s="70" t="s">
        <v>2284</v>
      </c>
      <c r="N99" s="70" t="s">
        <v>2284</v>
      </c>
      <c r="O99" s="70" t="s">
        <v>2284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7"/>
        <v>25</v>
      </c>
      <c r="J100" s="146" t="s">
        <v>1739</v>
      </c>
      <c r="K100" s="141">
        <f t="shared" si="8"/>
        <v>3</v>
      </c>
      <c r="L100" s="142">
        <f t="shared" si="9"/>
        <v>0.8928571428571429</v>
      </c>
      <c r="M100" s="70" t="s">
        <v>2284</v>
      </c>
      <c r="N100" s="70" t="s">
        <v>2284</v>
      </c>
      <c r="O100" s="70" t="s">
        <v>2284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1408</v>
      </c>
      <c r="I101" s="141">
        <f t="shared" si="7"/>
        <v>28</v>
      </c>
      <c r="J101" s="146" t="s">
        <v>1740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1424</v>
      </c>
      <c r="I102" s="141">
        <f t="shared" si="7"/>
        <v>28</v>
      </c>
      <c r="J102" s="146" t="s">
        <v>1741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1363</v>
      </c>
      <c r="I103" s="141">
        <f t="shared" si="7"/>
        <v>28</v>
      </c>
      <c r="J103" s="146" t="s">
        <v>1742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6" t="s">
        <v>1743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1374</v>
      </c>
      <c r="I105" s="141">
        <f t="shared" si="7"/>
        <v>28</v>
      </c>
      <c r="J105" s="146" t="s">
        <v>1744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7"/>
        <v>28</v>
      </c>
      <c r="J106" s="146" t="s">
        <v>1745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1364</v>
      </c>
      <c r="I107" s="141">
        <f t="shared" si="7"/>
        <v>28</v>
      </c>
      <c r="J107" s="146" t="s">
        <v>1746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7"/>
        <v>28</v>
      </c>
      <c r="J108" s="146" t="s">
        <v>1747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6" t="s">
        <v>1748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6" t="s">
        <v>1749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7"/>
        <v>28</v>
      </c>
      <c r="J111" s="146" t="s">
        <v>1750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7"/>
        <v>28</v>
      </c>
      <c r="J112" s="146" t="s">
        <v>1750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7"/>
        <v>28</v>
      </c>
      <c r="J113" s="146" t="s">
        <v>1752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7"/>
        <v>28</v>
      </c>
      <c r="J114" s="146" t="s">
        <v>1751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6" t="s">
        <v>1753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6" t="s">
        <v>1754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7"/>
        <v>28</v>
      </c>
      <c r="J117" s="146" t="s">
        <v>1755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6" t="s">
        <v>1756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28</v>
      </c>
      <c r="J119" s="146" t="s">
        <v>1757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6" t="s">
        <v>1758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7"/>
        <v>25</v>
      </c>
      <c r="J121" s="146" t="s">
        <v>1759</v>
      </c>
      <c r="K121" s="141">
        <f t="shared" si="8"/>
        <v>3</v>
      </c>
      <c r="L121" s="142">
        <f t="shared" si="9"/>
        <v>0.8928571428571429</v>
      </c>
      <c r="M121" s="70"/>
      <c r="N121" s="70"/>
      <c r="O121" s="70"/>
      <c r="P121" s="70" t="s">
        <v>2284</v>
      </c>
      <c r="Q121" s="70" t="s">
        <v>2284</v>
      </c>
      <c r="R121" s="70"/>
      <c r="S121" s="70"/>
      <c r="T121" s="70"/>
      <c r="U121" s="70"/>
      <c r="V121" s="70" t="s">
        <v>2284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1494</v>
      </c>
      <c r="I122" s="31">
        <f t="shared" si="7"/>
        <v>28</v>
      </c>
      <c r="J122" s="146" t="s">
        <v>1760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7"/>
        <v>28</v>
      </c>
      <c r="J123" s="146" t="s">
        <v>1761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7"/>
        <v>28</v>
      </c>
      <c r="J124" s="146" t="s">
        <v>1762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7"/>
        <v>28</v>
      </c>
      <c r="J125" s="146" t="s">
        <v>1763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7"/>
        <v>28</v>
      </c>
      <c r="J126" s="146" t="s">
        <v>1764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7"/>
        <v>27</v>
      </c>
      <c r="J127" s="146" t="s">
        <v>1765</v>
      </c>
      <c r="K127" s="31">
        <f t="shared" si="8"/>
        <v>1</v>
      </c>
      <c r="L127" s="32">
        <f t="shared" si="9"/>
        <v>0.9642857142857143</v>
      </c>
      <c r="M127" s="70"/>
      <c r="N127" s="70"/>
      <c r="O127" s="70"/>
      <c r="P127" s="70" t="s">
        <v>2284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7"/>
        <v>27</v>
      </c>
      <c r="J128" s="147" t="s">
        <v>1766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2284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7"/>
        <v>28</v>
      </c>
      <c r="J129" s="146" t="s">
        <v>1767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7"/>
        <v>28</v>
      </c>
      <c r="J130" s="146" t="s">
        <v>1768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7"/>
        <v>22</v>
      </c>
      <c r="J131" s="146" t="s">
        <v>1769</v>
      </c>
      <c r="K131" s="31">
        <f t="shared" si="8"/>
        <v>6</v>
      </c>
      <c r="L131" s="32">
        <f t="shared" si="9"/>
        <v>0.7857142857142857</v>
      </c>
      <c r="M131" s="70" t="s">
        <v>2284</v>
      </c>
      <c r="N131" s="70" t="s">
        <v>2284</v>
      </c>
      <c r="O131" s="70" t="s">
        <v>2284</v>
      </c>
      <c r="P131" s="70" t="s">
        <v>2284</v>
      </c>
      <c r="Q131" s="70"/>
      <c r="R131" s="70"/>
      <c r="S131" s="70"/>
      <c r="T131" s="70"/>
      <c r="U131" s="70" t="s">
        <v>2284</v>
      </c>
      <c r="V131" s="70" t="s">
        <v>2284</v>
      </c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7"/>
        <v>28</v>
      </c>
      <c r="J132" s="146" t="s">
        <v>1770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7"/>
        <v>28</v>
      </c>
      <c r="J133" s="146" t="s">
        <v>1771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1415</v>
      </c>
      <c r="C134" s="85" t="s">
        <v>1061</v>
      </c>
      <c r="D134" s="73" t="s">
        <v>1529</v>
      </c>
      <c r="E134" s="85" t="s">
        <v>19</v>
      </c>
      <c r="F134" s="85" t="s">
        <v>1300</v>
      </c>
      <c r="G134" s="85"/>
      <c r="H134" s="85" t="s">
        <v>1416</v>
      </c>
      <c r="I134" s="141">
        <f t="shared" si="7"/>
        <v>28</v>
      </c>
      <c r="J134" s="146" t="s">
        <v>1772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1506</v>
      </c>
      <c r="C135" s="85" t="s">
        <v>1061</v>
      </c>
      <c r="D135" s="73" t="s">
        <v>1507</v>
      </c>
      <c r="E135" s="85" t="s">
        <v>19</v>
      </c>
      <c r="F135" s="85" t="s">
        <v>1300</v>
      </c>
      <c r="G135" s="85"/>
      <c r="H135" s="85" t="s">
        <v>1511</v>
      </c>
      <c r="I135" s="141">
        <f t="shared" si="7"/>
        <v>28</v>
      </c>
      <c r="J135" s="146" t="s">
        <v>1773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1485</v>
      </c>
      <c r="C136" s="30" t="s">
        <v>1061</v>
      </c>
      <c r="D136" t="s">
        <v>1484</v>
      </c>
      <c r="E136" s="85" t="s">
        <v>73</v>
      </c>
      <c r="F136" s="85" t="s">
        <v>28</v>
      </c>
      <c r="G136" s="85"/>
      <c r="H136" s="85" t="s">
        <v>1486</v>
      </c>
      <c r="I136" s="141">
        <f t="shared" si="7"/>
        <v>28</v>
      </c>
      <c r="J136" s="146" t="s">
        <v>1774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1488</v>
      </c>
      <c r="C137" s="30" t="s">
        <v>1061</v>
      </c>
      <c r="D137" t="s">
        <v>1487</v>
      </c>
      <c r="E137" s="85" t="s">
        <v>19</v>
      </c>
      <c r="F137" s="85" t="s">
        <v>28</v>
      </c>
      <c r="G137" s="85"/>
      <c r="H137" s="85" t="s">
        <v>1489</v>
      </c>
      <c r="I137" s="141">
        <f t="shared" si="7"/>
        <v>28</v>
      </c>
      <c r="J137" s="146" t="s">
        <v>1775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1520</v>
      </c>
      <c r="C138" s="85" t="s">
        <v>1061</v>
      </c>
      <c r="D138" s="73" t="s">
        <v>1521</v>
      </c>
      <c r="E138" s="85" t="s">
        <v>19</v>
      </c>
      <c r="F138" s="85" t="s">
        <v>1300</v>
      </c>
      <c r="G138" s="85"/>
      <c r="H138" s="85" t="s">
        <v>1522</v>
      </c>
      <c r="I138" s="141">
        <f t="shared" si="7"/>
        <v>28</v>
      </c>
      <c r="J138" s="146" t="s">
        <v>1776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1523</v>
      </c>
      <c r="C139" s="30" t="s">
        <v>1061</v>
      </c>
      <c r="D139" t="s">
        <v>1524</v>
      </c>
      <c r="E139" s="85" t="s">
        <v>19</v>
      </c>
      <c r="F139" s="85" t="s">
        <v>28</v>
      </c>
      <c r="G139" s="85"/>
      <c r="H139" s="85" t="s">
        <v>1525</v>
      </c>
      <c r="I139" s="141">
        <f t="shared" si="7"/>
        <v>28</v>
      </c>
      <c r="J139" s="146" t="s">
        <v>1777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1648</v>
      </c>
      <c r="C140" s="30" t="s">
        <v>1061</v>
      </c>
      <c r="D140" t="s">
        <v>1649</v>
      </c>
      <c r="E140" s="85" t="s">
        <v>19</v>
      </c>
      <c r="F140" s="85" t="s">
        <v>28</v>
      </c>
      <c r="G140" s="85"/>
      <c r="H140" s="85" t="s">
        <v>2121</v>
      </c>
      <c r="I140" s="141">
        <f t="shared" si="7"/>
        <v>28</v>
      </c>
      <c r="J140" s="87" t="s">
        <v>2189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1563</v>
      </c>
      <c r="C141" s="85" t="s">
        <v>1061</v>
      </c>
      <c r="D141" s="73" t="s">
        <v>1565</v>
      </c>
      <c r="E141" s="85" t="s">
        <v>19</v>
      </c>
      <c r="F141" s="85" t="s">
        <v>1300</v>
      </c>
      <c r="G141" s="85"/>
      <c r="H141" s="85" t="s">
        <v>1567</v>
      </c>
      <c r="I141" s="141">
        <f t="shared" si="7"/>
        <v>28</v>
      </c>
      <c r="J141" s="146" t="s">
        <v>1778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1564</v>
      </c>
      <c r="C142" s="85" t="s">
        <v>1061</v>
      </c>
      <c r="D142" s="73" t="s">
        <v>1566</v>
      </c>
      <c r="E142" s="85" t="s">
        <v>19</v>
      </c>
      <c r="F142" s="85" t="s">
        <v>1300</v>
      </c>
      <c r="G142" s="85"/>
      <c r="H142" s="85" t="s">
        <v>1568</v>
      </c>
      <c r="I142" s="141">
        <f t="shared" si="7"/>
        <v>28</v>
      </c>
      <c r="J142" s="146" t="s">
        <v>1779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2128</v>
      </c>
      <c r="C143" s="85" t="s">
        <v>1061</v>
      </c>
      <c r="D143" s="73" t="s">
        <v>2129</v>
      </c>
      <c r="E143" s="85" t="s">
        <v>19</v>
      </c>
      <c r="F143" s="85" t="s">
        <v>1300</v>
      </c>
      <c r="G143" s="85"/>
      <c r="H143" s="85" t="s">
        <v>2190</v>
      </c>
      <c r="I143" s="141">
        <f t="shared" si="7"/>
        <v>28</v>
      </c>
      <c r="J143" s="146" t="s">
        <v>2191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2218</v>
      </c>
      <c r="C144" s="85" t="s">
        <v>1061</v>
      </c>
      <c r="D144" s="73" t="s">
        <v>2219</v>
      </c>
      <c r="E144" s="85" t="s">
        <v>19</v>
      </c>
      <c r="F144" s="85" t="s">
        <v>1300</v>
      </c>
      <c r="G144" s="85"/>
      <c r="H144" s="85" t="s">
        <v>2220</v>
      </c>
      <c r="I144" s="141">
        <f t="shared" si="7"/>
        <v>28</v>
      </c>
      <c r="J144" s="146" t="s">
        <v>2221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2256</v>
      </c>
      <c r="C145" s="85" t="s">
        <v>1061</v>
      </c>
      <c r="D145" s="73" t="s">
        <v>2257</v>
      </c>
      <c r="E145" s="85" t="s">
        <v>19</v>
      </c>
      <c r="F145" s="30" t="s">
        <v>28</v>
      </c>
      <c r="G145" s="85"/>
      <c r="H145" s="85" t="s">
        <v>2258</v>
      </c>
      <c r="I145" s="141">
        <f t="shared" si="7"/>
        <v>28</v>
      </c>
      <c r="J145" s="146" t="s">
        <v>2259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thickBot="1" x14ac:dyDescent="0.3">
      <c r="A146" s="73" t="s">
        <v>52</v>
      </c>
      <c r="B146" s="85" t="s">
        <v>2317</v>
      </c>
      <c r="C146" s="85" t="s">
        <v>1061</v>
      </c>
      <c r="D146" s="73" t="s">
        <v>2318</v>
      </c>
      <c r="E146" s="85" t="s">
        <v>19</v>
      </c>
      <c r="F146" s="30" t="s">
        <v>28</v>
      </c>
      <c r="G146" s="85"/>
      <c r="H146" s="85" t="s">
        <v>2319</v>
      </c>
      <c r="I146" s="141">
        <f t="shared" si="7"/>
        <v>28</v>
      </c>
      <c r="J146" s="146" t="s">
        <v>2320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thickBot="1" x14ac:dyDescent="0.3">
      <c r="A147" t="s">
        <v>165</v>
      </c>
      <c r="B147" t="s">
        <v>166</v>
      </c>
      <c r="C147" t="s">
        <v>1061</v>
      </c>
      <c r="D147" t="s">
        <v>167</v>
      </c>
      <c r="E147" s="30" t="s">
        <v>19</v>
      </c>
      <c r="F147" s="30" t="s">
        <v>1055</v>
      </c>
      <c r="G147" s="30"/>
      <c r="H147" s="30" t="s">
        <v>1406</v>
      </c>
      <c r="I147" s="31">
        <f t="shared" si="7"/>
        <v>28</v>
      </c>
      <c r="J147" s="146" t="s">
        <v>1780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169</v>
      </c>
      <c r="C148" t="s">
        <v>1061</v>
      </c>
      <c r="D148" t="s">
        <v>170</v>
      </c>
      <c r="E148" s="30" t="s">
        <v>19</v>
      </c>
      <c r="F148" s="30" t="s">
        <v>1055</v>
      </c>
      <c r="G148" s="30"/>
      <c r="H148" s="30" t="s">
        <v>682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171</v>
      </c>
      <c r="C149" t="s">
        <v>1061</v>
      </c>
      <c r="D149" t="s">
        <v>172</v>
      </c>
      <c r="E149" s="30" t="s">
        <v>15</v>
      </c>
      <c r="F149" s="30" t="s">
        <v>28</v>
      </c>
      <c r="G149" s="30"/>
      <c r="H149" s="30" t="s">
        <v>683</v>
      </c>
      <c r="I149" s="31">
        <f t="shared" si="7"/>
        <v>28</v>
      </c>
      <c r="J149" s="146" t="s">
        <v>1781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168</v>
      </c>
      <c r="B150" t="s">
        <v>173</v>
      </c>
      <c r="C150" t="s">
        <v>1061</v>
      </c>
      <c r="D150" t="s">
        <v>174</v>
      </c>
      <c r="E150" s="30" t="s">
        <v>15</v>
      </c>
      <c r="F150" s="30" t="s">
        <v>28</v>
      </c>
      <c r="G150" s="30"/>
      <c r="H150" s="30" t="s">
        <v>684</v>
      </c>
      <c r="I150" s="31">
        <f t="shared" si="7"/>
        <v>28</v>
      </c>
      <c r="J150" s="146" t="s">
        <v>1782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175</v>
      </c>
      <c r="B151" t="s">
        <v>176</v>
      </c>
      <c r="C151" t="s">
        <v>1062</v>
      </c>
      <c r="D151" t="s">
        <v>177</v>
      </c>
      <c r="E151" s="30" t="s">
        <v>19</v>
      </c>
      <c r="F151" s="30" t="s">
        <v>28</v>
      </c>
      <c r="G151" s="30"/>
      <c r="H151" s="30" t="s">
        <v>2207</v>
      </c>
      <c r="I151" s="31">
        <f t="shared" si="7"/>
        <v>28</v>
      </c>
      <c r="J151" s="146" t="s">
        <v>1783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1062</v>
      </c>
      <c r="D152" t="s">
        <v>180</v>
      </c>
      <c r="E152" s="30" t="s">
        <v>19</v>
      </c>
      <c r="F152" s="30" t="s">
        <v>1055</v>
      </c>
      <c r="G152" s="30"/>
      <c r="H152" s="30" t="s">
        <v>1308</v>
      </c>
      <c r="I152" s="31">
        <f t="shared" si="7"/>
        <v>25</v>
      </c>
      <c r="J152" s="146" t="s">
        <v>1784</v>
      </c>
      <c r="K152" s="31">
        <f t="shared" si="8"/>
        <v>3</v>
      </c>
      <c r="L152" s="32">
        <f t="shared" si="9"/>
        <v>0.8928571428571429</v>
      </c>
      <c r="M152" s="70"/>
      <c r="N152" s="70" t="s">
        <v>2284</v>
      </c>
      <c r="O152" s="70"/>
      <c r="P152" s="70"/>
      <c r="Q152" s="70"/>
      <c r="R152" s="70"/>
      <c r="S152" s="70"/>
      <c r="T152" s="70"/>
      <c r="U152" s="70" t="s">
        <v>2284</v>
      </c>
      <c r="V152" s="70" t="s">
        <v>2284</v>
      </c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thickBot="1" x14ac:dyDescent="0.3">
      <c r="A153" t="s">
        <v>178</v>
      </c>
      <c r="B153" t="s">
        <v>936</v>
      </c>
      <c r="C153" t="s">
        <v>1062</v>
      </c>
      <c r="D153" t="s">
        <v>181</v>
      </c>
      <c r="E153" s="30" t="s">
        <v>15</v>
      </c>
      <c r="F153" s="30" t="s">
        <v>20</v>
      </c>
      <c r="G153" s="30"/>
      <c r="H153" s="30" t="s">
        <v>685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thickBot="1" x14ac:dyDescent="0.3">
      <c r="A154" s="69" t="s">
        <v>178</v>
      </c>
      <c r="B154" t="s">
        <v>1226</v>
      </c>
      <c r="C154" t="s">
        <v>1062</v>
      </c>
      <c r="D154" t="s">
        <v>1227</v>
      </c>
      <c r="E154" t="s">
        <v>19</v>
      </c>
      <c r="F154" t="s">
        <v>28</v>
      </c>
      <c r="G154"/>
      <c r="H154" s="30" t="s">
        <v>1237</v>
      </c>
      <c r="I154" s="31">
        <f t="shared" si="7"/>
        <v>28</v>
      </c>
      <c r="J154" s="146" t="s">
        <v>1785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thickBot="1" x14ac:dyDescent="0.3">
      <c r="A155" s="73" t="s">
        <v>184</v>
      </c>
      <c r="B155" s="73" t="s">
        <v>182</v>
      </c>
      <c r="C155" s="90" t="s">
        <v>1061</v>
      </c>
      <c r="D155" s="73" t="s">
        <v>183</v>
      </c>
      <c r="E155" s="91" t="s">
        <v>19</v>
      </c>
      <c r="F155" s="85" t="s">
        <v>1300</v>
      </c>
      <c r="G155" s="85"/>
      <c r="H155" s="85" t="s">
        <v>686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2284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thickBot="1" x14ac:dyDescent="0.3">
      <c r="A156" t="s">
        <v>184</v>
      </c>
      <c r="B156" t="s">
        <v>937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687</v>
      </c>
      <c r="I156" s="31">
        <f t="shared" si="7"/>
        <v>28</v>
      </c>
      <c r="J156" s="146" t="s">
        <v>1786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thickBot="1" x14ac:dyDescent="0.3">
      <c r="A157" t="s">
        <v>184</v>
      </c>
      <c r="B157" t="s">
        <v>938</v>
      </c>
      <c r="C157" t="s">
        <v>1061</v>
      </c>
      <c r="D157" t="s">
        <v>185</v>
      </c>
      <c r="E157" s="30" t="s">
        <v>73</v>
      </c>
      <c r="F157" s="30" t="s">
        <v>1055</v>
      </c>
      <c r="G157" s="30" t="s">
        <v>1248</v>
      </c>
      <c r="H157" s="30" t="s">
        <v>688</v>
      </c>
      <c r="I157" s="31">
        <f t="shared" si="7"/>
        <v>28</v>
      </c>
      <c r="J157" s="146" t="s">
        <v>1787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thickBot="1" x14ac:dyDescent="0.3">
      <c r="A158" s="73" t="s">
        <v>184</v>
      </c>
      <c r="B158" s="73" t="s">
        <v>939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1214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customHeight="1" thickBot="1" x14ac:dyDescent="0.3">
      <c r="A159" s="73" t="s">
        <v>184</v>
      </c>
      <c r="B159" s="73" t="s">
        <v>941</v>
      </c>
      <c r="C159" s="90" t="s">
        <v>1061</v>
      </c>
      <c r="D159" s="73" t="s">
        <v>940</v>
      </c>
      <c r="E159" s="91" t="s">
        <v>73</v>
      </c>
      <c r="F159" s="85" t="s">
        <v>1300</v>
      </c>
      <c r="G159" s="85" t="s">
        <v>1248</v>
      </c>
      <c r="H159" s="85" t="s">
        <v>1215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thickBot="1" x14ac:dyDescent="0.3">
      <c r="A160" t="s">
        <v>184</v>
      </c>
      <c r="B160" t="s">
        <v>1133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1141</v>
      </c>
      <c r="I160" s="31">
        <f t="shared" si="7"/>
        <v>28</v>
      </c>
      <c r="J160" s="146" t="s">
        <v>1788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thickBot="1" x14ac:dyDescent="0.3">
      <c r="A161" t="s">
        <v>184</v>
      </c>
      <c r="B161" t="s">
        <v>1134</v>
      </c>
      <c r="C161" t="s">
        <v>1061</v>
      </c>
      <c r="D161" t="s">
        <v>1128</v>
      </c>
      <c r="E161" s="30" t="s">
        <v>73</v>
      </c>
      <c r="F161" s="30" t="s">
        <v>1055</v>
      </c>
      <c r="G161" s="30" t="s">
        <v>1248</v>
      </c>
      <c r="H161" s="30" t="s">
        <v>1142</v>
      </c>
      <c r="I161" s="31">
        <f t="shared" si="7"/>
        <v>28</v>
      </c>
      <c r="J161" s="146" t="s">
        <v>1789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1554</v>
      </c>
      <c r="C162" s="73" t="s">
        <v>1061</v>
      </c>
      <c r="D162" s="73" t="s">
        <v>1555</v>
      </c>
      <c r="E162" s="85" t="s">
        <v>46</v>
      </c>
      <c r="F162" s="85" t="s">
        <v>1300</v>
      </c>
      <c r="G162" s="85"/>
      <c r="H162" s="85" t="s">
        <v>1556</v>
      </c>
      <c r="I162" s="31">
        <f t="shared" si="7"/>
        <v>28</v>
      </c>
      <c r="J162" s="146" t="s">
        <v>1790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184</v>
      </c>
      <c r="B163" s="73" t="s">
        <v>2122</v>
      </c>
      <c r="C163" s="73" t="s">
        <v>1061</v>
      </c>
      <c r="D163" s="73" t="s">
        <v>2123</v>
      </c>
      <c r="E163" s="85" t="s">
        <v>46</v>
      </c>
      <c r="F163" s="85" t="s">
        <v>1300</v>
      </c>
      <c r="G163" s="85"/>
      <c r="H163" s="85" t="s">
        <v>2126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1328</v>
      </c>
      <c r="B164" s="73" t="s">
        <v>1316</v>
      </c>
      <c r="C164" s="73" t="s">
        <v>1062</v>
      </c>
      <c r="D164" s="73" t="s">
        <v>1317</v>
      </c>
      <c r="E164" s="85" t="s">
        <v>19</v>
      </c>
      <c r="F164" s="85" t="s">
        <v>1300</v>
      </c>
      <c r="G164" s="85"/>
      <c r="H164" s="85" t="s">
        <v>2208</v>
      </c>
      <c r="I164" s="141">
        <f t="shared" si="7"/>
        <v>28</v>
      </c>
      <c r="J164" s="146" t="s">
        <v>1791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thickBot="1" x14ac:dyDescent="0.3">
      <c r="A165" s="73" t="s">
        <v>1328</v>
      </c>
      <c r="B165" s="73" t="s">
        <v>1332</v>
      </c>
      <c r="C165" s="73" t="s">
        <v>1062</v>
      </c>
      <c r="D165" s="73" t="s">
        <v>1333</v>
      </c>
      <c r="E165" s="85" t="s">
        <v>15</v>
      </c>
      <c r="F165" s="85" t="s">
        <v>1300</v>
      </c>
      <c r="G165" s="85"/>
      <c r="H165" s="85" t="s">
        <v>1495</v>
      </c>
      <c r="I165" s="141">
        <f t="shared" ref="I165:I244" si="10">COUNTIF(M165:AN165,"")</f>
        <v>28</v>
      </c>
      <c r="J165" s="146" t="s">
        <v>1792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thickBot="1" x14ac:dyDescent="0.3">
      <c r="A166" s="73" t="s">
        <v>1328</v>
      </c>
      <c r="B166" s="73" t="s">
        <v>2311</v>
      </c>
      <c r="C166" s="73" t="s">
        <v>1062</v>
      </c>
      <c r="D166" s="73" t="s">
        <v>2312</v>
      </c>
      <c r="E166" s="85" t="s">
        <v>15</v>
      </c>
      <c r="F166" s="85" t="s">
        <v>1300</v>
      </c>
      <c r="G166" s="85"/>
      <c r="H166" s="85" t="s">
        <v>2313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942</v>
      </c>
      <c r="C167" t="s">
        <v>1062</v>
      </c>
      <c r="D167" t="s">
        <v>187</v>
      </c>
      <c r="E167" s="30" t="s">
        <v>15</v>
      </c>
      <c r="F167" s="30" t="s">
        <v>28</v>
      </c>
      <c r="G167" s="30"/>
      <c r="H167" s="30" t="s">
        <v>689</v>
      </c>
      <c r="I167" s="31">
        <f t="shared" si="10"/>
        <v>27</v>
      </c>
      <c r="J167" s="146" t="s">
        <v>1793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2284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943</v>
      </c>
      <c r="C168" t="s">
        <v>1062</v>
      </c>
      <c r="D168" t="s">
        <v>188</v>
      </c>
      <c r="E168" s="30" t="s">
        <v>15</v>
      </c>
      <c r="F168" s="30" t="s">
        <v>28</v>
      </c>
      <c r="G168" s="30"/>
      <c r="H168" s="30" t="s">
        <v>690</v>
      </c>
      <c r="I168" s="31">
        <f t="shared" si="10"/>
        <v>27</v>
      </c>
      <c r="J168" s="146" t="s">
        <v>1794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2284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944</v>
      </c>
      <c r="C169" t="s">
        <v>1062</v>
      </c>
      <c r="D169" t="s">
        <v>189</v>
      </c>
      <c r="E169" s="30" t="s">
        <v>19</v>
      </c>
      <c r="F169" s="30" t="s">
        <v>28</v>
      </c>
      <c r="G169" s="30"/>
      <c r="H169" s="30" t="s">
        <v>1309</v>
      </c>
      <c r="I169" s="31">
        <f t="shared" si="10"/>
        <v>27</v>
      </c>
      <c r="J169" s="146" t="s">
        <v>1795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2284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945</v>
      </c>
      <c r="C170" t="s">
        <v>1062</v>
      </c>
      <c r="D170" t="s">
        <v>190</v>
      </c>
      <c r="E170" s="30" t="s">
        <v>15</v>
      </c>
      <c r="F170" s="30" t="s">
        <v>28</v>
      </c>
      <c r="G170" s="30"/>
      <c r="H170" s="30" t="s">
        <v>691</v>
      </c>
      <c r="I170" s="31">
        <f t="shared" si="10"/>
        <v>27</v>
      </c>
      <c r="J170" s="146" t="s">
        <v>1796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2284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1546</v>
      </c>
      <c r="C171" t="s">
        <v>1062</v>
      </c>
      <c r="D171" t="s">
        <v>977</v>
      </c>
      <c r="E171" s="30" t="s">
        <v>46</v>
      </c>
      <c r="F171" s="30" t="s">
        <v>28</v>
      </c>
      <c r="G171" s="30"/>
      <c r="H171" s="30" t="s">
        <v>1549</v>
      </c>
      <c r="I171" s="31">
        <f t="shared" si="10"/>
        <v>20</v>
      </c>
      <c r="J171" s="146" t="s">
        <v>1797</v>
      </c>
      <c r="K171" s="31">
        <f t="shared" si="11"/>
        <v>8</v>
      </c>
      <c r="L171" s="32">
        <f t="shared" si="12"/>
        <v>0.7142857142857143</v>
      </c>
      <c r="M171" s="70" t="s">
        <v>2284</v>
      </c>
      <c r="N171" s="70" t="s">
        <v>2284</v>
      </c>
      <c r="O171" s="70" t="s">
        <v>2284</v>
      </c>
      <c r="P171" s="70" t="s">
        <v>2284</v>
      </c>
      <c r="Q171" s="70" t="s">
        <v>2284</v>
      </c>
      <c r="R171" s="70" t="s">
        <v>2284</v>
      </c>
      <c r="S171" s="70"/>
      <c r="T171" s="70"/>
      <c r="U171" s="70" t="s">
        <v>2284</v>
      </c>
      <c r="V171" s="70" t="s">
        <v>2284</v>
      </c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1547</v>
      </c>
      <c r="C172" t="s">
        <v>1062</v>
      </c>
      <c r="D172" t="s">
        <v>1548</v>
      </c>
      <c r="E172" s="30" t="s">
        <v>15</v>
      </c>
      <c r="F172" s="30" t="s">
        <v>28</v>
      </c>
      <c r="G172" s="30"/>
      <c r="H172" s="30" t="s">
        <v>1550</v>
      </c>
      <c r="I172" s="31">
        <f t="shared" si="10"/>
        <v>20</v>
      </c>
      <c r="J172" s="146" t="s">
        <v>1798</v>
      </c>
      <c r="K172" s="31">
        <f t="shared" si="11"/>
        <v>8</v>
      </c>
      <c r="L172" s="32">
        <f t="shared" si="12"/>
        <v>0.7142857142857143</v>
      </c>
      <c r="M172" s="70" t="s">
        <v>2284</v>
      </c>
      <c r="N172" s="70" t="s">
        <v>2284</v>
      </c>
      <c r="O172" s="70" t="s">
        <v>2284</v>
      </c>
      <c r="P172" s="70" t="s">
        <v>2284</v>
      </c>
      <c r="Q172" s="70" t="s">
        <v>2284</v>
      </c>
      <c r="R172" s="70" t="s">
        <v>2284</v>
      </c>
      <c r="S172" s="70"/>
      <c r="T172" s="70"/>
      <c r="U172" s="70" t="s">
        <v>2284</v>
      </c>
      <c r="V172" s="70" t="s">
        <v>2284</v>
      </c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thickBot="1" x14ac:dyDescent="0.3">
      <c r="A173" t="s">
        <v>191</v>
      </c>
      <c r="B173" t="s">
        <v>194</v>
      </c>
      <c r="C173" t="s">
        <v>1062</v>
      </c>
      <c r="D173" t="s">
        <v>195</v>
      </c>
      <c r="E173" s="30" t="s">
        <v>19</v>
      </c>
      <c r="F173" s="30" t="s">
        <v>1055</v>
      </c>
      <c r="G173" s="30"/>
      <c r="H173" s="30" t="s">
        <v>1442</v>
      </c>
      <c r="I173" s="31">
        <f t="shared" si="10"/>
        <v>28</v>
      </c>
      <c r="J173" s="146" t="s">
        <v>1799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196</v>
      </c>
      <c r="B174" t="s">
        <v>197</v>
      </c>
      <c r="C174" t="s">
        <v>1062</v>
      </c>
      <c r="D174" t="s">
        <v>198</v>
      </c>
      <c r="E174" s="30" t="s">
        <v>19</v>
      </c>
      <c r="F174" s="30" t="s">
        <v>1055</v>
      </c>
      <c r="G174" s="30" t="s">
        <v>458</v>
      </c>
      <c r="H174" s="30" t="s">
        <v>692</v>
      </c>
      <c r="I174" s="31">
        <f t="shared" si="10"/>
        <v>27</v>
      </c>
      <c r="J174" s="146" t="s">
        <v>1800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2284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196</v>
      </c>
      <c r="B175" t="s">
        <v>200</v>
      </c>
      <c r="C175" t="s">
        <v>1062</v>
      </c>
      <c r="D175" t="s">
        <v>201</v>
      </c>
      <c r="E175" s="30" t="s">
        <v>15</v>
      </c>
      <c r="F175" s="30" t="s">
        <v>1055</v>
      </c>
      <c r="G175" s="30" t="s">
        <v>458</v>
      </c>
      <c r="H175" s="30" t="s">
        <v>693</v>
      </c>
      <c r="I175" s="31">
        <f t="shared" si="10"/>
        <v>28</v>
      </c>
      <c r="J175" s="146" t="s">
        <v>1801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thickBot="1" x14ac:dyDescent="0.3">
      <c r="A176" t="s">
        <v>191</v>
      </c>
      <c r="B176" t="s">
        <v>202</v>
      </c>
      <c r="C176" t="s">
        <v>1062</v>
      </c>
      <c r="D176" t="s">
        <v>203</v>
      </c>
      <c r="E176" s="30" t="s">
        <v>19</v>
      </c>
      <c r="F176" s="30" t="s">
        <v>28</v>
      </c>
      <c r="G176" s="30"/>
      <c r="H176" s="30" t="s">
        <v>694</v>
      </c>
      <c r="I176" s="31">
        <f t="shared" si="10"/>
        <v>28</v>
      </c>
      <c r="J176" s="146" t="s">
        <v>1802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204</v>
      </c>
      <c r="C177" t="s">
        <v>1062</v>
      </c>
      <c r="D177" t="s">
        <v>205</v>
      </c>
      <c r="E177" s="30" t="s">
        <v>19</v>
      </c>
      <c r="F177" s="30" t="s">
        <v>28</v>
      </c>
      <c r="G177" s="30"/>
      <c r="H177" s="30" t="s">
        <v>695</v>
      </c>
      <c r="I177" s="31">
        <f t="shared" si="10"/>
        <v>28</v>
      </c>
      <c r="J177" s="146" t="s">
        <v>1803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thickBot="1" x14ac:dyDescent="0.3">
      <c r="A178" s="73" t="s">
        <v>191</v>
      </c>
      <c r="B178" s="73" t="s">
        <v>206</v>
      </c>
      <c r="C178" s="73" t="s">
        <v>1062</v>
      </c>
      <c r="D178" s="73" t="s">
        <v>207</v>
      </c>
      <c r="E178" s="85" t="s">
        <v>19</v>
      </c>
      <c r="F178" s="85" t="s">
        <v>1300</v>
      </c>
      <c r="G178" s="85"/>
      <c r="H178" s="85" t="s">
        <v>1428</v>
      </c>
      <c r="I178" s="141">
        <f t="shared" si="10"/>
        <v>27</v>
      </c>
      <c r="J178" s="146" t="s">
        <v>1804</v>
      </c>
      <c r="K178" s="141">
        <f t="shared" si="11"/>
        <v>1</v>
      </c>
      <c r="L178" s="142">
        <f t="shared" si="12"/>
        <v>0.9642857142857143</v>
      </c>
      <c r="M178" s="70" t="s">
        <v>2284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thickBot="1" x14ac:dyDescent="0.3">
      <c r="A179" t="s">
        <v>191</v>
      </c>
      <c r="B179" t="s">
        <v>947</v>
      </c>
      <c r="C179" t="s">
        <v>1062</v>
      </c>
      <c r="D179" t="s">
        <v>192</v>
      </c>
      <c r="E179" s="30" t="s">
        <v>15</v>
      </c>
      <c r="F179" s="30" t="s">
        <v>1055</v>
      </c>
      <c r="G179" s="30" t="s">
        <v>458</v>
      </c>
      <c r="H179" s="30" t="s">
        <v>696</v>
      </c>
      <c r="I179" s="31">
        <f t="shared" si="10"/>
        <v>28</v>
      </c>
      <c r="J179" s="146" t="s">
        <v>1805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193</v>
      </c>
      <c r="C180" t="s">
        <v>1062</v>
      </c>
      <c r="D180" t="s">
        <v>946</v>
      </c>
      <c r="E180" s="30" t="s">
        <v>46</v>
      </c>
      <c r="F180" s="30" t="s">
        <v>20</v>
      </c>
      <c r="G180" s="30"/>
      <c r="H180" s="30" t="s">
        <v>697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208</v>
      </c>
      <c r="C181" t="s">
        <v>1062</v>
      </c>
      <c r="D181" t="s">
        <v>209</v>
      </c>
      <c r="E181" s="30" t="s">
        <v>73</v>
      </c>
      <c r="F181" s="30" t="s">
        <v>28</v>
      </c>
      <c r="G181" s="30"/>
      <c r="H181" s="30" t="s">
        <v>698</v>
      </c>
      <c r="I181" s="31">
        <f t="shared" si="10"/>
        <v>28</v>
      </c>
      <c r="J181" s="146" t="s">
        <v>1806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210</v>
      </c>
      <c r="C182" t="s">
        <v>1062</v>
      </c>
      <c r="D182" t="s">
        <v>209</v>
      </c>
      <c r="E182" s="30" t="s">
        <v>73</v>
      </c>
      <c r="F182" s="30" t="s">
        <v>28</v>
      </c>
      <c r="G182" s="30"/>
      <c r="H182" s="30" t="s">
        <v>699</v>
      </c>
      <c r="I182" s="31">
        <f t="shared" si="10"/>
        <v>28</v>
      </c>
      <c r="J182" s="146" t="s">
        <v>1807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t="s">
        <v>211</v>
      </c>
      <c r="C183" t="s">
        <v>1062</v>
      </c>
      <c r="D183" t="s">
        <v>212</v>
      </c>
      <c r="E183" s="30" t="s">
        <v>73</v>
      </c>
      <c r="F183" s="30" t="s">
        <v>28</v>
      </c>
      <c r="G183" s="30"/>
      <c r="H183" s="30" t="s">
        <v>672</v>
      </c>
      <c r="I183" s="31">
        <f t="shared" si="10"/>
        <v>28</v>
      </c>
      <c r="J183" s="146" t="s">
        <v>1808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t="s">
        <v>213</v>
      </c>
      <c r="C184" t="s">
        <v>1062</v>
      </c>
      <c r="D184" t="s">
        <v>212</v>
      </c>
      <c r="E184" s="30" t="s">
        <v>73</v>
      </c>
      <c r="F184" s="30" t="s">
        <v>28</v>
      </c>
      <c r="G184" s="30"/>
      <c r="H184" s="30" t="s">
        <v>673</v>
      </c>
      <c r="I184" s="31">
        <f t="shared" si="10"/>
        <v>28</v>
      </c>
      <c r="J184" s="146" t="s">
        <v>1809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1169</v>
      </c>
      <c r="C185" s="30" t="s">
        <v>1062</v>
      </c>
      <c r="D185" t="s">
        <v>1152</v>
      </c>
      <c r="E185" s="30" t="s">
        <v>1113</v>
      </c>
      <c r="F185" s="30" t="s">
        <v>28</v>
      </c>
      <c r="G185" s="30"/>
      <c r="H185" s="30" t="s">
        <v>1153</v>
      </c>
      <c r="I185" s="31">
        <f t="shared" si="10"/>
        <v>28</v>
      </c>
      <c r="J185" s="146" t="s">
        <v>1810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1168</v>
      </c>
      <c r="C186" s="30" t="s">
        <v>1062</v>
      </c>
      <c r="D186" t="s">
        <v>1152</v>
      </c>
      <c r="E186" s="30" t="s">
        <v>1113</v>
      </c>
      <c r="F186" s="30" t="s">
        <v>28</v>
      </c>
      <c r="G186" s="30"/>
      <c r="H186" s="30" t="s">
        <v>1154</v>
      </c>
      <c r="I186" s="31">
        <f t="shared" si="10"/>
        <v>28</v>
      </c>
      <c r="J186" s="146" t="s">
        <v>1811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1171</v>
      </c>
      <c r="C187" s="30" t="s">
        <v>1062</v>
      </c>
      <c r="D187" t="s">
        <v>1149</v>
      </c>
      <c r="E187" s="30" t="s">
        <v>73</v>
      </c>
      <c r="F187" s="30" t="s">
        <v>28</v>
      </c>
      <c r="G187" s="30"/>
      <c r="H187" s="30" t="s">
        <v>1150</v>
      </c>
      <c r="I187" s="31">
        <f t="shared" si="10"/>
        <v>26</v>
      </c>
      <c r="J187" s="146" t="s">
        <v>1812</v>
      </c>
      <c r="K187" s="31">
        <f t="shared" si="11"/>
        <v>2</v>
      </c>
      <c r="L187" s="32">
        <f t="shared" si="12"/>
        <v>0.9285714285714286</v>
      </c>
      <c r="M187" s="70"/>
      <c r="N187" s="70"/>
      <c r="O187" s="70"/>
      <c r="P187" s="70"/>
      <c r="Q187" s="70"/>
      <c r="R187" s="70"/>
      <c r="S187" s="70"/>
      <c r="T187" s="70"/>
      <c r="U187" s="70" t="s">
        <v>2284</v>
      </c>
      <c r="V187" s="70" t="s">
        <v>2284</v>
      </c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1172</v>
      </c>
      <c r="C188" s="30" t="s">
        <v>1062</v>
      </c>
      <c r="D188" t="s">
        <v>1149</v>
      </c>
      <c r="E188" s="30" t="s">
        <v>73</v>
      </c>
      <c r="F188" s="30" t="s">
        <v>28</v>
      </c>
      <c r="G188" s="30"/>
      <c r="H188" s="30" t="s">
        <v>1151</v>
      </c>
      <c r="I188" s="31">
        <f t="shared" si="10"/>
        <v>26</v>
      </c>
      <c r="J188" s="146" t="s">
        <v>1813</v>
      </c>
      <c r="K188" s="31">
        <f t="shared" si="11"/>
        <v>2</v>
      </c>
      <c r="L188" s="32">
        <f t="shared" si="12"/>
        <v>0.9285714285714286</v>
      </c>
      <c r="M188" s="70"/>
      <c r="N188" s="70"/>
      <c r="O188" s="70"/>
      <c r="P188" s="70"/>
      <c r="Q188" s="70"/>
      <c r="R188" s="70"/>
      <c r="S188" s="70"/>
      <c r="T188" s="70"/>
      <c r="U188" s="70" t="s">
        <v>2284</v>
      </c>
      <c r="V188" s="70" t="s">
        <v>2284</v>
      </c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thickBot="1" x14ac:dyDescent="0.3">
      <c r="A189" t="s">
        <v>191</v>
      </c>
      <c r="B189" s="30" t="s">
        <v>1512</v>
      </c>
      <c r="C189" s="30" t="s">
        <v>1062</v>
      </c>
      <c r="D189" t="s">
        <v>1513</v>
      </c>
      <c r="E189" s="30" t="s">
        <v>19</v>
      </c>
      <c r="F189" s="30" t="s">
        <v>28</v>
      </c>
      <c r="G189" s="30"/>
      <c r="H189" s="30" t="s">
        <v>1514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1551</v>
      </c>
      <c r="C190" s="85" t="s">
        <v>1062</v>
      </c>
      <c r="D190" s="73" t="s">
        <v>1552</v>
      </c>
      <c r="E190" s="85" t="s">
        <v>19</v>
      </c>
      <c r="F190" s="85" t="s">
        <v>1300</v>
      </c>
      <c r="G190" s="85"/>
      <c r="H190" s="85" t="s">
        <v>1553</v>
      </c>
      <c r="I190" s="31">
        <f t="shared" si="10"/>
        <v>28</v>
      </c>
      <c r="J190" s="146" t="s">
        <v>1814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A191" s="73" t="s">
        <v>191</v>
      </c>
      <c r="B191" s="85" t="s">
        <v>2314</v>
      </c>
      <c r="C191" s="85" t="s">
        <v>1062</v>
      </c>
      <c r="D191" s="73" t="s">
        <v>2315</v>
      </c>
      <c r="E191" s="85" t="s">
        <v>1113</v>
      </c>
      <c r="F191" s="85" t="s">
        <v>1300</v>
      </c>
      <c r="G191" s="85"/>
      <c r="H191" s="85" t="s">
        <v>2316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thickBot="1" x14ac:dyDescent="0.3">
      <c r="A192" s="73" t="s">
        <v>191</v>
      </c>
      <c r="B192" s="85" t="s">
        <v>2166</v>
      </c>
      <c r="C192" s="85" t="s">
        <v>1062</v>
      </c>
      <c r="D192" s="73" t="s">
        <v>2167</v>
      </c>
      <c r="E192" s="85" t="s">
        <v>19</v>
      </c>
      <c r="F192" s="85" t="s">
        <v>1300</v>
      </c>
      <c r="G192" s="85"/>
      <c r="H192" s="85" t="s">
        <v>2168</v>
      </c>
      <c r="I192" s="31">
        <f t="shared" si="10"/>
        <v>28</v>
      </c>
      <c r="J192" s="146" t="s">
        <v>2169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thickBot="1" x14ac:dyDescent="0.3">
      <c r="A193" s="73" t="s">
        <v>191</v>
      </c>
      <c r="B193" s="85" t="s">
        <v>2232</v>
      </c>
      <c r="C193" s="85" t="s">
        <v>1062</v>
      </c>
      <c r="D193" s="73" t="s">
        <v>2233</v>
      </c>
      <c r="E193" s="85" t="s">
        <v>19</v>
      </c>
      <c r="F193" s="85" t="s">
        <v>1300</v>
      </c>
      <c r="G193" s="85"/>
      <c r="H193" s="85" t="s">
        <v>2234</v>
      </c>
      <c r="I193" s="31">
        <f t="shared" si="10"/>
        <v>28</v>
      </c>
      <c r="J193" s="146" t="s">
        <v>2169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thickBot="1" x14ac:dyDescent="0.3">
      <c r="B194" s="85" t="s">
        <v>2285</v>
      </c>
      <c r="C194" s="85" t="s">
        <v>1062</v>
      </c>
      <c r="D194" s="73" t="s">
        <v>1533</v>
      </c>
      <c r="E194" s="85" t="s">
        <v>1113</v>
      </c>
      <c r="F194" s="85" t="s">
        <v>1534</v>
      </c>
      <c r="G194" s="85"/>
      <c r="H194" s="85" t="s">
        <v>1535</v>
      </c>
      <c r="I194" s="31">
        <f t="shared" si="10"/>
        <v>28</v>
      </c>
      <c r="J194" s="146" t="s">
        <v>1815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thickBot="1" x14ac:dyDescent="0.3">
      <c r="A195" t="s">
        <v>214</v>
      </c>
      <c r="B195" t="s">
        <v>948</v>
      </c>
      <c r="C195" t="s">
        <v>1062</v>
      </c>
      <c r="D195" t="s">
        <v>215</v>
      </c>
      <c r="E195" s="30" t="s">
        <v>15</v>
      </c>
      <c r="F195" s="30" t="s">
        <v>28</v>
      </c>
      <c r="G195" s="30"/>
      <c r="H195" s="30" t="s">
        <v>701</v>
      </c>
      <c r="I195" s="31">
        <f t="shared" si="10"/>
        <v>27</v>
      </c>
      <c r="J195" s="146" t="s">
        <v>1816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2284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thickBot="1" x14ac:dyDescent="0.3">
      <c r="A196" t="s">
        <v>214</v>
      </c>
      <c r="B196" t="s">
        <v>949</v>
      </c>
      <c r="C196" t="s">
        <v>1062</v>
      </c>
      <c r="D196" t="s">
        <v>216</v>
      </c>
      <c r="E196" s="30" t="s">
        <v>15</v>
      </c>
      <c r="F196" s="30" t="s">
        <v>28</v>
      </c>
      <c r="G196" s="30"/>
      <c r="H196" s="30" t="s">
        <v>702</v>
      </c>
      <c r="I196" s="31">
        <f t="shared" si="10"/>
        <v>27</v>
      </c>
      <c r="J196" s="146" t="s">
        <v>1817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2284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950</v>
      </c>
      <c r="C197" s="136" t="s">
        <v>1062</v>
      </c>
      <c r="D197" s="136" t="s">
        <v>218</v>
      </c>
      <c r="E197" s="86" t="s">
        <v>19</v>
      </c>
      <c r="F197" s="86" t="s">
        <v>28</v>
      </c>
      <c r="G197" s="86"/>
      <c r="H197" s="86" t="s">
        <v>703</v>
      </c>
      <c r="I197" s="137">
        <f t="shared" si="10"/>
        <v>21</v>
      </c>
      <c r="J197" s="87"/>
      <c r="K197" s="137">
        <f t="shared" si="11"/>
        <v>7</v>
      </c>
      <c r="L197" s="138">
        <f t="shared" si="12"/>
        <v>0.75</v>
      </c>
      <c r="M197" s="139" t="s">
        <v>2284</v>
      </c>
      <c r="N197" s="139" t="s">
        <v>2284</v>
      </c>
      <c r="O197" s="139" t="s">
        <v>2284</v>
      </c>
      <c r="P197" s="139" t="s">
        <v>2284</v>
      </c>
      <c r="Q197" s="139" t="s">
        <v>2284</v>
      </c>
      <c r="R197" s="139"/>
      <c r="S197" s="139"/>
      <c r="T197" s="139"/>
      <c r="U197" s="139" t="s">
        <v>2284</v>
      </c>
      <c r="V197" s="139" t="s">
        <v>2284</v>
      </c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1061</v>
      </c>
      <c r="D198" s="73" t="s">
        <v>231</v>
      </c>
      <c r="E198" s="85" t="s">
        <v>15</v>
      </c>
      <c r="F198" s="85" t="s">
        <v>1300</v>
      </c>
      <c r="G198" s="85"/>
      <c r="H198" s="85" t="s">
        <v>1390</v>
      </c>
      <c r="I198" s="141">
        <f t="shared" si="10"/>
        <v>20</v>
      </c>
      <c r="J198" s="146" t="s">
        <v>1818</v>
      </c>
      <c r="K198" s="141">
        <f t="shared" si="11"/>
        <v>8</v>
      </c>
      <c r="L198" s="142">
        <f t="shared" si="12"/>
        <v>0.7142857142857143</v>
      </c>
      <c r="M198" s="70" t="s">
        <v>2284</v>
      </c>
      <c r="N198" s="70" t="s">
        <v>2284</v>
      </c>
      <c r="O198" s="70" t="s">
        <v>2284</v>
      </c>
      <c r="P198" s="70" t="s">
        <v>2284</v>
      </c>
      <c r="Q198" s="70" t="s">
        <v>2284</v>
      </c>
      <c r="R198" s="70" t="s">
        <v>2284</v>
      </c>
      <c r="S198" s="70"/>
      <c r="T198" s="70"/>
      <c r="U198" s="70" t="s">
        <v>2284</v>
      </c>
      <c r="V198" s="70" t="s">
        <v>2284</v>
      </c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thickBot="1" x14ac:dyDescent="0.3">
      <c r="A199" s="73" t="s">
        <v>168</v>
      </c>
      <c r="B199" s="73" t="s">
        <v>232</v>
      </c>
      <c r="C199" s="73" t="s">
        <v>1061</v>
      </c>
      <c r="D199" s="73" t="s">
        <v>233</v>
      </c>
      <c r="E199" s="85" t="s">
        <v>19</v>
      </c>
      <c r="F199" s="85" t="s">
        <v>1300</v>
      </c>
      <c r="G199" s="85"/>
      <c r="H199" s="85" t="s">
        <v>1425</v>
      </c>
      <c r="I199" s="141">
        <f t="shared" si="10"/>
        <v>28</v>
      </c>
      <c r="J199" s="146" t="s">
        <v>1819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thickBot="1" x14ac:dyDescent="0.3">
      <c r="A200" t="s">
        <v>219</v>
      </c>
      <c r="B200" t="s">
        <v>234</v>
      </c>
      <c r="C200" t="s">
        <v>1061</v>
      </c>
      <c r="D200" t="s">
        <v>235</v>
      </c>
      <c r="E200" s="30" t="s">
        <v>19</v>
      </c>
      <c r="F200" s="30" t="s">
        <v>1055</v>
      </c>
      <c r="G200" s="30"/>
      <c r="H200" s="30" t="s">
        <v>1407</v>
      </c>
      <c r="I200" s="31">
        <f t="shared" si="10"/>
        <v>28</v>
      </c>
      <c r="J200" s="146" t="s">
        <v>1820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1061</v>
      </c>
      <c r="D201" t="s">
        <v>237</v>
      </c>
      <c r="E201" s="30" t="s">
        <v>19</v>
      </c>
      <c r="F201" s="30" t="s">
        <v>1055</v>
      </c>
      <c r="G201" s="30"/>
      <c r="H201" s="30" t="s">
        <v>1433</v>
      </c>
      <c r="I201" s="31">
        <f t="shared" si="10"/>
        <v>20</v>
      </c>
      <c r="J201" s="146" t="s">
        <v>1821</v>
      </c>
      <c r="K201" s="31">
        <f t="shared" si="11"/>
        <v>8</v>
      </c>
      <c r="L201" s="32">
        <f t="shared" si="12"/>
        <v>0.7142857142857143</v>
      </c>
      <c r="M201" s="70" t="s">
        <v>2284</v>
      </c>
      <c r="N201" s="70" t="s">
        <v>2284</v>
      </c>
      <c r="O201" s="70" t="s">
        <v>2284</v>
      </c>
      <c r="P201" s="70" t="s">
        <v>2284</v>
      </c>
      <c r="Q201" s="70" t="s">
        <v>2284</v>
      </c>
      <c r="R201" s="70" t="s">
        <v>2284</v>
      </c>
      <c r="S201" s="70"/>
      <c r="T201" s="70"/>
      <c r="U201" s="70" t="s">
        <v>2284</v>
      </c>
      <c r="V201" s="70" t="s">
        <v>2284</v>
      </c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thickBot="1" x14ac:dyDescent="0.3">
      <c r="A202" t="s">
        <v>219</v>
      </c>
      <c r="B202" t="s">
        <v>238</v>
      </c>
      <c r="C202" t="s">
        <v>1061</v>
      </c>
      <c r="D202" t="s">
        <v>239</v>
      </c>
      <c r="E202" s="30" t="s">
        <v>19</v>
      </c>
      <c r="F202" s="30" t="s">
        <v>1055</v>
      </c>
      <c r="G202" s="30"/>
      <c r="H202" s="30" t="s">
        <v>1434</v>
      </c>
      <c r="I202" s="31">
        <f t="shared" si="10"/>
        <v>26</v>
      </c>
      <c r="J202" s="146" t="s">
        <v>1822</v>
      </c>
      <c r="K202" s="31">
        <f t="shared" si="11"/>
        <v>2</v>
      </c>
      <c r="L202" s="32">
        <f t="shared" si="12"/>
        <v>0.9285714285714286</v>
      </c>
      <c r="M202" s="70"/>
      <c r="N202" s="70"/>
      <c r="O202" s="70" t="s">
        <v>2284</v>
      </c>
      <c r="P202" s="70"/>
      <c r="Q202" s="70"/>
      <c r="R202" s="70" t="s">
        <v>2284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thickBot="1" x14ac:dyDescent="0.3">
      <c r="A203" s="90" t="s">
        <v>219</v>
      </c>
      <c r="B203" s="90" t="s">
        <v>240</v>
      </c>
      <c r="C203" s="90" t="s">
        <v>1061</v>
      </c>
      <c r="D203" s="90" t="s">
        <v>241</v>
      </c>
      <c r="E203" s="91" t="s">
        <v>15</v>
      </c>
      <c r="F203" s="91" t="s">
        <v>20</v>
      </c>
      <c r="G203" s="91"/>
      <c r="H203" s="91" t="s">
        <v>704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2284</v>
      </c>
      <c r="N203" s="70" t="s">
        <v>2284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thickBot="1" x14ac:dyDescent="0.3">
      <c r="A204" s="73" t="s">
        <v>219</v>
      </c>
      <c r="B204" s="73" t="s">
        <v>220</v>
      </c>
      <c r="C204" s="73" t="s">
        <v>1061</v>
      </c>
      <c r="D204" s="73" t="s">
        <v>221</v>
      </c>
      <c r="E204" s="85" t="s">
        <v>15</v>
      </c>
      <c r="F204" s="85" t="s">
        <v>1300</v>
      </c>
      <c r="G204" s="85"/>
      <c r="H204" s="85" t="s">
        <v>1590</v>
      </c>
      <c r="I204" s="141">
        <f t="shared" si="10"/>
        <v>27</v>
      </c>
      <c r="J204" s="146" t="s">
        <v>1823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2284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955</v>
      </c>
      <c r="C205" t="s">
        <v>1061</v>
      </c>
      <c r="D205" t="s">
        <v>222</v>
      </c>
      <c r="E205" s="30" t="s">
        <v>15</v>
      </c>
      <c r="F205" s="30" t="s">
        <v>1300</v>
      </c>
      <c r="G205" s="30"/>
      <c r="H205" s="30" t="s">
        <v>1405</v>
      </c>
      <c r="I205" s="31">
        <f t="shared" si="10"/>
        <v>20</v>
      </c>
      <c r="J205" s="146" t="s">
        <v>1824</v>
      </c>
      <c r="K205" s="31">
        <f t="shared" si="11"/>
        <v>8</v>
      </c>
      <c r="L205" s="32">
        <f t="shared" si="12"/>
        <v>0.7142857142857143</v>
      </c>
      <c r="M205" s="70" t="s">
        <v>2284</v>
      </c>
      <c r="N205" s="70" t="s">
        <v>2284</v>
      </c>
      <c r="O205" s="70" t="s">
        <v>2284</v>
      </c>
      <c r="P205" s="70" t="s">
        <v>2284</v>
      </c>
      <c r="Q205" s="70" t="s">
        <v>2284</v>
      </c>
      <c r="R205" s="70" t="s">
        <v>2284</v>
      </c>
      <c r="S205" s="70"/>
      <c r="T205" s="70"/>
      <c r="U205" s="70" t="s">
        <v>2284</v>
      </c>
      <c r="V205" s="70" t="s">
        <v>2284</v>
      </c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thickBot="1" x14ac:dyDescent="0.3">
      <c r="A206" t="s">
        <v>219</v>
      </c>
      <c r="B206" t="s">
        <v>956</v>
      </c>
      <c r="C206" t="s">
        <v>1061</v>
      </c>
      <c r="D206" t="s">
        <v>223</v>
      </c>
      <c r="E206" s="30" t="s">
        <v>15</v>
      </c>
      <c r="F206" s="30" t="s">
        <v>1055</v>
      </c>
      <c r="G206" s="30"/>
      <c r="H206" s="30" t="s">
        <v>1211</v>
      </c>
      <c r="I206" s="31">
        <f t="shared" si="10"/>
        <v>27</v>
      </c>
      <c r="J206" s="146" t="s">
        <v>1825</v>
      </c>
      <c r="K206" s="31">
        <f t="shared" si="11"/>
        <v>1</v>
      </c>
      <c r="L206" s="32">
        <f t="shared" si="12"/>
        <v>0.9642857142857143</v>
      </c>
      <c r="M206" s="70" t="s">
        <v>2284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thickBot="1" x14ac:dyDescent="0.3">
      <c r="A207" s="73" t="s">
        <v>219</v>
      </c>
      <c r="B207" s="73" t="s">
        <v>224</v>
      </c>
      <c r="C207" s="73" t="s">
        <v>1061</v>
      </c>
      <c r="D207" s="73" t="s">
        <v>225</v>
      </c>
      <c r="E207" s="85" t="s">
        <v>15</v>
      </c>
      <c r="F207" s="85" t="s">
        <v>1300</v>
      </c>
      <c r="G207" s="85"/>
      <c r="H207" s="85" t="s">
        <v>1404</v>
      </c>
      <c r="I207" s="141">
        <f t="shared" si="10"/>
        <v>28</v>
      </c>
      <c r="J207" s="146" t="s">
        <v>1826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242</v>
      </c>
      <c r="C208" t="s">
        <v>1061</v>
      </c>
      <c r="D208" t="s">
        <v>243</v>
      </c>
      <c r="E208" s="30" t="s">
        <v>15</v>
      </c>
      <c r="F208" s="30" t="s">
        <v>28</v>
      </c>
      <c r="G208" s="30"/>
      <c r="H208" s="30" t="s">
        <v>705</v>
      </c>
      <c r="I208" s="31">
        <f t="shared" si="10"/>
        <v>28</v>
      </c>
      <c r="J208" s="146" t="s">
        <v>1827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thickBot="1" x14ac:dyDescent="0.3">
      <c r="A209" t="s">
        <v>219</v>
      </c>
      <c r="B209" t="s">
        <v>226</v>
      </c>
      <c r="C209" t="s">
        <v>1061</v>
      </c>
      <c r="D209" t="s">
        <v>227</v>
      </c>
      <c r="E209" s="30" t="s">
        <v>73</v>
      </c>
      <c r="F209" s="30" t="s">
        <v>1055</v>
      </c>
      <c r="G209" s="30" t="s">
        <v>1248</v>
      </c>
      <c r="H209" s="30" t="s">
        <v>706</v>
      </c>
      <c r="I209" s="31">
        <f t="shared" si="10"/>
        <v>25</v>
      </c>
      <c r="J209" s="146" t="s">
        <v>1828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2284</v>
      </c>
      <c r="Q209" s="70" t="s">
        <v>2284</v>
      </c>
      <c r="R209" s="70" t="s">
        <v>2284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228</v>
      </c>
      <c r="C210" t="s">
        <v>1061</v>
      </c>
      <c r="D210" t="s">
        <v>227</v>
      </c>
      <c r="E210" s="30" t="s">
        <v>73</v>
      </c>
      <c r="F210" s="30" t="s">
        <v>1055</v>
      </c>
      <c r="G210" s="30" t="s">
        <v>1248</v>
      </c>
      <c r="H210" s="30" t="s">
        <v>707</v>
      </c>
      <c r="I210" s="31">
        <f t="shared" si="10"/>
        <v>25</v>
      </c>
      <c r="J210" s="146" t="s">
        <v>1829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2284</v>
      </c>
      <c r="Q210" s="70" t="s">
        <v>2284</v>
      </c>
      <c r="R210" s="70" t="s">
        <v>2284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951</v>
      </c>
      <c r="C211" t="s">
        <v>1061</v>
      </c>
      <c r="D211" t="s">
        <v>244</v>
      </c>
      <c r="E211" s="30" t="s">
        <v>73</v>
      </c>
      <c r="F211" s="30" t="s">
        <v>1055</v>
      </c>
      <c r="G211" s="30" t="s">
        <v>1248</v>
      </c>
      <c r="H211" s="30" t="s">
        <v>708</v>
      </c>
      <c r="I211" s="31">
        <f t="shared" si="10"/>
        <v>28</v>
      </c>
      <c r="J211" s="146" t="s">
        <v>1830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thickBot="1" x14ac:dyDescent="0.3">
      <c r="A212" t="s">
        <v>219</v>
      </c>
      <c r="B212" t="s">
        <v>952</v>
      </c>
      <c r="C212" t="s">
        <v>1061</v>
      </c>
      <c r="D212" t="s">
        <v>244</v>
      </c>
      <c r="E212" s="30" t="s">
        <v>73</v>
      </c>
      <c r="F212" s="30" t="s">
        <v>1055</v>
      </c>
      <c r="G212" s="30" t="s">
        <v>1248</v>
      </c>
      <c r="H212" s="30" t="s">
        <v>709</v>
      </c>
      <c r="I212" s="31">
        <f t="shared" si="10"/>
        <v>28</v>
      </c>
      <c r="J212" s="146" t="s">
        <v>1831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953</v>
      </c>
      <c r="C213" t="s">
        <v>1061</v>
      </c>
      <c r="D213" t="s">
        <v>245</v>
      </c>
      <c r="E213" s="30" t="s">
        <v>73</v>
      </c>
      <c r="F213" s="30" t="s">
        <v>1055</v>
      </c>
      <c r="G213" s="30" t="s">
        <v>1248</v>
      </c>
      <c r="H213" s="30" t="s">
        <v>710</v>
      </c>
      <c r="I213" s="31">
        <f t="shared" si="10"/>
        <v>24</v>
      </c>
      <c r="J213" s="146" t="s">
        <v>1832</v>
      </c>
      <c r="K213" s="31">
        <f t="shared" si="11"/>
        <v>4</v>
      </c>
      <c r="L213" s="32">
        <f t="shared" si="12"/>
        <v>0.8571428571428571</v>
      </c>
      <c r="M213" s="70"/>
      <c r="N213" s="70"/>
      <c r="O213" s="70"/>
      <c r="P213" s="70" t="s">
        <v>2284</v>
      </c>
      <c r="Q213" s="70" t="s">
        <v>2284</v>
      </c>
      <c r="R213" s="70" t="s">
        <v>2284</v>
      </c>
      <c r="S213" s="70"/>
      <c r="T213" s="70"/>
      <c r="U213" s="70" t="s">
        <v>2284</v>
      </c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thickBot="1" x14ac:dyDescent="0.3">
      <c r="A214" t="s">
        <v>219</v>
      </c>
      <c r="B214" t="s">
        <v>954</v>
      </c>
      <c r="C214" t="s">
        <v>1061</v>
      </c>
      <c r="D214" t="s">
        <v>245</v>
      </c>
      <c r="E214" s="30" t="s">
        <v>73</v>
      </c>
      <c r="F214" s="30" t="s">
        <v>1055</v>
      </c>
      <c r="G214" s="30" t="s">
        <v>1248</v>
      </c>
      <c r="H214" s="30" t="s">
        <v>711</v>
      </c>
      <c r="I214" s="31">
        <f t="shared" si="10"/>
        <v>25</v>
      </c>
      <c r="J214" s="146" t="s">
        <v>1689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2284</v>
      </c>
      <c r="Q214" s="70" t="s">
        <v>2284</v>
      </c>
      <c r="R214" s="70" t="s">
        <v>2284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1229</v>
      </c>
      <c r="C215" s="73" t="s">
        <v>1061</v>
      </c>
      <c r="D215" s="73" t="s">
        <v>1228</v>
      </c>
      <c r="E215" s="73" t="s">
        <v>19</v>
      </c>
      <c r="F215" s="73" t="s">
        <v>1300</v>
      </c>
      <c r="H215" s="85" t="s">
        <v>1238</v>
      </c>
      <c r="I215" s="141">
        <f t="shared" si="10"/>
        <v>26</v>
      </c>
      <c r="J215" s="146" t="s">
        <v>1833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2284</v>
      </c>
      <c r="V215" s="70" t="s">
        <v>2284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219</v>
      </c>
      <c r="B216" s="73" t="s">
        <v>1587</v>
      </c>
      <c r="C216" s="73" t="s">
        <v>1061</v>
      </c>
      <c r="D216" s="73" t="s">
        <v>1588</v>
      </c>
      <c r="E216" s="85" t="s">
        <v>73</v>
      </c>
      <c r="F216" s="85" t="s">
        <v>1300</v>
      </c>
      <c r="H216" s="85" t="s">
        <v>1589</v>
      </c>
      <c r="I216" s="141">
        <f t="shared" si="10"/>
        <v>28</v>
      </c>
      <c r="J216" s="146" t="s">
        <v>1834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219</v>
      </c>
      <c r="B217" s="73" t="s">
        <v>2203</v>
      </c>
      <c r="C217" s="73" t="s">
        <v>1061</v>
      </c>
      <c r="D217" s="73" t="s">
        <v>2204</v>
      </c>
      <c r="E217" s="85" t="s">
        <v>73</v>
      </c>
      <c r="F217" s="85" t="s">
        <v>1300</v>
      </c>
      <c r="H217" s="85" t="s">
        <v>2205</v>
      </c>
      <c r="I217" s="141">
        <f t="shared" si="10"/>
        <v>28</v>
      </c>
      <c r="J217" s="146" t="s">
        <v>2206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246</v>
      </c>
      <c r="C218" t="s">
        <v>1061</v>
      </c>
      <c r="D218" t="s">
        <v>247</v>
      </c>
      <c r="E218" s="30" t="s">
        <v>15</v>
      </c>
      <c r="F218" s="30" t="s">
        <v>1055</v>
      </c>
      <c r="G218" s="30" t="s">
        <v>45</v>
      </c>
      <c r="H218" s="30" t="s">
        <v>712</v>
      </c>
      <c r="I218" s="31">
        <f t="shared" si="10"/>
        <v>28</v>
      </c>
      <c r="J218" s="146" t="s">
        <v>1835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thickBot="1" x14ac:dyDescent="0.3">
      <c r="A219" s="73" t="s">
        <v>101</v>
      </c>
      <c r="B219" s="73" t="s">
        <v>248</v>
      </c>
      <c r="C219" s="73" t="s">
        <v>1061</v>
      </c>
      <c r="D219" s="73" t="s">
        <v>249</v>
      </c>
      <c r="E219" s="85" t="s">
        <v>15</v>
      </c>
      <c r="F219" s="85" t="s">
        <v>1300</v>
      </c>
      <c r="G219" s="85" t="s">
        <v>45</v>
      </c>
      <c r="H219" s="85" t="s">
        <v>2286</v>
      </c>
      <c r="I219" s="141">
        <f t="shared" si="10"/>
        <v>28</v>
      </c>
      <c r="J219" s="146" t="s">
        <v>1836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thickBot="1" x14ac:dyDescent="0.3">
      <c r="A220" s="73" t="s">
        <v>101</v>
      </c>
      <c r="B220" s="73" t="s">
        <v>250</v>
      </c>
      <c r="C220" s="73" t="s">
        <v>1061</v>
      </c>
      <c r="D220" s="73" t="s">
        <v>251</v>
      </c>
      <c r="E220" s="85" t="s">
        <v>15</v>
      </c>
      <c r="F220" s="85" t="s">
        <v>1300</v>
      </c>
      <c r="G220" s="85" t="s">
        <v>45</v>
      </c>
      <c r="H220" s="85" t="s">
        <v>713</v>
      </c>
      <c r="I220" s="141">
        <f t="shared" si="10"/>
        <v>28</v>
      </c>
      <c r="J220" s="146" t="s">
        <v>1837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101</v>
      </c>
      <c r="B221" t="s">
        <v>1516</v>
      </c>
      <c r="C221" t="s">
        <v>1061</v>
      </c>
      <c r="D221" t="s">
        <v>1517</v>
      </c>
      <c r="E221" s="30" t="s">
        <v>15</v>
      </c>
      <c r="F221" s="30" t="s">
        <v>28</v>
      </c>
      <c r="G221" s="30"/>
      <c r="H221" s="30" t="s">
        <v>1518</v>
      </c>
      <c r="I221" s="141">
        <f t="shared" si="10"/>
        <v>28</v>
      </c>
      <c r="J221" s="146" t="s">
        <v>1838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101</v>
      </c>
      <c r="B222" t="s">
        <v>2269</v>
      </c>
      <c r="C222" t="s">
        <v>1061</v>
      </c>
      <c r="D222" t="s">
        <v>2270</v>
      </c>
      <c r="E222" s="30" t="s">
        <v>15</v>
      </c>
      <c r="F222" s="85" t="s">
        <v>1300</v>
      </c>
      <c r="G222" s="30"/>
      <c r="H222" s="30" t="s">
        <v>2271</v>
      </c>
      <c r="I222" s="141">
        <f t="shared" si="10"/>
        <v>28</v>
      </c>
      <c r="J222" s="150" t="s">
        <v>2272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thickBot="1" x14ac:dyDescent="0.3">
      <c r="A223" t="s">
        <v>199</v>
      </c>
      <c r="B223" t="s">
        <v>1183</v>
      </c>
      <c r="C223" t="s">
        <v>1062</v>
      </c>
      <c r="D223" t="s">
        <v>1184</v>
      </c>
      <c r="E223" s="30" t="s">
        <v>73</v>
      </c>
      <c r="F223" s="30" t="s">
        <v>16</v>
      </c>
      <c r="G223" s="30"/>
      <c r="H223" s="30" t="s">
        <v>1269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199</v>
      </c>
      <c r="B224" t="s">
        <v>1185</v>
      </c>
      <c r="C224" t="s">
        <v>1062</v>
      </c>
      <c r="D224" t="s">
        <v>1186</v>
      </c>
      <c r="E224" s="30" t="s">
        <v>73</v>
      </c>
      <c r="F224" s="30" t="s">
        <v>20</v>
      </c>
      <c r="G224" s="30"/>
      <c r="H224" s="30" t="s">
        <v>1270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1443</v>
      </c>
      <c r="B225" t="s">
        <v>957</v>
      </c>
      <c r="C225" t="s">
        <v>1061</v>
      </c>
      <c r="D225" t="s">
        <v>1085</v>
      </c>
      <c r="E225" s="30" t="s">
        <v>19</v>
      </c>
      <c r="F225" s="30" t="s">
        <v>1055</v>
      </c>
      <c r="G225" s="30"/>
      <c r="H225" s="30" t="s">
        <v>1432</v>
      </c>
      <c r="I225" s="31">
        <f t="shared" si="10"/>
        <v>28</v>
      </c>
      <c r="J225" s="146" t="s">
        <v>1839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168</v>
      </c>
      <c r="B226" s="73" t="s">
        <v>252</v>
      </c>
      <c r="C226" s="73" t="s">
        <v>1061</v>
      </c>
      <c r="D226" s="73" t="s">
        <v>253</v>
      </c>
      <c r="E226" s="85" t="s">
        <v>19</v>
      </c>
      <c r="F226" s="85" t="s">
        <v>1300</v>
      </c>
      <c r="G226" s="85"/>
      <c r="H226" s="85" t="s">
        <v>1414</v>
      </c>
      <c r="I226" s="141">
        <f t="shared" si="10"/>
        <v>28</v>
      </c>
      <c r="J226" s="146" t="s">
        <v>1840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thickBot="1" x14ac:dyDescent="0.3">
      <c r="A227" t="s">
        <v>254</v>
      </c>
      <c r="B227" t="s">
        <v>255</v>
      </c>
      <c r="C227" t="s">
        <v>1061</v>
      </c>
      <c r="D227" t="s">
        <v>256</v>
      </c>
      <c r="E227" s="30" t="s">
        <v>73</v>
      </c>
      <c r="F227" s="30" t="s">
        <v>28</v>
      </c>
      <c r="G227" s="30"/>
      <c r="H227" s="30" t="s">
        <v>714</v>
      </c>
      <c r="I227" s="31">
        <f t="shared" si="10"/>
        <v>28</v>
      </c>
      <c r="J227" s="146" t="s">
        <v>1841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thickBot="1" x14ac:dyDescent="0.3">
      <c r="A228" t="s">
        <v>254</v>
      </c>
      <c r="B228" t="s">
        <v>257</v>
      </c>
      <c r="C228" t="s">
        <v>1061</v>
      </c>
      <c r="D228" t="s">
        <v>256</v>
      </c>
      <c r="E228" s="30" t="s">
        <v>46</v>
      </c>
      <c r="F228" s="30" t="s">
        <v>28</v>
      </c>
      <c r="G228" s="30"/>
      <c r="H228" s="30" t="s">
        <v>700</v>
      </c>
      <c r="I228" s="31">
        <f t="shared" si="10"/>
        <v>28</v>
      </c>
      <c r="J228" s="146" t="s">
        <v>1842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thickBot="1" x14ac:dyDescent="0.3">
      <c r="A229" s="73" t="s">
        <v>254</v>
      </c>
      <c r="B229" s="73" t="s">
        <v>1322</v>
      </c>
      <c r="C229" s="73" t="s">
        <v>1061</v>
      </c>
      <c r="D229" s="73" t="s">
        <v>1326</v>
      </c>
      <c r="E229" s="85" t="s">
        <v>15</v>
      </c>
      <c r="F229" s="85" t="s">
        <v>1300</v>
      </c>
      <c r="G229" s="85"/>
      <c r="H229" s="85" t="s">
        <v>1331</v>
      </c>
      <c r="I229" s="141">
        <f t="shared" si="10"/>
        <v>28</v>
      </c>
      <c r="J229" s="146" t="s">
        <v>1843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thickBot="1" x14ac:dyDescent="0.3">
      <c r="A230" s="73" t="s">
        <v>254</v>
      </c>
      <c r="B230" s="73" t="s">
        <v>1417</v>
      </c>
      <c r="C230" s="73" t="s">
        <v>1061</v>
      </c>
      <c r="D230" s="73" t="s">
        <v>1418</v>
      </c>
      <c r="E230" s="85" t="s">
        <v>15</v>
      </c>
      <c r="F230" s="85" t="s">
        <v>1300</v>
      </c>
      <c r="G230" s="85"/>
      <c r="H230" s="85" t="s">
        <v>1419</v>
      </c>
      <c r="I230" s="141">
        <f t="shared" si="10"/>
        <v>28</v>
      </c>
      <c r="J230" s="146" t="s">
        <v>1844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thickBot="1" x14ac:dyDescent="0.3">
      <c r="A231" s="73" t="s">
        <v>254</v>
      </c>
      <c r="B231" s="73" t="s">
        <v>1591</v>
      </c>
      <c r="C231" s="73" t="s">
        <v>1061</v>
      </c>
      <c r="D231" s="73" t="s">
        <v>1592</v>
      </c>
      <c r="E231" s="85" t="s">
        <v>15</v>
      </c>
      <c r="F231" s="85" t="s">
        <v>1300</v>
      </c>
      <c r="G231" s="85"/>
      <c r="H231" s="85" t="s">
        <v>1593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thickBot="1" x14ac:dyDescent="0.3">
      <c r="A232" s="73" t="s">
        <v>254</v>
      </c>
      <c r="B232" s="73" t="s">
        <v>2287</v>
      </c>
      <c r="C232" s="73" t="s">
        <v>1061</v>
      </c>
      <c r="D232" s="73" t="s">
        <v>2288</v>
      </c>
      <c r="E232" s="85" t="s">
        <v>15</v>
      </c>
      <c r="F232" s="85" t="s">
        <v>1300</v>
      </c>
      <c r="G232" s="85"/>
      <c r="H232" s="85" t="s">
        <v>2289</v>
      </c>
      <c r="I232" s="141">
        <f t="shared" si="10"/>
        <v>28</v>
      </c>
      <c r="J232" s="151" t="s">
        <v>2290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thickBot="1" x14ac:dyDescent="0.3">
      <c r="A233" s="73" t="s">
        <v>258</v>
      </c>
      <c r="B233" s="73" t="s">
        <v>958</v>
      </c>
      <c r="C233" s="73" t="s">
        <v>1062</v>
      </c>
      <c r="D233" s="73" t="s">
        <v>259</v>
      </c>
      <c r="E233" s="85" t="s">
        <v>15</v>
      </c>
      <c r="F233" s="85" t="s">
        <v>1300</v>
      </c>
      <c r="G233" s="85"/>
      <c r="H233" s="85" t="s">
        <v>715</v>
      </c>
      <c r="I233" s="141">
        <f t="shared" si="10"/>
        <v>28</v>
      </c>
      <c r="J233" s="146" t="s">
        <v>1845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thickBot="1" x14ac:dyDescent="0.3">
      <c r="A234" s="73" t="s">
        <v>258</v>
      </c>
      <c r="B234" s="73" t="s">
        <v>260</v>
      </c>
      <c r="C234" s="73" t="s">
        <v>1062</v>
      </c>
      <c r="D234" s="73" t="s">
        <v>261</v>
      </c>
      <c r="E234" s="85" t="s">
        <v>73</v>
      </c>
      <c r="F234" s="85" t="s">
        <v>1300</v>
      </c>
      <c r="G234" s="85"/>
      <c r="H234" s="85" t="s">
        <v>716</v>
      </c>
      <c r="I234" s="141">
        <f t="shared" si="10"/>
        <v>28</v>
      </c>
      <c r="J234" s="146" t="s">
        <v>1846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thickBot="1" x14ac:dyDescent="0.3">
      <c r="A235" s="73" t="s">
        <v>258</v>
      </c>
      <c r="B235" s="73" t="s">
        <v>262</v>
      </c>
      <c r="C235" s="73" t="s">
        <v>1062</v>
      </c>
      <c r="D235" s="73" t="s">
        <v>261</v>
      </c>
      <c r="E235" s="85" t="s">
        <v>73</v>
      </c>
      <c r="F235" s="85" t="s">
        <v>1300</v>
      </c>
      <c r="G235" s="85"/>
      <c r="H235" s="85" t="s">
        <v>717</v>
      </c>
      <c r="I235" s="141">
        <f t="shared" si="10"/>
        <v>28</v>
      </c>
      <c r="J235" s="146" t="s">
        <v>1847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thickBot="1" x14ac:dyDescent="0.3">
      <c r="A236" s="73" t="s">
        <v>258</v>
      </c>
      <c r="B236" s="73" t="s">
        <v>2279</v>
      </c>
      <c r="C236" s="73" t="s">
        <v>1062</v>
      </c>
      <c r="D236" s="73" t="s">
        <v>2280</v>
      </c>
      <c r="E236" s="85" t="s">
        <v>15</v>
      </c>
      <c r="F236" s="85" t="s">
        <v>1300</v>
      </c>
      <c r="G236" s="85"/>
      <c r="H236" s="85" t="s">
        <v>2281</v>
      </c>
      <c r="I236" s="141">
        <f t="shared" si="10"/>
        <v>28</v>
      </c>
      <c r="J236" s="146" t="s">
        <v>2282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959</v>
      </c>
      <c r="C237" t="s">
        <v>1061</v>
      </c>
      <c r="D237" t="s">
        <v>272</v>
      </c>
      <c r="E237" s="30" t="s">
        <v>73</v>
      </c>
      <c r="F237" s="30" t="s">
        <v>28</v>
      </c>
      <c r="G237" s="30"/>
      <c r="H237" s="30" t="s">
        <v>722</v>
      </c>
      <c r="I237" s="31">
        <f t="shared" si="10"/>
        <v>21</v>
      </c>
      <c r="J237" s="146" t="s">
        <v>1848</v>
      </c>
      <c r="K237" s="31">
        <f t="shared" si="11"/>
        <v>7</v>
      </c>
      <c r="L237" s="32">
        <f t="shared" si="12"/>
        <v>0.75</v>
      </c>
      <c r="M237" s="70" t="s">
        <v>2284</v>
      </c>
      <c r="N237" s="70" t="s">
        <v>2284</v>
      </c>
      <c r="O237" s="70"/>
      <c r="P237" s="70" t="s">
        <v>2284</v>
      </c>
      <c r="Q237" s="70" t="s">
        <v>2284</v>
      </c>
      <c r="R237" s="70" t="s">
        <v>2284</v>
      </c>
      <c r="S237" s="70"/>
      <c r="T237" s="70"/>
      <c r="U237" s="70" t="s">
        <v>2284</v>
      </c>
      <c r="V237" s="70" t="s">
        <v>2284</v>
      </c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960</v>
      </c>
      <c r="C238" t="s">
        <v>1061</v>
      </c>
      <c r="D238" t="s">
        <v>1086</v>
      </c>
      <c r="E238" s="30" t="s">
        <v>19</v>
      </c>
      <c r="F238" s="30" t="s">
        <v>28</v>
      </c>
      <c r="G238" s="30"/>
      <c r="H238" s="30" t="s">
        <v>724</v>
      </c>
      <c r="I238" s="31">
        <f t="shared" si="10"/>
        <v>28</v>
      </c>
      <c r="J238" s="146" t="s">
        <v>1849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thickBot="1" x14ac:dyDescent="0.3">
      <c r="A239" t="s">
        <v>267</v>
      </c>
      <c r="B239" t="s">
        <v>961</v>
      </c>
      <c r="C239" t="s">
        <v>1061</v>
      </c>
      <c r="D239" t="s">
        <v>279</v>
      </c>
      <c r="E239" s="30" t="s">
        <v>19</v>
      </c>
      <c r="F239" s="30" t="s">
        <v>28</v>
      </c>
      <c r="G239" s="30"/>
      <c r="H239" s="30" t="s">
        <v>1481</v>
      </c>
      <c r="I239" s="31">
        <f t="shared" si="10"/>
        <v>21</v>
      </c>
      <c r="J239" s="146" t="s">
        <v>1850</v>
      </c>
      <c r="K239" s="31">
        <f t="shared" si="11"/>
        <v>7</v>
      </c>
      <c r="L239" s="32">
        <f t="shared" si="12"/>
        <v>0.75</v>
      </c>
      <c r="M239" s="70" t="s">
        <v>2284</v>
      </c>
      <c r="N239" s="70" t="s">
        <v>2284</v>
      </c>
      <c r="O239" s="70" t="s">
        <v>2284</v>
      </c>
      <c r="P239" s="70" t="s">
        <v>2284</v>
      </c>
      <c r="Q239" s="70" t="s">
        <v>2284</v>
      </c>
      <c r="R239" s="70" t="s">
        <v>2284</v>
      </c>
      <c r="S239" s="70"/>
      <c r="T239" s="70"/>
      <c r="U239" s="70"/>
      <c r="V239" s="70" t="s">
        <v>2284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thickBot="1" x14ac:dyDescent="0.3">
      <c r="A240" t="s">
        <v>267</v>
      </c>
      <c r="B240" t="s">
        <v>962</v>
      </c>
      <c r="C240" t="s">
        <v>1061</v>
      </c>
      <c r="D240" t="s">
        <v>282</v>
      </c>
      <c r="E240" s="30" t="s">
        <v>73</v>
      </c>
      <c r="F240" s="30" t="s">
        <v>28</v>
      </c>
      <c r="G240" s="30"/>
      <c r="H240" s="30" t="s">
        <v>726</v>
      </c>
      <c r="I240" s="31">
        <f t="shared" si="10"/>
        <v>28</v>
      </c>
      <c r="J240" s="146" t="s">
        <v>1851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thickBot="1" x14ac:dyDescent="0.3">
      <c r="A241" t="s">
        <v>267</v>
      </c>
      <c r="B241" t="s">
        <v>963</v>
      </c>
      <c r="C241" t="s">
        <v>1061</v>
      </c>
      <c r="D241" t="s">
        <v>282</v>
      </c>
      <c r="E241" s="30" t="s">
        <v>73</v>
      </c>
      <c r="F241" s="30" t="s">
        <v>28</v>
      </c>
      <c r="G241" s="30"/>
      <c r="H241" s="30" t="s">
        <v>727</v>
      </c>
      <c r="I241" s="31">
        <f t="shared" si="10"/>
        <v>28</v>
      </c>
      <c r="J241" s="146" t="s">
        <v>1852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thickBot="1" x14ac:dyDescent="0.3">
      <c r="A242" t="s">
        <v>267</v>
      </c>
      <c r="B242" t="s">
        <v>964</v>
      </c>
      <c r="C242" t="s">
        <v>1061</v>
      </c>
      <c r="D242" t="s">
        <v>263</v>
      </c>
      <c r="E242" s="30" t="s">
        <v>46</v>
      </c>
      <c r="F242" s="30" t="s">
        <v>28</v>
      </c>
      <c r="G242" s="30"/>
      <c r="H242" s="30" t="s">
        <v>718</v>
      </c>
      <c r="I242" s="31">
        <f t="shared" si="10"/>
        <v>28</v>
      </c>
      <c r="J242" s="146" t="s">
        <v>1853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265</v>
      </c>
      <c r="C243" t="s">
        <v>1061</v>
      </c>
      <c r="D243" t="s">
        <v>266</v>
      </c>
      <c r="E243" s="30" t="s">
        <v>19</v>
      </c>
      <c r="F243" s="30" t="s">
        <v>28</v>
      </c>
      <c r="G243" s="30"/>
      <c r="H243" s="30" t="s">
        <v>719</v>
      </c>
      <c r="I243" s="31">
        <f t="shared" si="10"/>
        <v>28</v>
      </c>
      <c r="J243" s="146" t="s">
        <v>1854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268</v>
      </c>
      <c r="C244" t="s">
        <v>1061</v>
      </c>
      <c r="D244" t="s">
        <v>269</v>
      </c>
      <c r="E244" s="30" t="s">
        <v>73</v>
      </c>
      <c r="F244" s="30" t="s">
        <v>28</v>
      </c>
      <c r="G244" s="30"/>
      <c r="H244" s="30" t="s">
        <v>720</v>
      </c>
      <c r="I244" s="31">
        <f t="shared" si="10"/>
        <v>28</v>
      </c>
      <c r="J244" s="146" t="s">
        <v>1855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270</v>
      </c>
      <c r="C245" t="s">
        <v>1061</v>
      </c>
      <c r="D245" t="s">
        <v>271</v>
      </c>
      <c r="E245" s="30" t="s">
        <v>46</v>
      </c>
      <c r="F245" s="30" t="s">
        <v>28</v>
      </c>
      <c r="G245" s="30"/>
      <c r="H245" s="30" t="s">
        <v>721</v>
      </c>
      <c r="I245" s="31">
        <f t="shared" ref="I245:I317" si="13">COUNTIF(M245:AN245,"")</f>
        <v>28</v>
      </c>
      <c r="J245" s="146" t="s">
        <v>1856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264</v>
      </c>
      <c r="B246" t="s">
        <v>273</v>
      </c>
      <c r="C246" t="s">
        <v>1061</v>
      </c>
      <c r="D246" t="s">
        <v>274</v>
      </c>
      <c r="E246" s="30" t="s">
        <v>19</v>
      </c>
      <c r="F246" s="30" t="s">
        <v>28</v>
      </c>
      <c r="G246" s="30"/>
      <c r="H246" s="30" t="s">
        <v>723</v>
      </c>
      <c r="I246" s="31">
        <f t="shared" si="13"/>
        <v>27</v>
      </c>
      <c r="J246" s="146" t="s">
        <v>1857</v>
      </c>
      <c r="K246" s="31">
        <f t="shared" si="14"/>
        <v>1</v>
      </c>
      <c r="L246" s="32">
        <f t="shared" si="15"/>
        <v>0.9642857142857143</v>
      </c>
      <c r="M246" s="70"/>
      <c r="N246" s="70" t="s">
        <v>2284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275</v>
      </c>
      <c r="C247" t="s">
        <v>1061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1858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t="s">
        <v>277</v>
      </c>
      <c r="C248" t="s">
        <v>1061</v>
      </c>
      <c r="D248" t="s">
        <v>278</v>
      </c>
      <c r="E248" s="30" t="s">
        <v>19</v>
      </c>
      <c r="F248" s="30" t="s">
        <v>28</v>
      </c>
      <c r="G248" s="30"/>
      <c r="H248" s="30" t="s">
        <v>1441</v>
      </c>
      <c r="I248" s="31">
        <f t="shared" si="13"/>
        <v>28</v>
      </c>
      <c r="J248" s="146" t="s">
        <v>1859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thickBot="1" x14ac:dyDescent="0.3">
      <c r="A249" t="s">
        <v>267</v>
      </c>
      <c r="B249" t="s">
        <v>280</v>
      </c>
      <c r="C249" t="s">
        <v>1061</v>
      </c>
      <c r="D249" t="s">
        <v>281</v>
      </c>
      <c r="E249" s="30" t="s">
        <v>19</v>
      </c>
      <c r="F249" s="30" t="s">
        <v>28</v>
      </c>
      <c r="G249" s="30"/>
      <c r="H249" s="30" t="s">
        <v>725</v>
      </c>
      <c r="I249" s="31">
        <f t="shared" si="13"/>
        <v>28</v>
      </c>
      <c r="J249" s="146" t="s">
        <v>1860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thickBot="1" x14ac:dyDescent="0.3">
      <c r="A250" t="s">
        <v>267</v>
      </c>
      <c r="B250" t="s">
        <v>283</v>
      </c>
      <c r="C250" t="s">
        <v>1061</v>
      </c>
      <c r="D250" t="s">
        <v>284</v>
      </c>
      <c r="E250" s="30" t="s">
        <v>15</v>
      </c>
      <c r="F250" s="30" t="s">
        <v>28</v>
      </c>
      <c r="G250" s="30"/>
      <c r="H250" s="30" t="s">
        <v>728</v>
      </c>
      <c r="I250" s="31">
        <f t="shared" si="13"/>
        <v>28</v>
      </c>
      <c r="J250" s="146" t="s">
        <v>1861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267</v>
      </c>
      <c r="B251" s="30" t="s">
        <v>1210</v>
      </c>
      <c r="C251" s="30" t="s">
        <v>1061</v>
      </c>
      <c r="D251" t="s">
        <v>1205</v>
      </c>
      <c r="E251" s="30" t="s">
        <v>15</v>
      </c>
      <c r="F251" s="30" t="s">
        <v>28</v>
      </c>
      <c r="G251" s="30"/>
      <c r="H251" s="30" t="s">
        <v>1206</v>
      </c>
      <c r="I251" s="31">
        <f t="shared" si="13"/>
        <v>21</v>
      </c>
      <c r="J251" s="146" t="s">
        <v>1862</v>
      </c>
      <c r="K251" s="31">
        <f t="shared" si="14"/>
        <v>7</v>
      </c>
      <c r="L251" s="32">
        <f t="shared" si="15"/>
        <v>0.75</v>
      </c>
      <c r="M251" s="70" t="s">
        <v>2284</v>
      </c>
      <c r="N251" s="70" t="s">
        <v>2284</v>
      </c>
      <c r="O251" s="70" t="s">
        <v>2284</v>
      </c>
      <c r="P251" s="70" t="s">
        <v>2284</v>
      </c>
      <c r="Q251" s="70" t="s">
        <v>2284</v>
      </c>
      <c r="R251" s="70" t="s">
        <v>2284</v>
      </c>
      <c r="S251" s="70"/>
      <c r="T251" s="70"/>
      <c r="U251" s="70"/>
      <c r="V251" s="70" t="s">
        <v>2284</v>
      </c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thickBot="1" x14ac:dyDescent="0.3">
      <c r="A252" s="73" t="s">
        <v>287</v>
      </c>
      <c r="B252" s="73" t="s">
        <v>965</v>
      </c>
      <c r="C252" s="90" t="s">
        <v>1062</v>
      </c>
      <c r="D252" s="73" t="s">
        <v>1087</v>
      </c>
      <c r="E252" s="91" t="s">
        <v>19</v>
      </c>
      <c r="F252" s="85" t="s">
        <v>1300</v>
      </c>
      <c r="G252" s="85"/>
      <c r="H252" s="85" t="s">
        <v>2255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thickBot="1" x14ac:dyDescent="0.3">
      <c r="A253" t="s">
        <v>229</v>
      </c>
      <c r="B253" t="s">
        <v>285</v>
      </c>
      <c r="C253" t="s">
        <v>1062</v>
      </c>
      <c r="D253" t="s">
        <v>286</v>
      </c>
      <c r="E253" s="30" t="s">
        <v>15</v>
      </c>
      <c r="F253" s="30" t="s">
        <v>1055</v>
      </c>
      <c r="G253" s="30"/>
      <c r="H253" s="30" t="s">
        <v>1063</v>
      </c>
      <c r="I253" s="31">
        <f t="shared" si="13"/>
        <v>28</v>
      </c>
      <c r="J253" s="146" t="s">
        <v>1818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1062</v>
      </c>
      <c r="D254" s="69" t="s">
        <v>289</v>
      </c>
      <c r="E254" s="30" t="s">
        <v>15</v>
      </c>
      <c r="F254" s="30" t="s">
        <v>28</v>
      </c>
      <c r="G254" s="30"/>
      <c r="H254" s="152" t="s">
        <v>729</v>
      </c>
      <c r="I254" s="31">
        <f t="shared" si="13"/>
        <v>20</v>
      </c>
      <c r="J254" s="146" t="s">
        <v>1863</v>
      </c>
      <c r="K254" s="31">
        <f t="shared" si="14"/>
        <v>8</v>
      </c>
      <c r="L254" s="32">
        <f t="shared" si="15"/>
        <v>0.7142857142857143</v>
      </c>
      <c r="M254" s="70" t="s">
        <v>2284</v>
      </c>
      <c r="N254" s="70" t="s">
        <v>2284</v>
      </c>
      <c r="O254" s="70" t="s">
        <v>2284</v>
      </c>
      <c r="P254" s="70" t="s">
        <v>2284</v>
      </c>
      <c r="Q254" s="70" t="s">
        <v>2284</v>
      </c>
      <c r="R254" s="70" t="s">
        <v>2284</v>
      </c>
      <c r="S254" s="70"/>
      <c r="T254" s="70"/>
      <c r="U254" s="70" t="s">
        <v>2284</v>
      </c>
      <c r="V254" s="70" t="s">
        <v>2284</v>
      </c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2297</v>
      </c>
      <c r="C255" t="s">
        <v>1062</v>
      </c>
      <c r="D255" s="69" t="s">
        <v>2298</v>
      </c>
      <c r="E255" s="30" t="s">
        <v>73</v>
      </c>
      <c r="F255" s="85" t="s">
        <v>1300</v>
      </c>
      <c r="G255" s="30"/>
      <c r="H255" s="152" t="s">
        <v>2299</v>
      </c>
      <c r="I255" s="31">
        <f t="shared" si="13"/>
        <v>20</v>
      </c>
      <c r="J255" s="146" t="s">
        <v>2300</v>
      </c>
      <c r="K255" s="31">
        <f t="shared" si="14"/>
        <v>8</v>
      </c>
      <c r="L255" s="32">
        <f t="shared" si="15"/>
        <v>0.7142857142857143</v>
      </c>
      <c r="M255" s="70" t="s">
        <v>2284</v>
      </c>
      <c r="N255" s="70" t="s">
        <v>2284</v>
      </c>
      <c r="O255" s="70" t="s">
        <v>2284</v>
      </c>
      <c r="P255" s="70" t="s">
        <v>2284</v>
      </c>
      <c r="Q255" s="70" t="s">
        <v>2284</v>
      </c>
      <c r="R255" s="70" t="s">
        <v>2284</v>
      </c>
      <c r="S255" s="70"/>
      <c r="T255" s="70"/>
      <c r="U255" s="70" t="s">
        <v>2284</v>
      </c>
      <c r="V255" s="70" t="s">
        <v>2284</v>
      </c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thickBot="1" x14ac:dyDescent="0.3">
      <c r="A256" t="s">
        <v>287</v>
      </c>
      <c r="B256" t="s">
        <v>2301</v>
      </c>
      <c r="C256" t="s">
        <v>1062</v>
      </c>
      <c r="D256" t="s">
        <v>2298</v>
      </c>
      <c r="E256" s="30" t="s">
        <v>15</v>
      </c>
      <c r="F256" s="85" t="s">
        <v>1300</v>
      </c>
      <c r="G256" s="30"/>
      <c r="H256" s="30" t="s">
        <v>2302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287</v>
      </c>
      <c r="B257" t="s">
        <v>2303</v>
      </c>
      <c r="C257" t="s">
        <v>1062</v>
      </c>
      <c r="D257" t="s">
        <v>2304</v>
      </c>
      <c r="E257" s="30" t="s">
        <v>15</v>
      </c>
      <c r="F257" s="85" t="s">
        <v>1300</v>
      </c>
      <c r="G257" s="30"/>
      <c r="H257" s="30" t="s">
        <v>2305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thickBot="1" x14ac:dyDescent="0.3">
      <c r="A258" t="s">
        <v>12</v>
      </c>
      <c r="B258" s="33" t="s">
        <v>13</v>
      </c>
      <c r="C258" t="s">
        <v>1062</v>
      </c>
      <c r="D258" t="s">
        <v>14</v>
      </c>
      <c r="E258" s="30" t="s">
        <v>15</v>
      </c>
      <c r="F258" s="30" t="s">
        <v>1055</v>
      </c>
      <c r="G258" s="30"/>
      <c r="H258" s="30" t="s">
        <v>730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thickBot="1" x14ac:dyDescent="0.3">
      <c r="A259" t="s">
        <v>375</v>
      </c>
      <c r="B259" t="s">
        <v>966</v>
      </c>
      <c r="C259" t="s">
        <v>1062</v>
      </c>
      <c r="D259" t="s">
        <v>967</v>
      </c>
      <c r="E259" s="30" t="s">
        <v>73</v>
      </c>
      <c r="F259" s="30" t="s">
        <v>28</v>
      </c>
      <c r="G259" s="30"/>
      <c r="H259" s="30" t="s">
        <v>1216</v>
      </c>
      <c r="I259" s="31">
        <f t="shared" si="13"/>
        <v>28</v>
      </c>
      <c r="J259" s="146" t="s">
        <v>1864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968</v>
      </c>
      <c r="B260" t="s">
        <v>969</v>
      </c>
      <c r="C260" t="s">
        <v>1062</v>
      </c>
      <c r="D260" t="s">
        <v>967</v>
      </c>
      <c r="E260" s="30" t="s">
        <v>73</v>
      </c>
      <c r="F260" s="30" t="s">
        <v>28</v>
      </c>
      <c r="G260" s="30"/>
      <c r="H260" s="30" t="s">
        <v>1217</v>
      </c>
      <c r="I260" s="31">
        <f t="shared" si="13"/>
        <v>28</v>
      </c>
      <c r="J260" s="146" t="s">
        <v>1865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thickBot="1" x14ac:dyDescent="0.3">
      <c r="A261" s="73" t="s">
        <v>17</v>
      </c>
      <c r="B261" s="143" t="s">
        <v>18</v>
      </c>
      <c r="C261" s="73" t="s">
        <v>1062</v>
      </c>
      <c r="D261" s="73" t="s">
        <v>1088</v>
      </c>
      <c r="E261" s="85" t="s">
        <v>19</v>
      </c>
      <c r="F261" s="85" t="s">
        <v>1300</v>
      </c>
      <c r="G261" s="85"/>
      <c r="H261" s="85" t="s">
        <v>1376</v>
      </c>
      <c r="I261" s="141">
        <f t="shared" si="13"/>
        <v>28</v>
      </c>
      <c r="J261" s="146" t="s">
        <v>1866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thickBot="1" x14ac:dyDescent="0.3">
      <c r="A262" s="73" t="s">
        <v>17</v>
      </c>
      <c r="B262" s="143" t="s">
        <v>21</v>
      </c>
      <c r="C262" s="73" t="s">
        <v>1062</v>
      </c>
      <c r="D262" s="73" t="s">
        <v>22</v>
      </c>
      <c r="E262" s="85" t="s">
        <v>19</v>
      </c>
      <c r="F262" s="85" t="s">
        <v>1300</v>
      </c>
      <c r="G262" s="85"/>
      <c r="H262" s="85" t="s">
        <v>1377</v>
      </c>
      <c r="I262" s="141">
        <f t="shared" si="13"/>
        <v>28</v>
      </c>
      <c r="J262" s="146" t="s">
        <v>1867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thickBot="1" x14ac:dyDescent="0.3">
      <c r="A263" t="s">
        <v>17</v>
      </c>
      <c r="B263" s="33" t="s">
        <v>23</v>
      </c>
      <c r="C263" t="s">
        <v>1062</v>
      </c>
      <c r="D263" t="s">
        <v>609</v>
      </c>
      <c r="E263" s="30" t="s">
        <v>15</v>
      </c>
      <c r="F263" s="30" t="s">
        <v>1055</v>
      </c>
      <c r="G263" s="30" t="s">
        <v>1253</v>
      </c>
      <c r="H263" s="30" t="s">
        <v>731</v>
      </c>
      <c r="I263" s="31">
        <f t="shared" si="13"/>
        <v>28</v>
      </c>
      <c r="J263" s="146" t="s">
        <v>1868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customHeight="1" thickBot="1" x14ac:dyDescent="0.3">
      <c r="A264" t="s">
        <v>17</v>
      </c>
      <c r="B264" s="33" t="s">
        <v>24</v>
      </c>
      <c r="C264" t="s">
        <v>1062</v>
      </c>
      <c r="D264" t="s">
        <v>25</v>
      </c>
      <c r="E264" s="30" t="s">
        <v>15</v>
      </c>
      <c r="F264" s="30" t="s">
        <v>20</v>
      </c>
      <c r="G264" s="30"/>
      <c r="H264" s="30" t="s">
        <v>732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customHeight="1" thickBot="1" x14ac:dyDescent="0.3">
      <c r="A265" s="69"/>
      <c r="B265" t="s">
        <v>1230</v>
      </c>
      <c r="C265" t="s">
        <v>1061</v>
      </c>
      <c r="D265" t="s">
        <v>1231</v>
      </c>
      <c r="E265" t="s">
        <v>19</v>
      </c>
      <c r="F265" t="s">
        <v>28</v>
      </c>
      <c r="G265"/>
      <c r="H265" s="30" t="s">
        <v>1271</v>
      </c>
      <c r="I265" s="31">
        <f t="shared" si="13"/>
        <v>28</v>
      </c>
      <c r="J265" s="146" t="s">
        <v>1869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customHeight="1" thickBot="1" x14ac:dyDescent="0.3">
      <c r="A266" s="73"/>
      <c r="B266" t="s">
        <v>1315</v>
      </c>
      <c r="C266" t="s">
        <v>1061</v>
      </c>
      <c r="D266" t="s">
        <v>1318</v>
      </c>
      <c r="E266" s="30" t="s">
        <v>15</v>
      </c>
      <c r="F266" s="30" t="s">
        <v>28</v>
      </c>
      <c r="G266"/>
      <c r="H266" s="30" t="s">
        <v>1330</v>
      </c>
      <c r="I266" s="31">
        <f t="shared" si="13"/>
        <v>23</v>
      </c>
      <c r="J266" s="146" t="s">
        <v>1870</v>
      </c>
      <c r="K266" s="31">
        <f t="shared" si="14"/>
        <v>5</v>
      </c>
      <c r="L266" s="32">
        <f t="shared" si="15"/>
        <v>0.8214285714285714</v>
      </c>
      <c r="M266" s="70"/>
      <c r="N266" s="70" t="s">
        <v>2284</v>
      </c>
      <c r="O266" s="70" t="s">
        <v>2284</v>
      </c>
      <c r="P266" s="70" t="s">
        <v>2284</v>
      </c>
      <c r="Q266" s="70" t="s">
        <v>2284</v>
      </c>
      <c r="R266" s="70" t="s">
        <v>2284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thickBot="1" x14ac:dyDescent="0.3">
      <c r="A267" s="73" t="s">
        <v>290</v>
      </c>
      <c r="B267" s="73" t="s">
        <v>970</v>
      </c>
      <c r="C267" s="73" t="s">
        <v>1061</v>
      </c>
      <c r="D267" s="73" t="s">
        <v>291</v>
      </c>
      <c r="E267" s="85" t="s">
        <v>73</v>
      </c>
      <c r="F267" s="85" t="s">
        <v>1300</v>
      </c>
      <c r="G267" s="85"/>
      <c r="H267" s="85" t="s">
        <v>733</v>
      </c>
      <c r="I267" s="141">
        <f t="shared" si="13"/>
        <v>28</v>
      </c>
      <c r="J267" s="146" t="s">
        <v>1871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267</v>
      </c>
      <c r="B268" t="s">
        <v>292</v>
      </c>
      <c r="C268" t="s">
        <v>1061</v>
      </c>
      <c r="D268" t="s">
        <v>293</v>
      </c>
      <c r="E268" s="30" t="s">
        <v>73</v>
      </c>
      <c r="F268" s="30" t="s">
        <v>28</v>
      </c>
      <c r="G268" s="30"/>
      <c r="H268" s="30" t="s">
        <v>1059</v>
      </c>
      <c r="I268" s="31">
        <f t="shared" si="13"/>
        <v>28</v>
      </c>
      <c r="J268" s="146" t="s">
        <v>1872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thickBot="1" x14ac:dyDescent="0.3">
      <c r="A269" t="s">
        <v>294</v>
      </c>
      <c r="B269" t="s">
        <v>971</v>
      </c>
      <c r="C269" t="s">
        <v>1061</v>
      </c>
      <c r="D269" t="s">
        <v>295</v>
      </c>
      <c r="E269" s="30" t="s">
        <v>19</v>
      </c>
      <c r="F269" s="30" t="s">
        <v>28</v>
      </c>
      <c r="G269" s="30"/>
      <c r="H269" s="30" t="s">
        <v>734</v>
      </c>
      <c r="I269" s="31">
        <f t="shared" si="13"/>
        <v>28</v>
      </c>
      <c r="J269" s="146" t="s">
        <v>1873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thickBot="1" x14ac:dyDescent="0.3">
      <c r="A270" t="s">
        <v>290</v>
      </c>
      <c r="B270" t="s">
        <v>296</v>
      </c>
      <c r="C270" t="s">
        <v>1061</v>
      </c>
      <c r="D270" t="s">
        <v>297</v>
      </c>
      <c r="E270" s="30" t="s">
        <v>19</v>
      </c>
      <c r="F270" s="30" t="s">
        <v>28</v>
      </c>
      <c r="G270" s="30"/>
      <c r="H270" s="30" t="s">
        <v>735</v>
      </c>
      <c r="I270" s="31">
        <f t="shared" si="13"/>
        <v>28</v>
      </c>
      <c r="J270" s="146" t="s">
        <v>1860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294</v>
      </c>
      <c r="B271" t="s">
        <v>972</v>
      </c>
      <c r="C271" t="s">
        <v>1061</v>
      </c>
      <c r="D271" t="s">
        <v>298</v>
      </c>
      <c r="E271" s="30" t="s">
        <v>19</v>
      </c>
      <c r="F271" s="30" t="s">
        <v>28</v>
      </c>
      <c r="G271" s="30"/>
      <c r="H271" s="30" t="s">
        <v>736</v>
      </c>
      <c r="I271" s="31">
        <f t="shared" si="13"/>
        <v>28</v>
      </c>
      <c r="J271" s="146" t="s">
        <v>1874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1061</v>
      </c>
      <c r="D272" t="s">
        <v>300</v>
      </c>
      <c r="E272" s="30" t="s">
        <v>15</v>
      </c>
      <c r="F272" s="30" t="s">
        <v>1055</v>
      </c>
      <c r="G272" s="30"/>
      <c r="H272" s="30" t="s">
        <v>737</v>
      </c>
      <c r="I272" s="31">
        <f t="shared" si="13"/>
        <v>21</v>
      </c>
      <c r="J272" s="146" t="s">
        <v>1875</v>
      </c>
      <c r="K272" s="31">
        <f t="shared" si="14"/>
        <v>7</v>
      </c>
      <c r="L272" s="32">
        <f t="shared" si="15"/>
        <v>0.75</v>
      </c>
      <c r="M272" s="70" t="s">
        <v>2284</v>
      </c>
      <c r="N272" s="70" t="s">
        <v>2284</v>
      </c>
      <c r="O272" s="70" t="s">
        <v>2284</v>
      </c>
      <c r="P272" s="70" t="s">
        <v>2284</v>
      </c>
      <c r="Q272" s="70" t="s">
        <v>2284</v>
      </c>
      <c r="R272" s="70" t="s">
        <v>2284</v>
      </c>
      <c r="S272" s="70"/>
      <c r="T272" s="70"/>
      <c r="U272" s="70" t="s">
        <v>2284</v>
      </c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thickBot="1" x14ac:dyDescent="0.3">
      <c r="A273" s="73" t="s">
        <v>290</v>
      </c>
      <c r="B273" s="73" t="s">
        <v>1244</v>
      </c>
      <c r="C273" s="73" t="s">
        <v>1061</v>
      </c>
      <c r="D273" s="73" t="s">
        <v>1245</v>
      </c>
      <c r="E273" s="85" t="s">
        <v>19</v>
      </c>
      <c r="F273" s="85" t="s">
        <v>1300</v>
      </c>
      <c r="G273" s="85"/>
      <c r="H273" s="85" t="s">
        <v>1246</v>
      </c>
      <c r="I273" s="141">
        <f t="shared" si="13"/>
        <v>28</v>
      </c>
      <c r="J273" s="146" t="s">
        <v>1876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290</v>
      </c>
      <c r="B274" t="s">
        <v>1283</v>
      </c>
      <c r="C274" t="s">
        <v>1061</v>
      </c>
      <c r="D274" t="s">
        <v>1284</v>
      </c>
      <c r="E274" s="30" t="s">
        <v>19</v>
      </c>
      <c r="F274" s="30" t="s">
        <v>1055</v>
      </c>
      <c r="G274" s="30"/>
      <c r="H274" s="30" t="s">
        <v>1359</v>
      </c>
      <c r="I274" s="31">
        <f t="shared" si="13"/>
        <v>28</v>
      </c>
      <c r="J274" s="146" t="s">
        <v>1877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thickBot="1" x14ac:dyDescent="0.3">
      <c r="A275" t="s">
        <v>301</v>
      </c>
      <c r="B275" t="s">
        <v>302</v>
      </c>
      <c r="C275" t="s">
        <v>1061</v>
      </c>
      <c r="D275" t="s">
        <v>303</v>
      </c>
      <c r="E275" s="30" t="s">
        <v>73</v>
      </c>
      <c r="F275" s="30" t="s">
        <v>28</v>
      </c>
      <c r="G275" s="30"/>
      <c r="H275" s="30" t="s">
        <v>738</v>
      </c>
      <c r="I275" s="31">
        <f t="shared" si="13"/>
        <v>28</v>
      </c>
      <c r="J275" s="146" t="s">
        <v>1878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304</v>
      </c>
      <c r="C276" t="s">
        <v>1061</v>
      </c>
      <c r="D276" t="s">
        <v>305</v>
      </c>
      <c r="E276" s="30" t="s">
        <v>19</v>
      </c>
      <c r="F276" s="30" t="s">
        <v>28</v>
      </c>
      <c r="G276" s="30"/>
      <c r="H276" s="30" t="s">
        <v>739</v>
      </c>
      <c r="I276" s="31">
        <f t="shared" si="13"/>
        <v>28</v>
      </c>
      <c r="J276" s="149" t="s">
        <v>1879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306</v>
      </c>
      <c r="C277" t="s">
        <v>1061</v>
      </c>
      <c r="D277" t="s">
        <v>307</v>
      </c>
      <c r="E277" s="30" t="s">
        <v>19</v>
      </c>
      <c r="F277" s="30" t="s">
        <v>1055</v>
      </c>
      <c r="G277" s="30"/>
      <c r="H277" s="30" t="s">
        <v>1496</v>
      </c>
      <c r="I277" s="31">
        <f t="shared" si="13"/>
        <v>28</v>
      </c>
      <c r="J277" s="146" t="s">
        <v>1880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thickBot="1" x14ac:dyDescent="0.3">
      <c r="A278" s="73" t="s">
        <v>301</v>
      </c>
      <c r="B278" s="73" t="s">
        <v>308</v>
      </c>
      <c r="C278" s="73" t="s">
        <v>1061</v>
      </c>
      <c r="D278" s="73" t="s">
        <v>309</v>
      </c>
      <c r="E278" s="85" t="s">
        <v>19</v>
      </c>
      <c r="F278" s="85" t="s">
        <v>1300</v>
      </c>
      <c r="G278" s="85"/>
      <c r="H278" s="85" t="s">
        <v>1497</v>
      </c>
      <c r="I278" s="141">
        <f t="shared" si="13"/>
        <v>28</v>
      </c>
      <c r="J278" s="146" t="s">
        <v>1881</v>
      </c>
      <c r="K278" s="141">
        <f t="shared" si="14"/>
        <v>0</v>
      </c>
      <c r="L278" s="14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301</v>
      </c>
      <c r="B279" t="s">
        <v>1491</v>
      </c>
      <c r="C279" t="s">
        <v>1061</v>
      </c>
      <c r="D279" t="s">
        <v>1490</v>
      </c>
      <c r="E279" s="30" t="s">
        <v>73</v>
      </c>
      <c r="F279" s="30" t="s">
        <v>28</v>
      </c>
      <c r="G279" s="30"/>
      <c r="H279" s="30" t="s">
        <v>1492</v>
      </c>
      <c r="I279" s="141">
        <f t="shared" si="13"/>
        <v>28</v>
      </c>
      <c r="J279" s="146" t="s">
        <v>1882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301</v>
      </c>
      <c r="B280" t="s">
        <v>1493</v>
      </c>
      <c r="C280" t="s">
        <v>1061</v>
      </c>
      <c r="D280" t="s">
        <v>1490</v>
      </c>
      <c r="E280" s="30" t="s">
        <v>73</v>
      </c>
      <c r="F280" s="30" t="s">
        <v>28</v>
      </c>
      <c r="G280" s="30"/>
      <c r="H280" s="30" t="s">
        <v>1498</v>
      </c>
      <c r="I280" s="141">
        <f t="shared" si="13"/>
        <v>28</v>
      </c>
      <c r="J280" s="146" t="s">
        <v>1883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thickBot="1" x14ac:dyDescent="0.3">
      <c r="A281" t="s">
        <v>2209</v>
      </c>
      <c r="B281" t="s">
        <v>2210</v>
      </c>
      <c r="C281" t="s">
        <v>1062</v>
      </c>
      <c r="D281" t="s">
        <v>2211</v>
      </c>
      <c r="E281" s="30" t="s">
        <v>19</v>
      </c>
      <c r="F281" s="85" t="s">
        <v>1300</v>
      </c>
      <c r="G281" s="30"/>
      <c r="H281" s="30" t="s">
        <v>2212</v>
      </c>
      <c r="I281" s="141">
        <f t="shared" si="13"/>
        <v>28</v>
      </c>
      <c r="J281" s="146" t="s">
        <v>2213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2209</v>
      </c>
      <c r="B282" t="s">
        <v>2214</v>
      </c>
      <c r="C282" t="s">
        <v>1062</v>
      </c>
      <c r="D282" t="s">
        <v>2216</v>
      </c>
      <c r="E282" s="30" t="s">
        <v>19</v>
      </c>
      <c r="F282" s="85" t="s">
        <v>1300</v>
      </c>
      <c r="G282" s="30"/>
      <c r="H282" s="30" t="s">
        <v>2215</v>
      </c>
      <c r="I282" s="141">
        <f t="shared" si="13"/>
        <v>28</v>
      </c>
      <c r="J282" s="146" t="s">
        <v>2217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thickBot="1" x14ac:dyDescent="0.3">
      <c r="A283" t="s">
        <v>310</v>
      </c>
      <c r="B283" t="s">
        <v>973</v>
      </c>
      <c r="C283" t="s">
        <v>1061</v>
      </c>
      <c r="D283" t="s">
        <v>313</v>
      </c>
      <c r="E283" s="30" t="s">
        <v>19</v>
      </c>
      <c r="F283" s="30" t="s">
        <v>28</v>
      </c>
      <c r="G283" s="30"/>
      <c r="H283" s="30" t="s">
        <v>740</v>
      </c>
      <c r="I283" s="31">
        <f t="shared" si="13"/>
        <v>28</v>
      </c>
      <c r="J283" s="146" t="s">
        <v>1884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thickBot="1" x14ac:dyDescent="0.3">
      <c r="A284" s="73" t="s">
        <v>310</v>
      </c>
      <c r="B284" s="73" t="s">
        <v>314</v>
      </c>
      <c r="C284" s="73" t="s">
        <v>1061</v>
      </c>
      <c r="D284" s="73" t="s">
        <v>315</v>
      </c>
      <c r="E284" s="85" t="s">
        <v>19</v>
      </c>
      <c r="F284" s="85" t="s">
        <v>1300</v>
      </c>
      <c r="G284" s="85"/>
      <c r="H284" s="85" t="s">
        <v>1371</v>
      </c>
      <c r="I284" s="141">
        <f t="shared" si="13"/>
        <v>28</v>
      </c>
      <c r="J284" s="146" t="s">
        <v>1885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310</v>
      </c>
      <c r="B285" t="s">
        <v>316</v>
      </c>
      <c r="C285" t="s">
        <v>1061</v>
      </c>
      <c r="D285" t="s">
        <v>317</v>
      </c>
      <c r="E285" s="30" t="s">
        <v>19</v>
      </c>
      <c r="F285" s="30" t="s">
        <v>1055</v>
      </c>
      <c r="G285" s="30" t="s">
        <v>1254</v>
      </c>
      <c r="H285" s="30" t="s">
        <v>741</v>
      </c>
      <c r="I285" s="31">
        <f t="shared" si="13"/>
        <v>28</v>
      </c>
      <c r="J285" s="146" t="s">
        <v>1886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thickBot="1" x14ac:dyDescent="0.3">
      <c r="A286" s="73" t="s">
        <v>310</v>
      </c>
      <c r="B286" s="73" t="s">
        <v>318</v>
      </c>
      <c r="C286" s="73" t="s">
        <v>1061</v>
      </c>
      <c r="D286" s="73" t="s">
        <v>319</v>
      </c>
      <c r="E286" s="85" t="s">
        <v>19</v>
      </c>
      <c r="F286" s="85" t="s">
        <v>1300</v>
      </c>
      <c r="G286" s="85"/>
      <c r="H286" s="85" t="s">
        <v>1361</v>
      </c>
      <c r="I286" s="141">
        <f t="shared" si="13"/>
        <v>28</v>
      </c>
      <c r="J286" s="146" t="s">
        <v>1887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thickBot="1" x14ac:dyDescent="0.3">
      <c r="A287" s="73" t="s">
        <v>320</v>
      </c>
      <c r="B287" s="73" t="s">
        <v>321</v>
      </c>
      <c r="C287" s="73" t="s">
        <v>1061</v>
      </c>
      <c r="D287" s="73" t="s">
        <v>322</v>
      </c>
      <c r="E287" s="85" t="s">
        <v>19</v>
      </c>
      <c r="F287" s="85" t="s">
        <v>1300</v>
      </c>
      <c r="G287" s="85"/>
      <c r="H287" s="144" t="s">
        <v>1362</v>
      </c>
      <c r="I287" s="141">
        <f t="shared" si="13"/>
        <v>28</v>
      </c>
      <c r="J287" s="146" t="s">
        <v>1888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thickBot="1" x14ac:dyDescent="0.3">
      <c r="A288" t="s">
        <v>52</v>
      </c>
      <c r="B288" t="s">
        <v>323</v>
      </c>
      <c r="C288" t="s">
        <v>1061</v>
      </c>
      <c r="D288" t="s">
        <v>324</v>
      </c>
      <c r="E288" s="30" t="s">
        <v>19</v>
      </c>
      <c r="F288" s="30" t="s">
        <v>28</v>
      </c>
      <c r="G288" s="30"/>
      <c r="H288" s="30" t="s">
        <v>742</v>
      </c>
      <c r="I288" s="31">
        <f t="shared" si="13"/>
        <v>28</v>
      </c>
      <c r="J288" s="146" t="s">
        <v>1690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thickBot="1" x14ac:dyDescent="0.3">
      <c r="A289" t="s">
        <v>310</v>
      </c>
      <c r="B289" t="s">
        <v>325</v>
      </c>
      <c r="C289" t="s">
        <v>1061</v>
      </c>
      <c r="D289" t="s">
        <v>326</v>
      </c>
      <c r="E289" s="30" t="s">
        <v>19</v>
      </c>
      <c r="F289" s="30" t="s">
        <v>28</v>
      </c>
      <c r="G289" s="30"/>
      <c r="H289" s="30" t="s">
        <v>743</v>
      </c>
      <c r="I289" s="31">
        <f t="shared" si="13"/>
        <v>25</v>
      </c>
      <c r="J289" s="146" t="s">
        <v>1889</v>
      </c>
      <c r="K289" s="31">
        <f t="shared" si="14"/>
        <v>3</v>
      </c>
      <c r="L289" s="32">
        <f t="shared" si="15"/>
        <v>0.8928571428571429</v>
      </c>
      <c r="M289" s="70" t="s">
        <v>2284</v>
      </c>
      <c r="N289" s="70" t="s">
        <v>2284</v>
      </c>
      <c r="O289" s="70" t="s">
        <v>2284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311</v>
      </c>
      <c r="C290" s="73" t="s">
        <v>1061</v>
      </c>
      <c r="D290" s="73" t="s">
        <v>312</v>
      </c>
      <c r="E290" s="85" t="s">
        <v>15</v>
      </c>
      <c r="F290" s="85" t="s">
        <v>1300</v>
      </c>
      <c r="G290" s="85"/>
      <c r="H290" s="85" t="s">
        <v>1370</v>
      </c>
      <c r="I290" s="141">
        <f t="shared" si="13"/>
        <v>28</v>
      </c>
      <c r="J290" s="146" t="s">
        <v>1890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310</v>
      </c>
      <c r="B291" s="73" t="s">
        <v>327</v>
      </c>
      <c r="C291" s="73" t="s">
        <v>1061</v>
      </c>
      <c r="D291" s="73" t="s">
        <v>328</v>
      </c>
      <c r="E291" s="85" t="s">
        <v>15</v>
      </c>
      <c r="F291" s="85" t="s">
        <v>1300</v>
      </c>
      <c r="G291" s="85"/>
      <c r="H291" s="85" t="s">
        <v>744</v>
      </c>
      <c r="I291" s="141">
        <f t="shared" si="13"/>
        <v>25</v>
      </c>
      <c r="J291" s="146" t="s">
        <v>1891</v>
      </c>
      <c r="K291" s="141">
        <f t="shared" si="14"/>
        <v>3</v>
      </c>
      <c r="L291" s="142">
        <f t="shared" si="15"/>
        <v>0.8928571428571429</v>
      </c>
      <c r="M291" s="70" t="s">
        <v>2284</v>
      </c>
      <c r="N291" s="70" t="s">
        <v>2284</v>
      </c>
      <c r="O291" s="70" t="s">
        <v>2284</v>
      </c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customHeight="1" thickBot="1" x14ac:dyDescent="0.3">
      <c r="A292" s="73" t="s">
        <v>310</v>
      </c>
      <c r="B292" s="73" t="s">
        <v>1341</v>
      </c>
      <c r="C292" s="73" t="s">
        <v>1061</v>
      </c>
      <c r="D292" s="73" t="s">
        <v>1342</v>
      </c>
      <c r="E292" s="85" t="s">
        <v>15</v>
      </c>
      <c r="F292" s="85" t="s">
        <v>1300</v>
      </c>
      <c r="G292" s="85"/>
      <c r="H292" s="85" t="s">
        <v>1357</v>
      </c>
      <c r="I292" s="141">
        <f t="shared" si="13"/>
        <v>28</v>
      </c>
      <c r="J292" s="146" t="s">
        <v>1892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thickBot="1" x14ac:dyDescent="0.3">
      <c r="A293" s="73" t="s">
        <v>1537</v>
      </c>
      <c r="B293" s="73" t="s">
        <v>1536</v>
      </c>
      <c r="C293" s="73" t="s">
        <v>1061</v>
      </c>
      <c r="D293" s="73" t="s">
        <v>1538</v>
      </c>
      <c r="E293" s="85" t="s">
        <v>19</v>
      </c>
      <c r="F293" s="85" t="s">
        <v>1300</v>
      </c>
      <c r="G293" s="85"/>
      <c r="H293" s="85" t="s">
        <v>1539</v>
      </c>
      <c r="I293" s="141">
        <f t="shared" si="13"/>
        <v>28</v>
      </c>
      <c r="J293" s="146" t="s">
        <v>1893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thickBot="1" x14ac:dyDescent="0.3">
      <c r="A294" s="73" t="s">
        <v>1537</v>
      </c>
      <c r="B294" s="73" t="s">
        <v>1650</v>
      </c>
      <c r="C294" s="73" t="s">
        <v>1061</v>
      </c>
      <c r="D294" s="73" t="s">
        <v>1651</v>
      </c>
      <c r="E294" s="85" t="s">
        <v>19</v>
      </c>
      <c r="F294" s="85" t="s">
        <v>28</v>
      </c>
      <c r="G294" s="85"/>
      <c r="H294" s="85" t="s">
        <v>1652</v>
      </c>
      <c r="I294" s="141">
        <f t="shared" si="13"/>
        <v>28</v>
      </c>
      <c r="J294" s="87" t="s">
        <v>2192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329</v>
      </c>
      <c r="C295" t="s">
        <v>1062</v>
      </c>
      <c r="D295" t="s">
        <v>330</v>
      </c>
      <c r="E295" s="30" t="s">
        <v>15</v>
      </c>
      <c r="F295" s="30" t="s">
        <v>28</v>
      </c>
      <c r="G295" s="30"/>
      <c r="H295" s="30" t="s">
        <v>745</v>
      </c>
      <c r="I295" s="31">
        <f t="shared" si="13"/>
        <v>28</v>
      </c>
      <c r="J295" s="146" t="s">
        <v>1894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332</v>
      </c>
      <c r="C296" t="s">
        <v>1062</v>
      </c>
      <c r="D296" t="s">
        <v>333</v>
      </c>
      <c r="E296" s="30" t="s">
        <v>73</v>
      </c>
      <c r="F296" s="30" t="s">
        <v>28</v>
      </c>
      <c r="G296" s="30"/>
      <c r="H296" s="30" t="s">
        <v>746</v>
      </c>
      <c r="I296" s="31">
        <f t="shared" si="13"/>
        <v>28</v>
      </c>
      <c r="J296" s="146" t="s">
        <v>1895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331</v>
      </c>
      <c r="B297" t="s">
        <v>334</v>
      </c>
      <c r="C297" t="s">
        <v>1062</v>
      </c>
      <c r="D297" t="s">
        <v>333</v>
      </c>
      <c r="E297" s="30" t="s">
        <v>73</v>
      </c>
      <c r="F297" s="30" t="s">
        <v>28</v>
      </c>
      <c r="G297" s="30"/>
      <c r="H297" s="30" t="s">
        <v>747</v>
      </c>
      <c r="I297" s="31">
        <f t="shared" si="13"/>
        <v>28</v>
      </c>
      <c r="J297" s="146" t="s">
        <v>1896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331</v>
      </c>
      <c r="B298" t="s">
        <v>335</v>
      </c>
      <c r="C298" t="s">
        <v>1062</v>
      </c>
      <c r="D298" t="s">
        <v>336</v>
      </c>
      <c r="E298" s="30" t="s">
        <v>73</v>
      </c>
      <c r="F298" s="30" t="s">
        <v>28</v>
      </c>
      <c r="G298" s="30"/>
      <c r="H298" s="30" t="s">
        <v>748</v>
      </c>
      <c r="I298" s="31">
        <f t="shared" si="13"/>
        <v>28</v>
      </c>
      <c r="J298" s="146" t="s">
        <v>1897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331</v>
      </c>
      <c r="B299" t="s">
        <v>337</v>
      </c>
      <c r="C299" t="s">
        <v>1062</v>
      </c>
      <c r="D299" t="s">
        <v>336</v>
      </c>
      <c r="E299" s="30" t="s">
        <v>73</v>
      </c>
      <c r="F299" s="30" t="s">
        <v>28</v>
      </c>
      <c r="G299" s="30"/>
      <c r="H299" s="30" t="s">
        <v>749</v>
      </c>
      <c r="I299" s="31">
        <f t="shared" si="13"/>
        <v>28</v>
      </c>
      <c r="J299" s="146" t="s">
        <v>1898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1061</v>
      </c>
      <c r="D300" t="s">
        <v>340</v>
      </c>
      <c r="E300" s="30" t="s">
        <v>15</v>
      </c>
      <c r="F300" s="30" t="s">
        <v>28</v>
      </c>
      <c r="G300" s="30"/>
      <c r="H300" s="30" t="s">
        <v>752</v>
      </c>
      <c r="I300" s="31">
        <f t="shared" si="13"/>
        <v>28</v>
      </c>
      <c r="J300" s="146" t="s">
        <v>1899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1061</v>
      </c>
      <c r="D301" t="s">
        <v>340</v>
      </c>
      <c r="E301" s="30" t="s">
        <v>73</v>
      </c>
      <c r="F301" s="30" t="s">
        <v>28</v>
      </c>
      <c r="G301" s="30"/>
      <c r="H301" s="30" t="s">
        <v>753</v>
      </c>
      <c r="I301" s="31">
        <f t="shared" si="13"/>
        <v>28</v>
      </c>
      <c r="J301" s="146" t="s">
        <v>1900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975</v>
      </c>
      <c r="C302" t="s">
        <v>1061</v>
      </c>
      <c r="D302" t="s">
        <v>976</v>
      </c>
      <c r="E302" s="30" t="s">
        <v>73</v>
      </c>
      <c r="F302" s="30" t="s">
        <v>28</v>
      </c>
      <c r="G302" s="30"/>
      <c r="H302" s="30" t="s">
        <v>1272</v>
      </c>
      <c r="I302" s="31">
        <f t="shared" si="13"/>
        <v>28</v>
      </c>
      <c r="J302" s="146" t="s">
        <v>1901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1062</v>
      </c>
      <c r="D303" t="s">
        <v>343</v>
      </c>
      <c r="E303" s="30" t="s">
        <v>15</v>
      </c>
      <c r="F303" s="30" t="s">
        <v>28</v>
      </c>
      <c r="G303" s="30"/>
      <c r="H303" s="30" t="s">
        <v>754</v>
      </c>
      <c r="I303" s="31">
        <f t="shared" si="13"/>
        <v>27</v>
      </c>
      <c r="J303" s="146" t="s">
        <v>1902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2284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1062</v>
      </c>
      <c r="D304" s="69" t="s">
        <v>343</v>
      </c>
      <c r="E304" s="30" t="s">
        <v>73</v>
      </c>
      <c r="F304" s="30" t="s">
        <v>28</v>
      </c>
      <c r="G304" s="30"/>
      <c r="H304" s="152" t="s">
        <v>755</v>
      </c>
      <c r="I304" s="31">
        <f t="shared" si="13"/>
        <v>20</v>
      </c>
      <c r="J304" s="146" t="s">
        <v>1903</v>
      </c>
      <c r="K304" s="31">
        <f t="shared" si="14"/>
        <v>8</v>
      </c>
      <c r="L304" s="32">
        <f t="shared" si="15"/>
        <v>0.7142857142857143</v>
      </c>
      <c r="M304" s="70" t="s">
        <v>2284</v>
      </c>
      <c r="N304" s="70" t="s">
        <v>2284</v>
      </c>
      <c r="O304" s="70" t="s">
        <v>2284</v>
      </c>
      <c r="P304" s="70" t="s">
        <v>2284</v>
      </c>
      <c r="Q304" s="70" t="s">
        <v>2284</v>
      </c>
      <c r="R304" s="70" t="s">
        <v>2284</v>
      </c>
      <c r="S304" s="70"/>
      <c r="T304" s="70"/>
      <c r="U304" s="70" t="s">
        <v>2284</v>
      </c>
      <c r="V304" s="70" t="s">
        <v>2284</v>
      </c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thickBot="1" x14ac:dyDescent="0.3">
      <c r="A305" t="s">
        <v>186</v>
      </c>
      <c r="B305" t="s">
        <v>1294</v>
      </c>
      <c r="C305" t="s">
        <v>1062</v>
      </c>
      <c r="D305" t="s">
        <v>977</v>
      </c>
      <c r="E305" s="30" t="s">
        <v>73</v>
      </c>
      <c r="F305" s="30" t="s">
        <v>28</v>
      </c>
      <c r="G305" s="30"/>
      <c r="H305" s="30" t="s">
        <v>1273</v>
      </c>
      <c r="I305" s="31">
        <f t="shared" si="13"/>
        <v>27</v>
      </c>
      <c r="J305" s="146" t="s">
        <v>1904</v>
      </c>
      <c r="K305" s="31">
        <f t="shared" si="14"/>
        <v>1</v>
      </c>
      <c r="L305" s="32">
        <f t="shared" si="15"/>
        <v>0.9642857142857143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2284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1062</v>
      </c>
      <c r="D306" t="s">
        <v>346</v>
      </c>
      <c r="E306" s="30" t="s">
        <v>15</v>
      </c>
      <c r="F306" s="30" t="s">
        <v>28</v>
      </c>
      <c r="G306" s="30"/>
      <c r="H306" s="30" t="s">
        <v>756</v>
      </c>
      <c r="I306" s="31">
        <f t="shared" si="13"/>
        <v>27</v>
      </c>
      <c r="J306" s="146" t="s">
        <v>1905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2284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1062</v>
      </c>
      <c r="D307" t="s">
        <v>346</v>
      </c>
      <c r="E307" s="30" t="s">
        <v>73</v>
      </c>
      <c r="F307" s="30" t="s">
        <v>28</v>
      </c>
      <c r="G307" s="30"/>
      <c r="H307" s="30" t="s">
        <v>757</v>
      </c>
      <c r="I307" s="31">
        <f t="shared" si="13"/>
        <v>27</v>
      </c>
      <c r="J307" s="146" t="s">
        <v>1906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2284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1293</v>
      </c>
      <c r="C308" t="s">
        <v>1062</v>
      </c>
      <c r="D308" t="s">
        <v>978</v>
      </c>
      <c r="E308" s="30" t="s">
        <v>19</v>
      </c>
      <c r="F308" s="30" t="s">
        <v>28</v>
      </c>
      <c r="G308" s="30"/>
      <c r="H308" s="30" t="s">
        <v>1274</v>
      </c>
      <c r="I308" s="31">
        <f t="shared" si="13"/>
        <v>27</v>
      </c>
      <c r="J308" s="146" t="s">
        <v>1907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2284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1062</v>
      </c>
      <c r="D309" t="s">
        <v>349</v>
      </c>
      <c r="E309" s="30" t="s">
        <v>73</v>
      </c>
      <c r="F309" s="30" t="s">
        <v>28</v>
      </c>
      <c r="G309" s="30"/>
      <c r="H309" s="30" t="s">
        <v>759</v>
      </c>
      <c r="I309" s="31">
        <f t="shared" si="13"/>
        <v>28</v>
      </c>
      <c r="J309" s="146" t="s">
        <v>1908</v>
      </c>
      <c r="K309" s="31">
        <f t="shared" si="14"/>
        <v>0</v>
      </c>
      <c r="L309" s="32">
        <f t="shared" si="15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1062</v>
      </c>
      <c r="D310" t="s">
        <v>349</v>
      </c>
      <c r="E310" s="30" t="s">
        <v>15</v>
      </c>
      <c r="F310" s="30" t="s">
        <v>28</v>
      </c>
      <c r="G310" s="30"/>
      <c r="H310" s="30" t="s">
        <v>760</v>
      </c>
      <c r="I310" s="31">
        <f t="shared" si="13"/>
        <v>28</v>
      </c>
      <c r="J310" s="146" t="s">
        <v>1909</v>
      </c>
      <c r="K310" s="31">
        <f t="shared" si="14"/>
        <v>0</v>
      </c>
      <c r="L310" s="32">
        <f t="shared" si="15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979</v>
      </c>
      <c r="C311" t="s">
        <v>1062</v>
      </c>
      <c r="D311" t="s">
        <v>980</v>
      </c>
      <c r="E311" s="30" t="s">
        <v>73</v>
      </c>
      <c r="F311" s="30" t="s">
        <v>28</v>
      </c>
      <c r="G311" s="30"/>
      <c r="H311" s="30" t="s">
        <v>1275</v>
      </c>
      <c r="I311" s="31">
        <f t="shared" si="13"/>
        <v>28</v>
      </c>
      <c r="J311" s="146" t="s">
        <v>1910</v>
      </c>
      <c r="K311" s="31">
        <f t="shared" si="14"/>
        <v>0</v>
      </c>
      <c r="L311" s="32">
        <f t="shared" si="15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1062</v>
      </c>
      <c r="D312" t="s">
        <v>352</v>
      </c>
      <c r="E312" s="30" t="s">
        <v>15</v>
      </c>
      <c r="F312" s="30" t="s">
        <v>28</v>
      </c>
      <c r="G312" s="30"/>
      <c r="H312" s="30" t="s">
        <v>761</v>
      </c>
      <c r="I312" s="31">
        <f t="shared" si="13"/>
        <v>28</v>
      </c>
      <c r="J312" s="146" t="s">
        <v>1911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1062</v>
      </c>
      <c r="D313" t="s">
        <v>352</v>
      </c>
      <c r="E313" s="30" t="s">
        <v>73</v>
      </c>
      <c r="F313" s="30" t="s">
        <v>28</v>
      </c>
      <c r="G313" s="30"/>
      <c r="H313" s="30" t="s">
        <v>762</v>
      </c>
      <c r="I313" s="31">
        <f t="shared" si="13"/>
        <v>28</v>
      </c>
      <c r="J313" s="146" t="s">
        <v>1912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981</v>
      </c>
      <c r="C314" t="s">
        <v>1062</v>
      </c>
      <c r="D314" t="s">
        <v>352</v>
      </c>
      <c r="E314" s="30" t="s">
        <v>19</v>
      </c>
      <c r="F314" s="30" t="s">
        <v>28</v>
      </c>
      <c r="G314" s="30"/>
      <c r="H314" s="30" t="s">
        <v>1276</v>
      </c>
      <c r="I314" s="31">
        <f t="shared" si="13"/>
        <v>28</v>
      </c>
      <c r="J314" s="146" t="s">
        <v>1913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974</v>
      </c>
      <c r="C315" t="s">
        <v>1062</v>
      </c>
      <c r="D315" t="s">
        <v>355</v>
      </c>
      <c r="E315" s="30" t="s">
        <v>15</v>
      </c>
      <c r="F315" s="30" t="s">
        <v>28</v>
      </c>
      <c r="G315" s="30"/>
      <c r="H315" s="30" t="s">
        <v>767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1062</v>
      </c>
      <c r="D316" s="73" t="s">
        <v>357</v>
      </c>
      <c r="E316" s="85" t="s">
        <v>15</v>
      </c>
      <c r="F316" s="85" t="s">
        <v>1300</v>
      </c>
      <c r="G316" s="85"/>
      <c r="H316" s="85" t="s">
        <v>763</v>
      </c>
      <c r="I316" s="141">
        <f t="shared" si="13"/>
        <v>20</v>
      </c>
      <c r="J316" s="146" t="s">
        <v>1914</v>
      </c>
      <c r="K316" s="141">
        <f t="shared" si="14"/>
        <v>8</v>
      </c>
      <c r="L316" s="142">
        <f t="shared" si="15"/>
        <v>0.7142857142857143</v>
      </c>
      <c r="M316" s="70" t="s">
        <v>2284</v>
      </c>
      <c r="N316" s="70" t="s">
        <v>2284</v>
      </c>
      <c r="O316" s="70" t="s">
        <v>2284</v>
      </c>
      <c r="P316" s="70" t="s">
        <v>2284</v>
      </c>
      <c r="Q316" s="70" t="s">
        <v>2284</v>
      </c>
      <c r="R316" s="70" t="s">
        <v>2284</v>
      </c>
      <c r="S316" s="70"/>
      <c r="T316" s="70"/>
      <c r="U316" s="70" t="s">
        <v>2284</v>
      </c>
      <c r="V316" s="70" t="s">
        <v>2284</v>
      </c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1062</v>
      </c>
      <c r="D317" s="73" t="s">
        <v>357</v>
      </c>
      <c r="E317" s="85" t="s">
        <v>73</v>
      </c>
      <c r="F317" s="85" t="s">
        <v>1300</v>
      </c>
      <c r="G317" s="85"/>
      <c r="H317" s="85" t="s">
        <v>1629</v>
      </c>
      <c r="I317" s="141">
        <f t="shared" si="13"/>
        <v>28</v>
      </c>
      <c r="J317" s="146" t="s">
        <v>2149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982</v>
      </c>
      <c r="C318" s="73" t="s">
        <v>1062</v>
      </c>
      <c r="D318" s="73" t="s">
        <v>983</v>
      </c>
      <c r="E318" s="85" t="s">
        <v>73</v>
      </c>
      <c r="F318" s="85" t="s">
        <v>1300</v>
      </c>
      <c r="G318" s="85"/>
      <c r="H318" s="85" t="s">
        <v>1277</v>
      </c>
      <c r="I318" s="31">
        <f t="shared" ref="I318:I388" si="16">COUNTIF(M318:AN318,"")</f>
        <v>21</v>
      </c>
      <c r="J318" s="146" t="s">
        <v>1915</v>
      </c>
      <c r="K318" s="31">
        <f t="shared" ref="K318:K388" si="17">COUNTIF(M318:AN318,"APAGADO")</f>
        <v>7</v>
      </c>
      <c r="L318" s="32">
        <f t="shared" ref="L318:L388" si="18">(I318)/(K318+I318)</f>
        <v>0.75</v>
      </c>
      <c r="M318" s="70" t="s">
        <v>2284</v>
      </c>
      <c r="N318" s="70" t="s">
        <v>2284</v>
      </c>
      <c r="O318" s="70" t="s">
        <v>2284</v>
      </c>
      <c r="P318" s="70" t="s">
        <v>2284</v>
      </c>
      <c r="Q318" s="70" t="s">
        <v>2284</v>
      </c>
      <c r="R318" s="70" t="s">
        <v>2284</v>
      </c>
      <c r="S318" s="70"/>
      <c r="T318" s="70"/>
      <c r="U318" s="70"/>
      <c r="V318" s="70" t="s">
        <v>2284</v>
      </c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1208</v>
      </c>
      <c r="C319" s="73" t="s">
        <v>1062</v>
      </c>
      <c r="D319" s="73" t="s">
        <v>1209</v>
      </c>
      <c r="E319" s="85" t="s">
        <v>15</v>
      </c>
      <c r="F319" s="85" t="s">
        <v>1300</v>
      </c>
      <c r="G319" s="85"/>
      <c r="H319" s="85" t="s">
        <v>768</v>
      </c>
      <c r="I319" s="141">
        <f t="shared" si="16"/>
        <v>21</v>
      </c>
      <c r="J319" s="146" t="s">
        <v>1916</v>
      </c>
      <c r="K319" s="141">
        <f t="shared" si="17"/>
        <v>7</v>
      </c>
      <c r="L319" s="142">
        <f t="shared" si="18"/>
        <v>0.75</v>
      </c>
      <c r="M319" s="70" t="s">
        <v>2284</v>
      </c>
      <c r="N319" s="70" t="s">
        <v>2284</v>
      </c>
      <c r="O319" s="70" t="s">
        <v>2284</v>
      </c>
      <c r="P319" s="70" t="s">
        <v>2284</v>
      </c>
      <c r="Q319" s="70" t="s">
        <v>2284</v>
      </c>
      <c r="R319" s="70" t="s">
        <v>2284</v>
      </c>
      <c r="S319" s="70"/>
      <c r="T319" s="70"/>
      <c r="U319" s="70"/>
      <c r="V319" s="70" t="s">
        <v>2284</v>
      </c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1062</v>
      </c>
      <c r="D320" s="73" t="s">
        <v>1209</v>
      </c>
      <c r="E320" s="85" t="s">
        <v>73</v>
      </c>
      <c r="F320" s="85" t="s">
        <v>1300</v>
      </c>
      <c r="G320" s="85"/>
      <c r="H320" s="85" t="s">
        <v>769</v>
      </c>
      <c r="I320" s="141">
        <f t="shared" si="16"/>
        <v>20</v>
      </c>
      <c r="J320" s="87" t="s">
        <v>2193</v>
      </c>
      <c r="K320" s="141">
        <f t="shared" si="17"/>
        <v>8</v>
      </c>
      <c r="L320" s="142">
        <f t="shared" si="18"/>
        <v>0.7142857142857143</v>
      </c>
      <c r="M320" s="70" t="s">
        <v>2284</v>
      </c>
      <c r="N320" s="70" t="s">
        <v>2284</v>
      </c>
      <c r="O320" s="70" t="s">
        <v>2284</v>
      </c>
      <c r="P320" s="70" t="s">
        <v>2284</v>
      </c>
      <c r="Q320" s="70" t="s">
        <v>2284</v>
      </c>
      <c r="R320" s="70" t="s">
        <v>2284</v>
      </c>
      <c r="S320" s="70"/>
      <c r="T320" s="70"/>
      <c r="U320" s="70" t="s">
        <v>2284</v>
      </c>
      <c r="V320" s="70" t="s">
        <v>2284</v>
      </c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984</v>
      </c>
      <c r="C321" s="73" t="s">
        <v>1062</v>
      </c>
      <c r="D321" s="73" t="s">
        <v>985</v>
      </c>
      <c r="E321" s="85" t="s">
        <v>19</v>
      </c>
      <c r="F321" s="85" t="s">
        <v>1300</v>
      </c>
      <c r="G321" s="85"/>
      <c r="H321" s="85" t="s">
        <v>1278</v>
      </c>
      <c r="I321" s="141">
        <f t="shared" si="16"/>
        <v>20</v>
      </c>
      <c r="J321" s="146" t="s">
        <v>1917</v>
      </c>
      <c r="K321" s="141">
        <f t="shared" si="17"/>
        <v>8</v>
      </c>
      <c r="L321" s="142">
        <f t="shared" si="18"/>
        <v>0.7142857142857143</v>
      </c>
      <c r="M321" s="70" t="s">
        <v>2284</v>
      </c>
      <c r="N321" s="70" t="s">
        <v>2284</v>
      </c>
      <c r="O321" s="70" t="s">
        <v>2284</v>
      </c>
      <c r="P321" s="70" t="s">
        <v>2284</v>
      </c>
      <c r="Q321" s="70" t="s">
        <v>2284</v>
      </c>
      <c r="R321" s="70" t="s">
        <v>2284</v>
      </c>
      <c r="S321" s="70"/>
      <c r="T321" s="70"/>
      <c r="U321" s="70" t="s">
        <v>2284</v>
      </c>
      <c r="V321" s="70" t="s">
        <v>2284</v>
      </c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1062</v>
      </c>
      <c r="D322" t="s">
        <v>362</v>
      </c>
      <c r="E322" s="30" t="s">
        <v>15</v>
      </c>
      <c r="F322" s="30" t="s">
        <v>28</v>
      </c>
      <c r="G322" s="30"/>
      <c r="H322" s="30" t="s">
        <v>765</v>
      </c>
      <c r="I322" s="31">
        <f t="shared" si="16"/>
        <v>20</v>
      </c>
      <c r="J322" s="146" t="s">
        <v>1918</v>
      </c>
      <c r="K322" s="31">
        <f t="shared" si="17"/>
        <v>8</v>
      </c>
      <c r="L322" s="32">
        <f t="shared" si="18"/>
        <v>0.7142857142857143</v>
      </c>
      <c r="M322" s="70" t="s">
        <v>2284</v>
      </c>
      <c r="N322" s="70" t="s">
        <v>2284</v>
      </c>
      <c r="O322" s="70" t="s">
        <v>2284</v>
      </c>
      <c r="P322" s="70" t="s">
        <v>2284</v>
      </c>
      <c r="Q322" s="70" t="s">
        <v>2284</v>
      </c>
      <c r="R322" s="70" t="s">
        <v>2284</v>
      </c>
      <c r="S322" s="70"/>
      <c r="T322" s="70"/>
      <c r="U322" s="70" t="s">
        <v>2284</v>
      </c>
      <c r="V322" s="70" t="s">
        <v>2284</v>
      </c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1062</v>
      </c>
      <c r="D323" t="s">
        <v>362</v>
      </c>
      <c r="E323" s="30" t="s">
        <v>73</v>
      </c>
      <c r="F323" s="30" t="s">
        <v>28</v>
      </c>
      <c r="G323" s="30"/>
      <c r="H323" s="30" t="s">
        <v>764</v>
      </c>
      <c r="I323" s="31">
        <f t="shared" si="16"/>
        <v>25</v>
      </c>
      <c r="J323" s="146" t="s">
        <v>1919</v>
      </c>
      <c r="K323" s="31">
        <f t="shared" si="17"/>
        <v>3</v>
      </c>
      <c r="L323" s="32">
        <f t="shared" si="18"/>
        <v>0.8928571428571429</v>
      </c>
      <c r="M323" s="70" t="s">
        <v>2284</v>
      </c>
      <c r="N323" s="70" t="s">
        <v>2284</v>
      </c>
      <c r="O323" s="70" t="s">
        <v>2284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986</v>
      </c>
      <c r="C324" t="s">
        <v>1062</v>
      </c>
      <c r="D324" t="s">
        <v>987</v>
      </c>
      <c r="E324" s="30" t="s">
        <v>73</v>
      </c>
      <c r="F324" s="30" t="s">
        <v>28</v>
      </c>
      <c r="G324" s="30"/>
      <c r="H324" s="30" t="s">
        <v>1279</v>
      </c>
      <c r="I324" s="31">
        <f t="shared" si="16"/>
        <v>25</v>
      </c>
      <c r="J324" s="146" t="s">
        <v>1920</v>
      </c>
      <c r="K324" s="31">
        <f t="shared" si="17"/>
        <v>3</v>
      </c>
      <c r="L324" s="32">
        <f t="shared" si="18"/>
        <v>0.8928571428571429</v>
      </c>
      <c r="M324" s="70" t="s">
        <v>2284</v>
      </c>
      <c r="N324" s="70" t="s">
        <v>2284</v>
      </c>
      <c r="O324" s="70" t="s">
        <v>2284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1290</v>
      </c>
      <c r="C325" t="s">
        <v>1062</v>
      </c>
      <c r="D325" t="s">
        <v>989</v>
      </c>
      <c r="E325" s="30" t="s">
        <v>73</v>
      </c>
      <c r="F325" s="30" t="s">
        <v>28</v>
      </c>
      <c r="G325" s="30"/>
      <c r="H325" s="30" t="s">
        <v>766</v>
      </c>
      <c r="I325" s="31">
        <f t="shared" si="16"/>
        <v>28</v>
      </c>
      <c r="J325" s="146" t="s">
        <v>1921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1291</v>
      </c>
      <c r="C326" t="s">
        <v>1062</v>
      </c>
      <c r="D326" t="s">
        <v>989</v>
      </c>
      <c r="E326" s="30" t="s">
        <v>73</v>
      </c>
      <c r="F326" s="30" t="s">
        <v>28</v>
      </c>
      <c r="G326" s="30"/>
      <c r="H326" s="30" t="s">
        <v>758</v>
      </c>
      <c r="I326" s="31">
        <f t="shared" si="16"/>
        <v>28</v>
      </c>
      <c r="J326" s="146" t="s">
        <v>1922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988</v>
      </c>
      <c r="C327" t="s">
        <v>1062</v>
      </c>
      <c r="D327" t="s">
        <v>989</v>
      </c>
      <c r="E327" s="30" t="s">
        <v>73</v>
      </c>
      <c r="F327" s="30" t="s">
        <v>28</v>
      </c>
      <c r="G327" s="30"/>
      <c r="H327" s="30" t="s">
        <v>1292</v>
      </c>
      <c r="I327" s="31">
        <f t="shared" si="16"/>
        <v>28</v>
      </c>
      <c r="J327" s="146" t="s">
        <v>1923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1062</v>
      </c>
      <c r="D328" t="s">
        <v>367</v>
      </c>
      <c r="E328" s="30" t="s">
        <v>15</v>
      </c>
      <c r="F328" s="30" t="s">
        <v>28</v>
      </c>
      <c r="G328" s="30"/>
      <c r="H328" s="30" t="s">
        <v>770</v>
      </c>
      <c r="I328" s="31">
        <f t="shared" si="16"/>
        <v>28</v>
      </c>
      <c r="J328" s="146" t="s">
        <v>1924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990</v>
      </c>
      <c r="C329" t="s">
        <v>1062</v>
      </c>
      <c r="D329" t="s">
        <v>368</v>
      </c>
      <c r="E329" s="30" t="s">
        <v>15</v>
      </c>
      <c r="F329" s="30" t="s">
        <v>28</v>
      </c>
      <c r="G329" s="30"/>
      <c r="H329" s="30" t="s">
        <v>771</v>
      </c>
      <c r="I329" s="31">
        <f t="shared" si="16"/>
        <v>28</v>
      </c>
      <c r="J329" s="146" t="s">
        <v>1925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369</v>
      </c>
      <c r="C330" t="s">
        <v>1062</v>
      </c>
      <c r="D330" t="s">
        <v>370</v>
      </c>
      <c r="E330" s="30" t="s">
        <v>73</v>
      </c>
      <c r="F330" s="30" t="s">
        <v>28</v>
      </c>
      <c r="G330" s="30"/>
      <c r="H330" s="30" t="s">
        <v>772</v>
      </c>
      <c r="I330" s="31">
        <f t="shared" si="16"/>
        <v>28</v>
      </c>
      <c r="J330" s="146" t="s">
        <v>1926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371</v>
      </c>
      <c r="C331" t="s">
        <v>1062</v>
      </c>
      <c r="D331" t="s">
        <v>370</v>
      </c>
      <c r="E331" s="30" t="s">
        <v>73</v>
      </c>
      <c r="F331" s="30" t="s">
        <v>28</v>
      </c>
      <c r="G331" s="30"/>
      <c r="H331" s="30" t="s">
        <v>773</v>
      </c>
      <c r="I331" s="31">
        <f t="shared" si="16"/>
        <v>28</v>
      </c>
      <c r="J331" s="146" t="s">
        <v>1927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372</v>
      </c>
      <c r="C332" t="s">
        <v>1062</v>
      </c>
      <c r="D332" t="s">
        <v>373</v>
      </c>
      <c r="E332" s="30" t="s">
        <v>73</v>
      </c>
      <c r="F332" s="30" t="s">
        <v>28</v>
      </c>
      <c r="G332" s="30"/>
      <c r="H332" s="30" t="s">
        <v>774</v>
      </c>
      <c r="I332" s="31">
        <f t="shared" si="16"/>
        <v>28</v>
      </c>
      <c r="J332" s="146" t="s">
        <v>1928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374</v>
      </c>
      <c r="C333" t="s">
        <v>1062</v>
      </c>
      <c r="D333" t="s">
        <v>373</v>
      </c>
      <c r="E333" s="30" t="s">
        <v>46</v>
      </c>
      <c r="F333" s="30" t="s">
        <v>28</v>
      </c>
      <c r="G333" s="30"/>
      <c r="H333" s="30" t="s">
        <v>775</v>
      </c>
      <c r="I333" s="31">
        <f t="shared" si="16"/>
        <v>28</v>
      </c>
      <c r="J333" s="146" t="s">
        <v>1929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1334</v>
      </c>
      <c r="C334" t="s">
        <v>1061</v>
      </c>
      <c r="D334" t="s">
        <v>1335</v>
      </c>
      <c r="E334" s="30"/>
      <c r="F334" s="30" t="s">
        <v>28</v>
      </c>
      <c r="G334" s="30"/>
      <c r="H334" s="30" t="s">
        <v>1345</v>
      </c>
      <c r="I334" s="31">
        <f t="shared" si="16"/>
        <v>28</v>
      </c>
      <c r="J334" s="146" t="s">
        <v>1930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1378</v>
      </c>
      <c r="C335" t="s">
        <v>1062</v>
      </c>
      <c r="D335" s="68" t="s">
        <v>1381</v>
      </c>
      <c r="E335" s="30" t="s">
        <v>19</v>
      </c>
      <c r="F335" s="30" t="s">
        <v>28</v>
      </c>
      <c r="G335" s="30"/>
      <c r="H335" s="30" t="s">
        <v>1393</v>
      </c>
      <c r="I335" s="31">
        <f t="shared" si="16"/>
        <v>27</v>
      </c>
      <c r="J335" s="146" t="s">
        <v>1931</v>
      </c>
      <c r="K335" s="31">
        <f t="shared" si="17"/>
        <v>1</v>
      </c>
      <c r="L335" s="32">
        <f t="shared" si="18"/>
        <v>0.9642857142857143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2284</v>
      </c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1379</v>
      </c>
      <c r="C336" t="s">
        <v>1062</v>
      </c>
      <c r="D336" s="68" t="s">
        <v>1382</v>
      </c>
      <c r="E336" s="30" t="s">
        <v>73</v>
      </c>
      <c r="F336" s="30" t="s">
        <v>28</v>
      </c>
      <c r="G336" s="30"/>
      <c r="H336" s="30" t="s">
        <v>1394</v>
      </c>
      <c r="I336" s="31">
        <f t="shared" si="16"/>
        <v>27</v>
      </c>
      <c r="J336" s="146" t="s">
        <v>1932</v>
      </c>
      <c r="K336" s="31">
        <f t="shared" si="17"/>
        <v>1</v>
      </c>
      <c r="L336" s="32">
        <f t="shared" si="18"/>
        <v>0.9642857142857143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2284</v>
      </c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1380</v>
      </c>
      <c r="C337" t="s">
        <v>1062</v>
      </c>
      <c r="D337" s="68" t="s">
        <v>1383</v>
      </c>
      <c r="E337" s="30" t="s">
        <v>73</v>
      </c>
      <c r="F337" s="30" t="s">
        <v>28</v>
      </c>
      <c r="G337" s="30"/>
      <c r="H337" s="30" t="s">
        <v>1395</v>
      </c>
      <c r="I337" s="31">
        <f t="shared" si="16"/>
        <v>27</v>
      </c>
      <c r="J337" s="146" t="s">
        <v>1933</v>
      </c>
      <c r="K337" s="31">
        <f t="shared" si="17"/>
        <v>1</v>
      </c>
      <c r="L337" s="32">
        <f t="shared" si="18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2284</v>
      </c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2253</v>
      </c>
      <c r="C338" t="s">
        <v>1062</v>
      </c>
      <c r="D338" s="68" t="s">
        <v>2235</v>
      </c>
      <c r="E338" s="85" t="s">
        <v>15</v>
      </c>
      <c r="F338" s="30" t="s">
        <v>28</v>
      </c>
      <c r="G338" s="30"/>
      <c r="H338" s="30" t="s">
        <v>2254</v>
      </c>
      <c r="I338" s="31">
        <f t="shared" si="16"/>
        <v>27</v>
      </c>
      <c r="J338" s="151" t="s">
        <v>2236</v>
      </c>
      <c r="K338" s="31">
        <f t="shared" si="17"/>
        <v>1</v>
      </c>
      <c r="L338" s="32">
        <f t="shared" si="18"/>
        <v>0.9642857142857143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2284</v>
      </c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2237</v>
      </c>
      <c r="C339" t="s">
        <v>1062</v>
      </c>
      <c r="D339" s="68" t="s">
        <v>2238</v>
      </c>
      <c r="E339" s="85" t="s">
        <v>15</v>
      </c>
      <c r="F339" s="30" t="s">
        <v>28</v>
      </c>
      <c r="G339" s="30"/>
      <c r="H339" s="30" t="s">
        <v>2239</v>
      </c>
      <c r="I339" s="31">
        <f t="shared" si="16"/>
        <v>27</v>
      </c>
      <c r="J339" s="146" t="s">
        <v>2240</v>
      </c>
      <c r="K339" s="31">
        <f t="shared" si="17"/>
        <v>1</v>
      </c>
      <c r="L339" s="32">
        <f t="shared" si="18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2284</v>
      </c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thickBot="1" x14ac:dyDescent="0.3">
      <c r="A340" s="73" t="s">
        <v>375</v>
      </c>
      <c r="B340" s="73" t="s">
        <v>1000</v>
      </c>
      <c r="C340" s="73" t="s">
        <v>1062</v>
      </c>
      <c r="D340" s="73" t="s">
        <v>376</v>
      </c>
      <c r="E340" s="85" t="s">
        <v>15</v>
      </c>
      <c r="F340" s="85" t="s">
        <v>28</v>
      </c>
      <c r="G340" s="85"/>
      <c r="H340" s="85" t="s">
        <v>776</v>
      </c>
      <c r="I340" s="87">
        <f t="shared" si="16"/>
        <v>28</v>
      </c>
      <c r="J340" s="146" t="s">
        <v>1934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1001</v>
      </c>
      <c r="C341" t="s">
        <v>1062</v>
      </c>
      <c r="D341" t="s">
        <v>377</v>
      </c>
      <c r="E341" s="30" t="s">
        <v>15</v>
      </c>
      <c r="F341" s="30" t="s">
        <v>28</v>
      </c>
      <c r="G341" s="30"/>
      <c r="H341" s="30" t="s">
        <v>779</v>
      </c>
      <c r="I341" s="31">
        <f t="shared" si="16"/>
        <v>28</v>
      </c>
      <c r="J341" s="146" t="s">
        <v>1935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378</v>
      </c>
      <c r="C342" t="s">
        <v>1062</v>
      </c>
      <c r="D342" t="s">
        <v>379</v>
      </c>
      <c r="E342" s="30" t="s">
        <v>73</v>
      </c>
      <c r="F342" s="30" t="s">
        <v>28</v>
      </c>
      <c r="G342" s="30"/>
      <c r="H342" s="30" t="s">
        <v>777</v>
      </c>
      <c r="I342" s="31">
        <f t="shared" si="16"/>
        <v>28</v>
      </c>
      <c r="J342" s="146" t="s">
        <v>1936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380</v>
      </c>
      <c r="C343" t="s">
        <v>1062</v>
      </c>
      <c r="D343" t="s">
        <v>379</v>
      </c>
      <c r="E343" s="30" t="s">
        <v>73</v>
      </c>
      <c r="F343" s="30" t="s">
        <v>28</v>
      </c>
      <c r="G343" s="30"/>
      <c r="H343" s="30" t="s">
        <v>778</v>
      </c>
      <c r="I343" s="31">
        <f t="shared" si="16"/>
        <v>28</v>
      </c>
      <c r="J343" s="146" t="s">
        <v>1937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991</v>
      </c>
      <c r="C344" t="s">
        <v>1062</v>
      </c>
      <c r="D344" t="s">
        <v>381</v>
      </c>
      <c r="E344" s="30" t="s">
        <v>15</v>
      </c>
      <c r="F344" s="30" t="s">
        <v>28</v>
      </c>
      <c r="G344" s="30"/>
      <c r="H344" s="30" t="s">
        <v>780</v>
      </c>
      <c r="I344" s="31">
        <f t="shared" si="16"/>
        <v>28</v>
      </c>
      <c r="J344" s="146" t="s">
        <v>1938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992</v>
      </c>
      <c r="C345" t="s">
        <v>1062</v>
      </c>
      <c r="D345" t="s">
        <v>993</v>
      </c>
      <c r="E345" s="30" t="s">
        <v>19</v>
      </c>
      <c r="F345" s="30" t="s">
        <v>28</v>
      </c>
      <c r="G345" s="30"/>
      <c r="H345" s="30" t="s">
        <v>905</v>
      </c>
      <c r="I345" s="31">
        <f t="shared" si="16"/>
        <v>26</v>
      </c>
      <c r="J345" s="146" t="s">
        <v>1939</v>
      </c>
      <c r="K345" s="31">
        <f t="shared" si="17"/>
        <v>2</v>
      </c>
      <c r="L345" s="32">
        <f t="shared" si="18"/>
        <v>0.9285714285714286</v>
      </c>
      <c r="M345" s="70"/>
      <c r="N345" s="70"/>
      <c r="O345" s="70"/>
      <c r="P345" s="70"/>
      <c r="Q345" s="70"/>
      <c r="R345" s="70"/>
      <c r="S345" s="70"/>
      <c r="T345" s="70"/>
      <c r="U345" s="70" t="s">
        <v>2284</v>
      </c>
      <c r="V345" s="70" t="s">
        <v>2284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thickBot="1" x14ac:dyDescent="0.3">
      <c r="A346" t="s">
        <v>375</v>
      </c>
      <c r="B346" t="s">
        <v>994</v>
      </c>
      <c r="C346" t="s">
        <v>1062</v>
      </c>
      <c r="D346" t="s">
        <v>995</v>
      </c>
      <c r="E346" s="30" t="s">
        <v>19</v>
      </c>
      <c r="F346" s="30" t="s">
        <v>28</v>
      </c>
      <c r="G346" s="30"/>
      <c r="H346" s="30" t="s">
        <v>906</v>
      </c>
      <c r="I346" s="31">
        <f t="shared" si="16"/>
        <v>28</v>
      </c>
      <c r="J346" s="146" t="s">
        <v>1940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996</v>
      </c>
      <c r="C347" t="s">
        <v>1062</v>
      </c>
      <c r="D347" t="s">
        <v>997</v>
      </c>
      <c r="E347" s="30" t="s">
        <v>19</v>
      </c>
      <c r="F347" s="30" t="s">
        <v>28</v>
      </c>
      <c r="G347" s="30"/>
      <c r="H347" s="30" t="s">
        <v>907</v>
      </c>
      <c r="I347" s="31">
        <f t="shared" si="16"/>
        <v>28</v>
      </c>
      <c r="J347" s="146" t="s">
        <v>1941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998</v>
      </c>
      <c r="C348" t="s">
        <v>1062</v>
      </c>
      <c r="D348" t="s">
        <v>999</v>
      </c>
      <c r="E348" s="30" t="s">
        <v>19</v>
      </c>
      <c r="F348" s="30" t="s">
        <v>28</v>
      </c>
      <c r="G348" s="30"/>
      <c r="H348" s="30" t="s">
        <v>908</v>
      </c>
      <c r="I348" s="31">
        <f t="shared" si="16"/>
        <v>26</v>
      </c>
      <c r="J348" s="146" t="s">
        <v>1942</v>
      </c>
      <c r="K348" s="31">
        <f t="shared" si="17"/>
        <v>2</v>
      </c>
      <c r="L348" s="32">
        <f t="shared" si="18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 t="s">
        <v>2284</v>
      </c>
      <c r="V348" s="70" t="s">
        <v>2284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thickBot="1" x14ac:dyDescent="0.3">
      <c r="A349" t="s">
        <v>375</v>
      </c>
      <c r="B349" t="s">
        <v>1173</v>
      </c>
      <c r="C349" t="s">
        <v>1062</v>
      </c>
      <c r="D349" t="s">
        <v>1156</v>
      </c>
      <c r="E349" s="30" t="s">
        <v>19</v>
      </c>
      <c r="F349" s="30" t="s">
        <v>28</v>
      </c>
      <c r="G349" s="30"/>
      <c r="H349" s="30" t="s">
        <v>1158</v>
      </c>
      <c r="I349" s="31">
        <f t="shared" si="16"/>
        <v>28</v>
      </c>
      <c r="J349" s="146" t="s">
        <v>1943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1174</v>
      </c>
      <c r="C350" t="s">
        <v>1062</v>
      </c>
      <c r="D350" t="s">
        <v>1156</v>
      </c>
      <c r="E350" s="30" t="s">
        <v>19</v>
      </c>
      <c r="F350" s="30" t="s">
        <v>28</v>
      </c>
      <c r="G350" s="30"/>
      <c r="H350" s="30" t="s">
        <v>1159</v>
      </c>
      <c r="I350" s="31">
        <f t="shared" si="16"/>
        <v>28</v>
      </c>
      <c r="J350" s="146" t="s">
        <v>1944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thickBot="1" x14ac:dyDescent="0.3">
      <c r="A351" t="s">
        <v>375</v>
      </c>
      <c r="B351" t="s">
        <v>1192</v>
      </c>
      <c r="C351" t="s">
        <v>1062</v>
      </c>
      <c r="D351" t="s">
        <v>1155</v>
      </c>
      <c r="E351" s="30" t="s">
        <v>15</v>
      </c>
      <c r="F351" s="30" t="s">
        <v>28</v>
      </c>
      <c r="G351" s="30"/>
      <c r="H351" s="30" t="s">
        <v>1157</v>
      </c>
      <c r="I351" s="31">
        <f t="shared" si="16"/>
        <v>28</v>
      </c>
      <c r="J351" s="146" t="s">
        <v>1945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1295</v>
      </c>
      <c r="C352" t="s">
        <v>1062</v>
      </c>
      <c r="D352" t="s">
        <v>1296</v>
      </c>
      <c r="E352" s="30" t="s">
        <v>73</v>
      </c>
      <c r="F352" s="30" t="s">
        <v>28</v>
      </c>
      <c r="G352" s="30"/>
      <c r="H352" s="30" t="s">
        <v>1483</v>
      </c>
      <c r="I352" s="31">
        <f t="shared" si="16"/>
        <v>28</v>
      </c>
      <c r="J352" s="146" t="s">
        <v>1946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thickBot="1" x14ac:dyDescent="0.3">
      <c r="A353" t="s">
        <v>375</v>
      </c>
      <c r="B353" t="s">
        <v>1384</v>
      </c>
      <c r="C353" t="s">
        <v>1062</v>
      </c>
      <c r="D353" s="68" t="s">
        <v>1387</v>
      </c>
      <c r="E353" s="30" t="s">
        <v>15</v>
      </c>
      <c r="F353" s="30" t="s">
        <v>1055</v>
      </c>
      <c r="G353" s="30"/>
      <c r="H353" s="30" t="s">
        <v>1391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thickBot="1" x14ac:dyDescent="0.3">
      <c r="A354" t="s">
        <v>375</v>
      </c>
      <c r="B354" t="s">
        <v>1385</v>
      </c>
      <c r="C354" t="s">
        <v>1062</v>
      </c>
      <c r="D354" s="68" t="s">
        <v>1388</v>
      </c>
      <c r="E354" s="30" t="s">
        <v>73</v>
      </c>
      <c r="F354" s="30" t="s">
        <v>1055</v>
      </c>
      <c r="G354" s="30"/>
      <c r="H354" s="30" t="s">
        <v>1392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375</v>
      </c>
      <c r="B355" t="s">
        <v>1386</v>
      </c>
      <c r="C355" t="s">
        <v>1062</v>
      </c>
      <c r="D355" s="68" t="s">
        <v>1389</v>
      </c>
      <c r="E355" s="30" t="s">
        <v>15</v>
      </c>
      <c r="F355" s="30" t="s">
        <v>28</v>
      </c>
      <c r="G355" s="30"/>
      <c r="H355" s="30" t="s">
        <v>1500</v>
      </c>
      <c r="I355" s="31">
        <f t="shared" si="16"/>
        <v>28</v>
      </c>
      <c r="J355" s="146" t="s">
        <v>1947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898</v>
      </c>
      <c r="B356" s="73" t="s">
        <v>1002</v>
      </c>
      <c r="C356" s="73" t="s">
        <v>1062</v>
      </c>
      <c r="D356" s="73" t="s">
        <v>1003</v>
      </c>
      <c r="E356" s="85" t="s">
        <v>1056</v>
      </c>
      <c r="F356" s="85" t="s">
        <v>1300</v>
      </c>
      <c r="G356" s="30"/>
      <c r="H356" s="85" t="s">
        <v>900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898</v>
      </c>
      <c r="B357" s="73" t="s">
        <v>897</v>
      </c>
      <c r="C357" s="73" t="s">
        <v>1062</v>
      </c>
      <c r="D357" s="73" t="s">
        <v>1003</v>
      </c>
      <c r="E357" s="85" t="s">
        <v>1057</v>
      </c>
      <c r="F357" s="85" t="s">
        <v>1300</v>
      </c>
      <c r="G357" s="30"/>
      <c r="H357" s="85" t="s">
        <v>899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382</v>
      </c>
      <c r="C358" t="s">
        <v>1061</v>
      </c>
      <c r="D358" t="s">
        <v>383</v>
      </c>
      <c r="E358" s="30" t="s">
        <v>19</v>
      </c>
      <c r="F358" s="30" t="s">
        <v>28</v>
      </c>
      <c r="G358" s="30"/>
      <c r="H358" s="30" t="s">
        <v>781</v>
      </c>
      <c r="I358" s="31">
        <f t="shared" si="16"/>
        <v>28</v>
      </c>
      <c r="J358" s="146" t="s">
        <v>1948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thickBot="1" x14ac:dyDescent="0.3">
      <c r="A359" s="73" t="s">
        <v>264</v>
      </c>
      <c r="B359" s="73" t="s">
        <v>1004</v>
      </c>
      <c r="C359" s="73" t="s">
        <v>1061</v>
      </c>
      <c r="D359" s="73" t="s">
        <v>338</v>
      </c>
      <c r="E359" s="85" t="s">
        <v>73</v>
      </c>
      <c r="F359" s="85" t="s">
        <v>1300</v>
      </c>
      <c r="G359" s="30"/>
      <c r="H359" s="85" t="s">
        <v>750</v>
      </c>
      <c r="I359" s="141">
        <f t="shared" si="16"/>
        <v>28</v>
      </c>
      <c r="J359" s="146" t="s">
        <v>1949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thickBot="1" x14ac:dyDescent="0.3">
      <c r="A360" s="73" t="s">
        <v>264</v>
      </c>
      <c r="B360" s="73" t="s">
        <v>1005</v>
      </c>
      <c r="C360" s="73" t="s">
        <v>1061</v>
      </c>
      <c r="D360" s="73" t="s">
        <v>338</v>
      </c>
      <c r="E360" s="85" t="s">
        <v>73</v>
      </c>
      <c r="F360" s="85" t="s">
        <v>1300</v>
      </c>
      <c r="G360" s="30"/>
      <c r="H360" s="85" t="s">
        <v>751</v>
      </c>
      <c r="I360" s="141">
        <f t="shared" si="16"/>
        <v>28</v>
      </c>
      <c r="J360" s="146" t="s">
        <v>1950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1006</v>
      </c>
      <c r="C361" t="s">
        <v>1061</v>
      </c>
      <c r="D361" t="s">
        <v>1007</v>
      </c>
      <c r="E361" s="30" t="s">
        <v>19</v>
      </c>
      <c r="F361" s="30" t="s">
        <v>28</v>
      </c>
      <c r="G361" s="30"/>
      <c r="H361" s="30" t="s">
        <v>2230</v>
      </c>
      <c r="I361" s="31">
        <f t="shared" si="16"/>
        <v>28</v>
      </c>
      <c r="J361" s="146" t="s">
        <v>1951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1008</v>
      </c>
      <c r="C362" t="s">
        <v>1061</v>
      </c>
      <c r="D362" t="s">
        <v>1009</v>
      </c>
      <c r="E362" s="30" t="s">
        <v>19</v>
      </c>
      <c r="F362" s="30" t="s">
        <v>28</v>
      </c>
      <c r="G362" s="30"/>
      <c r="H362" s="30" t="s">
        <v>2231</v>
      </c>
      <c r="I362" s="31">
        <f t="shared" si="16"/>
        <v>28</v>
      </c>
      <c r="J362" s="146" t="s">
        <v>1952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1129</v>
      </c>
      <c r="C363" t="s">
        <v>1061</v>
      </c>
      <c r="D363" t="s">
        <v>1126</v>
      </c>
      <c r="E363" s="30" t="s">
        <v>73</v>
      </c>
      <c r="F363" s="30" t="s">
        <v>28</v>
      </c>
      <c r="G363" s="30"/>
      <c r="H363" s="30" t="s">
        <v>1135</v>
      </c>
      <c r="I363" s="31">
        <f t="shared" si="16"/>
        <v>28</v>
      </c>
      <c r="J363" s="146" t="s">
        <v>1953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t="s">
        <v>264</v>
      </c>
      <c r="B364" t="s">
        <v>1130</v>
      </c>
      <c r="C364" t="s">
        <v>1061</v>
      </c>
      <c r="D364" t="s">
        <v>1126</v>
      </c>
      <c r="E364" s="30" t="s">
        <v>73</v>
      </c>
      <c r="F364" s="30" t="s">
        <v>28</v>
      </c>
      <c r="G364" s="30"/>
      <c r="H364" s="30" t="s">
        <v>1136</v>
      </c>
      <c r="I364" s="31">
        <f t="shared" si="16"/>
        <v>28</v>
      </c>
      <c r="J364" s="146" t="s">
        <v>1954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t="s">
        <v>264</v>
      </c>
      <c r="B365" t="s">
        <v>1131</v>
      </c>
      <c r="C365" t="s">
        <v>1061</v>
      </c>
      <c r="D365" t="s">
        <v>1127</v>
      </c>
      <c r="E365" s="30" t="s">
        <v>73</v>
      </c>
      <c r="F365" s="30" t="s">
        <v>28</v>
      </c>
      <c r="G365" s="30"/>
      <c r="H365" s="30" t="s">
        <v>1137</v>
      </c>
      <c r="I365" s="31">
        <f t="shared" si="16"/>
        <v>28</v>
      </c>
      <c r="J365" s="146" t="s">
        <v>1955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thickBot="1" x14ac:dyDescent="0.3">
      <c r="A366" t="s">
        <v>264</v>
      </c>
      <c r="B366" t="s">
        <v>1132</v>
      </c>
      <c r="C366" t="s">
        <v>1061</v>
      </c>
      <c r="D366" t="s">
        <v>1127</v>
      </c>
      <c r="E366" s="30" t="s">
        <v>73</v>
      </c>
      <c r="F366" s="30" t="s">
        <v>28</v>
      </c>
      <c r="G366" s="30"/>
      <c r="H366" s="30" t="s">
        <v>1138</v>
      </c>
      <c r="I366" s="31">
        <f t="shared" si="16"/>
        <v>28</v>
      </c>
      <c r="J366" s="146" t="s">
        <v>1956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thickBot="1" x14ac:dyDescent="0.3">
      <c r="A367" s="73" t="s">
        <v>1319</v>
      </c>
      <c r="B367" t="s">
        <v>1232</v>
      </c>
      <c r="C367" t="s">
        <v>1061</v>
      </c>
      <c r="D367" t="s">
        <v>1233</v>
      </c>
      <c r="E367" t="s">
        <v>19</v>
      </c>
      <c r="F367" t="s">
        <v>28</v>
      </c>
      <c r="G367"/>
      <c r="H367" s="30" t="s">
        <v>1239</v>
      </c>
      <c r="I367" s="31">
        <f t="shared" si="16"/>
        <v>28</v>
      </c>
      <c r="J367" s="146" t="s">
        <v>1957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thickBot="1" x14ac:dyDescent="0.3">
      <c r="A368" s="73" t="s">
        <v>1319</v>
      </c>
      <c r="B368" t="s">
        <v>1234</v>
      </c>
      <c r="C368" t="s">
        <v>1061</v>
      </c>
      <c r="D368" t="s">
        <v>1235</v>
      </c>
      <c r="E368" t="s">
        <v>19</v>
      </c>
      <c r="F368" t="s">
        <v>28</v>
      </c>
      <c r="G368"/>
      <c r="H368" s="30" t="s">
        <v>1240</v>
      </c>
      <c r="I368" s="31">
        <f t="shared" si="16"/>
        <v>28</v>
      </c>
      <c r="J368" s="146" t="s">
        <v>1958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1319</v>
      </c>
      <c r="B369" s="73" t="s">
        <v>1572</v>
      </c>
      <c r="C369" s="73" t="s">
        <v>1061</v>
      </c>
      <c r="D369" s="73" t="s">
        <v>1575</v>
      </c>
      <c r="E369" s="85" t="s">
        <v>73</v>
      </c>
      <c r="F369" s="85" t="s">
        <v>1300</v>
      </c>
      <c r="G369"/>
      <c r="H369" s="85" t="s">
        <v>1576</v>
      </c>
      <c r="I369" s="31">
        <f t="shared" si="16"/>
        <v>28</v>
      </c>
      <c r="J369" s="146" t="s">
        <v>1959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1319</v>
      </c>
      <c r="B370" s="73" t="s">
        <v>1573</v>
      </c>
      <c r="C370" s="73" t="s">
        <v>1061</v>
      </c>
      <c r="D370" s="73" t="s">
        <v>1577</v>
      </c>
      <c r="E370" s="73" t="s">
        <v>73</v>
      </c>
      <c r="F370" s="85" t="s">
        <v>1300</v>
      </c>
      <c r="G370"/>
      <c r="H370" s="85" t="s">
        <v>1578</v>
      </c>
      <c r="I370" s="31">
        <f t="shared" si="16"/>
        <v>26</v>
      </c>
      <c r="J370" s="146" t="s">
        <v>1960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2284</v>
      </c>
      <c r="V370" s="70" t="s">
        <v>2284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thickBot="1" x14ac:dyDescent="0.3">
      <c r="A371" s="73" t="s">
        <v>1319</v>
      </c>
      <c r="B371" s="73" t="s">
        <v>1574</v>
      </c>
      <c r="C371" s="73" t="s">
        <v>1061</v>
      </c>
      <c r="D371" s="73" t="s">
        <v>1579</v>
      </c>
      <c r="E371" s="73" t="s">
        <v>73</v>
      </c>
      <c r="F371" s="85" t="s">
        <v>1300</v>
      </c>
      <c r="G371"/>
      <c r="H371" s="85" t="s">
        <v>1580</v>
      </c>
      <c r="I371" s="31">
        <f t="shared" si="16"/>
        <v>28</v>
      </c>
      <c r="J371" s="146" t="s">
        <v>1961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1319</v>
      </c>
      <c r="B372" s="73" t="s">
        <v>1632</v>
      </c>
      <c r="C372" s="73" t="s">
        <v>1061</v>
      </c>
      <c r="D372" s="73" t="s">
        <v>1633</v>
      </c>
      <c r="E372" s="73" t="s">
        <v>19</v>
      </c>
      <c r="F372" s="85" t="s">
        <v>1300</v>
      </c>
      <c r="G372"/>
      <c r="H372" s="85" t="s">
        <v>1634</v>
      </c>
      <c r="I372" s="31">
        <f t="shared" si="16"/>
        <v>28</v>
      </c>
      <c r="J372" s="146" t="s">
        <v>2143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thickBot="1" x14ac:dyDescent="0.3">
      <c r="A373" t="s">
        <v>384</v>
      </c>
      <c r="B373" t="s">
        <v>385</v>
      </c>
      <c r="C373" t="s">
        <v>1061</v>
      </c>
      <c r="D373" t="s">
        <v>386</v>
      </c>
      <c r="E373" s="30" t="s">
        <v>19</v>
      </c>
      <c r="F373" s="30" t="s">
        <v>28</v>
      </c>
      <c r="G373"/>
      <c r="H373" s="30" t="s">
        <v>782</v>
      </c>
      <c r="I373" s="31">
        <f t="shared" si="16"/>
        <v>28</v>
      </c>
      <c r="J373" s="146" t="s">
        <v>1962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384</v>
      </c>
      <c r="B374" t="s">
        <v>387</v>
      </c>
      <c r="C374" t="s">
        <v>1061</v>
      </c>
      <c r="D374" t="s">
        <v>388</v>
      </c>
      <c r="E374" s="30" t="s">
        <v>19</v>
      </c>
      <c r="F374" s="30" t="s">
        <v>28</v>
      </c>
      <c r="G374"/>
      <c r="H374" s="30" t="s">
        <v>783</v>
      </c>
      <c r="I374" s="31">
        <f t="shared" si="16"/>
        <v>28</v>
      </c>
      <c r="J374" s="146" t="s">
        <v>1963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thickBot="1" x14ac:dyDescent="0.3">
      <c r="A375" s="73" t="s">
        <v>389</v>
      </c>
      <c r="B375" s="73" t="s">
        <v>390</v>
      </c>
      <c r="C375" s="73" t="s">
        <v>1061</v>
      </c>
      <c r="D375" s="73" t="s">
        <v>391</v>
      </c>
      <c r="E375" s="85" t="s">
        <v>19</v>
      </c>
      <c r="F375" s="85" t="s">
        <v>1300</v>
      </c>
      <c r="G375"/>
      <c r="H375" s="85" t="s">
        <v>1482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thickBot="1" x14ac:dyDescent="0.3">
      <c r="A376" s="73" t="s">
        <v>384</v>
      </c>
      <c r="B376" s="73" t="s">
        <v>2173</v>
      </c>
      <c r="C376" s="73" t="s">
        <v>1061</v>
      </c>
      <c r="D376" s="73" t="s">
        <v>2174</v>
      </c>
      <c r="E376" s="85" t="s">
        <v>73</v>
      </c>
      <c r="F376" s="30" t="s">
        <v>28</v>
      </c>
      <c r="G376"/>
      <c r="H376" s="85" t="s">
        <v>2175</v>
      </c>
      <c r="I376" s="141">
        <f t="shared" si="16"/>
        <v>28</v>
      </c>
      <c r="J376" s="151" t="s">
        <v>2176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392</v>
      </c>
      <c r="C377" t="s">
        <v>1061</v>
      </c>
      <c r="D377" t="s">
        <v>393</v>
      </c>
      <c r="E377" s="30" t="s">
        <v>19</v>
      </c>
      <c r="F377" s="30" t="s">
        <v>28</v>
      </c>
      <c r="G377"/>
      <c r="H377" s="30" t="s">
        <v>786</v>
      </c>
      <c r="I377" s="31">
        <f t="shared" si="16"/>
        <v>28</v>
      </c>
      <c r="J377" s="146" t="s">
        <v>1964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1010</v>
      </c>
      <c r="C378" t="s">
        <v>1061</v>
      </c>
      <c r="D378" t="s">
        <v>394</v>
      </c>
      <c r="E378" s="30" t="s">
        <v>19</v>
      </c>
      <c r="F378" s="30" t="s">
        <v>28</v>
      </c>
      <c r="G378" s="30"/>
      <c r="H378" s="30" t="s">
        <v>787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thickBot="1" x14ac:dyDescent="0.3">
      <c r="A379" t="s">
        <v>294</v>
      </c>
      <c r="B379" t="s">
        <v>395</v>
      </c>
      <c r="C379" t="s">
        <v>1061</v>
      </c>
      <c r="D379" t="s">
        <v>396</v>
      </c>
      <c r="E379" s="30" t="s">
        <v>73</v>
      </c>
      <c r="F379" s="30" t="s">
        <v>28</v>
      </c>
      <c r="G379" s="30"/>
      <c r="H379" s="30" t="s">
        <v>784</v>
      </c>
      <c r="I379" s="31">
        <f t="shared" si="16"/>
        <v>28</v>
      </c>
      <c r="J379" s="146" t="s">
        <v>1965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thickBot="1" x14ac:dyDescent="0.3">
      <c r="A380" t="s">
        <v>294</v>
      </c>
      <c r="B380" t="s">
        <v>397</v>
      </c>
      <c r="C380" t="s">
        <v>1061</v>
      </c>
      <c r="D380" t="s">
        <v>396</v>
      </c>
      <c r="E380" s="30" t="s">
        <v>73</v>
      </c>
      <c r="F380" s="30" t="s">
        <v>28</v>
      </c>
      <c r="G380" s="30"/>
      <c r="H380" s="30" t="s">
        <v>785</v>
      </c>
      <c r="I380" s="31">
        <f t="shared" si="16"/>
        <v>28</v>
      </c>
      <c r="J380" s="146" t="s">
        <v>1966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thickBot="1" x14ac:dyDescent="0.3">
      <c r="A381" t="s">
        <v>294</v>
      </c>
      <c r="B381" t="s">
        <v>1263</v>
      </c>
      <c r="C381" t="s">
        <v>1061</v>
      </c>
      <c r="D381" t="s">
        <v>1264</v>
      </c>
      <c r="E381" s="30" t="s">
        <v>15</v>
      </c>
      <c r="F381" s="30" t="s">
        <v>1055</v>
      </c>
      <c r="G381" s="30" t="s">
        <v>1266</v>
      </c>
      <c r="H381" s="30" t="s">
        <v>1265</v>
      </c>
      <c r="I381" s="31">
        <f t="shared" si="16"/>
        <v>28</v>
      </c>
      <c r="J381" s="146" t="s">
        <v>1967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294</v>
      </c>
      <c r="B382" s="73" t="s">
        <v>1312</v>
      </c>
      <c r="C382" s="73" t="s">
        <v>1062</v>
      </c>
      <c r="D382" s="73" t="s">
        <v>1313</v>
      </c>
      <c r="E382" s="85" t="s">
        <v>15</v>
      </c>
      <c r="F382" s="85" t="s">
        <v>1300</v>
      </c>
      <c r="G382" s="85"/>
      <c r="H382" s="85" t="s">
        <v>1314</v>
      </c>
      <c r="I382" s="31">
        <f t="shared" si="16"/>
        <v>28</v>
      </c>
      <c r="J382" s="146" t="s">
        <v>1968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1061</v>
      </c>
      <c r="D383" s="90" t="s">
        <v>408</v>
      </c>
      <c r="E383" s="91" t="s">
        <v>15</v>
      </c>
      <c r="F383" s="91" t="s">
        <v>20</v>
      </c>
      <c r="G383" s="91"/>
      <c r="H383" s="91" t="s">
        <v>788</v>
      </c>
      <c r="I383" s="31">
        <f t="shared" si="16"/>
        <v>20</v>
      </c>
      <c r="J383" s="73"/>
      <c r="K383" s="31">
        <f t="shared" si="17"/>
        <v>8</v>
      </c>
      <c r="L383" s="32">
        <f t="shared" si="18"/>
        <v>0.7142857142857143</v>
      </c>
      <c r="M383" s="70" t="s">
        <v>2284</v>
      </c>
      <c r="N383" s="70" t="s">
        <v>2284</v>
      </c>
      <c r="O383" s="70" t="s">
        <v>2284</v>
      </c>
      <c r="P383" s="70" t="s">
        <v>2284</v>
      </c>
      <c r="Q383" s="70" t="s">
        <v>2284</v>
      </c>
      <c r="R383" s="70" t="s">
        <v>2284</v>
      </c>
      <c r="S383" s="70"/>
      <c r="T383" s="70"/>
      <c r="U383" s="70" t="s">
        <v>2284</v>
      </c>
      <c r="V383" s="70" t="s">
        <v>2284</v>
      </c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1061</v>
      </c>
      <c r="D384" s="73" t="s">
        <v>399</v>
      </c>
      <c r="E384" s="85" t="s">
        <v>19</v>
      </c>
      <c r="F384" s="85" t="s">
        <v>1300</v>
      </c>
      <c r="G384" s="85"/>
      <c r="H384" s="85" t="s">
        <v>2120</v>
      </c>
      <c r="I384" s="141">
        <f t="shared" si="16"/>
        <v>23</v>
      </c>
      <c r="J384" s="146" t="s">
        <v>1969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2284</v>
      </c>
      <c r="Q384" s="70" t="s">
        <v>2284</v>
      </c>
      <c r="R384" s="70" t="s">
        <v>2284</v>
      </c>
      <c r="S384" s="70"/>
      <c r="T384" s="70"/>
      <c r="U384" s="70" t="s">
        <v>2284</v>
      </c>
      <c r="V384" s="70" t="s">
        <v>2284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thickBot="1" x14ac:dyDescent="0.3">
      <c r="A385" s="73" t="s">
        <v>384</v>
      </c>
      <c r="B385" s="73" t="s">
        <v>400</v>
      </c>
      <c r="C385" s="73" t="s">
        <v>1061</v>
      </c>
      <c r="D385" s="73" t="s">
        <v>401</v>
      </c>
      <c r="E385" s="85" t="s">
        <v>15</v>
      </c>
      <c r="F385" s="85" t="s">
        <v>28</v>
      </c>
      <c r="G385" s="85"/>
      <c r="H385" s="85" t="s">
        <v>1515</v>
      </c>
      <c r="I385" s="87">
        <f t="shared" si="16"/>
        <v>28</v>
      </c>
      <c r="J385" s="146" t="s">
        <v>1970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thickBot="1" x14ac:dyDescent="0.3">
      <c r="A386" t="s">
        <v>402</v>
      </c>
      <c r="B386" t="s">
        <v>403</v>
      </c>
      <c r="C386" t="s">
        <v>1061</v>
      </c>
      <c r="D386" t="s">
        <v>404</v>
      </c>
      <c r="E386" s="30" t="s">
        <v>19</v>
      </c>
      <c r="F386" s="30" t="s">
        <v>28</v>
      </c>
      <c r="G386" s="30"/>
      <c r="H386" s="30" t="s">
        <v>789</v>
      </c>
      <c r="I386" s="31">
        <f t="shared" si="16"/>
        <v>28</v>
      </c>
      <c r="J386" s="146" t="s">
        <v>1971</v>
      </c>
      <c r="K386" s="31">
        <f t="shared" si="17"/>
        <v>0</v>
      </c>
      <c r="L386" s="32">
        <f t="shared" si="18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thickBot="1" x14ac:dyDescent="0.3">
      <c r="A387" t="s">
        <v>402</v>
      </c>
      <c r="B387" t="s">
        <v>405</v>
      </c>
      <c r="C387" t="s">
        <v>1061</v>
      </c>
      <c r="D387" t="s">
        <v>404</v>
      </c>
      <c r="E387" s="30" t="s">
        <v>73</v>
      </c>
      <c r="F387" s="30" t="s">
        <v>28</v>
      </c>
      <c r="G387" s="30"/>
      <c r="H387" s="30" t="s">
        <v>790</v>
      </c>
      <c r="I387" s="31">
        <f t="shared" si="16"/>
        <v>28</v>
      </c>
      <c r="J387" s="146" t="s">
        <v>1972</v>
      </c>
      <c r="K387" s="31">
        <f t="shared" si="17"/>
        <v>0</v>
      </c>
      <c r="L387" s="32">
        <f t="shared" si="18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t="s">
        <v>402</v>
      </c>
      <c r="B388" t="s">
        <v>406</v>
      </c>
      <c r="C388" t="s">
        <v>1061</v>
      </c>
      <c r="D388" t="s">
        <v>404</v>
      </c>
      <c r="E388" s="30" t="s">
        <v>73</v>
      </c>
      <c r="F388" s="30" t="s">
        <v>28</v>
      </c>
      <c r="G388" s="30"/>
      <c r="H388" s="30" t="s">
        <v>791</v>
      </c>
      <c r="I388" s="31">
        <f t="shared" si="16"/>
        <v>28</v>
      </c>
      <c r="J388" s="146" t="s">
        <v>1973</v>
      </c>
      <c r="K388" s="31">
        <f t="shared" si="17"/>
        <v>0</v>
      </c>
      <c r="L388" s="32">
        <f t="shared" si="18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1061</v>
      </c>
      <c r="D389" s="69" t="s">
        <v>411</v>
      </c>
      <c r="E389" s="30" t="s">
        <v>73</v>
      </c>
      <c r="F389" s="30" t="s">
        <v>28</v>
      </c>
      <c r="G389" s="30"/>
      <c r="H389" s="152" t="s">
        <v>792</v>
      </c>
      <c r="I389" s="31">
        <f t="shared" ref="I389:I470" si="19">COUNTIF(M389:AN389,"")</f>
        <v>20</v>
      </c>
      <c r="J389" s="146" t="s">
        <v>1974</v>
      </c>
      <c r="K389" s="31">
        <f t="shared" ref="K389:K470" si="20">COUNTIF(M389:AN389,"APAGADO")</f>
        <v>8</v>
      </c>
      <c r="L389" s="32">
        <f t="shared" ref="L389:L470" si="21">(I389)/(K389+I389)</f>
        <v>0.7142857142857143</v>
      </c>
      <c r="M389" s="70" t="s">
        <v>2284</v>
      </c>
      <c r="N389" s="70" t="s">
        <v>2284</v>
      </c>
      <c r="O389" s="70" t="s">
        <v>2284</v>
      </c>
      <c r="P389" s="70" t="s">
        <v>2284</v>
      </c>
      <c r="Q389" s="70" t="s">
        <v>2284</v>
      </c>
      <c r="R389" s="70" t="s">
        <v>2284</v>
      </c>
      <c r="S389" s="70"/>
      <c r="T389" s="70"/>
      <c r="U389" s="70" t="s">
        <v>2284</v>
      </c>
      <c r="V389" s="70" t="s">
        <v>2284</v>
      </c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1061</v>
      </c>
      <c r="D390" s="69" t="s">
        <v>411</v>
      </c>
      <c r="E390" s="30" t="s">
        <v>73</v>
      </c>
      <c r="F390" s="30" t="s">
        <v>28</v>
      </c>
      <c r="G390" s="30"/>
      <c r="H390" s="152" t="s">
        <v>793</v>
      </c>
      <c r="I390" s="31">
        <f t="shared" si="19"/>
        <v>20</v>
      </c>
      <c r="J390" s="146" t="s">
        <v>1975</v>
      </c>
      <c r="K390" s="31">
        <f t="shared" si="20"/>
        <v>8</v>
      </c>
      <c r="L390" s="32">
        <f t="shared" si="21"/>
        <v>0.7142857142857143</v>
      </c>
      <c r="M390" s="70" t="s">
        <v>2284</v>
      </c>
      <c r="N390" s="70" t="s">
        <v>2284</v>
      </c>
      <c r="O390" s="70" t="s">
        <v>2284</v>
      </c>
      <c r="P390" s="70" t="s">
        <v>2284</v>
      </c>
      <c r="Q390" s="70" t="s">
        <v>2284</v>
      </c>
      <c r="R390" s="70" t="s">
        <v>2284</v>
      </c>
      <c r="S390" s="70"/>
      <c r="T390" s="70"/>
      <c r="U390" s="70" t="s">
        <v>2284</v>
      </c>
      <c r="V390" s="70" t="s">
        <v>2284</v>
      </c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thickBot="1" x14ac:dyDescent="0.3">
      <c r="A391" t="s">
        <v>402</v>
      </c>
      <c r="B391" t="s">
        <v>413</v>
      </c>
      <c r="C391" t="s">
        <v>1061</v>
      </c>
      <c r="D391" t="s">
        <v>414</v>
      </c>
      <c r="E391" s="30" t="s">
        <v>73</v>
      </c>
      <c r="F391" s="30" t="s">
        <v>28</v>
      </c>
      <c r="G391" s="30"/>
      <c r="H391" s="30" t="s">
        <v>794</v>
      </c>
      <c r="I391" s="31">
        <f t="shared" si="19"/>
        <v>28</v>
      </c>
      <c r="J391" s="146" t="s">
        <v>1976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thickBot="1" x14ac:dyDescent="0.3">
      <c r="A392" t="s">
        <v>402</v>
      </c>
      <c r="B392" t="s">
        <v>415</v>
      </c>
      <c r="C392" t="s">
        <v>1061</v>
      </c>
      <c r="D392" t="s">
        <v>414</v>
      </c>
      <c r="E392" s="30" t="s">
        <v>73</v>
      </c>
      <c r="F392" s="30" t="s">
        <v>28</v>
      </c>
      <c r="G392" s="30"/>
      <c r="H392" s="30" t="s">
        <v>795</v>
      </c>
      <c r="I392" s="31">
        <f t="shared" si="19"/>
        <v>28</v>
      </c>
      <c r="J392" s="146" t="s">
        <v>1977</v>
      </c>
      <c r="K392" s="31">
        <f t="shared" si="20"/>
        <v>0</v>
      </c>
      <c r="L392" s="32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thickBot="1" x14ac:dyDescent="0.3">
      <c r="A393" t="s">
        <v>402</v>
      </c>
      <c r="B393" t="s">
        <v>416</v>
      </c>
      <c r="C393" t="s">
        <v>1061</v>
      </c>
      <c r="D393" t="s">
        <v>417</v>
      </c>
      <c r="E393" s="30" t="s">
        <v>73</v>
      </c>
      <c r="F393" s="30" t="s">
        <v>28</v>
      </c>
      <c r="G393" s="30"/>
      <c r="H393" s="30" t="s">
        <v>796</v>
      </c>
      <c r="I393" s="31">
        <f t="shared" si="19"/>
        <v>28</v>
      </c>
      <c r="J393" s="146" t="s">
        <v>1978</v>
      </c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t="s">
        <v>402</v>
      </c>
      <c r="B394" t="s">
        <v>418</v>
      </c>
      <c r="C394" t="s">
        <v>1061</v>
      </c>
      <c r="D394" t="s">
        <v>417</v>
      </c>
      <c r="E394" s="30" t="s">
        <v>73</v>
      </c>
      <c r="F394" s="30" t="s">
        <v>28</v>
      </c>
      <c r="G394" s="30"/>
      <c r="H394" s="30" t="s">
        <v>797</v>
      </c>
      <c r="I394" s="31">
        <f t="shared" si="19"/>
        <v>28</v>
      </c>
      <c r="J394" s="146" t="s">
        <v>1979</v>
      </c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901</v>
      </c>
      <c r="C395" t="s">
        <v>1061</v>
      </c>
      <c r="D395" s="69" t="s">
        <v>902</v>
      </c>
      <c r="E395" s="30" t="s">
        <v>19</v>
      </c>
      <c r="F395" s="30" t="s">
        <v>28</v>
      </c>
      <c r="G395" s="30"/>
      <c r="H395" s="152" t="s">
        <v>909</v>
      </c>
      <c r="I395" s="31">
        <f t="shared" si="19"/>
        <v>20</v>
      </c>
      <c r="J395" s="146" t="s">
        <v>1980</v>
      </c>
      <c r="K395" s="31">
        <f t="shared" si="20"/>
        <v>8</v>
      </c>
      <c r="L395" s="32">
        <f t="shared" si="21"/>
        <v>0.7142857142857143</v>
      </c>
      <c r="M395" s="70" t="s">
        <v>2284</v>
      </c>
      <c r="N395" s="70" t="s">
        <v>2284</v>
      </c>
      <c r="O395" s="70" t="s">
        <v>2284</v>
      </c>
      <c r="P395" s="70" t="s">
        <v>2284</v>
      </c>
      <c r="Q395" s="70" t="s">
        <v>2284</v>
      </c>
      <c r="R395" s="70" t="s">
        <v>2284</v>
      </c>
      <c r="S395" s="70"/>
      <c r="T395" s="70"/>
      <c r="U395" s="70" t="s">
        <v>2284</v>
      </c>
      <c r="V395" s="70" t="s">
        <v>2284</v>
      </c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903</v>
      </c>
      <c r="C396" t="s">
        <v>1061</v>
      </c>
      <c r="D396" s="69" t="s">
        <v>904</v>
      </c>
      <c r="E396" s="30" t="s">
        <v>19</v>
      </c>
      <c r="F396" s="30" t="s">
        <v>28</v>
      </c>
      <c r="G396" s="30"/>
      <c r="H396" s="152" t="s">
        <v>910</v>
      </c>
      <c r="I396" s="31">
        <f t="shared" si="19"/>
        <v>20</v>
      </c>
      <c r="J396" s="146" t="s">
        <v>1981</v>
      </c>
      <c r="K396" s="31">
        <f t="shared" si="20"/>
        <v>8</v>
      </c>
      <c r="L396" s="32">
        <f t="shared" si="21"/>
        <v>0.7142857142857143</v>
      </c>
      <c r="M396" s="70" t="s">
        <v>2284</v>
      </c>
      <c r="N396" s="70" t="s">
        <v>2284</v>
      </c>
      <c r="O396" s="70" t="s">
        <v>2284</v>
      </c>
      <c r="P396" s="70" t="s">
        <v>2284</v>
      </c>
      <c r="Q396" s="70" t="s">
        <v>2284</v>
      </c>
      <c r="R396" s="70" t="s">
        <v>2284</v>
      </c>
      <c r="S396" s="70"/>
      <c r="T396" s="70"/>
      <c r="U396" s="70" t="s">
        <v>2284</v>
      </c>
      <c r="V396" s="70" t="s">
        <v>2284</v>
      </c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thickBot="1" x14ac:dyDescent="0.3">
      <c r="A397" t="s">
        <v>402</v>
      </c>
      <c r="B397" t="s">
        <v>1011</v>
      </c>
      <c r="C397" t="s">
        <v>1061</v>
      </c>
      <c r="D397" t="s">
        <v>1012</v>
      </c>
      <c r="E397" s="30" t="s">
        <v>19</v>
      </c>
      <c r="F397" s="30" t="s">
        <v>28</v>
      </c>
      <c r="G397" s="30"/>
      <c r="H397" s="30" t="s">
        <v>1218</v>
      </c>
      <c r="I397" s="31">
        <f t="shared" si="19"/>
        <v>28</v>
      </c>
      <c r="J397" s="146" t="s">
        <v>1982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thickBot="1" x14ac:dyDescent="0.3">
      <c r="A398" s="73" t="s">
        <v>402</v>
      </c>
      <c r="B398" s="73" t="s">
        <v>1435</v>
      </c>
      <c r="C398" s="73" t="s">
        <v>1061</v>
      </c>
      <c r="D398" s="73" t="s">
        <v>1438</v>
      </c>
      <c r="E398" s="30" t="s">
        <v>19</v>
      </c>
      <c r="F398" s="85" t="s">
        <v>1300</v>
      </c>
      <c r="G398" s="30"/>
      <c r="H398" s="85" t="s">
        <v>1439</v>
      </c>
      <c r="I398" s="141">
        <f t="shared" si="19"/>
        <v>28</v>
      </c>
      <c r="J398" s="146" t="s">
        <v>1983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thickBot="1" x14ac:dyDescent="0.3">
      <c r="A399" t="s">
        <v>402</v>
      </c>
      <c r="B399" t="s">
        <v>1436</v>
      </c>
      <c r="C399" t="s">
        <v>1061</v>
      </c>
      <c r="D399" t="s">
        <v>1438</v>
      </c>
      <c r="E399" s="30" t="s">
        <v>73</v>
      </c>
      <c r="F399" s="30" t="s">
        <v>28</v>
      </c>
      <c r="G399" s="30"/>
      <c r="H399" s="85" t="s">
        <v>1501</v>
      </c>
      <c r="I399" s="31">
        <f t="shared" si="19"/>
        <v>28</v>
      </c>
      <c r="J399" s="146" t="s">
        <v>1984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402</v>
      </c>
      <c r="B400" t="s">
        <v>1437</v>
      </c>
      <c r="C400" t="s">
        <v>1061</v>
      </c>
      <c r="D400" t="s">
        <v>1438</v>
      </c>
      <c r="E400" s="30" t="s">
        <v>73</v>
      </c>
      <c r="F400" s="30" t="s">
        <v>28</v>
      </c>
      <c r="G400" s="30"/>
      <c r="H400" s="85" t="s">
        <v>1499</v>
      </c>
      <c r="I400" s="31">
        <f t="shared" si="19"/>
        <v>28</v>
      </c>
      <c r="J400" s="146" t="s">
        <v>1985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thickBot="1" x14ac:dyDescent="0.3">
      <c r="A401" t="s">
        <v>402</v>
      </c>
      <c r="B401" t="s">
        <v>1630</v>
      </c>
      <c r="C401" t="s">
        <v>1061</v>
      </c>
      <c r="D401" t="s">
        <v>2323</v>
      </c>
      <c r="E401" s="30" t="s">
        <v>19</v>
      </c>
      <c r="F401" s="30" t="s">
        <v>28</v>
      </c>
      <c r="G401" s="30"/>
      <c r="H401" s="85" t="s">
        <v>1631</v>
      </c>
      <c r="I401" s="31">
        <f t="shared" si="19"/>
        <v>28</v>
      </c>
      <c r="J401" s="87"/>
      <c r="K401" s="31">
        <f t="shared" si="20"/>
        <v>0</v>
      </c>
      <c r="L401" s="32">
        <f t="shared" si="21"/>
        <v>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thickBot="1" x14ac:dyDescent="0.3">
      <c r="A402" t="s">
        <v>402</v>
      </c>
      <c r="B402" t="s">
        <v>2276</v>
      </c>
      <c r="C402" t="s">
        <v>1061</v>
      </c>
      <c r="D402" t="s">
        <v>2277</v>
      </c>
      <c r="E402" s="30" t="s">
        <v>19</v>
      </c>
      <c r="F402" s="85" t="s">
        <v>1300</v>
      </c>
      <c r="G402" s="30"/>
      <c r="H402" s="85" t="s">
        <v>2278</v>
      </c>
      <c r="I402" s="31">
        <f t="shared" si="19"/>
        <v>28</v>
      </c>
      <c r="J402" s="87"/>
      <c r="K402" s="31">
        <f t="shared" si="20"/>
        <v>0</v>
      </c>
      <c r="L402" s="32">
        <f t="shared" si="21"/>
        <v>1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1062</v>
      </c>
      <c r="D403" t="s">
        <v>420</v>
      </c>
      <c r="E403" s="30" t="s">
        <v>15</v>
      </c>
      <c r="F403" s="30" t="s">
        <v>20</v>
      </c>
      <c r="G403" s="30"/>
      <c r="H403" s="30" t="s">
        <v>799</v>
      </c>
      <c r="I403" s="31">
        <f t="shared" si="19"/>
        <v>26</v>
      </c>
      <c r="J403" s="87"/>
      <c r="K403" s="31">
        <f t="shared" si="20"/>
        <v>2</v>
      </c>
      <c r="L403" s="32">
        <f t="shared" si="21"/>
        <v>0.9285714285714286</v>
      </c>
      <c r="M403" s="70"/>
      <c r="N403" s="70"/>
      <c r="O403" s="70"/>
      <c r="P403" s="70"/>
      <c r="Q403" s="70"/>
      <c r="R403" s="70"/>
      <c r="S403" s="70"/>
      <c r="T403" s="70"/>
      <c r="U403" s="70" t="s">
        <v>2284</v>
      </c>
      <c r="V403" s="70" t="s">
        <v>2284</v>
      </c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1062</v>
      </c>
      <c r="D404" s="73" t="s">
        <v>422</v>
      </c>
      <c r="E404" s="85" t="s">
        <v>15</v>
      </c>
      <c r="F404" s="85" t="s">
        <v>1300</v>
      </c>
      <c r="G404" s="85"/>
      <c r="H404" s="85" t="s">
        <v>1429</v>
      </c>
      <c r="I404" s="141">
        <f t="shared" si="19"/>
        <v>28</v>
      </c>
      <c r="J404" s="146" t="s">
        <v>1986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1013</v>
      </c>
      <c r="C405" t="s">
        <v>1062</v>
      </c>
      <c r="D405" t="s">
        <v>1014</v>
      </c>
      <c r="E405" s="30" t="s">
        <v>73</v>
      </c>
      <c r="F405" s="30" t="s">
        <v>20</v>
      </c>
      <c r="G405" s="30"/>
      <c r="H405" s="30" t="s">
        <v>1280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1015</v>
      </c>
      <c r="C406" t="s">
        <v>1062</v>
      </c>
      <c r="D406" t="s">
        <v>1014</v>
      </c>
      <c r="E406" s="30" t="s">
        <v>73</v>
      </c>
      <c r="F406" s="30" t="s">
        <v>20</v>
      </c>
      <c r="G406" s="30"/>
      <c r="H406" s="30" t="s">
        <v>1397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1062</v>
      </c>
      <c r="D407" s="73" t="s">
        <v>424</v>
      </c>
      <c r="E407" s="85" t="s">
        <v>19</v>
      </c>
      <c r="F407" s="30" t="s">
        <v>1055</v>
      </c>
      <c r="G407" s="85"/>
      <c r="H407" s="85" t="s">
        <v>1430</v>
      </c>
      <c r="I407" s="87">
        <f t="shared" si="19"/>
        <v>21</v>
      </c>
      <c r="J407" s="146" t="s">
        <v>1987</v>
      </c>
      <c r="K407" s="87">
        <f t="shared" si="20"/>
        <v>7</v>
      </c>
      <c r="L407" s="88">
        <f t="shared" si="21"/>
        <v>0.75</v>
      </c>
      <c r="M407" s="89" t="s">
        <v>2284</v>
      </c>
      <c r="N407" s="89" t="s">
        <v>2284</v>
      </c>
      <c r="O407" s="89" t="s">
        <v>2284</v>
      </c>
      <c r="P407" s="89" t="s">
        <v>2284</v>
      </c>
      <c r="Q407" s="89" t="s">
        <v>2284</v>
      </c>
      <c r="R407" s="89" t="s">
        <v>2284</v>
      </c>
      <c r="S407" s="89"/>
      <c r="T407" s="89"/>
      <c r="U407" s="89"/>
      <c r="V407" s="89" t="s">
        <v>2284</v>
      </c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thickBot="1" x14ac:dyDescent="0.3">
      <c r="A408" t="s">
        <v>196</v>
      </c>
      <c r="B408" t="s">
        <v>425</v>
      </c>
      <c r="C408" t="s">
        <v>1062</v>
      </c>
      <c r="D408" t="s">
        <v>426</v>
      </c>
      <c r="E408" s="30" t="s">
        <v>19</v>
      </c>
      <c r="F408" s="30" t="s">
        <v>20</v>
      </c>
      <c r="G408" s="30"/>
      <c r="H408" s="30" t="s">
        <v>798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1062</v>
      </c>
      <c r="D409" t="s">
        <v>428</v>
      </c>
      <c r="E409" s="30" t="s">
        <v>73</v>
      </c>
      <c r="F409" s="30" t="s">
        <v>28</v>
      </c>
      <c r="G409" s="30"/>
      <c r="H409" s="30" t="s">
        <v>801</v>
      </c>
      <c r="I409" s="31">
        <f t="shared" si="19"/>
        <v>20</v>
      </c>
      <c r="J409" s="146" t="s">
        <v>1988</v>
      </c>
      <c r="K409" s="31">
        <f t="shared" si="20"/>
        <v>8</v>
      </c>
      <c r="L409" s="32">
        <f t="shared" si="21"/>
        <v>0.7142857142857143</v>
      </c>
      <c r="M409" s="70" t="s">
        <v>2284</v>
      </c>
      <c r="N409" s="70" t="s">
        <v>2284</v>
      </c>
      <c r="O409" s="70" t="s">
        <v>2284</v>
      </c>
      <c r="P409" s="70" t="s">
        <v>2284</v>
      </c>
      <c r="Q409" s="70" t="s">
        <v>2284</v>
      </c>
      <c r="R409" s="70" t="s">
        <v>2284</v>
      </c>
      <c r="S409" s="70"/>
      <c r="T409" s="70"/>
      <c r="U409" s="70" t="s">
        <v>2284</v>
      </c>
      <c r="V409" s="70" t="s">
        <v>2284</v>
      </c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1062</v>
      </c>
      <c r="D410" t="s">
        <v>428</v>
      </c>
      <c r="E410" s="30" t="s">
        <v>73</v>
      </c>
      <c r="F410" s="30" t="s">
        <v>28</v>
      </c>
      <c r="G410" s="30"/>
      <c r="H410" s="30" t="s">
        <v>802</v>
      </c>
      <c r="I410" s="31">
        <f t="shared" si="19"/>
        <v>20</v>
      </c>
      <c r="J410" s="146" t="s">
        <v>1989</v>
      </c>
      <c r="K410" s="31">
        <f t="shared" si="20"/>
        <v>8</v>
      </c>
      <c r="L410" s="32">
        <f t="shared" si="21"/>
        <v>0.7142857142857143</v>
      </c>
      <c r="M410" s="70" t="s">
        <v>2284</v>
      </c>
      <c r="N410" s="70" t="s">
        <v>2284</v>
      </c>
      <c r="O410" s="70" t="s">
        <v>2284</v>
      </c>
      <c r="P410" s="70" t="s">
        <v>2284</v>
      </c>
      <c r="Q410" s="70" t="s">
        <v>2284</v>
      </c>
      <c r="R410" s="70" t="s">
        <v>2284</v>
      </c>
      <c r="S410" s="70"/>
      <c r="T410" s="70"/>
      <c r="U410" s="70" t="s">
        <v>2284</v>
      </c>
      <c r="V410" s="70" t="s">
        <v>2284</v>
      </c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1062</v>
      </c>
      <c r="D411" s="73" t="s">
        <v>431</v>
      </c>
      <c r="E411" s="85" t="s">
        <v>73</v>
      </c>
      <c r="F411" s="85" t="s">
        <v>1300</v>
      </c>
      <c r="G411" s="85"/>
      <c r="H411" s="85" t="s">
        <v>803</v>
      </c>
      <c r="I411" s="141">
        <f t="shared" si="19"/>
        <v>26</v>
      </c>
      <c r="J411" s="146" t="s">
        <v>1990</v>
      </c>
      <c r="K411" s="141">
        <f t="shared" si="20"/>
        <v>2</v>
      </c>
      <c r="L411" s="142">
        <f t="shared" si="21"/>
        <v>0.9285714285714286</v>
      </c>
      <c r="M411" s="70"/>
      <c r="N411" s="70"/>
      <c r="O411" s="70"/>
      <c r="P411" s="70"/>
      <c r="Q411" s="70"/>
      <c r="R411" s="70"/>
      <c r="S411" s="70"/>
      <c r="T411" s="70"/>
      <c r="U411" s="70" t="s">
        <v>2284</v>
      </c>
      <c r="V411" s="70" t="s">
        <v>2284</v>
      </c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1062</v>
      </c>
      <c r="D412" s="73" t="s">
        <v>431</v>
      </c>
      <c r="E412" s="85" t="s">
        <v>73</v>
      </c>
      <c r="F412" s="85" t="s">
        <v>1300</v>
      </c>
      <c r="G412" s="85"/>
      <c r="H412" s="85" t="s">
        <v>804</v>
      </c>
      <c r="I412" s="141">
        <f t="shared" si="19"/>
        <v>26</v>
      </c>
      <c r="J412" s="146" t="s">
        <v>1991</v>
      </c>
      <c r="K412" s="141">
        <f t="shared" si="20"/>
        <v>2</v>
      </c>
      <c r="L412" s="142">
        <f t="shared" si="21"/>
        <v>0.9285714285714286</v>
      </c>
      <c r="M412" s="70"/>
      <c r="N412" s="70"/>
      <c r="O412" s="70"/>
      <c r="P412" s="70"/>
      <c r="Q412" s="70"/>
      <c r="R412" s="70"/>
      <c r="S412" s="70"/>
      <c r="T412" s="70"/>
      <c r="U412" s="70" t="s">
        <v>2284</v>
      </c>
      <c r="V412" s="70" t="s">
        <v>2284</v>
      </c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1543</v>
      </c>
      <c r="C413" s="73" t="s">
        <v>1062</v>
      </c>
      <c r="D413" s="73" t="s">
        <v>1544</v>
      </c>
      <c r="E413" s="85" t="s">
        <v>73</v>
      </c>
      <c r="F413" s="85" t="s">
        <v>1300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1545</v>
      </c>
      <c r="C414" s="73" t="s">
        <v>1062</v>
      </c>
      <c r="D414" s="73" t="s">
        <v>1544</v>
      </c>
      <c r="E414" s="85" t="s">
        <v>73</v>
      </c>
      <c r="F414" s="85" t="s">
        <v>1300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1626</v>
      </c>
      <c r="C415" s="73" t="s">
        <v>1062</v>
      </c>
      <c r="D415" s="73" t="s">
        <v>1627</v>
      </c>
      <c r="E415" s="85" t="s">
        <v>73</v>
      </c>
      <c r="F415" s="85" t="s">
        <v>1300</v>
      </c>
      <c r="G415" s="85"/>
      <c r="H415" s="85" t="s">
        <v>1628</v>
      </c>
      <c r="I415" s="141">
        <f t="shared" si="19"/>
        <v>28</v>
      </c>
      <c r="J415" s="87" t="s">
        <v>2148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2144</v>
      </c>
      <c r="C416" s="73" t="s">
        <v>1062</v>
      </c>
      <c r="D416" s="73" t="s">
        <v>2145</v>
      </c>
      <c r="E416" s="91" t="s">
        <v>19</v>
      </c>
      <c r="F416" s="85" t="s">
        <v>1300</v>
      </c>
      <c r="G416" s="85"/>
      <c r="H416" s="85" t="s">
        <v>2146</v>
      </c>
      <c r="I416" s="141">
        <f t="shared" si="19"/>
        <v>24</v>
      </c>
      <c r="J416" s="87" t="s">
        <v>2147</v>
      </c>
      <c r="K416" s="141">
        <f t="shared" si="20"/>
        <v>4</v>
      </c>
      <c r="L416" s="142">
        <f t="shared" si="21"/>
        <v>0.8571428571428571</v>
      </c>
      <c r="M416" s="70"/>
      <c r="N416" s="70"/>
      <c r="O416" s="70"/>
      <c r="P416" s="70" t="s">
        <v>2284</v>
      </c>
      <c r="Q416" s="70" t="s">
        <v>2284</v>
      </c>
      <c r="R416" s="70" t="s">
        <v>2284</v>
      </c>
      <c r="S416" s="70"/>
      <c r="T416" s="70"/>
      <c r="U416" s="70" t="s">
        <v>2284</v>
      </c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thickBot="1" x14ac:dyDescent="0.3">
      <c r="A417" s="73" t="s">
        <v>2268</v>
      </c>
      <c r="B417" s="73" t="s">
        <v>434</v>
      </c>
      <c r="C417" s="90" t="s">
        <v>1062</v>
      </c>
      <c r="D417" s="73" t="s">
        <v>435</v>
      </c>
      <c r="E417" s="91" t="s">
        <v>19</v>
      </c>
      <c r="F417" s="85" t="s">
        <v>1300</v>
      </c>
      <c r="G417" s="85"/>
      <c r="H417" s="85" t="s">
        <v>2197</v>
      </c>
      <c r="I417" s="31">
        <f t="shared" si="19"/>
        <v>28</v>
      </c>
      <c r="J417" s="87" t="s">
        <v>2198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thickBot="1" x14ac:dyDescent="0.3">
      <c r="A418" s="73" t="s">
        <v>2268</v>
      </c>
      <c r="B418" s="73" t="s">
        <v>1352</v>
      </c>
      <c r="C418" s="73" t="s">
        <v>1062</v>
      </c>
      <c r="D418" s="73" t="s">
        <v>1353</v>
      </c>
      <c r="E418" s="91" t="s">
        <v>19</v>
      </c>
      <c r="F418" s="85" t="s">
        <v>1300</v>
      </c>
      <c r="G418" s="85"/>
      <c r="H418" s="85" t="s">
        <v>1413</v>
      </c>
      <c r="I418" s="141">
        <f t="shared" si="19"/>
        <v>28</v>
      </c>
      <c r="J418" s="146" t="s">
        <v>1992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2268</v>
      </c>
      <c r="B419" s="73" t="s">
        <v>1401</v>
      </c>
      <c r="C419" s="73" t="s">
        <v>1062</v>
      </c>
      <c r="D419" s="73" t="s">
        <v>1402</v>
      </c>
      <c r="E419" s="91" t="s">
        <v>19</v>
      </c>
      <c r="F419" s="85" t="s">
        <v>1300</v>
      </c>
      <c r="G419" s="85"/>
      <c r="H419" s="85" t="s">
        <v>1403</v>
      </c>
      <c r="I419" s="141">
        <f t="shared" si="19"/>
        <v>28</v>
      </c>
      <c r="J419" s="146" t="s">
        <v>1993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thickBot="1" x14ac:dyDescent="0.3">
      <c r="A420" s="73" t="s">
        <v>2268</v>
      </c>
      <c r="B420" s="73" t="s">
        <v>2264</v>
      </c>
      <c r="C420" s="73" t="s">
        <v>1062</v>
      </c>
      <c r="D420" s="73" t="s">
        <v>2265</v>
      </c>
      <c r="E420" s="91" t="s">
        <v>19</v>
      </c>
      <c r="F420" s="85" t="s">
        <v>1300</v>
      </c>
      <c r="G420" s="85"/>
      <c r="H420" s="85" t="s">
        <v>2266</v>
      </c>
      <c r="I420" s="141">
        <f t="shared" si="19"/>
        <v>28</v>
      </c>
      <c r="J420" s="146" t="s">
        <v>2267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thickBot="1" x14ac:dyDescent="0.3">
      <c r="A421" s="73" t="s">
        <v>438</v>
      </c>
      <c r="B421" s="73" t="s">
        <v>445</v>
      </c>
      <c r="C421" s="73" t="s">
        <v>1062</v>
      </c>
      <c r="D421" s="73" t="s">
        <v>446</v>
      </c>
      <c r="E421" s="85" t="s">
        <v>15</v>
      </c>
      <c r="F421" s="85" t="s">
        <v>1300</v>
      </c>
      <c r="G421" s="85"/>
      <c r="H421" s="85" t="s">
        <v>1372</v>
      </c>
      <c r="I421" s="141">
        <f t="shared" si="19"/>
        <v>28</v>
      </c>
      <c r="J421" s="146" t="s">
        <v>1994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thickBot="1" x14ac:dyDescent="0.3">
      <c r="A422" s="73" t="s">
        <v>438</v>
      </c>
      <c r="B422" s="73" t="s">
        <v>447</v>
      </c>
      <c r="C422" s="73" t="s">
        <v>1062</v>
      </c>
      <c r="D422" s="73" t="s">
        <v>448</v>
      </c>
      <c r="E422" s="85" t="s">
        <v>19</v>
      </c>
      <c r="F422" s="85" t="s">
        <v>1300</v>
      </c>
      <c r="G422" s="85"/>
      <c r="H422" s="85" t="s">
        <v>1422</v>
      </c>
      <c r="I422" s="141">
        <f t="shared" si="19"/>
        <v>28</v>
      </c>
      <c r="J422" s="146" t="s">
        <v>1995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1062</v>
      </c>
      <c r="D423" s="90" t="s">
        <v>437</v>
      </c>
      <c r="E423" s="91" t="s">
        <v>19</v>
      </c>
      <c r="F423" s="91" t="s">
        <v>20</v>
      </c>
      <c r="G423" s="91"/>
      <c r="H423" s="91" t="s">
        <v>805</v>
      </c>
      <c r="I423" s="31">
        <f t="shared" si="19"/>
        <v>20</v>
      </c>
      <c r="J423" s="87"/>
      <c r="K423" s="31">
        <f t="shared" si="20"/>
        <v>8</v>
      </c>
      <c r="L423" s="32">
        <f t="shared" si="21"/>
        <v>0.7142857142857143</v>
      </c>
      <c r="M423" s="70" t="s">
        <v>2284</v>
      </c>
      <c r="N423" s="70" t="s">
        <v>2284</v>
      </c>
      <c r="O423" s="70" t="s">
        <v>2284</v>
      </c>
      <c r="P423" s="70" t="s">
        <v>2284</v>
      </c>
      <c r="Q423" s="70" t="s">
        <v>2284</v>
      </c>
      <c r="R423" s="70" t="s">
        <v>2284</v>
      </c>
      <c r="S423" s="70"/>
      <c r="T423" s="70"/>
      <c r="U423" s="70" t="s">
        <v>2284</v>
      </c>
      <c r="V423" s="70" t="s">
        <v>2284</v>
      </c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thickBot="1" x14ac:dyDescent="0.3">
      <c r="A424" s="73" t="s">
        <v>438</v>
      </c>
      <c r="B424" s="73" t="s">
        <v>439</v>
      </c>
      <c r="C424" s="73" t="s">
        <v>1062</v>
      </c>
      <c r="D424" s="73" t="s">
        <v>440</v>
      </c>
      <c r="E424" s="85" t="s">
        <v>46</v>
      </c>
      <c r="F424" s="85" t="s">
        <v>1300</v>
      </c>
      <c r="G424" s="85"/>
      <c r="H424" s="85" t="s">
        <v>1373</v>
      </c>
      <c r="I424" s="141">
        <f t="shared" si="19"/>
        <v>28</v>
      </c>
      <c r="J424" s="146" t="s">
        <v>1996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438</v>
      </c>
      <c r="B425" t="s">
        <v>449</v>
      </c>
      <c r="C425" t="s">
        <v>1062</v>
      </c>
      <c r="D425" t="s">
        <v>450</v>
      </c>
      <c r="E425" s="30" t="s">
        <v>15</v>
      </c>
      <c r="F425" s="30" t="s">
        <v>1055</v>
      </c>
      <c r="G425" s="30" t="s">
        <v>1255</v>
      </c>
      <c r="H425" s="30" t="s">
        <v>806</v>
      </c>
      <c r="I425" s="31">
        <f t="shared" si="19"/>
        <v>28</v>
      </c>
      <c r="J425" s="146" t="s">
        <v>1997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thickBot="1" x14ac:dyDescent="0.3">
      <c r="A426" t="s">
        <v>438</v>
      </c>
      <c r="B426" t="s">
        <v>441</v>
      </c>
      <c r="C426" t="s">
        <v>1062</v>
      </c>
      <c r="D426" t="s">
        <v>442</v>
      </c>
      <c r="E426" s="30" t="s">
        <v>15</v>
      </c>
      <c r="F426" s="30" t="s">
        <v>28</v>
      </c>
      <c r="G426" s="30"/>
      <c r="H426" s="30" t="s">
        <v>807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thickBot="1" x14ac:dyDescent="0.3">
      <c r="A427" s="73" t="s">
        <v>438</v>
      </c>
      <c r="B427" s="73" t="s">
        <v>443</v>
      </c>
      <c r="C427" s="73" t="s">
        <v>1062</v>
      </c>
      <c r="D427" s="73" t="s">
        <v>444</v>
      </c>
      <c r="E427" s="85" t="s">
        <v>15</v>
      </c>
      <c r="F427" s="85" t="s">
        <v>1300</v>
      </c>
      <c r="G427" s="85"/>
      <c r="H427" s="85" t="s">
        <v>808</v>
      </c>
      <c r="I427" s="141">
        <f t="shared" si="19"/>
        <v>28</v>
      </c>
      <c r="J427" s="73" t="s">
        <v>1998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thickBot="1" x14ac:dyDescent="0.3">
      <c r="A428" t="s">
        <v>1123</v>
      </c>
      <c r="B428" t="s">
        <v>1124</v>
      </c>
      <c r="C428" t="s">
        <v>1062</v>
      </c>
      <c r="D428" t="s">
        <v>1125</v>
      </c>
      <c r="E428" s="30" t="s">
        <v>1113</v>
      </c>
      <c r="F428" s="30" t="s">
        <v>28</v>
      </c>
      <c r="G428" s="30"/>
      <c r="H428" s="30" t="s">
        <v>1139</v>
      </c>
      <c r="I428" s="31">
        <f t="shared" si="19"/>
        <v>28</v>
      </c>
      <c r="J428" s="146" t="s">
        <v>1999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customHeight="1" thickBot="1" x14ac:dyDescent="0.3">
      <c r="A429" t="s">
        <v>1123</v>
      </c>
      <c r="B429" t="s">
        <v>1143</v>
      </c>
      <c r="C429" t="s">
        <v>1062</v>
      </c>
      <c r="D429" t="s">
        <v>1125</v>
      </c>
      <c r="E429" s="30" t="s">
        <v>1113</v>
      </c>
      <c r="F429" s="30" t="s">
        <v>28</v>
      </c>
      <c r="G429" s="30"/>
      <c r="H429" s="30" t="s">
        <v>1140</v>
      </c>
      <c r="I429" s="31">
        <f t="shared" si="19"/>
        <v>28</v>
      </c>
      <c r="J429" s="146" t="s">
        <v>2000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1123</v>
      </c>
      <c r="B430" s="73" t="s">
        <v>1558</v>
      </c>
      <c r="C430" s="73" t="s">
        <v>1062</v>
      </c>
      <c r="D430" s="73" t="s">
        <v>1559</v>
      </c>
      <c r="E430" s="85" t="s">
        <v>1113</v>
      </c>
      <c r="F430" s="85" t="s">
        <v>1300</v>
      </c>
      <c r="G430" s="85"/>
      <c r="H430" s="85" t="s">
        <v>1561</v>
      </c>
      <c r="I430" s="31">
        <f t="shared" si="19"/>
        <v>25</v>
      </c>
      <c r="J430" s="146" t="s">
        <v>2001</v>
      </c>
      <c r="K430" s="31">
        <f t="shared" si="20"/>
        <v>3</v>
      </c>
      <c r="L430" s="32">
        <f t="shared" si="21"/>
        <v>0.8928571428571429</v>
      </c>
      <c r="M430" s="70"/>
      <c r="N430" s="70"/>
      <c r="O430" s="70"/>
      <c r="P430" s="70"/>
      <c r="Q430" s="70"/>
      <c r="R430" s="70" t="s">
        <v>2284</v>
      </c>
      <c r="S430" s="70"/>
      <c r="T430" s="70"/>
      <c r="U430" s="70" t="s">
        <v>2284</v>
      </c>
      <c r="V430" s="70" t="s">
        <v>2284</v>
      </c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1123</v>
      </c>
      <c r="B431" s="73" t="s">
        <v>1557</v>
      </c>
      <c r="C431" s="73" t="s">
        <v>1062</v>
      </c>
      <c r="D431" s="73" t="s">
        <v>1560</v>
      </c>
      <c r="E431" s="85" t="s">
        <v>1113</v>
      </c>
      <c r="F431" s="85" t="s">
        <v>1300</v>
      </c>
      <c r="G431" s="85"/>
      <c r="H431" s="85" t="s">
        <v>1562</v>
      </c>
      <c r="I431" s="31">
        <f t="shared" si="19"/>
        <v>25</v>
      </c>
      <c r="J431" s="146" t="s">
        <v>2002</v>
      </c>
      <c r="K431" s="31">
        <f t="shared" si="20"/>
        <v>3</v>
      </c>
      <c r="L431" s="32">
        <f t="shared" si="21"/>
        <v>0.8928571428571429</v>
      </c>
      <c r="M431" s="70"/>
      <c r="N431" s="70"/>
      <c r="O431" s="70"/>
      <c r="P431" s="70"/>
      <c r="Q431" s="70"/>
      <c r="R431" s="70" t="s">
        <v>2284</v>
      </c>
      <c r="S431" s="70"/>
      <c r="T431" s="70"/>
      <c r="U431" s="70" t="s">
        <v>2284</v>
      </c>
      <c r="V431" s="70" t="s">
        <v>2284</v>
      </c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1123</v>
      </c>
      <c r="B432" s="73" t="s">
        <v>2249</v>
      </c>
      <c r="C432" s="73" t="s">
        <v>1062</v>
      </c>
      <c r="D432" s="73" t="s">
        <v>2250</v>
      </c>
      <c r="E432" s="85" t="s">
        <v>1113</v>
      </c>
      <c r="F432" s="85"/>
      <c r="G432" s="85"/>
      <c r="H432" s="85" t="s">
        <v>2251</v>
      </c>
      <c r="I432" s="31">
        <f t="shared" si="19"/>
        <v>25</v>
      </c>
      <c r="J432" s="146"/>
      <c r="K432" s="31">
        <f t="shared" si="20"/>
        <v>3</v>
      </c>
      <c r="L432" s="32">
        <f t="shared" si="21"/>
        <v>0.8928571428571429</v>
      </c>
      <c r="M432" s="70"/>
      <c r="N432" s="70"/>
      <c r="O432" s="70"/>
      <c r="P432" s="70"/>
      <c r="Q432" s="70"/>
      <c r="R432" s="70" t="s">
        <v>2284</v>
      </c>
      <c r="S432" s="70"/>
      <c r="T432" s="70"/>
      <c r="U432" s="70" t="s">
        <v>2284</v>
      </c>
      <c r="V432" s="70" t="s">
        <v>2284</v>
      </c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thickBot="1" x14ac:dyDescent="0.3">
      <c r="A433" t="s">
        <v>165</v>
      </c>
      <c r="B433" t="s">
        <v>451</v>
      </c>
      <c r="C433" t="s">
        <v>1061</v>
      </c>
      <c r="D433" t="s">
        <v>452</v>
      </c>
      <c r="E433" s="30" t="s">
        <v>73</v>
      </c>
      <c r="F433" s="30" t="s">
        <v>28</v>
      </c>
      <c r="G433" s="30"/>
      <c r="H433" s="30" t="s">
        <v>809</v>
      </c>
      <c r="I433" s="31">
        <f t="shared" si="19"/>
        <v>28</v>
      </c>
      <c r="J433" s="146" t="s">
        <v>2003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165</v>
      </c>
      <c r="B434" t="s">
        <v>453</v>
      </c>
      <c r="C434" t="s">
        <v>1061</v>
      </c>
      <c r="D434" t="s">
        <v>452</v>
      </c>
      <c r="E434" s="30" t="s">
        <v>73</v>
      </c>
      <c r="F434" s="30" t="s">
        <v>28</v>
      </c>
      <c r="G434" s="30"/>
      <c r="H434" s="30" t="s">
        <v>810</v>
      </c>
      <c r="I434" s="31">
        <f t="shared" si="19"/>
        <v>28</v>
      </c>
      <c r="J434" s="146" t="s">
        <v>2004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165</v>
      </c>
      <c r="B435" t="s">
        <v>1016</v>
      </c>
      <c r="C435" t="s">
        <v>1061</v>
      </c>
      <c r="D435" t="s">
        <v>454</v>
      </c>
      <c r="E435" s="30" t="s">
        <v>73</v>
      </c>
      <c r="F435" s="30" t="s">
        <v>28</v>
      </c>
      <c r="G435" s="30"/>
      <c r="H435" s="30" t="s">
        <v>811</v>
      </c>
      <c r="I435" s="31">
        <f t="shared" si="19"/>
        <v>28</v>
      </c>
      <c r="J435" s="146" t="s">
        <v>2005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thickBot="1" x14ac:dyDescent="0.3">
      <c r="A436" t="s">
        <v>165</v>
      </c>
      <c r="B436" t="s">
        <v>1017</v>
      </c>
      <c r="C436" t="s">
        <v>1061</v>
      </c>
      <c r="D436" t="s">
        <v>454</v>
      </c>
      <c r="E436" s="30" t="s">
        <v>73</v>
      </c>
      <c r="F436" s="30" t="s">
        <v>28</v>
      </c>
      <c r="G436" s="30"/>
      <c r="H436" s="30" t="s">
        <v>812</v>
      </c>
      <c r="I436" s="31">
        <f t="shared" si="19"/>
        <v>28</v>
      </c>
      <c r="J436" s="146" t="s">
        <v>2006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thickBot="1" x14ac:dyDescent="0.3">
      <c r="A437" t="s">
        <v>455</v>
      </c>
      <c r="B437" t="s">
        <v>464</v>
      </c>
      <c r="C437" t="s">
        <v>1062</v>
      </c>
      <c r="D437" t="s">
        <v>1024</v>
      </c>
      <c r="E437" s="30" t="s">
        <v>19</v>
      </c>
      <c r="F437" s="30" t="s">
        <v>1055</v>
      </c>
      <c r="G437" s="30"/>
      <c r="H437" s="30" t="s">
        <v>1409</v>
      </c>
      <c r="I437" s="31">
        <f t="shared" si="19"/>
        <v>25</v>
      </c>
      <c r="J437" s="146" t="s">
        <v>2007</v>
      </c>
      <c r="K437" s="31">
        <f t="shared" si="20"/>
        <v>3</v>
      </c>
      <c r="L437" s="32">
        <f t="shared" si="21"/>
        <v>0.8928571428571429</v>
      </c>
      <c r="M437" s="70" t="s">
        <v>2284</v>
      </c>
      <c r="N437" s="70" t="s">
        <v>2284</v>
      </c>
      <c r="O437" s="70" t="s">
        <v>2284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350</v>
      </c>
      <c r="B438" t="s">
        <v>465</v>
      </c>
      <c r="C438" t="s">
        <v>1062</v>
      </c>
      <c r="D438" t="s">
        <v>1320</v>
      </c>
      <c r="E438" s="30" t="s">
        <v>19</v>
      </c>
      <c r="F438" s="30" t="s">
        <v>1055</v>
      </c>
      <c r="G438" s="30"/>
      <c r="H438" s="30" t="s">
        <v>1410</v>
      </c>
      <c r="I438" s="31">
        <f t="shared" si="19"/>
        <v>25</v>
      </c>
      <c r="J438" s="146" t="s">
        <v>2008</v>
      </c>
      <c r="K438" s="31">
        <f t="shared" si="20"/>
        <v>3</v>
      </c>
      <c r="L438" s="32">
        <f t="shared" si="21"/>
        <v>0.8928571428571429</v>
      </c>
      <c r="M438" s="70" t="s">
        <v>2284</v>
      </c>
      <c r="N438" s="70" t="s">
        <v>2284</v>
      </c>
      <c r="O438" s="70" t="s">
        <v>2284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thickBot="1" x14ac:dyDescent="0.3">
      <c r="A439" s="73" t="s">
        <v>455</v>
      </c>
      <c r="B439" s="73" t="s">
        <v>466</v>
      </c>
      <c r="C439" s="73" t="s">
        <v>1062</v>
      </c>
      <c r="D439" s="73" t="s">
        <v>467</v>
      </c>
      <c r="E439" s="85" t="s">
        <v>19</v>
      </c>
      <c r="F439" s="85" t="s">
        <v>1300</v>
      </c>
      <c r="G439" s="85"/>
      <c r="H439" s="85" t="s">
        <v>1421</v>
      </c>
      <c r="I439" s="141">
        <f t="shared" si="19"/>
        <v>28</v>
      </c>
      <c r="J439" s="146" t="s">
        <v>2009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thickBot="1" x14ac:dyDescent="0.3">
      <c r="A440" s="73" t="s">
        <v>455</v>
      </c>
      <c r="B440" s="73" t="s">
        <v>1018</v>
      </c>
      <c r="C440" s="73" t="s">
        <v>1062</v>
      </c>
      <c r="D440" s="73" t="s">
        <v>468</v>
      </c>
      <c r="E440" s="85" t="s">
        <v>19</v>
      </c>
      <c r="F440" s="85" t="s">
        <v>1300</v>
      </c>
      <c r="G440" s="85"/>
      <c r="H440" s="85" t="s">
        <v>1327</v>
      </c>
      <c r="I440" s="141">
        <f t="shared" si="19"/>
        <v>28</v>
      </c>
      <c r="J440" s="146" t="s">
        <v>2010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1025</v>
      </c>
      <c r="C441" t="s">
        <v>1062</v>
      </c>
      <c r="D441" t="s">
        <v>456</v>
      </c>
      <c r="E441" s="30" t="s">
        <v>15</v>
      </c>
      <c r="F441" s="30" t="s">
        <v>20</v>
      </c>
      <c r="G441" s="30"/>
      <c r="H441" s="30" t="s">
        <v>815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1026</v>
      </c>
      <c r="C442" t="s">
        <v>1062</v>
      </c>
      <c r="D442" t="s">
        <v>457</v>
      </c>
      <c r="E442" s="30" t="s">
        <v>19</v>
      </c>
      <c r="F442" s="30" t="s">
        <v>28</v>
      </c>
      <c r="G442" s="30"/>
      <c r="H442" s="30" t="s">
        <v>816</v>
      </c>
      <c r="I442" s="31">
        <f t="shared" si="19"/>
        <v>28</v>
      </c>
      <c r="J442" s="146" t="s">
        <v>2011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1027</v>
      </c>
      <c r="C443" t="s">
        <v>1062</v>
      </c>
      <c r="D443" t="s">
        <v>458</v>
      </c>
      <c r="E443" s="30" t="s">
        <v>19</v>
      </c>
      <c r="F443" s="30" t="s">
        <v>28</v>
      </c>
      <c r="G443" s="30"/>
      <c r="H443" s="30" t="s">
        <v>817</v>
      </c>
      <c r="I443" s="31">
        <f t="shared" si="19"/>
        <v>28</v>
      </c>
      <c r="J443" s="146" t="s">
        <v>2012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459</v>
      </c>
      <c r="C444" t="s">
        <v>1062</v>
      </c>
      <c r="D444" t="s">
        <v>460</v>
      </c>
      <c r="E444" s="30" t="s">
        <v>19</v>
      </c>
      <c r="F444" s="30" t="s">
        <v>28</v>
      </c>
      <c r="G444" s="30"/>
      <c r="H444" s="30" t="s">
        <v>818</v>
      </c>
      <c r="I444" s="31">
        <f t="shared" si="19"/>
        <v>28</v>
      </c>
      <c r="J444" s="146" t="s">
        <v>2013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1028</v>
      </c>
      <c r="C445" t="s">
        <v>1062</v>
      </c>
      <c r="D445" t="s">
        <v>461</v>
      </c>
      <c r="E445" s="30" t="s">
        <v>15</v>
      </c>
      <c r="F445" s="30" t="s">
        <v>20</v>
      </c>
      <c r="G445" s="30"/>
      <c r="H445" s="30" t="s">
        <v>800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455</v>
      </c>
      <c r="B446" t="s">
        <v>1029</v>
      </c>
      <c r="C446" t="s">
        <v>1062</v>
      </c>
      <c r="D446" t="s">
        <v>462</v>
      </c>
      <c r="E446" s="30" t="s">
        <v>15</v>
      </c>
      <c r="F446" s="30" t="s">
        <v>20</v>
      </c>
      <c r="G446" s="30"/>
      <c r="H446" s="30" t="s">
        <v>819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455</v>
      </c>
      <c r="B447" t="s">
        <v>1019</v>
      </c>
      <c r="C447" t="s">
        <v>1062</v>
      </c>
      <c r="D447" t="s">
        <v>469</v>
      </c>
      <c r="E447" s="30" t="s">
        <v>15</v>
      </c>
      <c r="F447" s="30" t="s">
        <v>20</v>
      </c>
      <c r="G447" s="30"/>
      <c r="H447" s="30" t="s">
        <v>813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thickBot="1" x14ac:dyDescent="0.3">
      <c r="A448" t="s">
        <v>455</v>
      </c>
      <c r="B448" t="s">
        <v>470</v>
      </c>
      <c r="C448" t="s">
        <v>1062</v>
      </c>
      <c r="D448" t="s">
        <v>471</v>
      </c>
      <c r="E448" s="30" t="s">
        <v>15</v>
      </c>
      <c r="F448" s="30" t="s">
        <v>20</v>
      </c>
      <c r="G448" s="30"/>
      <c r="H448" s="30" t="s">
        <v>814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2284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thickBot="1" x14ac:dyDescent="0.3">
      <c r="A449" t="s">
        <v>350</v>
      </c>
      <c r="B449" t="s">
        <v>1020</v>
      </c>
      <c r="C449" t="s">
        <v>1062</v>
      </c>
      <c r="D449" t="s">
        <v>472</v>
      </c>
      <c r="E449" s="30" t="s">
        <v>73</v>
      </c>
      <c r="F449" s="30" t="s">
        <v>1055</v>
      </c>
      <c r="G449" s="30"/>
      <c r="H449" s="30" t="s">
        <v>1411</v>
      </c>
      <c r="I449" s="31">
        <f t="shared" si="19"/>
        <v>25</v>
      </c>
      <c r="J449" s="146" t="s">
        <v>2014</v>
      </c>
      <c r="K449" s="31">
        <f t="shared" si="20"/>
        <v>3</v>
      </c>
      <c r="L449" s="32">
        <f t="shared" si="21"/>
        <v>0.8928571428571429</v>
      </c>
      <c r="M449" s="70" t="s">
        <v>2284</v>
      </c>
      <c r="N449" s="70" t="s">
        <v>2284</v>
      </c>
      <c r="O449" s="70" t="s">
        <v>2284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1021</v>
      </c>
      <c r="C450" t="s">
        <v>1062</v>
      </c>
      <c r="D450" t="s">
        <v>472</v>
      </c>
      <c r="E450" s="30" t="s">
        <v>73</v>
      </c>
      <c r="F450" s="30" t="s">
        <v>1055</v>
      </c>
      <c r="G450" s="30"/>
      <c r="H450" s="30" t="s">
        <v>1412</v>
      </c>
      <c r="I450" s="31">
        <f t="shared" si="19"/>
        <v>21</v>
      </c>
      <c r="J450" s="146" t="s">
        <v>2015</v>
      </c>
      <c r="K450" s="31">
        <f t="shared" si="20"/>
        <v>7</v>
      </c>
      <c r="L450" s="32">
        <f t="shared" si="21"/>
        <v>0.75</v>
      </c>
      <c r="M450" s="70"/>
      <c r="N450" s="70" t="s">
        <v>2284</v>
      </c>
      <c r="O450" s="70" t="s">
        <v>2284</v>
      </c>
      <c r="P450" s="70" t="s">
        <v>2284</v>
      </c>
      <c r="Q450" s="70" t="s">
        <v>2284</v>
      </c>
      <c r="R450" s="70" t="s">
        <v>2284</v>
      </c>
      <c r="S450" s="70"/>
      <c r="T450" s="70"/>
      <c r="U450" s="70" t="s">
        <v>2284</v>
      </c>
      <c r="V450" s="70" t="s">
        <v>2284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thickBot="1" x14ac:dyDescent="0.3">
      <c r="A451" s="73" t="s">
        <v>455</v>
      </c>
      <c r="B451" s="73" t="s">
        <v>473</v>
      </c>
      <c r="C451" s="73" t="s">
        <v>1062</v>
      </c>
      <c r="D451" s="73" t="s">
        <v>474</v>
      </c>
      <c r="E451" s="85" t="s">
        <v>15</v>
      </c>
      <c r="F451" s="85" t="s">
        <v>1300</v>
      </c>
      <c r="G451" s="85"/>
      <c r="H451" s="85" t="s">
        <v>820</v>
      </c>
      <c r="I451" s="141">
        <f t="shared" si="19"/>
        <v>28</v>
      </c>
      <c r="J451" s="146" t="s">
        <v>2016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thickBot="1" x14ac:dyDescent="0.3">
      <c r="A452" s="73" t="s">
        <v>455</v>
      </c>
      <c r="B452" s="73" t="s">
        <v>1030</v>
      </c>
      <c r="C452" s="73" t="s">
        <v>1062</v>
      </c>
      <c r="D452" s="73" t="s">
        <v>463</v>
      </c>
      <c r="E452" s="85" t="s">
        <v>73</v>
      </c>
      <c r="F452" s="85" t="s">
        <v>1300</v>
      </c>
      <c r="G452" s="85"/>
      <c r="H452" s="85" t="s">
        <v>821</v>
      </c>
      <c r="I452" s="141">
        <f t="shared" si="19"/>
        <v>28</v>
      </c>
      <c r="J452" s="146" t="s">
        <v>2017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thickBot="1" x14ac:dyDescent="0.3">
      <c r="A453" s="73" t="s">
        <v>455</v>
      </c>
      <c r="B453" s="73" t="s">
        <v>1031</v>
      </c>
      <c r="C453" s="73" t="s">
        <v>1062</v>
      </c>
      <c r="D453" s="73" t="s">
        <v>463</v>
      </c>
      <c r="E453" s="85" t="s">
        <v>73</v>
      </c>
      <c r="F453" s="85" t="s">
        <v>1300</v>
      </c>
      <c r="G453" s="85"/>
      <c r="H453" s="85" t="s">
        <v>822</v>
      </c>
      <c r="I453" s="141">
        <f t="shared" si="19"/>
        <v>28</v>
      </c>
      <c r="J453" s="146" t="s">
        <v>2018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1022</v>
      </c>
      <c r="C454" t="s">
        <v>1062</v>
      </c>
      <c r="D454" t="s">
        <v>475</v>
      </c>
      <c r="E454" s="30" t="s">
        <v>73</v>
      </c>
      <c r="F454" s="30" t="s">
        <v>28</v>
      </c>
      <c r="G454" s="30"/>
      <c r="H454" s="30" t="s">
        <v>823</v>
      </c>
      <c r="I454" s="31">
        <f t="shared" si="19"/>
        <v>21</v>
      </c>
      <c r="J454" s="146" t="s">
        <v>2019</v>
      </c>
      <c r="K454" s="31">
        <f t="shared" si="20"/>
        <v>7</v>
      </c>
      <c r="L454" s="32">
        <f t="shared" si="21"/>
        <v>0.75</v>
      </c>
      <c r="M454" s="70" t="s">
        <v>2284</v>
      </c>
      <c r="N454" s="70" t="s">
        <v>2284</v>
      </c>
      <c r="O454" s="70" t="s">
        <v>2284</v>
      </c>
      <c r="P454" s="70" t="s">
        <v>2284</v>
      </c>
      <c r="Q454" s="70"/>
      <c r="R454" s="70" t="s">
        <v>2284</v>
      </c>
      <c r="S454" s="70"/>
      <c r="T454" s="70"/>
      <c r="U454" s="70" t="s">
        <v>2284</v>
      </c>
      <c r="V454" s="70" t="s">
        <v>2284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1023</v>
      </c>
      <c r="C455" t="s">
        <v>1062</v>
      </c>
      <c r="D455" t="s">
        <v>475</v>
      </c>
      <c r="E455" s="30" t="s">
        <v>73</v>
      </c>
      <c r="F455" s="30" t="s">
        <v>28</v>
      </c>
      <c r="G455" s="30"/>
      <c r="H455" s="30" t="s">
        <v>824</v>
      </c>
      <c r="I455" s="31">
        <f t="shared" si="19"/>
        <v>21</v>
      </c>
      <c r="J455" s="146" t="s">
        <v>2020</v>
      </c>
      <c r="K455" s="31">
        <f t="shared" si="20"/>
        <v>7</v>
      </c>
      <c r="L455" s="32">
        <f t="shared" si="21"/>
        <v>0.75</v>
      </c>
      <c r="M455" s="70" t="s">
        <v>2284</v>
      </c>
      <c r="N455" s="70" t="s">
        <v>2284</v>
      </c>
      <c r="O455" s="70" t="s">
        <v>2284</v>
      </c>
      <c r="P455" s="70" t="s">
        <v>2284</v>
      </c>
      <c r="Q455" s="70"/>
      <c r="R455" s="70" t="s">
        <v>2284</v>
      </c>
      <c r="S455" s="70"/>
      <c r="T455" s="70"/>
      <c r="U455" s="70" t="s">
        <v>2284</v>
      </c>
      <c r="V455" s="70" t="s">
        <v>2284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thickBot="1" x14ac:dyDescent="0.3">
      <c r="A456" t="s">
        <v>455</v>
      </c>
      <c r="B456" s="30" t="s">
        <v>1287</v>
      </c>
      <c r="C456" t="s">
        <v>1062</v>
      </c>
      <c r="D456" s="68" t="s">
        <v>1286</v>
      </c>
      <c r="E456" s="30" t="s">
        <v>73</v>
      </c>
      <c r="F456" s="30" t="s">
        <v>28</v>
      </c>
      <c r="G456" s="30"/>
      <c r="H456" s="30" t="s">
        <v>1288</v>
      </c>
      <c r="I456" s="31">
        <f t="shared" si="19"/>
        <v>28</v>
      </c>
      <c r="J456" s="146" t="s">
        <v>2021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thickBot="1" x14ac:dyDescent="0.3">
      <c r="A457" t="s">
        <v>455</v>
      </c>
      <c r="B457" t="s">
        <v>1285</v>
      </c>
      <c r="C457" t="s">
        <v>1062</v>
      </c>
      <c r="D457" s="68" t="s">
        <v>1286</v>
      </c>
      <c r="E457" s="30" t="s">
        <v>73</v>
      </c>
      <c r="F457" s="30" t="s">
        <v>28</v>
      </c>
      <c r="G457" s="30"/>
      <c r="H457" s="30" t="s">
        <v>1289</v>
      </c>
      <c r="I457" s="31">
        <f t="shared" si="19"/>
        <v>28</v>
      </c>
      <c r="J457" s="146" t="s">
        <v>2022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1602</v>
      </c>
      <c r="B458" s="73" t="s">
        <v>1603</v>
      </c>
      <c r="C458" s="73" t="s">
        <v>1062</v>
      </c>
      <c r="D458" s="145" t="s">
        <v>1604</v>
      </c>
      <c r="E458" s="85" t="s">
        <v>15</v>
      </c>
      <c r="F458" s="85" t="s">
        <v>1300</v>
      </c>
      <c r="G458" s="85"/>
      <c r="H458" s="85" t="s">
        <v>1605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1602</v>
      </c>
      <c r="B459" s="73" t="s">
        <v>1614</v>
      </c>
      <c r="C459" s="73" t="s">
        <v>1062</v>
      </c>
      <c r="D459" s="145" t="s">
        <v>1615</v>
      </c>
      <c r="E459" s="85" t="s">
        <v>19</v>
      </c>
      <c r="F459" s="85" t="s">
        <v>1300</v>
      </c>
      <c r="G459" s="85"/>
      <c r="H459" s="85" t="s">
        <v>1616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1608</v>
      </c>
      <c r="B460" s="73" t="s">
        <v>1607</v>
      </c>
      <c r="C460" s="73" t="s">
        <v>1062</v>
      </c>
      <c r="D460" s="145" t="s">
        <v>1609</v>
      </c>
      <c r="E460" s="85" t="s">
        <v>73</v>
      </c>
      <c r="F460" s="85" t="s">
        <v>1300</v>
      </c>
      <c r="G460" s="85"/>
      <c r="H460" s="85" t="s">
        <v>1610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1602</v>
      </c>
      <c r="B461" s="73" t="s">
        <v>1658</v>
      </c>
      <c r="C461" s="73" t="s">
        <v>1062</v>
      </c>
      <c r="D461" s="145" t="s">
        <v>1656</v>
      </c>
      <c r="E461" s="85" t="s">
        <v>73</v>
      </c>
      <c r="F461" s="85" t="s">
        <v>1300</v>
      </c>
      <c r="G461" s="85"/>
      <c r="H461" s="85" t="s">
        <v>1660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1602</v>
      </c>
      <c r="B462" s="73" t="s">
        <v>1659</v>
      </c>
      <c r="C462" s="73" t="s">
        <v>1062</v>
      </c>
      <c r="D462" s="145" t="s">
        <v>1657</v>
      </c>
      <c r="E462" s="85" t="s">
        <v>73</v>
      </c>
      <c r="F462" s="85" t="s">
        <v>1300</v>
      </c>
      <c r="G462" s="85"/>
      <c r="H462" s="85" t="s">
        <v>1661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1602</v>
      </c>
      <c r="B463" s="73" t="s">
        <v>2170</v>
      </c>
      <c r="C463" s="73" t="s">
        <v>1062</v>
      </c>
      <c r="D463" s="145" t="s">
        <v>2171</v>
      </c>
      <c r="E463" s="85"/>
      <c r="F463" s="85" t="s">
        <v>1300</v>
      </c>
      <c r="G463" s="85"/>
      <c r="H463" s="85" t="s">
        <v>2172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1062</v>
      </c>
      <c r="D464" s="73" t="s">
        <v>477</v>
      </c>
      <c r="E464" s="85" t="s">
        <v>73</v>
      </c>
      <c r="F464" s="85" t="s">
        <v>1300</v>
      </c>
      <c r="G464" s="85"/>
      <c r="H464" s="85" t="s">
        <v>825</v>
      </c>
      <c r="I464" s="141">
        <f t="shared" si="19"/>
        <v>20</v>
      </c>
      <c r="J464" s="146" t="s">
        <v>2023</v>
      </c>
      <c r="K464" s="141">
        <f t="shared" si="20"/>
        <v>8</v>
      </c>
      <c r="L464" s="142">
        <f t="shared" si="21"/>
        <v>0.7142857142857143</v>
      </c>
      <c r="M464" s="70" t="s">
        <v>2284</v>
      </c>
      <c r="N464" s="70" t="s">
        <v>2284</v>
      </c>
      <c r="O464" s="70" t="s">
        <v>2284</v>
      </c>
      <c r="P464" s="70" t="s">
        <v>2284</v>
      </c>
      <c r="Q464" s="70" t="s">
        <v>2284</v>
      </c>
      <c r="R464" s="70" t="s">
        <v>2284</v>
      </c>
      <c r="S464" s="70"/>
      <c r="T464" s="70"/>
      <c r="U464" s="70" t="s">
        <v>2284</v>
      </c>
      <c r="V464" s="70" t="s">
        <v>2284</v>
      </c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1062</v>
      </c>
      <c r="D465" s="73" t="s">
        <v>477</v>
      </c>
      <c r="E465" s="85" t="s">
        <v>73</v>
      </c>
      <c r="F465" s="85" t="s">
        <v>1300</v>
      </c>
      <c r="G465" s="85"/>
      <c r="H465" s="85" t="s">
        <v>826</v>
      </c>
      <c r="I465" s="141">
        <f t="shared" si="19"/>
        <v>20</v>
      </c>
      <c r="J465" s="146" t="s">
        <v>2024</v>
      </c>
      <c r="K465" s="141">
        <f t="shared" si="20"/>
        <v>8</v>
      </c>
      <c r="L465" s="142">
        <f t="shared" si="21"/>
        <v>0.7142857142857143</v>
      </c>
      <c r="M465" s="70" t="s">
        <v>2284</v>
      </c>
      <c r="N465" s="70" t="s">
        <v>2284</v>
      </c>
      <c r="O465" s="70" t="s">
        <v>2284</v>
      </c>
      <c r="P465" s="70" t="s">
        <v>2284</v>
      </c>
      <c r="Q465" s="70" t="s">
        <v>2284</v>
      </c>
      <c r="R465" s="70" t="s">
        <v>2284</v>
      </c>
      <c r="S465" s="70"/>
      <c r="T465" s="70"/>
      <c r="U465" s="70" t="s">
        <v>2284</v>
      </c>
      <c r="V465" s="70" t="s">
        <v>2284</v>
      </c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1104</v>
      </c>
      <c r="C466" s="85" t="s">
        <v>1062</v>
      </c>
      <c r="D466" s="73" t="s">
        <v>1103</v>
      </c>
      <c r="E466" s="85" t="s">
        <v>15</v>
      </c>
      <c r="F466" s="85" t="s">
        <v>1300</v>
      </c>
      <c r="G466" s="85"/>
      <c r="H466" s="85" t="s">
        <v>1105</v>
      </c>
      <c r="I466" s="141">
        <f t="shared" si="19"/>
        <v>20</v>
      </c>
      <c r="J466" s="87"/>
      <c r="K466" s="141">
        <f t="shared" si="20"/>
        <v>8</v>
      </c>
      <c r="L466" s="142">
        <f t="shared" si="21"/>
        <v>0.7142857142857143</v>
      </c>
      <c r="M466" s="70" t="s">
        <v>2284</v>
      </c>
      <c r="N466" s="70" t="s">
        <v>2284</v>
      </c>
      <c r="O466" s="70" t="s">
        <v>2284</v>
      </c>
      <c r="P466" s="70" t="s">
        <v>2284</v>
      </c>
      <c r="Q466" s="70" t="s">
        <v>2284</v>
      </c>
      <c r="R466" s="70" t="s">
        <v>2284</v>
      </c>
      <c r="S466" s="70"/>
      <c r="T466" s="70"/>
      <c r="U466" s="70" t="s">
        <v>2284</v>
      </c>
      <c r="V466" s="70" t="s">
        <v>2284</v>
      </c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thickBot="1" x14ac:dyDescent="0.3">
      <c r="A467" s="73" t="s">
        <v>433</v>
      </c>
      <c r="B467" s="85" t="s">
        <v>2139</v>
      </c>
      <c r="C467" t="s">
        <v>1061</v>
      </c>
      <c r="D467" s="73" t="s">
        <v>2140</v>
      </c>
      <c r="E467" s="85" t="s">
        <v>15</v>
      </c>
      <c r="F467" s="85" t="s">
        <v>1300</v>
      </c>
      <c r="G467" s="85"/>
      <c r="H467" s="85" t="s">
        <v>2141</v>
      </c>
      <c r="I467" s="141">
        <f t="shared" si="19"/>
        <v>28</v>
      </c>
      <c r="J467" s="151" t="s">
        <v>2142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2283</v>
      </c>
      <c r="C468" t="s">
        <v>1061</v>
      </c>
      <c r="D468" s="73" t="s">
        <v>2306</v>
      </c>
      <c r="E468" s="85" t="s">
        <v>73</v>
      </c>
      <c r="F468" s="85"/>
      <c r="G468" s="85"/>
      <c r="H468" s="85"/>
      <c r="I468" s="141">
        <f t="shared" si="19"/>
        <v>20</v>
      </c>
      <c r="J468" s="151"/>
      <c r="K468" s="141">
        <f t="shared" si="20"/>
        <v>8</v>
      </c>
      <c r="L468" s="142">
        <f t="shared" si="21"/>
        <v>0.7142857142857143</v>
      </c>
      <c r="M468" s="70" t="s">
        <v>2284</v>
      </c>
      <c r="N468" s="70" t="s">
        <v>2284</v>
      </c>
      <c r="O468" s="70" t="s">
        <v>2284</v>
      </c>
      <c r="P468" s="70" t="s">
        <v>2284</v>
      </c>
      <c r="Q468" s="70" t="s">
        <v>2284</v>
      </c>
      <c r="R468" s="70" t="s">
        <v>2284</v>
      </c>
      <c r="S468" s="70"/>
      <c r="T468" s="70"/>
      <c r="U468" s="70" t="s">
        <v>2284</v>
      </c>
      <c r="V468" s="70" t="s">
        <v>2284</v>
      </c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1032</v>
      </c>
      <c r="C469" t="s">
        <v>1061</v>
      </c>
      <c r="D469" t="s">
        <v>496</v>
      </c>
      <c r="E469" s="30" t="s">
        <v>19</v>
      </c>
      <c r="F469" s="30" t="s">
        <v>1055</v>
      </c>
      <c r="G469" s="30" t="s">
        <v>1256</v>
      </c>
      <c r="H469" s="30" t="s">
        <v>835</v>
      </c>
      <c r="I469" s="31">
        <f t="shared" si="19"/>
        <v>27</v>
      </c>
      <c r="J469" s="146" t="s">
        <v>2025</v>
      </c>
      <c r="K469" s="31">
        <f t="shared" si="20"/>
        <v>1</v>
      </c>
      <c r="L469" s="32">
        <f t="shared" si="21"/>
        <v>0.9642857142857143</v>
      </c>
      <c r="M469" s="70"/>
      <c r="N469" s="70"/>
      <c r="O469" s="70"/>
      <c r="P469" s="70"/>
      <c r="Q469" s="70"/>
      <c r="R469" s="70"/>
      <c r="S469" s="70"/>
      <c r="T469" s="70"/>
      <c r="U469" s="70" t="s">
        <v>2284</v>
      </c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1061</v>
      </c>
      <c r="D470" t="s">
        <v>1612</v>
      </c>
      <c r="E470" s="30" t="s">
        <v>19</v>
      </c>
      <c r="F470" s="30" t="s">
        <v>1055</v>
      </c>
      <c r="G470" s="30" t="s">
        <v>1256</v>
      </c>
      <c r="H470" s="30" t="s">
        <v>827</v>
      </c>
      <c r="I470" s="31">
        <f t="shared" si="19"/>
        <v>20</v>
      </c>
      <c r="J470" s="146" t="s">
        <v>2026</v>
      </c>
      <c r="K470" s="31">
        <f t="shared" si="20"/>
        <v>8</v>
      </c>
      <c r="L470" s="32">
        <f t="shared" si="21"/>
        <v>0.7142857142857143</v>
      </c>
      <c r="M470" s="70" t="s">
        <v>2284</v>
      </c>
      <c r="N470" s="70" t="s">
        <v>2284</v>
      </c>
      <c r="O470" s="70" t="s">
        <v>2284</v>
      </c>
      <c r="P470" s="70" t="s">
        <v>2284</v>
      </c>
      <c r="Q470" s="70" t="s">
        <v>2284</v>
      </c>
      <c r="R470" s="70" t="s">
        <v>2284</v>
      </c>
      <c r="S470" s="70"/>
      <c r="T470" s="70"/>
      <c r="U470" s="70" t="s">
        <v>2284</v>
      </c>
      <c r="V470" s="70" t="s">
        <v>2284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thickBot="1" x14ac:dyDescent="0.3">
      <c r="A471" t="s">
        <v>479</v>
      </c>
      <c r="B471" t="s">
        <v>481</v>
      </c>
      <c r="C471" t="s">
        <v>1061</v>
      </c>
      <c r="D471" t="s">
        <v>482</v>
      </c>
      <c r="E471" s="30" t="s">
        <v>19</v>
      </c>
      <c r="F471" s="30" t="s">
        <v>28</v>
      </c>
      <c r="G471" s="30"/>
      <c r="H471" s="30" t="s">
        <v>828</v>
      </c>
      <c r="I471" s="31">
        <f t="shared" ref="I471:I544" si="22">COUNTIF(M471:AN471,"")</f>
        <v>28</v>
      </c>
      <c r="J471" s="146" t="s">
        <v>2027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thickBot="1" x14ac:dyDescent="0.3">
      <c r="A472" t="s">
        <v>483</v>
      </c>
      <c r="B472" t="s">
        <v>484</v>
      </c>
      <c r="C472" t="s">
        <v>1061</v>
      </c>
      <c r="D472" t="s">
        <v>485</v>
      </c>
      <c r="E472" s="30" t="s">
        <v>19</v>
      </c>
      <c r="F472" s="30" t="s">
        <v>28</v>
      </c>
      <c r="G472" s="30"/>
      <c r="H472" s="30" t="s">
        <v>829</v>
      </c>
      <c r="I472" s="31">
        <f t="shared" si="22"/>
        <v>28</v>
      </c>
      <c r="J472" s="146" t="s">
        <v>2028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thickBot="1" x14ac:dyDescent="0.3">
      <c r="A473" t="s">
        <v>479</v>
      </c>
      <c r="B473" t="s">
        <v>486</v>
      </c>
      <c r="C473" t="s">
        <v>1061</v>
      </c>
      <c r="D473" t="s">
        <v>487</v>
      </c>
      <c r="E473" s="30" t="s">
        <v>15</v>
      </c>
      <c r="F473" s="30" t="s">
        <v>28</v>
      </c>
      <c r="G473" s="30"/>
      <c r="H473" s="30" t="s">
        <v>830</v>
      </c>
      <c r="I473" s="31">
        <f t="shared" si="22"/>
        <v>28</v>
      </c>
      <c r="J473" s="146" t="s">
        <v>2029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488</v>
      </c>
      <c r="C474" t="s">
        <v>1061</v>
      </c>
      <c r="D474" t="s">
        <v>489</v>
      </c>
      <c r="E474" s="30" t="s">
        <v>19</v>
      </c>
      <c r="F474" s="30" t="s">
        <v>28</v>
      </c>
      <c r="G474" s="30"/>
      <c r="H474" s="30" t="s">
        <v>831</v>
      </c>
      <c r="I474" s="31">
        <f t="shared" si="22"/>
        <v>28</v>
      </c>
      <c r="J474" s="146" t="s">
        <v>2030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490</v>
      </c>
      <c r="C475" s="73" t="s">
        <v>1061</v>
      </c>
      <c r="D475" s="73" t="s">
        <v>491</v>
      </c>
      <c r="E475" s="85" t="s">
        <v>15</v>
      </c>
      <c r="F475" s="85" t="s">
        <v>1300</v>
      </c>
      <c r="G475" s="85"/>
      <c r="H475" s="85" t="s">
        <v>832</v>
      </c>
      <c r="I475" s="141">
        <f t="shared" si="22"/>
        <v>28</v>
      </c>
      <c r="J475" s="146" t="s">
        <v>2031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492</v>
      </c>
      <c r="C476" s="73" t="s">
        <v>1061</v>
      </c>
      <c r="D476" s="73" t="s">
        <v>493</v>
      </c>
      <c r="E476" s="85" t="s">
        <v>19</v>
      </c>
      <c r="F476" s="85" t="s">
        <v>1300</v>
      </c>
      <c r="G476" s="85"/>
      <c r="H476" s="85" t="s">
        <v>833</v>
      </c>
      <c r="I476" s="31">
        <f t="shared" si="22"/>
        <v>28</v>
      </c>
      <c r="J476" s="146" t="s">
        <v>2032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thickBot="1" x14ac:dyDescent="0.3">
      <c r="A477" t="s">
        <v>479</v>
      </c>
      <c r="B477" t="s">
        <v>494</v>
      </c>
      <c r="C477" t="s">
        <v>1061</v>
      </c>
      <c r="D477" t="s">
        <v>495</v>
      </c>
      <c r="E477" s="30" t="s">
        <v>19</v>
      </c>
      <c r="F477" s="30" t="s">
        <v>1055</v>
      </c>
      <c r="G477" s="30" t="s">
        <v>1257</v>
      </c>
      <c r="H477" s="30" t="s">
        <v>834</v>
      </c>
      <c r="I477" s="31">
        <f t="shared" si="22"/>
        <v>28</v>
      </c>
      <c r="J477" s="146" t="s">
        <v>2033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thickBot="1" x14ac:dyDescent="0.3">
      <c r="A478" s="73" t="s">
        <v>479</v>
      </c>
      <c r="B478" s="73" t="s">
        <v>1187</v>
      </c>
      <c r="C478" s="73" t="s">
        <v>1061</v>
      </c>
      <c r="D478" s="73" t="s">
        <v>1188</v>
      </c>
      <c r="E478" s="85" t="s">
        <v>1113</v>
      </c>
      <c r="F478" s="85" t="s">
        <v>1300</v>
      </c>
      <c r="G478" s="85"/>
      <c r="H478" s="85" t="s">
        <v>1189</v>
      </c>
      <c r="I478" s="141">
        <f t="shared" si="22"/>
        <v>28</v>
      </c>
      <c r="J478" s="146" t="s">
        <v>2034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thickBot="1" x14ac:dyDescent="0.3">
      <c r="A479" s="73" t="s">
        <v>479</v>
      </c>
      <c r="B479" s="73" t="s">
        <v>1190</v>
      </c>
      <c r="C479" s="73" t="s">
        <v>1061</v>
      </c>
      <c r="D479" s="73" t="s">
        <v>1188</v>
      </c>
      <c r="E479" s="85" t="s">
        <v>1113</v>
      </c>
      <c r="F479" s="85" t="s">
        <v>28</v>
      </c>
      <c r="G479" s="85"/>
      <c r="H479" s="85" t="s">
        <v>1191</v>
      </c>
      <c r="I479" s="87">
        <f t="shared" si="22"/>
        <v>28</v>
      </c>
      <c r="J479" s="146" t="s">
        <v>2035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thickBot="1" x14ac:dyDescent="0.3">
      <c r="A480" t="s">
        <v>479</v>
      </c>
      <c r="B480" t="s">
        <v>1220</v>
      </c>
      <c r="C480" t="s">
        <v>1061</v>
      </c>
      <c r="D480" t="s">
        <v>1236</v>
      </c>
      <c r="E480" t="s">
        <v>73</v>
      </c>
      <c r="F480" t="s">
        <v>28</v>
      </c>
      <c r="G480"/>
      <c r="H480" s="30" t="s">
        <v>1281</v>
      </c>
      <c r="I480" s="31">
        <f t="shared" si="22"/>
        <v>28</v>
      </c>
      <c r="J480" s="146" t="s">
        <v>2036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thickBot="1" x14ac:dyDescent="0.3">
      <c r="A481" t="s">
        <v>479</v>
      </c>
      <c r="B481" t="s">
        <v>1221</v>
      </c>
      <c r="C481" t="s">
        <v>1061</v>
      </c>
      <c r="D481" t="s">
        <v>1236</v>
      </c>
      <c r="E481" t="s">
        <v>73</v>
      </c>
      <c r="F481" t="s">
        <v>28</v>
      </c>
      <c r="G481"/>
      <c r="H481" s="30" t="s">
        <v>1282</v>
      </c>
      <c r="I481" s="31">
        <f t="shared" si="22"/>
        <v>28</v>
      </c>
      <c r="J481" s="146" t="s">
        <v>2037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thickBot="1" x14ac:dyDescent="0.3">
      <c r="A482" t="s">
        <v>479</v>
      </c>
      <c r="B482" t="s">
        <v>1339</v>
      </c>
      <c r="C482" t="s">
        <v>1061</v>
      </c>
      <c r="D482" s="68" t="s">
        <v>1340</v>
      </c>
      <c r="E482" t="s">
        <v>73</v>
      </c>
      <c r="F482"/>
      <c r="G482"/>
      <c r="H482" s="30" t="s">
        <v>1329</v>
      </c>
      <c r="I482" s="31">
        <f t="shared" si="22"/>
        <v>28</v>
      </c>
      <c r="J482" s="146" t="s">
        <v>2038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1351</v>
      </c>
      <c r="C483" s="73" t="s">
        <v>1061</v>
      </c>
      <c r="D483" s="145" t="s">
        <v>1358</v>
      </c>
      <c r="E483" s="73" t="s">
        <v>15</v>
      </c>
      <c r="F483" s="73" t="s">
        <v>1300</v>
      </c>
      <c r="H483" s="85" t="s">
        <v>1420</v>
      </c>
      <c r="I483" s="87">
        <f t="shared" si="22"/>
        <v>28</v>
      </c>
      <c r="J483" s="146" t="s">
        <v>2039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1606</v>
      </c>
      <c r="C484" s="73" t="s">
        <v>1061</v>
      </c>
      <c r="D484" s="145" t="s">
        <v>1611</v>
      </c>
      <c r="E484" s="73" t="s">
        <v>15</v>
      </c>
      <c r="F484" s="73" t="s">
        <v>1300</v>
      </c>
      <c r="H484" s="85" t="s">
        <v>1613</v>
      </c>
      <c r="I484" s="87">
        <f t="shared" si="22"/>
        <v>28</v>
      </c>
      <c r="J484" s="87" t="s">
        <v>2162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1624</v>
      </c>
      <c r="C485" s="73" t="s">
        <v>1061</v>
      </c>
      <c r="D485" s="145" t="s">
        <v>1617</v>
      </c>
      <c r="E485" s="73" t="s">
        <v>19</v>
      </c>
      <c r="F485" s="73" t="s">
        <v>1300</v>
      </c>
      <c r="H485" s="85" t="s">
        <v>1625</v>
      </c>
      <c r="I485" s="87">
        <f t="shared" si="22"/>
        <v>28</v>
      </c>
      <c r="J485" s="87" t="s">
        <v>2163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thickBot="1" x14ac:dyDescent="0.3">
      <c r="A486" s="73" t="s">
        <v>479</v>
      </c>
      <c r="B486" s="73" t="s">
        <v>1619</v>
      </c>
      <c r="C486" s="73" t="s">
        <v>1061</v>
      </c>
      <c r="D486" s="145" t="s">
        <v>1618</v>
      </c>
      <c r="E486" s="73" t="s">
        <v>1113</v>
      </c>
      <c r="F486" s="73" t="s">
        <v>1300</v>
      </c>
      <c r="H486" s="85" t="s">
        <v>1623</v>
      </c>
      <c r="I486" s="87">
        <f t="shared" si="22"/>
        <v>28</v>
      </c>
      <c r="J486" s="87" t="s">
        <v>2164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thickBot="1" x14ac:dyDescent="0.3">
      <c r="A487" s="73" t="s">
        <v>479</v>
      </c>
      <c r="B487" s="73" t="s">
        <v>1620</v>
      </c>
      <c r="C487" s="73" t="s">
        <v>1061</v>
      </c>
      <c r="D487" s="145" t="s">
        <v>1621</v>
      </c>
      <c r="E487" s="73" t="s">
        <v>1113</v>
      </c>
      <c r="F487" s="73" t="s">
        <v>1300</v>
      </c>
      <c r="H487" s="85" t="s">
        <v>1622</v>
      </c>
      <c r="I487" s="87">
        <f t="shared" si="22"/>
        <v>28</v>
      </c>
      <c r="J487" s="87" t="s">
        <v>2165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thickBot="1" x14ac:dyDescent="0.3">
      <c r="A488" s="73" t="s">
        <v>479</v>
      </c>
      <c r="B488" s="73" t="s">
        <v>2295</v>
      </c>
      <c r="C488" s="73" t="s">
        <v>1061</v>
      </c>
      <c r="D488" s="145" t="s">
        <v>2296</v>
      </c>
      <c r="E488" s="30" t="s">
        <v>15</v>
      </c>
      <c r="F488" s="73" t="s">
        <v>1300</v>
      </c>
      <c r="H488" s="85" t="s">
        <v>2321</v>
      </c>
      <c r="I488" s="87">
        <f t="shared" si="22"/>
        <v>28</v>
      </c>
      <c r="J488" s="151" t="s">
        <v>2322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thickBot="1" x14ac:dyDescent="0.3">
      <c r="A489" s="73" t="s">
        <v>229</v>
      </c>
      <c r="B489" s="73" t="s">
        <v>497</v>
      </c>
      <c r="C489" s="73" t="s">
        <v>1062</v>
      </c>
      <c r="D489" s="73" t="s">
        <v>498</v>
      </c>
      <c r="E489" s="85" t="s">
        <v>19</v>
      </c>
      <c r="F489" s="85" t="s">
        <v>1300</v>
      </c>
      <c r="G489" s="85"/>
      <c r="H489" s="85" t="s">
        <v>836</v>
      </c>
      <c r="I489" s="141">
        <f t="shared" si="22"/>
        <v>28</v>
      </c>
      <c r="J489" s="146" t="s">
        <v>2040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499</v>
      </c>
      <c r="C490" t="s">
        <v>1062</v>
      </c>
      <c r="D490" t="s">
        <v>500</v>
      </c>
      <c r="E490" s="30" t="s">
        <v>15</v>
      </c>
      <c r="F490" s="30" t="s">
        <v>20</v>
      </c>
      <c r="G490" s="30"/>
      <c r="H490" s="30" t="s">
        <v>837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501</v>
      </c>
      <c r="C491" t="s">
        <v>1062</v>
      </c>
      <c r="D491" t="s">
        <v>502</v>
      </c>
      <c r="E491" s="30" t="s">
        <v>73</v>
      </c>
      <c r="F491" s="30" t="s">
        <v>20</v>
      </c>
      <c r="G491" s="30"/>
      <c r="H491" s="30" t="s">
        <v>838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503</v>
      </c>
      <c r="C492" t="s">
        <v>1062</v>
      </c>
      <c r="D492" t="s">
        <v>502</v>
      </c>
      <c r="E492" s="30" t="s">
        <v>73</v>
      </c>
      <c r="F492" s="30" t="s">
        <v>20</v>
      </c>
      <c r="G492" s="30"/>
      <c r="H492" s="30" t="s">
        <v>839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504</v>
      </c>
      <c r="C493" t="s">
        <v>1062</v>
      </c>
      <c r="D493" t="s">
        <v>505</v>
      </c>
      <c r="E493" s="30" t="s">
        <v>73</v>
      </c>
      <c r="F493" s="30" t="s">
        <v>20</v>
      </c>
      <c r="G493" s="30"/>
      <c r="H493" s="30" t="s">
        <v>840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506</v>
      </c>
      <c r="C494" t="s">
        <v>1062</v>
      </c>
      <c r="D494" t="s">
        <v>505</v>
      </c>
      <c r="E494" s="30" t="s">
        <v>73</v>
      </c>
      <c r="F494" s="30" t="s">
        <v>20</v>
      </c>
      <c r="G494" s="30"/>
      <c r="H494" s="30" t="s">
        <v>841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507</v>
      </c>
      <c r="C495" t="s">
        <v>1062</v>
      </c>
      <c r="D495" t="s">
        <v>508</v>
      </c>
      <c r="E495" s="30" t="s">
        <v>15</v>
      </c>
      <c r="F495" s="30" t="s">
        <v>28</v>
      </c>
      <c r="G495" s="30"/>
      <c r="H495" s="30" t="s">
        <v>842</v>
      </c>
      <c r="I495" s="31">
        <f t="shared" si="22"/>
        <v>27</v>
      </c>
      <c r="J495" s="146" t="s">
        <v>2041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2284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1033</v>
      </c>
      <c r="C496" t="s">
        <v>1062</v>
      </c>
      <c r="D496" t="s">
        <v>509</v>
      </c>
      <c r="E496" s="30" t="s">
        <v>73</v>
      </c>
      <c r="F496" s="30" t="s">
        <v>28</v>
      </c>
      <c r="G496" s="30"/>
      <c r="H496" s="30" t="s">
        <v>843</v>
      </c>
      <c r="I496" s="31">
        <f t="shared" si="22"/>
        <v>28</v>
      </c>
      <c r="J496" s="146" t="s">
        <v>2042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t="s">
        <v>1034</v>
      </c>
      <c r="C497" t="s">
        <v>1062</v>
      </c>
      <c r="D497" t="s">
        <v>509</v>
      </c>
      <c r="E497" s="30" t="s">
        <v>73</v>
      </c>
      <c r="F497" s="30" t="s">
        <v>28</v>
      </c>
      <c r="G497" s="30"/>
      <c r="H497" s="30" t="s">
        <v>844</v>
      </c>
      <c r="I497" s="31">
        <f t="shared" si="22"/>
        <v>28</v>
      </c>
      <c r="J497" s="146" t="s">
        <v>2043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t="s">
        <v>510</v>
      </c>
      <c r="C498" t="s">
        <v>1062</v>
      </c>
      <c r="D498" t="s">
        <v>511</v>
      </c>
      <c r="E498" s="30" t="s">
        <v>73</v>
      </c>
      <c r="F498" s="30" t="s">
        <v>28</v>
      </c>
      <c r="G498" s="30"/>
      <c r="H498" s="30" t="s">
        <v>845</v>
      </c>
      <c r="I498" s="31">
        <f t="shared" si="22"/>
        <v>28</v>
      </c>
      <c r="J498" s="146" t="s">
        <v>2044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t="s">
        <v>512</v>
      </c>
      <c r="C499" t="s">
        <v>1062</v>
      </c>
      <c r="D499" t="s">
        <v>511</v>
      </c>
      <c r="E499" s="30" t="s">
        <v>73</v>
      </c>
      <c r="F499" s="30" t="s">
        <v>28</v>
      </c>
      <c r="G499" s="30"/>
      <c r="H499" s="30" t="s">
        <v>846</v>
      </c>
      <c r="I499" s="31">
        <f t="shared" si="22"/>
        <v>28</v>
      </c>
      <c r="J499" s="146" t="s">
        <v>2045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229</v>
      </c>
      <c r="B500" s="30" t="s">
        <v>1094</v>
      </c>
      <c r="C500" s="30" t="s">
        <v>1062</v>
      </c>
      <c r="D500" t="s">
        <v>1095</v>
      </c>
      <c r="E500" s="30" t="s">
        <v>19</v>
      </c>
      <c r="F500" s="30" t="s">
        <v>28</v>
      </c>
      <c r="G500" s="30"/>
      <c r="H500" s="30" t="s">
        <v>1096</v>
      </c>
      <c r="I500" s="31">
        <f t="shared" si="22"/>
        <v>28</v>
      </c>
      <c r="J500" s="146" t="s">
        <v>2046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229</v>
      </c>
      <c r="B501" s="30" t="s">
        <v>1099</v>
      </c>
      <c r="C501" s="30" t="s">
        <v>1062</v>
      </c>
      <c r="D501" t="s">
        <v>1097</v>
      </c>
      <c r="E501" s="30" t="s">
        <v>19</v>
      </c>
      <c r="F501" s="30" t="s">
        <v>28</v>
      </c>
      <c r="G501" s="30"/>
      <c r="H501" s="30" t="s">
        <v>1098</v>
      </c>
      <c r="I501" s="31">
        <f t="shared" si="22"/>
        <v>28</v>
      </c>
      <c r="J501" s="146" t="s">
        <v>2047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229</v>
      </c>
      <c r="B502" s="30" t="s">
        <v>1100</v>
      </c>
      <c r="C502" s="30" t="s">
        <v>1062</v>
      </c>
      <c r="D502" t="s">
        <v>1101</v>
      </c>
      <c r="E502" s="30" t="s">
        <v>19</v>
      </c>
      <c r="F502" s="30" t="s">
        <v>28</v>
      </c>
      <c r="G502" s="30"/>
      <c r="H502" s="30" t="s">
        <v>1102</v>
      </c>
      <c r="I502" s="31">
        <f t="shared" si="22"/>
        <v>28</v>
      </c>
      <c r="J502" s="146" t="s">
        <v>2048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t="s">
        <v>518</v>
      </c>
      <c r="B503" t="s">
        <v>526</v>
      </c>
      <c r="C503" t="s">
        <v>1062</v>
      </c>
      <c r="D503" t="s">
        <v>2252</v>
      </c>
      <c r="E503" s="30" t="s">
        <v>19</v>
      </c>
      <c r="F503" s="30" t="s">
        <v>28</v>
      </c>
      <c r="G503" s="30"/>
      <c r="H503" s="30" t="s">
        <v>847</v>
      </c>
      <c r="I503" s="31">
        <f t="shared" si="22"/>
        <v>28</v>
      </c>
      <c r="J503" s="146" t="s">
        <v>2049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1062</v>
      </c>
      <c r="D504" t="s">
        <v>1090</v>
      </c>
      <c r="E504" s="30" t="s">
        <v>19</v>
      </c>
      <c r="F504" s="30" t="s">
        <v>28</v>
      </c>
      <c r="G504" s="30"/>
      <c r="H504" s="30" t="s">
        <v>848</v>
      </c>
      <c r="I504" s="31">
        <f t="shared" si="22"/>
        <v>26</v>
      </c>
      <c r="J504" s="146" t="s">
        <v>2050</v>
      </c>
      <c r="K504" s="31">
        <f t="shared" si="23"/>
        <v>2</v>
      </c>
      <c r="L504" s="32">
        <f t="shared" si="24"/>
        <v>0.9285714285714286</v>
      </c>
      <c r="M504" s="70"/>
      <c r="N504" s="70"/>
      <c r="O504" s="70"/>
      <c r="P504" s="70"/>
      <c r="Q504" s="70"/>
      <c r="R504" s="70"/>
      <c r="S504" s="70"/>
      <c r="T504" s="70"/>
      <c r="U504" s="70" t="s">
        <v>2284</v>
      </c>
      <c r="V504" s="70" t="s">
        <v>2284</v>
      </c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1062</v>
      </c>
      <c r="D505" t="s">
        <v>529</v>
      </c>
      <c r="E505" s="30" t="s">
        <v>19</v>
      </c>
      <c r="F505" s="30" t="s">
        <v>28</v>
      </c>
      <c r="G505" s="30"/>
      <c r="H505" s="30" t="s">
        <v>849</v>
      </c>
      <c r="I505" s="31">
        <f t="shared" si="22"/>
        <v>26</v>
      </c>
      <c r="J505" s="146" t="s">
        <v>2051</v>
      </c>
      <c r="K505" s="31">
        <f t="shared" si="23"/>
        <v>2</v>
      </c>
      <c r="L505" s="32">
        <f t="shared" si="24"/>
        <v>0.9285714285714286</v>
      </c>
      <c r="M505" s="70"/>
      <c r="N505" s="70"/>
      <c r="O505" s="70"/>
      <c r="P505" s="70"/>
      <c r="Q505" s="70"/>
      <c r="R505" s="70"/>
      <c r="S505" s="70"/>
      <c r="T505" s="70"/>
      <c r="U505" s="70" t="s">
        <v>2284</v>
      </c>
      <c r="V505" s="70" t="s">
        <v>2284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s="73" t="s">
        <v>514</v>
      </c>
      <c r="B506" s="73" t="s">
        <v>530</v>
      </c>
      <c r="C506" s="73" t="s">
        <v>1062</v>
      </c>
      <c r="D506" s="73" t="s">
        <v>531</v>
      </c>
      <c r="E506" s="85" t="s">
        <v>19</v>
      </c>
      <c r="F506" s="85" t="s">
        <v>28</v>
      </c>
      <c r="G506" s="85"/>
      <c r="H506" s="85" t="s">
        <v>850</v>
      </c>
      <c r="I506" s="31">
        <f t="shared" si="22"/>
        <v>28</v>
      </c>
      <c r="J506" s="146" t="s">
        <v>2052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514</v>
      </c>
      <c r="B507" s="73" t="s">
        <v>532</v>
      </c>
      <c r="C507" s="73" t="s">
        <v>1062</v>
      </c>
      <c r="D507" s="73" t="s">
        <v>533</v>
      </c>
      <c r="E507" s="85" t="s">
        <v>19</v>
      </c>
      <c r="F507" s="85" t="s">
        <v>1300</v>
      </c>
      <c r="G507" s="85"/>
      <c r="H507" s="85" t="s">
        <v>1502</v>
      </c>
      <c r="I507" s="141">
        <f t="shared" si="22"/>
        <v>28</v>
      </c>
      <c r="J507" s="146" t="s">
        <v>2053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514</v>
      </c>
      <c r="B508" t="s">
        <v>534</v>
      </c>
      <c r="C508" t="s">
        <v>1062</v>
      </c>
      <c r="D508" t="s">
        <v>1068</v>
      </c>
      <c r="E508" s="30" t="s">
        <v>19</v>
      </c>
      <c r="F508" s="30" t="s">
        <v>28</v>
      </c>
      <c r="G508" s="30"/>
      <c r="H508" s="30" t="s">
        <v>851</v>
      </c>
      <c r="I508" s="31">
        <f t="shared" si="22"/>
        <v>28</v>
      </c>
      <c r="J508" s="146" t="s">
        <v>2054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535</v>
      </c>
      <c r="C509" t="s">
        <v>1061</v>
      </c>
      <c r="D509" t="s">
        <v>1067</v>
      </c>
      <c r="E509" s="30" t="s">
        <v>19</v>
      </c>
      <c r="F509" s="30" t="s">
        <v>28</v>
      </c>
      <c r="G509" s="30"/>
      <c r="H509" s="30" t="s">
        <v>852</v>
      </c>
      <c r="I509" s="31">
        <f t="shared" si="22"/>
        <v>28</v>
      </c>
      <c r="J509" s="146" t="s">
        <v>2055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thickBot="1" x14ac:dyDescent="0.3">
      <c r="A510" s="73" t="s">
        <v>518</v>
      </c>
      <c r="B510" s="73" t="s">
        <v>536</v>
      </c>
      <c r="C510" s="73" t="s">
        <v>1062</v>
      </c>
      <c r="D510" s="73" t="s">
        <v>537</v>
      </c>
      <c r="E510" s="85" t="s">
        <v>19</v>
      </c>
      <c r="F510" s="85" t="s">
        <v>1300</v>
      </c>
      <c r="G510" s="85"/>
      <c r="H510" s="85" t="s">
        <v>853</v>
      </c>
      <c r="I510" s="141">
        <f t="shared" si="22"/>
        <v>28</v>
      </c>
      <c r="J510" s="146" t="s">
        <v>2056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538</v>
      </c>
      <c r="C511" t="s">
        <v>1062</v>
      </c>
      <c r="D511" t="s">
        <v>539</v>
      </c>
      <c r="E511" s="30" t="s">
        <v>19</v>
      </c>
      <c r="F511" s="30" t="s">
        <v>28</v>
      </c>
      <c r="G511" s="30"/>
      <c r="H511" s="30" t="s">
        <v>854</v>
      </c>
      <c r="I511" s="31">
        <f t="shared" si="22"/>
        <v>28</v>
      </c>
      <c r="J511" s="146" t="s">
        <v>2057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1035</v>
      </c>
      <c r="C512" t="s">
        <v>1062</v>
      </c>
      <c r="D512" t="s">
        <v>540</v>
      </c>
      <c r="E512" s="30" t="s">
        <v>19</v>
      </c>
      <c r="F512" s="30" t="s">
        <v>28</v>
      </c>
      <c r="G512" s="30"/>
      <c r="H512" s="30" t="s">
        <v>855</v>
      </c>
      <c r="I512" s="31">
        <f t="shared" si="22"/>
        <v>25</v>
      </c>
      <c r="J512" s="146" t="s">
        <v>2058</v>
      </c>
      <c r="K512" s="31">
        <f t="shared" si="23"/>
        <v>3</v>
      </c>
      <c r="L512" s="32">
        <f t="shared" si="24"/>
        <v>0.8928571428571429</v>
      </c>
      <c r="M512" s="70"/>
      <c r="N512" s="70"/>
      <c r="O512" s="70"/>
      <c r="P512" s="70"/>
      <c r="Q512" s="70"/>
      <c r="R512" s="70" t="s">
        <v>2284</v>
      </c>
      <c r="S512" s="70"/>
      <c r="T512" s="70"/>
      <c r="U512" s="70" t="s">
        <v>2284</v>
      </c>
      <c r="V512" s="70" t="s">
        <v>2284</v>
      </c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541</v>
      </c>
      <c r="C513" t="s">
        <v>1062</v>
      </c>
      <c r="D513" t="s">
        <v>542</v>
      </c>
      <c r="E513" s="30" t="s">
        <v>19</v>
      </c>
      <c r="F513" s="85" t="s">
        <v>1300</v>
      </c>
      <c r="G513" s="30"/>
      <c r="H513" s="30" t="s">
        <v>856</v>
      </c>
      <c r="I513" s="31">
        <f t="shared" si="22"/>
        <v>28</v>
      </c>
      <c r="J513" s="146" t="s">
        <v>2059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1039</v>
      </c>
      <c r="C514" t="s">
        <v>1062</v>
      </c>
      <c r="D514" t="s">
        <v>513</v>
      </c>
      <c r="E514" s="30" t="s">
        <v>15</v>
      </c>
      <c r="F514" s="30" t="s">
        <v>1055</v>
      </c>
      <c r="G514" s="30" t="s">
        <v>1258</v>
      </c>
      <c r="H514" s="30" t="s">
        <v>857</v>
      </c>
      <c r="I514" s="31">
        <f t="shared" si="22"/>
        <v>28</v>
      </c>
      <c r="J514" s="146" t="s">
        <v>2060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thickBot="1" x14ac:dyDescent="0.3">
      <c r="A515" t="s">
        <v>514</v>
      </c>
      <c r="B515" t="s">
        <v>1040</v>
      </c>
      <c r="C515" t="s">
        <v>1062</v>
      </c>
      <c r="D515" t="s">
        <v>515</v>
      </c>
      <c r="E515" s="30" t="s">
        <v>19</v>
      </c>
      <c r="F515" s="30" t="s">
        <v>28</v>
      </c>
      <c r="G515" s="30"/>
      <c r="H515" s="30" t="s">
        <v>858</v>
      </c>
      <c r="I515" s="31">
        <f t="shared" si="22"/>
        <v>27</v>
      </c>
      <c r="J515" s="146" t="s">
        <v>2061</v>
      </c>
      <c r="K515" s="31">
        <f t="shared" si="23"/>
        <v>1</v>
      </c>
      <c r="L515" s="32">
        <f t="shared" si="24"/>
        <v>0.9642857142857143</v>
      </c>
      <c r="M515" s="70" t="s">
        <v>2284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thickBot="1" x14ac:dyDescent="0.3">
      <c r="A516" t="s">
        <v>518</v>
      </c>
      <c r="B516" t="s">
        <v>1036</v>
      </c>
      <c r="C516" t="s">
        <v>1062</v>
      </c>
      <c r="D516" t="s">
        <v>543</v>
      </c>
      <c r="E516" s="30" t="s">
        <v>15</v>
      </c>
      <c r="F516" s="30" t="s">
        <v>28</v>
      </c>
      <c r="G516" s="30"/>
      <c r="H516" s="30" t="s">
        <v>859</v>
      </c>
      <c r="I516" s="31">
        <f t="shared" si="22"/>
        <v>28</v>
      </c>
      <c r="J516" s="146" t="s">
        <v>2062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1062</v>
      </c>
      <c r="D517" t="s">
        <v>517</v>
      </c>
      <c r="E517" s="30" t="s">
        <v>15</v>
      </c>
      <c r="F517" s="30" t="s">
        <v>1055</v>
      </c>
      <c r="G517" s="30" t="s">
        <v>1259</v>
      </c>
      <c r="H517" s="30" t="s">
        <v>860</v>
      </c>
      <c r="I517" s="31">
        <f t="shared" si="22"/>
        <v>26</v>
      </c>
      <c r="J517" s="146" t="s">
        <v>2063</v>
      </c>
      <c r="K517" s="31">
        <f t="shared" si="23"/>
        <v>2</v>
      </c>
      <c r="L517" s="32">
        <f t="shared" si="24"/>
        <v>0.9285714285714286</v>
      </c>
      <c r="M517" s="70"/>
      <c r="N517" s="70"/>
      <c r="O517" s="70"/>
      <c r="P517" s="70"/>
      <c r="Q517" s="70"/>
      <c r="R517" s="70"/>
      <c r="S517" s="70"/>
      <c r="T517" s="70"/>
      <c r="U517" s="70" t="s">
        <v>2284</v>
      </c>
      <c r="V517" s="70" t="s">
        <v>2284</v>
      </c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518</v>
      </c>
      <c r="B518" t="s">
        <v>519</v>
      </c>
      <c r="C518" t="s">
        <v>1062</v>
      </c>
      <c r="D518" t="s">
        <v>520</v>
      </c>
      <c r="E518" s="30" t="s">
        <v>15</v>
      </c>
      <c r="F518" s="30" t="s">
        <v>1055</v>
      </c>
      <c r="G518" s="30" t="s">
        <v>1255</v>
      </c>
      <c r="H518" s="30" t="s">
        <v>861</v>
      </c>
      <c r="I518" s="31">
        <f t="shared" si="22"/>
        <v>28</v>
      </c>
      <c r="J518" s="146" t="s">
        <v>2064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1062</v>
      </c>
      <c r="D519" t="s">
        <v>1089</v>
      </c>
      <c r="E519" s="30" t="s">
        <v>15</v>
      </c>
      <c r="F519" s="30" t="s">
        <v>1055</v>
      </c>
      <c r="G519" s="30" t="s">
        <v>1260</v>
      </c>
      <c r="H519" s="30" t="s">
        <v>862</v>
      </c>
      <c r="I519" s="31">
        <f t="shared" si="22"/>
        <v>20</v>
      </c>
      <c r="J519" s="146" t="s">
        <v>2065</v>
      </c>
      <c r="K519" s="31">
        <f t="shared" si="23"/>
        <v>8</v>
      </c>
      <c r="L519" s="32">
        <f t="shared" si="24"/>
        <v>0.7142857142857143</v>
      </c>
      <c r="M519" s="70" t="s">
        <v>2284</v>
      </c>
      <c r="N519" s="70" t="s">
        <v>2284</v>
      </c>
      <c r="O519" s="70" t="s">
        <v>2284</v>
      </c>
      <c r="P519" s="70" t="s">
        <v>2284</v>
      </c>
      <c r="Q519" s="70" t="s">
        <v>2284</v>
      </c>
      <c r="R519" s="70" t="s">
        <v>2284</v>
      </c>
      <c r="S519" s="70"/>
      <c r="T519" s="70"/>
      <c r="U519" s="70" t="s">
        <v>2284</v>
      </c>
      <c r="V519" s="70" t="s">
        <v>2284</v>
      </c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1041</v>
      </c>
      <c r="C520" t="s">
        <v>1062</v>
      </c>
      <c r="D520" t="s">
        <v>522</v>
      </c>
      <c r="E520" s="30" t="s">
        <v>15</v>
      </c>
      <c r="F520" s="30" t="s">
        <v>1055</v>
      </c>
      <c r="G520" s="30" t="s">
        <v>1261</v>
      </c>
      <c r="H520" s="30" t="s">
        <v>863</v>
      </c>
      <c r="I520" s="31">
        <f t="shared" si="22"/>
        <v>26</v>
      </c>
      <c r="J520" s="146" t="s">
        <v>2066</v>
      </c>
      <c r="K520" s="31">
        <f t="shared" si="23"/>
        <v>2</v>
      </c>
      <c r="L520" s="32">
        <f t="shared" si="24"/>
        <v>0.9285714285714286</v>
      </c>
      <c r="M520" s="70"/>
      <c r="N520" s="70"/>
      <c r="O520" s="70"/>
      <c r="P520" s="70"/>
      <c r="Q520" s="70"/>
      <c r="R520" s="70"/>
      <c r="S520" s="70"/>
      <c r="T520" s="70"/>
      <c r="U520" s="70" t="s">
        <v>2284</v>
      </c>
      <c r="V520" s="70" t="s">
        <v>2284</v>
      </c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1042</v>
      </c>
      <c r="C521" t="s">
        <v>1062</v>
      </c>
      <c r="D521" t="s">
        <v>523</v>
      </c>
      <c r="E521" s="30" t="s">
        <v>15</v>
      </c>
      <c r="F521" s="30" t="s">
        <v>20</v>
      </c>
      <c r="G521" s="30"/>
      <c r="H521" s="30" t="s">
        <v>864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thickBot="1" x14ac:dyDescent="0.3">
      <c r="A522" s="73" t="s">
        <v>518</v>
      </c>
      <c r="B522" s="73" t="s">
        <v>524</v>
      </c>
      <c r="C522" s="73" t="s">
        <v>1062</v>
      </c>
      <c r="D522" s="73" t="s">
        <v>525</v>
      </c>
      <c r="E522" s="85" t="s">
        <v>46</v>
      </c>
      <c r="F522" s="85" t="s">
        <v>1300</v>
      </c>
      <c r="G522" s="85"/>
      <c r="H522" s="85" t="s">
        <v>1365</v>
      </c>
      <c r="I522" s="141">
        <f t="shared" si="22"/>
        <v>28</v>
      </c>
      <c r="J522" s="146" t="s">
        <v>2067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1037</v>
      </c>
      <c r="C523" t="s">
        <v>1062</v>
      </c>
      <c r="D523" t="s">
        <v>544</v>
      </c>
      <c r="E523" s="30" t="s">
        <v>73</v>
      </c>
      <c r="F523" s="30" t="s">
        <v>28</v>
      </c>
      <c r="G523" s="30"/>
      <c r="H523" s="30" t="s">
        <v>865</v>
      </c>
      <c r="I523" s="31">
        <f t="shared" si="22"/>
        <v>26</v>
      </c>
      <c r="J523" s="146" t="s">
        <v>2068</v>
      </c>
      <c r="K523" s="31">
        <f t="shared" si="23"/>
        <v>2</v>
      </c>
      <c r="L523" s="32">
        <f t="shared" si="24"/>
        <v>0.9285714285714286</v>
      </c>
      <c r="M523" s="70"/>
      <c r="N523" s="70"/>
      <c r="O523" s="70"/>
      <c r="P523" s="70"/>
      <c r="Q523" s="70"/>
      <c r="R523" s="70"/>
      <c r="S523" s="70"/>
      <c r="T523" s="70"/>
      <c r="U523" s="70" t="s">
        <v>2284</v>
      </c>
      <c r="V523" s="70" t="s">
        <v>2284</v>
      </c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1038</v>
      </c>
      <c r="C524" t="s">
        <v>1062</v>
      </c>
      <c r="D524" t="s">
        <v>544</v>
      </c>
      <c r="E524" s="30" t="s">
        <v>73</v>
      </c>
      <c r="F524" s="30" t="s">
        <v>28</v>
      </c>
      <c r="G524" s="30"/>
      <c r="H524" s="30" t="s">
        <v>866</v>
      </c>
      <c r="I524" s="31">
        <f t="shared" si="22"/>
        <v>26</v>
      </c>
      <c r="J524" s="146" t="s">
        <v>2069</v>
      </c>
      <c r="K524" s="31">
        <f t="shared" si="23"/>
        <v>2</v>
      </c>
      <c r="L524" s="32">
        <f t="shared" si="24"/>
        <v>0.9285714285714286</v>
      </c>
      <c r="M524" s="70"/>
      <c r="N524" s="70"/>
      <c r="O524" s="70"/>
      <c r="P524" s="70"/>
      <c r="Q524" s="70"/>
      <c r="R524" s="70"/>
      <c r="S524" s="70"/>
      <c r="T524" s="70"/>
      <c r="U524" s="70" t="s">
        <v>2284</v>
      </c>
      <c r="V524" s="70" t="s">
        <v>2284</v>
      </c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545</v>
      </c>
      <c r="C525" t="s">
        <v>1061</v>
      </c>
      <c r="D525" t="s">
        <v>546</v>
      </c>
      <c r="E525" s="30" t="s">
        <v>73</v>
      </c>
      <c r="F525" s="30" t="s">
        <v>28</v>
      </c>
      <c r="G525" s="30"/>
      <c r="H525" s="30" t="s">
        <v>671</v>
      </c>
      <c r="I525" s="31">
        <f t="shared" si="22"/>
        <v>28</v>
      </c>
      <c r="J525" s="146" t="s">
        <v>2070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thickBot="1" x14ac:dyDescent="0.3">
      <c r="A526" t="s">
        <v>514</v>
      </c>
      <c r="B526" t="s">
        <v>547</v>
      </c>
      <c r="C526" t="s">
        <v>1061</v>
      </c>
      <c r="D526" t="s">
        <v>546</v>
      </c>
      <c r="E526" s="30" t="s">
        <v>73</v>
      </c>
      <c r="F526" s="30" t="s">
        <v>28</v>
      </c>
      <c r="G526" s="30"/>
      <c r="H526" s="30" t="s">
        <v>867</v>
      </c>
      <c r="I526" s="31">
        <f t="shared" si="22"/>
        <v>28</v>
      </c>
      <c r="J526" s="146" t="s">
        <v>2071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514</v>
      </c>
      <c r="B527" t="s">
        <v>1144</v>
      </c>
      <c r="C527" t="s">
        <v>1062</v>
      </c>
      <c r="D527" t="s">
        <v>1146</v>
      </c>
      <c r="E527" s="30" t="s">
        <v>73</v>
      </c>
      <c r="F527" s="30" t="s">
        <v>28</v>
      </c>
      <c r="G527" s="30"/>
      <c r="H527" s="30" t="s">
        <v>1147</v>
      </c>
      <c r="I527" s="31">
        <f t="shared" si="22"/>
        <v>28</v>
      </c>
      <c r="J527" s="146" t="s">
        <v>2072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thickBot="1" x14ac:dyDescent="0.3">
      <c r="A528" t="s">
        <v>514</v>
      </c>
      <c r="B528" t="s">
        <v>1145</v>
      </c>
      <c r="C528" t="s">
        <v>1062</v>
      </c>
      <c r="D528" t="s">
        <v>1146</v>
      </c>
      <c r="E528" s="30" t="s">
        <v>1113</v>
      </c>
      <c r="F528" s="30" t="s">
        <v>28</v>
      </c>
      <c r="G528" s="30"/>
      <c r="H528" s="30" t="s">
        <v>1148</v>
      </c>
      <c r="I528" s="31">
        <f t="shared" si="22"/>
        <v>28</v>
      </c>
      <c r="J528" s="146" t="s">
        <v>2073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1207</v>
      </c>
      <c r="C529" s="85" t="s">
        <v>1062</v>
      </c>
      <c r="D529" s="73" t="s">
        <v>1203</v>
      </c>
      <c r="E529" s="85" t="s">
        <v>15</v>
      </c>
      <c r="F529" s="85" t="s">
        <v>1300</v>
      </c>
      <c r="G529" s="85"/>
      <c r="H529" s="85" t="s">
        <v>1204</v>
      </c>
      <c r="I529" s="141">
        <f t="shared" si="22"/>
        <v>20</v>
      </c>
      <c r="J529" s="146" t="s">
        <v>2074</v>
      </c>
      <c r="K529" s="141">
        <f t="shared" si="23"/>
        <v>8</v>
      </c>
      <c r="L529" s="142">
        <f t="shared" si="24"/>
        <v>0.7142857142857143</v>
      </c>
      <c r="M529" s="70" t="s">
        <v>2284</v>
      </c>
      <c r="N529" s="70" t="s">
        <v>2284</v>
      </c>
      <c r="O529" s="70" t="s">
        <v>2284</v>
      </c>
      <c r="P529" s="70" t="s">
        <v>2284</v>
      </c>
      <c r="Q529" s="70" t="s">
        <v>2284</v>
      </c>
      <c r="R529" s="70" t="s">
        <v>2284</v>
      </c>
      <c r="S529" s="70"/>
      <c r="T529" s="70"/>
      <c r="U529" s="70" t="s">
        <v>2284</v>
      </c>
      <c r="V529" s="70" t="s">
        <v>2284</v>
      </c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thickBot="1" x14ac:dyDescent="0.3">
      <c r="A530" t="s">
        <v>518</v>
      </c>
      <c r="B530" s="30" t="s">
        <v>1530</v>
      </c>
      <c r="C530" s="30" t="s">
        <v>1062</v>
      </c>
      <c r="D530" t="s">
        <v>1531</v>
      </c>
      <c r="E530" s="30" t="s">
        <v>1113</v>
      </c>
      <c r="F530" s="30" t="s">
        <v>28</v>
      </c>
      <c r="G530" s="30"/>
      <c r="H530" s="30" t="s">
        <v>1532</v>
      </c>
      <c r="I530" s="141">
        <f t="shared" si="22"/>
        <v>28</v>
      </c>
      <c r="J530" s="146" t="s">
        <v>2075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1581</v>
      </c>
      <c r="C531" s="85" t="s">
        <v>1062</v>
      </c>
      <c r="D531" s="73" t="s">
        <v>1582</v>
      </c>
      <c r="E531" s="85" t="s">
        <v>15</v>
      </c>
      <c r="F531" s="85" t="s">
        <v>1300</v>
      </c>
      <c r="G531" s="85"/>
      <c r="H531" s="85" t="s">
        <v>1583</v>
      </c>
      <c r="I531" s="141">
        <f t="shared" si="22"/>
        <v>28</v>
      </c>
      <c r="J531" s="146" t="s">
        <v>2076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thickBot="1" x14ac:dyDescent="0.3">
      <c r="A532" s="73" t="s">
        <v>518</v>
      </c>
      <c r="B532" s="85" t="s">
        <v>1584</v>
      </c>
      <c r="C532" s="85" t="s">
        <v>1062</v>
      </c>
      <c r="D532" s="73" t="s">
        <v>1585</v>
      </c>
      <c r="E532" s="85" t="s">
        <v>15</v>
      </c>
      <c r="F532" s="85" t="s">
        <v>1300</v>
      </c>
      <c r="G532" s="85"/>
      <c r="H532" s="85" t="s">
        <v>1586</v>
      </c>
      <c r="I532" s="141">
        <f t="shared" si="22"/>
        <v>28</v>
      </c>
      <c r="J532" s="146" t="s">
        <v>2077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thickBot="1" x14ac:dyDescent="0.3">
      <c r="A533" s="73" t="s">
        <v>518</v>
      </c>
      <c r="B533" s="85" t="s">
        <v>2222</v>
      </c>
      <c r="C533" s="85" t="s">
        <v>1062</v>
      </c>
      <c r="D533" s="73" t="s">
        <v>2223</v>
      </c>
      <c r="E533" s="30" t="s">
        <v>73</v>
      </c>
      <c r="F533" s="85" t="s">
        <v>1300</v>
      </c>
      <c r="G533" s="85"/>
      <c r="H533" s="85" t="s">
        <v>2224</v>
      </c>
      <c r="I533" s="141">
        <f t="shared" si="22"/>
        <v>28</v>
      </c>
      <c r="J533" s="146" t="s">
        <v>2225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thickBot="1" x14ac:dyDescent="0.3">
      <c r="A534" s="73" t="s">
        <v>518</v>
      </c>
      <c r="B534" s="85" t="s">
        <v>2226</v>
      </c>
      <c r="C534" s="85" t="s">
        <v>1062</v>
      </c>
      <c r="D534" s="73" t="s">
        <v>2227</v>
      </c>
      <c r="E534" s="85" t="s">
        <v>15</v>
      </c>
      <c r="F534" s="85" t="s">
        <v>1300</v>
      </c>
      <c r="G534" s="85"/>
      <c r="H534" s="85" t="s">
        <v>2228</v>
      </c>
      <c r="I534" s="141">
        <f t="shared" si="22"/>
        <v>28</v>
      </c>
      <c r="J534" s="146" t="s">
        <v>2229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1043</v>
      </c>
      <c r="C535" t="s">
        <v>1061</v>
      </c>
      <c r="D535" t="s">
        <v>550</v>
      </c>
      <c r="E535" s="30" t="s">
        <v>19</v>
      </c>
      <c r="F535" s="30" t="s">
        <v>28</v>
      </c>
      <c r="G535" s="30"/>
      <c r="H535" s="30" t="s">
        <v>870</v>
      </c>
      <c r="I535" s="31">
        <f t="shared" si="22"/>
        <v>28</v>
      </c>
      <c r="J535" s="146" t="s">
        <v>2078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thickBot="1" x14ac:dyDescent="0.3">
      <c r="A536" t="s">
        <v>294</v>
      </c>
      <c r="B536" t="s">
        <v>1044</v>
      </c>
      <c r="C536" t="s">
        <v>1061</v>
      </c>
      <c r="D536" t="s">
        <v>551</v>
      </c>
      <c r="E536" s="30" t="s">
        <v>19</v>
      </c>
      <c r="F536" s="30" t="s">
        <v>28</v>
      </c>
      <c r="G536" s="30"/>
      <c r="H536" s="30" t="s">
        <v>871</v>
      </c>
      <c r="I536" s="31">
        <f t="shared" si="22"/>
        <v>28</v>
      </c>
      <c r="J536" s="146" t="s">
        <v>2079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thickBot="1" x14ac:dyDescent="0.3">
      <c r="A537" t="s">
        <v>409</v>
      </c>
      <c r="B537" t="s">
        <v>552</v>
      </c>
      <c r="C537" t="s">
        <v>1061</v>
      </c>
      <c r="D537" t="s">
        <v>553</v>
      </c>
      <c r="E537" s="30" t="s">
        <v>73</v>
      </c>
      <c r="F537" s="30" t="s">
        <v>28</v>
      </c>
      <c r="G537" s="30"/>
      <c r="H537" s="30" t="s">
        <v>868</v>
      </c>
      <c r="I537" s="31">
        <f t="shared" si="22"/>
        <v>28</v>
      </c>
      <c r="J537" s="146" t="s">
        <v>2080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thickBot="1" x14ac:dyDescent="0.3">
      <c r="A538" t="s">
        <v>409</v>
      </c>
      <c r="B538" t="s">
        <v>554</v>
      </c>
      <c r="C538" t="s">
        <v>1061</v>
      </c>
      <c r="D538" t="s">
        <v>553</v>
      </c>
      <c r="E538" s="30" t="s">
        <v>73</v>
      </c>
      <c r="F538" s="30" t="s">
        <v>28</v>
      </c>
      <c r="G538" s="30"/>
      <c r="H538" s="30" t="s">
        <v>869</v>
      </c>
      <c r="I538" s="31">
        <f t="shared" si="22"/>
        <v>28</v>
      </c>
      <c r="J538" s="146" t="s">
        <v>2081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thickBot="1" x14ac:dyDescent="0.3">
      <c r="A539" t="s">
        <v>409</v>
      </c>
      <c r="B539" t="s">
        <v>555</v>
      </c>
      <c r="C539" t="s">
        <v>1061</v>
      </c>
      <c r="D539" t="s">
        <v>556</v>
      </c>
      <c r="E539" s="30" t="s">
        <v>73</v>
      </c>
      <c r="F539" s="30" t="s">
        <v>28</v>
      </c>
      <c r="G539" s="30"/>
      <c r="H539" s="30" t="s">
        <v>872</v>
      </c>
      <c r="I539" s="31">
        <f t="shared" si="22"/>
        <v>28</v>
      </c>
      <c r="J539" s="146" t="s">
        <v>2082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thickBot="1" x14ac:dyDescent="0.3">
      <c r="A540" t="s">
        <v>409</v>
      </c>
      <c r="B540" t="s">
        <v>557</v>
      </c>
      <c r="C540" t="s">
        <v>1061</v>
      </c>
      <c r="D540" t="s">
        <v>556</v>
      </c>
      <c r="E540" s="30" t="s">
        <v>73</v>
      </c>
      <c r="F540" s="30" t="s">
        <v>28</v>
      </c>
      <c r="G540" s="30"/>
      <c r="H540" s="30" t="s">
        <v>873</v>
      </c>
      <c r="I540" s="31">
        <f t="shared" si="22"/>
        <v>28</v>
      </c>
      <c r="J540" s="146" t="s">
        <v>2083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thickBot="1" x14ac:dyDescent="0.3">
      <c r="A541" s="73" t="s">
        <v>409</v>
      </c>
      <c r="B541" s="73" t="s">
        <v>548</v>
      </c>
      <c r="C541" s="90" t="s">
        <v>1061</v>
      </c>
      <c r="D541" s="73" t="s">
        <v>549</v>
      </c>
      <c r="E541" s="91" t="s">
        <v>19</v>
      </c>
      <c r="F541" s="85" t="s">
        <v>28</v>
      </c>
      <c r="G541" s="85"/>
      <c r="H541" s="85" t="s">
        <v>874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thickBot="1" x14ac:dyDescent="0.3">
      <c r="A542" s="73" t="s">
        <v>409</v>
      </c>
      <c r="B542" s="73" t="s">
        <v>558</v>
      </c>
      <c r="C542" s="90" t="s">
        <v>1061</v>
      </c>
      <c r="D542" s="73" t="s">
        <v>559</v>
      </c>
      <c r="E542" s="91" t="s">
        <v>15</v>
      </c>
      <c r="F542" s="85" t="s">
        <v>28</v>
      </c>
      <c r="G542" s="85"/>
      <c r="H542" s="85" t="s">
        <v>1504</v>
      </c>
      <c r="I542" s="31">
        <f t="shared" si="22"/>
        <v>28</v>
      </c>
      <c r="J542" s="146" t="s">
        <v>2084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thickBot="1" x14ac:dyDescent="0.3">
      <c r="A543" s="73" t="s">
        <v>483</v>
      </c>
      <c r="B543" s="73" t="s">
        <v>1343</v>
      </c>
      <c r="C543" s="85" t="s">
        <v>1061</v>
      </c>
      <c r="D543" s="73" t="s">
        <v>1344</v>
      </c>
      <c r="E543" s="91" t="s">
        <v>15</v>
      </c>
      <c r="F543" s="85" t="s">
        <v>1300</v>
      </c>
      <c r="G543" s="85"/>
      <c r="H543" s="85" t="s">
        <v>1350</v>
      </c>
      <c r="I543" s="141">
        <f t="shared" si="22"/>
        <v>28</v>
      </c>
      <c r="J543" s="146" t="s">
        <v>2085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560</v>
      </c>
      <c r="C544" t="s">
        <v>1061</v>
      </c>
      <c r="D544" t="s">
        <v>561</v>
      </c>
      <c r="E544" s="30" t="s">
        <v>19</v>
      </c>
      <c r="F544" s="30" t="s">
        <v>28</v>
      </c>
      <c r="G544" s="30"/>
      <c r="H544" s="30" t="s">
        <v>875</v>
      </c>
      <c r="I544" s="31">
        <f t="shared" si="22"/>
        <v>28</v>
      </c>
      <c r="J544" s="146" t="s">
        <v>2086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1061</v>
      </c>
      <c r="D545" s="73" t="s">
        <v>563</v>
      </c>
      <c r="E545" s="85" t="s">
        <v>19</v>
      </c>
      <c r="F545" s="85" t="s">
        <v>1300</v>
      </c>
      <c r="G545" s="85"/>
      <c r="H545" s="85" t="s">
        <v>1368</v>
      </c>
      <c r="I545" s="141">
        <f t="shared" ref="I545:I591" si="25">COUNTIF(M545:AN545,"")</f>
        <v>25</v>
      </c>
      <c r="J545" s="146" t="s">
        <v>2087</v>
      </c>
      <c r="K545" s="141">
        <f t="shared" ref="K545:K591" si="26">COUNTIF(M545:AN545,"APAGADO")</f>
        <v>3</v>
      </c>
      <c r="L545" s="142">
        <f t="shared" ref="L545:L591" si="27">(I545)/(K545+I545)</f>
        <v>0.8928571428571429</v>
      </c>
      <c r="M545" s="70"/>
      <c r="N545" s="70"/>
      <c r="O545" s="70"/>
      <c r="P545" s="70"/>
      <c r="Q545" s="70"/>
      <c r="R545" s="70" t="s">
        <v>2284</v>
      </c>
      <c r="S545" s="70"/>
      <c r="T545" s="70"/>
      <c r="U545" s="70" t="s">
        <v>2284</v>
      </c>
      <c r="V545" s="70" t="s">
        <v>2284</v>
      </c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thickBot="1" x14ac:dyDescent="0.3">
      <c r="A546" s="73" t="s">
        <v>483</v>
      </c>
      <c r="B546" s="73" t="s">
        <v>564</v>
      </c>
      <c r="C546" s="73" t="s">
        <v>1061</v>
      </c>
      <c r="D546" s="73" t="s">
        <v>565</v>
      </c>
      <c r="E546" s="85" t="s">
        <v>19</v>
      </c>
      <c r="F546" s="85" t="s">
        <v>1300</v>
      </c>
      <c r="G546" s="85"/>
      <c r="H546" s="85" t="s">
        <v>1426</v>
      </c>
      <c r="I546" s="141">
        <f t="shared" si="25"/>
        <v>28</v>
      </c>
      <c r="J546" s="146" t="s">
        <v>2088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566</v>
      </c>
      <c r="C547" t="s">
        <v>1061</v>
      </c>
      <c r="D547" t="s">
        <v>567</v>
      </c>
      <c r="E547" s="30" t="s">
        <v>19</v>
      </c>
      <c r="F547" s="30" t="s">
        <v>1055</v>
      </c>
      <c r="G547" s="30" t="s">
        <v>1262</v>
      </c>
      <c r="H547" s="30" t="s">
        <v>876</v>
      </c>
      <c r="I547" s="31">
        <f t="shared" si="25"/>
        <v>28</v>
      </c>
      <c r="J547" s="146" t="s">
        <v>2089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479</v>
      </c>
      <c r="B548" s="73" t="s">
        <v>568</v>
      </c>
      <c r="C548" s="73" t="s">
        <v>1061</v>
      </c>
      <c r="D548" s="73" t="s">
        <v>569</v>
      </c>
      <c r="E548" s="85" t="s">
        <v>19</v>
      </c>
      <c r="F548" s="85" t="s">
        <v>1300</v>
      </c>
      <c r="G548" s="85"/>
      <c r="H548" s="85" t="s">
        <v>1503</v>
      </c>
      <c r="I548" s="141">
        <f t="shared" si="25"/>
        <v>28</v>
      </c>
      <c r="J548" s="146" t="s">
        <v>2090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thickBot="1" x14ac:dyDescent="0.3">
      <c r="A549" t="s">
        <v>479</v>
      </c>
      <c r="B549" t="s">
        <v>1311</v>
      </c>
      <c r="C549" t="s">
        <v>1061</v>
      </c>
      <c r="D549" t="s">
        <v>2194</v>
      </c>
      <c r="E549" s="85" t="s">
        <v>15</v>
      </c>
      <c r="F549" s="85" t="s">
        <v>1300</v>
      </c>
      <c r="G549" s="30"/>
      <c r="H549" s="30" t="s">
        <v>2195</v>
      </c>
      <c r="I549" s="31">
        <f t="shared" si="25"/>
        <v>28</v>
      </c>
      <c r="J549" s="146" t="s">
        <v>2196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thickBot="1" x14ac:dyDescent="0.3">
      <c r="A550" t="s">
        <v>483</v>
      </c>
      <c r="B550" t="s">
        <v>2130</v>
      </c>
      <c r="C550" t="s">
        <v>1061</v>
      </c>
      <c r="D550" s="73" t="s">
        <v>2131</v>
      </c>
      <c r="E550" s="85" t="s">
        <v>15</v>
      </c>
      <c r="F550" s="85" t="s">
        <v>1300</v>
      </c>
      <c r="G550" s="30"/>
      <c r="H550" s="30" t="s">
        <v>2132</v>
      </c>
      <c r="I550" s="31">
        <f t="shared" si="25"/>
        <v>28</v>
      </c>
      <c r="J550" s="146" t="s">
        <v>2133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571</v>
      </c>
      <c r="C551" s="73" t="s">
        <v>1062</v>
      </c>
      <c r="D551" s="73" t="s">
        <v>572</v>
      </c>
      <c r="E551" s="85" t="s">
        <v>15</v>
      </c>
      <c r="F551" s="85" t="s">
        <v>1300</v>
      </c>
      <c r="G551" s="85"/>
      <c r="H551" s="85" t="s">
        <v>877</v>
      </c>
      <c r="I551" s="141">
        <f t="shared" si="25"/>
        <v>28</v>
      </c>
      <c r="J551" s="146" t="s">
        <v>2091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1461</v>
      </c>
      <c r="C552" s="73" t="s">
        <v>1062</v>
      </c>
      <c r="D552" s="73" t="s">
        <v>573</v>
      </c>
      <c r="E552" s="85" t="s">
        <v>15</v>
      </c>
      <c r="F552" s="85" t="s">
        <v>1300</v>
      </c>
      <c r="G552" s="85"/>
      <c r="H552" s="85" t="s">
        <v>878</v>
      </c>
      <c r="I552" s="141">
        <f t="shared" si="25"/>
        <v>28</v>
      </c>
      <c r="J552" s="146" t="s">
        <v>2092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1045</v>
      </c>
      <c r="C553" s="73" t="s">
        <v>1062</v>
      </c>
      <c r="D553" s="73" t="s">
        <v>574</v>
      </c>
      <c r="E553" s="85" t="s">
        <v>73</v>
      </c>
      <c r="F553" s="85" t="s">
        <v>1300</v>
      </c>
      <c r="G553" s="85"/>
      <c r="H553" s="85" t="s">
        <v>879</v>
      </c>
      <c r="I553" s="141">
        <f t="shared" si="25"/>
        <v>28</v>
      </c>
      <c r="J553" s="146" t="s">
        <v>2093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1046</v>
      </c>
      <c r="C554" s="73" t="s">
        <v>1062</v>
      </c>
      <c r="D554" s="73" t="s">
        <v>574</v>
      </c>
      <c r="E554" s="85" t="s">
        <v>73</v>
      </c>
      <c r="F554" s="85" t="s">
        <v>1300</v>
      </c>
      <c r="G554" s="85"/>
      <c r="H554" s="85" t="s">
        <v>880</v>
      </c>
      <c r="I554" s="141">
        <f t="shared" si="25"/>
        <v>28</v>
      </c>
      <c r="J554" s="146" t="s">
        <v>2094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thickBot="1" x14ac:dyDescent="0.3">
      <c r="A555" s="73" t="s">
        <v>570</v>
      </c>
      <c r="B555" s="73" t="s">
        <v>1640</v>
      </c>
      <c r="C555" s="73" t="s">
        <v>1062</v>
      </c>
      <c r="D555" s="73" t="s">
        <v>1647</v>
      </c>
      <c r="E555" s="85" t="s">
        <v>1113</v>
      </c>
      <c r="F555" s="85" t="s">
        <v>28</v>
      </c>
      <c r="G555" s="85"/>
      <c r="H555" s="85" t="s">
        <v>1642</v>
      </c>
      <c r="I555" s="141">
        <f t="shared" si="25"/>
        <v>28</v>
      </c>
      <c r="J555" s="87" t="s">
        <v>2184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thickBot="1" x14ac:dyDescent="0.3">
      <c r="A556" s="73" t="s">
        <v>570</v>
      </c>
      <c r="B556" s="73" t="s">
        <v>2124</v>
      </c>
      <c r="C556" s="73" t="s">
        <v>1062</v>
      </c>
      <c r="D556" s="73" t="s">
        <v>2125</v>
      </c>
      <c r="E556" s="30" t="s">
        <v>15</v>
      </c>
      <c r="F556" s="85" t="s">
        <v>1300</v>
      </c>
      <c r="G556" s="85"/>
      <c r="H556" s="85" t="s">
        <v>2127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2284</v>
      </c>
      <c r="N556" s="70" t="s">
        <v>2284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1653</v>
      </c>
      <c r="C557" s="73" t="s">
        <v>1062</v>
      </c>
      <c r="D557" s="73" t="s">
        <v>1654</v>
      </c>
      <c r="E557" s="85" t="s">
        <v>15</v>
      </c>
      <c r="F557" s="85" t="s">
        <v>1300</v>
      </c>
      <c r="G557" s="85"/>
      <c r="H557" s="85" t="s">
        <v>1655</v>
      </c>
      <c r="I557" s="141">
        <f t="shared" si="25"/>
        <v>21</v>
      </c>
      <c r="J557" s="87" t="s">
        <v>2185</v>
      </c>
      <c r="K557" s="141">
        <f t="shared" si="26"/>
        <v>7</v>
      </c>
      <c r="L557" s="142">
        <f t="shared" si="27"/>
        <v>0.75</v>
      </c>
      <c r="M557" s="70" t="s">
        <v>2284</v>
      </c>
      <c r="N557" s="70" t="s">
        <v>2284</v>
      </c>
      <c r="O557" s="70"/>
      <c r="P557" s="70" t="s">
        <v>2284</v>
      </c>
      <c r="Q557" s="70" t="s">
        <v>2284</v>
      </c>
      <c r="R557" s="70" t="s">
        <v>2284</v>
      </c>
      <c r="S557" s="70"/>
      <c r="T557" s="70"/>
      <c r="U557" s="70" t="s">
        <v>2284</v>
      </c>
      <c r="V557" s="70" t="s">
        <v>2284</v>
      </c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1047</v>
      </c>
      <c r="C558" t="s">
        <v>1062</v>
      </c>
      <c r="D558" t="s">
        <v>576</v>
      </c>
      <c r="E558" s="30" t="s">
        <v>73</v>
      </c>
      <c r="F558" s="85" t="s">
        <v>1300</v>
      </c>
      <c r="G558" s="30"/>
      <c r="H558" s="30" t="s">
        <v>881</v>
      </c>
      <c r="I558" s="31">
        <f t="shared" si="25"/>
        <v>20</v>
      </c>
      <c r="J558" s="87" t="s">
        <v>2181</v>
      </c>
      <c r="K558" s="31">
        <f t="shared" si="26"/>
        <v>8</v>
      </c>
      <c r="L558" s="32">
        <f t="shared" si="27"/>
        <v>0.7142857142857143</v>
      </c>
      <c r="M558" s="70" t="s">
        <v>2284</v>
      </c>
      <c r="N558" s="70" t="s">
        <v>2284</v>
      </c>
      <c r="O558" s="70" t="s">
        <v>2284</v>
      </c>
      <c r="P558" s="70" t="s">
        <v>2284</v>
      </c>
      <c r="Q558" s="70" t="s">
        <v>2284</v>
      </c>
      <c r="R558" s="70" t="s">
        <v>2284</v>
      </c>
      <c r="S558" s="70"/>
      <c r="T558" s="70"/>
      <c r="U558" s="70" t="s">
        <v>2284</v>
      </c>
      <c r="V558" s="70" t="s">
        <v>2284</v>
      </c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thickBot="1" x14ac:dyDescent="0.3">
      <c r="A559" t="s">
        <v>575</v>
      </c>
      <c r="B559" t="s">
        <v>1048</v>
      </c>
      <c r="C559" t="s">
        <v>1062</v>
      </c>
      <c r="D559" t="s">
        <v>577</v>
      </c>
      <c r="E559" s="30" t="s">
        <v>15</v>
      </c>
      <c r="F559" s="30" t="s">
        <v>28</v>
      </c>
      <c r="G559" s="30"/>
      <c r="H559" s="30" t="s">
        <v>882</v>
      </c>
      <c r="I559" s="31">
        <f t="shared" si="25"/>
        <v>28</v>
      </c>
      <c r="J559" s="146" t="s">
        <v>2095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1062</v>
      </c>
      <c r="D560" t="s">
        <v>579</v>
      </c>
      <c r="E560" s="30" t="s">
        <v>73</v>
      </c>
      <c r="F560" s="85" t="s">
        <v>1300</v>
      </c>
      <c r="G560" s="30"/>
      <c r="H560" s="30" t="s">
        <v>883</v>
      </c>
      <c r="I560" s="31">
        <f t="shared" si="25"/>
        <v>20</v>
      </c>
      <c r="J560" s="87" t="s">
        <v>2182</v>
      </c>
      <c r="K560" s="31">
        <f t="shared" si="26"/>
        <v>8</v>
      </c>
      <c r="L560" s="32">
        <f t="shared" si="27"/>
        <v>0.7142857142857143</v>
      </c>
      <c r="M560" s="70" t="s">
        <v>2284</v>
      </c>
      <c r="N560" s="70" t="s">
        <v>2284</v>
      </c>
      <c r="O560" s="70" t="s">
        <v>2284</v>
      </c>
      <c r="P560" s="70" t="s">
        <v>2284</v>
      </c>
      <c r="Q560" s="70" t="s">
        <v>2284</v>
      </c>
      <c r="R560" s="70" t="s">
        <v>2284</v>
      </c>
      <c r="S560" s="70"/>
      <c r="T560" s="70"/>
      <c r="U560" s="70" t="s">
        <v>2284</v>
      </c>
      <c r="V560" s="70" t="s">
        <v>2284</v>
      </c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thickBot="1" x14ac:dyDescent="0.3">
      <c r="A561" t="s">
        <v>575</v>
      </c>
      <c r="B561" t="s">
        <v>580</v>
      </c>
      <c r="C561" t="s">
        <v>1062</v>
      </c>
      <c r="D561" t="s">
        <v>581</v>
      </c>
      <c r="E561" s="30" t="s">
        <v>15</v>
      </c>
      <c r="F561" s="30" t="s">
        <v>28</v>
      </c>
      <c r="G561" s="30"/>
      <c r="H561" s="30" t="s">
        <v>884</v>
      </c>
      <c r="I561" s="31">
        <f t="shared" si="25"/>
        <v>28</v>
      </c>
      <c r="J561" s="146" t="s">
        <v>2096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thickBot="1" x14ac:dyDescent="0.3">
      <c r="A562" s="73" t="s">
        <v>575</v>
      </c>
      <c r="B562" s="73" t="s">
        <v>582</v>
      </c>
      <c r="C562" s="73" t="s">
        <v>1062</v>
      </c>
      <c r="D562" s="73" t="s">
        <v>583</v>
      </c>
      <c r="E562" s="85" t="s">
        <v>15</v>
      </c>
      <c r="F562" s="85" t="s">
        <v>1300</v>
      </c>
      <c r="G562" s="85"/>
      <c r="H562" s="85" t="s">
        <v>885</v>
      </c>
      <c r="I562" s="141">
        <f t="shared" si="25"/>
        <v>28</v>
      </c>
      <c r="J562" s="146" t="s">
        <v>2097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thickBot="1" x14ac:dyDescent="0.3">
      <c r="A563" s="73" t="s">
        <v>2136</v>
      </c>
      <c r="B563" s="73" t="s">
        <v>2134</v>
      </c>
      <c r="C563" t="s">
        <v>1061</v>
      </c>
      <c r="D563" s="73" t="s">
        <v>2135</v>
      </c>
      <c r="E563" s="85" t="s">
        <v>15</v>
      </c>
      <c r="F563" s="85" t="s">
        <v>1300</v>
      </c>
      <c r="G563" s="85"/>
      <c r="H563" s="85" t="s">
        <v>2137</v>
      </c>
      <c r="I563" s="141">
        <f t="shared" si="25"/>
        <v>28</v>
      </c>
      <c r="J563" s="150" t="s">
        <v>2138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584</v>
      </c>
      <c r="C564" t="s">
        <v>1062</v>
      </c>
      <c r="D564" t="s">
        <v>1091</v>
      </c>
      <c r="E564" s="30" t="s">
        <v>19</v>
      </c>
      <c r="F564" s="30" t="s">
        <v>20</v>
      </c>
      <c r="G564" s="30"/>
      <c r="H564" s="30" t="s">
        <v>1396</v>
      </c>
      <c r="I564" s="31">
        <f t="shared" si="25"/>
        <v>28</v>
      </c>
      <c r="J564" s="87" t="s">
        <v>2183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1049</v>
      </c>
      <c r="C565" t="s">
        <v>1062</v>
      </c>
      <c r="D565" t="s">
        <v>1092</v>
      </c>
      <c r="E565" s="30" t="s">
        <v>73</v>
      </c>
      <c r="F565" s="30" t="s">
        <v>28</v>
      </c>
      <c r="G565" s="30"/>
      <c r="H565" s="30" t="s">
        <v>886</v>
      </c>
      <c r="I565" s="31">
        <f t="shared" si="25"/>
        <v>28</v>
      </c>
      <c r="J565" s="146" t="s">
        <v>2098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175</v>
      </c>
      <c r="B566" t="s">
        <v>1050</v>
      </c>
      <c r="C566" t="s">
        <v>1062</v>
      </c>
      <c r="D566" t="s">
        <v>1092</v>
      </c>
      <c r="E566" s="30" t="s">
        <v>73</v>
      </c>
      <c r="F566" s="30" t="s">
        <v>28</v>
      </c>
      <c r="G566" s="30"/>
      <c r="H566" s="30" t="s">
        <v>887</v>
      </c>
      <c r="I566" s="31">
        <f t="shared" si="25"/>
        <v>28</v>
      </c>
      <c r="J566" s="146" t="s">
        <v>2099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175</v>
      </c>
      <c r="B567" t="s">
        <v>1051</v>
      </c>
      <c r="C567" t="s">
        <v>1062</v>
      </c>
      <c r="D567" t="s">
        <v>1106</v>
      </c>
      <c r="E567" s="30" t="s">
        <v>15</v>
      </c>
      <c r="F567" s="30" t="s">
        <v>28</v>
      </c>
      <c r="G567" s="30"/>
      <c r="H567" s="30" t="s">
        <v>888</v>
      </c>
      <c r="I567" s="31">
        <f t="shared" si="25"/>
        <v>28</v>
      </c>
      <c r="J567" s="146" t="s">
        <v>2100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1062</v>
      </c>
      <c r="D568" t="s">
        <v>1093</v>
      </c>
      <c r="E568" s="30" t="s">
        <v>15</v>
      </c>
      <c r="F568" s="30" t="s">
        <v>28</v>
      </c>
      <c r="G568" s="30"/>
      <c r="H568" s="30" t="s">
        <v>1219</v>
      </c>
      <c r="I568" s="31">
        <f t="shared" si="25"/>
        <v>20</v>
      </c>
      <c r="J568" s="146" t="s">
        <v>2101</v>
      </c>
      <c r="K568" s="31">
        <f t="shared" si="26"/>
        <v>8</v>
      </c>
      <c r="L568" s="32">
        <f t="shared" si="27"/>
        <v>0.7142857142857143</v>
      </c>
      <c r="M568" s="70" t="s">
        <v>2284</v>
      </c>
      <c r="N568" s="70" t="s">
        <v>2284</v>
      </c>
      <c r="O568" s="70" t="s">
        <v>2284</v>
      </c>
      <c r="P568" s="70" t="s">
        <v>2284</v>
      </c>
      <c r="Q568" s="70" t="s">
        <v>2284</v>
      </c>
      <c r="R568" s="70" t="s">
        <v>2284</v>
      </c>
      <c r="S568" s="70"/>
      <c r="T568" s="70"/>
      <c r="U568" s="70" t="s">
        <v>2284</v>
      </c>
      <c r="V568" s="70" t="s">
        <v>2284</v>
      </c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1062</v>
      </c>
      <c r="D569" t="s">
        <v>588</v>
      </c>
      <c r="E569" s="30" t="s">
        <v>73</v>
      </c>
      <c r="F569" s="30" t="s">
        <v>28</v>
      </c>
      <c r="G569" s="30"/>
      <c r="H569" s="30" t="s">
        <v>889</v>
      </c>
      <c r="I569" s="31">
        <f t="shared" si="25"/>
        <v>20</v>
      </c>
      <c r="J569" s="146" t="s">
        <v>2102</v>
      </c>
      <c r="K569" s="31">
        <f t="shared" si="26"/>
        <v>8</v>
      </c>
      <c r="L569" s="32">
        <f t="shared" si="27"/>
        <v>0.7142857142857143</v>
      </c>
      <c r="M569" s="70" t="s">
        <v>2284</v>
      </c>
      <c r="N569" s="70" t="s">
        <v>2284</v>
      </c>
      <c r="O569" s="70" t="s">
        <v>2284</v>
      </c>
      <c r="P569" s="70" t="s">
        <v>2284</v>
      </c>
      <c r="Q569" s="70" t="s">
        <v>2284</v>
      </c>
      <c r="R569" s="70" t="s">
        <v>2284</v>
      </c>
      <c r="S569" s="70"/>
      <c r="T569" s="70"/>
      <c r="U569" s="70" t="s">
        <v>2284</v>
      </c>
      <c r="V569" s="70" t="s">
        <v>2284</v>
      </c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1052</v>
      </c>
      <c r="C570" t="s">
        <v>1062</v>
      </c>
      <c r="D570" t="s">
        <v>588</v>
      </c>
      <c r="E570" s="30" t="s">
        <v>73</v>
      </c>
      <c r="F570" s="30" t="s">
        <v>28</v>
      </c>
      <c r="G570" s="30"/>
      <c r="H570" s="30" t="s">
        <v>890</v>
      </c>
      <c r="I570" s="31">
        <f t="shared" si="25"/>
        <v>20</v>
      </c>
      <c r="J570" s="146" t="s">
        <v>2103</v>
      </c>
      <c r="K570" s="31">
        <f t="shared" si="26"/>
        <v>8</v>
      </c>
      <c r="L570" s="32">
        <f t="shared" si="27"/>
        <v>0.7142857142857143</v>
      </c>
      <c r="M570" s="70" t="s">
        <v>2284</v>
      </c>
      <c r="N570" s="70" t="s">
        <v>2284</v>
      </c>
      <c r="O570" s="70" t="s">
        <v>2284</v>
      </c>
      <c r="P570" s="70" t="s">
        <v>2284</v>
      </c>
      <c r="Q570" s="70" t="s">
        <v>2284</v>
      </c>
      <c r="R570" s="70" t="s">
        <v>2284</v>
      </c>
      <c r="S570" s="70"/>
      <c r="T570" s="70"/>
      <c r="U570" s="70" t="s">
        <v>2284</v>
      </c>
      <c r="V570" s="70" t="s">
        <v>2284</v>
      </c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1053</v>
      </c>
      <c r="C571" t="s">
        <v>1062</v>
      </c>
      <c r="D571" t="s">
        <v>589</v>
      </c>
      <c r="E571" s="30" t="s">
        <v>73</v>
      </c>
      <c r="F571" s="30" t="s">
        <v>28</v>
      </c>
      <c r="G571" s="30"/>
      <c r="H571" s="30" t="s">
        <v>891</v>
      </c>
      <c r="I571" s="31">
        <f t="shared" si="25"/>
        <v>20</v>
      </c>
      <c r="J571" s="146" t="s">
        <v>2104</v>
      </c>
      <c r="K571" s="31">
        <f t="shared" si="26"/>
        <v>8</v>
      </c>
      <c r="L571" s="32">
        <f t="shared" si="27"/>
        <v>0.7142857142857143</v>
      </c>
      <c r="M571" s="70" t="s">
        <v>2284</v>
      </c>
      <c r="N571" s="70" t="s">
        <v>2284</v>
      </c>
      <c r="O571" s="70" t="s">
        <v>2284</v>
      </c>
      <c r="P571" s="70" t="s">
        <v>2284</v>
      </c>
      <c r="Q571" s="70" t="s">
        <v>2284</v>
      </c>
      <c r="R571" s="70" t="s">
        <v>2284</v>
      </c>
      <c r="S571" s="70"/>
      <c r="T571" s="70"/>
      <c r="U571" s="70" t="s">
        <v>2284</v>
      </c>
      <c r="V571" s="70" t="s">
        <v>2284</v>
      </c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1062</v>
      </c>
      <c r="D572" t="s">
        <v>589</v>
      </c>
      <c r="E572" s="30" t="s">
        <v>73</v>
      </c>
      <c r="F572" s="30" t="s">
        <v>28</v>
      </c>
      <c r="G572" s="30"/>
      <c r="H572" s="30" t="s">
        <v>892</v>
      </c>
      <c r="I572" s="31">
        <f t="shared" si="25"/>
        <v>21</v>
      </c>
      <c r="J572" s="146" t="s">
        <v>2105</v>
      </c>
      <c r="K572" s="31">
        <f t="shared" si="26"/>
        <v>7</v>
      </c>
      <c r="L572" s="32">
        <f t="shared" si="27"/>
        <v>0.75</v>
      </c>
      <c r="M572" s="70" t="s">
        <v>2284</v>
      </c>
      <c r="N572" s="70" t="s">
        <v>2284</v>
      </c>
      <c r="O572" s="70" t="s">
        <v>2284</v>
      </c>
      <c r="P572" s="70" t="s">
        <v>2284</v>
      </c>
      <c r="Q572" s="70" t="s">
        <v>2284</v>
      </c>
      <c r="R572" s="70" t="s">
        <v>2284</v>
      </c>
      <c r="S572" s="70"/>
      <c r="T572" s="70"/>
      <c r="U572" s="70"/>
      <c r="V572" s="70" t="s">
        <v>2284</v>
      </c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thickBot="1" x14ac:dyDescent="0.3">
      <c r="A573" s="73" t="s">
        <v>591</v>
      </c>
      <c r="B573" s="73" t="s">
        <v>592</v>
      </c>
      <c r="C573" s="73" t="s">
        <v>1062</v>
      </c>
      <c r="D573" s="73" t="s">
        <v>593</v>
      </c>
      <c r="E573" s="85" t="s">
        <v>15</v>
      </c>
      <c r="F573" s="85" t="s">
        <v>1300</v>
      </c>
      <c r="G573" s="85"/>
      <c r="H573" s="85" t="s">
        <v>893</v>
      </c>
      <c r="I573" s="141">
        <f t="shared" si="25"/>
        <v>28</v>
      </c>
      <c r="J573" s="87" t="s">
        <v>2199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thickBot="1" x14ac:dyDescent="0.3">
      <c r="A574" s="73" t="s">
        <v>591</v>
      </c>
      <c r="B574" s="73" t="s">
        <v>2260</v>
      </c>
      <c r="C574" s="73" t="s">
        <v>1062</v>
      </c>
      <c r="D574" s="73" t="s">
        <v>2261</v>
      </c>
      <c r="E574" s="85" t="s">
        <v>15</v>
      </c>
      <c r="F574" s="85" t="s">
        <v>1300</v>
      </c>
      <c r="G574" s="85"/>
      <c r="H574" s="85" t="s">
        <v>2262</v>
      </c>
      <c r="I574" s="141">
        <f t="shared" si="25"/>
        <v>28</v>
      </c>
      <c r="J574" s="87" t="s">
        <v>2263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thickBot="1" x14ac:dyDescent="0.3">
      <c r="A575" s="73" t="s">
        <v>591</v>
      </c>
      <c r="B575" s="73" t="s">
        <v>2273</v>
      </c>
      <c r="C575" s="73" t="s">
        <v>1062</v>
      </c>
      <c r="D575" s="73" t="s">
        <v>2274</v>
      </c>
      <c r="E575" s="85" t="s">
        <v>15</v>
      </c>
      <c r="F575" s="85"/>
      <c r="G575" s="85"/>
      <c r="H575" s="85" t="s">
        <v>2275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customHeight="1" thickBot="1" x14ac:dyDescent="0.3">
      <c r="A576" t="s">
        <v>594</v>
      </c>
      <c r="B576" t="s">
        <v>1054</v>
      </c>
      <c r="C576" t="s">
        <v>1062</v>
      </c>
      <c r="D576" t="s">
        <v>595</v>
      </c>
      <c r="E576" s="30" t="s">
        <v>15</v>
      </c>
      <c r="F576" s="30" t="s">
        <v>20</v>
      </c>
      <c r="G576" s="30"/>
      <c r="H576" s="30" t="s">
        <v>894</v>
      </c>
      <c r="I576" s="31">
        <f t="shared" si="25"/>
        <v>28</v>
      </c>
      <c r="J576" s="87" t="s">
        <v>2200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t="s">
        <v>596</v>
      </c>
      <c r="C577" t="s">
        <v>1062</v>
      </c>
      <c r="D577" t="s">
        <v>597</v>
      </c>
      <c r="E577" s="30" t="s">
        <v>15</v>
      </c>
      <c r="F577" s="30" t="s">
        <v>20</v>
      </c>
      <c r="G577" s="30"/>
      <c r="H577" s="30" t="s">
        <v>895</v>
      </c>
      <c r="I577" s="31">
        <f t="shared" si="25"/>
        <v>26</v>
      </c>
      <c r="J577" s="87" t="s">
        <v>2201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2284</v>
      </c>
      <c r="Q577" s="70" t="s">
        <v>2284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thickBot="1" x14ac:dyDescent="0.3">
      <c r="A578" t="s">
        <v>594</v>
      </c>
      <c r="B578" t="s">
        <v>598</v>
      </c>
      <c r="C578" t="s">
        <v>1062</v>
      </c>
      <c r="D578" t="s">
        <v>599</v>
      </c>
      <c r="E578" s="30" t="s">
        <v>15</v>
      </c>
      <c r="F578" s="30" t="s">
        <v>20</v>
      </c>
      <c r="G578" s="30"/>
      <c r="H578" s="30" t="s">
        <v>896</v>
      </c>
      <c r="I578" s="31">
        <f t="shared" si="25"/>
        <v>28</v>
      </c>
      <c r="J578" s="87" t="s">
        <v>2202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594</v>
      </c>
      <c r="B579" s="30" t="s">
        <v>1114</v>
      </c>
      <c r="C579" s="30" t="s">
        <v>1062</v>
      </c>
      <c r="D579" t="s">
        <v>1116</v>
      </c>
      <c r="E579" s="30" t="s">
        <v>1113</v>
      </c>
      <c r="F579" s="30" t="s">
        <v>28</v>
      </c>
      <c r="G579" s="30"/>
      <c r="H579" s="30" t="s">
        <v>1121</v>
      </c>
      <c r="I579" s="31">
        <f t="shared" si="25"/>
        <v>28</v>
      </c>
      <c r="J579" s="146" t="s">
        <v>2107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thickBot="1" x14ac:dyDescent="0.3">
      <c r="A580" t="s">
        <v>594</v>
      </c>
      <c r="B580" s="30" t="s">
        <v>1115</v>
      </c>
      <c r="C580" s="30" t="s">
        <v>1062</v>
      </c>
      <c r="D580" t="s">
        <v>1116</v>
      </c>
      <c r="E580" s="30" t="s">
        <v>1113</v>
      </c>
      <c r="F580" s="30" t="s">
        <v>28</v>
      </c>
      <c r="G580" s="30"/>
      <c r="H580" s="30" t="s">
        <v>1122</v>
      </c>
      <c r="I580" s="31">
        <f t="shared" si="25"/>
        <v>28</v>
      </c>
      <c r="J580" s="146" t="s">
        <v>2106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thickBot="1" x14ac:dyDescent="0.3">
      <c r="A581" t="s">
        <v>594</v>
      </c>
      <c r="B581" s="30" t="s">
        <v>1200</v>
      </c>
      <c r="C581" s="30" t="s">
        <v>1062</v>
      </c>
      <c r="D581" t="s">
        <v>1201</v>
      </c>
      <c r="E581" s="30" t="s">
        <v>15</v>
      </c>
      <c r="F581" s="30" t="s">
        <v>28</v>
      </c>
      <c r="G581" s="30"/>
      <c r="H581" s="30" t="s">
        <v>1202</v>
      </c>
      <c r="I581" s="31">
        <f t="shared" si="25"/>
        <v>28</v>
      </c>
      <c r="J581" s="146" t="s">
        <v>2108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thickBot="1" x14ac:dyDescent="0.3">
      <c r="A582" t="s">
        <v>389</v>
      </c>
      <c r="B582" s="30" t="s">
        <v>2177</v>
      </c>
      <c r="C582" s="73" t="s">
        <v>1061</v>
      </c>
      <c r="D582" t="s">
        <v>2178</v>
      </c>
      <c r="E582" s="85" t="s">
        <v>46</v>
      </c>
      <c r="F582" s="30" t="s">
        <v>28</v>
      </c>
      <c r="G582" s="30"/>
      <c r="H582" s="30" t="s">
        <v>2179</v>
      </c>
      <c r="I582" s="31">
        <f t="shared" si="25"/>
        <v>28</v>
      </c>
      <c r="J582" s="146" t="s">
        <v>2180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603</v>
      </c>
      <c r="C583" s="73" t="s">
        <v>1062</v>
      </c>
      <c r="D583" s="73" t="s">
        <v>604</v>
      </c>
      <c r="E583" s="85" t="s">
        <v>19</v>
      </c>
      <c r="F583" s="85" t="s">
        <v>1300</v>
      </c>
      <c r="G583" s="85"/>
      <c r="H583" s="85" t="s">
        <v>1369</v>
      </c>
      <c r="I583" s="141">
        <f t="shared" si="25"/>
        <v>28</v>
      </c>
      <c r="J583" s="146" t="s">
        <v>2109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310</v>
      </c>
      <c r="B584" s="73" t="s">
        <v>605</v>
      </c>
      <c r="C584" s="73" t="s">
        <v>1062</v>
      </c>
      <c r="D584" s="73" t="s">
        <v>606</v>
      </c>
      <c r="E584" s="85" t="s">
        <v>19</v>
      </c>
      <c r="F584" s="85" t="s">
        <v>1300</v>
      </c>
      <c r="G584" s="85"/>
      <c r="H584" s="85" t="s">
        <v>1366</v>
      </c>
      <c r="I584" s="141">
        <f t="shared" si="25"/>
        <v>28</v>
      </c>
      <c r="J584" s="146" t="s">
        <v>2110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607</v>
      </c>
      <c r="C585" s="73" t="s">
        <v>1061</v>
      </c>
      <c r="D585" s="73" t="s">
        <v>608</v>
      </c>
      <c r="E585" s="85" t="s">
        <v>15</v>
      </c>
      <c r="F585" s="85" t="s">
        <v>1300</v>
      </c>
      <c r="G585" s="85"/>
      <c r="H585" s="85" t="s">
        <v>1505</v>
      </c>
      <c r="I585" s="141">
        <f t="shared" si="25"/>
        <v>28</v>
      </c>
      <c r="J585" s="146" t="s">
        <v>2111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1061</v>
      </c>
      <c r="D586" s="73" t="s">
        <v>601</v>
      </c>
      <c r="E586" s="85" t="s">
        <v>19</v>
      </c>
      <c r="F586" s="85" t="s">
        <v>1300</v>
      </c>
      <c r="G586" s="85"/>
      <c r="H586" s="85" t="s">
        <v>1427</v>
      </c>
      <c r="I586" s="141">
        <f t="shared" si="25"/>
        <v>20</v>
      </c>
      <c r="J586" s="146" t="s">
        <v>2112</v>
      </c>
      <c r="K586" s="141">
        <f t="shared" si="26"/>
        <v>8</v>
      </c>
      <c r="L586" s="142">
        <f t="shared" si="27"/>
        <v>0.7142857142857143</v>
      </c>
      <c r="M586" s="70" t="s">
        <v>2284</v>
      </c>
      <c r="N586" s="70" t="s">
        <v>2284</v>
      </c>
      <c r="O586" s="70" t="s">
        <v>2284</v>
      </c>
      <c r="P586" s="70" t="s">
        <v>2284</v>
      </c>
      <c r="Q586" s="70" t="s">
        <v>2284</v>
      </c>
      <c r="R586" s="70" t="s">
        <v>2284</v>
      </c>
      <c r="S586" s="70"/>
      <c r="T586" s="70"/>
      <c r="U586" s="70" t="s">
        <v>2284</v>
      </c>
      <c r="V586" s="70" t="s">
        <v>2284</v>
      </c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thickBot="1" x14ac:dyDescent="0.3">
      <c r="A587" s="73" t="s">
        <v>602</v>
      </c>
      <c r="B587" s="73" t="s">
        <v>1445</v>
      </c>
      <c r="C587" s="73" t="s">
        <v>1061</v>
      </c>
      <c r="D587" s="73" t="s">
        <v>1446</v>
      </c>
      <c r="E587" s="85" t="s">
        <v>46</v>
      </c>
      <c r="F587" s="85" t="s">
        <v>1300</v>
      </c>
      <c r="G587" s="85"/>
      <c r="H587" s="85" t="s">
        <v>1451</v>
      </c>
      <c r="I587" s="141">
        <f t="shared" si="25"/>
        <v>28</v>
      </c>
      <c r="J587" s="146" t="s">
        <v>2113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thickBot="1" x14ac:dyDescent="0.3">
      <c r="A588" s="73" t="s">
        <v>602</v>
      </c>
      <c r="B588" s="73" t="s">
        <v>1448</v>
      </c>
      <c r="C588" s="73" t="s">
        <v>1061</v>
      </c>
      <c r="D588" s="73" t="s">
        <v>1447</v>
      </c>
      <c r="E588" s="85" t="s">
        <v>73</v>
      </c>
      <c r="F588" s="85" t="s">
        <v>1300</v>
      </c>
      <c r="G588" s="85"/>
      <c r="H588" s="85" t="s">
        <v>1452</v>
      </c>
      <c r="I588" s="141">
        <f t="shared" si="25"/>
        <v>28</v>
      </c>
      <c r="J588" s="146" t="s">
        <v>2114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thickBot="1" x14ac:dyDescent="0.3">
      <c r="A589" s="73" t="s">
        <v>602</v>
      </c>
      <c r="B589" s="73" t="s">
        <v>1449</v>
      </c>
      <c r="C589" s="73" t="s">
        <v>1061</v>
      </c>
      <c r="D589" s="73" t="s">
        <v>1450</v>
      </c>
      <c r="E589" s="85" t="s">
        <v>73</v>
      </c>
      <c r="F589" s="85" t="s">
        <v>1300</v>
      </c>
      <c r="G589" s="85"/>
      <c r="H589" s="85" t="s">
        <v>1453</v>
      </c>
      <c r="I589" s="141">
        <f t="shared" si="25"/>
        <v>28</v>
      </c>
      <c r="J589" s="146" t="s">
        <v>2115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thickBot="1" x14ac:dyDescent="0.3">
      <c r="A590" s="73" t="s">
        <v>602</v>
      </c>
      <c r="B590" s="73" t="s">
        <v>2116</v>
      </c>
      <c r="C590" s="73" t="s">
        <v>1061</v>
      </c>
      <c r="D590" s="73" t="s">
        <v>2117</v>
      </c>
      <c r="E590" s="85" t="s">
        <v>15</v>
      </c>
      <c r="F590" s="85" t="s">
        <v>1300</v>
      </c>
      <c r="G590" s="85"/>
      <c r="H590" s="85" t="s">
        <v>2118</v>
      </c>
      <c r="I590" s="141">
        <f t="shared" si="25"/>
        <v>28</v>
      </c>
      <c r="J590" s="150" t="s">
        <v>2119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customHeight="1" thickBot="1" x14ac:dyDescent="0.3">
      <c r="A591" s="73" t="s">
        <v>602</v>
      </c>
      <c r="B591" s="73" t="s">
        <v>2291</v>
      </c>
      <c r="C591" s="73" t="s">
        <v>1061</v>
      </c>
      <c r="D591" s="73" t="s">
        <v>2292</v>
      </c>
      <c r="E591" s="85" t="s">
        <v>15</v>
      </c>
      <c r="F591" s="85" t="s">
        <v>1300</v>
      </c>
      <c r="G591" s="85"/>
      <c r="H591" s="85" t="s">
        <v>2293</v>
      </c>
      <c r="I591" s="141">
        <f t="shared" si="25"/>
        <v>27</v>
      </c>
      <c r="J591" s="150" t="s">
        <v>2294</v>
      </c>
      <c r="K591" s="141">
        <f t="shared" si="26"/>
        <v>1</v>
      </c>
      <c r="L591" s="142">
        <f t="shared" si="27"/>
        <v>0.9642857142857143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2284</v>
      </c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2" priority="528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1" priority="527" operator="equal">
      <formula>$C$295</formula>
    </cfRule>
  </conditionalFormatting>
  <conditionalFormatting sqref="C1:C591 D20:D21 D162:D163 D221:D222 D257 D279:D282 D292:D294 D398:D402 D414:D416 D419:D420 C673:C1048576">
    <cfRule type="cellIs" dxfId="140" priority="73" operator="equal">
      <formula>"IPCOMS"</formula>
    </cfRule>
  </conditionalFormatting>
  <conditionalFormatting sqref="E1:E563 E578:E591 E673:E1048576">
    <cfRule type="containsText" dxfId="139" priority="534" operator="containsText" text="domo">
      <formula>NOT(ISERROR(SEARCH("domo",E1)))</formula>
    </cfRule>
    <cfRule type="containsText" dxfId="138" priority="533" operator="containsText" text="fija">
      <formula>NOT(ISERROR(SEARCH("fija",E1)))</formula>
    </cfRule>
  </conditionalFormatting>
  <conditionalFormatting sqref="E1:E591 E673:E1048576">
    <cfRule type="cellIs" dxfId="137" priority="529" operator="equal">
      <formula>$E$10</formula>
    </cfRule>
  </conditionalFormatting>
  <conditionalFormatting sqref="E34">
    <cfRule type="containsText" dxfId="136" priority="1" operator="containsText" text="Radio">
      <formula>NOT(ISERROR(SEARCH("Radio",E34)))</formula>
    </cfRule>
  </conditionalFormatting>
  <conditionalFormatting sqref="E134:E147 G147:H147">
    <cfRule type="containsText" dxfId="135" priority="15" operator="containsText" text="Radio">
      <formula>NOT(ISERROR(SEARCH("Radio",E134)))</formula>
    </cfRule>
  </conditionalFormatting>
  <conditionalFormatting sqref="E398:E402">
    <cfRule type="containsText" dxfId="134" priority="34" operator="containsText" text="Radio">
      <formula>NOT(ISERROR(SEARCH("Radio",E398)))</formula>
    </cfRule>
  </conditionalFormatting>
  <conditionalFormatting sqref="E565">
    <cfRule type="containsText" dxfId="133" priority="476" operator="containsText" text="Radio">
      <formula>NOT(ISERROR(SEARCH("Radio",E565)))</formula>
    </cfRule>
    <cfRule type="containsText" dxfId="132" priority="475" operator="containsText" text="domo">
      <formula>NOT(ISERROR(SEARCH("domo",E565)))</formula>
    </cfRule>
    <cfRule type="containsText" dxfId="131" priority="474" operator="containsText" text="fija">
      <formula>NOT(ISERROR(SEARCH("fija",E565)))</formula>
    </cfRule>
  </conditionalFormatting>
  <conditionalFormatting sqref="E565:E566">
    <cfRule type="containsText" dxfId="130" priority="470" operator="containsText" text="domo">
      <formula>NOT(ISERROR(SEARCH("domo",E565)))</formula>
    </cfRule>
    <cfRule type="containsText" dxfId="129" priority="469" operator="containsText" text="fija">
      <formula>NOT(ISERROR(SEARCH("fija",E565)))</formula>
    </cfRule>
  </conditionalFormatting>
  <conditionalFormatting sqref="E566">
    <cfRule type="containsText" dxfId="128" priority="468" operator="containsText" text="domo">
      <formula>NOT(ISERROR(SEARCH("domo",E566)))</formula>
    </cfRule>
    <cfRule type="containsText" dxfId="127" priority="471" operator="containsText" text="Radio">
      <formula>NOT(ISERROR(SEARCH("Radio",E566)))</formula>
    </cfRule>
    <cfRule type="containsText" dxfId="126" priority="467" operator="containsText" text="fija">
      <formula>NOT(ISERROR(SEARCH("fija",E566)))</formula>
    </cfRule>
  </conditionalFormatting>
  <conditionalFormatting sqref="E569">
    <cfRule type="containsText" dxfId="125" priority="464" operator="containsText" text="fija">
      <formula>NOT(ISERROR(SEARCH("fija",E569)))</formula>
    </cfRule>
    <cfRule type="containsText" dxfId="124" priority="465" operator="containsText" text="domo">
      <formula>NOT(ISERROR(SEARCH("domo",E569)))</formula>
    </cfRule>
    <cfRule type="containsText" dxfId="123" priority="466" operator="containsText" text="Radio">
      <formula>NOT(ISERROR(SEARCH("Radio",E569)))</formula>
    </cfRule>
  </conditionalFormatting>
  <conditionalFormatting sqref="E569:E570">
    <cfRule type="containsText" dxfId="122" priority="460" operator="containsText" text="domo">
      <formula>NOT(ISERROR(SEARCH("domo",E569)))</formula>
    </cfRule>
    <cfRule type="containsText" dxfId="121" priority="459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0" priority="461" operator="containsText" text="Radio">
      <formula>NOT(ISERROR(SEARCH("Radio",E47)))</formula>
    </cfRule>
  </conditionalFormatting>
  <conditionalFormatting sqref="E570:E571">
    <cfRule type="containsText" dxfId="119" priority="455" operator="containsText" text="domo">
      <formula>NOT(ISERROR(SEARCH("domo",E570)))</formula>
    </cfRule>
    <cfRule type="containsText" dxfId="118" priority="454" operator="containsText" text="fija">
      <formula>NOT(ISERROR(SEARCH("fija",E570)))</formula>
    </cfRule>
  </conditionalFormatting>
  <conditionalFormatting sqref="E571">
    <cfRule type="containsText" dxfId="117" priority="456" operator="containsText" text="Radio">
      <formula>NOT(ISERROR(SEARCH("Radio",E571)))</formula>
    </cfRule>
  </conditionalFormatting>
  <conditionalFormatting sqref="E571:E572">
    <cfRule type="containsText" dxfId="116" priority="450" operator="containsText" text="domo">
      <formula>NOT(ISERROR(SEARCH("domo",E571)))</formula>
    </cfRule>
    <cfRule type="containsText" dxfId="115" priority="449" operator="containsText" text="fija">
      <formula>NOT(ISERROR(SEARCH("fija",E571)))</formula>
    </cfRule>
  </conditionalFormatting>
  <conditionalFormatting sqref="E572">
    <cfRule type="containsText" dxfId="114" priority="451" operator="containsText" text="Radio">
      <formula>NOT(ISERROR(SEARCH("Radio",E572)))</formula>
    </cfRule>
    <cfRule type="containsText" dxfId="113" priority="448" operator="containsText" text="domo">
      <formula>NOT(ISERROR(SEARCH("domo",E572)))</formula>
    </cfRule>
    <cfRule type="containsText" dxfId="112" priority="447" operator="containsText" text="fija">
      <formula>NOT(ISERROR(SEARCH("fija",E572)))</formula>
    </cfRule>
  </conditionalFormatting>
  <conditionalFormatting sqref="E576">
    <cfRule type="containsText" dxfId="111" priority="745" operator="containsText" text="fija">
      <formula>NOT(ISERROR(SEARCH("fija",E576)))</formula>
    </cfRule>
    <cfRule type="containsText" dxfId="110" priority="746" operator="containsText" text="domo">
      <formula>NOT(ISERROR(SEARCH("domo",E576)))</formula>
    </cfRule>
  </conditionalFormatting>
  <conditionalFormatting sqref="E579:E582">
    <cfRule type="containsText" dxfId="109" priority="478" operator="containsText" text="domo">
      <formula>NOT(ISERROR(SEARCH("domo",E579)))</formula>
    </cfRule>
    <cfRule type="containsText" dxfId="108" priority="477" operator="containsText" text="fija">
      <formula>NOT(ISERROR(SEARCH("fija",E579)))</formula>
    </cfRule>
  </conditionalFormatting>
  <conditionalFormatting sqref="E230:F230">
    <cfRule type="containsText" dxfId="107" priority="36" operator="containsText" text="Radio">
      <formula>NOT(ISERROR(SEARCH("Radio",E230)))</formula>
    </cfRule>
  </conditionalFormatting>
  <conditionalFormatting sqref="E36:G46">
    <cfRule type="containsText" dxfId="106" priority="6" operator="containsText" text="Radio">
      <formula>NOT(ISERROR(SEARCH("Radio",E36)))</formula>
    </cfRule>
  </conditionalFormatting>
  <conditionalFormatting sqref="E1:H35">
    <cfRule type="containsText" dxfId="105" priority="71" operator="containsText" text="Radio">
      <formula>NOT(ISERROR(SEARCH("Radio",E1)))</formula>
    </cfRule>
  </conditionalFormatting>
  <conditionalFormatting sqref="E148:H159">
    <cfRule type="containsText" dxfId="104" priority="9" operator="containsText" text="Radio">
      <formula>NOT(ISERROR(SEARCH("Radio",E148)))</formula>
    </cfRule>
  </conditionalFormatting>
  <conditionalFormatting sqref="E576:H576 F577">
    <cfRule type="containsText" dxfId="103" priority="1002" operator="containsText" text="Radio">
      <formula>NOT(ISERROR(SEARCH("Radio",E576)))</formula>
    </cfRule>
  </conditionalFormatting>
  <conditionalFormatting sqref="F1:F135 F160:F591 F673:F1048576">
    <cfRule type="cellIs" dxfId="102" priority="74" operator="equal">
      <formula>"GPON"</formula>
    </cfRule>
    <cfRule type="cellIs" dxfId="101" priority="75" operator="equal">
      <formula>"GPON"</formula>
    </cfRule>
  </conditionalFormatting>
  <conditionalFormatting sqref="F138">
    <cfRule type="cellIs" dxfId="100" priority="63" operator="equal">
      <formula>"GPON"</formula>
    </cfRule>
    <cfRule type="cellIs" dxfId="99" priority="65" operator="equal">
      <formula>$F$13</formula>
    </cfRule>
    <cfRule type="cellIs" dxfId="98" priority="66" operator="equal">
      <formula>"PTP A FO"</formula>
    </cfRule>
    <cfRule type="cellIs" dxfId="97" priority="67" operator="equal">
      <formula>"PTP A FO"</formula>
    </cfRule>
    <cfRule type="containsText" dxfId="96" priority="64" operator="containsText" text="Radio">
      <formula>NOT(ISERROR(SEARCH("Radio",F138)))</formula>
    </cfRule>
    <cfRule type="cellIs" dxfId="95" priority="62" operator="equal">
      <formula>"GPON"</formula>
    </cfRule>
  </conditionalFormatting>
  <conditionalFormatting sqref="F141:F148">
    <cfRule type="cellIs" dxfId="94" priority="42" operator="equal">
      <formula>"PTP A FO"</formula>
    </cfRule>
    <cfRule type="cellIs" dxfId="93" priority="40" operator="equal">
      <formula>$F$13</formula>
    </cfRule>
    <cfRule type="containsText" dxfId="92" priority="39" operator="containsText" text="Radio">
      <formula>NOT(ISERROR(SEARCH("Radio",F141)))</formula>
    </cfRule>
    <cfRule type="cellIs" dxfId="91" priority="41" operator="equal">
      <formula>"PTP A FO"</formula>
    </cfRule>
  </conditionalFormatting>
  <conditionalFormatting sqref="F141:F159">
    <cfRule type="cellIs" dxfId="90" priority="7" operator="equal">
      <formula>"GPON"</formula>
    </cfRule>
    <cfRule type="cellIs" dxfId="89" priority="8" operator="equal">
      <formula>"GPON"</formula>
    </cfRule>
  </conditionalFormatting>
  <conditionalFormatting sqref="F145:F146">
    <cfRule type="cellIs" dxfId="88" priority="3" operator="equal">
      <formula>$F$13</formula>
    </cfRule>
    <cfRule type="cellIs" dxfId="87" priority="4" operator="equal">
      <formula>"PTP A FO"</formula>
    </cfRule>
    <cfRule type="containsText" dxfId="86" priority="2" operator="containsText" text="Radio">
      <formula>NOT(ISERROR(SEARCH("Radio",F145)))</formula>
    </cfRule>
    <cfRule type="cellIs" dxfId="85" priority="5" operator="equal">
      <formula>"PTP A FO"</formula>
    </cfRule>
  </conditionalFormatting>
  <conditionalFormatting sqref="F230:F232">
    <cfRule type="cellIs" dxfId="84" priority="55" operator="equal">
      <formula>"PTP A FO"</formula>
    </cfRule>
    <cfRule type="cellIs" dxfId="83" priority="54" operator="equal">
      <formula>"PTP A FO"</formula>
    </cfRule>
    <cfRule type="cellIs" dxfId="82" priority="53" operator="equal">
      <formula>$F$13</formula>
    </cfRule>
  </conditionalFormatting>
  <conditionalFormatting sqref="F231:F232">
    <cfRule type="cellIs" dxfId="81" priority="51" operator="equal">
      <formula>"PTP A FO"</formula>
    </cfRule>
    <cfRule type="cellIs" dxfId="80" priority="50" operator="equal">
      <formula>"PTP A FO"</formula>
    </cfRule>
    <cfRule type="cellIs" dxfId="79" priority="49" operator="equal">
      <formula>$F$13</formula>
    </cfRule>
  </conditionalFormatting>
  <conditionalFormatting sqref="F419:F420">
    <cfRule type="cellIs" dxfId="78" priority="61" operator="equal">
      <formula>"PTP A FO"</formula>
    </cfRule>
    <cfRule type="cellIs" dxfId="77" priority="60" operator="equal">
      <formula>"PTP A FO"</formula>
    </cfRule>
    <cfRule type="cellIs" dxfId="76" priority="59" operator="equal">
      <formula>$F$13</formula>
    </cfRule>
    <cfRule type="containsText" dxfId="75" priority="58" operator="containsText" text="Radio">
      <formula>NOT(ISERROR(SEARCH("Radio",F419)))</formula>
    </cfRule>
  </conditionalFormatting>
  <conditionalFormatting sqref="F564">
    <cfRule type="containsText" dxfId="74" priority="124" operator="containsText" text="Radio">
      <formula>NOT(ISERROR(SEARCH("Radio",F564)))</formula>
    </cfRule>
    <cfRule type="cellIs" dxfId="73" priority="125" operator="equal">
      <formula>"PTP A FO"</formula>
    </cfRule>
  </conditionalFormatting>
  <conditionalFormatting sqref="F1:G133 F134:F135 F160:G229 F233:G418 F419:F420 F421:G563 F576:G576 F577 F578:G591 F673:G1048576">
    <cfRule type="cellIs" dxfId="72" priority="726" operator="equal">
      <formula>"PTP A FO"</formula>
    </cfRule>
  </conditionalFormatting>
  <conditionalFormatting sqref="F1:G133 F134:F135 F160:G229 F233:G418 F419:F420 F421:G591 F673:G1048576">
    <cfRule type="cellIs" dxfId="71" priority="531" operator="equal">
      <formula>"PTP A FO"</formula>
    </cfRule>
    <cfRule type="cellIs" dxfId="70" priority="530" operator="equal">
      <formula>$F$13</formula>
    </cfRule>
  </conditionalFormatting>
  <conditionalFormatting sqref="F148:G159">
    <cfRule type="cellIs" dxfId="69" priority="11" operator="equal">
      <formula>"PTP A FO"</formula>
    </cfRule>
    <cfRule type="cellIs" dxfId="68" priority="10" operator="equal">
      <formula>$F$13</formula>
    </cfRule>
    <cfRule type="cellIs" dxfId="67" priority="12" operator="equal">
      <formula>"PTP A FO"</formula>
    </cfRule>
  </conditionalFormatting>
  <conditionalFormatting sqref="G147">
    <cfRule type="cellIs" dxfId="66" priority="18" operator="equal">
      <formula>"PTP A FO"</formula>
    </cfRule>
    <cfRule type="cellIs" dxfId="65" priority="17" operator="equal">
      <formula>"PTP A FO"</formula>
    </cfRule>
    <cfRule type="cellIs" dxfId="64" priority="16" operator="equal">
      <formula>$F$13</formula>
    </cfRule>
  </conditionalFormatting>
  <conditionalFormatting sqref="J175">
    <cfRule type="containsText" dxfId="63" priority="33" operator="containsText" text="Radio">
      <formula>NOT(ISERROR(SEARCH("Radio",J175)))</formula>
    </cfRule>
  </conditionalFormatting>
  <conditionalFormatting sqref="L7:L591">
    <cfRule type="cellIs" dxfId="62" priority="961" operator="lessThan">
      <formula>0.8</formula>
    </cfRule>
    <cfRule type="cellIs" dxfId="61" priority="962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0" priority="107" operator="equal">
      <formula>"APAGADO"</formula>
    </cfRule>
  </conditionalFormatting>
  <conditionalFormatting sqref="M673:AN749 W673:AH1048576">
    <cfRule type="cellIs" dxfId="59" priority="108" operator="equal">
      <formula>"apagado"</formula>
    </cfRule>
  </conditionalFormatting>
  <conditionalFormatting sqref="M673:AN1048576">
    <cfRule type="containsText" dxfId="58" priority="658" operator="containsText" text="Caida">
      <formula>NOT(ISERROR(SEARCH("Caida",M673)))</formula>
    </cfRule>
    <cfRule type="notContainsText" dxfId="57" priority="991" operator="notContains" text="Caida">
      <formula>ISERROR(SEARCH("Caida",M673))</formula>
    </cfRule>
  </conditionalFormatting>
  <conditionalFormatting sqref="O673:O1192">
    <cfRule type="cellIs" dxfId="56" priority="417" operator="equal">
      <formula>"APAGADO"</formula>
    </cfRule>
    <cfRule type="cellIs" dxfId="55" priority="313" operator="greaterThan">
      <formula>0.8</formula>
    </cfRule>
    <cfRule type="cellIs" dxfId="54" priority="290" operator="greaterThan">
      <formula>0.8</formula>
    </cfRule>
    <cfRule type="cellIs" dxfId="53" priority="289" operator="lessThan">
      <formula>0.8</formula>
    </cfRule>
    <cfRule type="containsText" dxfId="52" priority="288" operator="containsText" text="Caida">
      <formula>NOT(ISERROR(SEARCH("Caida",O673)))</formula>
    </cfRule>
    <cfRule type="notContainsText" dxfId="51" priority="287" operator="notContains" text="Caida">
      <formula>ISERROR(SEARCH("Caida",O673))</formula>
    </cfRule>
  </conditionalFormatting>
  <conditionalFormatting sqref="O673:O1048576">
    <cfRule type="cellIs" dxfId="5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C1" zoomScale="90" zoomScaleNormal="90" workbookViewId="0">
      <selection activeCell="O3" sqref="O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1069</v>
      </c>
      <c r="C1" s="36">
        <v>45992</v>
      </c>
    </row>
    <row r="2" spans="1:33" ht="16.5" thickTop="1" thickBot="1" x14ac:dyDescent="0.3">
      <c r="A2" s="49" t="s">
        <v>1061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1062</v>
      </c>
      <c r="B4" s="41">
        <f>COUNTIFS('RESUMEN TOTAL'!C8:C621,"=COSEIDI")</f>
        <v>276</v>
      </c>
      <c r="C4" s="46">
        <v>0</v>
      </c>
      <c r="D4" s="39"/>
      <c r="E4" s="37" t="s">
        <v>1072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1073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91" zoomScale="84" zoomScaleNormal="84" workbookViewId="0">
      <selection activeCell="H105" sqref="H10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1462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1474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1474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911</v>
      </c>
      <c r="D8" s="95" t="s">
        <v>1462</v>
      </c>
      <c r="E8" s="101" t="s">
        <v>912</v>
      </c>
      <c r="F8" s="154"/>
    </row>
    <row r="9" spans="1:6" ht="15" customHeight="1" thickTop="1" thickBot="1" x14ac:dyDescent="0.3">
      <c r="A9" s="35" t="s">
        <v>1476</v>
      </c>
      <c r="B9" s="97" t="s">
        <v>1061</v>
      </c>
      <c r="C9" s="98">
        <v>307</v>
      </c>
      <c r="D9" s="114"/>
      <c r="E9" s="104"/>
      <c r="F9" s="154"/>
    </row>
    <row r="10" spans="1:6" ht="15.75" thickBot="1" x14ac:dyDescent="0.3">
      <c r="A10" t="s">
        <v>1476</v>
      </c>
      <c r="B10" s="111" t="s">
        <v>1062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1462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1475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1242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1243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1475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911</v>
      </c>
      <c r="D19" s="95" t="s">
        <v>1462</v>
      </c>
      <c r="E19" s="101" t="s">
        <v>912</v>
      </c>
      <c r="F19" s="154"/>
    </row>
    <row r="20" spans="1:6" ht="16.5" thickTop="1" thickBot="1" x14ac:dyDescent="0.3">
      <c r="A20" t="s">
        <v>1477</v>
      </c>
      <c r="B20" s="97" t="s">
        <v>1061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1477</v>
      </c>
      <c r="B21" s="111" t="s">
        <v>1062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1462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1468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1242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1243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1468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911</v>
      </c>
      <c r="D30" s="95" t="s">
        <v>1462</v>
      </c>
      <c r="E30" s="101" t="s">
        <v>912</v>
      </c>
      <c r="F30" s="154"/>
    </row>
    <row r="31" spans="1:6" ht="16.5" thickTop="1" thickBot="1" x14ac:dyDescent="0.3">
      <c r="B31" s="97" t="s">
        <v>1061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1062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1462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1467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1467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911</v>
      </c>
      <c r="D41" s="95" t="s">
        <v>1462</v>
      </c>
      <c r="E41" s="101" t="s">
        <v>912</v>
      </c>
      <c r="F41" s="154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1062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1462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1469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1242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1243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1469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911</v>
      </c>
      <c r="D52" s="95" t="s">
        <v>1462</v>
      </c>
      <c r="E52" s="101" t="s">
        <v>912</v>
      </c>
      <c r="F52" s="154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1062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1462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1470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1242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1243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1470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911</v>
      </c>
      <c r="D63" s="95" t="s">
        <v>1462</v>
      </c>
      <c r="E63" s="101" t="s">
        <v>912</v>
      </c>
      <c r="F63" s="154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1062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1462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1471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1242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1243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1471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911</v>
      </c>
      <c r="D74" s="95" t="s">
        <v>1462</v>
      </c>
      <c r="E74" s="101" t="s">
        <v>912</v>
      </c>
      <c r="F74" s="154"/>
    </row>
    <row r="75" spans="1:6" ht="16.5" thickTop="1" thickBot="1" x14ac:dyDescent="0.3">
      <c r="B75" s="97" t="s">
        <v>1061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1062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1462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1466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1242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1243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1466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911</v>
      </c>
      <c r="D85" s="95" t="s">
        <v>1462</v>
      </c>
      <c r="E85" s="101" t="s">
        <v>912</v>
      </c>
      <c r="F85" s="154"/>
    </row>
    <row r="86" spans="1:6" ht="16.5" thickTop="1" thickBot="1" x14ac:dyDescent="0.3">
      <c r="B86" s="97" t="s">
        <v>1061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1062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1462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1472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4"/>
    </row>
    <row r="92" spans="1:6" x14ac:dyDescent="0.25">
      <c r="B92" s="53" t="s">
        <v>1242</v>
      </c>
      <c r="C92" s="67">
        <v>6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1243</v>
      </c>
      <c r="C93" s="67">
        <v>8</v>
      </c>
      <c r="D93" s="102">
        <v>0</v>
      </c>
      <c r="E93" s="55">
        <f>D93/C90</f>
        <v>0</v>
      </c>
      <c r="F93" s="154"/>
    </row>
    <row r="94" spans="1:6" x14ac:dyDescent="0.25">
      <c r="A94" t="s">
        <v>1472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911</v>
      </c>
      <c r="D96" s="95" t="s">
        <v>1462</v>
      </c>
      <c r="E96" s="101" t="s">
        <v>912</v>
      </c>
      <c r="F96" s="154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26</v>
      </c>
      <c r="E97" s="104">
        <f>D97/C97</f>
        <v>8.4690553745928335E-2</v>
      </c>
      <c r="F97" s="154"/>
    </row>
    <row r="98" spans="1:6" ht="15.75" thickBot="1" x14ac:dyDescent="0.3">
      <c r="B98" s="111" t="s">
        <v>1062</v>
      </c>
      <c r="C98" s="112">
        <f>COSEIDIcam</f>
        <v>276</v>
      </c>
      <c r="D98" s="112">
        <f>Hoja1!N5</f>
        <v>54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1462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1473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4"/>
    </row>
    <row r="103" spans="1:6" x14ac:dyDescent="0.25">
      <c r="B103" s="53" t="s">
        <v>1242</v>
      </c>
      <c r="C103" s="67">
        <v>7</v>
      </c>
      <c r="D103" s="102">
        <f>C102-C103</f>
        <v>96</v>
      </c>
      <c r="E103" s="55">
        <f>D103/C101</f>
        <v>0.16438356164383561</v>
      </c>
      <c r="F103" s="154"/>
    </row>
    <row r="104" spans="1:6" x14ac:dyDescent="0.25">
      <c r="B104" s="53" t="s">
        <v>1243</v>
      </c>
      <c r="C104" s="67">
        <v>8</v>
      </c>
      <c r="D104" s="102">
        <f>D103-C104</f>
        <v>88</v>
      </c>
      <c r="E104" s="55">
        <f>D104/C101</f>
        <v>0.15068493150684931</v>
      </c>
      <c r="F104" s="154"/>
    </row>
    <row r="105" spans="1:6" x14ac:dyDescent="0.25">
      <c r="A105" t="s">
        <v>1473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911</v>
      </c>
      <c r="D107" s="95" t="s">
        <v>1462</v>
      </c>
      <c r="E107" s="101" t="s">
        <v>912</v>
      </c>
      <c r="F107" s="154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27</v>
      </c>
      <c r="E108" s="104">
        <f>D108/C108</f>
        <v>8.7947882736156349E-2</v>
      </c>
      <c r="F108" s="154"/>
    </row>
    <row r="109" spans="1:6" ht="15.75" thickBot="1" x14ac:dyDescent="0.3">
      <c r="B109" s="111" t="s">
        <v>1062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5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1462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4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4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4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911</v>
      </c>
      <c r="D118" s="95" t="s">
        <v>1462</v>
      </c>
      <c r="E118" s="101" t="s">
        <v>912</v>
      </c>
      <c r="F118" s="154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4"/>
    </row>
    <row r="120" spans="2:6" ht="15.75" thickBot="1" x14ac:dyDescent="0.3">
      <c r="B120" s="111" t="s">
        <v>1062</v>
      </c>
      <c r="C120" s="112">
        <f>COSEIDIcam</f>
        <v>276</v>
      </c>
      <c r="D120" s="112">
        <f>Hoja1!P5</f>
        <v>0</v>
      </c>
      <c r="E120" s="113">
        <v>0</v>
      </c>
      <c r="F120" s="155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1462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4"/>
    </row>
    <row r="125" spans="2:6" x14ac:dyDescent="0.25">
      <c r="B125" s="53" t="s">
        <v>1242</v>
      </c>
      <c r="C125" s="67">
        <v>0</v>
      </c>
      <c r="D125" s="102">
        <v>0</v>
      </c>
      <c r="E125" s="55">
        <f>D125/C123</f>
        <v>0</v>
      </c>
      <c r="F125" s="154"/>
    </row>
    <row r="126" spans="2:6" x14ac:dyDescent="0.25">
      <c r="B126" s="53" t="s">
        <v>1243</v>
      </c>
      <c r="C126" s="67">
        <v>0</v>
      </c>
      <c r="D126" s="102">
        <v>0</v>
      </c>
      <c r="E126" s="55">
        <f>D126/C123</f>
        <v>0</v>
      </c>
      <c r="F126" s="154"/>
    </row>
    <row r="127" spans="2:6" x14ac:dyDescent="0.25">
      <c r="B127" s="53" t="s">
        <v>16</v>
      </c>
      <c r="C127" s="93">
        <v>0</v>
      </c>
      <c r="D127" s="102">
        <v>0</v>
      </c>
      <c r="E127" s="55">
        <f>D127/C123</f>
        <v>0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911</v>
      </c>
      <c r="D129" s="95" t="s">
        <v>1462</v>
      </c>
      <c r="E129" s="101" t="s">
        <v>912</v>
      </c>
      <c r="F129" s="154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0</v>
      </c>
      <c r="E130" s="104">
        <f>D130/C130</f>
        <v>0</v>
      </c>
      <c r="F130" s="154"/>
    </row>
    <row r="131" spans="2:6" ht="15.75" thickBot="1" x14ac:dyDescent="0.3">
      <c r="B131" s="111" t="s">
        <v>1062</v>
      </c>
      <c r="C131" s="112">
        <f>COSEIDIcam</f>
        <v>276</v>
      </c>
      <c r="D131" s="112">
        <f>Hoja1!Q5</f>
        <v>0</v>
      </c>
      <c r="E131" s="113">
        <v>0</v>
      </c>
      <c r="F131" s="155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1462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1242</v>
      </c>
      <c r="C136" s="67">
        <v>0</v>
      </c>
      <c r="D136" s="102">
        <v>0</v>
      </c>
      <c r="E136" s="55">
        <f>D136/C134</f>
        <v>0</v>
      </c>
      <c r="F136" s="154"/>
    </row>
    <row r="137" spans="2:6" x14ac:dyDescent="0.25">
      <c r="B137" s="53" t="s">
        <v>1243</v>
      </c>
      <c r="C137" s="67">
        <v>0</v>
      </c>
      <c r="D137" s="102"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911</v>
      </c>
      <c r="D140" s="95" t="s">
        <v>1462</v>
      </c>
      <c r="E140" s="101" t="s">
        <v>912</v>
      </c>
      <c r="F140" s="154"/>
    </row>
    <row r="141" spans="2:6" ht="16.5" thickTop="1" thickBot="1" x14ac:dyDescent="0.3">
      <c r="B141" s="97" t="s">
        <v>1061</v>
      </c>
      <c r="C141" s="98">
        <v>307</v>
      </c>
      <c r="D141" s="114">
        <v>0</v>
      </c>
      <c r="E141" s="104">
        <f>D141/C141</f>
        <v>0</v>
      </c>
      <c r="F141" s="154"/>
    </row>
    <row r="142" spans="2:6" ht="15.75" thickBot="1" x14ac:dyDescent="0.3">
      <c r="B142" s="111" t="s">
        <v>1062</v>
      </c>
      <c r="C142" s="112">
        <f>COSEIDIcam</f>
        <v>276</v>
      </c>
      <c r="D142" s="112">
        <v>0</v>
      </c>
      <c r="E142" s="113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1462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1242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1243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911</v>
      </c>
      <c r="D151" s="95" t="s">
        <v>1462</v>
      </c>
      <c r="E151" s="101" t="s">
        <v>912</v>
      </c>
      <c r="F151" s="154"/>
    </row>
    <row r="152" spans="2:6" ht="16.5" thickTop="1" thickBot="1" x14ac:dyDescent="0.3">
      <c r="B152" s="97" t="s">
        <v>1061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1062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1462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1242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1243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911</v>
      </c>
      <c r="D162" s="95" t="s">
        <v>1462</v>
      </c>
      <c r="E162" s="101" t="s">
        <v>912</v>
      </c>
      <c r="F162" s="154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1062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1462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1242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1243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911</v>
      </c>
      <c r="D173" s="95" t="s">
        <v>1462</v>
      </c>
      <c r="E173" s="101" t="s">
        <v>912</v>
      </c>
      <c r="F173" s="154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1062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911</v>
      </c>
      <c r="D177" s="107" t="s">
        <v>1462</v>
      </c>
      <c r="E177" s="108" t="s">
        <v>912</v>
      </c>
    </row>
    <row r="178" spans="2:6" ht="15.75" thickTop="1" x14ac:dyDescent="0.25">
      <c r="B178" s="52" t="s">
        <v>1241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1242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1243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911</v>
      </c>
      <c r="D184" s="95" t="s">
        <v>1462</v>
      </c>
      <c r="E184" s="101" t="s">
        <v>912</v>
      </c>
      <c r="F184" s="154"/>
    </row>
    <row r="185" spans="2:6" ht="16.5" thickTop="1" thickBot="1" x14ac:dyDescent="0.3">
      <c r="B185" s="97" t="s">
        <v>1061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1062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911</v>
      </c>
      <c r="D188" s="107" t="s">
        <v>1462</v>
      </c>
      <c r="E188" s="108" t="s">
        <v>912</v>
      </c>
    </row>
    <row r="189" spans="2:6" ht="15.75" thickTop="1" x14ac:dyDescent="0.25">
      <c r="B189" s="52" t="s">
        <v>1241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911</v>
      </c>
      <c r="D195" s="95" t="s">
        <v>1462</v>
      </c>
      <c r="E195" s="101" t="s">
        <v>912</v>
      </c>
      <c r="F195" s="154"/>
    </row>
    <row r="196" spans="2:6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1062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911</v>
      </c>
      <c r="D199" s="107" t="s">
        <v>1462</v>
      </c>
      <c r="E199" s="108" t="s">
        <v>912</v>
      </c>
    </row>
    <row r="200" spans="2:6" ht="15.75" thickTop="1" x14ac:dyDescent="0.25">
      <c r="B200" s="52" t="s">
        <v>1241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1242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1243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911</v>
      </c>
      <c r="D206" s="95" t="s">
        <v>1462</v>
      </c>
      <c r="E206" s="101" t="s">
        <v>912</v>
      </c>
      <c r="F206" s="154"/>
    </row>
    <row r="207" spans="2:6" ht="16.5" thickTop="1" thickBot="1" x14ac:dyDescent="0.3">
      <c r="B207" s="97" t="s">
        <v>1061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1062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1462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1242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1243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911</v>
      </c>
      <c r="D217" s="95" t="s">
        <v>1462</v>
      </c>
      <c r="E217" s="101" t="s">
        <v>912</v>
      </c>
      <c r="F217" s="154"/>
    </row>
    <row r="218" spans="2:6" ht="16.5" thickTop="1" thickBot="1" x14ac:dyDescent="0.3">
      <c r="B218" s="97" t="s">
        <v>1061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1062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1462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1242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1243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911</v>
      </c>
      <c r="D229" s="95" t="s">
        <v>1462</v>
      </c>
      <c r="E229" s="101" t="s">
        <v>912</v>
      </c>
      <c r="F229" s="154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1062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1462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911</v>
      </c>
      <c r="D241" s="95" t="s">
        <v>1462</v>
      </c>
      <c r="E241" s="101" t="s">
        <v>912</v>
      </c>
      <c r="F241" s="154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1062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1462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1242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1243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4"/>
    </row>
    <row r="254" spans="2:6" ht="16.5" thickTop="1" thickBot="1" x14ac:dyDescent="0.3">
      <c r="B254" s="97" t="s">
        <v>1061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1062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1462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911</v>
      </c>
      <c r="D265" s="95" t="s">
        <v>1462</v>
      </c>
      <c r="E265" s="101" t="s">
        <v>912</v>
      </c>
      <c r="F265" s="154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1062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1462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911</v>
      </c>
      <c r="D276" s="95" t="s">
        <v>1462</v>
      </c>
      <c r="E276" s="101" t="s">
        <v>912</v>
      </c>
      <c r="F276" s="154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1062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1462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1242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1243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911</v>
      </c>
      <c r="D287" s="95" t="s">
        <v>1462</v>
      </c>
      <c r="E287" s="101" t="s">
        <v>912</v>
      </c>
      <c r="F287" s="154"/>
    </row>
    <row r="288" spans="2:6" ht="16.5" thickTop="1" thickBot="1" x14ac:dyDescent="0.3">
      <c r="B288" s="97" t="s">
        <v>1061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1062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1462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911</v>
      </c>
      <c r="D298" s="95" t="s">
        <v>1462</v>
      </c>
      <c r="E298" s="101" t="s">
        <v>912</v>
      </c>
      <c r="F298" s="154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1062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1462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1242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1243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911</v>
      </c>
      <c r="D309" s="95" t="s">
        <v>1462</v>
      </c>
      <c r="E309" s="101" t="s">
        <v>912</v>
      </c>
      <c r="F309" s="154"/>
    </row>
    <row r="310" spans="2:6" ht="16.5" thickTop="1" thickBot="1" x14ac:dyDescent="0.3">
      <c r="B310" s="97" t="s">
        <v>1061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1062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2026-02-10T15:39:16Z</dcterms:modified>
</cp:coreProperties>
</file>