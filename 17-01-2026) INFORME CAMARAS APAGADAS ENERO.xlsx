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E0083791-B311-47F2-8775-3D8AA92E6A5D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<sst xmlns="http://schemas.openxmlformats.org/spreadsheetml/2006/main" count="6612" uniqueCount="2289">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</sst>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B284" activePane="bottomRight" state="frozen"/>
      <selection pane="topRight" activeCell="M1" sqref="M1"/>
      <selection pane="bottomLeft" activeCell="A5" sqref="A5"/>
      <selection pane="bottomRight" activeCell="AC317" sqref="AC317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0.14836795252225518</v>
      </c>
      <c r="AC1" s="3">
        <f t="shared" si="1"/>
        <v>0.22641509433962265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100</v>
      </c>
      <c r="AC3" s="126">
        <f t="shared" si="4"/>
        <v>168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40</v>
      </c>
      <c r="AC4" s="10">
        <f>COUNTIFS(AC8:AC689, "=APAGADO",F8:F689,"=Fibra Optica")</f>
        <v>105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3</v>
      </c>
      <c r="AC5" s="130">
        <f>COUNTIFS(AC8:AC689, "=APAGADO",F8:F689,"=RADIO")</f>
        <v>3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14</v>
      </c>
      <c r="AC6" s="10">
        <f>COUNTIFS(AC8:AC689, "=APAGADO",F8:F689,"=PTO A FO")</f>
        <v>22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1665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12</v>
      </c>
      <c r="J8" s="147" t="s">
        <v>1666</v>
      </c>
      <c r="K8" s="31">
        <f t="shared" ref="K8:K85" si="6">COUNTIF(M8:AN8,"APAGADO")</f>
        <v>16</v>
      </c>
      <c r="L8" s="32">
        <f t="shared" ref="L8:L85" si="7">(I8)/(K8+I8)</f>
        <v>0.42857142857142855</v>
      </c>
      <c r="M8" s="70" t="s">
        <v>2287</v>
      </c>
      <c r="N8" s="70" t="s">
        <v>2287</v>
      </c>
      <c r="O8" s="70" t="s">
        <v>2287</v>
      </c>
      <c r="P8" s="70" t="s">
        <v>2287</v>
      </c>
      <c r="Q8" s="70" t="s">
        <v>2287</v>
      </c>
      <c r="R8" s="70" t="s">
        <v>2287</v>
      </c>
      <c r="S8" s="70" t="s">
        <v>2287</v>
      </c>
      <c r="T8" s="70" t="s">
        <v>2287</v>
      </c>
      <c r="U8" s="70" t="s">
        <v>2287</v>
      </c>
      <c r="V8" s="70" t="s">
        <v>2287</v>
      </c>
      <c r="W8" s="70"/>
      <c r="X8" s="70" t="s">
        <v>2287</v>
      </c>
      <c r="Y8" s="70" t="s">
        <v>2287</v>
      </c>
      <c r="Z8" s="70" t="s">
        <v>2287</v>
      </c>
      <c r="AA8" s="70" t="s">
        <v>2287</v>
      </c>
      <c r="AB8" s="70" t="s">
        <v>2287</v>
      </c>
      <c r="AC8" s="70" t="s">
        <v>2287</v>
      </c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12</v>
      </c>
      <c r="J9" s="147" t="s">
        <v>1667</v>
      </c>
      <c r="K9" s="31">
        <f t="shared" si="6"/>
        <v>16</v>
      </c>
      <c r="L9" s="32">
        <f t="shared" si="7"/>
        <v>0.42857142857142855</v>
      </c>
      <c r="M9" s="70" t="s">
        <v>2287</v>
      </c>
      <c r="N9" s="70" t="s">
        <v>2287</v>
      </c>
      <c r="O9" s="70" t="s">
        <v>2287</v>
      </c>
      <c r="P9" s="70" t="s">
        <v>2287</v>
      </c>
      <c r="Q9" s="70" t="s">
        <v>2287</v>
      </c>
      <c r="R9" s="70" t="s">
        <v>2287</v>
      </c>
      <c r="S9" s="70" t="s">
        <v>2287</v>
      </c>
      <c r="T9" s="70" t="s">
        <v>2287</v>
      </c>
      <c r="U9" s="70" t="s">
        <v>2287</v>
      </c>
      <c r="V9" s="70" t="s">
        <v>2287</v>
      </c>
      <c r="W9" s="70"/>
      <c r="X9" s="70" t="s">
        <v>2287</v>
      </c>
      <c r="Y9" s="70" t="s">
        <v>2287</v>
      </c>
      <c r="Z9" s="70" t="s">
        <v>2287</v>
      </c>
      <c r="AA9" s="70" t="s">
        <v>2287</v>
      </c>
      <c r="AB9" s="70" t="s">
        <v>2287</v>
      </c>
      <c r="AC9" s="70" t="s">
        <v>2287</v>
      </c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1668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1669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1670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1671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12</v>
      </c>
      <c r="J14" s="147" t="s">
        <v>1672</v>
      </c>
      <c r="K14" s="31">
        <f t="shared" si="6"/>
        <v>16</v>
      </c>
      <c r="L14" s="32">
        <f t="shared" si="7"/>
        <v>0.42857142857142855</v>
      </c>
      <c r="M14" s="70" t="s">
        <v>2287</v>
      </c>
      <c r="N14" s="70" t="s">
        <v>2287</v>
      </c>
      <c r="O14" s="70" t="s">
        <v>2287</v>
      </c>
      <c r="P14" s="70" t="s">
        <v>2287</v>
      </c>
      <c r="Q14" s="70" t="s">
        <v>2287</v>
      </c>
      <c r="R14" s="70" t="s">
        <v>2287</v>
      </c>
      <c r="S14" s="70" t="s">
        <v>2287</v>
      </c>
      <c r="T14" s="70" t="s">
        <v>2287</v>
      </c>
      <c r="U14" s="70" t="s">
        <v>2287</v>
      </c>
      <c r="V14" s="70" t="s">
        <v>2287</v>
      </c>
      <c r="W14" s="70"/>
      <c r="X14" s="70" t="s">
        <v>2287</v>
      </c>
      <c r="Y14" s="70" t="s">
        <v>2287</v>
      </c>
      <c r="Z14" s="70" t="s">
        <v>2287</v>
      </c>
      <c r="AA14" s="70" t="s">
        <v>2287</v>
      </c>
      <c r="AB14" s="70" t="s">
        <v>2287</v>
      </c>
      <c r="AC14" s="70" t="s">
        <v>2287</v>
      </c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1673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1674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26</v>
      </c>
      <c r="J17" s="150" t="s">
        <v>1675</v>
      </c>
      <c r="K17" s="142">
        <f t="shared" si="6"/>
        <v>2</v>
      </c>
      <c r="L17" s="143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2287</v>
      </c>
      <c r="AB17" s="70" t="s">
        <v>2287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2158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13</v>
      </c>
      <c r="J19" s="147" t="s">
        <v>1676</v>
      </c>
      <c r="K19" s="31">
        <f t="shared" si="6"/>
        <v>15</v>
      </c>
      <c r="L19" s="32">
        <f t="shared" si="7"/>
        <v>0.4642857142857143</v>
      </c>
      <c r="M19" s="70" t="s">
        <v>2287</v>
      </c>
      <c r="N19" s="70" t="s">
        <v>2287</v>
      </c>
      <c r="O19" s="70" t="s">
        <v>2287</v>
      </c>
      <c r="P19" s="70" t="s">
        <v>2287</v>
      </c>
      <c r="Q19" s="70" t="s">
        <v>2287</v>
      </c>
      <c r="R19" s="70" t="s">
        <v>2287</v>
      </c>
      <c r="S19" s="70" t="s">
        <v>2287</v>
      </c>
      <c r="T19" s="70"/>
      <c r="U19" s="70" t="s">
        <v>2287</v>
      </c>
      <c r="V19" s="70" t="s">
        <v>2287</v>
      </c>
      <c r="W19" s="70"/>
      <c r="X19" s="70" t="s">
        <v>2287</v>
      </c>
      <c r="Y19" s="70" t="s">
        <v>2287</v>
      </c>
      <c r="Z19" s="71" t="s">
        <v>2287</v>
      </c>
      <c r="AA19" s="70" t="s">
        <v>2287</v>
      </c>
      <c r="AB19" s="70" t="s">
        <v>2287</v>
      </c>
      <c r="AC19" s="70" t="s">
        <v>2287</v>
      </c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1542</v>
      </c>
      <c r="C20" s="73" t="s">
        <v>1062</v>
      </c>
      <c r="D20" s="73" t="s">
        <v>1543</v>
      </c>
      <c r="E20" s="85" t="s">
        <v>73</v>
      </c>
      <c r="F20" s="85" t="s">
        <v>1301</v>
      </c>
      <c r="G20" s="85"/>
      <c r="H20" s="85" t="s">
        <v>1544</v>
      </c>
      <c r="I20" s="31">
        <f t="shared" si="5"/>
        <v>13</v>
      </c>
      <c r="J20" s="147" t="s">
        <v>1677</v>
      </c>
      <c r="K20" s="31">
        <f t="shared" si="6"/>
        <v>15</v>
      </c>
      <c r="L20" s="32">
        <f t="shared" si="7"/>
        <v>0.4642857142857143</v>
      </c>
      <c r="M20" s="70" t="s">
        <v>2287</v>
      </c>
      <c r="N20" s="70" t="s">
        <v>2287</v>
      </c>
      <c r="O20" s="70" t="s">
        <v>2287</v>
      </c>
      <c r="P20" s="70" t="s">
        <v>2287</v>
      </c>
      <c r="Q20" s="70" t="s">
        <v>2287</v>
      </c>
      <c r="R20" s="70" t="s">
        <v>2287</v>
      </c>
      <c r="S20" s="70" t="s">
        <v>2287</v>
      </c>
      <c r="T20" s="70"/>
      <c r="U20" s="70" t="s">
        <v>2287</v>
      </c>
      <c r="V20" s="70" t="s">
        <v>2287</v>
      </c>
      <c r="W20" s="70"/>
      <c r="X20" s="70" t="s">
        <v>2287</v>
      </c>
      <c r="Y20" s="70" t="s">
        <v>2287</v>
      </c>
      <c r="Z20" s="71" t="s">
        <v>2287</v>
      </c>
      <c r="AA20" s="70" t="s">
        <v>2287</v>
      </c>
      <c r="AB20" s="70" t="s">
        <v>2287</v>
      </c>
      <c r="AC20" s="70" t="s">
        <v>2287</v>
      </c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1571</v>
      </c>
      <c r="C21" s="73" t="s">
        <v>1062</v>
      </c>
      <c r="D21" s="73" t="s">
        <v>1572</v>
      </c>
      <c r="E21" s="85" t="s">
        <v>73</v>
      </c>
      <c r="F21" s="85" t="s">
        <v>1301</v>
      </c>
      <c r="G21" s="85"/>
      <c r="H21" s="85" t="s">
        <v>1573</v>
      </c>
      <c r="I21" s="31">
        <f t="shared" si="5"/>
        <v>28</v>
      </c>
      <c r="J21" s="147" t="s">
        <v>1678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1679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27</v>
      </c>
      <c r="J23" s="147" t="s">
        <v>1680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2287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27</v>
      </c>
      <c r="J24" s="147" t="s">
        <v>1681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2287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27</v>
      </c>
      <c r="J25" s="147" t="s">
        <v>1682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2287</v>
      </c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27</v>
      </c>
      <c r="J26" s="147" t="s">
        <v>1683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2287</v>
      </c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27</v>
      </c>
      <c r="J27" s="147" t="s">
        <v>1684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2287</v>
      </c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1685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1686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26</v>
      </c>
      <c r="J30" s="147" t="s">
        <v>1687</v>
      </c>
      <c r="K30" s="142">
        <f t="shared" si="6"/>
        <v>2</v>
      </c>
      <c r="L30" s="143">
        <f t="shared" si="7"/>
        <v>0.9285714285714286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2287</v>
      </c>
      <c r="AC30" s="70" t="s">
        <v>2287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1194</v>
      </c>
      <c r="B31" s="85" t="s">
        <v>1596</v>
      </c>
      <c r="C31" s="85" t="s">
        <v>1063</v>
      </c>
      <c r="D31" s="73" t="s">
        <v>1599</v>
      </c>
      <c r="E31" s="85" t="s">
        <v>19</v>
      </c>
      <c r="F31" s="85" t="s">
        <v>1301</v>
      </c>
      <c r="G31" s="85"/>
      <c r="H31" s="85" t="s">
        <v>1600</v>
      </c>
      <c r="I31" s="142">
        <f t="shared" si="5"/>
        <v>26</v>
      </c>
      <c r="J31" s="87" t="s">
        <v>2159</v>
      </c>
      <c r="K31" s="142">
        <f t="shared" si="6"/>
        <v>2</v>
      </c>
      <c r="L31" s="143">
        <f t="shared" si="7"/>
        <v>0.9285714285714286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2287</v>
      </c>
      <c r="AC31" s="70" t="s">
        <v>2287</v>
      </c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1194</v>
      </c>
      <c r="B32" s="85" t="s">
        <v>1597</v>
      </c>
      <c r="C32" s="85" t="s">
        <v>1063</v>
      </c>
      <c r="D32" s="73" t="s">
        <v>1603</v>
      </c>
      <c r="E32" s="85" t="s">
        <v>73</v>
      </c>
      <c r="F32" s="85" t="s">
        <v>1301</v>
      </c>
      <c r="G32" s="85"/>
      <c r="H32" s="85" t="s">
        <v>1601</v>
      </c>
      <c r="I32" s="142">
        <f t="shared" si="5"/>
        <v>26</v>
      </c>
      <c r="J32" s="87" t="s">
        <v>2160</v>
      </c>
      <c r="K32" s="142">
        <f t="shared" si="6"/>
        <v>2</v>
      </c>
      <c r="L32" s="143">
        <f t="shared" si="7"/>
        <v>0.9285714285714286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2287</v>
      </c>
      <c r="AC32" s="70" t="s">
        <v>2287</v>
      </c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1194</v>
      </c>
      <c r="B33" s="85" t="s">
        <v>1598</v>
      </c>
      <c r="C33" s="85" t="s">
        <v>1063</v>
      </c>
      <c r="D33" s="73" t="s">
        <v>1603</v>
      </c>
      <c r="E33" s="85" t="s">
        <v>73</v>
      </c>
      <c r="F33" s="85" t="s">
        <v>1301</v>
      </c>
      <c r="G33" s="85"/>
      <c r="H33" s="85" t="s">
        <v>1602</v>
      </c>
      <c r="I33" s="142">
        <f t="shared" si="5"/>
        <v>26</v>
      </c>
      <c r="J33" s="87" t="s">
        <v>2161</v>
      </c>
      <c r="K33" s="142">
        <f t="shared" si="6"/>
        <v>2</v>
      </c>
      <c r="L33" s="143">
        <f t="shared" si="7"/>
        <v>0.9285714285714286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2287</v>
      </c>
      <c r="AC33" s="70" t="s">
        <v>2287</v>
      </c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2157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12</v>
      </c>
      <c r="J34" s="147" t="s">
        <v>1688</v>
      </c>
      <c r="K34" s="134">
        <f t="shared" si="6"/>
        <v>16</v>
      </c>
      <c r="L34" s="135">
        <f t="shared" si="7"/>
        <v>0.42857142857142855</v>
      </c>
      <c r="M34" s="136" t="s">
        <v>2287</v>
      </c>
      <c r="N34" s="136" t="s">
        <v>2287</v>
      </c>
      <c r="O34" s="136" t="s">
        <v>2287</v>
      </c>
      <c r="P34" s="136" t="s">
        <v>2287</v>
      </c>
      <c r="Q34" s="136" t="s">
        <v>2287</v>
      </c>
      <c r="R34" s="136" t="s">
        <v>2287</v>
      </c>
      <c r="S34" s="136" t="s">
        <v>2287</v>
      </c>
      <c r="T34" s="136" t="s">
        <v>2287</v>
      </c>
      <c r="U34" s="136" t="s">
        <v>2287</v>
      </c>
      <c r="V34" s="136" t="s">
        <v>2287</v>
      </c>
      <c r="W34" s="136"/>
      <c r="X34" s="136" t="s">
        <v>2287</v>
      </c>
      <c r="Y34" s="136" t="s">
        <v>2287</v>
      </c>
      <c r="Z34" s="136" t="s">
        <v>2287</v>
      </c>
      <c r="AA34" s="136" t="s">
        <v>2287</v>
      </c>
      <c r="AB34" s="136" t="s">
        <v>2287</v>
      </c>
      <c r="AC34" s="136" t="s">
        <v>2287</v>
      </c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2157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26</v>
      </c>
      <c r="J35" s="87" t="s">
        <v>2162</v>
      </c>
      <c r="K35" s="142">
        <f t="shared" si="6"/>
        <v>2</v>
      </c>
      <c r="L35" s="143">
        <f t="shared" si="7"/>
        <v>0.9285714285714286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2287</v>
      </c>
      <c r="Y35" s="70"/>
      <c r="Z35" s="70"/>
      <c r="AA35" s="70"/>
      <c r="AB35" s="70" t="s">
        <v>2287</v>
      </c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2157</v>
      </c>
      <c r="B36" s="85" t="s">
        <v>2153</v>
      </c>
      <c r="C36" s="73" t="s">
        <v>1063</v>
      </c>
      <c r="D36" s="73" t="s">
        <v>2154</v>
      </c>
      <c r="E36" s="85" t="s">
        <v>19</v>
      </c>
      <c r="F36" s="85" t="s">
        <v>1301</v>
      </c>
      <c r="G36" s="85"/>
      <c r="H36" s="85" t="s">
        <v>2155</v>
      </c>
      <c r="I36" s="142">
        <f t="shared" si="5"/>
        <v>13</v>
      </c>
      <c r="J36" s="87" t="s">
        <v>2156</v>
      </c>
      <c r="K36" s="142">
        <f t="shared" si="6"/>
        <v>15</v>
      </c>
      <c r="L36" s="143">
        <f t="shared" si="7"/>
        <v>0.4642857142857143</v>
      </c>
      <c r="M36" s="70" t="s">
        <v>2287</v>
      </c>
      <c r="N36" s="70" t="s">
        <v>2287</v>
      </c>
      <c r="O36" s="70" t="s">
        <v>2287</v>
      </c>
      <c r="P36" s="70" t="s">
        <v>2287</v>
      </c>
      <c r="Q36" s="70" t="s">
        <v>2287</v>
      </c>
      <c r="R36" s="70" t="s">
        <v>2287</v>
      </c>
      <c r="S36" s="70" t="s">
        <v>2287</v>
      </c>
      <c r="T36" s="70" t="s">
        <v>2287</v>
      </c>
      <c r="U36" s="70" t="s">
        <v>2287</v>
      </c>
      <c r="V36" s="70" t="s">
        <v>2287</v>
      </c>
      <c r="W36" s="70"/>
      <c r="X36" s="70" t="s">
        <v>2287</v>
      </c>
      <c r="Y36" s="70" t="s">
        <v>2287</v>
      </c>
      <c r="Z36" s="70" t="s">
        <v>2287</v>
      </c>
      <c r="AA36" s="70" t="s">
        <v>2287</v>
      </c>
      <c r="AB36" s="70"/>
      <c r="AC36" s="70" t="s">
        <v>2287</v>
      </c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2163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1689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1690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1458</v>
      </c>
      <c r="B40" s="30" t="s">
        <v>1638</v>
      </c>
      <c r="C40" t="s">
        <v>1063</v>
      </c>
      <c r="D40" t="s">
        <v>1640</v>
      </c>
      <c r="E40" s="30" t="s">
        <v>73</v>
      </c>
      <c r="F40" s="30" t="s">
        <v>28</v>
      </c>
      <c r="G40" s="30"/>
      <c r="H40" s="85" t="s">
        <v>1641</v>
      </c>
      <c r="I40" s="31">
        <f t="shared" si="5"/>
        <v>26</v>
      </c>
      <c r="J40" s="87" t="s">
        <v>2164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2287</v>
      </c>
      <c r="Y40" s="70" t="s">
        <v>2287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1458</v>
      </c>
      <c r="B41" s="30" t="s">
        <v>1639</v>
      </c>
      <c r="C41" t="s">
        <v>1063</v>
      </c>
      <c r="D41" t="s">
        <v>1640</v>
      </c>
      <c r="E41" s="30" t="s">
        <v>73</v>
      </c>
      <c r="F41" s="30" t="s">
        <v>28</v>
      </c>
      <c r="G41" s="30"/>
      <c r="H41" s="85" t="s">
        <v>1642</v>
      </c>
      <c r="I41" s="31">
        <f t="shared" si="5"/>
        <v>26</v>
      </c>
      <c r="J41" s="87" t="s">
        <v>2189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2287</v>
      </c>
      <c r="Y41" s="70" t="s">
        <v>2287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1458</v>
      </c>
      <c r="B42" s="30" t="s">
        <v>1646</v>
      </c>
      <c r="C42" t="s">
        <v>1063</v>
      </c>
      <c r="D42" t="s">
        <v>1640</v>
      </c>
      <c r="E42" s="30" t="s">
        <v>19</v>
      </c>
      <c r="F42" s="30" t="s">
        <v>28</v>
      </c>
      <c r="G42" s="30"/>
      <c r="H42" s="85" t="s">
        <v>1644</v>
      </c>
      <c r="I42" s="31">
        <f t="shared" si="5"/>
        <v>26</v>
      </c>
      <c r="J42" s="87" t="s">
        <v>2190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2287</v>
      </c>
      <c r="Y42" s="70" t="s">
        <v>2287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1458</v>
      </c>
      <c r="B43" s="30" t="s">
        <v>1647</v>
      </c>
      <c r="C43" t="s">
        <v>1063</v>
      </c>
      <c r="D43" t="s">
        <v>1648</v>
      </c>
      <c r="E43" s="30" t="s">
        <v>19</v>
      </c>
      <c r="F43" s="30" t="s">
        <v>28</v>
      </c>
      <c r="G43" s="30"/>
      <c r="H43" s="85" t="s">
        <v>1649</v>
      </c>
      <c r="I43" s="31">
        <f t="shared" si="5"/>
        <v>28</v>
      </c>
      <c r="J43" s="87" t="s">
        <v>2191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1458</v>
      </c>
      <c r="B44" s="30" t="s">
        <v>2244</v>
      </c>
      <c r="C44" t="s">
        <v>1063</v>
      </c>
      <c r="D44" t="s">
        <v>2249</v>
      </c>
      <c r="E44" s="30" t="s">
        <v>73</v>
      </c>
      <c r="F44" s="30" t="s">
        <v>28</v>
      </c>
      <c r="G44" s="30"/>
      <c r="H44" s="85" t="s">
        <v>2245</v>
      </c>
      <c r="I44" s="31">
        <f t="shared" si="5"/>
        <v>28</v>
      </c>
      <c r="J44" s="153" t="s">
        <v>2246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1458</v>
      </c>
      <c r="B45" s="30" t="s">
        <v>2247</v>
      </c>
      <c r="C45" t="s">
        <v>1063</v>
      </c>
      <c r="D45" t="s">
        <v>2248</v>
      </c>
      <c r="E45" s="30" t="s">
        <v>73</v>
      </c>
      <c r="F45" s="30" t="s">
        <v>28</v>
      </c>
      <c r="G45" s="30"/>
      <c r="H45" s="85" t="s">
        <v>2250</v>
      </c>
      <c r="I45" s="31">
        <f t="shared" si="5"/>
        <v>28</v>
      </c>
      <c r="J45" s="153" t="s">
        <v>2251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27</v>
      </c>
      <c r="J46" s="147" t="s">
        <v>1691</v>
      </c>
      <c r="K46" s="31">
        <f t="shared" si="6"/>
        <v>1</v>
      </c>
      <c r="L46" s="32">
        <f t="shared" si="7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2287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27</v>
      </c>
      <c r="J47" s="147" t="s">
        <v>1692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2287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1693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1694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27</v>
      </c>
      <c r="J50" s="147" t="s">
        <v>1695</v>
      </c>
      <c r="K50" s="31">
        <f t="shared" si="6"/>
        <v>1</v>
      </c>
      <c r="L50" s="32">
        <f t="shared" si="7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2287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26</v>
      </c>
      <c r="J52" s="147" t="s">
        <v>1696</v>
      </c>
      <c r="K52" s="31">
        <f t="shared" si="6"/>
        <v>2</v>
      </c>
      <c r="L52" s="32">
        <f t="shared" si="7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2287</v>
      </c>
      <c r="V52" s="70"/>
      <c r="W52" s="70"/>
      <c r="X52" s="70"/>
      <c r="Y52" s="70"/>
      <c r="Z52" s="70"/>
      <c r="AA52" s="70"/>
      <c r="AB52" s="70"/>
      <c r="AC52" s="70" t="s">
        <v>2287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27</v>
      </c>
      <c r="J53" s="147" t="s">
        <v>1697</v>
      </c>
      <c r="K53" s="31">
        <f t="shared" si="6"/>
        <v>1</v>
      </c>
      <c r="L53" s="32">
        <f t="shared" si="7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2287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1698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1699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1700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1701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1702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1703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1704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1705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23</v>
      </c>
      <c r="J62" s="147" t="s">
        <v>1706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2287</v>
      </c>
      <c r="W62" s="70"/>
      <c r="X62" s="70" t="s">
        <v>2287</v>
      </c>
      <c r="Y62" s="70" t="s">
        <v>2287</v>
      </c>
      <c r="Z62" s="70" t="s">
        <v>2287</v>
      </c>
      <c r="AA62" s="70" t="s">
        <v>2287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1707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1708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1709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1710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1711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27</v>
      </c>
      <c r="J69" s="147" t="s">
        <v>1712</v>
      </c>
      <c r="K69" s="31">
        <f t="shared" si="6"/>
        <v>1</v>
      </c>
      <c r="L69" s="32">
        <f t="shared" si="7"/>
        <v>0.9642857142857143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2287</v>
      </c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27</v>
      </c>
      <c r="J70" s="147" t="s">
        <v>1713</v>
      </c>
      <c r="K70" s="31">
        <f t="shared" si="6"/>
        <v>1</v>
      </c>
      <c r="L70" s="32">
        <f t="shared" si="7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2287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1714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1715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1716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1717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2287</v>
      </c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1718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1719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1720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1721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27</v>
      </c>
      <c r="J79" s="147" t="s">
        <v>1722</v>
      </c>
      <c r="K79" s="31">
        <f t="shared" si="6"/>
        <v>1</v>
      </c>
      <c r="L79" s="32">
        <f t="shared" si="7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2287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27</v>
      </c>
      <c r="J80" s="147" t="s">
        <v>1723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2287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7" t="s">
        <v>1724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2287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27</v>
      </c>
      <c r="J82" s="147" t="s">
        <v>1725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2287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27</v>
      </c>
      <c r="J83" s="147" t="s">
        <v>1726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2287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1727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1728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1729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1730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1731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13</v>
      </c>
      <c r="J89" s="147" t="s">
        <v>1732</v>
      </c>
      <c r="K89" s="31">
        <f t="shared" si="9"/>
        <v>15</v>
      </c>
      <c r="L89" s="32">
        <f t="shared" si="10"/>
        <v>0.4642857142857143</v>
      </c>
      <c r="M89" s="70" t="s">
        <v>2287</v>
      </c>
      <c r="N89" s="70" t="s">
        <v>2287</v>
      </c>
      <c r="O89" s="70" t="s">
        <v>2287</v>
      </c>
      <c r="P89" s="70" t="s">
        <v>2287</v>
      </c>
      <c r="Q89" s="70" t="s">
        <v>2287</v>
      </c>
      <c r="R89" s="70" t="s">
        <v>2287</v>
      </c>
      <c r="S89" s="70" t="s">
        <v>2287</v>
      </c>
      <c r="T89" s="70"/>
      <c r="U89" s="70" t="s">
        <v>2287</v>
      </c>
      <c r="V89" s="70" t="s">
        <v>2287</v>
      </c>
      <c r="W89" s="70"/>
      <c r="X89" s="70" t="s">
        <v>2287</v>
      </c>
      <c r="Y89" s="70" t="s">
        <v>2287</v>
      </c>
      <c r="Z89" s="70" t="s">
        <v>2287</v>
      </c>
      <c r="AA89" s="70" t="s">
        <v>2287</v>
      </c>
      <c r="AB89" s="70" t="s">
        <v>2287</v>
      </c>
      <c r="AC89" s="70" t="s">
        <v>2287</v>
      </c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27</v>
      </c>
      <c r="J90" s="147" t="s">
        <v>1733</v>
      </c>
      <c r="K90" s="31">
        <f t="shared" si="9"/>
        <v>1</v>
      </c>
      <c r="L90" s="32">
        <f t="shared" si="10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2287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27</v>
      </c>
      <c r="J91" s="147" t="s">
        <v>1734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2287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1735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2287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1736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27</v>
      </c>
      <c r="J94" s="150" t="s">
        <v>1737</v>
      </c>
      <c r="K94" s="31">
        <f t="shared" si="9"/>
        <v>1</v>
      </c>
      <c r="L94" s="32">
        <f t="shared" si="10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2287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25</v>
      </c>
      <c r="J95" s="147" t="s">
        <v>1738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2287</v>
      </c>
      <c r="U95" s="70"/>
      <c r="V95" s="70"/>
      <c r="W95" s="70"/>
      <c r="X95" s="70" t="s">
        <v>2287</v>
      </c>
      <c r="Y95" s="70"/>
      <c r="Z95" s="70"/>
      <c r="AA95" s="70" t="s">
        <v>2287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1739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1740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24</v>
      </c>
      <c r="J98" s="147" t="s">
        <v>1741</v>
      </c>
      <c r="K98" s="142">
        <f t="shared" si="9"/>
        <v>4</v>
      </c>
      <c r="L98" s="143">
        <f t="shared" si="10"/>
        <v>0.8571428571428571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2287</v>
      </c>
      <c r="AA98" s="70" t="s">
        <v>2287</v>
      </c>
      <c r="AB98" s="70" t="s">
        <v>2287</v>
      </c>
      <c r="AC98" s="70" t="s">
        <v>2287</v>
      </c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13</v>
      </c>
      <c r="J99" s="147" t="s">
        <v>1742</v>
      </c>
      <c r="K99" s="142">
        <f t="shared" si="9"/>
        <v>15</v>
      </c>
      <c r="L99" s="143">
        <f t="shared" si="10"/>
        <v>0.4642857142857143</v>
      </c>
      <c r="M99" s="70" t="s">
        <v>2287</v>
      </c>
      <c r="N99" s="70" t="s">
        <v>2287</v>
      </c>
      <c r="O99" s="70" t="s">
        <v>2287</v>
      </c>
      <c r="P99" s="70" t="s">
        <v>2287</v>
      </c>
      <c r="Q99" s="70" t="s">
        <v>2287</v>
      </c>
      <c r="R99" s="70" t="s">
        <v>2287</v>
      </c>
      <c r="S99" s="70" t="s">
        <v>2287</v>
      </c>
      <c r="T99" s="70" t="s">
        <v>2287</v>
      </c>
      <c r="U99" s="70"/>
      <c r="V99" s="70" t="s">
        <v>2287</v>
      </c>
      <c r="W99" s="70"/>
      <c r="X99" s="70" t="s">
        <v>2287</v>
      </c>
      <c r="Y99" s="70" t="s">
        <v>2287</v>
      </c>
      <c r="Z99" s="70" t="s">
        <v>2287</v>
      </c>
      <c r="AA99" s="70" t="s">
        <v>2287</v>
      </c>
      <c r="AB99" s="70" t="s">
        <v>2287</v>
      </c>
      <c r="AC99" s="70" t="s">
        <v>2287</v>
      </c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1743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1744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1745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27</v>
      </c>
      <c r="J103" s="147" t="s">
        <v>1746</v>
      </c>
      <c r="K103" s="31">
        <f t="shared" si="9"/>
        <v>1</v>
      </c>
      <c r="L103" s="32">
        <f t="shared" si="10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2287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1747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1748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1749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1750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27</v>
      </c>
      <c r="J108" s="147" t="s">
        <v>1751</v>
      </c>
      <c r="K108" s="31">
        <f t="shared" si="9"/>
        <v>1</v>
      </c>
      <c r="L108" s="32">
        <f t="shared" si="10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2287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27</v>
      </c>
      <c r="J109" s="147" t="s">
        <v>1752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2287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1753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1753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16</v>
      </c>
      <c r="J112" s="147" t="s">
        <v>1755</v>
      </c>
      <c r="K112" s="142">
        <f t="shared" si="9"/>
        <v>12</v>
      </c>
      <c r="L112" s="143">
        <f t="shared" si="10"/>
        <v>0.5714285714285714</v>
      </c>
      <c r="M112" s="70" t="s">
        <v>2287</v>
      </c>
      <c r="N112" s="70" t="s">
        <v>2287</v>
      </c>
      <c r="O112" s="70" t="s">
        <v>2287</v>
      </c>
      <c r="P112" s="70" t="s">
        <v>2287</v>
      </c>
      <c r="Q112" s="70" t="s">
        <v>2287</v>
      </c>
      <c r="R112" s="70" t="s">
        <v>2287</v>
      </c>
      <c r="S112" s="70" t="s">
        <v>2287</v>
      </c>
      <c r="T112" s="70" t="s">
        <v>2287</v>
      </c>
      <c r="U112" s="70"/>
      <c r="V112" s="70"/>
      <c r="W112" s="70"/>
      <c r="X112" s="70"/>
      <c r="Y112" s="70"/>
      <c r="Z112" s="70" t="s">
        <v>2287</v>
      </c>
      <c r="AA112" s="70" t="s">
        <v>2287</v>
      </c>
      <c r="AB112" s="70" t="s">
        <v>2287</v>
      </c>
      <c r="AC112" s="70" t="s">
        <v>2287</v>
      </c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16</v>
      </c>
      <c r="J113" s="147" t="s">
        <v>1754</v>
      </c>
      <c r="K113" s="142">
        <f t="shared" si="9"/>
        <v>12</v>
      </c>
      <c r="L113" s="143">
        <f t="shared" si="10"/>
        <v>0.5714285714285714</v>
      </c>
      <c r="M113" s="70" t="s">
        <v>2287</v>
      </c>
      <c r="N113" s="70" t="s">
        <v>2287</v>
      </c>
      <c r="O113" s="70" t="s">
        <v>2287</v>
      </c>
      <c r="P113" s="70" t="s">
        <v>2287</v>
      </c>
      <c r="Q113" s="70" t="s">
        <v>2287</v>
      </c>
      <c r="R113" s="70" t="s">
        <v>2287</v>
      </c>
      <c r="S113" s="70" t="s">
        <v>2287</v>
      </c>
      <c r="T113" s="70" t="s">
        <v>2287</v>
      </c>
      <c r="U113" s="70"/>
      <c r="V113" s="70"/>
      <c r="W113" s="70"/>
      <c r="X113" s="70"/>
      <c r="Y113" s="70"/>
      <c r="Z113" s="70" t="s">
        <v>2287</v>
      </c>
      <c r="AA113" s="70" t="s">
        <v>2287</v>
      </c>
      <c r="AB113" s="70" t="s">
        <v>2287</v>
      </c>
      <c r="AC113" s="70" t="s">
        <v>2287</v>
      </c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1756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2287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1757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2287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1758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1759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1760</v>
      </c>
      <c r="K118" s="31">
        <f t="shared" si="9"/>
        <v>2</v>
      </c>
      <c r="L118" s="32">
        <f t="shared" si="10"/>
        <v>0.9285714285714286</v>
      </c>
      <c r="M118" s="70" t="s">
        <v>2287</v>
      </c>
      <c r="N118" s="70" t="s">
        <v>2287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1761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12</v>
      </c>
      <c r="J120" s="147" t="s">
        <v>1762</v>
      </c>
      <c r="K120" s="142">
        <f t="shared" si="9"/>
        <v>16</v>
      </c>
      <c r="L120" s="143">
        <f t="shared" si="10"/>
        <v>0.42857142857142855</v>
      </c>
      <c r="M120" s="70" t="s">
        <v>2287</v>
      </c>
      <c r="N120" s="70" t="s">
        <v>2287</v>
      </c>
      <c r="O120" s="70" t="s">
        <v>2287</v>
      </c>
      <c r="P120" s="70" t="s">
        <v>2287</v>
      </c>
      <c r="Q120" s="70" t="s">
        <v>2287</v>
      </c>
      <c r="R120" s="70" t="s">
        <v>2287</v>
      </c>
      <c r="S120" s="70" t="s">
        <v>2287</v>
      </c>
      <c r="T120" s="70" t="s">
        <v>2287</v>
      </c>
      <c r="U120" s="70" t="s">
        <v>2287</v>
      </c>
      <c r="V120" s="70" t="s">
        <v>2287</v>
      </c>
      <c r="W120" s="70"/>
      <c r="X120" s="70" t="s">
        <v>2287</v>
      </c>
      <c r="Y120" s="70" t="s">
        <v>2287</v>
      </c>
      <c r="Z120" s="70" t="s">
        <v>2287</v>
      </c>
      <c r="AA120" s="70" t="s">
        <v>2287</v>
      </c>
      <c r="AB120" s="70" t="s">
        <v>2287</v>
      </c>
      <c r="AC120" s="70" t="s">
        <v>2287</v>
      </c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1763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1764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1765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27</v>
      </c>
      <c r="J124" s="147" t="s">
        <v>1766</v>
      </c>
      <c r="K124" s="31">
        <f t="shared" si="9"/>
        <v>1</v>
      </c>
      <c r="L124" s="32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2287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27</v>
      </c>
      <c r="J125" s="147" t="s">
        <v>1767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2287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1768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23</v>
      </c>
      <c r="J127" s="148" t="s">
        <v>1769</v>
      </c>
      <c r="K127" s="142">
        <f t="shared" si="9"/>
        <v>5</v>
      </c>
      <c r="L127" s="143">
        <f t="shared" si="10"/>
        <v>0.8214285714285714</v>
      </c>
      <c r="M127" s="70"/>
      <c r="N127" s="70" t="s">
        <v>2287</v>
      </c>
      <c r="O127" s="70"/>
      <c r="P127" s="70"/>
      <c r="Q127" s="70" t="s">
        <v>2287</v>
      </c>
      <c r="R127" s="70" t="s">
        <v>2287</v>
      </c>
      <c r="S127" s="70" t="s">
        <v>2287</v>
      </c>
      <c r="T127" s="70"/>
      <c r="U127" s="70"/>
      <c r="V127" s="70"/>
      <c r="W127" s="70"/>
      <c r="X127" s="70"/>
      <c r="Y127" s="70" t="s">
        <v>2287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1770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1771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19</v>
      </c>
      <c r="J130" s="147" t="s">
        <v>1772</v>
      </c>
      <c r="K130" s="31">
        <f t="shared" si="9"/>
        <v>9</v>
      </c>
      <c r="L130" s="32">
        <f t="shared" si="10"/>
        <v>0.6785714285714286</v>
      </c>
      <c r="M130" s="70" t="s">
        <v>2287</v>
      </c>
      <c r="N130" s="70" t="s">
        <v>2287</v>
      </c>
      <c r="O130" s="70"/>
      <c r="P130" s="70"/>
      <c r="Q130" s="70" t="s">
        <v>2287</v>
      </c>
      <c r="R130" s="70" t="s">
        <v>2287</v>
      </c>
      <c r="S130" s="70"/>
      <c r="T130" s="70"/>
      <c r="U130" s="70" t="s">
        <v>2287</v>
      </c>
      <c r="V130" s="70" t="s">
        <v>2287</v>
      </c>
      <c r="W130" s="70"/>
      <c r="X130" s="70"/>
      <c r="Y130" s="70"/>
      <c r="Z130" s="70" t="s">
        <v>2287</v>
      </c>
      <c r="AA130" s="70"/>
      <c r="AB130" s="70" t="s">
        <v>2287</v>
      </c>
      <c r="AC130" s="70" t="s">
        <v>2287</v>
      </c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22</v>
      </c>
      <c r="J131" s="147" t="s">
        <v>1773</v>
      </c>
      <c r="K131" s="31">
        <f t="shared" si="9"/>
        <v>6</v>
      </c>
      <c r="L131" s="32">
        <f t="shared" si="10"/>
        <v>0.7857142857142857</v>
      </c>
      <c r="M131" s="70" t="s">
        <v>2287</v>
      </c>
      <c r="N131" s="70"/>
      <c r="O131" s="70"/>
      <c r="P131" s="70"/>
      <c r="Q131" s="70"/>
      <c r="R131" s="70"/>
      <c r="S131" s="70" t="s">
        <v>2287</v>
      </c>
      <c r="T131" s="70" t="s">
        <v>2287</v>
      </c>
      <c r="U131" s="70" t="s">
        <v>2287</v>
      </c>
      <c r="V131" s="70" t="s">
        <v>2287</v>
      </c>
      <c r="W131" s="70"/>
      <c r="X131" s="70" t="s">
        <v>2287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1774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1775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1776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27</v>
      </c>
      <c r="J135" s="147" t="s">
        <v>1777</v>
      </c>
      <c r="K135" s="142">
        <f t="shared" si="9"/>
        <v>1</v>
      </c>
      <c r="L135" s="143">
        <f t="shared" si="10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2287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27</v>
      </c>
      <c r="J136" s="147" t="s">
        <v>1778</v>
      </c>
      <c r="K136" s="142">
        <f t="shared" si="9"/>
        <v>1</v>
      </c>
      <c r="L136" s="143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2287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1779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27</v>
      </c>
      <c r="J138" s="147" t="s">
        <v>1780</v>
      </c>
      <c r="K138" s="142">
        <f t="shared" si="9"/>
        <v>1</v>
      </c>
      <c r="L138" s="143">
        <f t="shared" si="10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2287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1651</v>
      </c>
      <c r="C139" s="30" t="s">
        <v>1062</v>
      </c>
      <c r="D139" t="s">
        <v>1652</v>
      </c>
      <c r="E139" s="85" t="s">
        <v>19</v>
      </c>
      <c r="F139" s="85" t="s">
        <v>28</v>
      </c>
      <c r="G139" s="85"/>
      <c r="H139" s="85" t="s">
        <v>2124</v>
      </c>
      <c r="I139" s="142">
        <f t="shared" si="8"/>
        <v>28</v>
      </c>
      <c r="J139" s="87" t="s">
        <v>2192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1565</v>
      </c>
      <c r="C140" s="85" t="s">
        <v>1062</v>
      </c>
      <c r="D140" s="73" t="s">
        <v>1567</v>
      </c>
      <c r="E140" s="85" t="s">
        <v>19</v>
      </c>
      <c r="F140" s="85" t="s">
        <v>1301</v>
      </c>
      <c r="G140" s="85"/>
      <c r="H140" s="85" t="s">
        <v>1569</v>
      </c>
      <c r="I140" s="142">
        <f t="shared" si="8"/>
        <v>27</v>
      </c>
      <c r="J140" s="147" t="s">
        <v>1781</v>
      </c>
      <c r="K140" s="142">
        <f t="shared" si="9"/>
        <v>1</v>
      </c>
      <c r="L140" s="143">
        <f t="shared" si="10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2287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1566</v>
      </c>
      <c r="C141" s="85" t="s">
        <v>1062</v>
      </c>
      <c r="D141" s="73" t="s">
        <v>1568</v>
      </c>
      <c r="E141" s="85" t="s">
        <v>19</v>
      </c>
      <c r="F141" s="85" t="s">
        <v>1301</v>
      </c>
      <c r="G141" s="85"/>
      <c r="H141" s="85" t="s">
        <v>1570</v>
      </c>
      <c r="I141" s="142">
        <f t="shared" si="8"/>
        <v>28</v>
      </c>
      <c r="J141" s="147" t="s">
        <v>1782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2131</v>
      </c>
      <c r="C142" s="85" t="s">
        <v>1062</v>
      </c>
      <c r="D142" s="73" t="s">
        <v>2132</v>
      </c>
      <c r="E142" s="85" t="s">
        <v>19</v>
      </c>
      <c r="F142" s="85" t="s">
        <v>1301</v>
      </c>
      <c r="G142" s="85"/>
      <c r="H142" s="85" t="s">
        <v>2193</v>
      </c>
      <c r="I142" s="142">
        <f t="shared" si="8"/>
        <v>28</v>
      </c>
      <c r="J142" s="147" t="s">
        <v>2194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2221</v>
      </c>
      <c r="C143" s="85" t="s">
        <v>1062</v>
      </c>
      <c r="D143" s="73" t="s">
        <v>2222</v>
      </c>
      <c r="E143" s="85" t="s">
        <v>19</v>
      </c>
      <c r="F143" s="85" t="s">
        <v>1301</v>
      </c>
      <c r="G143" s="85"/>
      <c r="H143" s="85" t="s">
        <v>2223</v>
      </c>
      <c r="I143" s="142">
        <f t="shared" si="8"/>
        <v>27</v>
      </c>
      <c r="J143" s="147" t="s">
        <v>2224</v>
      </c>
      <c r="K143" s="142">
        <f t="shared" si="9"/>
        <v>1</v>
      </c>
      <c r="L143" s="143">
        <f t="shared" si="10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2287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2259</v>
      </c>
      <c r="C144" s="85" t="s">
        <v>1062</v>
      </c>
      <c r="D144" s="73" t="s">
        <v>2260</v>
      </c>
      <c r="E144" s="85" t="s">
        <v>19</v>
      </c>
      <c r="F144" s="30" t="s">
        <v>28</v>
      </c>
      <c r="G144" s="85"/>
      <c r="H144" s="85" t="s">
        <v>2261</v>
      </c>
      <c r="I144" s="142">
        <f t="shared" si="8"/>
        <v>28</v>
      </c>
      <c r="J144" s="147" t="s">
        <v>2262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1783</v>
      </c>
      <c r="K145" s="31">
        <f t="shared" si="9"/>
        <v>6</v>
      </c>
      <c r="L145" s="32">
        <f t="shared" si="10"/>
        <v>0.7857142857142857</v>
      </c>
      <c r="M145" s="70" t="s">
        <v>2287</v>
      </c>
      <c r="N145" s="70" t="s">
        <v>2287</v>
      </c>
      <c r="O145" s="70" t="s">
        <v>2287</v>
      </c>
      <c r="P145" s="70" t="s">
        <v>2287</v>
      </c>
      <c r="Q145" s="70" t="s">
        <v>2287</v>
      </c>
      <c r="R145" s="70" t="s">
        <v>2287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27</v>
      </c>
      <c r="J147" s="147" t="s">
        <v>1784</v>
      </c>
      <c r="K147" s="31">
        <f t="shared" si="9"/>
        <v>1</v>
      </c>
      <c r="L147" s="32">
        <f t="shared" si="10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2287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1785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2210</v>
      </c>
      <c r="I149" s="31">
        <f t="shared" si="8"/>
        <v>28</v>
      </c>
      <c r="J149" s="147" t="s">
        <v>1786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27</v>
      </c>
      <c r="J150" s="147" t="s">
        <v>1787</v>
      </c>
      <c r="K150" s="31">
        <f t="shared" si="9"/>
        <v>1</v>
      </c>
      <c r="L150" s="32">
        <f t="shared" si="10"/>
        <v>0.9642857142857143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2287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25</v>
      </c>
      <c r="J151" s="87"/>
      <c r="K151" s="31">
        <f t="shared" si="9"/>
        <v>3</v>
      </c>
      <c r="L151" s="32">
        <f t="shared" si="10"/>
        <v>0.8928571428571429</v>
      </c>
      <c r="M151" s="70"/>
      <c r="N151" s="70"/>
      <c r="O151" s="70"/>
      <c r="P151" s="70"/>
      <c r="Q151" s="70" t="s">
        <v>2287</v>
      </c>
      <c r="R151" s="70" t="s">
        <v>2287</v>
      </c>
      <c r="S151" s="70"/>
      <c r="T151" s="70"/>
      <c r="U151" s="70"/>
      <c r="V151" s="70"/>
      <c r="W151" s="70"/>
      <c r="X151" s="70"/>
      <c r="Y151" s="70"/>
      <c r="Z151" s="70"/>
      <c r="AA151" s="70" t="s">
        <v>2287</v>
      </c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1788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1789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1790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13</v>
      </c>
      <c r="J156" s="87"/>
      <c r="K156" s="31">
        <f t="shared" si="9"/>
        <v>15</v>
      </c>
      <c r="L156" s="32">
        <f t="shared" si="10"/>
        <v>0.4642857142857143</v>
      </c>
      <c r="M156" s="70" t="s">
        <v>2287</v>
      </c>
      <c r="N156" s="70" t="s">
        <v>2287</v>
      </c>
      <c r="O156" s="70" t="s">
        <v>2287</v>
      </c>
      <c r="P156" s="70"/>
      <c r="Q156" s="70" t="s">
        <v>2287</v>
      </c>
      <c r="R156" s="70" t="s">
        <v>2287</v>
      </c>
      <c r="S156" s="70" t="s">
        <v>2287</v>
      </c>
      <c r="T156" s="70" t="s">
        <v>2287</v>
      </c>
      <c r="U156" s="70" t="s">
        <v>2287</v>
      </c>
      <c r="V156" s="70" t="s">
        <v>2287</v>
      </c>
      <c r="W156" s="70"/>
      <c r="X156" s="70" t="s">
        <v>2287</v>
      </c>
      <c r="Y156" s="70" t="s">
        <v>2287</v>
      </c>
      <c r="Z156" s="70" t="s">
        <v>2287</v>
      </c>
      <c r="AA156" s="70" t="s">
        <v>2287</v>
      </c>
      <c r="AB156" s="70" t="s">
        <v>2287</v>
      </c>
      <c r="AC156" s="70" t="s">
        <v>2287</v>
      </c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13</v>
      </c>
      <c r="J157" s="87"/>
      <c r="K157" s="31">
        <f t="shared" si="9"/>
        <v>15</v>
      </c>
      <c r="L157" s="32">
        <f t="shared" si="10"/>
        <v>0.4642857142857143</v>
      </c>
      <c r="M157" s="70" t="s">
        <v>2287</v>
      </c>
      <c r="N157" s="70" t="s">
        <v>2287</v>
      </c>
      <c r="O157" s="70" t="s">
        <v>2287</v>
      </c>
      <c r="P157" s="70"/>
      <c r="Q157" s="70" t="s">
        <v>2287</v>
      </c>
      <c r="R157" s="70" t="s">
        <v>2287</v>
      </c>
      <c r="S157" s="70" t="s">
        <v>2287</v>
      </c>
      <c r="T157" s="70" t="s">
        <v>2287</v>
      </c>
      <c r="U157" s="70" t="s">
        <v>2287</v>
      </c>
      <c r="V157" s="70" t="s">
        <v>2287</v>
      </c>
      <c r="W157" s="70"/>
      <c r="X157" s="70" t="s">
        <v>2287</v>
      </c>
      <c r="Y157" s="70" t="s">
        <v>2287</v>
      </c>
      <c r="Z157" s="70" t="s">
        <v>2287</v>
      </c>
      <c r="AA157" s="70" t="s">
        <v>2287</v>
      </c>
      <c r="AB157" s="70" t="s">
        <v>2287</v>
      </c>
      <c r="AC157" s="70" t="s">
        <v>2287</v>
      </c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1791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1792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1556</v>
      </c>
      <c r="C160" s="73" t="s">
        <v>1062</v>
      </c>
      <c r="D160" s="73" t="s">
        <v>1557</v>
      </c>
      <c r="E160" s="85" t="s">
        <v>46</v>
      </c>
      <c r="F160" s="85" t="s">
        <v>1301</v>
      </c>
      <c r="G160" s="85"/>
      <c r="H160" s="85" t="s">
        <v>1558</v>
      </c>
      <c r="I160" s="31">
        <f t="shared" si="8"/>
        <v>28</v>
      </c>
      <c r="J160" s="147" t="s">
        <v>1793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2125</v>
      </c>
      <c r="C161" s="73" t="s">
        <v>1062</v>
      </c>
      <c r="D161" s="73" t="s">
        <v>2126</v>
      </c>
      <c r="E161" s="85" t="s">
        <v>46</v>
      </c>
      <c r="F161" s="85" t="s">
        <v>1301</v>
      </c>
      <c r="G161" s="85"/>
      <c r="H161" s="85" t="s">
        <v>2129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2211</v>
      </c>
      <c r="I162" s="142">
        <f t="shared" si="8"/>
        <v>28</v>
      </c>
      <c r="J162" s="147" t="s">
        <v>1794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1795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1796</v>
      </c>
      <c r="K164" s="31">
        <f t="shared" si="12"/>
        <v>6</v>
      </c>
      <c r="L164" s="32">
        <f t="shared" si="13"/>
        <v>0.7857142857142857</v>
      </c>
      <c r="M164" s="70" t="s">
        <v>2287</v>
      </c>
      <c r="N164" s="70" t="s">
        <v>2287</v>
      </c>
      <c r="O164" s="70" t="s">
        <v>2287</v>
      </c>
      <c r="P164" s="70" t="s">
        <v>2287</v>
      </c>
      <c r="Q164" s="70" t="s">
        <v>2287</v>
      </c>
      <c r="R164" s="70" t="s">
        <v>2287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1797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2287</v>
      </c>
      <c r="P165" s="70" t="s">
        <v>2287</v>
      </c>
      <c r="Q165" s="70" t="s">
        <v>2287</v>
      </c>
      <c r="R165" s="70" t="s">
        <v>2287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1798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2287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1799</v>
      </c>
      <c r="K167" s="31">
        <f t="shared" si="12"/>
        <v>4</v>
      </c>
      <c r="L167" s="32">
        <f t="shared" si="13"/>
        <v>0.8571428571428571</v>
      </c>
      <c r="M167" s="70" t="s">
        <v>2287</v>
      </c>
      <c r="N167" s="70" t="s">
        <v>2287</v>
      </c>
      <c r="O167" s="70"/>
      <c r="P167" s="70"/>
      <c r="Q167" s="70" t="s">
        <v>2287</v>
      </c>
      <c r="R167" s="70" t="s">
        <v>2287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1548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1551</v>
      </c>
      <c r="I168" s="31">
        <f t="shared" si="11"/>
        <v>14</v>
      </c>
      <c r="J168" s="147" t="s">
        <v>1800</v>
      </c>
      <c r="K168" s="31">
        <f t="shared" si="12"/>
        <v>14</v>
      </c>
      <c r="L168" s="32">
        <f t="shared" si="13"/>
        <v>0.5</v>
      </c>
      <c r="M168" s="70" t="s">
        <v>2287</v>
      </c>
      <c r="N168" s="70" t="s">
        <v>2287</v>
      </c>
      <c r="O168" s="70"/>
      <c r="P168" s="70"/>
      <c r="Q168" s="70" t="s">
        <v>2287</v>
      </c>
      <c r="R168" s="70" t="s">
        <v>2287</v>
      </c>
      <c r="S168" s="70" t="s">
        <v>2287</v>
      </c>
      <c r="T168" s="70" t="s">
        <v>2287</v>
      </c>
      <c r="U168" s="70" t="s">
        <v>2287</v>
      </c>
      <c r="V168" s="70" t="s">
        <v>2287</v>
      </c>
      <c r="W168" s="70"/>
      <c r="X168" s="70" t="s">
        <v>2287</v>
      </c>
      <c r="Y168" s="70" t="s">
        <v>2287</v>
      </c>
      <c r="Z168" s="70" t="s">
        <v>2287</v>
      </c>
      <c r="AA168" s="70" t="s">
        <v>2287</v>
      </c>
      <c r="AB168" s="70" t="s">
        <v>2287</v>
      </c>
      <c r="AC168" s="70" t="s">
        <v>2287</v>
      </c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1549</v>
      </c>
      <c r="C169" t="s">
        <v>1063</v>
      </c>
      <c r="D169" t="s">
        <v>1550</v>
      </c>
      <c r="E169" s="30" t="s">
        <v>15</v>
      </c>
      <c r="F169" s="30" t="s">
        <v>28</v>
      </c>
      <c r="G169" s="30"/>
      <c r="H169" s="30" t="s">
        <v>1552</v>
      </c>
      <c r="I169" s="31">
        <f t="shared" si="11"/>
        <v>12</v>
      </c>
      <c r="J169" s="147" t="s">
        <v>1801</v>
      </c>
      <c r="K169" s="31">
        <f t="shared" si="12"/>
        <v>16</v>
      </c>
      <c r="L169" s="32">
        <f t="shared" si="13"/>
        <v>0.42857142857142855</v>
      </c>
      <c r="M169" s="70" t="s">
        <v>2287</v>
      </c>
      <c r="N169" s="70" t="s">
        <v>2287</v>
      </c>
      <c r="O169" s="70" t="s">
        <v>2287</v>
      </c>
      <c r="P169" s="70" t="s">
        <v>2287</v>
      </c>
      <c r="Q169" s="70" t="s">
        <v>2287</v>
      </c>
      <c r="R169" s="70" t="s">
        <v>2287</v>
      </c>
      <c r="S169" s="70" t="s">
        <v>2287</v>
      </c>
      <c r="T169" s="70" t="s">
        <v>2287</v>
      </c>
      <c r="U169" s="70" t="s">
        <v>2287</v>
      </c>
      <c r="V169" s="70" t="s">
        <v>2287</v>
      </c>
      <c r="W169" s="70"/>
      <c r="X169" s="70" t="s">
        <v>2287</v>
      </c>
      <c r="Y169" s="70" t="s">
        <v>2287</v>
      </c>
      <c r="Z169" s="70" t="s">
        <v>2287</v>
      </c>
      <c r="AA169" s="70" t="s">
        <v>2287</v>
      </c>
      <c r="AB169" s="70" t="s">
        <v>2287</v>
      </c>
      <c r="AC169" s="70" t="s">
        <v>2287</v>
      </c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27</v>
      </c>
      <c r="J170" s="147" t="s">
        <v>1802</v>
      </c>
      <c r="K170" s="31">
        <f t="shared" si="12"/>
        <v>1</v>
      </c>
      <c r="L170" s="32">
        <f t="shared" si="13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2287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1803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1804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27</v>
      </c>
      <c r="J173" s="147" t="s">
        <v>1805</v>
      </c>
      <c r="K173" s="31">
        <f t="shared" si="12"/>
        <v>1</v>
      </c>
      <c r="L173" s="32">
        <f t="shared" si="13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2287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27</v>
      </c>
      <c r="J174" s="147" t="s">
        <v>1806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2287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26</v>
      </c>
      <c r="J175" s="147" t="s">
        <v>1807</v>
      </c>
      <c r="K175" s="142">
        <f t="shared" si="12"/>
        <v>2</v>
      </c>
      <c r="L175" s="143">
        <f t="shared" si="13"/>
        <v>0.9285714285714286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2287</v>
      </c>
      <c r="AC175" s="70" t="s">
        <v>2287</v>
      </c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1808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27</v>
      </c>
      <c r="J178" s="147" t="s">
        <v>1809</v>
      </c>
      <c r="K178" s="31">
        <f t="shared" si="12"/>
        <v>1</v>
      </c>
      <c r="L178" s="32">
        <f t="shared" si="13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2287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27</v>
      </c>
      <c r="J179" s="147" t="s">
        <v>1810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2287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1811</v>
      </c>
      <c r="K180" s="31">
        <f t="shared" si="12"/>
        <v>6</v>
      </c>
      <c r="L180" s="32">
        <f t="shared" si="13"/>
        <v>0.7857142857142857</v>
      </c>
      <c r="M180" s="70" t="s">
        <v>2287</v>
      </c>
      <c r="N180" s="70" t="s">
        <v>2287</v>
      </c>
      <c r="O180" s="70" t="s">
        <v>2287</v>
      </c>
      <c r="P180" s="70" t="s">
        <v>2287</v>
      </c>
      <c r="Q180" s="70" t="s">
        <v>2287</v>
      </c>
      <c r="R180" s="70" t="s">
        <v>2287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1812</v>
      </c>
      <c r="K181" s="31">
        <f t="shared" si="12"/>
        <v>6</v>
      </c>
      <c r="L181" s="32">
        <f t="shared" si="13"/>
        <v>0.7857142857142857</v>
      </c>
      <c r="M181" s="70" t="s">
        <v>2287</v>
      </c>
      <c r="N181" s="70" t="s">
        <v>2287</v>
      </c>
      <c r="O181" s="70" t="s">
        <v>2287</v>
      </c>
      <c r="P181" s="70" t="s">
        <v>2287</v>
      </c>
      <c r="Q181" s="70" t="s">
        <v>2287</v>
      </c>
      <c r="R181" s="70" t="s">
        <v>2287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1813</v>
      </c>
      <c r="K182" s="31">
        <f t="shared" si="12"/>
        <v>6</v>
      </c>
      <c r="L182" s="32">
        <f t="shared" si="13"/>
        <v>0.7857142857142857</v>
      </c>
      <c r="M182" s="70" t="s">
        <v>2287</v>
      </c>
      <c r="N182" s="70" t="s">
        <v>2287</v>
      </c>
      <c r="O182" s="70" t="s">
        <v>2287</v>
      </c>
      <c r="P182" s="70" t="s">
        <v>2287</v>
      </c>
      <c r="Q182" s="70" t="s">
        <v>2287</v>
      </c>
      <c r="R182" s="70" t="s">
        <v>2287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1814</v>
      </c>
      <c r="K183" s="31">
        <f t="shared" si="12"/>
        <v>6</v>
      </c>
      <c r="L183" s="32">
        <f t="shared" si="13"/>
        <v>0.7857142857142857</v>
      </c>
      <c r="M183" s="70" t="s">
        <v>2287</v>
      </c>
      <c r="N183" s="70" t="s">
        <v>2287</v>
      </c>
      <c r="O183" s="70" t="s">
        <v>2287</v>
      </c>
      <c r="P183" s="70" t="s">
        <v>2287</v>
      </c>
      <c r="Q183" s="70" t="s">
        <v>2287</v>
      </c>
      <c r="R183" s="70" t="s">
        <v>2287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1815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1816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27</v>
      </c>
      <c r="J186" s="87"/>
      <c r="K186" s="31">
        <f t="shared" si="12"/>
        <v>1</v>
      </c>
      <c r="L186" s="32">
        <f t="shared" si="13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2287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1553</v>
      </c>
      <c r="C187" s="85" t="s">
        <v>1063</v>
      </c>
      <c r="D187" s="73" t="s">
        <v>1554</v>
      </c>
      <c r="E187" s="85" t="s">
        <v>19</v>
      </c>
      <c r="F187" s="85" t="s">
        <v>1301</v>
      </c>
      <c r="G187" s="85"/>
      <c r="H187" s="85" t="s">
        <v>1555</v>
      </c>
      <c r="I187" s="31">
        <f t="shared" si="11"/>
        <v>12</v>
      </c>
      <c r="J187" s="147" t="s">
        <v>1817</v>
      </c>
      <c r="K187" s="31">
        <f t="shared" si="12"/>
        <v>16</v>
      </c>
      <c r="L187" s="32">
        <f t="shared" si="13"/>
        <v>0.42857142857142855</v>
      </c>
      <c r="M187" s="70" t="s">
        <v>2287</v>
      </c>
      <c r="N187" s="70" t="s">
        <v>2287</v>
      </c>
      <c r="O187" s="70" t="s">
        <v>2287</v>
      </c>
      <c r="P187" s="70" t="s">
        <v>2287</v>
      </c>
      <c r="Q187" s="70" t="s">
        <v>2287</v>
      </c>
      <c r="R187" s="70" t="s">
        <v>2287</v>
      </c>
      <c r="S187" s="70" t="s">
        <v>2287</v>
      </c>
      <c r="T187" s="70" t="s">
        <v>2287</v>
      </c>
      <c r="U187" s="70" t="s">
        <v>2287</v>
      </c>
      <c r="V187" s="70" t="s">
        <v>2287</v>
      </c>
      <c r="W187" s="70"/>
      <c r="X187" s="70" t="s">
        <v>2287</v>
      </c>
      <c r="Y187" s="70" t="s">
        <v>2287</v>
      </c>
      <c r="Z187" s="70" t="s">
        <v>2287</v>
      </c>
      <c r="AA187" s="70" t="s">
        <v>2287</v>
      </c>
      <c r="AB187" s="70" t="s">
        <v>2287</v>
      </c>
      <c r="AC187" s="70" t="s">
        <v>2287</v>
      </c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2169</v>
      </c>
      <c r="C188" s="85" t="s">
        <v>1063</v>
      </c>
      <c r="D188" s="73" t="s">
        <v>2170</v>
      </c>
      <c r="E188" s="85" t="s">
        <v>19</v>
      </c>
      <c r="F188" s="85" t="s">
        <v>1301</v>
      </c>
      <c r="G188" s="85"/>
      <c r="H188" s="85" t="s">
        <v>2171</v>
      </c>
      <c r="I188" s="31">
        <f t="shared" si="11"/>
        <v>28</v>
      </c>
      <c r="J188" s="147" t="s">
        <v>2172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2235</v>
      </c>
      <c r="C189" s="85" t="s">
        <v>1063</v>
      </c>
      <c r="D189" s="73" t="s">
        <v>2236</v>
      </c>
      <c r="E189" s="85" t="s">
        <v>19</v>
      </c>
      <c r="F189" s="85" t="s">
        <v>1301</v>
      </c>
      <c r="G189" s="85"/>
      <c r="H189" s="85" t="s">
        <v>2237</v>
      </c>
      <c r="I189" s="31">
        <f t="shared" si="11"/>
        <v>27</v>
      </c>
      <c r="J189" s="147" t="s">
        <v>2172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2287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2288</v>
      </c>
      <c r="C190" s="85" t="s">
        <v>1063</v>
      </c>
      <c r="D190" s="73" t="s">
        <v>1535</v>
      </c>
      <c r="E190" s="85" t="s">
        <v>1114</v>
      </c>
      <c r="F190" s="85" t="s">
        <v>1536</v>
      </c>
      <c r="G190" s="85"/>
      <c r="H190" s="85" t="s">
        <v>1537</v>
      </c>
      <c r="I190" s="31">
        <f t="shared" si="11"/>
        <v>25</v>
      </c>
      <c r="J190" s="147" t="s">
        <v>1818</v>
      </c>
      <c r="K190" s="31">
        <f t="shared" si="12"/>
        <v>3</v>
      </c>
      <c r="L190" s="32">
        <f t="shared" si="13"/>
        <v>0.8928571428571429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2287</v>
      </c>
      <c r="AB190" s="70" t="s">
        <v>2287</v>
      </c>
      <c r="AC190" s="70" t="s">
        <v>2287</v>
      </c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1819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1820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12</v>
      </c>
      <c r="J193" s="87"/>
      <c r="K193" s="138">
        <f t="shared" si="12"/>
        <v>16</v>
      </c>
      <c r="L193" s="139">
        <f t="shared" si="13"/>
        <v>0.42857142857142855</v>
      </c>
      <c r="M193" s="140" t="s">
        <v>2287</v>
      </c>
      <c r="N193" s="140" t="s">
        <v>2287</v>
      </c>
      <c r="O193" s="140" t="s">
        <v>2287</v>
      </c>
      <c r="P193" s="140" t="s">
        <v>2287</v>
      </c>
      <c r="Q193" s="140" t="s">
        <v>2287</v>
      </c>
      <c r="R193" s="140" t="s">
        <v>2287</v>
      </c>
      <c r="S193" s="140" t="s">
        <v>2287</v>
      </c>
      <c r="T193" s="140" t="s">
        <v>2287</v>
      </c>
      <c r="U193" s="140" t="s">
        <v>2287</v>
      </c>
      <c r="V193" s="140" t="s">
        <v>2287</v>
      </c>
      <c r="W193" s="140"/>
      <c r="X193" s="140" t="s">
        <v>2287</v>
      </c>
      <c r="Y193" s="140" t="s">
        <v>2287</v>
      </c>
      <c r="Z193" s="140" t="s">
        <v>2287</v>
      </c>
      <c r="AA193" s="140" t="s">
        <v>2287</v>
      </c>
      <c r="AB193" s="140" t="s">
        <v>2287</v>
      </c>
      <c r="AC193" s="140" t="s">
        <v>2287</v>
      </c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12</v>
      </c>
      <c r="J194" s="147" t="s">
        <v>1821</v>
      </c>
      <c r="K194" s="142">
        <f t="shared" si="12"/>
        <v>16</v>
      </c>
      <c r="L194" s="143">
        <f t="shared" si="13"/>
        <v>0.42857142857142855</v>
      </c>
      <c r="M194" s="70" t="s">
        <v>2287</v>
      </c>
      <c r="N194" s="70" t="s">
        <v>2287</v>
      </c>
      <c r="O194" s="70" t="s">
        <v>2287</v>
      </c>
      <c r="P194" s="70" t="s">
        <v>2287</v>
      </c>
      <c r="Q194" s="70" t="s">
        <v>2287</v>
      </c>
      <c r="R194" s="70" t="s">
        <v>2287</v>
      </c>
      <c r="S194" s="70" t="s">
        <v>2287</v>
      </c>
      <c r="T194" s="70" t="s">
        <v>2287</v>
      </c>
      <c r="U194" s="70" t="s">
        <v>2287</v>
      </c>
      <c r="V194" s="70" t="s">
        <v>2287</v>
      </c>
      <c r="W194" s="70"/>
      <c r="X194" s="70" t="s">
        <v>2287</v>
      </c>
      <c r="Y194" s="70" t="s">
        <v>2287</v>
      </c>
      <c r="Z194" s="70" t="s">
        <v>2287</v>
      </c>
      <c r="AA194" s="70" t="s">
        <v>2287</v>
      </c>
      <c r="AB194" s="70" t="s">
        <v>2287</v>
      </c>
      <c r="AC194" s="70" t="s">
        <v>2287</v>
      </c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17</v>
      </c>
      <c r="J195" s="147" t="s">
        <v>1822</v>
      </c>
      <c r="K195" s="142">
        <f t="shared" si="12"/>
        <v>11</v>
      </c>
      <c r="L195" s="143">
        <f t="shared" si="13"/>
        <v>0.6071428571428571</v>
      </c>
      <c r="M195" s="70" t="s">
        <v>2287</v>
      </c>
      <c r="N195" s="70" t="s">
        <v>2287</v>
      </c>
      <c r="O195" s="70" t="s">
        <v>2287</v>
      </c>
      <c r="P195" s="70" t="s">
        <v>2287</v>
      </c>
      <c r="Q195" s="70" t="s">
        <v>2287</v>
      </c>
      <c r="R195" s="70" t="s">
        <v>2287</v>
      </c>
      <c r="S195" s="70"/>
      <c r="T195" s="70"/>
      <c r="U195" s="70"/>
      <c r="V195" s="70"/>
      <c r="W195" s="70"/>
      <c r="X195" s="70"/>
      <c r="Y195" s="70" t="s">
        <v>2287</v>
      </c>
      <c r="Z195" s="70" t="s">
        <v>2287</v>
      </c>
      <c r="AA195" s="70" t="s">
        <v>2287</v>
      </c>
      <c r="AB195" s="70" t="s">
        <v>2287</v>
      </c>
      <c r="AC195" s="70" t="s">
        <v>2287</v>
      </c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1823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1824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2287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1825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26</v>
      </c>
      <c r="J199" s="87"/>
      <c r="K199" s="31">
        <f t="shared" si="12"/>
        <v>2</v>
      </c>
      <c r="L199" s="32">
        <f t="shared" si="13"/>
        <v>0.9285714285714286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2287</v>
      </c>
      <c r="AC199" s="70" t="s">
        <v>2287</v>
      </c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1592</v>
      </c>
      <c r="I200" s="142">
        <f t="shared" si="11"/>
        <v>16</v>
      </c>
      <c r="J200" s="147" t="s">
        <v>1826</v>
      </c>
      <c r="K200" s="142">
        <f t="shared" si="12"/>
        <v>12</v>
      </c>
      <c r="L200" s="143">
        <f t="shared" si="13"/>
        <v>0.5714285714285714</v>
      </c>
      <c r="M200" s="70" t="s">
        <v>2287</v>
      </c>
      <c r="N200" s="70" t="s">
        <v>2287</v>
      </c>
      <c r="O200" s="70" t="s">
        <v>2287</v>
      </c>
      <c r="P200" s="70" t="s">
        <v>2287</v>
      </c>
      <c r="Q200" s="70" t="s">
        <v>2287</v>
      </c>
      <c r="R200" s="70"/>
      <c r="S200" s="70" t="s">
        <v>2287</v>
      </c>
      <c r="T200" s="70" t="s">
        <v>2287</v>
      </c>
      <c r="U200" s="70" t="s">
        <v>2287</v>
      </c>
      <c r="V200" s="70" t="s">
        <v>2287</v>
      </c>
      <c r="W200" s="70"/>
      <c r="X200" s="70" t="s">
        <v>2287</v>
      </c>
      <c r="Y200" s="70"/>
      <c r="Z200" s="70"/>
      <c r="AA200" s="70"/>
      <c r="AB200" s="70" t="s">
        <v>2287</v>
      </c>
      <c r="AC200" s="70" t="s">
        <v>2287</v>
      </c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1827</v>
      </c>
      <c r="K201" s="31">
        <f t="shared" si="12"/>
        <v>6</v>
      </c>
      <c r="L201" s="32">
        <f t="shared" si="13"/>
        <v>0.7857142857142857</v>
      </c>
      <c r="M201" s="70" t="s">
        <v>2287</v>
      </c>
      <c r="N201" s="70" t="s">
        <v>2287</v>
      </c>
      <c r="O201" s="70" t="s">
        <v>2287</v>
      </c>
      <c r="P201" s="70" t="s">
        <v>2287</v>
      </c>
      <c r="Q201" s="70" t="s">
        <v>2287</v>
      </c>
      <c r="R201" s="70" t="s">
        <v>2287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1829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1831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1832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1833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1834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1835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1692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17</v>
      </c>
      <c r="J211" s="147" t="s">
        <v>1836</v>
      </c>
      <c r="K211" s="142">
        <f t="shared" si="12"/>
        <v>11</v>
      </c>
      <c r="L211" s="143">
        <f t="shared" si="13"/>
        <v>0.6071428571428571</v>
      </c>
      <c r="M211" s="70" t="s">
        <v>2287</v>
      </c>
      <c r="N211" s="70" t="s">
        <v>2287</v>
      </c>
      <c r="O211" s="70" t="s">
        <v>2287</v>
      </c>
      <c r="P211" s="70" t="s">
        <v>2287</v>
      </c>
      <c r="Q211" s="70" t="s">
        <v>2287</v>
      </c>
      <c r="R211" s="70" t="s">
        <v>2287</v>
      </c>
      <c r="S211" s="70" t="s">
        <v>2287</v>
      </c>
      <c r="T211" s="70" t="s">
        <v>2287</v>
      </c>
      <c r="U211" s="70" t="s">
        <v>2287</v>
      </c>
      <c r="V211" s="70" t="s">
        <v>2287</v>
      </c>
      <c r="W211" s="70"/>
      <c r="X211" s="70" t="s">
        <v>2287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1589</v>
      </c>
      <c r="C212" s="73" t="s">
        <v>1062</v>
      </c>
      <c r="D212" s="73" t="s">
        <v>1590</v>
      </c>
      <c r="E212" s="85" t="s">
        <v>73</v>
      </c>
      <c r="F212" s="85" t="s">
        <v>1301</v>
      </c>
      <c r="H212" s="85" t="s">
        <v>1591</v>
      </c>
      <c r="I212" s="142">
        <f t="shared" si="11"/>
        <v>28</v>
      </c>
      <c r="J212" s="147" t="s">
        <v>1837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2206</v>
      </c>
      <c r="C213" s="73" t="s">
        <v>1062</v>
      </c>
      <c r="D213" s="73" t="s">
        <v>2207</v>
      </c>
      <c r="E213" s="85" t="s">
        <v>73</v>
      </c>
      <c r="F213" s="85" t="s">
        <v>1301</v>
      </c>
      <c r="H213" s="85" t="s">
        <v>2208</v>
      </c>
      <c r="I213" s="142">
        <f t="shared" si="11"/>
        <v>28</v>
      </c>
      <c r="J213" s="147" t="s">
        <v>2209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1838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1839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1840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1841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2272</v>
      </c>
      <c r="C218" t="s">
        <v>1062</v>
      </c>
      <c r="D218" t="s">
        <v>2273</v>
      </c>
      <c r="E218" s="30" t="s">
        <v>15</v>
      </c>
      <c r="F218" s="85" t="s">
        <v>1301</v>
      </c>
      <c r="G218" s="30"/>
      <c r="H218" s="30" t="s">
        <v>2274</v>
      </c>
      <c r="I218" s="142">
        <f t="shared" si="11"/>
        <v>13</v>
      </c>
      <c r="J218" s="151" t="s">
        <v>2275</v>
      </c>
      <c r="K218" s="142">
        <f t="shared" si="12"/>
        <v>15</v>
      </c>
      <c r="L218" s="143">
        <f t="shared" si="13"/>
        <v>0.4642857142857143</v>
      </c>
      <c r="M218" s="70" t="s">
        <v>2287</v>
      </c>
      <c r="N218" s="70" t="s">
        <v>2287</v>
      </c>
      <c r="O218" s="70" t="s">
        <v>2287</v>
      </c>
      <c r="P218" s="70" t="s">
        <v>2287</v>
      </c>
      <c r="Q218" s="70" t="s">
        <v>2287</v>
      </c>
      <c r="R218" s="70" t="s">
        <v>2287</v>
      </c>
      <c r="S218" s="70" t="s">
        <v>2287</v>
      </c>
      <c r="T218" s="70" t="s">
        <v>2287</v>
      </c>
      <c r="U218" s="70" t="s">
        <v>2287</v>
      </c>
      <c r="V218" s="70" t="s">
        <v>2287</v>
      </c>
      <c r="W218" s="70"/>
      <c r="X218" s="70" t="s">
        <v>2287</v>
      </c>
      <c r="Y218" s="70" t="s">
        <v>2287</v>
      </c>
      <c r="Z218" s="70" t="s">
        <v>2287</v>
      </c>
      <c r="AA218" s="70" t="s">
        <v>2287</v>
      </c>
      <c r="AB218" s="70" t="s">
        <v>2287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2287</v>
      </c>
      <c r="N219" s="70" t="s">
        <v>2287</v>
      </c>
      <c r="O219" s="70" t="s">
        <v>2287</v>
      </c>
      <c r="P219" s="70" t="s">
        <v>2287</v>
      </c>
      <c r="Q219" s="70" t="s">
        <v>2287</v>
      </c>
      <c r="R219" s="70" t="s">
        <v>2287</v>
      </c>
      <c r="S219" s="70" t="s">
        <v>2287</v>
      </c>
      <c r="T219" s="70" t="s">
        <v>2287</v>
      </c>
      <c r="U219" s="70" t="s">
        <v>2287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2287</v>
      </c>
      <c r="N220" s="70" t="s">
        <v>2287</v>
      </c>
      <c r="O220" s="70" t="s">
        <v>2287</v>
      </c>
      <c r="P220" s="70" t="s">
        <v>2287</v>
      </c>
      <c r="Q220" s="70" t="s">
        <v>2287</v>
      </c>
      <c r="R220" s="70" t="s">
        <v>2287</v>
      </c>
      <c r="S220" s="70" t="s">
        <v>2287</v>
      </c>
      <c r="T220" s="70" t="s">
        <v>2287</v>
      </c>
      <c r="U220" s="70" t="s">
        <v>2287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27</v>
      </c>
      <c r="J221" s="147" t="s">
        <v>1842</v>
      </c>
      <c r="K221" s="31">
        <f t="shared" si="12"/>
        <v>1</v>
      </c>
      <c r="L221" s="32">
        <f t="shared" si="13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2287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27</v>
      </c>
      <c r="J223" s="147" t="s">
        <v>1844</v>
      </c>
      <c r="K223" s="31">
        <f t="shared" si="12"/>
        <v>1</v>
      </c>
      <c r="L223" s="32">
        <f t="shared" si="13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2287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27</v>
      </c>
      <c r="J224" s="147" t="s">
        <v>1845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2287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1846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1847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1593</v>
      </c>
      <c r="C227" s="73" t="s">
        <v>1062</v>
      </c>
      <c r="D227" s="73" t="s">
        <v>1594</v>
      </c>
      <c r="E227" s="85" t="s">
        <v>15</v>
      </c>
      <c r="F227" s="85" t="s">
        <v>1301</v>
      </c>
      <c r="G227" s="85"/>
      <c r="H227" s="85" t="s">
        <v>1595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1848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1849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1850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2282</v>
      </c>
      <c r="C231" s="73" t="s">
        <v>1063</v>
      </c>
      <c r="D231" s="73" t="s">
        <v>2283</v>
      </c>
      <c r="E231" s="85" t="s">
        <v>15</v>
      </c>
      <c r="F231" s="85" t="s">
        <v>1301</v>
      </c>
      <c r="G231" s="85"/>
      <c r="H231" s="85" t="s">
        <v>2284</v>
      </c>
      <c r="I231" s="142">
        <f t="shared" si="11"/>
        <v>28</v>
      </c>
      <c r="J231" s="147" t="s">
        <v>2285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12</v>
      </c>
      <c r="J232" s="147" t="s">
        <v>1851</v>
      </c>
      <c r="K232" s="31">
        <f t="shared" si="12"/>
        <v>16</v>
      </c>
      <c r="L232" s="32">
        <f t="shared" si="13"/>
        <v>0.42857142857142855</v>
      </c>
      <c r="M232" s="70" t="s">
        <v>2287</v>
      </c>
      <c r="N232" s="70" t="s">
        <v>2287</v>
      </c>
      <c r="O232" s="70" t="s">
        <v>2287</v>
      </c>
      <c r="P232" s="70" t="s">
        <v>2287</v>
      </c>
      <c r="Q232" s="70" t="s">
        <v>2287</v>
      </c>
      <c r="R232" s="70" t="s">
        <v>2287</v>
      </c>
      <c r="S232" s="70" t="s">
        <v>2287</v>
      </c>
      <c r="T232" s="70" t="s">
        <v>2287</v>
      </c>
      <c r="U232" s="70" t="s">
        <v>2287</v>
      </c>
      <c r="V232" s="70" t="s">
        <v>2287</v>
      </c>
      <c r="W232" s="70"/>
      <c r="X232" s="70" t="s">
        <v>2287</v>
      </c>
      <c r="Y232" s="70" t="s">
        <v>2287</v>
      </c>
      <c r="Z232" s="70" t="s">
        <v>2287</v>
      </c>
      <c r="AA232" s="70" t="s">
        <v>2287</v>
      </c>
      <c r="AB232" s="70" t="s">
        <v>2287</v>
      </c>
      <c r="AC232" s="70" t="s">
        <v>2287</v>
      </c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24</v>
      </c>
      <c r="J233" s="147" t="s">
        <v>1852</v>
      </c>
      <c r="K233" s="31">
        <f t="shared" si="12"/>
        <v>4</v>
      </c>
      <c r="L233" s="32">
        <f t="shared" si="13"/>
        <v>0.8571428571428571</v>
      </c>
      <c r="M233" s="70"/>
      <c r="N233" s="70"/>
      <c r="O233" s="70"/>
      <c r="P233" s="70"/>
      <c r="Q233" s="70"/>
      <c r="R233" s="70" t="s">
        <v>2287</v>
      </c>
      <c r="S233" s="70" t="s">
        <v>2287</v>
      </c>
      <c r="T233" s="70" t="s">
        <v>2287</v>
      </c>
      <c r="U233" s="70"/>
      <c r="V233" s="70"/>
      <c r="W233" s="70"/>
      <c r="X233" s="70"/>
      <c r="Y233" s="70"/>
      <c r="Z233" s="70"/>
      <c r="AA233" s="70"/>
      <c r="AB233" s="70"/>
      <c r="AC233" s="70" t="s">
        <v>2287</v>
      </c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13</v>
      </c>
      <c r="J234" s="147" t="s">
        <v>1853</v>
      </c>
      <c r="K234" s="31">
        <f t="shared" si="12"/>
        <v>15</v>
      </c>
      <c r="L234" s="32">
        <f t="shared" si="13"/>
        <v>0.4642857142857143</v>
      </c>
      <c r="M234" s="70" t="s">
        <v>2287</v>
      </c>
      <c r="N234" s="70" t="s">
        <v>2287</v>
      </c>
      <c r="O234" s="70" t="s">
        <v>2287</v>
      </c>
      <c r="P234" s="70" t="s">
        <v>2287</v>
      </c>
      <c r="Q234" s="70" t="s">
        <v>2287</v>
      </c>
      <c r="R234" s="70" t="s">
        <v>2287</v>
      </c>
      <c r="S234" s="70" t="s">
        <v>2287</v>
      </c>
      <c r="T234" s="70" t="s">
        <v>2287</v>
      </c>
      <c r="U234" s="70"/>
      <c r="V234" s="70" t="s">
        <v>2287</v>
      </c>
      <c r="W234" s="70"/>
      <c r="X234" s="70" t="s">
        <v>2287</v>
      </c>
      <c r="Y234" s="70" t="s">
        <v>2287</v>
      </c>
      <c r="Z234" s="70" t="s">
        <v>2287</v>
      </c>
      <c r="AA234" s="70" t="s">
        <v>2287</v>
      </c>
      <c r="AB234" s="70" t="s">
        <v>2287</v>
      </c>
      <c r="AC234" s="70" t="s">
        <v>2287</v>
      </c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24</v>
      </c>
      <c r="J235" s="147" t="s">
        <v>1854</v>
      </c>
      <c r="K235" s="31">
        <f t="shared" si="12"/>
        <v>4</v>
      </c>
      <c r="L235" s="32">
        <f t="shared" si="13"/>
        <v>0.8571428571428571</v>
      </c>
      <c r="M235" s="70"/>
      <c r="N235" s="70"/>
      <c r="O235" s="70"/>
      <c r="P235" s="70"/>
      <c r="Q235" s="70"/>
      <c r="R235" s="70" t="s">
        <v>2287</v>
      </c>
      <c r="S235" s="70" t="s">
        <v>2287</v>
      </c>
      <c r="T235" s="70" t="s">
        <v>2287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2287</v>
      </c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24</v>
      </c>
      <c r="J236" s="147" t="s">
        <v>1855</v>
      </c>
      <c r="K236" s="31">
        <f t="shared" si="12"/>
        <v>4</v>
      </c>
      <c r="L236" s="32">
        <f t="shared" si="13"/>
        <v>0.8571428571428571</v>
      </c>
      <c r="M236" s="70"/>
      <c r="N236" s="70"/>
      <c r="O236" s="70"/>
      <c r="P236" s="70"/>
      <c r="Q236" s="70"/>
      <c r="R236" s="70" t="s">
        <v>2287</v>
      </c>
      <c r="S236" s="70" t="s">
        <v>2287</v>
      </c>
      <c r="T236" s="70" t="s">
        <v>2287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2287</v>
      </c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27</v>
      </c>
      <c r="J237" s="147" t="s">
        <v>1856</v>
      </c>
      <c r="K237" s="31">
        <f t="shared" si="12"/>
        <v>1</v>
      </c>
      <c r="L237" s="32">
        <f t="shared" si="13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2287</v>
      </c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27</v>
      </c>
      <c r="J238" s="147" t="s">
        <v>1857</v>
      </c>
      <c r="K238" s="31">
        <f t="shared" si="12"/>
        <v>1</v>
      </c>
      <c r="L238" s="32">
        <f t="shared" si="13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2287</v>
      </c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27</v>
      </c>
      <c r="J239" s="147" t="s">
        <v>1858</v>
      </c>
      <c r="K239" s="31">
        <f t="shared" si="12"/>
        <v>1</v>
      </c>
      <c r="L239" s="32">
        <f t="shared" si="13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2287</v>
      </c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27</v>
      </c>
      <c r="J240" s="147" t="s">
        <v>1859</v>
      </c>
      <c r="K240" s="31">
        <f t="shared" ref="K240:K309" si="15">COUNTIF(M240:AN240,"APAGADO")</f>
        <v>1</v>
      </c>
      <c r="L240" s="32">
        <f t="shared" ref="L240:L309" si="16">(I240)/(K240+I240)</f>
        <v>0.9642857142857143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2287</v>
      </c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16</v>
      </c>
      <c r="J241" s="147" t="s">
        <v>1860</v>
      </c>
      <c r="K241" s="31">
        <f t="shared" si="15"/>
        <v>12</v>
      </c>
      <c r="L241" s="32">
        <f t="shared" si="16"/>
        <v>0.5714285714285714</v>
      </c>
      <c r="M241" s="70"/>
      <c r="N241" s="70" t="s">
        <v>2287</v>
      </c>
      <c r="O241" s="70" t="s">
        <v>2287</v>
      </c>
      <c r="P241" s="70" t="s">
        <v>2287</v>
      </c>
      <c r="Q241" s="70"/>
      <c r="R241" s="70" t="s">
        <v>2287</v>
      </c>
      <c r="S241" s="70" t="s">
        <v>2287</v>
      </c>
      <c r="T241" s="70" t="s">
        <v>2287</v>
      </c>
      <c r="U241" s="70" t="s">
        <v>2287</v>
      </c>
      <c r="V241" s="70" t="s">
        <v>2287</v>
      </c>
      <c r="W241" s="70"/>
      <c r="X241" s="70"/>
      <c r="Y241" s="70" t="s">
        <v>2287</v>
      </c>
      <c r="Z241" s="70" t="s">
        <v>2287</v>
      </c>
      <c r="AA241" s="70" t="s">
        <v>2287</v>
      </c>
      <c r="AB241" s="70"/>
      <c r="AC241" s="70" t="s">
        <v>2287</v>
      </c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24</v>
      </c>
      <c r="J242" s="147" t="s">
        <v>1861</v>
      </c>
      <c r="K242" s="31">
        <f t="shared" si="15"/>
        <v>4</v>
      </c>
      <c r="L242" s="32">
        <f t="shared" si="16"/>
        <v>0.8571428571428571</v>
      </c>
      <c r="M242" s="70"/>
      <c r="N242" s="70"/>
      <c r="O242" s="70"/>
      <c r="P242" s="70"/>
      <c r="Q242" s="70"/>
      <c r="R242" s="70" t="s">
        <v>2287</v>
      </c>
      <c r="S242" s="70" t="s">
        <v>2287</v>
      </c>
      <c r="T242" s="70" t="s">
        <v>2287</v>
      </c>
      <c r="U242" s="70"/>
      <c r="V242" s="70"/>
      <c r="W242" s="70"/>
      <c r="X242" s="70"/>
      <c r="Y242" s="70"/>
      <c r="Z242" s="70"/>
      <c r="AA242" s="70"/>
      <c r="AB242" s="70"/>
      <c r="AC242" s="70" t="s">
        <v>2287</v>
      </c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24</v>
      </c>
      <c r="J243" s="147" t="s">
        <v>1862</v>
      </c>
      <c r="K243" s="31">
        <f t="shared" si="15"/>
        <v>4</v>
      </c>
      <c r="L243" s="32">
        <f t="shared" si="16"/>
        <v>0.8571428571428571</v>
      </c>
      <c r="M243" s="70"/>
      <c r="N243" s="70"/>
      <c r="O243" s="70"/>
      <c r="P243" s="70"/>
      <c r="Q243" s="70"/>
      <c r="R243" s="70" t="s">
        <v>2287</v>
      </c>
      <c r="S243" s="70" t="s">
        <v>2287</v>
      </c>
      <c r="T243" s="70" t="s">
        <v>2287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2287</v>
      </c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26</v>
      </c>
      <c r="J244" s="147" t="s">
        <v>1863</v>
      </c>
      <c r="K244" s="31">
        <f t="shared" si="15"/>
        <v>2</v>
      </c>
      <c r="L244" s="32">
        <f t="shared" si="16"/>
        <v>0.9285714285714286</v>
      </c>
      <c r="M244" s="70"/>
      <c r="N244" s="70"/>
      <c r="O244" s="70"/>
      <c r="P244" s="70"/>
      <c r="Q244" s="70"/>
      <c r="R244" s="70"/>
      <c r="S244" s="70" t="s">
        <v>2287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2287</v>
      </c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24</v>
      </c>
      <c r="J245" s="147" t="s">
        <v>1864</v>
      </c>
      <c r="K245" s="31">
        <f t="shared" si="15"/>
        <v>4</v>
      </c>
      <c r="L245" s="32">
        <f t="shared" si="16"/>
        <v>0.8571428571428571</v>
      </c>
      <c r="M245" s="70"/>
      <c r="N245" s="70"/>
      <c r="O245" s="70"/>
      <c r="P245" s="70"/>
      <c r="Q245" s="70"/>
      <c r="R245" s="70" t="s">
        <v>2287</v>
      </c>
      <c r="S245" s="70" t="s">
        <v>2287</v>
      </c>
      <c r="T245" s="70" t="s">
        <v>2287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2287</v>
      </c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15</v>
      </c>
      <c r="J246" s="147" t="s">
        <v>1865</v>
      </c>
      <c r="K246" s="31">
        <f t="shared" si="15"/>
        <v>13</v>
      </c>
      <c r="L246" s="32">
        <f t="shared" si="16"/>
        <v>0.5357142857142857</v>
      </c>
      <c r="M246" s="70"/>
      <c r="N246" s="70"/>
      <c r="O246" s="70" t="s">
        <v>2287</v>
      </c>
      <c r="P246" s="70" t="s">
        <v>2287</v>
      </c>
      <c r="Q246" s="70" t="s">
        <v>2287</v>
      </c>
      <c r="R246" s="70" t="s">
        <v>2287</v>
      </c>
      <c r="S246" s="70" t="s">
        <v>2287</v>
      </c>
      <c r="T246" s="70" t="s">
        <v>2287</v>
      </c>
      <c r="U246" s="70"/>
      <c r="V246" s="70" t="s">
        <v>2287</v>
      </c>
      <c r="W246" s="70"/>
      <c r="X246" s="70" t="s">
        <v>2287</v>
      </c>
      <c r="Y246" s="70" t="s">
        <v>2287</v>
      </c>
      <c r="Z246" s="70" t="s">
        <v>2287</v>
      </c>
      <c r="AA246" s="70" t="s">
        <v>2287</v>
      </c>
      <c r="AB246" s="70" t="s">
        <v>2287</v>
      </c>
      <c r="AC246" s="70" t="s">
        <v>2287</v>
      </c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2258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1821</v>
      </c>
      <c r="K248" s="31">
        <f t="shared" si="15"/>
        <v>1</v>
      </c>
      <c r="L248" s="32">
        <f t="shared" si="16"/>
        <v>0.9642857142857143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 t="s">
        <v>2287</v>
      </c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24</v>
      </c>
      <c r="J249" s="147" t="s">
        <v>1866</v>
      </c>
      <c r="K249" s="31">
        <f t="shared" si="15"/>
        <v>4</v>
      </c>
      <c r="L249" s="32">
        <f t="shared" si="16"/>
        <v>0.8571428571428571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2287</v>
      </c>
      <c r="AA249" s="70" t="s">
        <v>2287</v>
      </c>
      <c r="AB249" s="70" t="s">
        <v>2287</v>
      </c>
      <c r="AC249" s="70" t="s">
        <v>2287</v>
      </c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1867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1868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1869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1870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1871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1872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/>
      <c r="S257" s="70" t="s">
        <v>2287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 t="s">
        <v>2287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27</v>
      </c>
      <c r="J258" s="147" t="s">
        <v>1873</v>
      </c>
      <c r="K258" s="31">
        <f t="shared" si="15"/>
        <v>1</v>
      </c>
      <c r="L258" s="32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 t="s">
        <v>2287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1874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24</v>
      </c>
      <c r="J260" s="147" t="s">
        <v>1875</v>
      </c>
      <c r="K260" s="31">
        <f t="shared" si="15"/>
        <v>4</v>
      </c>
      <c r="L260" s="32">
        <f t="shared" si="16"/>
        <v>0.8571428571428571</v>
      </c>
      <c r="M260" s="70"/>
      <c r="N260" s="70"/>
      <c r="O260" s="70"/>
      <c r="P260" s="70"/>
      <c r="Q260" s="70"/>
      <c r="R260" s="70" t="s">
        <v>2287</v>
      </c>
      <c r="S260" s="70" t="s">
        <v>2287</v>
      </c>
      <c r="T260" s="70" t="s">
        <v>2287</v>
      </c>
      <c r="U260" s="70"/>
      <c r="V260" s="70"/>
      <c r="W260" s="70"/>
      <c r="X260" s="70"/>
      <c r="Y260" s="70"/>
      <c r="Z260" s="70"/>
      <c r="AA260" s="70"/>
      <c r="AB260" s="70"/>
      <c r="AC260" s="70" t="s">
        <v>2287</v>
      </c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24</v>
      </c>
      <c r="J262" s="147" t="s">
        <v>1863</v>
      </c>
      <c r="K262" s="31">
        <f t="shared" si="15"/>
        <v>4</v>
      </c>
      <c r="L262" s="32">
        <f t="shared" si="16"/>
        <v>0.8571428571428571</v>
      </c>
      <c r="M262" s="70"/>
      <c r="N262" s="70"/>
      <c r="O262" s="70"/>
      <c r="P262" s="70"/>
      <c r="Q262" s="70"/>
      <c r="R262" s="70" t="s">
        <v>2287</v>
      </c>
      <c r="S262" s="70" t="s">
        <v>2287</v>
      </c>
      <c r="T262" s="70" t="s">
        <v>2287</v>
      </c>
      <c r="U262" s="70"/>
      <c r="V262" s="70"/>
      <c r="W262" s="70"/>
      <c r="X262" s="70"/>
      <c r="Y262" s="70"/>
      <c r="Z262" s="70"/>
      <c r="AA262" s="70"/>
      <c r="AB262" s="70"/>
      <c r="AC262" s="70" t="s">
        <v>2287</v>
      </c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1877</v>
      </c>
      <c r="K263" s="31">
        <f t="shared" si="15"/>
        <v>1</v>
      </c>
      <c r="L263" s="32">
        <f t="shared" si="16"/>
        <v>0.9642857142857143</v>
      </c>
      <c r="M263" s="70"/>
      <c r="N263" s="70" t="s">
        <v>2287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16</v>
      </c>
      <c r="J264" s="147" t="s">
        <v>1878</v>
      </c>
      <c r="K264" s="31">
        <f t="shared" si="15"/>
        <v>12</v>
      </c>
      <c r="L264" s="32">
        <f t="shared" si="16"/>
        <v>0.5714285714285714</v>
      </c>
      <c r="M264" s="70" t="s">
        <v>2287</v>
      </c>
      <c r="N264" s="70" t="s">
        <v>2287</v>
      </c>
      <c r="O264" s="70" t="s">
        <v>2287</v>
      </c>
      <c r="P264" s="70" t="s">
        <v>2287</v>
      </c>
      <c r="Q264" s="70" t="s">
        <v>2287</v>
      </c>
      <c r="R264" s="70" t="s">
        <v>2287</v>
      </c>
      <c r="S264" s="70"/>
      <c r="T264" s="70"/>
      <c r="U264" s="70"/>
      <c r="V264" s="70"/>
      <c r="W264" s="70"/>
      <c r="X264" s="70" t="s">
        <v>2287</v>
      </c>
      <c r="Y264" s="70" t="s">
        <v>2287</v>
      </c>
      <c r="Z264" s="70" t="s">
        <v>2287</v>
      </c>
      <c r="AA264" s="70" t="s">
        <v>2287</v>
      </c>
      <c r="AB264" s="70" t="s">
        <v>2287</v>
      </c>
      <c r="AC264" s="70" t="s">
        <v>2287</v>
      </c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1879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24</v>
      </c>
      <c r="J266" s="147" t="s">
        <v>1880</v>
      </c>
      <c r="K266" s="31">
        <f t="shared" si="15"/>
        <v>4</v>
      </c>
      <c r="L266" s="32">
        <f t="shared" si="16"/>
        <v>0.8571428571428571</v>
      </c>
      <c r="M266" s="70"/>
      <c r="N266" s="70"/>
      <c r="O266" s="70"/>
      <c r="P266" s="70"/>
      <c r="Q266" s="70"/>
      <c r="R266" s="70" t="s">
        <v>2287</v>
      </c>
      <c r="S266" s="70" t="s">
        <v>2287</v>
      </c>
      <c r="T266" s="70" t="s">
        <v>2287</v>
      </c>
      <c r="U266" s="70"/>
      <c r="V266" s="70"/>
      <c r="W266" s="70"/>
      <c r="X266" s="70"/>
      <c r="Y266" s="70"/>
      <c r="Z266" s="70"/>
      <c r="AA266" s="70"/>
      <c r="AB266" s="70"/>
      <c r="AC266" s="70" t="s">
        <v>2287</v>
      </c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1881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27</v>
      </c>
      <c r="J268" s="150" t="s">
        <v>1882</v>
      </c>
      <c r="K268" s="31">
        <f t="shared" si="15"/>
        <v>1</v>
      </c>
      <c r="L268" s="32">
        <f t="shared" si="16"/>
        <v>0.9642857142857143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 t="s">
        <v>2287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27</v>
      </c>
      <c r="J269" s="147" t="s">
        <v>1883</v>
      </c>
      <c r="K269" s="31">
        <f t="shared" si="15"/>
        <v>1</v>
      </c>
      <c r="L269" s="32">
        <f t="shared" si="16"/>
        <v>0.9642857142857143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2287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1884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27</v>
      </c>
      <c r="J271" s="147" t="s">
        <v>1885</v>
      </c>
      <c r="K271" s="142">
        <f t="shared" si="15"/>
        <v>1</v>
      </c>
      <c r="L271" s="143">
        <f t="shared" si="16"/>
        <v>0.9642857142857143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 t="s">
        <v>2287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27</v>
      </c>
      <c r="J272" s="147" t="s">
        <v>1886</v>
      </c>
      <c r="K272" s="142">
        <f t="shared" si="15"/>
        <v>1</v>
      </c>
      <c r="L272" s="143">
        <f t="shared" si="16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2287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2212</v>
      </c>
      <c r="B273" t="s">
        <v>2213</v>
      </c>
      <c r="C273" t="s">
        <v>1063</v>
      </c>
      <c r="D273" t="s">
        <v>2214</v>
      </c>
      <c r="E273" s="30" t="s">
        <v>19</v>
      </c>
      <c r="F273" s="85" t="s">
        <v>1301</v>
      </c>
      <c r="G273" s="30"/>
      <c r="H273" s="30" t="s">
        <v>2215</v>
      </c>
      <c r="I273" s="142">
        <f t="shared" si="14"/>
        <v>28</v>
      </c>
      <c r="J273" s="147" t="s">
        <v>2216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2212</v>
      </c>
      <c r="B274" t="s">
        <v>2217</v>
      </c>
      <c r="C274" t="s">
        <v>1063</v>
      </c>
      <c r="D274" t="s">
        <v>2219</v>
      </c>
      <c r="E274" s="30" t="s">
        <v>19</v>
      </c>
      <c r="F274" s="85" t="s">
        <v>1301</v>
      </c>
      <c r="G274" s="30"/>
      <c r="H274" s="30" t="s">
        <v>2218</v>
      </c>
      <c r="I274" s="142">
        <f t="shared" si="14"/>
        <v>28</v>
      </c>
      <c r="J274" s="147" t="s">
        <v>2220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27</v>
      </c>
      <c r="J275" s="147" t="s">
        <v>1887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2287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1888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27</v>
      </c>
      <c r="J277" s="147" t="s">
        <v>1889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2287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1890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1891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27</v>
      </c>
      <c r="J280" s="147" t="s">
        <v>1693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 t="s">
        <v>2287</v>
      </c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12</v>
      </c>
      <c r="J281" s="147" t="s">
        <v>1892</v>
      </c>
      <c r="K281" s="31">
        <f t="shared" si="15"/>
        <v>16</v>
      </c>
      <c r="L281" s="32">
        <f t="shared" si="16"/>
        <v>0.42857142857142855</v>
      </c>
      <c r="M281" s="70" t="s">
        <v>2287</v>
      </c>
      <c r="N281" s="70" t="s">
        <v>2287</v>
      </c>
      <c r="O281" s="70" t="s">
        <v>2287</v>
      </c>
      <c r="P281" s="70" t="s">
        <v>2287</v>
      </c>
      <c r="Q281" s="70" t="s">
        <v>2287</v>
      </c>
      <c r="R281" s="70" t="s">
        <v>2287</v>
      </c>
      <c r="S281" s="70" t="s">
        <v>2287</v>
      </c>
      <c r="T281" s="70" t="s">
        <v>2287</v>
      </c>
      <c r="U281" s="70" t="s">
        <v>2287</v>
      </c>
      <c r="V281" s="70" t="s">
        <v>2287</v>
      </c>
      <c r="W281" s="70"/>
      <c r="X281" s="70" t="s">
        <v>2287</v>
      </c>
      <c r="Y281" s="70" t="s">
        <v>2287</v>
      </c>
      <c r="Z281" s="70" t="s">
        <v>2287</v>
      </c>
      <c r="AA281" s="70" t="s">
        <v>2287</v>
      </c>
      <c r="AB281" s="70" t="s">
        <v>2287</v>
      </c>
      <c r="AC281" s="70" t="s">
        <v>2287</v>
      </c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1893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1894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21</v>
      </c>
      <c r="J284" s="147" t="s">
        <v>1895</v>
      </c>
      <c r="K284" s="142">
        <f t="shared" si="15"/>
        <v>7</v>
      </c>
      <c r="L284" s="143">
        <f t="shared" si="16"/>
        <v>0.75</v>
      </c>
      <c r="M284" s="70"/>
      <c r="N284" s="70"/>
      <c r="O284" s="70"/>
      <c r="P284" s="70"/>
      <c r="Q284" s="70"/>
      <c r="R284" s="70" t="s">
        <v>2287</v>
      </c>
      <c r="S284" s="70" t="s">
        <v>2287</v>
      </c>
      <c r="T284" s="70" t="s">
        <v>2287</v>
      </c>
      <c r="U284" s="70" t="s">
        <v>2287</v>
      </c>
      <c r="V284" s="70" t="s">
        <v>2287</v>
      </c>
      <c r="W284" s="70"/>
      <c r="X284" s="70" t="s">
        <v>2287</v>
      </c>
      <c r="Y284" s="70"/>
      <c r="Z284" s="70"/>
      <c r="AA284" s="70"/>
      <c r="AB284" s="70" t="s">
        <v>2287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1539</v>
      </c>
      <c r="B285" s="73" t="s">
        <v>1538</v>
      </c>
      <c r="C285" s="73" t="s">
        <v>1062</v>
      </c>
      <c r="D285" s="73" t="s">
        <v>1540</v>
      </c>
      <c r="E285" s="85" t="s">
        <v>19</v>
      </c>
      <c r="F285" s="85" t="s">
        <v>1301</v>
      </c>
      <c r="G285" s="85"/>
      <c r="H285" s="85" t="s">
        <v>1541</v>
      </c>
      <c r="I285" s="142">
        <f t="shared" si="14"/>
        <v>27</v>
      </c>
      <c r="J285" s="147" t="s">
        <v>1896</v>
      </c>
      <c r="K285" s="142">
        <f t="shared" si="15"/>
        <v>1</v>
      </c>
      <c r="L285" s="143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2287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1539</v>
      </c>
      <c r="B286" s="73" t="s">
        <v>1653</v>
      </c>
      <c r="C286" s="73" t="s">
        <v>1062</v>
      </c>
      <c r="D286" s="73" t="s">
        <v>1654</v>
      </c>
      <c r="E286" s="85" t="s">
        <v>19</v>
      </c>
      <c r="F286" s="85" t="s">
        <v>28</v>
      </c>
      <c r="G286" s="85"/>
      <c r="H286" s="85" t="s">
        <v>1655</v>
      </c>
      <c r="I286" s="142">
        <f t="shared" si="14"/>
        <v>28</v>
      </c>
      <c r="J286" s="87" t="s">
        <v>2195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1897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1898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1899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1900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1901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1902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1903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1904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1905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12</v>
      </c>
      <c r="J296" s="147" t="s">
        <v>1906</v>
      </c>
      <c r="K296" s="31">
        <f t="shared" si="15"/>
        <v>16</v>
      </c>
      <c r="L296" s="32">
        <f t="shared" si="16"/>
        <v>0.42857142857142855</v>
      </c>
      <c r="M296" s="70" t="s">
        <v>2287</v>
      </c>
      <c r="N296" s="70" t="s">
        <v>2287</v>
      </c>
      <c r="O296" s="70" t="s">
        <v>2287</v>
      </c>
      <c r="P296" s="70" t="s">
        <v>2287</v>
      </c>
      <c r="Q296" s="70" t="s">
        <v>2287</v>
      </c>
      <c r="R296" s="70" t="s">
        <v>2287</v>
      </c>
      <c r="S296" s="70" t="s">
        <v>2287</v>
      </c>
      <c r="T296" s="70" t="s">
        <v>2287</v>
      </c>
      <c r="U296" s="70" t="s">
        <v>2287</v>
      </c>
      <c r="V296" s="70" t="s">
        <v>2287</v>
      </c>
      <c r="W296" s="70"/>
      <c r="X296" s="70" t="s">
        <v>2287</v>
      </c>
      <c r="Y296" s="70" t="s">
        <v>2287</v>
      </c>
      <c r="Z296" s="70" t="s">
        <v>2287</v>
      </c>
      <c r="AA296" s="70" t="s">
        <v>2287</v>
      </c>
      <c r="AB296" s="70" t="s">
        <v>2287</v>
      </c>
      <c r="AC296" s="70" t="s">
        <v>2287</v>
      </c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1907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1908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2287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1909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2287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1910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1911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1912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1913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1914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1915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1916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12</v>
      </c>
      <c r="J308" s="147" t="s">
        <v>1917</v>
      </c>
      <c r="K308" s="142">
        <f t="shared" si="15"/>
        <v>16</v>
      </c>
      <c r="L308" s="143">
        <f t="shared" si="16"/>
        <v>0.42857142857142855</v>
      </c>
      <c r="M308" s="70" t="s">
        <v>2287</v>
      </c>
      <c r="N308" s="70" t="s">
        <v>2287</v>
      </c>
      <c r="O308" s="70" t="s">
        <v>2287</v>
      </c>
      <c r="P308" s="70" t="s">
        <v>2287</v>
      </c>
      <c r="Q308" s="70" t="s">
        <v>2287</v>
      </c>
      <c r="R308" s="70" t="s">
        <v>2287</v>
      </c>
      <c r="S308" s="70" t="s">
        <v>2287</v>
      </c>
      <c r="T308" s="70" t="s">
        <v>2287</v>
      </c>
      <c r="U308" s="70" t="s">
        <v>2287</v>
      </c>
      <c r="V308" s="70" t="s">
        <v>2287</v>
      </c>
      <c r="W308" s="70"/>
      <c r="X308" s="70" t="s">
        <v>2287</v>
      </c>
      <c r="Y308" s="70" t="s">
        <v>2287</v>
      </c>
      <c r="Z308" s="70" t="s">
        <v>2287</v>
      </c>
      <c r="AA308" s="70" t="s">
        <v>2287</v>
      </c>
      <c r="AB308" s="70" t="s">
        <v>2287</v>
      </c>
      <c r="AC308" s="70" t="s">
        <v>2287</v>
      </c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1631</v>
      </c>
      <c r="I309" s="142">
        <f t="shared" si="14"/>
        <v>28</v>
      </c>
      <c r="J309" s="147" t="s">
        <v>2152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12</v>
      </c>
      <c r="J310" s="147" t="s">
        <v>1918</v>
      </c>
      <c r="K310" s="31">
        <f t="shared" ref="K310:K380" si="18">COUNTIF(M310:AN310,"APAGADO")</f>
        <v>16</v>
      </c>
      <c r="L310" s="32">
        <f t="shared" ref="L310:L380" si="19">(I310)/(K310+I310)</f>
        <v>0.42857142857142855</v>
      </c>
      <c r="M310" s="70" t="s">
        <v>2287</v>
      </c>
      <c r="N310" s="70" t="s">
        <v>2287</v>
      </c>
      <c r="O310" s="70" t="s">
        <v>2287</v>
      </c>
      <c r="P310" s="70" t="s">
        <v>2287</v>
      </c>
      <c r="Q310" s="70" t="s">
        <v>2287</v>
      </c>
      <c r="R310" s="70" t="s">
        <v>2287</v>
      </c>
      <c r="S310" s="70" t="s">
        <v>2287</v>
      </c>
      <c r="T310" s="70" t="s">
        <v>2287</v>
      </c>
      <c r="U310" s="70" t="s">
        <v>2287</v>
      </c>
      <c r="V310" s="70" t="s">
        <v>2287</v>
      </c>
      <c r="W310" s="70"/>
      <c r="X310" s="70" t="s">
        <v>2287</v>
      </c>
      <c r="Y310" s="70" t="s">
        <v>2287</v>
      </c>
      <c r="Z310" s="70" t="s">
        <v>2287</v>
      </c>
      <c r="AA310" s="70" t="s">
        <v>2287</v>
      </c>
      <c r="AB310" s="70" t="s">
        <v>2287</v>
      </c>
      <c r="AC310" s="70" t="s">
        <v>2287</v>
      </c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15</v>
      </c>
      <c r="J311" s="147" t="s">
        <v>1919</v>
      </c>
      <c r="K311" s="142">
        <f t="shared" si="18"/>
        <v>13</v>
      </c>
      <c r="L311" s="143">
        <f t="shared" si="19"/>
        <v>0.5357142857142857</v>
      </c>
      <c r="M311" s="70"/>
      <c r="N311" s="70" t="s">
        <v>2287</v>
      </c>
      <c r="O311" s="70" t="s">
        <v>2287</v>
      </c>
      <c r="P311" s="70" t="s">
        <v>2287</v>
      </c>
      <c r="Q311" s="70" t="s">
        <v>2287</v>
      </c>
      <c r="R311" s="70" t="s">
        <v>2287</v>
      </c>
      <c r="S311" s="70" t="s">
        <v>2287</v>
      </c>
      <c r="T311" s="70"/>
      <c r="U311" s="70"/>
      <c r="V311" s="70" t="s">
        <v>2287</v>
      </c>
      <c r="W311" s="70"/>
      <c r="X311" s="70" t="s">
        <v>2287</v>
      </c>
      <c r="Y311" s="70" t="s">
        <v>2287</v>
      </c>
      <c r="Z311" s="70" t="s">
        <v>2287</v>
      </c>
      <c r="AA311" s="70" t="s">
        <v>2287</v>
      </c>
      <c r="AB311" s="70" t="s">
        <v>2287</v>
      </c>
      <c r="AC311" s="70" t="s">
        <v>2287</v>
      </c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15</v>
      </c>
      <c r="J312" s="87" t="s">
        <v>2196</v>
      </c>
      <c r="K312" s="142">
        <f t="shared" si="18"/>
        <v>13</v>
      </c>
      <c r="L312" s="143">
        <f t="shared" si="19"/>
        <v>0.5357142857142857</v>
      </c>
      <c r="M312" s="70"/>
      <c r="N312" s="70" t="s">
        <v>2287</v>
      </c>
      <c r="O312" s="70" t="s">
        <v>2287</v>
      </c>
      <c r="P312" s="70" t="s">
        <v>2287</v>
      </c>
      <c r="Q312" s="70" t="s">
        <v>2287</v>
      </c>
      <c r="R312" s="70" t="s">
        <v>2287</v>
      </c>
      <c r="S312" s="70" t="s">
        <v>2287</v>
      </c>
      <c r="T312" s="70"/>
      <c r="U312" s="70"/>
      <c r="V312" s="70" t="s">
        <v>2287</v>
      </c>
      <c r="W312" s="70"/>
      <c r="X312" s="70" t="s">
        <v>2287</v>
      </c>
      <c r="Y312" s="70" t="s">
        <v>2287</v>
      </c>
      <c r="Z312" s="70" t="s">
        <v>2287</v>
      </c>
      <c r="AA312" s="70" t="s">
        <v>2287</v>
      </c>
      <c r="AB312" s="70" t="s">
        <v>2287</v>
      </c>
      <c r="AC312" s="70" t="s">
        <v>2287</v>
      </c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15</v>
      </c>
      <c r="J313" s="147" t="s">
        <v>1920</v>
      </c>
      <c r="K313" s="142">
        <f t="shared" si="18"/>
        <v>13</v>
      </c>
      <c r="L313" s="143">
        <f t="shared" si="19"/>
        <v>0.5357142857142857</v>
      </c>
      <c r="M313" s="70"/>
      <c r="N313" s="70" t="s">
        <v>2287</v>
      </c>
      <c r="O313" s="70" t="s">
        <v>2287</v>
      </c>
      <c r="P313" s="70" t="s">
        <v>2287</v>
      </c>
      <c r="Q313" s="70" t="s">
        <v>2287</v>
      </c>
      <c r="R313" s="70" t="s">
        <v>2287</v>
      </c>
      <c r="S313" s="70" t="s">
        <v>2287</v>
      </c>
      <c r="T313" s="70"/>
      <c r="U313" s="70"/>
      <c r="V313" s="70" t="s">
        <v>2287</v>
      </c>
      <c r="W313" s="70"/>
      <c r="X313" s="70" t="s">
        <v>2287</v>
      </c>
      <c r="Y313" s="70" t="s">
        <v>2287</v>
      </c>
      <c r="Z313" s="70" t="s">
        <v>2287</v>
      </c>
      <c r="AA313" s="70" t="s">
        <v>2287</v>
      </c>
      <c r="AB313" s="70" t="s">
        <v>2287</v>
      </c>
      <c r="AC313" s="70" t="s">
        <v>2287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12</v>
      </c>
      <c r="J314" s="147" t="s">
        <v>1921</v>
      </c>
      <c r="K314" s="31">
        <f t="shared" si="18"/>
        <v>16</v>
      </c>
      <c r="L314" s="32">
        <f t="shared" si="19"/>
        <v>0.42857142857142855</v>
      </c>
      <c r="M314" s="70" t="s">
        <v>2287</v>
      </c>
      <c r="N314" s="70" t="s">
        <v>2287</v>
      </c>
      <c r="O314" s="70" t="s">
        <v>2287</v>
      </c>
      <c r="P314" s="70" t="s">
        <v>2287</v>
      </c>
      <c r="Q314" s="70" t="s">
        <v>2287</v>
      </c>
      <c r="R314" s="70" t="s">
        <v>2287</v>
      </c>
      <c r="S314" s="70" t="s">
        <v>2287</v>
      </c>
      <c r="T314" s="70" t="s">
        <v>2287</v>
      </c>
      <c r="U314" s="70" t="s">
        <v>2287</v>
      </c>
      <c r="V314" s="70" t="s">
        <v>2287</v>
      </c>
      <c r="W314" s="70"/>
      <c r="X314" s="70" t="s">
        <v>2287</v>
      </c>
      <c r="Y314" s="70" t="s">
        <v>2287</v>
      </c>
      <c r="Z314" s="70" t="s">
        <v>2287</v>
      </c>
      <c r="AA314" s="70" t="s">
        <v>2287</v>
      </c>
      <c r="AB314" s="70" t="s">
        <v>2287</v>
      </c>
      <c r="AC314" s="70" t="s">
        <v>2287</v>
      </c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15</v>
      </c>
      <c r="J315" s="147" t="s">
        <v>1922</v>
      </c>
      <c r="K315" s="31">
        <f t="shared" si="18"/>
        <v>13</v>
      </c>
      <c r="L315" s="32">
        <f t="shared" si="19"/>
        <v>0.5357142857142857</v>
      </c>
      <c r="M315" s="70" t="s">
        <v>2287</v>
      </c>
      <c r="N315" s="70" t="s">
        <v>2287</v>
      </c>
      <c r="O315" s="70" t="s">
        <v>2287</v>
      </c>
      <c r="P315" s="70" t="s">
        <v>2287</v>
      </c>
      <c r="Q315" s="70" t="s">
        <v>2287</v>
      </c>
      <c r="R315" s="70"/>
      <c r="S315" s="70"/>
      <c r="T315" s="70" t="s">
        <v>2287</v>
      </c>
      <c r="U315" s="70" t="s">
        <v>2287</v>
      </c>
      <c r="W315" s="70"/>
      <c r="X315" s="70" t="s">
        <v>2287</v>
      </c>
      <c r="Y315" s="70" t="s">
        <v>2287</v>
      </c>
      <c r="Z315" s="70" t="s">
        <v>2287</v>
      </c>
      <c r="AA315" s="70" t="s">
        <v>2287</v>
      </c>
      <c r="AB315" s="70" t="s">
        <v>2287</v>
      </c>
      <c r="AC315" s="70" t="s">
        <v>2287</v>
      </c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15</v>
      </c>
      <c r="J316" s="147" t="s">
        <v>1923</v>
      </c>
      <c r="K316" s="31">
        <f t="shared" si="18"/>
        <v>13</v>
      </c>
      <c r="L316" s="32">
        <f t="shared" si="19"/>
        <v>0.5357142857142857</v>
      </c>
      <c r="M316" s="70" t="s">
        <v>2287</v>
      </c>
      <c r="N316" s="70" t="s">
        <v>2287</v>
      </c>
      <c r="O316" s="70" t="s">
        <v>2287</v>
      </c>
      <c r="P316" s="70" t="s">
        <v>2287</v>
      </c>
      <c r="Q316" s="70" t="s">
        <v>2287</v>
      </c>
      <c r="R316" s="70"/>
      <c r="S316" s="70"/>
      <c r="T316" s="70" t="s">
        <v>2287</v>
      </c>
      <c r="U316" s="70" t="s">
        <v>2287</v>
      </c>
      <c r="V316" s="70"/>
      <c r="W316" s="70"/>
      <c r="X316" s="70" t="s">
        <v>2287</v>
      </c>
      <c r="Y316" s="70" t="s">
        <v>2287</v>
      </c>
      <c r="Z316" s="70" t="s">
        <v>2287</v>
      </c>
      <c r="AA316" s="70" t="s">
        <v>2287</v>
      </c>
      <c r="AB316" s="70" t="s">
        <v>2287</v>
      </c>
      <c r="AC316" s="70" t="s">
        <v>2287</v>
      </c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1924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1925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1926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27</v>
      </c>
      <c r="J320" s="147" t="s">
        <v>1927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2287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1928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1929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1930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1931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1932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1933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1934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1935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1936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2256</v>
      </c>
      <c r="C330" t="s">
        <v>1063</v>
      </c>
      <c r="D330" s="68" t="s">
        <v>2238</v>
      </c>
      <c r="E330" s="85" t="s">
        <v>15</v>
      </c>
      <c r="F330" s="30" t="s">
        <v>28</v>
      </c>
      <c r="G330" s="30"/>
      <c r="H330" s="30" t="s">
        <v>2257</v>
      </c>
      <c r="I330" s="31">
        <f t="shared" si="17"/>
        <v>28</v>
      </c>
      <c r="J330" s="153" t="s">
        <v>2239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2240</v>
      </c>
      <c r="C331" t="s">
        <v>1063</v>
      </c>
      <c r="D331" s="68" t="s">
        <v>2241</v>
      </c>
      <c r="E331" s="85" t="s">
        <v>15</v>
      </c>
      <c r="F331" s="30" t="s">
        <v>28</v>
      </c>
      <c r="G331" s="30"/>
      <c r="H331" s="30" t="s">
        <v>2242</v>
      </c>
      <c r="I331" s="31">
        <f t="shared" si="17"/>
        <v>25</v>
      </c>
      <c r="J331" s="147" t="s">
        <v>2243</v>
      </c>
      <c r="K331" s="31">
        <f t="shared" si="18"/>
        <v>3</v>
      </c>
      <c r="L331" s="32">
        <f t="shared" si="19"/>
        <v>0.8928571428571429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2287</v>
      </c>
      <c r="AB331" s="70" t="s">
        <v>2287</v>
      </c>
      <c r="AC331" s="70" t="s">
        <v>2287</v>
      </c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1937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1938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2287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1939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1940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1941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1942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1943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1944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1945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1946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1947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1948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1949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1950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2287</v>
      </c>
      <c r="Y348" s="70" t="s">
        <v>2287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2287</v>
      </c>
      <c r="Y349" s="70" t="s">
        <v>2287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24</v>
      </c>
      <c r="J350" s="147" t="s">
        <v>1951</v>
      </c>
      <c r="K350" s="31">
        <f t="shared" si="18"/>
        <v>4</v>
      </c>
      <c r="L350" s="32">
        <f t="shared" si="19"/>
        <v>0.8571428571428571</v>
      </c>
      <c r="M350" s="70"/>
      <c r="N350" s="70"/>
      <c r="O350" s="70"/>
      <c r="P350" s="70"/>
      <c r="Q350" s="70"/>
      <c r="R350" s="70" t="s">
        <v>2287</v>
      </c>
      <c r="S350" s="70" t="s">
        <v>2287</v>
      </c>
      <c r="T350" s="70" t="s">
        <v>2287</v>
      </c>
      <c r="U350" s="70"/>
      <c r="V350" s="70"/>
      <c r="W350" s="70"/>
      <c r="X350" s="70"/>
      <c r="Y350" s="70"/>
      <c r="Z350" s="70"/>
      <c r="AA350" s="70"/>
      <c r="AB350" s="70"/>
      <c r="AC350" s="70" t="s">
        <v>2287</v>
      </c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1952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1953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2233</v>
      </c>
      <c r="I353" s="31">
        <f t="shared" si="17"/>
        <v>27</v>
      </c>
      <c r="J353" s="147" t="s">
        <v>1954</v>
      </c>
      <c r="K353" s="31">
        <f t="shared" si="18"/>
        <v>1</v>
      </c>
      <c r="L353" s="32">
        <f t="shared" si="19"/>
        <v>0.9642857142857143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2287</v>
      </c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2234</v>
      </c>
      <c r="I354" s="31">
        <f t="shared" si="17"/>
        <v>27</v>
      </c>
      <c r="J354" s="147" t="s">
        <v>1955</v>
      </c>
      <c r="K354" s="31">
        <f t="shared" si="18"/>
        <v>1</v>
      </c>
      <c r="L354" s="32">
        <f t="shared" si="19"/>
        <v>0.9642857142857143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2287</v>
      </c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27</v>
      </c>
      <c r="J355" s="147" t="s">
        <v>1956</v>
      </c>
      <c r="K355" s="31">
        <f t="shared" si="18"/>
        <v>1</v>
      </c>
      <c r="L355" s="32">
        <f t="shared" si="19"/>
        <v>0.9642857142857143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2287</v>
      </c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27</v>
      </c>
      <c r="J356" s="147" t="s">
        <v>1957</v>
      </c>
      <c r="K356" s="31">
        <f t="shared" si="18"/>
        <v>1</v>
      </c>
      <c r="L356" s="32">
        <f t="shared" si="19"/>
        <v>0.9642857142857143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2287</v>
      </c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27</v>
      </c>
      <c r="J357" s="147" t="s">
        <v>1958</v>
      </c>
      <c r="K357" s="31">
        <f t="shared" si="18"/>
        <v>1</v>
      </c>
      <c r="L357" s="32">
        <f t="shared" si="19"/>
        <v>0.9642857142857143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2287</v>
      </c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27</v>
      </c>
      <c r="J358" s="147" t="s">
        <v>1959</v>
      </c>
      <c r="K358" s="31">
        <f t="shared" si="18"/>
        <v>1</v>
      </c>
      <c r="L358" s="32">
        <f t="shared" si="19"/>
        <v>0.9642857142857143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2287</v>
      </c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27</v>
      </c>
      <c r="J359" s="147" t="s">
        <v>1960</v>
      </c>
      <c r="K359" s="31">
        <f t="shared" si="18"/>
        <v>1</v>
      </c>
      <c r="L359" s="32">
        <f t="shared" si="19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2287</v>
      </c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27</v>
      </c>
      <c r="J360" s="147" t="s">
        <v>1961</v>
      </c>
      <c r="K360" s="31">
        <f t="shared" si="18"/>
        <v>1</v>
      </c>
      <c r="L360" s="32">
        <f t="shared" si="19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2287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1320</v>
      </c>
      <c r="B361" s="73" t="s">
        <v>1574</v>
      </c>
      <c r="C361" s="73" t="s">
        <v>1062</v>
      </c>
      <c r="D361" s="73" t="s">
        <v>1577</v>
      </c>
      <c r="E361" s="85" t="s">
        <v>73</v>
      </c>
      <c r="F361" s="85" t="s">
        <v>1301</v>
      </c>
      <c r="H361" s="85" t="s">
        <v>1578</v>
      </c>
      <c r="I361" s="31">
        <f t="shared" si="17"/>
        <v>28</v>
      </c>
      <c r="J361" s="147" t="s">
        <v>1962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1320</v>
      </c>
      <c r="B362" s="73" t="s">
        <v>1575</v>
      </c>
      <c r="C362" s="73" t="s">
        <v>1062</v>
      </c>
      <c r="D362" s="73" t="s">
        <v>1579</v>
      </c>
      <c r="E362" s="73" t="s">
        <v>73</v>
      </c>
      <c r="F362" s="85" t="s">
        <v>1301</v>
      </c>
      <c r="H362" s="85" t="s">
        <v>1580</v>
      </c>
      <c r="I362" s="31">
        <f t="shared" si="17"/>
        <v>28</v>
      </c>
      <c r="J362" s="147" t="s">
        <v>1963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1320</v>
      </c>
      <c r="B363" s="73" t="s">
        <v>1576</v>
      </c>
      <c r="C363" s="73" t="s">
        <v>1062</v>
      </c>
      <c r="D363" s="73" t="s">
        <v>1581</v>
      </c>
      <c r="E363" s="73" t="s">
        <v>73</v>
      </c>
      <c r="F363" s="85" t="s">
        <v>1301</v>
      </c>
      <c r="H363" s="85" t="s">
        <v>1582</v>
      </c>
      <c r="I363" s="31">
        <f t="shared" si="17"/>
        <v>28</v>
      </c>
      <c r="J363" s="147" t="s">
        <v>1964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1320</v>
      </c>
      <c r="B364" s="73" t="s">
        <v>1635</v>
      </c>
      <c r="C364" s="73" t="s">
        <v>1062</v>
      </c>
      <c r="D364" s="73" t="s">
        <v>1636</v>
      </c>
      <c r="E364" s="73" t="s">
        <v>19</v>
      </c>
      <c r="F364" s="85" t="s">
        <v>1301</v>
      </c>
      <c r="H364" s="85" t="s">
        <v>1637</v>
      </c>
      <c r="I364" s="31">
        <f t="shared" si="17"/>
        <v>28</v>
      </c>
      <c r="J364" s="147" t="s">
        <v>2146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1965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1966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2176</v>
      </c>
      <c r="C368" s="73" t="s">
        <v>1062</v>
      </c>
      <c r="D368" s="73" t="s">
        <v>2177</v>
      </c>
      <c r="E368" s="85" t="s">
        <v>73</v>
      </c>
      <c r="F368" s="30" t="s">
        <v>28</v>
      </c>
      <c r="G368" s="85"/>
      <c r="H368" s="85" t="s">
        <v>2178</v>
      </c>
      <c r="I368" s="142">
        <f t="shared" si="17"/>
        <v>28</v>
      </c>
      <c r="J368" s="153" t="s">
        <v>2179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1967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1968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1969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1970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1971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12</v>
      </c>
      <c r="J375" s="73"/>
      <c r="K375" s="31">
        <f t="shared" si="18"/>
        <v>16</v>
      </c>
      <c r="L375" s="32">
        <f t="shared" si="19"/>
        <v>0.42857142857142855</v>
      </c>
      <c r="M375" s="70" t="s">
        <v>2287</v>
      </c>
      <c r="N375" s="70" t="s">
        <v>2287</v>
      </c>
      <c r="O375" s="70" t="s">
        <v>2287</v>
      </c>
      <c r="P375" s="70" t="s">
        <v>2287</v>
      </c>
      <c r="Q375" s="70" t="s">
        <v>2287</v>
      </c>
      <c r="R375" s="70" t="s">
        <v>2287</v>
      </c>
      <c r="S375" s="70" t="s">
        <v>2287</v>
      </c>
      <c r="T375" s="70" t="s">
        <v>2287</v>
      </c>
      <c r="U375" s="70" t="s">
        <v>2287</v>
      </c>
      <c r="V375" s="70" t="s">
        <v>2287</v>
      </c>
      <c r="W375" s="70"/>
      <c r="X375" s="70" t="s">
        <v>2287</v>
      </c>
      <c r="Y375" s="70" t="s">
        <v>2287</v>
      </c>
      <c r="Z375" s="70" t="s">
        <v>2287</v>
      </c>
      <c r="AA375" s="70" t="s">
        <v>2287</v>
      </c>
      <c r="AB375" s="70" t="s">
        <v>2287</v>
      </c>
      <c r="AC375" s="70" t="s">
        <v>2287</v>
      </c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2123</v>
      </c>
      <c r="I376" s="142">
        <f t="shared" si="17"/>
        <v>28</v>
      </c>
      <c r="J376" s="147" t="s">
        <v>1972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27</v>
      </c>
      <c r="J377" s="147" t="s">
        <v>1973</v>
      </c>
      <c r="K377" s="87">
        <f t="shared" si="18"/>
        <v>1</v>
      </c>
      <c r="L377" s="88">
        <f t="shared" si="19"/>
        <v>0.9642857142857143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 t="s">
        <v>2287</v>
      </c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20</v>
      </c>
      <c r="J378" s="147" t="s">
        <v>1974</v>
      </c>
      <c r="K378" s="31">
        <f t="shared" si="18"/>
        <v>8</v>
      </c>
      <c r="L378" s="32">
        <f t="shared" si="19"/>
        <v>0.7142857142857143</v>
      </c>
      <c r="M378" s="70" t="s">
        <v>2287</v>
      </c>
      <c r="N378" s="70" t="s">
        <v>2287</v>
      </c>
      <c r="O378" s="70"/>
      <c r="P378" s="70"/>
      <c r="Q378" s="70"/>
      <c r="R378" s="70" t="s">
        <v>2287</v>
      </c>
      <c r="S378" s="70" t="s">
        <v>2287</v>
      </c>
      <c r="T378" s="70" t="s">
        <v>2287</v>
      </c>
      <c r="U378" s="70" t="s">
        <v>2287</v>
      </c>
      <c r="V378" s="70" t="s">
        <v>2287</v>
      </c>
      <c r="W378" s="70"/>
      <c r="X378" s="70" t="s">
        <v>2287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20</v>
      </c>
      <c r="J379" s="147" t="s">
        <v>1975</v>
      </c>
      <c r="K379" s="31">
        <f t="shared" si="18"/>
        <v>8</v>
      </c>
      <c r="L379" s="32">
        <f t="shared" si="19"/>
        <v>0.7142857142857143</v>
      </c>
      <c r="M379" s="70" t="s">
        <v>2287</v>
      </c>
      <c r="N379" s="70" t="s">
        <v>2287</v>
      </c>
      <c r="O379" s="70"/>
      <c r="P379" s="70"/>
      <c r="Q379" s="70"/>
      <c r="R379" s="70" t="s">
        <v>2287</v>
      </c>
      <c r="S379" s="70" t="s">
        <v>2287</v>
      </c>
      <c r="T379" s="70" t="s">
        <v>2287</v>
      </c>
      <c r="U379" s="70" t="s">
        <v>2287</v>
      </c>
      <c r="V379" s="70" t="s">
        <v>2287</v>
      </c>
      <c r="W379" s="70"/>
      <c r="X379" s="70" t="s">
        <v>2287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20</v>
      </c>
      <c r="J380" s="147" t="s">
        <v>1976</v>
      </c>
      <c r="K380" s="31">
        <f t="shared" si="18"/>
        <v>8</v>
      </c>
      <c r="L380" s="32">
        <f t="shared" si="19"/>
        <v>0.7142857142857143</v>
      </c>
      <c r="M380" s="70" t="s">
        <v>2287</v>
      </c>
      <c r="N380" s="70" t="s">
        <v>2287</v>
      </c>
      <c r="O380" s="70"/>
      <c r="P380" s="70"/>
      <c r="Q380" s="70"/>
      <c r="R380" s="70" t="s">
        <v>2287</v>
      </c>
      <c r="S380" s="70" t="s">
        <v>2287</v>
      </c>
      <c r="T380" s="70" t="s">
        <v>2287</v>
      </c>
      <c r="U380" s="70" t="s">
        <v>2287</v>
      </c>
      <c r="V380" s="70" t="s">
        <v>2287</v>
      </c>
      <c r="W380" s="70"/>
      <c r="X380" s="70" t="s">
        <v>2287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15</v>
      </c>
      <c r="J381" s="147" t="s">
        <v>1977</v>
      </c>
      <c r="K381" s="31">
        <f t="shared" ref="K381:K462" si="21">COUNTIF(M381:AN381,"APAGADO")</f>
        <v>13</v>
      </c>
      <c r="L381" s="32">
        <f t="shared" ref="L381:L462" si="22">(I381)/(K381+I381)</f>
        <v>0.5357142857142857</v>
      </c>
      <c r="M381" s="70" t="s">
        <v>2287</v>
      </c>
      <c r="N381" s="70" t="s">
        <v>2287</v>
      </c>
      <c r="O381" s="70"/>
      <c r="P381" s="70"/>
      <c r="Q381" s="70"/>
      <c r="R381" s="70" t="s">
        <v>2287</v>
      </c>
      <c r="S381" s="70" t="s">
        <v>2287</v>
      </c>
      <c r="T381" s="70" t="s">
        <v>2287</v>
      </c>
      <c r="U381" s="70" t="s">
        <v>2287</v>
      </c>
      <c r="V381" s="70" t="s">
        <v>2287</v>
      </c>
      <c r="W381" s="70"/>
      <c r="X381" s="70" t="s">
        <v>2287</v>
      </c>
      <c r="Y381" s="70" t="s">
        <v>2287</v>
      </c>
      <c r="Z381" s="70" t="s">
        <v>2287</v>
      </c>
      <c r="AA381" s="70" t="s">
        <v>2287</v>
      </c>
      <c r="AB381" s="70" t="s">
        <v>2287</v>
      </c>
      <c r="AC381" s="70" t="s">
        <v>2287</v>
      </c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15</v>
      </c>
      <c r="J382" s="147" t="s">
        <v>1978</v>
      </c>
      <c r="K382" s="31">
        <f t="shared" si="21"/>
        <v>13</v>
      </c>
      <c r="L382" s="32">
        <f t="shared" si="22"/>
        <v>0.5357142857142857</v>
      </c>
      <c r="M382" s="70" t="s">
        <v>2287</v>
      </c>
      <c r="N382" s="70" t="s">
        <v>2287</v>
      </c>
      <c r="O382" s="70"/>
      <c r="P382" s="70"/>
      <c r="Q382" s="70"/>
      <c r="R382" s="70" t="s">
        <v>2287</v>
      </c>
      <c r="S382" s="70" t="s">
        <v>2287</v>
      </c>
      <c r="T382" s="70" t="s">
        <v>2287</v>
      </c>
      <c r="U382" s="70" t="s">
        <v>2287</v>
      </c>
      <c r="V382" s="70" t="s">
        <v>2287</v>
      </c>
      <c r="W382" s="70"/>
      <c r="X382" s="70" t="s">
        <v>2287</v>
      </c>
      <c r="Y382" s="70" t="s">
        <v>2287</v>
      </c>
      <c r="Z382" s="70" t="s">
        <v>2287</v>
      </c>
      <c r="AA382" s="70" t="s">
        <v>2287</v>
      </c>
      <c r="AB382" s="70" t="s">
        <v>2287</v>
      </c>
      <c r="AC382" s="70" t="s">
        <v>2287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1979</v>
      </c>
      <c r="K383" s="31">
        <f t="shared" si="21"/>
        <v>8</v>
      </c>
      <c r="L383" s="32">
        <f t="shared" si="22"/>
        <v>0.7142857142857143</v>
      </c>
      <c r="M383" s="70" t="s">
        <v>2287</v>
      </c>
      <c r="N383" s="70" t="s">
        <v>2287</v>
      </c>
      <c r="O383" s="70"/>
      <c r="P383" s="70"/>
      <c r="Q383" s="70"/>
      <c r="R383" s="70" t="s">
        <v>2287</v>
      </c>
      <c r="S383" s="70" t="s">
        <v>2287</v>
      </c>
      <c r="T383" s="70" t="s">
        <v>2287</v>
      </c>
      <c r="U383" s="70" t="s">
        <v>2287</v>
      </c>
      <c r="V383" s="70" t="s">
        <v>2287</v>
      </c>
      <c r="W383" s="70"/>
      <c r="X383" s="70" t="s">
        <v>2287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1980</v>
      </c>
      <c r="K384" s="31">
        <f t="shared" si="21"/>
        <v>8</v>
      </c>
      <c r="L384" s="32">
        <f t="shared" si="22"/>
        <v>0.7142857142857143</v>
      </c>
      <c r="M384" s="70" t="s">
        <v>2287</v>
      </c>
      <c r="N384" s="70" t="s">
        <v>2287</v>
      </c>
      <c r="O384" s="70"/>
      <c r="P384" s="70"/>
      <c r="Q384" s="70"/>
      <c r="R384" s="70" t="s">
        <v>2287</v>
      </c>
      <c r="S384" s="70" t="s">
        <v>2287</v>
      </c>
      <c r="T384" s="70" t="s">
        <v>2287</v>
      </c>
      <c r="U384" s="70" t="s">
        <v>2287</v>
      </c>
      <c r="V384" s="70" t="s">
        <v>2287</v>
      </c>
      <c r="W384" s="70"/>
      <c r="X384" s="70" t="s">
        <v>2287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20</v>
      </c>
      <c r="J385" s="147" t="s">
        <v>1981</v>
      </c>
      <c r="K385" s="31">
        <f t="shared" si="21"/>
        <v>8</v>
      </c>
      <c r="L385" s="32">
        <f t="shared" si="22"/>
        <v>0.7142857142857143</v>
      </c>
      <c r="M385" s="70" t="s">
        <v>2287</v>
      </c>
      <c r="N385" s="70" t="s">
        <v>2287</v>
      </c>
      <c r="O385" s="70"/>
      <c r="P385" s="70"/>
      <c r="Q385" s="70"/>
      <c r="R385" s="70" t="s">
        <v>2287</v>
      </c>
      <c r="S385" s="70" t="s">
        <v>2287</v>
      </c>
      <c r="T385" s="70" t="s">
        <v>2287</v>
      </c>
      <c r="U385" s="70" t="s">
        <v>2287</v>
      </c>
      <c r="V385" s="70" t="s">
        <v>2287</v>
      </c>
      <c r="W385" s="70"/>
      <c r="X385" s="70" t="s">
        <v>2287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20</v>
      </c>
      <c r="J386" s="147" t="s">
        <v>1982</v>
      </c>
      <c r="K386" s="31">
        <f t="shared" si="21"/>
        <v>8</v>
      </c>
      <c r="L386" s="32">
        <f t="shared" si="22"/>
        <v>0.7142857142857143</v>
      </c>
      <c r="M386" s="70" t="s">
        <v>2287</v>
      </c>
      <c r="N386" s="70" t="s">
        <v>2287</v>
      </c>
      <c r="O386" s="70"/>
      <c r="P386" s="70"/>
      <c r="Q386" s="70"/>
      <c r="R386" s="70" t="s">
        <v>2287</v>
      </c>
      <c r="S386" s="70" t="s">
        <v>2287</v>
      </c>
      <c r="T386" s="70" t="s">
        <v>2287</v>
      </c>
      <c r="U386" s="70" t="s">
        <v>2287</v>
      </c>
      <c r="V386" s="70" t="s">
        <v>2287</v>
      </c>
      <c r="W386" s="70"/>
      <c r="X386" s="70" t="s">
        <v>2287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15</v>
      </c>
      <c r="J387" s="147" t="s">
        <v>1983</v>
      </c>
      <c r="K387" s="31">
        <f t="shared" si="21"/>
        <v>13</v>
      </c>
      <c r="L387" s="32">
        <f t="shared" si="22"/>
        <v>0.5357142857142857</v>
      </c>
      <c r="M387" s="70" t="s">
        <v>2287</v>
      </c>
      <c r="N387" s="70" t="s">
        <v>2287</v>
      </c>
      <c r="O387" s="70"/>
      <c r="P387" s="70"/>
      <c r="Q387" s="70"/>
      <c r="R387" s="70" t="s">
        <v>2287</v>
      </c>
      <c r="S387" s="70" t="s">
        <v>2287</v>
      </c>
      <c r="T387" s="70" t="s">
        <v>2287</v>
      </c>
      <c r="U387" s="70" t="s">
        <v>2287</v>
      </c>
      <c r="V387" s="70" t="s">
        <v>2287</v>
      </c>
      <c r="W387" s="70"/>
      <c r="X387" s="70" t="s">
        <v>2287</v>
      </c>
      <c r="Y387" s="70" t="s">
        <v>2287</v>
      </c>
      <c r="Z387" s="70" t="s">
        <v>2287</v>
      </c>
      <c r="AA387" s="70" t="s">
        <v>2287</v>
      </c>
      <c r="AB387" s="70" t="s">
        <v>2287</v>
      </c>
      <c r="AC387" s="70" t="s">
        <v>2287</v>
      </c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12</v>
      </c>
      <c r="J388" s="147" t="s">
        <v>1984</v>
      </c>
      <c r="K388" s="31">
        <f t="shared" si="21"/>
        <v>16</v>
      </c>
      <c r="L388" s="32">
        <f t="shared" si="22"/>
        <v>0.42857142857142855</v>
      </c>
      <c r="M388" s="70" t="s">
        <v>2287</v>
      </c>
      <c r="N388" s="70" t="s">
        <v>2287</v>
      </c>
      <c r="O388" s="70" t="s">
        <v>2287</v>
      </c>
      <c r="P388" s="70" t="s">
        <v>2287</v>
      </c>
      <c r="Q388" s="70" t="s">
        <v>2287</v>
      </c>
      <c r="R388" s="70" t="s">
        <v>2287</v>
      </c>
      <c r="S388" s="70" t="s">
        <v>2287</v>
      </c>
      <c r="T388" s="70" t="s">
        <v>2287</v>
      </c>
      <c r="U388" s="70" t="s">
        <v>2287</v>
      </c>
      <c r="V388" s="70" t="s">
        <v>2287</v>
      </c>
      <c r="W388" s="70"/>
      <c r="X388" s="70" t="s">
        <v>2287</v>
      </c>
      <c r="Y388" s="70" t="s">
        <v>2287</v>
      </c>
      <c r="Z388" s="70" t="s">
        <v>2287</v>
      </c>
      <c r="AA388" s="70" t="s">
        <v>2287</v>
      </c>
      <c r="AB388" s="70" t="s">
        <v>2287</v>
      </c>
      <c r="AC388" s="70" t="s">
        <v>2287</v>
      </c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12</v>
      </c>
      <c r="J389" s="147" t="s">
        <v>1985</v>
      </c>
      <c r="K389" s="31">
        <f t="shared" si="21"/>
        <v>16</v>
      </c>
      <c r="L389" s="32">
        <f t="shared" si="22"/>
        <v>0.42857142857142855</v>
      </c>
      <c r="M389" s="70" t="s">
        <v>2287</v>
      </c>
      <c r="N389" s="70" t="s">
        <v>2287</v>
      </c>
      <c r="O389" s="70" t="s">
        <v>2287</v>
      </c>
      <c r="P389" s="70" t="s">
        <v>2287</v>
      </c>
      <c r="Q389" s="70" t="s">
        <v>2287</v>
      </c>
      <c r="R389" s="70" t="s">
        <v>2287</v>
      </c>
      <c r="S389" s="70" t="s">
        <v>2287</v>
      </c>
      <c r="T389" s="70" t="s">
        <v>2287</v>
      </c>
      <c r="U389" s="70" t="s">
        <v>2287</v>
      </c>
      <c r="V389" s="70" t="s">
        <v>2287</v>
      </c>
      <c r="W389" s="70"/>
      <c r="X389" s="70" t="s">
        <v>2287</v>
      </c>
      <c r="Y389" s="70" t="s">
        <v>2287</v>
      </c>
      <c r="Z389" s="70" t="s">
        <v>2287</v>
      </c>
      <c r="AA389" s="70" t="s">
        <v>2287</v>
      </c>
      <c r="AB389" s="70" t="s">
        <v>2287</v>
      </c>
      <c r="AC389" s="70" t="s">
        <v>2287</v>
      </c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1986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1987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1988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1632</v>
      </c>
      <c r="C393" t="s">
        <v>1062</v>
      </c>
      <c r="D393" t="s">
        <v>1633</v>
      </c>
      <c r="E393" s="30" t="s">
        <v>19</v>
      </c>
      <c r="F393" s="30" t="s">
        <v>28</v>
      </c>
      <c r="G393" s="30"/>
      <c r="H393" s="85" t="s">
        <v>1634</v>
      </c>
      <c r="I393" s="31">
        <f t="shared" si="20"/>
        <v>13</v>
      </c>
      <c r="J393" s="87"/>
      <c r="K393" s="31">
        <f t="shared" si="21"/>
        <v>15</v>
      </c>
      <c r="L393" s="32">
        <f t="shared" si="22"/>
        <v>0.4642857142857143</v>
      </c>
      <c r="M393" s="70"/>
      <c r="N393" s="70" t="s">
        <v>2287</v>
      </c>
      <c r="O393" s="70" t="s">
        <v>2287</v>
      </c>
      <c r="P393" s="84" t="s">
        <v>2287</v>
      </c>
      <c r="Q393" s="84" t="s">
        <v>2287</v>
      </c>
      <c r="R393" s="84" t="s">
        <v>2287</v>
      </c>
      <c r="S393" s="84" t="s">
        <v>2287</v>
      </c>
      <c r="T393" s="84" t="s">
        <v>2287</v>
      </c>
      <c r="U393" s="84" t="s">
        <v>2287</v>
      </c>
      <c r="V393" s="84" t="s">
        <v>2287</v>
      </c>
      <c r="W393" s="84"/>
      <c r="X393" s="84" t="s">
        <v>2287</v>
      </c>
      <c r="Y393" s="84" t="s">
        <v>2287</v>
      </c>
      <c r="Z393" s="84" t="s">
        <v>2287</v>
      </c>
      <c r="AA393" s="84" t="s">
        <v>2287</v>
      </c>
      <c r="AB393" s="84" t="s">
        <v>2287</v>
      </c>
      <c r="AC393" s="84" t="s">
        <v>2287</v>
      </c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2279</v>
      </c>
      <c r="C394" t="s">
        <v>1062</v>
      </c>
      <c r="D394" t="s">
        <v>2280</v>
      </c>
      <c r="E394" s="30" t="s">
        <v>19</v>
      </c>
      <c r="F394" s="85" t="s">
        <v>1301</v>
      </c>
      <c r="G394" s="30"/>
      <c r="H394" s="85" t="s">
        <v>2281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2287</v>
      </c>
      <c r="N395" s="70" t="s">
        <v>2287</v>
      </c>
      <c r="O395" s="70"/>
      <c r="P395" s="70"/>
      <c r="Q395" s="70" t="s">
        <v>2287</v>
      </c>
      <c r="R395" s="70" t="s">
        <v>2287</v>
      </c>
      <c r="S395" s="70" t="s">
        <v>2287</v>
      </c>
      <c r="T395" s="70" t="s">
        <v>2287</v>
      </c>
      <c r="U395" s="70" t="s">
        <v>2287</v>
      </c>
      <c r="V395" s="70" t="s">
        <v>2287</v>
      </c>
      <c r="W395" s="70"/>
      <c r="X395" s="70" t="s">
        <v>2287</v>
      </c>
      <c r="Y395" s="70" t="s">
        <v>2287</v>
      </c>
      <c r="Z395" s="70" t="s">
        <v>2287</v>
      </c>
      <c r="AA395" s="70" t="s">
        <v>2287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24</v>
      </c>
      <c r="J396" s="147" t="s">
        <v>1989</v>
      </c>
      <c r="K396" s="142">
        <f t="shared" si="21"/>
        <v>4</v>
      </c>
      <c r="L396" s="143">
        <f t="shared" si="22"/>
        <v>0.8571428571428571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2287</v>
      </c>
      <c r="Z396" s="70" t="s">
        <v>2287</v>
      </c>
      <c r="AA396" s="70" t="s">
        <v>2287</v>
      </c>
      <c r="AB396" s="70"/>
      <c r="AC396" s="70" t="s">
        <v>2287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2287</v>
      </c>
      <c r="S397" s="70" t="s">
        <v>2287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2287</v>
      </c>
      <c r="S398" s="70" t="s">
        <v>2287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12</v>
      </c>
      <c r="J399" s="147" t="s">
        <v>1990</v>
      </c>
      <c r="K399" s="87">
        <f t="shared" si="21"/>
        <v>16</v>
      </c>
      <c r="L399" s="88">
        <f t="shared" si="22"/>
        <v>0.42857142857142855</v>
      </c>
      <c r="M399" s="89" t="s">
        <v>2287</v>
      </c>
      <c r="N399" s="89" t="s">
        <v>2287</v>
      </c>
      <c r="O399" s="89" t="s">
        <v>2287</v>
      </c>
      <c r="P399" s="89" t="s">
        <v>2287</v>
      </c>
      <c r="Q399" s="89" t="s">
        <v>2287</v>
      </c>
      <c r="R399" s="89" t="s">
        <v>2287</v>
      </c>
      <c r="S399" s="89" t="s">
        <v>2287</v>
      </c>
      <c r="T399" s="89" t="s">
        <v>2287</v>
      </c>
      <c r="U399" s="89" t="s">
        <v>2287</v>
      </c>
      <c r="V399" s="89" t="s">
        <v>2287</v>
      </c>
      <c r="W399" s="89"/>
      <c r="X399" s="89" t="s">
        <v>2287</v>
      </c>
      <c r="Y399" s="89" t="s">
        <v>2287</v>
      </c>
      <c r="Z399" s="89" t="s">
        <v>2287</v>
      </c>
      <c r="AA399" s="89" t="s">
        <v>2287</v>
      </c>
      <c r="AB399" s="89" t="s">
        <v>2287</v>
      </c>
      <c r="AC399" s="89" t="s">
        <v>2287</v>
      </c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2287</v>
      </c>
      <c r="P400" s="70"/>
      <c r="Q400" s="70"/>
      <c r="R400" s="70" t="s">
        <v>2287</v>
      </c>
      <c r="S400" s="70" t="s">
        <v>2287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12</v>
      </c>
      <c r="J401" s="147" t="s">
        <v>1991</v>
      </c>
      <c r="K401" s="31">
        <f t="shared" si="21"/>
        <v>16</v>
      </c>
      <c r="L401" s="32">
        <f t="shared" si="22"/>
        <v>0.42857142857142855</v>
      </c>
      <c r="M401" s="70" t="s">
        <v>2287</v>
      </c>
      <c r="N401" s="70" t="s">
        <v>2287</v>
      </c>
      <c r="O401" s="70" t="s">
        <v>2287</v>
      </c>
      <c r="P401" s="70" t="s">
        <v>2287</v>
      </c>
      <c r="Q401" s="70" t="s">
        <v>2287</v>
      </c>
      <c r="R401" s="70" t="s">
        <v>2287</v>
      </c>
      <c r="S401" s="70" t="s">
        <v>2287</v>
      </c>
      <c r="T401" s="70" t="s">
        <v>2287</v>
      </c>
      <c r="U401" s="70" t="s">
        <v>2287</v>
      </c>
      <c r="V401" s="70" t="s">
        <v>2287</v>
      </c>
      <c r="W401" s="70"/>
      <c r="X401" s="70" t="s">
        <v>2287</v>
      </c>
      <c r="Y401" s="70" t="s">
        <v>2287</v>
      </c>
      <c r="Z401" s="70" t="s">
        <v>2287</v>
      </c>
      <c r="AA401" s="70" t="s">
        <v>2287</v>
      </c>
      <c r="AB401" s="70" t="s">
        <v>2287</v>
      </c>
      <c r="AC401" s="70" t="s">
        <v>2287</v>
      </c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12</v>
      </c>
      <c r="J402" s="147" t="s">
        <v>1992</v>
      </c>
      <c r="K402" s="31">
        <f t="shared" si="21"/>
        <v>16</v>
      </c>
      <c r="L402" s="32">
        <f t="shared" si="22"/>
        <v>0.42857142857142855</v>
      </c>
      <c r="M402" s="70" t="s">
        <v>2287</v>
      </c>
      <c r="N402" s="70" t="s">
        <v>2287</v>
      </c>
      <c r="O402" s="70" t="s">
        <v>2287</v>
      </c>
      <c r="P402" s="70" t="s">
        <v>2287</v>
      </c>
      <c r="Q402" s="70" t="s">
        <v>2287</v>
      </c>
      <c r="R402" s="70" t="s">
        <v>2287</v>
      </c>
      <c r="S402" s="70" t="s">
        <v>2287</v>
      </c>
      <c r="T402" s="70" t="s">
        <v>2287</v>
      </c>
      <c r="U402" s="70" t="s">
        <v>2287</v>
      </c>
      <c r="V402" s="70" t="s">
        <v>2287</v>
      </c>
      <c r="W402" s="70"/>
      <c r="X402" s="70" t="s">
        <v>2287</v>
      </c>
      <c r="Y402" s="70" t="s">
        <v>2287</v>
      </c>
      <c r="Z402" s="70" t="s">
        <v>2287</v>
      </c>
      <c r="AA402" s="70" t="s">
        <v>2287</v>
      </c>
      <c r="AB402" s="70" t="s">
        <v>2287</v>
      </c>
      <c r="AC402" s="70" t="s">
        <v>2287</v>
      </c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1993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1994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1545</v>
      </c>
      <c r="C405" s="73" t="s">
        <v>1063</v>
      </c>
      <c r="D405" s="73" t="s">
        <v>1546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2287</v>
      </c>
      <c r="N405" s="70" t="s">
        <v>2287</v>
      </c>
      <c r="O405" s="70" t="s">
        <v>2287</v>
      </c>
      <c r="P405" s="70" t="s">
        <v>2287</v>
      </c>
      <c r="Q405" s="70" t="s">
        <v>2287</v>
      </c>
      <c r="R405" s="70" t="s">
        <v>2287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1547</v>
      </c>
      <c r="C406" s="73" t="s">
        <v>1063</v>
      </c>
      <c r="D406" s="73" t="s">
        <v>1546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2287</v>
      </c>
      <c r="N406" s="70" t="s">
        <v>2287</v>
      </c>
      <c r="O406" s="70" t="s">
        <v>2287</v>
      </c>
      <c r="P406" s="70" t="s">
        <v>2287</v>
      </c>
      <c r="Q406" s="70" t="s">
        <v>2287</v>
      </c>
      <c r="R406" s="70" t="s">
        <v>2287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1628</v>
      </c>
      <c r="C407" s="73" t="s">
        <v>1063</v>
      </c>
      <c r="D407" s="73" t="s">
        <v>1629</v>
      </c>
      <c r="E407" s="85" t="s">
        <v>73</v>
      </c>
      <c r="F407" s="85" t="s">
        <v>1301</v>
      </c>
      <c r="G407" s="85"/>
      <c r="H407" s="85" t="s">
        <v>1630</v>
      </c>
      <c r="I407" s="142">
        <f t="shared" si="20"/>
        <v>28</v>
      </c>
      <c r="J407" s="87" t="s">
        <v>2151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2147</v>
      </c>
      <c r="C408" s="73" t="s">
        <v>1063</v>
      </c>
      <c r="D408" s="73" t="s">
        <v>2148</v>
      </c>
      <c r="E408" s="92" t="s">
        <v>19</v>
      </c>
      <c r="F408" s="85" t="s">
        <v>1301</v>
      </c>
      <c r="G408" s="85"/>
      <c r="H408" s="85" t="s">
        <v>2149</v>
      </c>
      <c r="I408" s="142">
        <f t="shared" si="20"/>
        <v>28</v>
      </c>
      <c r="J408" s="87" t="s">
        <v>2150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2271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2200</v>
      </c>
      <c r="I409" s="31">
        <f t="shared" si="20"/>
        <v>28</v>
      </c>
      <c r="J409" s="87" t="s">
        <v>2201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2271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1995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2271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1996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2271</v>
      </c>
      <c r="B412" s="73" t="s">
        <v>2267</v>
      </c>
      <c r="C412" s="73" t="s">
        <v>1063</v>
      </c>
      <c r="D412" s="73" t="s">
        <v>2268</v>
      </c>
      <c r="E412" s="92" t="s">
        <v>19</v>
      </c>
      <c r="F412" s="85" t="s">
        <v>1301</v>
      </c>
      <c r="G412" s="85"/>
      <c r="H412" s="85" t="s">
        <v>2269</v>
      </c>
      <c r="I412" s="142">
        <f t="shared" si="20"/>
        <v>28</v>
      </c>
      <c r="J412" s="147" t="s">
        <v>2270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1997</v>
      </c>
      <c r="K413" s="142">
        <f t="shared" si="21"/>
        <v>5</v>
      </c>
      <c r="L413" s="143">
        <f t="shared" si="22"/>
        <v>0.8214285714285714</v>
      </c>
      <c r="M413" s="70" t="s">
        <v>2287</v>
      </c>
      <c r="N413" s="70" t="s">
        <v>2287</v>
      </c>
      <c r="O413" s="70" t="s">
        <v>2287</v>
      </c>
      <c r="P413" s="70" t="s">
        <v>2287</v>
      </c>
      <c r="Q413" s="70" t="s">
        <v>2287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1998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12</v>
      </c>
      <c r="J415" s="87"/>
      <c r="K415" s="31">
        <f t="shared" si="21"/>
        <v>16</v>
      </c>
      <c r="L415" s="32">
        <f t="shared" si="22"/>
        <v>0.42857142857142855</v>
      </c>
      <c r="M415" s="70" t="s">
        <v>2287</v>
      </c>
      <c r="N415" s="70" t="s">
        <v>2287</v>
      </c>
      <c r="O415" s="70" t="s">
        <v>2287</v>
      </c>
      <c r="P415" s="70" t="s">
        <v>2287</v>
      </c>
      <c r="Q415" s="70" t="s">
        <v>2287</v>
      </c>
      <c r="R415" s="70" t="s">
        <v>2287</v>
      </c>
      <c r="S415" s="70" t="s">
        <v>2287</v>
      </c>
      <c r="T415" s="70" t="s">
        <v>2287</v>
      </c>
      <c r="U415" s="70" t="s">
        <v>2287</v>
      </c>
      <c r="V415" s="70" t="s">
        <v>2287</v>
      </c>
      <c r="W415" s="70"/>
      <c r="X415" s="70" t="s">
        <v>2287</v>
      </c>
      <c r="Y415" s="70" t="s">
        <v>2287</v>
      </c>
      <c r="Z415" s="70" t="s">
        <v>2287</v>
      </c>
      <c r="AA415" s="70" t="s">
        <v>2287</v>
      </c>
      <c r="AB415" s="70" t="s">
        <v>2287</v>
      </c>
      <c r="AC415" s="70" t="s">
        <v>2287</v>
      </c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1999</v>
      </c>
      <c r="K416" s="142">
        <f t="shared" si="21"/>
        <v>5</v>
      </c>
      <c r="L416" s="143">
        <f t="shared" si="22"/>
        <v>0.8214285714285714</v>
      </c>
      <c r="M416" s="70" t="s">
        <v>2287</v>
      </c>
      <c r="N416" s="70" t="s">
        <v>2287</v>
      </c>
      <c r="O416" s="70" t="s">
        <v>2287</v>
      </c>
      <c r="P416" s="70" t="s">
        <v>2287</v>
      </c>
      <c r="Q416" s="70" t="s">
        <v>2287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27</v>
      </c>
      <c r="J417" s="147" t="s">
        <v>2000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 t="s">
        <v>2287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26</v>
      </c>
      <c r="J419" s="73" t="s">
        <v>2001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2287</v>
      </c>
      <c r="Y419" s="70" t="s">
        <v>2287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2002</v>
      </c>
      <c r="K420" s="31">
        <f t="shared" si="21"/>
        <v>5</v>
      </c>
      <c r="L420" s="32">
        <f t="shared" si="22"/>
        <v>0.8214285714285714</v>
      </c>
      <c r="M420" s="70" t="s">
        <v>2287</v>
      </c>
      <c r="N420" s="70" t="s">
        <v>2287</v>
      </c>
      <c r="O420" s="70" t="s">
        <v>2287</v>
      </c>
      <c r="P420" s="70" t="s">
        <v>2287</v>
      </c>
      <c r="Q420" s="70" t="s">
        <v>2287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22</v>
      </c>
      <c r="J421" s="147" t="s">
        <v>2003</v>
      </c>
      <c r="K421" s="31">
        <f t="shared" si="21"/>
        <v>6</v>
      </c>
      <c r="L421" s="32">
        <f t="shared" si="22"/>
        <v>0.7857142857142857</v>
      </c>
      <c r="M421" s="70" t="s">
        <v>2287</v>
      </c>
      <c r="N421" s="70" t="s">
        <v>2287</v>
      </c>
      <c r="O421" s="70" t="s">
        <v>2287</v>
      </c>
      <c r="P421" s="70" t="s">
        <v>2287</v>
      </c>
      <c r="Q421" s="70" t="s">
        <v>2287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2287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1124</v>
      </c>
      <c r="B422" s="73" t="s">
        <v>1560</v>
      </c>
      <c r="C422" s="73" t="s">
        <v>1063</v>
      </c>
      <c r="D422" s="73" t="s">
        <v>1561</v>
      </c>
      <c r="E422" s="85" t="s">
        <v>1114</v>
      </c>
      <c r="F422" s="85" t="s">
        <v>1301</v>
      </c>
      <c r="G422" s="85"/>
      <c r="H422" s="85" t="s">
        <v>1563</v>
      </c>
      <c r="I422" s="31">
        <f t="shared" si="20"/>
        <v>25</v>
      </c>
      <c r="J422" s="147" t="s">
        <v>2004</v>
      </c>
      <c r="K422" s="31">
        <f t="shared" si="21"/>
        <v>3</v>
      </c>
      <c r="L422" s="32">
        <f t="shared" si="22"/>
        <v>0.8928571428571429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2287</v>
      </c>
      <c r="Y422" s="70" t="s">
        <v>2287</v>
      </c>
      <c r="Z422" s="70"/>
      <c r="AA422" s="70"/>
      <c r="AB422" s="70" t="s">
        <v>2287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1124</v>
      </c>
      <c r="B423" s="73" t="s">
        <v>1559</v>
      </c>
      <c r="C423" s="73" t="s">
        <v>1063</v>
      </c>
      <c r="D423" s="73" t="s">
        <v>1562</v>
      </c>
      <c r="E423" s="85" t="s">
        <v>1114</v>
      </c>
      <c r="F423" s="85" t="s">
        <v>1301</v>
      </c>
      <c r="G423" s="85"/>
      <c r="H423" s="85" t="s">
        <v>1564</v>
      </c>
      <c r="I423" s="31">
        <f t="shared" si="20"/>
        <v>25</v>
      </c>
      <c r="J423" s="147" t="s">
        <v>2005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2287</v>
      </c>
      <c r="Y423" s="70" t="s">
        <v>2287</v>
      </c>
      <c r="Z423" s="70"/>
      <c r="AA423" s="70"/>
      <c r="AB423" s="70" t="s">
        <v>2287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1124</v>
      </c>
      <c r="B424" s="73" t="s">
        <v>2252</v>
      </c>
      <c r="C424" s="73" t="s">
        <v>1063</v>
      </c>
      <c r="D424" s="73" t="s">
        <v>2253</v>
      </c>
      <c r="E424" s="85" t="s">
        <v>1114</v>
      </c>
      <c r="F424" s="85"/>
      <c r="G424" s="85"/>
      <c r="H424" s="85" t="s">
        <v>2254</v>
      </c>
      <c r="I424" s="31">
        <f t="shared" si="20"/>
        <v>25</v>
      </c>
      <c r="J424" s="147"/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2287</v>
      </c>
      <c r="Y424" s="70" t="s">
        <v>2287</v>
      </c>
      <c r="Z424" s="70"/>
      <c r="AA424" s="70"/>
      <c r="AB424" s="70" t="s">
        <v>2287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2006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2007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2008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2009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18</v>
      </c>
      <c r="J429" s="147" t="s">
        <v>2010</v>
      </c>
      <c r="K429" s="31">
        <f t="shared" si="21"/>
        <v>10</v>
      </c>
      <c r="L429" s="32">
        <f t="shared" si="22"/>
        <v>0.6428571428571429</v>
      </c>
      <c r="M429" s="70" t="s">
        <v>2287</v>
      </c>
      <c r="N429" s="70" t="s">
        <v>2287</v>
      </c>
      <c r="O429" s="70" t="s">
        <v>2287</v>
      </c>
      <c r="P429" s="70" t="s">
        <v>2287</v>
      </c>
      <c r="Q429" s="70" t="s">
        <v>2287</v>
      </c>
      <c r="R429" s="70"/>
      <c r="S429" s="70"/>
      <c r="T429" s="70"/>
      <c r="U429" s="70"/>
      <c r="V429" s="70"/>
      <c r="W429" s="70"/>
      <c r="X429" s="70" t="s">
        <v>2287</v>
      </c>
      <c r="Y429" s="70" t="s">
        <v>2287</v>
      </c>
      <c r="Z429" s="70" t="s">
        <v>2287</v>
      </c>
      <c r="AA429" s="70"/>
      <c r="AB429" s="70" t="s">
        <v>2287</v>
      </c>
      <c r="AC429" s="70" t="s">
        <v>2287</v>
      </c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18</v>
      </c>
      <c r="J430" s="147" t="s">
        <v>2011</v>
      </c>
      <c r="K430" s="31">
        <f t="shared" si="21"/>
        <v>10</v>
      </c>
      <c r="L430" s="32">
        <f t="shared" si="22"/>
        <v>0.6428571428571429</v>
      </c>
      <c r="M430" s="70" t="s">
        <v>2287</v>
      </c>
      <c r="N430" s="70" t="s">
        <v>2287</v>
      </c>
      <c r="O430" s="70" t="s">
        <v>2287</v>
      </c>
      <c r="P430" s="70" t="s">
        <v>2287</v>
      </c>
      <c r="Q430" s="70" t="s">
        <v>2287</v>
      </c>
      <c r="R430" s="70"/>
      <c r="S430" s="70"/>
      <c r="T430" s="70"/>
      <c r="U430" s="70"/>
      <c r="V430" s="70"/>
      <c r="W430" s="70"/>
      <c r="X430" s="70" t="s">
        <v>2287</v>
      </c>
      <c r="Y430" s="70" t="s">
        <v>2287</v>
      </c>
      <c r="Z430" s="70" t="s">
        <v>2287</v>
      </c>
      <c r="AA430" s="70"/>
      <c r="AB430" s="70" t="s">
        <v>2287</v>
      </c>
      <c r="AC430" s="70" t="s">
        <v>2287</v>
      </c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2012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2013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20</v>
      </c>
      <c r="J434" s="147" t="s">
        <v>2014</v>
      </c>
      <c r="K434" s="31">
        <f t="shared" si="21"/>
        <v>8</v>
      </c>
      <c r="L434" s="32">
        <f t="shared" si="22"/>
        <v>0.7142857142857143</v>
      </c>
      <c r="M434" s="70" t="s">
        <v>2287</v>
      </c>
      <c r="N434" s="70" t="s">
        <v>2287</v>
      </c>
      <c r="O434" s="70" t="s">
        <v>2287</v>
      </c>
      <c r="P434" s="70" t="s">
        <v>2287</v>
      </c>
      <c r="Q434" s="70" t="s">
        <v>2287</v>
      </c>
      <c r="R434" s="70" t="s">
        <v>2287</v>
      </c>
      <c r="S434" s="70" t="s">
        <v>2287</v>
      </c>
      <c r="T434" s="70" t="s">
        <v>2287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2015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12</v>
      </c>
      <c r="J436" s="147" t="s">
        <v>2016</v>
      </c>
      <c r="K436" s="31">
        <f t="shared" si="21"/>
        <v>16</v>
      </c>
      <c r="L436" s="32">
        <f t="shared" si="22"/>
        <v>0.42857142857142855</v>
      </c>
      <c r="M436" s="70" t="s">
        <v>2287</v>
      </c>
      <c r="N436" s="70" t="s">
        <v>2287</v>
      </c>
      <c r="O436" s="70" t="s">
        <v>2287</v>
      </c>
      <c r="P436" s="70" t="s">
        <v>2287</v>
      </c>
      <c r="Q436" s="70" t="s">
        <v>2287</v>
      </c>
      <c r="R436" s="70" t="s">
        <v>2287</v>
      </c>
      <c r="S436" s="70" t="s">
        <v>2287</v>
      </c>
      <c r="T436" s="70" t="s">
        <v>2287</v>
      </c>
      <c r="U436" s="70" t="s">
        <v>2287</v>
      </c>
      <c r="V436" s="70" t="s">
        <v>2287</v>
      </c>
      <c r="W436" s="70"/>
      <c r="X436" s="70" t="s">
        <v>2287</v>
      </c>
      <c r="Y436" s="70" t="s">
        <v>2287</v>
      </c>
      <c r="Z436" s="70" t="s">
        <v>2287</v>
      </c>
      <c r="AA436" s="70" t="s">
        <v>2287</v>
      </c>
      <c r="AB436" s="70" t="s">
        <v>2287</v>
      </c>
      <c r="AC436" s="70" t="s">
        <v>2287</v>
      </c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15</v>
      </c>
      <c r="J441" s="147" t="s">
        <v>2017</v>
      </c>
      <c r="K441" s="31">
        <f t="shared" si="21"/>
        <v>13</v>
      </c>
      <c r="L441" s="32">
        <f t="shared" si="22"/>
        <v>0.5357142857142857</v>
      </c>
      <c r="M441" s="70" t="s">
        <v>2287</v>
      </c>
      <c r="N441" s="70" t="s">
        <v>2287</v>
      </c>
      <c r="O441" s="70" t="s">
        <v>2287</v>
      </c>
      <c r="P441" s="70" t="s">
        <v>2287</v>
      </c>
      <c r="Q441" s="70" t="s">
        <v>2287</v>
      </c>
      <c r="R441" s="70" t="s">
        <v>2287</v>
      </c>
      <c r="S441" s="70" t="s">
        <v>2287</v>
      </c>
      <c r="T441" s="70"/>
      <c r="U441" s="70"/>
      <c r="V441" s="70"/>
      <c r="W441" s="70"/>
      <c r="X441" s="70" t="s">
        <v>2287</v>
      </c>
      <c r="Y441" s="70" t="s">
        <v>2287</v>
      </c>
      <c r="Z441" s="70" t="s">
        <v>2287</v>
      </c>
      <c r="AA441" s="70" t="s">
        <v>2287</v>
      </c>
      <c r="AB441" s="70" t="s">
        <v>2287</v>
      </c>
      <c r="AC441" s="70" t="s">
        <v>2287</v>
      </c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12</v>
      </c>
      <c r="J442" s="147" t="s">
        <v>2018</v>
      </c>
      <c r="K442" s="31">
        <f t="shared" si="21"/>
        <v>16</v>
      </c>
      <c r="L442" s="32">
        <f t="shared" si="22"/>
        <v>0.42857142857142855</v>
      </c>
      <c r="M442" s="70" t="s">
        <v>2287</v>
      </c>
      <c r="N442" s="70" t="s">
        <v>2287</v>
      </c>
      <c r="O442" s="70" t="s">
        <v>2287</v>
      </c>
      <c r="P442" s="70" t="s">
        <v>2287</v>
      </c>
      <c r="Q442" s="70" t="s">
        <v>2287</v>
      </c>
      <c r="R442" s="70" t="s">
        <v>2287</v>
      </c>
      <c r="S442" s="70" t="s">
        <v>2287</v>
      </c>
      <c r="T442" s="70" t="s">
        <v>2287</v>
      </c>
      <c r="U442" s="70" t="s">
        <v>2287</v>
      </c>
      <c r="V442" s="70" t="s">
        <v>2287</v>
      </c>
      <c r="W442" s="70"/>
      <c r="X442" s="70" t="s">
        <v>2287</v>
      </c>
      <c r="Y442" s="70" t="s">
        <v>2287</v>
      </c>
      <c r="Z442" s="70" t="s">
        <v>2287</v>
      </c>
      <c r="AA442" s="70" t="s">
        <v>2287</v>
      </c>
      <c r="AB442" s="70" t="s">
        <v>2287</v>
      </c>
      <c r="AC442" s="70" t="s">
        <v>2287</v>
      </c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2019</v>
      </c>
      <c r="K443" s="142">
        <f t="shared" si="21"/>
        <v>1</v>
      </c>
      <c r="L443" s="143">
        <f t="shared" si="22"/>
        <v>0.9642857142857143</v>
      </c>
      <c r="M443" s="70" t="s">
        <v>2287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2020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17</v>
      </c>
      <c r="J446" s="147" t="s">
        <v>2022</v>
      </c>
      <c r="K446" s="31">
        <f t="shared" si="21"/>
        <v>11</v>
      </c>
      <c r="L446" s="32">
        <f t="shared" si="22"/>
        <v>0.6071428571428571</v>
      </c>
      <c r="M446" s="70" t="s">
        <v>2287</v>
      </c>
      <c r="N446" s="70" t="s">
        <v>2287</v>
      </c>
      <c r="O446" s="70" t="s">
        <v>2287</v>
      </c>
      <c r="P446" s="70" t="s">
        <v>2287</v>
      </c>
      <c r="Q446" s="70" t="s">
        <v>2287</v>
      </c>
      <c r="R446" s="70"/>
      <c r="S446" s="70"/>
      <c r="T446" s="70"/>
      <c r="U446" s="70"/>
      <c r="V446" s="70"/>
      <c r="W446" s="70"/>
      <c r="X446" s="70" t="s">
        <v>2287</v>
      </c>
      <c r="Y446" s="70" t="s">
        <v>2287</v>
      </c>
      <c r="Z446" s="70" t="s">
        <v>2287</v>
      </c>
      <c r="AA446" s="70" t="s">
        <v>2287</v>
      </c>
      <c r="AB446" s="70" t="s">
        <v>2287</v>
      </c>
      <c r="AC446" s="70" t="s">
        <v>2287</v>
      </c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17</v>
      </c>
      <c r="J447" s="147" t="s">
        <v>2023</v>
      </c>
      <c r="K447" s="31">
        <f t="shared" si="21"/>
        <v>11</v>
      </c>
      <c r="L447" s="32">
        <f t="shared" si="22"/>
        <v>0.6071428571428571</v>
      </c>
      <c r="M447" s="70" t="s">
        <v>2287</v>
      </c>
      <c r="N447" s="70" t="s">
        <v>2287</v>
      </c>
      <c r="O447" s="70" t="s">
        <v>2287</v>
      </c>
      <c r="P447" s="70" t="s">
        <v>2287</v>
      </c>
      <c r="Q447" s="70" t="s">
        <v>2287</v>
      </c>
      <c r="R447" s="70"/>
      <c r="S447" s="70"/>
      <c r="T447" s="70"/>
      <c r="U447" s="70"/>
      <c r="V447" s="70"/>
      <c r="W447" s="70"/>
      <c r="X447" s="70" t="s">
        <v>2287</v>
      </c>
      <c r="Y447" s="70" t="s">
        <v>2287</v>
      </c>
      <c r="Z447" s="70" t="s">
        <v>2287</v>
      </c>
      <c r="AA447" s="70" t="s">
        <v>2287</v>
      </c>
      <c r="AB447" s="70" t="s">
        <v>2287</v>
      </c>
      <c r="AC447" s="70" t="s">
        <v>2287</v>
      </c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20</v>
      </c>
      <c r="J448" s="147" t="s">
        <v>2024</v>
      </c>
      <c r="K448" s="31">
        <f t="shared" si="21"/>
        <v>8</v>
      </c>
      <c r="L448" s="32">
        <f t="shared" si="22"/>
        <v>0.7142857142857143</v>
      </c>
      <c r="M448" s="70" t="s">
        <v>2287</v>
      </c>
      <c r="N448" s="70" t="s">
        <v>2287</v>
      </c>
      <c r="O448" s="70" t="s">
        <v>2287</v>
      </c>
      <c r="P448" s="70" t="s">
        <v>2287</v>
      </c>
      <c r="Q448" s="70" t="s">
        <v>2287</v>
      </c>
      <c r="R448" s="70" t="s">
        <v>2287</v>
      </c>
      <c r="S448" s="70" t="s">
        <v>2287</v>
      </c>
      <c r="T448" s="70" t="s">
        <v>2287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2025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1604</v>
      </c>
      <c r="B450" s="73" t="s">
        <v>1605</v>
      </c>
      <c r="C450" s="73" t="s">
        <v>1063</v>
      </c>
      <c r="D450" s="146" t="s">
        <v>1606</v>
      </c>
      <c r="E450" s="85" t="s">
        <v>15</v>
      </c>
      <c r="F450" s="85" t="s">
        <v>1301</v>
      </c>
      <c r="G450" s="85"/>
      <c r="H450" s="85" t="s">
        <v>1607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1604</v>
      </c>
      <c r="B451" s="73" t="s">
        <v>1616</v>
      </c>
      <c r="C451" s="73" t="s">
        <v>1063</v>
      </c>
      <c r="D451" s="146" t="s">
        <v>1617</v>
      </c>
      <c r="E451" s="85" t="s">
        <v>19</v>
      </c>
      <c r="F451" s="85" t="s">
        <v>1301</v>
      </c>
      <c r="G451" s="85"/>
      <c r="H451" s="85" t="s">
        <v>1618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1610</v>
      </c>
      <c r="B452" s="73" t="s">
        <v>1609</v>
      </c>
      <c r="C452" s="73" t="s">
        <v>1063</v>
      </c>
      <c r="D452" s="146" t="s">
        <v>1611</v>
      </c>
      <c r="E452" s="85" t="s">
        <v>73</v>
      </c>
      <c r="F452" s="85" t="s">
        <v>1301</v>
      </c>
      <c r="G452" s="85"/>
      <c r="H452" s="85" t="s">
        <v>1612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1604</v>
      </c>
      <c r="B453" s="73" t="s">
        <v>1661</v>
      </c>
      <c r="C453" s="73" t="s">
        <v>1063</v>
      </c>
      <c r="D453" s="146" t="s">
        <v>1659</v>
      </c>
      <c r="E453" s="85" t="s">
        <v>73</v>
      </c>
      <c r="F453" s="85" t="s">
        <v>1301</v>
      </c>
      <c r="G453" s="85"/>
      <c r="H453" s="85" t="s">
        <v>1663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1604</v>
      </c>
      <c r="B454" s="73" t="s">
        <v>1662</v>
      </c>
      <c r="C454" s="73" t="s">
        <v>1063</v>
      </c>
      <c r="D454" s="146" t="s">
        <v>1660</v>
      </c>
      <c r="E454" s="85" t="s">
        <v>73</v>
      </c>
      <c r="F454" s="85" t="s">
        <v>1301</v>
      </c>
      <c r="G454" s="85"/>
      <c r="H454" s="85" t="s">
        <v>1664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1604</v>
      </c>
      <c r="B455" s="73" t="s">
        <v>2173</v>
      </c>
      <c r="C455" s="73" t="s">
        <v>1063</v>
      </c>
      <c r="D455" s="146" t="s">
        <v>2174</v>
      </c>
      <c r="E455" s="85"/>
      <c r="F455" s="85" t="s">
        <v>1301</v>
      </c>
      <c r="G455" s="85"/>
      <c r="H455" s="85" t="s">
        <v>2175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12</v>
      </c>
      <c r="J456" s="147" t="s">
        <v>2026</v>
      </c>
      <c r="K456" s="142">
        <f t="shared" si="21"/>
        <v>16</v>
      </c>
      <c r="L456" s="143">
        <f t="shared" si="22"/>
        <v>0.42857142857142855</v>
      </c>
      <c r="M456" s="70" t="s">
        <v>2287</v>
      </c>
      <c r="N456" s="70" t="s">
        <v>2287</v>
      </c>
      <c r="O456" s="70" t="s">
        <v>2287</v>
      </c>
      <c r="P456" s="70" t="s">
        <v>2287</v>
      </c>
      <c r="Q456" s="70" t="s">
        <v>2287</v>
      </c>
      <c r="R456" s="70" t="s">
        <v>2287</v>
      </c>
      <c r="S456" s="70" t="s">
        <v>2287</v>
      </c>
      <c r="T456" s="70" t="s">
        <v>2287</v>
      </c>
      <c r="U456" s="70" t="s">
        <v>2287</v>
      </c>
      <c r="V456" s="70" t="s">
        <v>2287</v>
      </c>
      <c r="W456" s="70"/>
      <c r="X456" s="70" t="s">
        <v>2287</v>
      </c>
      <c r="Y456" s="70" t="s">
        <v>2287</v>
      </c>
      <c r="Z456" s="70" t="s">
        <v>2287</v>
      </c>
      <c r="AA456" s="70" t="s">
        <v>2287</v>
      </c>
      <c r="AB456" s="70" t="s">
        <v>2287</v>
      </c>
      <c r="AC456" s="70" t="s">
        <v>2287</v>
      </c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12</v>
      </c>
      <c r="J457" s="147" t="s">
        <v>2027</v>
      </c>
      <c r="K457" s="142">
        <f t="shared" si="21"/>
        <v>16</v>
      </c>
      <c r="L457" s="143">
        <f t="shared" si="22"/>
        <v>0.42857142857142855</v>
      </c>
      <c r="M457" s="70" t="s">
        <v>2287</v>
      </c>
      <c r="N457" s="70" t="s">
        <v>2287</v>
      </c>
      <c r="O457" s="70" t="s">
        <v>2287</v>
      </c>
      <c r="P457" s="70" t="s">
        <v>2287</v>
      </c>
      <c r="Q457" s="70" t="s">
        <v>2287</v>
      </c>
      <c r="R457" s="70" t="s">
        <v>2287</v>
      </c>
      <c r="S457" s="70" t="s">
        <v>2287</v>
      </c>
      <c r="T457" s="70" t="s">
        <v>2287</v>
      </c>
      <c r="U457" s="70" t="s">
        <v>2287</v>
      </c>
      <c r="V457" s="70" t="s">
        <v>2287</v>
      </c>
      <c r="W457" s="70"/>
      <c r="X457" s="70" t="s">
        <v>2287</v>
      </c>
      <c r="Y457" s="70" t="s">
        <v>2287</v>
      </c>
      <c r="Z457" s="70" t="s">
        <v>2287</v>
      </c>
      <c r="AA457" s="70" t="s">
        <v>2287</v>
      </c>
      <c r="AB457" s="70" t="s">
        <v>2287</v>
      </c>
      <c r="AC457" s="70" t="s">
        <v>2287</v>
      </c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12</v>
      </c>
      <c r="J458" s="87"/>
      <c r="K458" s="142">
        <f t="shared" si="21"/>
        <v>16</v>
      </c>
      <c r="L458" s="143">
        <f t="shared" si="22"/>
        <v>0.42857142857142855</v>
      </c>
      <c r="M458" s="70" t="s">
        <v>2287</v>
      </c>
      <c r="N458" s="70" t="s">
        <v>2287</v>
      </c>
      <c r="O458" s="70" t="s">
        <v>2287</v>
      </c>
      <c r="P458" s="70" t="s">
        <v>2287</v>
      </c>
      <c r="Q458" s="70" t="s">
        <v>2287</v>
      </c>
      <c r="R458" s="70" t="s">
        <v>2287</v>
      </c>
      <c r="S458" s="70" t="s">
        <v>2287</v>
      </c>
      <c r="T458" s="70" t="s">
        <v>2287</v>
      </c>
      <c r="U458" s="70" t="s">
        <v>2287</v>
      </c>
      <c r="V458" s="70" t="s">
        <v>2287</v>
      </c>
      <c r="W458" s="70"/>
      <c r="X458" s="70" t="s">
        <v>2287</v>
      </c>
      <c r="Y458" s="70" t="s">
        <v>2287</v>
      </c>
      <c r="Z458" s="70" t="s">
        <v>2287</v>
      </c>
      <c r="AA458" s="70" t="s">
        <v>2287</v>
      </c>
      <c r="AB458" s="70" t="s">
        <v>2287</v>
      </c>
      <c r="AC458" s="70" t="s">
        <v>2287</v>
      </c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2142</v>
      </c>
      <c r="C459" t="s">
        <v>1062</v>
      </c>
      <c r="D459" s="73" t="s">
        <v>2143</v>
      </c>
      <c r="E459" s="85" t="s">
        <v>15</v>
      </c>
      <c r="F459" s="85" t="s">
        <v>1301</v>
      </c>
      <c r="G459" s="85"/>
      <c r="H459" s="85" t="s">
        <v>2144</v>
      </c>
      <c r="I459" s="142">
        <f t="shared" si="20"/>
        <v>18</v>
      </c>
      <c r="J459" s="153" t="s">
        <v>2145</v>
      </c>
      <c r="K459" s="142">
        <f t="shared" si="21"/>
        <v>10</v>
      </c>
      <c r="L459" s="143">
        <f t="shared" si="22"/>
        <v>0.6428571428571429</v>
      </c>
      <c r="M459" s="70" t="s">
        <v>2287</v>
      </c>
      <c r="N459" s="70" t="s">
        <v>2287</v>
      </c>
      <c r="O459" s="70" t="s">
        <v>2287</v>
      </c>
      <c r="P459" s="70" t="s">
        <v>2287</v>
      </c>
      <c r="Q459" s="70" t="s">
        <v>2287</v>
      </c>
      <c r="R459" s="70" t="s">
        <v>2287</v>
      </c>
      <c r="S459" s="70" t="s">
        <v>2287</v>
      </c>
      <c r="T459" s="70" t="s">
        <v>2287</v>
      </c>
      <c r="U459" s="70" t="s">
        <v>2287</v>
      </c>
      <c r="V459" s="70" t="s">
        <v>2287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2286</v>
      </c>
      <c r="C460" t="s">
        <v>1062</v>
      </c>
      <c r="D460" s="73" t="s">
        <v>1543</v>
      </c>
      <c r="E460" s="85"/>
      <c r="F460" s="85"/>
      <c r="G460" s="85"/>
      <c r="H460" s="85"/>
      <c r="I460" s="142">
        <f t="shared" si="20"/>
        <v>12</v>
      </c>
      <c r="J460" s="153"/>
      <c r="K460" s="142">
        <f t="shared" si="21"/>
        <v>16</v>
      </c>
      <c r="L460" s="143">
        <f t="shared" si="22"/>
        <v>0.42857142857142855</v>
      </c>
      <c r="M460" s="70" t="s">
        <v>2287</v>
      </c>
      <c r="N460" s="70" t="s">
        <v>2287</v>
      </c>
      <c r="O460" s="70" t="s">
        <v>2287</v>
      </c>
      <c r="P460" s="70" t="s">
        <v>2287</v>
      </c>
      <c r="Q460" s="70" t="s">
        <v>2287</v>
      </c>
      <c r="R460" s="70" t="s">
        <v>2287</v>
      </c>
      <c r="S460" s="70" t="s">
        <v>2287</v>
      </c>
      <c r="T460" s="70" t="s">
        <v>2287</v>
      </c>
      <c r="U460" s="70" t="s">
        <v>2287</v>
      </c>
      <c r="V460" s="70" t="s">
        <v>2287</v>
      </c>
      <c r="W460" s="70"/>
      <c r="X460" s="70" t="s">
        <v>2287</v>
      </c>
      <c r="Y460" s="70" t="s">
        <v>2287</v>
      </c>
      <c r="Z460" s="70" t="s">
        <v>2287</v>
      </c>
      <c r="AA460" s="70" t="s">
        <v>2287</v>
      </c>
      <c r="AB460" s="70" t="s">
        <v>2287</v>
      </c>
      <c r="AC460" s="70" t="s">
        <v>2287</v>
      </c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2028</v>
      </c>
      <c r="K461" s="31">
        <f t="shared" si="21"/>
        <v>4</v>
      </c>
      <c r="L461" s="32">
        <f t="shared" si="22"/>
        <v>0.8571428571428571</v>
      </c>
      <c r="M461" s="70"/>
      <c r="N461" s="70"/>
      <c r="O461" s="70"/>
      <c r="P461" s="70"/>
      <c r="Q461" s="70"/>
      <c r="R461" s="70" t="s">
        <v>2287</v>
      </c>
      <c r="S461" s="70" t="s">
        <v>2287</v>
      </c>
      <c r="T461" s="70" t="s">
        <v>2287</v>
      </c>
      <c r="U461" s="70"/>
      <c r="V461" s="70"/>
      <c r="W461" s="70"/>
      <c r="X461" s="70"/>
      <c r="Y461" s="70"/>
      <c r="Z461" s="70"/>
      <c r="AA461" s="70"/>
      <c r="AB461" s="70"/>
      <c r="AC461" s="70" t="s">
        <v>2287</v>
      </c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1062</v>
      </c>
      <c r="D462" t="s">
        <v>1614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22</v>
      </c>
      <c r="J462" s="147" t="s">
        <v>2029</v>
      </c>
      <c r="K462" s="31">
        <f t="shared" si="21"/>
        <v>6</v>
      </c>
      <c r="L462" s="32">
        <f t="shared" si="22"/>
        <v>0.7857142857142857</v>
      </c>
      <c r="M462" s="70"/>
      <c r="N462" s="70"/>
      <c r="O462" s="70"/>
      <c r="P462" s="70"/>
      <c r="Q462" s="70"/>
      <c r="R462" s="70" t="s">
        <v>2287</v>
      </c>
      <c r="S462" s="70" t="s">
        <v>2287</v>
      </c>
      <c r="T462" s="70" t="s">
        <v>2287</v>
      </c>
      <c r="U462" s="70"/>
      <c r="V462" s="70"/>
      <c r="W462" s="70"/>
      <c r="X462" s="70"/>
      <c r="Y462" s="70"/>
      <c r="Z462" s="70"/>
      <c r="AA462" s="70" t="s">
        <v>2287</v>
      </c>
      <c r="AB462" s="70" t="s">
        <v>2287</v>
      </c>
      <c r="AC462" s="70" t="s">
        <v>2287</v>
      </c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2030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2031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2032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2033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2034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2035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2036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2037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2038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2039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2040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2041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2042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1608</v>
      </c>
      <c r="C476" s="73" t="s">
        <v>1062</v>
      </c>
      <c r="D476" s="146" t="s">
        <v>1613</v>
      </c>
      <c r="E476" s="73" t="s">
        <v>15</v>
      </c>
      <c r="F476" s="73" t="s">
        <v>1301</v>
      </c>
      <c r="H476" s="85" t="s">
        <v>1615</v>
      </c>
      <c r="I476" s="87">
        <f t="shared" si="23"/>
        <v>28</v>
      </c>
      <c r="J476" s="87" t="s">
        <v>2165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1626</v>
      </c>
      <c r="C477" s="73" t="s">
        <v>1062</v>
      </c>
      <c r="D477" s="146" t="s">
        <v>1619</v>
      </c>
      <c r="E477" s="73" t="s">
        <v>19</v>
      </c>
      <c r="F477" s="73" t="s">
        <v>1301</v>
      </c>
      <c r="H477" s="85" t="s">
        <v>1627</v>
      </c>
      <c r="I477" s="87">
        <f t="shared" si="23"/>
        <v>28</v>
      </c>
      <c r="J477" s="87" t="s">
        <v>2166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1621</v>
      </c>
      <c r="C478" s="73" t="s">
        <v>1062</v>
      </c>
      <c r="D478" s="146" t="s">
        <v>1620</v>
      </c>
      <c r="E478" s="73" t="s">
        <v>1114</v>
      </c>
      <c r="F478" s="73" t="s">
        <v>1301</v>
      </c>
      <c r="H478" s="85" t="s">
        <v>1625</v>
      </c>
      <c r="I478" s="87">
        <f t="shared" si="23"/>
        <v>28</v>
      </c>
      <c r="J478" s="87" t="s">
        <v>2167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1622</v>
      </c>
      <c r="C479" s="73" t="s">
        <v>1062</v>
      </c>
      <c r="D479" s="146" t="s">
        <v>1623</v>
      </c>
      <c r="E479" s="73" t="s">
        <v>1114</v>
      </c>
      <c r="F479" s="73" t="s">
        <v>1301</v>
      </c>
      <c r="H479" s="85" t="s">
        <v>1624</v>
      </c>
      <c r="I479" s="87">
        <f t="shared" si="23"/>
        <v>28</v>
      </c>
      <c r="J479" s="87" t="s">
        <v>2168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2043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2287</v>
      </c>
      <c r="S481" s="70" t="s">
        <v>2287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2287</v>
      </c>
      <c r="S482" s="70" t="s">
        <v>2287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2287</v>
      </c>
      <c r="S483" s="70" t="s">
        <v>2287</v>
      </c>
      <c r="T483" s="70"/>
      <c r="U483" s="70"/>
      <c r="V483" s="70"/>
      <c r="W483" s="70"/>
      <c r="X483" s="70" t="s">
        <v>2287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2287</v>
      </c>
      <c r="S484" s="70" t="s">
        <v>2287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2287</v>
      </c>
      <c r="S485" s="70" t="s">
        <v>2287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2044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2047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2048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2049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2050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1063</v>
      </c>
      <c r="D494" t="s">
        <v>2255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27</v>
      </c>
      <c r="J495" s="147" t="s">
        <v>2053</v>
      </c>
      <c r="K495" s="31">
        <f t="shared" si="24"/>
        <v>1</v>
      </c>
      <c r="L495" s="32">
        <f t="shared" si="25"/>
        <v>0.9642857142857143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 t="s">
        <v>2287</v>
      </c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17</v>
      </c>
      <c r="J496" s="147" t="s">
        <v>2054</v>
      </c>
      <c r="K496" s="31">
        <f t="shared" si="24"/>
        <v>11</v>
      </c>
      <c r="L496" s="32">
        <f t="shared" si="25"/>
        <v>0.6071428571428571</v>
      </c>
      <c r="M496" s="70" t="s">
        <v>2287</v>
      </c>
      <c r="N496" s="70" t="s">
        <v>2287</v>
      </c>
      <c r="O496" s="70"/>
      <c r="P496" s="70"/>
      <c r="Q496" s="70" t="s">
        <v>2287</v>
      </c>
      <c r="R496" s="70" t="s">
        <v>2287</v>
      </c>
      <c r="S496" s="70" t="s">
        <v>2287</v>
      </c>
      <c r="T496" s="70" t="s">
        <v>2287</v>
      </c>
      <c r="U496" s="70"/>
      <c r="V496" s="70"/>
      <c r="W496" s="70"/>
      <c r="X496" s="70"/>
      <c r="Y496" s="70" t="s">
        <v>2287</v>
      </c>
      <c r="Z496" s="70" t="s">
        <v>2287</v>
      </c>
      <c r="AA496" s="70" t="s">
        <v>2287</v>
      </c>
      <c r="AB496" s="70" t="s">
        <v>2287</v>
      </c>
      <c r="AC496" s="70" t="s">
        <v>2287</v>
      </c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27</v>
      </c>
      <c r="J497" s="147" t="s">
        <v>2055</v>
      </c>
      <c r="K497" s="31">
        <f t="shared" si="24"/>
        <v>1</v>
      </c>
      <c r="L497" s="32">
        <f t="shared" si="25"/>
        <v>0.9642857142857143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 t="s">
        <v>2287</v>
      </c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2056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2057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2058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2059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2060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17</v>
      </c>
      <c r="J503" s="147" t="s">
        <v>2061</v>
      </c>
      <c r="K503" s="31">
        <f t="shared" si="24"/>
        <v>11</v>
      </c>
      <c r="L503" s="32">
        <f t="shared" si="25"/>
        <v>0.6071428571428571</v>
      </c>
      <c r="M503" s="70" t="s">
        <v>2287</v>
      </c>
      <c r="N503" s="70" t="s">
        <v>2287</v>
      </c>
      <c r="O503" s="70"/>
      <c r="P503" s="70"/>
      <c r="Q503" s="70" t="s">
        <v>2287</v>
      </c>
      <c r="R503" s="70" t="s">
        <v>2287</v>
      </c>
      <c r="S503" s="70" t="s">
        <v>2287</v>
      </c>
      <c r="T503" s="70" t="s">
        <v>2287</v>
      </c>
      <c r="U503" s="70"/>
      <c r="V503" s="70"/>
      <c r="W503" s="70"/>
      <c r="X503" s="70"/>
      <c r="Y503" s="70" t="s">
        <v>2287</v>
      </c>
      <c r="Z503" s="70" t="s">
        <v>2287</v>
      </c>
      <c r="AA503" s="70" t="s">
        <v>2287</v>
      </c>
      <c r="AB503" s="70" t="s">
        <v>2287</v>
      </c>
      <c r="AC503" s="70" t="s">
        <v>2287</v>
      </c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2062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2063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2064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2065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17</v>
      </c>
      <c r="J508" s="147" t="s">
        <v>2066</v>
      </c>
      <c r="K508" s="31">
        <f t="shared" si="24"/>
        <v>11</v>
      </c>
      <c r="L508" s="32">
        <f t="shared" si="25"/>
        <v>0.6071428571428571</v>
      </c>
      <c r="M508" s="70" t="s">
        <v>2287</v>
      </c>
      <c r="N508" s="70" t="s">
        <v>2287</v>
      </c>
      <c r="O508" s="70"/>
      <c r="P508" s="70"/>
      <c r="Q508" s="70" t="s">
        <v>2287</v>
      </c>
      <c r="R508" s="70" t="s">
        <v>2287</v>
      </c>
      <c r="S508" s="70" t="s">
        <v>2287</v>
      </c>
      <c r="T508" s="70" t="s">
        <v>2287</v>
      </c>
      <c r="U508" s="70"/>
      <c r="V508" s="70"/>
      <c r="W508" s="70"/>
      <c r="X508" s="70"/>
      <c r="Y508" s="70" t="s">
        <v>2287</v>
      </c>
      <c r="Z508" s="70" t="s">
        <v>2287</v>
      </c>
      <c r="AA508" s="70" t="s">
        <v>2287</v>
      </c>
      <c r="AB508" s="70" t="s">
        <v>2287</v>
      </c>
      <c r="AC508" s="70" t="s">
        <v>2287</v>
      </c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2067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12</v>
      </c>
      <c r="J510" s="147" t="s">
        <v>2068</v>
      </c>
      <c r="K510" s="31">
        <f t="shared" si="24"/>
        <v>16</v>
      </c>
      <c r="L510" s="32">
        <f t="shared" si="25"/>
        <v>0.42857142857142855</v>
      </c>
      <c r="M510" s="70" t="s">
        <v>2287</v>
      </c>
      <c r="N510" s="70" t="s">
        <v>2287</v>
      </c>
      <c r="O510" s="70" t="s">
        <v>2287</v>
      </c>
      <c r="P510" s="70" t="s">
        <v>2287</v>
      </c>
      <c r="Q510" s="70" t="s">
        <v>2287</v>
      </c>
      <c r="R510" s="70" t="s">
        <v>2287</v>
      </c>
      <c r="S510" s="70" t="s">
        <v>2287</v>
      </c>
      <c r="T510" s="70" t="s">
        <v>2287</v>
      </c>
      <c r="U510" s="70" t="s">
        <v>2287</v>
      </c>
      <c r="V510" s="70" t="s">
        <v>2287</v>
      </c>
      <c r="W510" s="70"/>
      <c r="X510" s="70" t="s">
        <v>2287</v>
      </c>
      <c r="Y510" s="70" t="s">
        <v>2287</v>
      </c>
      <c r="Z510" s="70" t="s">
        <v>2287</v>
      </c>
      <c r="AA510" s="70" t="s">
        <v>2287</v>
      </c>
      <c r="AB510" s="70" t="s">
        <v>2287</v>
      </c>
      <c r="AC510" s="70" t="s">
        <v>2287</v>
      </c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17</v>
      </c>
      <c r="J511" s="147" t="s">
        <v>2069</v>
      </c>
      <c r="K511" s="31">
        <f t="shared" si="24"/>
        <v>11</v>
      </c>
      <c r="L511" s="32">
        <f t="shared" si="25"/>
        <v>0.6071428571428571</v>
      </c>
      <c r="M511" s="70" t="s">
        <v>2287</v>
      </c>
      <c r="N511" s="70" t="s">
        <v>2287</v>
      </c>
      <c r="O511" s="70"/>
      <c r="P511" s="70"/>
      <c r="Q511" s="70" t="s">
        <v>2287</v>
      </c>
      <c r="R511" s="70" t="s">
        <v>2287</v>
      </c>
      <c r="S511" s="70" t="s">
        <v>2287</v>
      </c>
      <c r="T511" s="70" t="s">
        <v>2287</v>
      </c>
      <c r="U511" s="70"/>
      <c r="V511" s="70"/>
      <c r="W511" s="70"/>
      <c r="X511" s="70"/>
      <c r="Y511" s="70" t="s">
        <v>2287</v>
      </c>
      <c r="Z511" s="70" t="s">
        <v>2287</v>
      </c>
      <c r="AA511" s="70" t="s">
        <v>2287</v>
      </c>
      <c r="AB511" s="70" t="s">
        <v>2287</v>
      </c>
      <c r="AC511" s="70" t="s">
        <v>2287</v>
      </c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2070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17</v>
      </c>
      <c r="J514" s="147" t="s">
        <v>2071</v>
      </c>
      <c r="K514" s="31">
        <f t="shared" si="24"/>
        <v>11</v>
      </c>
      <c r="L514" s="32">
        <f t="shared" si="25"/>
        <v>0.6071428571428571</v>
      </c>
      <c r="M514" s="70" t="s">
        <v>2287</v>
      </c>
      <c r="N514" s="70" t="s">
        <v>2287</v>
      </c>
      <c r="O514" s="70"/>
      <c r="P514" s="70"/>
      <c r="Q514" s="70" t="s">
        <v>2287</v>
      </c>
      <c r="R514" s="70" t="s">
        <v>2287</v>
      </c>
      <c r="S514" s="70" t="s">
        <v>2287</v>
      </c>
      <c r="T514" s="70" t="s">
        <v>2287</v>
      </c>
      <c r="U514" s="70"/>
      <c r="V514" s="70"/>
      <c r="W514" s="70"/>
      <c r="X514" s="70"/>
      <c r="Y514" s="70" t="s">
        <v>2287</v>
      </c>
      <c r="Z514" s="70" t="s">
        <v>2287</v>
      </c>
      <c r="AA514" s="70" t="s">
        <v>2287</v>
      </c>
      <c r="AB514" s="70" t="s">
        <v>2287</v>
      </c>
      <c r="AC514" s="70" t="s">
        <v>2287</v>
      </c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18</v>
      </c>
      <c r="J515" s="147" t="s">
        <v>2072</v>
      </c>
      <c r="K515" s="31">
        <f t="shared" si="24"/>
        <v>10</v>
      </c>
      <c r="L515" s="32">
        <f t="shared" si="25"/>
        <v>0.6428571428571429</v>
      </c>
      <c r="M515" s="70" t="s">
        <v>2287</v>
      </c>
      <c r="N515" s="70" t="s">
        <v>2287</v>
      </c>
      <c r="O515" s="70"/>
      <c r="P515" s="70"/>
      <c r="Q515" s="70"/>
      <c r="R515" s="70" t="s">
        <v>2287</v>
      </c>
      <c r="S515" s="70" t="s">
        <v>2287</v>
      </c>
      <c r="T515" s="70" t="s">
        <v>2287</v>
      </c>
      <c r="U515" s="70"/>
      <c r="V515" s="70"/>
      <c r="W515" s="70"/>
      <c r="X515" s="70"/>
      <c r="Y515" s="70" t="s">
        <v>2287</v>
      </c>
      <c r="Z515" s="70" t="s">
        <v>2287</v>
      </c>
      <c r="AA515" s="70" t="s">
        <v>2287</v>
      </c>
      <c r="AB515" s="70" t="s">
        <v>2287</v>
      </c>
      <c r="AC515" s="70" t="s">
        <v>2287</v>
      </c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2073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2074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2075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2076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12</v>
      </c>
      <c r="J520" s="147" t="s">
        <v>2077</v>
      </c>
      <c r="K520" s="142">
        <f t="shared" si="24"/>
        <v>16</v>
      </c>
      <c r="L520" s="143">
        <f t="shared" si="25"/>
        <v>0.42857142857142855</v>
      </c>
      <c r="M520" s="70" t="s">
        <v>2287</v>
      </c>
      <c r="N520" s="70" t="s">
        <v>2287</v>
      </c>
      <c r="O520" s="70" t="s">
        <v>2287</v>
      </c>
      <c r="P520" s="70" t="s">
        <v>2287</v>
      </c>
      <c r="Q520" s="70" t="s">
        <v>2287</v>
      </c>
      <c r="R520" s="70" t="s">
        <v>2287</v>
      </c>
      <c r="S520" s="70" t="s">
        <v>2287</v>
      </c>
      <c r="T520" s="70" t="s">
        <v>2287</v>
      </c>
      <c r="U520" s="70" t="s">
        <v>2287</v>
      </c>
      <c r="V520" s="70" t="s">
        <v>2287</v>
      </c>
      <c r="W520" s="70"/>
      <c r="X520" s="70" t="s">
        <v>2287</v>
      </c>
      <c r="Y520" s="70" t="s">
        <v>2287</v>
      </c>
      <c r="Z520" s="70" t="s">
        <v>2287</v>
      </c>
      <c r="AA520" s="70" t="s">
        <v>2287</v>
      </c>
      <c r="AB520" s="70" t="s">
        <v>2287</v>
      </c>
      <c r="AC520" s="70" t="s">
        <v>2287</v>
      </c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2078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1583</v>
      </c>
      <c r="C522" s="85" t="s">
        <v>1063</v>
      </c>
      <c r="D522" s="73" t="s">
        <v>1584</v>
      </c>
      <c r="E522" s="85" t="s">
        <v>15</v>
      </c>
      <c r="F522" s="85" t="s">
        <v>1301</v>
      </c>
      <c r="G522" s="85"/>
      <c r="H522" s="85" t="s">
        <v>1585</v>
      </c>
      <c r="I522" s="142">
        <f t="shared" si="23"/>
        <v>28</v>
      </c>
      <c r="J522" s="147" t="s">
        <v>2079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1586</v>
      </c>
      <c r="C523" s="85" t="s">
        <v>1063</v>
      </c>
      <c r="D523" s="73" t="s">
        <v>1587</v>
      </c>
      <c r="E523" s="85" t="s">
        <v>15</v>
      </c>
      <c r="F523" s="85" t="s">
        <v>1301</v>
      </c>
      <c r="G523" s="85"/>
      <c r="H523" s="85" t="s">
        <v>1588</v>
      </c>
      <c r="I523" s="142">
        <f t="shared" si="23"/>
        <v>22</v>
      </c>
      <c r="J523" s="147" t="s">
        <v>2080</v>
      </c>
      <c r="K523" s="142">
        <f t="shared" si="24"/>
        <v>6</v>
      </c>
      <c r="L523" s="143">
        <f t="shared" si="25"/>
        <v>0.7857142857142857</v>
      </c>
      <c r="M523" s="70" t="s">
        <v>2287</v>
      </c>
      <c r="N523" s="70" t="s">
        <v>2287</v>
      </c>
      <c r="O523" s="70" t="s">
        <v>2287</v>
      </c>
      <c r="P523" s="70" t="s">
        <v>2287</v>
      </c>
      <c r="Q523" s="70" t="s">
        <v>2287</v>
      </c>
      <c r="R523" s="70" t="s">
        <v>2287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2225</v>
      </c>
      <c r="C524" s="85" t="s">
        <v>1063</v>
      </c>
      <c r="D524" s="73" t="s">
        <v>2226</v>
      </c>
      <c r="E524" s="30" t="s">
        <v>73</v>
      </c>
      <c r="F524" s="85" t="s">
        <v>1301</v>
      </c>
      <c r="G524" s="85"/>
      <c r="H524" s="85" t="s">
        <v>2227</v>
      </c>
      <c r="I524" s="142">
        <f t="shared" si="23"/>
        <v>28</v>
      </c>
      <c r="J524" s="147" t="s">
        <v>2228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2229</v>
      </c>
      <c r="C525" s="85" t="s">
        <v>1063</v>
      </c>
      <c r="D525" s="73" t="s">
        <v>2230</v>
      </c>
      <c r="E525" s="85" t="s">
        <v>15</v>
      </c>
      <c r="F525" s="85" t="s">
        <v>1301</v>
      </c>
      <c r="G525" s="85"/>
      <c r="H525" s="85" t="s">
        <v>2231</v>
      </c>
      <c r="I525" s="142">
        <f t="shared" si="23"/>
        <v>28</v>
      </c>
      <c r="J525" s="147" t="s">
        <v>2232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2081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2082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2083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2084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2085</v>
      </c>
      <c r="K530" s="31">
        <f t="shared" si="24"/>
        <v>2</v>
      </c>
      <c r="L530" s="32">
        <f t="shared" si="25"/>
        <v>0.9285714285714286</v>
      </c>
      <c r="M530" s="70" t="s">
        <v>2287</v>
      </c>
      <c r="N530" s="70" t="s">
        <v>2287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2086</v>
      </c>
      <c r="K531" s="31">
        <f t="shared" si="24"/>
        <v>2</v>
      </c>
      <c r="L531" s="32">
        <f t="shared" si="25"/>
        <v>0.9285714285714286</v>
      </c>
      <c r="M531" s="70" t="s">
        <v>2287</v>
      </c>
      <c r="N531" s="70" t="s">
        <v>2287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2287</v>
      </c>
      <c r="N532" s="70" t="s">
        <v>2287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2087</v>
      </c>
      <c r="K533" s="31">
        <f t="shared" si="24"/>
        <v>2</v>
      </c>
      <c r="L533" s="32">
        <f t="shared" si="25"/>
        <v>0.9285714285714286</v>
      </c>
      <c r="M533" s="70" t="s">
        <v>2287</v>
      </c>
      <c r="N533" s="70" t="s">
        <v>2287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2088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2089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2090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2091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27</v>
      </c>
      <c r="J539" s="147" t="s">
        <v>2093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2287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1312</v>
      </c>
      <c r="C540" t="s">
        <v>1062</v>
      </c>
      <c r="D540" t="s">
        <v>2197</v>
      </c>
      <c r="E540" s="85" t="s">
        <v>15</v>
      </c>
      <c r="F540" s="85" t="s">
        <v>1301</v>
      </c>
      <c r="G540" s="30"/>
      <c r="H540" s="30" t="s">
        <v>2198</v>
      </c>
      <c r="I540" s="31">
        <f t="shared" si="26"/>
        <v>13</v>
      </c>
      <c r="J540" s="147" t="s">
        <v>2199</v>
      </c>
      <c r="K540" s="31">
        <f t="shared" si="27"/>
        <v>15</v>
      </c>
      <c r="L540" s="32">
        <f t="shared" si="28"/>
        <v>0.4642857142857143</v>
      </c>
      <c r="M540" s="70" t="s">
        <v>2287</v>
      </c>
      <c r="N540" s="70" t="s">
        <v>2287</v>
      </c>
      <c r="O540" s="70" t="s">
        <v>2287</v>
      </c>
      <c r="P540" s="70" t="s">
        <v>2287</v>
      </c>
      <c r="Q540" s="70" t="s">
        <v>2287</v>
      </c>
      <c r="R540" s="70" t="s">
        <v>2287</v>
      </c>
      <c r="S540" s="70" t="s">
        <v>2287</v>
      </c>
      <c r="T540" s="70" t="s">
        <v>2287</v>
      </c>
      <c r="U540" s="70" t="s">
        <v>2287</v>
      </c>
      <c r="V540" s="70" t="s">
        <v>2287</v>
      </c>
      <c r="W540" s="70"/>
      <c r="X540" s="70" t="s">
        <v>2287</v>
      </c>
      <c r="Y540" s="70" t="s">
        <v>2287</v>
      </c>
      <c r="Z540" s="70" t="s">
        <v>2287</v>
      </c>
      <c r="AA540" s="70" t="s">
        <v>2287</v>
      </c>
      <c r="AB540" s="70" t="s">
        <v>2287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2133</v>
      </c>
      <c r="C541" t="s">
        <v>1062</v>
      </c>
      <c r="D541" s="73" t="s">
        <v>2134</v>
      </c>
      <c r="E541" s="85" t="s">
        <v>15</v>
      </c>
      <c r="F541" s="85" t="s">
        <v>1301</v>
      </c>
      <c r="G541" s="30"/>
      <c r="H541" s="30" t="s">
        <v>2135</v>
      </c>
      <c r="I541" s="31">
        <f t="shared" si="26"/>
        <v>28</v>
      </c>
      <c r="J541" s="147" t="s">
        <v>2136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26</v>
      </c>
      <c r="J542" s="147" t="s">
        <v>2094</v>
      </c>
      <c r="K542" s="142">
        <f t="shared" si="27"/>
        <v>2</v>
      </c>
      <c r="L542" s="143">
        <f t="shared" si="28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2287</v>
      </c>
      <c r="Y542" s="70" t="s">
        <v>2287</v>
      </c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26</v>
      </c>
      <c r="J543" s="147" t="s">
        <v>2095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2287</v>
      </c>
      <c r="Y543" s="70" t="s">
        <v>2287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23</v>
      </c>
      <c r="J544" s="147" t="s">
        <v>2096</v>
      </c>
      <c r="K544" s="142">
        <f t="shared" si="27"/>
        <v>5</v>
      </c>
      <c r="L544" s="143">
        <f t="shared" si="28"/>
        <v>0.8214285714285714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2287</v>
      </c>
      <c r="Y544" s="70" t="s">
        <v>2287</v>
      </c>
      <c r="Z544" s="70" t="s">
        <v>2287</v>
      </c>
      <c r="AA544" s="70" t="s">
        <v>2287</v>
      </c>
      <c r="AB544" s="70" t="s">
        <v>2287</v>
      </c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23</v>
      </c>
      <c r="J545" s="147" t="s">
        <v>2097</v>
      </c>
      <c r="K545" s="142">
        <f t="shared" si="27"/>
        <v>5</v>
      </c>
      <c r="L545" s="143">
        <f t="shared" si="28"/>
        <v>0.8214285714285714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2287</v>
      </c>
      <c r="Y545" s="70" t="s">
        <v>2287</v>
      </c>
      <c r="Z545" s="70" t="s">
        <v>2287</v>
      </c>
      <c r="AA545" s="70" t="s">
        <v>2287</v>
      </c>
      <c r="AB545" s="70" t="s">
        <v>2287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1643</v>
      </c>
      <c r="C546" s="73" t="s">
        <v>1063</v>
      </c>
      <c r="D546" s="73" t="s">
        <v>1650</v>
      </c>
      <c r="E546" s="85" t="s">
        <v>1114</v>
      </c>
      <c r="F546" s="85" t="s">
        <v>28</v>
      </c>
      <c r="G546" s="85"/>
      <c r="H546" s="85" t="s">
        <v>1645</v>
      </c>
      <c r="I546" s="142">
        <f t="shared" si="26"/>
        <v>26</v>
      </c>
      <c r="J546" s="87" t="s">
        <v>2187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2287</v>
      </c>
      <c r="Y546" s="70" t="s">
        <v>2287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2127</v>
      </c>
      <c r="C547" s="73" t="s">
        <v>1063</v>
      </c>
      <c r="D547" s="73" t="s">
        <v>2128</v>
      </c>
      <c r="E547" s="30" t="s">
        <v>15</v>
      </c>
      <c r="F547" s="85" t="s">
        <v>1301</v>
      </c>
      <c r="G547" s="85"/>
      <c r="H547" s="85" t="s">
        <v>2130</v>
      </c>
      <c r="I547" s="142">
        <f t="shared" si="26"/>
        <v>18</v>
      </c>
      <c r="J547" s="87"/>
      <c r="K547" s="142">
        <f t="shared" si="27"/>
        <v>10</v>
      </c>
      <c r="L547" s="143">
        <f t="shared" si="28"/>
        <v>0.6428571428571429</v>
      </c>
      <c r="M547" s="70" t="s">
        <v>2287</v>
      </c>
      <c r="N547" s="70" t="s">
        <v>2287</v>
      </c>
      <c r="O547" s="70" t="s">
        <v>2287</v>
      </c>
      <c r="P547" s="70" t="s">
        <v>2287</v>
      </c>
      <c r="Q547" s="70" t="s">
        <v>2287</v>
      </c>
      <c r="R547" s="70" t="s">
        <v>2287</v>
      </c>
      <c r="S547" s="70" t="s">
        <v>2287</v>
      </c>
      <c r="T547" s="70" t="s">
        <v>2287</v>
      </c>
      <c r="U547" s="70"/>
      <c r="V547" s="70"/>
      <c r="W547" s="70"/>
      <c r="X547" s="70"/>
      <c r="Y547" s="70" t="s">
        <v>2287</v>
      </c>
      <c r="Z547" s="70"/>
      <c r="AA547" s="70"/>
      <c r="AB547" s="70"/>
      <c r="AC547" s="70" t="s">
        <v>2287</v>
      </c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1656</v>
      </c>
      <c r="C548" s="73" t="s">
        <v>1063</v>
      </c>
      <c r="D548" s="73" t="s">
        <v>1657</v>
      </c>
      <c r="E548" s="85" t="s">
        <v>15</v>
      </c>
      <c r="F548" s="85" t="s">
        <v>1301</v>
      </c>
      <c r="G548" s="85"/>
      <c r="H548" s="85" t="s">
        <v>1658</v>
      </c>
      <c r="I548" s="142">
        <f t="shared" si="26"/>
        <v>12</v>
      </c>
      <c r="J548" s="87" t="s">
        <v>2188</v>
      </c>
      <c r="K548" s="142">
        <f t="shared" si="27"/>
        <v>16</v>
      </c>
      <c r="L548" s="143">
        <f t="shared" si="28"/>
        <v>0.42857142857142855</v>
      </c>
      <c r="M548" s="70" t="s">
        <v>2287</v>
      </c>
      <c r="N548" s="70" t="s">
        <v>2287</v>
      </c>
      <c r="O548" s="70" t="s">
        <v>2287</v>
      </c>
      <c r="P548" s="70" t="s">
        <v>2287</v>
      </c>
      <c r="Q548" s="70" t="s">
        <v>2287</v>
      </c>
      <c r="R548" s="70" t="s">
        <v>2287</v>
      </c>
      <c r="S548" s="70" t="s">
        <v>2287</v>
      </c>
      <c r="T548" s="70" t="s">
        <v>2287</v>
      </c>
      <c r="U548" s="70" t="s">
        <v>2287</v>
      </c>
      <c r="V548" s="70" t="s">
        <v>2287</v>
      </c>
      <c r="W548" s="70"/>
      <c r="X548" s="70" t="s">
        <v>2287</v>
      </c>
      <c r="Y548" s="70" t="s">
        <v>2287</v>
      </c>
      <c r="Z548" s="70" t="s">
        <v>2287</v>
      </c>
      <c r="AA548" s="70" t="s">
        <v>2287</v>
      </c>
      <c r="AB548" s="70" t="s">
        <v>2287</v>
      </c>
      <c r="AC548" s="70" t="s">
        <v>2287</v>
      </c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2184</v>
      </c>
      <c r="K549" s="31">
        <f t="shared" si="27"/>
        <v>12</v>
      </c>
      <c r="L549" s="32">
        <f t="shared" si="28"/>
        <v>0.5714285714285714</v>
      </c>
      <c r="M549" s="70" t="s">
        <v>2287</v>
      </c>
      <c r="N549" s="70" t="s">
        <v>2287</v>
      </c>
      <c r="O549" s="70" t="s">
        <v>2287</v>
      </c>
      <c r="P549" s="70" t="s">
        <v>2287</v>
      </c>
      <c r="Q549" s="70" t="s">
        <v>2287</v>
      </c>
      <c r="R549" s="70" t="s">
        <v>2287</v>
      </c>
      <c r="S549" s="70"/>
      <c r="T549" s="70"/>
      <c r="U549" s="70"/>
      <c r="V549" s="70"/>
      <c r="W549" s="70"/>
      <c r="X549" s="70" t="s">
        <v>2287</v>
      </c>
      <c r="Y549" s="70" t="s">
        <v>2287</v>
      </c>
      <c r="Z549" s="70" t="s">
        <v>2287</v>
      </c>
      <c r="AA549" s="70" t="s">
        <v>2287</v>
      </c>
      <c r="AB549" s="70" t="s">
        <v>2287</v>
      </c>
      <c r="AC549" s="70" t="s">
        <v>2287</v>
      </c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2098</v>
      </c>
      <c r="K550" s="31">
        <f t="shared" si="27"/>
        <v>5</v>
      </c>
      <c r="L550" s="32">
        <f t="shared" si="28"/>
        <v>0.8214285714285714</v>
      </c>
      <c r="M550" s="70" t="s">
        <v>2287</v>
      </c>
      <c r="N550" s="70" t="s">
        <v>2287</v>
      </c>
      <c r="O550" s="70" t="s">
        <v>2287</v>
      </c>
      <c r="P550" s="70" t="s">
        <v>2287</v>
      </c>
      <c r="Q550" s="70" t="s">
        <v>2287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13</v>
      </c>
      <c r="J551" s="87" t="s">
        <v>2185</v>
      </c>
      <c r="K551" s="31">
        <f t="shared" si="27"/>
        <v>15</v>
      </c>
      <c r="L551" s="32">
        <f t="shared" si="28"/>
        <v>0.4642857142857143</v>
      </c>
      <c r="M551" s="70" t="s">
        <v>2287</v>
      </c>
      <c r="N551" s="70" t="s">
        <v>2287</v>
      </c>
      <c r="O551" s="70" t="s">
        <v>2287</v>
      </c>
      <c r="P551" s="70" t="s">
        <v>2287</v>
      </c>
      <c r="Q551" s="70" t="s">
        <v>2287</v>
      </c>
      <c r="R551" s="70" t="s">
        <v>2287</v>
      </c>
      <c r="S551" s="70"/>
      <c r="T551" s="70" t="s">
        <v>2287</v>
      </c>
      <c r="U551" s="70" t="s">
        <v>2287</v>
      </c>
      <c r="V551" s="70" t="s">
        <v>2287</v>
      </c>
      <c r="W551" s="70"/>
      <c r="X551" s="70" t="s">
        <v>2287</v>
      </c>
      <c r="Y551" s="70" t="s">
        <v>2287</v>
      </c>
      <c r="Z551" s="70" t="s">
        <v>2287</v>
      </c>
      <c r="AA551" s="70" t="s">
        <v>2287</v>
      </c>
      <c r="AB551" s="70" t="s">
        <v>2287</v>
      </c>
      <c r="AC551" s="70" t="s">
        <v>2287</v>
      </c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2099</v>
      </c>
      <c r="K552" s="31">
        <f t="shared" si="27"/>
        <v>5</v>
      </c>
      <c r="L552" s="32">
        <f t="shared" si="28"/>
        <v>0.8214285714285714</v>
      </c>
      <c r="M552" s="70" t="s">
        <v>2287</v>
      </c>
      <c r="N552" s="70" t="s">
        <v>2287</v>
      </c>
      <c r="O552" s="70" t="s">
        <v>2287</v>
      </c>
      <c r="P552" s="70" t="s">
        <v>2287</v>
      </c>
      <c r="Q552" s="70" t="s">
        <v>2287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2100</v>
      </c>
      <c r="K553" s="142">
        <f t="shared" si="27"/>
        <v>1</v>
      </c>
      <c r="L553" s="143">
        <f t="shared" si="28"/>
        <v>0.9642857142857143</v>
      </c>
      <c r="M553" s="70" t="s">
        <v>2287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2139</v>
      </c>
      <c r="B554" s="73" t="s">
        <v>2137</v>
      </c>
      <c r="C554" t="s">
        <v>1062</v>
      </c>
      <c r="D554" s="73" t="s">
        <v>2138</v>
      </c>
      <c r="E554" s="85" t="s">
        <v>15</v>
      </c>
      <c r="F554" s="85" t="s">
        <v>1301</v>
      </c>
      <c r="G554" s="85"/>
      <c r="H554" s="85" t="s">
        <v>2140</v>
      </c>
      <c r="I554" s="142">
        <f t="shared" si="26"/>
        <v>28</v>
      </c>
      <c r="J554" s="151" t="s">
        <v>2141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2186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2101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2102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2103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12</v>
      </c>
      <c r="J559" s="147" t="s">
        <v>2104</v>
      </c>
      <c r="K559" s="31">
        <f t="shared" si="27"/>
        <v>16</v>
      </c>
      <c r="L559" s="32">
        <f t="shared" si="28"/>
        <v>0.42857142857142855</v>
      </c>
      <c r="M559" s="70" t="s">
        <v>2287</v>
      </c>
      <c r="N559" s="70" t="s">
        <v>2287</v>
      </c>
      <c r="O559" s="70" t="s">
        <v>2287</v>
      </c>
      <c r="P559" s="70" t="s">
        <v>2287</v>
      </c>
      <c r="Q559" s="70" t="s">
        <v>2287</v>
      </c>
      <c r="R559" s="70" t="s">
        <v>2287</v>
      </c>
      <c r="S559" s="70" t="s">
        <v>2287</v>
      </c>
      <c r="T559" s="70" t="s">
        <v>2287</v>
      </c>
      <c r="U559" s="70" t="s">
        <v>2287</v>
      </c>
      <c r="V559" s="70" t="s">
        <v>2287</v>
      </c>
      <c r="W559" s="70"/>
      <c r="X559" s="70" t="s">
        <v>2287</v>
      </c>
      <c r="Y559" s="70" t="s">
        <v>2287</v>
      </c>
      <c r="Z559" s="70" t="s">
        <v>2287</v>
      </c>
      <c r="AA559" s="70" t="s">
        <v>2287</v>
      </c>
      <c r="AB559" s="70" t="s">
        <v>2287</v>
      </c>
      <c r="AC559" s="70" t="s">
        <v>2287</v>
      </c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21</v>
      </c>
      <c r="J560" s="147" t="s">
        <v>2105</v>
      </c>
      <c r="K560" s="31">
        <f t="shared" si="27"/>
        <v>7</v>
      </c>
      <c r="L560" s="32">
        <f t="shared" si="28"/>
        <v>0.75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2287</v>
      </c>
      <c r="W560" s="70"/>
      <c r="X560" s="70" t="s">
        <v>2287</v>
      </c>
      <c r="Y560" s="70" t="s">
        <v>2287</v>
      </c>
      <c r="Z560" s="70" t="s">
        <v>2287</v>
      </c>
      <c r="AA560" s="70" t="s">
        <v>2287</v>
      </c>
      <c r="AB560" s="70" t="s">
        <v>2287</v>
      </c>
      <c r="AC560" s="70" t="s">
        <v>2287</v>
      </c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21</v>
      </c>
      <c r="J561" s="147" t="s">
        <v>2106</v>
      </c>
      <c r="K561" s="31">
        <f t="shared" si="27"/>
        <v>7</v>
      </c>
      <c r="L561" s="32">
        <f t="shared" si="28"/>
        <v>0.75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2287</v>
      </c>
      <c r="W561" s="70"/>
      <c r="X561" s="70" t="s">
        <v>2287</v>
      </c>
      <c r="Y561" s="70" t="s">
        <v>2287</v>
      </c>
      <c r="Z561" s="70" t="s">
        <v>2287</v>
      </c>
      <c r="AA561" s="70" t="s">
        <v>2287</v>
      </c>
      <c r="AB561" s="70" t="s">
        <v>2287</v>
      </c>
      <c r="AC561" s="70" t="s">
        <v>2287</v>
      </c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21</v>
      </c>
      <c r="J562" s="147" t="s">
        <v>2107</v>
      </c>
      <c r="K562" s="31">
        <f t="shared" si="27"/>
        <v>7</v>
      </c>
      <c r="L562" s="32">
        <f t="shared" si="28"/>
        <v>0.75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2287</v>
      </c>
      <c r="W562" s="70"/>
      <c r="X562" s="70" t="s">
        <v>2287</v>
      </c>
      <c r="Y562" s="70" t="s">
        <v>2287</v>
      </c>
      <c r="Z562" s="70" t="s">
        <v>2287</v>
      </c>
      <c r="AA562" s="70" t="s">
        <v>2287</v>
      </c>
      <c r="AB562" s="70" t="s">
        <v>2287</v>
      </c>
      <c r="AC562" s="70" t="s">
        <v>2287</v>
      </c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21</v>
      </c>
      <c r="J563" s="147" t="s">
        <v>2108</v>
      </c>
      <c r="K563" s="31">
        <f t="shared" si="27"/>
        <v>7</v>
      </c>
      <c r="L563" s="32">
        <f t="shared" si="28"/>
        <v>0.75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2287</v>
      </c>
      <c r="W563" s="70"/>
      <c r="X563" s="70" t="s">
        <v>2287</v>
      </c>
      <c r="Y563" s="70" t="s">
        <v>2287</v>
      </c>
      <c r="Z563" s="70" t="s">
        <v>2287</v>
      </c>
      <c r="AA563" s="70" t="s">
        <v>2287</v>
      </c>
      <c r="AB563" s="70" t="s">
        <v>2287</v>
      </c>
      <c r="AC563" s="70" t="s">
        <v>2287</v>
      </c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26</v>
      </c>
      <c r="J564" s="87" t="s">
        <v>2202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2287</v>
      </c>
      <c r="Y564" s="70" t="s">
        <v>2287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2263</v>
      </c>
      <c r="C565" s="73" t="s">
        <v>1063</v>
      </c>
      <c r="D565" s="73" t="s">
        <v>2264</v>
      </c>
      <c r="E565" s="85" t="s">
        <v>15</v>
      </c>
      <c r="F565" s="85" t="s">
        <v>1301</v>
      </c>
      <c r="G565" s="85"/>
      <c r="H565" s="85" t="s">
        <v>2265</v>
      </c>
      <c r="I565" s="142">
        <f t="shared" si="26"/>
        <v>28</v>
      </c>
      <c r="J565" s="87" t="s">
        <v>2266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2276</v>
      </c>
      <c r="C566" s="73" t="s">
        <v>1063</v>
      </c>
      <c r="D566" s="73" t="s">
        <v>2277</v>
      </c>
      <c r="E566" s="85" t="s">
        <v>15</v>
      </c>
      <c r="F566" s="85"/>
      <c r="G566" s="85"/>
      <c r="H566" s="85" t="s">
        <v>2278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2203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2204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2205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27</v>
      </c>
      <c r="J570" s="147" t="s">
        <v>2110</v>
      </c>
      <c r="K570" s="31">
        <f t="shared" si="27"/>
        <v>1</v>
      </c>
      <c r="L570" s="32">
        <f t="shared" si="28"/>
        <v>0.9642857142857143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 t="s">
        <v>2287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27</v>
      </c>
      <c r="J571" s="147" t="s">
        <v>2109</v>
      </c>
      <c r="K571" s="31">
        <f t="shared" si="27"/>
        <v>1</v>
      </c>
      <c r="L571" s="32">
        <f t="shared" si="28"/>
        <v>0.9642857142857143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 t="s">
        <v>2287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27</v>
      </c>
      <c r="J572" s="147" t="s">
        <v>2111</v>
      </c>
      <c r="K572" s="31">
        <f t="shared" si="27"/>
        <v>1</v>
      </c>
      <c r="L572" s="32">
        <f t="shared" si="28"/>
        <v>0.9642857142857143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 t="s">
        <v>2287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2180</v>
      </c>
      <c r="C573" s="73" t="s">
        <v>1062</v>
      </c>
      <c r="D573" t="s">
        <v>2181</v>
      </c>
      <c r="E573" s="85" t="s">
        <v>46</v>
      </c>
      <c r="F573" s="30" t="s">
        <v>28</v>
      </c>
      <c r="G573" s="30"/>
      <c r="H573" s="30" t="s">
        <v>2182</v>
      </c>
      <c r="I573" s="31">
        <f t="shared" si="26"/>
        <v>28</v>
      </c>
      <c r="J573" s="147" t="s">
        <v>2183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2112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2113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2114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12</v>
      </c>
      <c r="J577" s="147" t="s">
        <v>2115</v>
      </c>
      <c r="K577" s="142">
        <f t="shared" si="27"/>
        <v>16</v>
      </c>
      <c r="L577" s="143">
        <f t="shared" si="28"/>
        <v>0.42857142857142855</v>
      </c>
      <c r="M577" s="70" t="s">
        <v>2287</v>
      </c>
      <c r="N577" s="70" t="s">
        <v>2287</v>
      </c>
      <c r="O577" s="70" t="s">
        <v>2287</v>
      </c>
      <c r="P577" s="70" t="s">
        <v>2287</v>
      </c>
      <c r="Q577" s="70" t="s">
        <v>2287</v>
      </c>
      <c r="R577" s="70" t="s">
        <v>2287</v>
      </c>
      <c r="S577" s="70" t="s">
        <v>2287</v>
      </c>
      <c r="T577" s="70" t="s">
        <v>2287</v>
      </c>
      <c r="U577" s="70" t="s">
        <v>2287</v>
      </c>
      <c r="V577" s="70" t="s">
        <v>2287</v>
      </c>
      <c r="W577" s="70"/>
      <c r="X577" s="70" t="s">
        <v>2287</v>
      </c>
      <c r="Y577" s="70" t="s">
        <v>2287</v>
      </c>
      <c r="Z577" s="70" t="s">
        <v>2287</v>
      </c>
      <c r="AA577" s="70" t="s">
        <v>2287</v>
      </c>
      <c r="AB577" s="70" t="s">
        <v>2287</v>
      </c>
      <c r="AC577" s="70" t="s">
        <v>2287</v>
      </c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2116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2117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2118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2119</v>
      </c>
      <c r="C581" s="73" t="s">
        <v>1062</v>
      </c>
      <c r="D581" s="73" t="s">
        <v>2120</v>
      </c>
      <c r="E581" s="85" t="s">
        <v>15</v>
      </c>
      <c r="F581" s="85" t="s">
        <v>1301</v>
      </c>
      <c r="G581" s="85"/>
      <c r="H581" s="85" t="s">
        <v>2121</v>
      </c>
      <c r="I581" s="142">
        <f t="shared" si="26"/>
        <v>28</v>
      </c>
      <c r="J581" s="151" t="s">
        <v>2122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 t="str">
        <f>'RESUMEN TOTAL'!AB232</f>
        <v>APAGADO</v>
      </c>
      <c r="V179" s="70" t="str">
        <f>'RESUMEN TOTAL'!AC232</f>
        <v>APAGADO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 t="str">
        <f>'RESUMEN TOTAL'!AC238</f>
        <v>APAGADO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 t="str">
        <f>'RESUMEN TOTAL'!AC241</f>
        <v>APAGADO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 t="str">
        <f>'RESUMEN TOTAL'!AB246</f>
        <v>APAGADO</v>
      </c>
      <c r="V193" s="70" t="str">
        <f>'RESUMEN TOTAL'!AC246</f>
        <v>APAGADO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 t="str">
        <f>'RESUMEN TOTAL'!AC248</f>
        <v>APAGADO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 t="str">
        <f>'RESUMEN TOTAL'!AB249</f>
        <v>APAGADO</v>
      </c>
      <c r="V196" s="70" t="str">
        <f>'RESUMEN TOTAL'!AC249</f>
        <v>APAGADO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 t="str">
        <f>'RESUMEN TOTAL'!AC257</f>
        <v>APAGADO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 t="str">
        <f>'RESUMEN TOTAL'!AC258</f>
        <v>APAGADO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 t="str">
        <f>'RESUMEN TOTAL'!AB264</f>
        <v>APAGADO</v>
      </c>
      <c r="V211" s="70" t="str">
        <f>'RESUMEN TOTAL'!AC264</f>
        <v>APAGADO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 t="str">
        <f>'RESUMEN TOTAL'!AC268</f>
        <v>APAGADO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 t="str">
        <f>'RESUMEN TOTAL'!AC269</f>
        <v>APAGADO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 t="str">
        <f>'RESUMEN TOTAL'!AC280</f>
        <v>APAGADO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 t="str">
        <f>'RESUMEN TOTAL'!AC314</f>
        <v>APAGADO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 t="str">
        <f>'RESUMEN TOTAL'!AB315</f>
        <v>APAGADO</v>
      </c>
      <c r="V255" s="70" t="str">
        <f>'RESUMEN TOTAL'!AC315</f>
        <v>APAGADO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 t="str">
        <f>'RESUMEN TOTAL'!AB316</f>
        <v>APAGADO</v>
      </c>
      <c r="V256" s="70" t="str">
        <f>'RESUMEN TOTAL'!AC316</f>
        <v>APAGADO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 t="str">
        <f>'RESUMEN TOTAL'!AC359</f>
        <v>APAGADO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 t="str">
        <f>'RESUMEN TOTAL'!AC360</f>
        <v>APAGADO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 t="str">
        <f>'RESUMEN TOTAL'!AC377</f>
        <v>APAGADO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 t="str">
        <f>'RESUMEN TOTAL'!AB381</f>
        <v>APAGADO</v>
      </c>
      <c r="V307" s="70" t="str">
        <f>'RESUMEN TOTAL'!AC381</f>
        <v>APAGADO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 t="str">
        <f>'RESUMEN TOTAL'!AB382</f>
        <v>APAGADO</v>
      </c>
      <c r="V308" s="70" t="str">
        <f>'RESUMEN TOTAL'!AC382</f>
        <v>APAGADO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 t="str">
        <f>'RESUMEN TOTAL'!AB387</f>
        <v>APAGADO</v>
      </c>
      <c r="V313" s="70" t="str">
        <f>'RESUMEN TOTAL'!AC387</f>
        <v>APAGADO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 t="str">
        <f>'RESUMEN TOTAL'!AC396</f>
        <v>APAGADO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 t="str">
        <f>'RESUMEN TOTAL'!AB417</f>
        <v>APAGADO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 t="str">
        <f>'RESUMEN TOTAL'!AB429</f>
        <v>APAGADO</v>
      </c>
      <c r="V340" s="70" t="str">
        <f>'RESUMEN TOTAL'!AC429</f>
        <v>APAGADO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 t="str">
        <f>'RESUMEN TOTAL'!AB430</f>
        <v>APAGADO</v>
      </c>
      <c r="V341" s="70" t="str">
        <f>'RESUMEN TOTAL'!AC430</f>
        <v>APAGADO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 t="str">
        <f>'RESUMEN TOTAL'!AB436</f>
        <v>APAGADO</v>
      </c>
      <c r="V347" s="70" t="str">
        <f>'RESUMEN TOTAL'!AC436</f>
        <v>APAGADO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 t="str">
        <f>'RESUMEN TOTAL'!AB446</f>
        <v>APAGADO</v>
      </c>
      <c r="V357" s="70" t="str">
        <f>'RESUMEN TOTAL'!AC446</f>
        <v>APAGADO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 t="str">
        <f>'RESUMEN TOTAL'!AB462</f>
        <v>APAGADO</v>
      </c>
      <c r="V365" s="70" t="str">
        <f>'RESUMEN TOTAL'!AC462</f>
        <v>APAGADO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 t="str">
        <f>'RESUMEN TOTAL'!AC495</f>
        <v>APAGADO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 t="str">
        <f>'RESUMEN TOTAL'!AB496</f>
        <v>APAGADO</v>
      </c>
      <c r="V393" s="70" t="str">
        <f>'RESUMEN TOTAL'!AC496</f>
        <v>APAGADO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 t="str">
        <f>'RESUMEN TOTAL'!AC497</f>
        <v>APAGADO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 t="str">
        <f>'RESUMEN TOTAL'!AB503</f>
        <v>APAGADO</v>
      </c>
      <c r="V400" s="70" t="str">
        <f>'RESUMEN TOTAL'!AC503</f>
        <v>APAGADO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 t="str">
        <f>'RESUMEN TOTAL'!AB508</f>
        <v>APAGADO</v>
      </c>
      <c r="V405" s="70" t="str">
        <f>'RESUMEN TOTAL'!AC508</f>
        <v>APAGADO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 t="str">
        <f>'RESUMEN TOTAL'!AB511</f>
        <v>APAGADO</v>
      </c>
      <c r="V408" s="70" t="str">
        <f>'RESUMEN TOTAL'!AC511</f>
        <v>APAGADO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 t="str">
        <f>'RESUMEN TOTAL'!AB514</f>
        <v>APAGADO</v>
      </c>
      <c r="V411" s="70" t="str">
        <f>'RESUMEN TOTAL'!AC514</f>
        <v>APAGADO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 t="str">
        <f>'RESUMEN TOTAL'!AB515</f>
        <v>APAGADO</v>
      </c>
      <c r="V412" s="70" t="str">
        <f>'RESUMEN TOTAL'!AC515</f>
        <v>APAGADO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 t="str">
        <f>'RESUMEN TOTAL'!AB540</f>
        <v>APAGADO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 t="str">
        <f>'RESUMEN TOTAL'!AB545</f>
        <v>APAGADO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 t="str">
        <f>'RESUMEN TOTAL'!AB549</f>
        <v>APAGADO</v>
      </c>
      <c r="V436" s="70" t="str">
        <f>'RESUMEN TOTAL'!AC549</f>
        <v>APAGADO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 t="str">
        <f>'RESUMEN TOTAL'!AB551</f>
        <v>APAGADO</v>
      </c>
      <c r="V438" s="70" t="str">
        <f>'RESUMEN TOTAL'!AC551</f>
        <v>APAGADO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 t="str">
        <f>'RESUMEN TOTAL'!AB560</f>
        <v>APAGADO</v>
      </c>
      <c r="V446" s="70" t="str">
        <f>'RESUMEN TOTAL'!AC560</f>
        <v>APAGADO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 t="str">
        <f>'RESUMEN TOTAL'!AB561</f>
        <v>APAGADO</v>
      </c>
      <c r="V447" s="70" t="str">
        <f>'RESUMEN TOTAL'!AC561</f>
        <v>APAGADO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 t="str">
        <f>'RESUMEN TOTAL'!AB562</f>
        <v>APAGADO</v>
      </c>
      <c r="V448" s="70" t="str">
        <f>'RESUMEN TOTAL'!AC562</f>
        <v>APAGADO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 t="str">
        <f>'RESUMEN TOTAL'!AB563</f>
        <v>APAGADO</v>
      </c>
      <c r="V449" s="70" t="str">
        <f>'RESUMEN TOTAL'!AC563</f>
        <v>APAGADO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 t="str">
        <f>'RESUMEN TOTAL'!AC570</f>
        <v>APAGADO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 t="str">
        <f>'RESUMEN TOTAL'!AC571</f>
        <v>APAGADO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 t="str">
        <f>'RESUMEN TOTAL'!AC572</f>
        <v>APAGADO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1070</v>
      </c>
      <c r="C1" s="36">
        <v>45992</v>
      </c>
    </row>
    <row r="2" spans="1:36" ht="15.6" thickTop="1" thickBot="1" x14ac:dyDescent="0.35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40</v>
      </c>
      <c r="V3" s="46">
        <f>COUNTIFS('RESUMEN TOTAL'!AC8:AC689,"=APAGADO",'RESUMEN TOTAL'!C8:C689,"=BONOMO")</f>
        <v>97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0.132013201320132</v>
      </c>
      <c r="V4" s="50">
        <f t="shared" si="0"/>
        <v>0.32013201320132012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1063</v>
      </c>
      <c r="E5" s="47" t="s">
        <v>1072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71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1074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137" zoomScale="84" zoomScaleNormal="84" workbookViewId="0">
      <selection activeCell="B155" sqref="B155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3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5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" thickBot="1" x14ac:dyDescent="0.35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3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5.6" thickTop="1" thickBot="1" x14ac:dyDescent="0.35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1479</v>
      </c>
      <c r="B21" s="112" t="s">
        <v>1063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912</v>
      </c>
      <c r="D23" s="108" t="s">
        <v>1464</v>
      </c>
      <c r="E23" s="109" t="s">
        <v>913</v>
      </c>
    </row>
    <row r="24" spans="1:6" ht="15" thickTop="1" x14ac:dyDescent="0.3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5.6" thickTop="1" thickBot="1" x14ac:dyDescent="0.35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912</v>
      </c>
      <c r="D34" s="108" t="s">
        <v>1464</v>
      </c>
      <c r="E34" s="109" t="s">
        <v>913</v>
      </c>
    </row>
    <row r="35" spans="1:6" ht="15" thickTop="1" x14ac:dyDescent="0.3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5.6" thickTop="1" thickBot="1" x14ac:dyDescent="0.35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912</v>
      </c>
      <c r="D45" s="108" t="s">
        <v>1464</v>
      </c>
      <c r="E45" s="109" t="s">
        <v>913</v>
      </c>
    </row>
    <row r="46" spans="1:6" ht="15" thickTop="1" x14ac:dyDescent="0.3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5.6" thickTop="1" thickBot="1" x14ac:dyDescent="0.35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912</v>
      </c>
      <c r="D56" s="108" t="s">
        <v>1464</v>
      </c>
      <c r="E56" s="109" t="s">
        <v>913</v>
      </c>
    </row>
    <row r="57" spans="1:6" ht="15" thickTop="1" x14ac:dyDescent="0.3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5.6" thickTop="1" thickBot="1" x14ac:dyDescent="0.35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912</v>
      </c>
      <c r="D67" s="108" t="s">
        <v>1464</v>
      </c>
      <c r="E67" s="109" t="s">
        <v>913</v>
      </c>
    </row>
    <row r="68" spans="1:6" ht="15" thickTop="1" x14ac:dyDescent="0.3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5.6" thickTop="1" thickBot="1" x14ac:dyDescent="0.35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912</v>
      </c>
      <c r="D78" s="108" t="s">
        <v>1464</v>
      </c>
      <c r="E78" s="109" t="s">
        <v>913</v>
      </c>
    </row>
    <row r="79" spans="1:6" ht="15" thickTop="1" x14ac:dyDescent="0.3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1468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1243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1244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1468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5.6" thickTop="1" thickBot="1" x14ac:dyDescent="0.35">
      <c r="B86" s="98" t="s">
        <v>1062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1063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912</v>
      </c>
      <c r="D89" s="108" t="s">
        <v>1464</v>
      </c>
      <c r="E89" s="109" t="s">
        <v>913</v>
      </c>
    </row>
    <row r="90" spans="1:6" ht="15" thickTop="1" x14ac:dyDescent="0.3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5.6" thickTop="1" thickBot="1" x14ac:dyDescent="0.35">
      <c r="B97" s="98" t="s">
        <v>1062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1063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912</v>
      </c>
      <c r="D100" s="108" t="s">
        <v>1464</v>
      </c>
      <c r="E100" s="109" t="s">
        <v>913</v>
      </c>
    </row>
    <row r="101" spans="1:6" ht="15" thickTop="1" x14ac:dyDescent="0.3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1475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1243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1244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1475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5.6" thickTop="1" thickBot="1" x14ac:dyDescent="0.35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912</v>
      </c>
      <c r="D111" s="108" t="s">
        <v>1464</v>
      </c>
      <c r="E111" s="109" t="s">
        <v>913</v>
      </c>
    </row>
    <row r="112" spans="1:6" ht="15" thickTop="1" x14ac:dyDescent="0.3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5.6" thickTop="1" thickBot="1" x14ac:dyDescent="0.35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912</v>
      </c>
      <c r="D122" s="108" t="s">
        <v>1464</v>
      </c>
      <c r="E122" s="109" t="s">
        <v>913</v>
      </c>
    </row>
    <row r="123" spans="2:6" ht="15" thickTop="1" x14ac:dyDescent="0.3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1243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1244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5.6" thickTop="1" thickBot="1" x14ac:dyDescent="0.35">
      <c r="B130" s="98" t="s">
        <v>1062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1063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912</v>
      </c>
      <c r="D133" s="108" t="s">
        <v>1464</v>
      </c>
      <c r="E133" s="109" t="s">
        <v>913</v>
      </c>
    </row>
    <row r="134" spans="2:6" ht="15" thickTop="1" x14ac:dyDescent="0.3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1243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1244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5.6" thickTop="1" thickBot="1" x14ac:dyDescent="0.35">
      <c r="B141" s="98" t="s">
        <v>1062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1063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912</v>
      </c>
      <c r="D144" s="108" t="s">
        <v>1464</v>
      </c>
      <c r="E144" s="109" t="s">
        <v>913</v>
      </c>
    </row>
    <row r="145" spans="2:6" ht="15" thickTop="1" x14ac:dyDescent="0.3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1243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1244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5.6" thickTop="1" thickBot="1" x14ac:dyDescent="0.35">
      <c r="B152" s="98" t="s">
        <v>1062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1063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912</v>
      </c>
      <c r="D155" s="108" t="s">
        <v>1464</v>
      </c>
      <c r="E155" s="109" t="s">
        <v>913</v>
      </c>
    </row>
    <row r="156" spans="2:6" ht="15" thickTop="1" x14ac:dyDescent="0.3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1243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1244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5.6" thickTop="1" thickBot="1" x14ac:dyDescent="0.35">
      <c r="B163" s="98" t="s">
        <v>1062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1063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912</v>
      </c>
      <c r="D166" s="108" t="s">
        <v>1464</v>
      </c>
      <c r="E166" s="109" t="s">
        <v>913</v>
      </c>
    </row>
    <row r="167" spans="2:6" ht="15" thickTop="1" x14ac:dyDescent="0.3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0.17421602787456447</v>
      </c>
      <c r="F168" s="155"/>
    </row>
    <row r="169" spans="2:6" x14ac:dyDescent="0.3">
      <c r="B169" s="53" t="s">
        <v>1243</v>
      </c>
      <c r="C169" s="67">
        <v>0</v>
      </c>
      <c r="D169" s="103">
        <f>C168-C169</f>
        <v>100</v>
      </c>
      <c r="E169" s="55">
        <f>D169/C167</f>
        <v>0.17421602787456447</v>
      </c>
      <c r="F169" s="155"/>
    </row>
    <row r="170" spans="2:6" x14ac:dyDescent="0.3">
      <c r="B170" s="53" t="s">
        <v>1244</v>
      </c>
      <c r="C170" s="67">
        <v>0</v>
      </c>
      <c r="D170" s="103">
        <f>D169-C170</f>
        <v>100</v>
      </c>
      <c r="E170" s="55">
        <f>D170/C167</f>
        <v>0.17421602787456447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100</v>
      </c>
      <c r="E171" s="55">
        <f>D171/C167</f>
        <v>0.17421602787456447</v>
      </c>
      <c r="F171" s="155"/>
    </row>
    <row r="172" spans="2:6" ht="15" thickBot="1" x14ac:dyDescent="0.35">
      <c r="B172" s="56"/>
      <c r="C172" s="131"/>
      <c r="D172" s="104">
        <f>D171-C172</f>
        <v>100</v>
      </c>
      <c r="E172" s="74">
        <f>D172/C167</f>
        <v>0.17421602787456447</v>
      </c>
      <c r="F172" s="155"/>
    </row>
    <row r="173" spans="2:6" ht="15.6" thickTop="1" thickBot="1" x14ac:dyDescent="0.35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5.6" thickTop="1" thickBot="1" x14ac:dyDescent="0.35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912</v>
      </c>
      <c r="D177" s="108" t="s">
        <v>1464</v>
      </c>
      <c r="E177" s="109" t="s">
        <v>913</v>
      </c>
    </row>
    <row r="178" spans="2:12" ht="15" thickTop="1" x14ac:dyDescent="0.3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0.29268292682926828</v>
      </c>
      <c r="F179" s="155"/>
    </row>
    <row r="180" spans="2:12" x14ac:dyDescent="0.3">
      <c r="B180" s="53" t="s">
        <v>1243</v>
      </c>
      <c r="C180" s="67">
        <v>0</v>
      </c>
      <c r="D180" s="103">
        <f>C179-C180</f>
        <v>168</v>
      </c>
      <c r="E180" s="55">
        <f>D180/C178</f>
        <v>0.29268292682926828</v>
      </c>
      <c r="F180" s="155"/>
    </row>
    <row r="181" spans="2:12" x14ac:dyDescent="0.3">
      <c r="B181" s="53" t="s">
        <v>1244</v>
      </c>
      <c r="C181" s="67">
        <v>0</v>
      </c>
      <c r="D181" s="103">
        <f>D180-C181</f>
        <v>168</v>
      </c>
      <c r="E181" s="55">
        <f>D181/C178</f>
        <v>0.29268292682926828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168</v>
      </c>
      <c r="E182" s="55">
        <f>D182/C178</f>
        <v>0.29268292682926828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5.6" thickTop="1" thickBot="1" x14ac:dyDescent="0.35">
      <c r="B185" s="98" t="s">
        <v>1062</v>
      </c>
      <c r="C185" s="99">
        <v>304</v>
      </c>
      <c r="D185" s="115">
        <f>Hoja1!V3</f>
        <v>97</v>
      </c>
      <c r="E185" s="105">
        <v>0</v>
      </c>
      <c r="F185" s="155"/>
    </row>
    <row r="186" spans="2:12" ht="15" thickBot="1" x14ac:dyDescent="0.35">
      <c r="B186" s="112" t="s">
        <v>1063</v>
      </c>
      <c r="C186" s="113">
        <f>COSEIDIcam</f>
        <v>270</v>
      </c>
      <c r="D186" s="113">
        <f>Hoja1!V5</f>
        <v>71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" thickTop="1" x14ac:dyDescent="0.3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912</v>
      </c>
      <c r="D199" s="108" t="s">
        <v>1464</v>
      </c>
      <c r="E199" s="109" t="s">
        <v>913</v>
      </c>
    </row>
    <row r="200" spans="2:12" ht="15" thickTop="1" x14ac:dyDescent="0.3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3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3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3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5.6" thickTop="1" thickBot="1" x14ac:dyDescent="0.35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" thickBot="1" x14ac:dyDescent="0.35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912</v>
      </c>
      <c r="D210" s="108" t="s">
        <v>1464</v>
      </c>
      <c r="E210" s="109" t="s">
        <v>913</v>
      </c>
    </row>
    <row r="211" spans="2:6" ht="15" thickTop="1" x14ac:dyDescent="0.3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5.6" thickTop="1" thickBot="1" x14ac:dyDescent="0.35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912</v>
      </c>
      <c r="D222" s="108" t="s">
        <v>1464</v>
      </c>
      <c r="E222" s="109" t="s">
        <v>913</v>
      </c>
    </row>
    <row r="223" spans="2:6" ht="15" thickTop="1" x14ac:dyDescent="0.3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5.6" thickTop="1" thickBot="1" x14ac:dyDescent="0.35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912</v>
      </c>
      <c r="D234" s="108" t="s">
        <v>1464</v>
      </c>
      <c r="E234" s="109" t="s">
        <v>913</v>
      </c>
    </row>
    <row r="235" spans="2:6" ht="15" thickTop="1" x14ac:dyDescent="0.3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5.6" thickTop="1" thickBot="1" x14ac:dyDescent="0.35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912</v>
      </c>
      <c r="D246" s="108" t="s">
        <v>1464</v>
      </c>
      <c r="E246" s="109" t="s">
        <v>913</v>
      </c>
    </row>
    <row r="247" spans="2:6" ht="15" thickTop="1" x14ac:dyDescent="0.3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5.6" thickTop="1" thickBot="1" x14ac:dyDescent="0.35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912</v>
      </c>
      <c r="D258" s="108" t="s">
        <v>1464</v>
      </c>
      <c r="E258" s="109" t="s">
        <v>913</v>
      </c>
    </row>
    <row r="259" spans="2:6" ht="15" thickTop="1" x14ac:dyDescent="0.3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5.6" thickTop="1" thickBot="1" x14ac:dyDescent="0.35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912</v>
      </c>
      <c r="D269" s="108" t="s">
        <v>1464</v>
      </c>
      <c r="E269" s="109" t="s">
        <v>913</v>
      </c>
    </row>
    <row r="270" spans="2:6" ht="15" thickTop="1" x14ac:dyDescent="0.3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5.6" thickTop="1" thickBot="1" x14ac:dyDescent="0.35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912</v>
      </c>
      <c r="D280" s="108" t="s">
        <v>1464</v>
      </c>
      <c r="E280" s="109" t="s">
        <v>913</v>
      </c>
    </row>
    <row r="281" spans="2:6" ht="15" thickTop="1" x14ac:dyDescent="0.3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5.6" thickTop="1" thickBot="1" x14ac:dyDescent="0.35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912</v>
      </c>
      <c r="D291" s="108" t="s">
        <v>1464</v>
      </c>
      <c r="E291" s="109" t="s">
        <v>913</v>
      </c>
    </row>
    <row r="292" spans="2:6" ht="15" thickTop="1" x14ac:dyDescent="0.3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5.6" thickTop="1" thickBot="1" x14ac:dyDescent="0.35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912</v>
      </c>
      <c r="D302" s="108" t="s">
        <v>1464</v>
      </c>
      <c r="E302" s="109" t="s">
        <v>913</v>
      </c>
    </row>
    <row r="303" spans="2:6" ht="15" thickTop="1" x14ac:dyDescent="0.3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5.6" thickTop="1" thickBot="1" x14ac:dyDescent="0.35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912</v>
      </c>
      <c r="D313" s="108" t="s">
        <v>1464</v>
      </c>
      <c r="E313" s="109" t="s">
        <v>913</v>
      </c>
    </row>
    <row r="314" spans="2:6" ht="15" thickTop="1" x14ac:dyDescent="0.3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5.6" thickTop="1" thickBot="1" x14ac:dyDescent="0.35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912</v>
      </c>
      <c r="D324" s="108" t="s">
        <v>1464</v>
      </c>
      <c r="E324" s="109" t="s">
        <v>913</v>
      </c>
    </row>
    <row r="325" spans="2:6" ht="15" thickTop="1" x14ac:dyDescent="0.3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5.6" thickTop="1" thickBot="1" x14ac:dyDescent="0.35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912</v>
      </c>
      <c r="D336" s="108" t="s">
        <v>1464</v>
      </c>
      <c r="E336" s="109" t="s">
        <v>913</v>
      </c>
    </row>
    <row r="337" spans="2:6" ht="15" thickTop="1" x14ac:dyDescent="0.3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5.6" thickTop="1" thickBot="1" x14ac:dyDescent="0.35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2026-01-19T11:25:31Z</dcterms:modified>
</cp:coreProperties>
</file>