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D10DD013-1813-4644-A667-EA7446A7ACF9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<sst xmlns="http://schemas.openxmlformats.org/spreadsheetml/2006/main" count="6239" uniqueCount="2218">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</sst>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M8" activePane="bottomRight" state="frozen"/>
      <selection pane="topRight" activeCell="M1" sqref="M1"/>
      <selection pane="bottomLeft" activeCell="A5" sqref="A5"/>
      <selection pane="bottomRight" activeCell="F435" sqref="F43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9.3137254901960786E-2</v>
      </c>
      <c r="AM1" s="3">
        <f t="shared" si="1"/>
        <v>7.1906354515050161E-2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57</v>
      </c>
      <c r="AM3" s="126">
        <f t="shared" si="4"/>
        <v>43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24</v>
      </c>
      <c r="AM4" s="10">
        <f>COUNTIFS(AM8:AM670, "=APAGADO",F8:F670,"=Fibra Optica")</f>
        <v>16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5</v>
      </c>
      <c r="AM5" s="130">
        <f>COUNTIFS(AM8:AM670, "=APAGADO",F8:F670,"=RADIO")</f>
        <v>4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5</v>
      </c>
      <c r="AM6" s="10">
        <f>COUNTIFS(AM8:AM670, "=APAGADO",F8:F670,"=PTO A FO")</f>
        <v>4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3</v>
      </c>
      <c r="J34" s="147" t="s">
        <v>1693</v>
      </c>
      <c r="K34" s="134">
        <f t="shared" si="6"/>
        <v>25</v>
      </c>
      <c r="L34" s="135">
        <f t="shared" si="7"/>
        <v>0.10714285714285714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 t="s">
        <v>2124</v>
      </c>
      <c r="AM34" s="136" t="s">
        <v>2124</v>
      </c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24</v>
      </c>
      <c r="J36" s="87" t="s">
        <v>2162</v>
      </c>
      <c r="K36" s="142">
        <f t="shared" si="6"/>
        <v>4</v>
      </c>
      <c r="L36" s="143">
        <f t="shared" si="7"/>
        <v>0.8571428571428571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 t="s">
        <v>2124</v>
      </c>
      <c r="AM36" s="70" t="s">
        <v>2124</v>
      </c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25</v>
      </c>
      <c r="J87" s="147" t="s">
        <v>1737</v>
      </c>
      <c r="K87" s="31">
        <f t="shared" si="9"/>
        <v>3</v>
      </c>
      <c r="L87" s="32">
        <f t="shared" si="10"/>
        <v>0.8928571428571429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 t="s">
        <v>2124</v>
      </c>
      <c r="AM87" s="70" t="s">
        <v>2124</v>
      </c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22</v>
      </c>
      <c r="J95" s="147" t="s">
        <v>1745</v>
      </c>
      <c r="K95" s="142">
        <f t="shared" si="9"/>
        <v>6</v>
      </c>
      <c r="L95" s="143">
        <f t="shared" si="10"/>
        <v>0.7857142857142857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 t="s">
        <v>2124</v>
      </c>
      <c r="AM95" s="70" t="s">
        <v>2124</v>
      </c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16</v>
      </c>
      <c r="J97" s="147" t="s">
        <v>1747</v>
      </c>
      <c r="K97" s="142">
        <f t="shared" si="9"/>
        <v>12</v>
      </c>
      <c r="L97" s="143">
        <f t="shared" si="10"/>
        <v>0.5714285714285714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 t="s">
        <v>2124</v>
      </c>
      <c r="AM97" s="70" t="s">
        <v>2124</v>
      </c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25</v>
      </c>
      <c r="J116" s="147" t="s">
        <v>1765</v>
      </c>
      <c r="K116" s="31">
        <f t="shared" si="9"/>
        <v>3</v>
      </c>
      <c r="L116" s="32">
        <f t="shared" si="10"/>
        <v>0.8928571428571429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 t="s">
        <v>2124</v>
      </c>
      <c r="AM116" s="70" t="s">
        <v>2124</v>
      </c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21</v>
      </c>
      <c r="J118" s="147" t="s">
        <v>1767</v>
      </c>
      <c r="K118" s="142">
        <f t="shared" si="9"/>
        <v>7</v>
      </c>
      <c r="L118" s="143">
        <f t="shared" si="10"/>
        <v>0.75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 t="s">
        <v>2124</v>
      </c>
      <c r="AM118" s="70" t="s">
        <v>2124</v>
      </c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26</v>
      </c>
      <c r="J158" s="147" t="s">
        <v>1799</v>
      </c>
      <c r="K158" s="142">
        <f t="shared" si="9"/>
        <v>2</v>
      </c>
      <c r="L158" s="143">
        <f t="shared" si="10"/>
        <v>0.9285714285714286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 t="s">
        <v>2124</v>
      </c>
      <c r="AM158" s="70" t="s">
        <v>2124</v>
      </c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1</v>
      </c>
      <c r="J188" s="87"/>
      <c r="K188" s="138">
        <f t="shared" si="12"/>
        <v>27</v>
      </c>
      <c r="L188" s="139">
        <f t="shared" si="13"/>
        <v>3.5714285714285712E-2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 t="s">
        <v>2124</v>
      </c>
      <c r="AM188" s="140" t="s">
        <v>2124</v>
      </c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26</v>
      </c>
      <c r="J190" s="147" t="s">
        <v>1827</v>
      </c>
      <c r="K190" s="142">
        <f t="shared" si="12"/>
        <v>2</v>
      </c>
      <c r="L190" s="143">
        <f t="shared" si="13"/>
        <v>0.9285714285714286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1</v>
      </c>
      <c r="J194" s="87"/>
      <c r="K194" s="31">
        <f t="shared" si="12"/>
        <v>27</v>
      </c>
      <c r="L194" s="32">
        <f t="shared" si="13"/>
        <v>3.5714285714285712E-2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 t="s">
        <v>2124</v>
      </c>
      <c r="AM194" s="93" t="s">
        <v>2124</v>
      </c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8</v>
      </c>
      <c r="J196" s="147" t="s">
        <v>1832</v>
      </c>
      <c r="K196" s="31">
        <f t="shared" si="12"/>
        <v>20</v>
      </c>
      <c r="L196" s="32">
        <f t="shared" si="13"/>
        <v>0.2857142857142857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 t="s">
        <v>2124</v>
      </c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1</v>
      </c>
      <c r="J240" s="87"/>
      <c r="K240" s="31">
        <f t="shared" si="15"/>
        <v>27</v>
      </c>
      <c r="L240" s="32">
        <f t="shared" si="16"/>
        <v>3.5714285714285712E-2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 t="s">
        <v>2124</v>
      </c>
      <c r="AM240" s="93" t="s">
        <v>2124</v>
      </c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1</v>
      </c>
      <c r="J268" s="147" t="s">
        <v>1894</v>
      </c>
      <c r="K268" s="31">
        <f t="shared" si="15"/>
        <v>27</v>
      </c>
      <c r="L268" s="32">
        <f t="shared" si="16"/>
        <v>3.5714285714285712E-2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 t="s">
        <v>2124</v>
      </c>
      <c r="AM268" s="70" t="s">
        <v>2124</v>
      </c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7</v>
      </c>
      <c r="J272" s="147" t="s">
        <v>1897</v>
      </c>
      <c r="K272" s="31">
        <f t="shared" si="15"/>
        <v>21</v>
      </c>
      <c r="L272" s="32">
        <f t="shared" si="16"/>
        <v>0.25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 t="s">
        <v>2124</v>
      </c>
      <c r="AM272" s="70" t="s">
        <v>2124</v>
      </c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7</v>
      </c>
      <c r="J273" s="147" t="s">
        <v>1898</v>
      </c>
      <c r="K273" s="142">
        <f t="shared" si="15"/>
        <v>21</v>
      </c>
      <c r="L273" s="143">
        <f t="shared" si="16"/>
        <v>0.25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 t="s">
        <v>2124</v>
      </c>
      <c r="AM273" s="70" t="s">
        <v>2124</v>
      </c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15</v>
      </c>
      <c r="J275" s="147" t="s">
        <v>1900</v>
      </c>
      <c r="K275" s="142">
        <f t="shared" si="15"/>
        <v>13</v>
      </c>
      <c r="L275" s="143">
        <f t="shared" si="16"/>
        <v>0.5357142857142857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 t="s">
        <v>2124</v>
      </c>
      <c r="AM275" s="70" t="s">
        <v>2124</v>
      </c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1</v>
      </c>
      <c r="J287" s="147" t="s">
        <v>1911</v>
      </c>
      <c r="K287" s="31">
        <f t="shared" si="15"/>
        <v>27</v>
      </c>
      <c r="L287" s="32">
        <f t="shared" si="16"/>
        <v>3.5714285714285712E-2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 t="s">
        <v>2124</v>
      </c>
      <c r="AM287" s="70" t="s">
        <v>2124</v>
      </c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2</v>
      </c>
      <c r="J288" s="147" t="s">
        <v>1912</v>
      </c>
      <c r="K288" s="31">
        <f t="shared" si="15"/>
        <v>26</v>
      </c>
      <c r="L288" s="32">
        <f t="shared" si="16"/>
        <v>7.1428571428571425E-2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 t="s">
        <v>2124</v>
      </c>
      <c r="AM288" s="70" t="s">
        <v>2124</v>
      </c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2</v>
      </c>
      <c r="J299" s="147" t="s">
        <v>1922</v>
      </c>
      <c r="K299" s="142">
        <f t="shared" si="15"/>
        <v>26</v>
      </c>
      <c r="L299" s="143">
        <f t="shared" si="16"/>
        <v>7.1428571428571425E-2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 t="s">
        <v>2124</v>
      </c>
      <c r="AM299" s="70" t="s">
        <v>2124</v>
      </c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3</v>
      </c>
      <c r="J301" s="147" t="s">
        <v>1923</v>
      </c>
      <c r="K301" s="31">
        <f t="shared" ref="K301:K369" si="18">COUNTIF(M301:AN301,"APAGADO")</f>
        <v>25</v>
      </c>
      <c r="L301" s="32">
        <f t="shared" ref="L301:L369" si="19">(I301)/(K301+I301)</f>
        <v>0.10714285714285714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 t="s">
        <v>2124</v>
      </c>
      <c r="AM301" s="70" t="s">
        <v>2124</v>
      </c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5</v>
      </c>
      <c r="J305" s="147" t="s">
        <v>1926</v>
      </c>
      <c r="K305" s="31">
        <f t="shared" si="18"/>
        <v>23</v>
      </c>
      <c r="L305" s="32">
        <f t="shared" si="19"/>
        <v>0.17857142857142858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 t="s">
        <v>2124</v>
      </c>
      <c r="AM305" s="70" t="s">
        <v>2124</v>
      </c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16</v>
      </c>
      <c r="J317" s="147" t="s">
        <v>1938</v>
      </c>
      <c r="K317" s="31">
        <f t="shared" si="18"/>
        <v>12</v>
      </c>
      <c r="L317" s="32">
        <f t="shared" si="19"/>
        <v>0.5714285714285714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 t="s">
        <v>2124</v>
      </c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18</v>
      </c>
      <c r="J318" s="147" t="s">
        <v>1939</v>
      </c>
      <c r="K318" s="31">
        <f t="shared" si="18"/>
        <v>10</v>
      </c>
      <c r="L318" s="32">
        <f t="shared" si="19"/>
        <v>0.6428571428571429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 t="s">
        <v>2124</v>
      </c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8</v>
      </c>
      <c r="J319" s="147" t="s">
        <v>1940</v>
      </c>
      <c r="K319" s="31">
        <f t="shared" si="18"/>
        <v>20</v>
      </c>
      <c r="L319" s="32">
        <f t="shared" si="19"/>
        <v>0.2857142857142857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 t="s">
        <v>2124</v>
      </c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16</v>
      </c>
      <c r="J320" s="147" t="s">
        <v>1941</v>
      </c>
      <c r="K320" s="31">
        <f t="shared" si="18"/>
        <v>12</v>
      </c>
      <c r="L320" s="32">
        <f t="shared" si="19"/>
        <v>0.5714285714285714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 t="s">
        <v>2124</v>
      </c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19</v>
      </c>
      <c r="J340" s="147" t="s">
        <v>1957</v>
      </c>
      <c r="K340" s="142">
        <f t="shared" si="18"/>
        <v>9</v>
      </c>
      <c r="L340" s="143">
        <f t="shared" si="19"/>
        <v>0.6785714285714286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 t="s">
        <v>2124</v>
      </c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21</v>
      </c>
      <c r="J341" s="147" t="s">
        <v>1958</v>
      </c>
      <c r="K341" s="142">
        <f t="shared" si="18"/>
        <v>7</v>
      </c>
      <c r="L341" s="143">
        <f t="shared" si="19"/>
        <v>0.75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 t="s">
        <v>2124</v>
      </c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15</v>
      </c>
      <c r="J343" s="147" t="s">
        <v>1960</v>
      </c>
      <c r="K343" s="31">
        <f t="shared" si="18"/>
        <v>13</v>
      </c>
      <c r="L343" s="32">
        <f t="shared" si="19"/>
        <v>0.5357142857142857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 t="s">
        <v>2124</v>
      </c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21</v>
      </c>
      <c r="J363" s="147" t="s">
        <v>1976</v>
      </c>
      <c r="K363" s="31">
        <f t="shared" si="18"/>
        <v>7</v>
      </c>
      <c r="L363" s="32">
        <f t="shared" si="19"/>
        <v>0.75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2124</v>
      </c>
      <c r="AM363" s="70" t="s">
        <v>2124</v>
      </c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3</v>
      </c>
      <c r="J364" s="73"/>
      <c r="K364" s="31">
        <f t="shared" si="18"/>
        <v>25</v>
      </c>
      <c r="L364" s="32">
        <f t="shared" si="19"/>
        <v>0.10714285714285714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 t="s">
        <v>2124</v>
      </c>
      <c r="AM364" s="93" t="s">
        <v>2124</v>
      </c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15</v>
      </c>
      <c r="J377" s="147" t="s">
        <v>1989</v>
      </c>
      <c r="K377" s="31">
        <f t="shared" si="21"/>
        <v>13</v>
      </c>
      <c r="L377" s="32">
        <f t="shared" si="22"/>
        <v>0.5357142857142857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 t="s">
        <v>2124</v>
      </c>
      <c r="AM377" s="70" t="s">
        <v>2124</v>
      </c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15</v>
      </c>
      <c r="J382" s="87"/>
      <c r="K382" s="31">
        <f t="shared" si="21"/>
        <v>13</v>
      </c>
      <c r="L382" s="32">
        <f t="shared" si="22"/>
        <v>0.5357142857142857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 t="s">
        <v>2124</v>
      </c>
      <c r="AM382" s="84" t="s">
        <v>2124</v>
      </c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26</v>
      </c>
      <c r="J387" s="147" t="s">
        <v>1995</v>
      </c>
      <c r="K387" s="87">
        <f t="shared" si="21"/>
        <v>2</v>
      </c>
      <c r="L387" s="88">
        <f t="shared" si="22"/>
        <v>0.9285714285714286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 t="s">
        <v>2124</v>
      </c>
      <c r="AM387" s="89" t="s">
        <v>2124</v>
      </c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1</v>
      </c>
      <c r="J389" s="147" t="s">
        <v>1996</v>
      </c>
      <c r="K389" s="31">
        <f t="shared" si="21"/>
        <v>27</v>
      </c>
      <c r="L389" s="32">
        <f t="shared" si="22"/>
        <v>3.5714285714285712E-2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 t="s">
        <v>2124</v>
      </c>
      <c r="AM389" s="70" t="s">
        <v>2124</v>
      </c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1</v>
      </c>
      <c r="J390" s="147" t="s">
        <v>1997</v>
      </c>
      <c r="K390" s="31">
        <f t="shared" si="21"/>
        <v>27</v>
      </c>
      <c r="L390" s="32">
        <f t="shared" si="22"/>
        <v>3.5714285714285712E-2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 t="s">
        <v>2124</v>
      </c>
      <c r="AM390" s="70" t="s">
        <v>2124</v>
      </c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20</v>
      </c>
      <c r="J396" s="87" t="s">
        <v>2156</v>
      </c>
      <c r="K396" s="142">
        <f t="shared" si="21"/>
        <v>8</v>
      </c>
      <c r="L396" s="143">
        <f t="shared" si="22"/>
        <v>0.7142857142857143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 t="s">
        <v>2124</v>
      </c>
      <c r="AM396" s="70" t="s">
        <v>2124</v>
      </c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2</v>
      </c>
      <c r="J402" s="87"/>
      <c r="K402" s="31">
        <f t="shared" si="21"/>
        <v>26</v>
      </c>
      <c r="L402" s="32">
        <f t="shared" si="22"/>
        <v>7.1428571428571425E-2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 t="s">
        <v>2124</v>
      </c>
      <c r="AM402" s="93" t="s">
        <v>2124</v>
      </c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6</v>
      </c>
      <c r="J423" s="87"/>
      <c r="K423" s="31">
        <f t="shared" si="21"/>
        <v>22</v>
      </c>
      <c r="L423" s="32">
        <f t="shared" si="22"/>
        <v>0.21428571428571427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 t="s">
        <v>2124</v>
      </c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13</v>
      </c>
      <c r="J428" s="147" t="s">
        <v>2023</v>
      </c>
      <c r="K428" s="31">
        <f t="shared" si="21"/>
        <v>15</v>
      </c>
      <c r="L428" s="32">
        <f t="shared" si="22"/>
        <v>0.4642857142857143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 t="s">
        <v>2124</v>
      </c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23</v>
      </c>
      <c r="J429" s="147" t="s">
        <v>2024</v>
      </c>
      <c r="K429" s="142">
        <f t="shared" si="21"/>
        <v>5</v>
      </c>
      <c r="L429" s="143">
        <f t="shared" si="22"/>
        <v>0.8214285714285714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 t="s">
        <v>2124</v>
      </c>
      <c r="AM429" s="70" t="s">
        <v>2124</v>
      </c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1</v>
      </c>
      <c r="J435" s="147" t="s">
        <v>2030</v>
      </c>
      <c r="K435" s="31">
        <f t="shared" si="21"/>
        <v>27</v>
      </c>
      <c r="L435" s="32">
        <f t="shared" si="22"/>
        <v>3.5714285714285712E-2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 t="s">
        <v>2124</v>
      </c>
      <c r="AM435" s="70" t="s">
        <v>2124</v>
      </c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22</v>
      </c>
      <c r="J437" s="87"/>
      <c r="K437" s="31">
        <f t="shared" si="21"/>
        <v>6</v>
      </c>
      <c r="L437" s="32">
        <f t="shared" si="22"/>
        <v>0.7857142857142857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 t="s">
        <v>2124</v>
      </c>
      <c r="AM437" s="70" t="s">
        <v>2124</v>
      </c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22</v>
      </c>
      <c r="J438" s="87"/>
      <c r="K438" s="31">
        <f t="shared" si="21"/>
        <v>6</v>
      </c>
      <c r="L438" s="32">
        <f t="shared" si="22"/>
        <v>0.7857142857142857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 t="s">
        <v>2124</v>
      </c>
      <c r="AM438" s="70" t="s">
        <v>2124</v>
      </c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12</v>
      </c>
      <c r="J444" s="87"/>
      <c r="K444" s="142">
        <f t="shared" si="21"/>
        <v>16</v>
      </c>
      <c r="L444" s="143">
        <f t="shared" si="22"/>
        <v>0.42857142857142855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27</v>
      </c>
      <c r="J448" s="147" t="s">
        <v>2035</v>
      </c>
      <c r="K448" s="31">
        <f t="shared" ref="K448:K518" si="24">COUNTIF(M448:AN448,"APAGADO")</f>
        <v>1</v>
      </c>
      <c r="L448" s="32">
        <f t="shared" ref="L448:L518" si="25">(I448)/(K448+I448)</f>
        <v>0.9642857142857143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 t="s">
        <v>2124</v>
      </c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27</v>
      </c>
      <c r="J449" s="147" t="s">
        <v>2036</v>
      </c>
      <c r="K449" s="31">
        <f t="shared" si="24"/>
        <v>1</v>
      </c>
      <c r="L449" s="32">
        <f t="shared" si="25"/>
        <v>0.9642857142857143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 t="s">
        <v>2124</v>
      </c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26</v>
      </c>
      <c r="J450" s="147" t="s">
        <v>2037</v>
      </c>
      <c r="K450" s="31">
        <f t="shared" si="24"/>
        <v>2</v>
      </c>
      <c r="L450" s="32">
        <f t="shared" si="25"/>
        <v>0.9285714285714286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 t="s">
        <v>2124</v>
      </c>
      <c r="AM450" s="70" t="s">
        <v>2124</v>
      </c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27</v>
      </c>
      <c r="J453" s="147" t="s">
        <v>2040</v>
      </c>
      <c r="K453" s="31">
        <f t="shared" si="24"/>
        <v>1</v>
      </c>
      <c r="L453" s="32">
        <f t="shared" si="25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 t="s">
        <v>2124</v>
      </c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27</v>
      </c>
      <c r="J454" s="147" t="s">
        <v>2041</v>
      </c>
      <c r="K454" s="31">
        <f t="shared" si="24"/>
        <v>1</v>
      </c>
      <c r="L454" s="32">
        <f t="shared" si="25"/>
        <v>0.9642857142857143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 t="s">
        <v>2124</v>
      </c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26</v>
      </c>
      <c r="J459" s="147" t="s">
        <v>2046</v>
      </c>
      <c r="K459" s="31">
        <f t="shared" si="24"/>
        <v>2</v>
      </c>
      <c r="L459" s="32">
        <f t="shared" si="25"/>
        <v>0.9285714285714286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 t="s">
        <v>2124</v>
      </c>
      <c r="AM459" s="70" t="s">
        <v>2124</v>
      </c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5</v>
      </c>
      <c r="J490" s="147" t="s">
        <v>2068</v>
      </c>
      <c r="K490" s="31">
        <f t="shared" si="24"/>
        <v>23</v>
      </c>
      <c r="L490" s="32">
        <f t="shared" si="25"/>
        <v>0.17857142857142858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 t="s">
        <v>2124</v>
      </c>
      <c r="AM490" s="70" t="s">
        <v>2124</v>
      </c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10</v>
      </c>
      <c r="J491" s="147" t="s">
        <v>2069</v>
      </c>
      <c r="K491" s="31">
        <f t="shared" si="24"/>
        <v>18</v>
      </c>
      <c r="L491" s="32">
        <f t="shared" si="25"/>
        <v>0.35714285714285715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 t="s">
        <v>2124</v>
      </c>
      <c r="AM491" s="70" t="s">
        <v>2124</v>
      </c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19</v>
      </c>
      <c r="J505" s="147" t="s">
        <v>2082</v>
      </c>
      <c r="K505" s="142">
        <f t="shared" si="24"/>
        <v>9</v>
      </c>
      <c r="L505" s="143">
        <f t="shared" si="25"/>
        <v>0.6785714285714286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 t="s">
        <v>2124</v>
      </c>
      <c r="AM505" s="70" t="s">
        <v>2124</v>
      </c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27</v>
      </c>
      <c r="J518" s="147" t="s">
        <v>2094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 t="s">
        <v>2124</v>
      </c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26</v>
      </c>
      <c r="J521" s="147" t="s">
        <v>2097</v>
      </c>
      <c r="K521" s="31">
        <f t="shared" si="27"/>
        <v>1</v>
      </c>
      <c r="L521" s="32">
        <f t="shared" si="28"/>
        <v>0.96296296296296291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 t="s">
        <v>2124</v>
      </c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16</v>
      </c>
      <c r="J530" s="87"/>
      <c r="K530" s="142">
        <f t="shared" si="27"/>
        <v>12</v>
      </c>
      <c r="L530" s="143">
        <f t="shared" si="28"/>
        <v>0.5714285714285714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 t="s">
        <v>2124</v>
      </c>
      <c r="AM530" s="70" t="s">
        <v>2124</v>
      </c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17</v>
      </c>
      <c r="J534" s="87" t="s">
        <v>2191</v>
      </c>
      <c r="K534" s="31">
        <f t="shared" si="27"/>
        <v>11</v>
      </c>
      <c r="L534" s="32">
        <f t="shared" si="28"/>
        <v>0.6071428571428571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 t="s">
        <v>2124</v>
      </c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2</v>
      </c>
      <c r="J542" s="147" t="s">
        <v>2109</v>
      </c>
      <c r="K542" s="31">
        <f t="shared" si="27"/>
        <v>26</v>
      </c>
      <c r="L542" s="32">
        <f t="shared" si="28"/>
        <v>7.1428571428571425E-2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 t="s">
        <v>2124</v>
      </c>
      <c r="AM542" s="70" t="s">
        <v>2124</v>
      </c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27</v>
      </c>
      <c r="J555" s="147" t="s">
        <v>2117</v>
      </c>
      <c r="K555" s="142">
        <f t="shared" si="27"/>
        <v>1</v>
      </c>
      <c r="L555" s="143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 t="s">
        <v>2124</v>
      </c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10</v>
      </c>
      <c r="J558" s="147" t="s">
        <v>2120</v>
      </c>
      <c r="K558" s="142">
        <f t="shared" si="27"/>
        <v>18</v>
      </c>
      <c r="L558" s="143">
        <f t="shared" si="28"/>
        <v>0.35714285714285715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 t="s">
        <v>2124</v>
      </c>
      <c r="AM558" s="70" t="s">
        <v>2124</v>
      </c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80" zoomScale="90" zoomScaleNormal="90" workbookViewId="0">
      <selection activeCell="B291" sqref="B291:F30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43</v>
      </c>
      <c r="D293" s="54"/>
      <c r="E293" s="55">
        <f>C293/C292</f>
        <v>7.7477477477477477E-2</v>
      </c>
      <c r="F293" s="155"/>
    </row>
    <row r="294" spans="2:6" x14ac:dyDescent="0.25">
      <c r="B294" s="53" t="s">
        <v>1245</v>
      </c>
      <c r="C294" s="67">
        <v>2</v>
      </c>
      <c r="D294" s="103">
        <v>41</v>
      </c>
      <c r="E294" s="55">
        <f>D294/C292</f>
        <v>7.3873873873873869E-2</v>
      </c>
      <c r="F294" s="155"/>
    </row>
    <row r="295" spans="2:6" x14ac:dyDescent="0.25">
      <c r="B295" s="53" t="s">
        <v>1246</v>
      </c>
      <c r="C295" s="67">
        <v>3</v>
      </c>
      <c r="D295" s="103">
        <v>38</v>
      </c>
      <c r="E295" s="55">
        <f>D295/C292</f>
        <v>6.8468468468468463E-2</v>
      </c>
      <c r="F295" s="155"/>
    </row>
    <row r="296" spans="2:6" x14ac:dyDescent="0.25">
      <c r="B296" s="53" t="s">
        <v>16</v>
      </c>
      <c r="C296" s="94">
        <v>4</v>
      </c>
      <c r="D296" s="103">
        <v>34</v>
      </c>
      <c r="E296" s="55">
        <f>D296/C292</f>
        <v>6.126126126126126E-2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16</v>
      </c>
      <c r="E299" s="105">
        <f>D299/C299</f>
        <v>5.3691275167785234E-2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27</v>
      </c>
      <c r="E300" s="114">
        <f>D300/C300</f>
        <v>0.10546875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 t="str">
        <f>'RESUMEN TOTAL'!AL87</f>
        <v>APAGADO</v>
      </c>
      <c r="AF68" s="70" t="str">
        <f>'RESUMEN TOTAL'!AM87</f>
        <v>APAGADO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 t="str">
        <f>'RESUMEN TOTAL'!AL95</f>
        <v>APAGADO</v>
      </c>
      <c r="AF76" s="70" t="str">
        <f>'RESUMEN TOTAL'!AM95</f>
        <v>APAGADO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 t="str">
        <f>'RESUMEN TOTAL'!AL97</f>
        <v>APAGADO</v>
      </c>
      <c r="AF78" s="70" t="str">
        <f>'RESUMEN TOTAL'!AM97</f>
        <v>APAGADO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 t="str">
        <f>'RESUMEN TOTAL'!AL116</f>
        <v>APAGADO</v>
      </c>
      <c r="AF97" s="70" t="str">
        <f>'RESUMEN TOTAL'!AM116</f>
        <v>APAGADO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 t="str">
        <f>'RESUMEN TOTAL'!AL118</f>
        <v>APAGADO</v>
      </c>
      <c r="AF99" s="70" t="str">
        <f>'RESUMEN TOTAL'!AM118</f>
        <v>APAGADO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 t="str">
        <f>'RESUMEN TOTAL'!AL188</f>
        <v>APAGADO</v>
      </c>
      <c r="AF148" s="70" t="str">
        <f>'RESUMEN TOTAL'!AM188</f>
        <v>APAGADO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 t="str">
        <f>'RESUMEN TOTAL'!AL194</f>
        <v>APAGADO</v>
      </c>
      <c r="AF154" s="70" t="str">
        <f>'RESUMEN TOTAL'!AM194</f>
        <v>APAGADO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 t="str">
        <f>'RESUMEN TOTAL'!AL196</f>
        <v>APAGADO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 t="str">
        <f>'RESUMEN TOTAL'!AL240</f>
        <v>APAGADO</v>
      </c>
      <c r="AF194" s="70" t="str">
        <f>'RESUMEN TOTAL'!AM240</f>
        <v>APAGADO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 t="str">
        <f>'RESUMEN TOTAL'!AL268</f>
        <v>APAGADO</v>
      </c>
      <c r="AF220" s="70" t="str">
        <f>'RESUMEN TOTAL'!AM268</f>
        <v>APAGADO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 t="str">
        <f>'RESUMEN TOTAL'!AL272</f>
        <v>APAGADO</v>
      </c>
      <c r="AF224" s="70" t="str">
        <f>'RESUMEN TOTAL'!AM272</f>
        <v>APAGADO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 t="str">
        <f>'RESUMEN TOTAL'!AL273</f>
        <v>APAGADO</v>
      </c>
      <c r="AF225" s="70" t="str">
        <f>'RESUMEN TOTAL'!AM273</f>
        <v>APAGADO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 t="str">
        <f>'RESUMEN TOTAL'!AL287</f>
        <v>APAGADO</v>
      </c>
      <c r="AF236" s="70" t="str">
        <f>'RESUMEN TOTAL'!AM287</f>
        <v>APAGADO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 t="str">
        <f>'RESUMEN TOTAL'!AL288</f>
        <v>APAGADO</v>
      </c>
      <c r="AF237" s="70" t="str">
        <f>'RESUMEN TOTAL'!AM288</f>
        <v>APAGADO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 t="str">
        <f>'RESUMEN TOTAL'!AL299</f>
        <v>APAGADO</v>
      </c>
      <c r="AF248" s="70" t="str">
        <f>'RESUMEN TOTAL'!AM299</f>
        <v>APAGADO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 t="str">
        <f>'RESUMEN TOTAL'!AL301</f>
        <v>APAGADO</v>
      </c>
      <c r="AF250" s="70" t="str">
        <f>'RESUMEN TOTAL'!AM301</f>
        <v>APAGADO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 t="str">
        <f>'RESUMEN TOTAL'!AL305</f>
        <v>APAGADO</v>
      </c>
      <c r="AF254" s="70" t="str">
        <f>'RESUMEN TOTAL'!AM305</f>
        <v>APAGADO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 t="str">
        <f>'RESUMEN TOTAL'!AL340</f>
        <v>APAGADO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 t="str">
        <f>'RESUMEN TOTAL'!AL341</f>
        <v>APAGADO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 t="str">
        <f>'RESUMEN TOTAL'!AL343</f>
        <v>APAGADO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 t="str">
        <f>'RESUMEN TOTAL'!AL363</f>
        <v>APAGADO</v>
      </c>
      <c r="AF300" s="70" t="str">
        <f>'RESUMEN TOTAL'!AM363</f>
        <v>APAGADO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 t="str">
        <f>'RESUMEN TOTAL'!AL364</f>
        <v>APAGADO</v>
      </c>
      <c r="AF301" s="70" t="str">
        <f>'RESUMEN TOTAL'!AM364</f>
        <v>APAGADO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 t="str">
        <f>'RESUMEN TOTAL'!AL377</f>
        <v>APAGADO</v>
      </c>
      <c r="AF314" s="70" t="str">
        <f>'RESUMEN TOTAL'!AM377</f>
        <v>APAGADO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 t="str">
        <f>'RESUMEN TOTAL'!AL387</f>
        <v>APAGADO</v>
      </c>
      <c r="AF320" s="70" t="str">
        <f>'RESUMEN TOTAL'!AM387</f>
        <v>APAGADO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 t="str">
        <f>'RESUMEN TOTAL'!AL389</f>
        <v>APAGADO</v>
      </c>
      <c r="AF322" s="70" t="str">
        <f>'RESUMEN TOTAL'!AM389</f>
        <v>APAGADO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 t="str">
        <f>'RESUMEN TOTAL'!AL390</f>
        <v>APAGADO</v>
      </c>
      <c r="AF323" s="70" t="str">
        <f>'RESUMEN TOTAL'!AM390</f>
        <v>APAGADO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 t="str">
        <f>'RESUMEN TOTAL'!AL402</f>
        <v>APAGADO</v>
      </c>
      <c r="AF329" s="70" t="str">
        <f>'RESUMEN TOTAL'!AM402</f>
        <v>APAGADO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 t="str">
        <f>'RESUMEN TOTAL'!AL423</f>
        <v>APAGADO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 t="str">
        <f>'RESUMEN TOTAL'!AM428</f>
        <v>APAGADO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 t="str">
        <f>'RESUMEN TOTAL'!AL429</f>
        <v>APAGADO</v>
      </c>
      <c r="AF354" s="70" t="str">
        <f>'RESUMEN TOTAL'!AM429</f>
        <v>APAGADO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 t="str">
        <f>'RESUMEN TOTAL'!AL435</f>
        <v>APAGADO</v>
      </c>
      <c r="AF360" s="70" t="str">
        <f>'RESUMEN TOTAL'!AM435</f>
        <v>APAGADO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 t="str">
        <f>'RESUMEN TOTAL'!AL448</f>
        <v>APAGADO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 t="str">
        <f>'RESUMEN TOTAL'!AL449</f>
        <v>APAGADO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 t="str">
        <f>'RESUMEN TOTAL'!AL450</f>
        <v>APAGADO</v>
      </c>
      <c r="AF368" s="70" t="str">
        <f>'RESUMEN TOTAL'!AM450</f>
        <v>APAGADO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 t="str">
        <f>'RESUMEN TOTAL'!AL453</f>
        <v>APAGADO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 t="str">
        <f>'RESUMEN TOTAL'!AL454</f>
        <v>APAGADO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 t="str">
        <f>'RESUMEN TOTAL'!AL490</f>
        <v>APAGADO</v>
      </c>
      <c r="AF402" s="70" t="str">
        <f>'RESUMEN TOTAL'!AM490</f>
        <v>APAGADO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 t="str">
        <f>'RESUMEN TOTAL'!AL491</f>
        <v>APAGADO</v>
      </c>
      <c r="AF403" s="70" t="str">
        <f>'RESUMEN TOTAL'!AM491</f>
        <v>APAGADO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 t="str">
        <f>'RESUMEN TOTAL'!AL505</f>
        <v>APAGADO</v>
      </c>
      <c r="AF417" s="70" t="str">
        <f>'RESUMEN TOTAL'!AM505</f>
        <v>APAGADO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 t="str">
        <f>'RESUMEN TOTAL'!AL518</f>
        <v>APAGADO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 t="str">
        <f>'RESUMEN TOTAL'!AL521</f>
        <v>APAGADO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 t="str">
        <f>'RESUMEN TOTAL'!AM534</f>
        <v>APAGADO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 t="str">
        <f>'RESUMEN TOTAL'!AL542</f>
        <v>APAGADO</v>
      </c>
      <c r="AF445" s="70" t="str">
        <f>'RESUMEN TOTAL'!AM542</f>
        <v>APAGADO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 t="str">
        <f>'RESUMEN TOTAL'!AL555</f>
        <v>APAGADO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 t="str">
        <f>'RESUMEN TOTAL'!AL558</f>
        <v>APAGADO</v>
      </c>
      <c r="AF460" s="70" t="str">
        <f>'RESUMEN TOTAL'!AM558</f>
        <v>APAGADO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J1" zoomScale="90" zoomScaleNormal="90" workbookViewId="0">
      <selection activeCell="AE5" sqref="AE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16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5.3691275167785234E-2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30</v>
      </c>
      <c r="AF5" s="46">
        <f>COUNTIFS('RESUMEN TOTAL'!AM10:AM672,"=APAGADO",'RESUMEN TOTAL'!C10:C672,"=COSEIDI")</f>
        <v>27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0.1171875</v>
      </c>
      <c r="AF6" s="50">
        <f t="shared" si="1"/>
        <v>0.10546875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2025-10-27T11:34:19Z</dcterms:modified>
</cp:coreProperties>
</file>