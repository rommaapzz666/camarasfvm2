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9C35CF50-39DF-4454-BF41-D4126CC9852C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<sst xmlns="http://schemas.openxmlformats.org/spreadsheetml/2006/main" count="5975" uniqueCount="2289">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</sst>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U287" activePane="bottomRight" state="frozen"/>
      <selection pane="topRight" activeCell="M1" sqref="M1"/>
      <selection pane="bottomLeft" activeCell="A5" sqref="A5"/>
      <selection pane="bottomRight" activeCell="V315" sqref="V315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18</v>
      </c>
      <c r="J8" s="147" t="s">
        <v>1667</v>
      </c>
      <c r="K8" s="31">
        <f t="shared" ref="K8:K85" si="6">COUNTIF(M8:AN8,"APAGADO")</f>
        <v>10</v>
      </c>
      <c r="L8" s="32">
        <f t="shared" ref="L8:L85" si="7">(I8)/(K8+I8)</f>
        <v>0.6428571428571429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 t="s">
        <v>2288</v>
      </c>
      <c r="V8" s="70" t="s">
        <v>2288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18</v>
      </c>
      <c r="J9" s="147" t="s">
        <v>1668</v>
      </c>
      <c r="K9" s="31">
        <f t="shared" si="6"/>
        <v>10</v>
      </c>
      <c r="L9" s="32">
        <f t="shared" si="7"/>
        <v>0.6428571428571429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 t="s">
        <v>2288</v>
      </c>
      <c r="V9" s="70" t="s">
        <v>2288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18</v>
      </c>
      <c r="J14" s="147" t="s">
        <v>1673</v>
      </c>
      <c r="K14" s="31">
        <f t="shared" si="6"/>
        <v>10</v>
      </c>
      <c r="L14" s="32">
        <f t="shared" si="7"/>
        <v>0.6428571428571429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 t="s">
        <v>2288</v>
      </c>
      <c r="V14" s="70" t="s">
        <v>2288</v>
      </c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19</v>
      </c>
      <c r="J19" s="147" t="s">
        <v>1677</v>
      </c>
      <c r="K19" s="31">
        <f t="shared" si="6"/>
        <v>9</v>
      </c>
      <c r="L19" s="32">
        <f t="shared" si="7"/>
        <v>0.6785714285714286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 t="s">
        <v>2288</v>
      </c>
      <c r="V19" s="70" t="s">
        <v>2288</v>
      </c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19</v>
      </c>
      <c r="J20" s="147" t="s">
        <v>1678</v>
      </c>
      <c r="K20" s="31">
        <f t="shared" si="6"/>
        <v>9</v>
      </c>
      <c r="L20" s="32">
        <f t="shared" si="7"/>
        <v>0.6785714285714286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 t="s">
        <v>2288</v>
      </c>
      <c r="V20" s="70" t="s">
        <v>2288</v>
      </c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18</v>
      </c>
      <c r="J34" s="147" t="s">
        <v>1689</v>
      </c>
      <c r="K34" s="134">
        <f t="shared" si="6"/>
        <v>10</v>
      </c>
      <c r="L34" s="135">
        <f t="shared" si="7"/>
        <v>0.6428571428571429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 t="s">
        <v>2288</v>
      </c>
      <c r="V34" s="136" t="s">
        <v>2288</v>
      </c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18</v>
      </c>
      <c r="J36" s="87" t="s">
        <v>2157</v>
      </c>
      <c r="K36" s="142">
        <f t="shared" si="6"/>
        <v>10</v>
      </c>
      <c r="L36" s="143">
        <f t="shared" si="7"/>
        <v>0.6428571428571429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 t="s">
        <v>2288</v>
      </c>
      <c r="V36" s="70" t="s">
        <v>2288</v>
      </c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1697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2288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27</v>
      </c>
      <c r="J62" s="147" t="s">
        <v>1707</v>
      </c>
      <c r="K62" s="31">
        <f t="shared" si="6"/>
        <v>1</v>
      </c>
      <c r="L62" s="32">
        <f t="shared" si="7"/>
        <v>0.9642857142857143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2288</v>
      </c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19</v>
      </c>
      <c r="J89" s="147" t="s">
        <v>1733</v>
      </c>
      <c r="K89" s="31">
        <f t="shared" si="9"/>
        <v>9</v>
      </c>
      <c r="L89" s="32">
        <f t="shared" si="10"/>
        <v>0.6785714285714286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 t="s">
        <v>2288</v>
      </c>
      <c r="V89" s="70" t="s">
        <v>2288</v>
      </c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27</v>
      </c>
      <c r="J95" s="147" t="s">
        <v>1739</v>
      </c>
      <c r="K95" s="142">
        <f t="shared" si="9"/>
        <v>1</v>
      </c>
      <c r="L95" s="143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19</v>
      </c>
      <c r="J99" s="147" t="s">
        <v>1743</v>
      </c>
      <c r="K99" s="142">
        <f t="shared" si="9"/>
        <v>9</v>
      </c>
      <c r="L99" s="143">
        <f t="shared" si="10"/>
        <v>0.6785714285714286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 t="s">
        <v>2288</v>
      </c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20</v>
      </c>
      <c r="J112" s="147" t="s">
        <v>1756</v>
      </c>
      <c r="K112" s="142">
        <f t="shared" si="9"/>
        <v>8</v>
      </c>
      <c r="L112" s="143">
        <f t="shared" si="10"/>
        <v>0.7142857142857143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20</v>
      </c>
      <c r="J113" s="147" t="s">
        <v>1755</v>
      </c>
      <c r="K113" s="142">
        <f t="shared" si="9"/>
        <v>8</v>
      </c>
      <c r="L113" s="143">
        <f t="shared" si="10"/>
        <v>0.7142857142857143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18</v>
      </c>
      <c r="J120" s="147" t="s">
        <v>1763</v>
      </c>
      <c r="K120" s="142">
        <f t="shared" si="9"/>
        <v>10</v>
      </c>
      <c r="L120" s="143">
        <f t="shared" si="10"/>
        <v>0.6428571428571429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 t="s">
        <v>2288</v>
      </c>
      <c r="V120" s="70" t="s">
        <v>2288</v>
      </c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24</v>
      </c>
      <c r="J127" s="148" t="s">
        <v>1770</v>
      </c>
      <c r="K127" s="142">
        <f t="shared" si="9"/>
        <v>4</v>
      </c>
      <c r="L127" s="143">
        <f t="shared" si="10"/>
        <v>0.8571428571428571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22</v>
      </c>
      <c r="J130" s="147" t="s">
        <v>1773</v>
      </c>
      <c r="K130" s="31">
        <f t="shared" si="9"/>
        <v>6</v>
      </c>
      <c r="L130" s="32">
        <f t="shared" si="10"/>
        <v>0.7857142857142857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 t="s">
        <v>2288</v>
      </c>
      <c r="V130" s="70" t="s">
        <v>2288</v>
      </c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23</v>
      </c>
      <c r="J131" s="147" t="s">
        <v>1774</v>
      </c>
      <c r="K131" s="31">
        <f t="shared" si="9"/>
        <v>5</v>
      </c>
      <c r="L131" s="32">
        <f t="shared" si="10"/>
        <v>0.8214285714285714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 t="s">
        <v>2288</v>
      </c>
      <c r="V131" s="70" t="s">
        <v>2288</v>
      </c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19</v>
      </c>
      <c r="J156" s="87"/>
      <c r="K156" s="31">
        <f t="shared" si="9"/>
        <v>9</v>
      </c>
      <c r="L156" s="32">
        <f t="shared" si="10"/>
        <v>0.6785714285714286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 t="s">
        <v>2288</v>
      </c>
      <c r="V156" s="70" t="s">
        <v>2288</v>
      </c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19</v>
      </c>
      <c r="J157" s="87"/>
      <c r="K157" s="31">
        <f t="shared" si="9"/>
        <v>9</v>
      </c>
      <c r="L157" s="32">
        <f t="shared" si="10"/>
        <v>0.6785714285714286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 t="s">
        <v>2288</v>
      </c>
      <c r="V157" s="70" t="s">
        <v>2288</v>
      </c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20</v>
      </c>
      <c r="J168" s="147" t="s">
        <v>1801</v>
      </c>
      <c r="K168" s="31">
        <f t="shared" si="12"/>
        <v>8</v>
      </c>
      <c r="L168" s="32">
        <f t="shared" si="13"/>
        <v>0.7142857142857143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 t="s">
        <v>2288</v>
      </c>
      <c r="V168" s="70" t="s">
        <v>2288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18</v>
      </c>
      <c r="J169" s="147" t="s">
        <v>1802</v>
      </c>
      <c r="K169" s="31">
        <f t="shared" si="12"/>
        <v>10</v>
      </c>
      <c r="L169" s="32">
        <f t="shared" si="13"/>
        <v>0.6428571428571429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 t="s">
        <v>2288</v>
      </c>
      <c r="V169" s="70" t="s">
        <v>2288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18</v>
      </c>
      <c r="J187" s="147" t="s">
        <v>1818</v>
      </c>
      <c r="K187" s="31">
        <f t="shared" si="12"/>
        <v>10</v>
      </c>
      <c r="L187" s="32">
        <f t="shared" si="13"/>
        <v>0.6428571428571429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 t="s">
        <v>2288</v>
      </c>
      <c r="V187" s="70" t="s">
        <v>2288</v>
      </c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18</v>
      </c>
      <c r="J193" s="87"/>
      <c r="K193" s="138">
        <f t="shared" si="12"/>
        <v>10</v>
      </c>
      <c r="L193" s="139">
        <f t="shared" si="13"/>
        <v>0.6428571428571429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 t="s">
        <v>2288</v>
      </c>
      <c r="V193" s="140" t="s">
        <v>2288</v>
      </c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18</v>
      </c>
      <c r="J194" s="147" t="s">
        <v>1822</v>
      </c>
      <c r="K194" s="142">
        <f t="shared" si="12"/>
        <v>10</v>
      </c>
      <c r="L194" s="143">
        <f t="shared" si="13"/>
        <v>0.6428571428571429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 t="s">
        <v>2288</v>
      </c>
      <c r="V194" s="70" t="s">
        <v>2288</v>
      </c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 t="s">
        <v>2288</v>
      </c>
      <c r="V200" s="70" t="s">
        <v>2288</v>
      </c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18</v>
      </c>
      <c r="J211" s="147" t="s">
        <v>1837</v>
      </c>
      <c r="K211" s="142">
        <f t="shared" si="12"/>
        <v>10</v>
      </c>
      <c r="L211" s="143">
        <f t="shared" si="13"/>
        <v>0.6428571428571429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 t="s">
        <v>2288</v>
      </c>
      <c r="V211" s="70" t="s">
        <v>2288</v>
      </c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18</v>
      </c>
      <c r="J218" s="151" t="s">
        <v>2276</v>
      </c>
      <c r="K218" s="142">
        <f t="shared" si="12"/>
        <v>10</v>
      </c>
      <c r="L218" s="143">
        <f t="shared" si="13"/>
        <v>0.6428571428571429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 t="s">
        <v>2288</v>
      </c>
      <c r="V218" s="70" t="s">
        <v>2288</v>
      </c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 t="s">
        <v>2288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 t="s">
        <v>2288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18</v>
      </c>
      <c r="J232" s="147" t="s">
        <v>1852</v>
      </c>
      <c r="K232" s="31">
        <f t="shared" si="12"/>
        <v>10</v>
      </c>
      <c r="L232" s="32">
        <f t="shared" si="13"/>
        <v>0.6428571428571429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 t="s">
        <v>2288</v>
      </c>
      <c r="V232" s="70" t="s">
        <v>2288</v>
      </c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19</v>
      </c>
      <c r="J234" s="147" t="s">
        <v>1854</v>
      </c>
      <c r="K234" s="31">
        <f t="shared" si="12"/>
        <v>9</v>
      </c>
      <c r="L234" s="32">
        <f t="shared" si="13"/>
        <v>0.6785714285714286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 t="s">
        <v>2288</v>
      </c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20</v>
      </c>
      <c r="J241" s="147" t="s">
        <v>1861</v>
      </c>
      <c r="K241" s="31">
        <f t="shared" si="15"/>
        <v>8</v>
      </c>
      <c r="L241" s="32">
        <f t="shared" si="16"/>
        <v>0.7142857142857143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 t="s">
        <v>2288</v>
      </c>
      <c r="V241" s="70" t="s">
        <v>2288</v>
      </c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21</v>
      </c>
      <c r="J246" s="147" t="s">
        <v>1866</v>
      </c>
      <c r="K246" s="31">
        <f t="shared" si="15"/>
        <v>7</v>
      </c>
      <c r="L246" s="32">
        <f t="shared" si="16"/>
        <v>0.75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 t="s">
        <v>2288</v>
      </c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22</v>
      </c>
      <c r="J264" s="147" t="s">
        <v>1879</v>
      </c>
      <c r="K264" s="31">
        <f t="shared" si="15"/>
        <v>6</v>
      </c>
      <c r="L264" s="32">
        <f t="shared" si="16"/>
        <v>0.7857142857142857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18</v>
      </c>
      <c r="J281" s="147" t="s">
        <v>1893</v>
      </c>
      <c r="K281" s="31">
        <f t="shared" si="15"/>
        <v>10</v>
      </c>
      <c r="L281" s="32">
        <f t="shared" si="16"/>
        <v>0.6428571428571429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 t="s">
        <v>2288</v>
      </c>
      <c r="V281" s="70" t="s">
        <v>2288</v>
      </c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23</v>
      </c>
      <c r="J284" s="147" t="s">
        <v>1896</v>
      </c>
      <c r="K284" s="142">
        <f t="shared" si="15"/>
        <v>5</v>
      </c>
      <c r="L284" s="143">
        <f t="shared" si="16"/>
        <v>0.8214285714285714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 t="s">
        <v>2288</v>
      </c>
      <c r="V284" s="70" t="s">
        <v>2288</v>
      </c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18</v>
      </c>
      <c r="J296" s="147" t="s">
        <v>1907</v>
      </c>
      <c r="K296" s="31">
        <f t="shared" si="15"/>
        <v>10</v>
      </c>
      <c r="L296" s="32">
        <f t="shared" si="16"/>
        <v>0.6428571428571429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 t="s">
        <v>2288</v>
      </c>
      <c r="V296" s="70" t="s">
        <v>2288</v>
      </c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18</v>
      </c>
      <c r="J308" s="147" t="s">
        <v>1918</v>
      </c>
      <c r="K308" s="142">
        <f t="shared" si="15"/>
        <v>10</v>
      </c>
      <c r="L308" s="143">
        <f t="shared" si="16"/>
        <v>0.6428571428571429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 t="s">
        <v>2288</v>
      </c>
      <c r="V308" s="70" t="s">
        <v>2288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18</v>
      </c>
      <c r="J310" s="147" t="s">
        <v>1919</v>
      </c>
      <c r="K310" s="31">
        <f t="shared" ref="K310:K380" si="18">COUNTIF(M310:AN310,"APAGADO")</f>
        <v>10</v>
      </c>
      <c r="L310" s="32">
        <f t="shared" ref="L310:L380" si="19">(I310)/(K310+I310)</f>
        <v>0.6428571428571429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 t="s">
        <v>2288</v>
      </c>
      <c r="V310" s="70" t="s">
        <v>2288</v>
      </c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21</v>
      </c>
      <c r="J311" s="147" t="s">
        <v>1920</v>
      </c>
      <c r="K311" s="142">
        <f t="shared" si="18"/>
        <v>7</v>
      </c>
      <c r="L311" s="143">
        <f t="shared" si="19"/>
        <v>0.75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 t="s">
        <v>2288</v>
      </c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21</v>
      </c>
      <c r="J312" s="87" t="s">
        <v>2197</v>
      </c>
      <c r="K312" s="142">
        <f t="shared" si="18"/>
        <v>7</v>
      </c>
      <c r="L312" s="143">
        <f t="shared" si="19"/>
        <v>0.75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 t="s">
        <v>2288</v>
      </c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21</v>
      </c>
      <c r="J313" s="147" t="s">
        <v>1921</v>
      </c>
      <c r="K313" s="142">
        <f t="shared" si="18"/>
        <v>7</v>
      </c>
      <c r="L313" s="143">
        <f t="shared" si="19"/>
        <v>0.75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 t="s">
        <v>2288</v>
      </c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18</v>
      </c>
      <c r="J314" s="147" t="s">
        <v>1922</v>
      </c>
      <c r="K314" s="31">
        <f t="shared" si="18"/>
        <v>10</v>
      </c>
      <c r="L314" s="32">
        <f t="shared" si="19"/>
        <v>0.6428571428571429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 t="s">
        <v>2288</v>
      </c>
      <c r="V314" s="70" t="s">
        <v>2288</v>
      </c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21</v>
      </c>
      <c r="J315" s="147" t="s">
        <v>1923</v>
      </c>
      <c r="K315" s="31">
        <f t="shared" si="18"/>
        <v>7</v>
      </c>
      <c r="L315" s="32">
        <f t="shared" si="19"/>
        <v>0.75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 t="s">
        <v>2288</v>
      </c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21</v>
      </c>
      <c r="J316" s="147" t="s">
        <v>1924</v>
      </c>
      <c r="K316" s="31">
        <f t="shared" si="18"/>
        <v>7</v>
      </c>
      <c r="L316" s="32">
        <f t="shared" si="19"/>
        <v>0.75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 t="s">
        <v>2288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2288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18</v>
      </c>
      <c r="J375" s="73"/>
      <c r="K375" s="31">
        <f t="shared" si="18"/>
        <v>10</v>
      </c>
      <c r="L375" s="32">
        <f t="shared" si="19"/>
        <v>0.6428571428571429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 t="s">
        <v>2288</v>
      </c>
      <c r="V375" s="70" t="s">
        <v>2288</v>
      </c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21</v>
      </c>
      <c r="J378" s="147" t="s">
        <v>1975</v>
      </c>
      <c r="K378" s="31">
        <f t="shared" si="18"/>
        <v>7</v>
      </c>
      <c r="L378" s="32">
        <f t="shared" si="19"/>
        <v>0.75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 t="s">
        <v>2288</v>
      </c>
      <c r="V378" s="70" t="s">
        <v>2288</v>
      </c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21</v>
      </c>
      <c r="J379" s="147" t="s">
        <v>1976</v>
      </c>
      <c r="K379" s="31">
        <f t="shared" si="18"/>
        <v>7</v>
      </c>
      <c r="L379" s="32">
        <f t="shared" si="19"/>
        <v>0.75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 t="s">
        <v>2288</v>
      </c>
      <c r="V379" s="70" t="s">
        <v>2288</v>
      </c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21</v>
      </c>
      <c r="J380" s="147" t="s">
        <v>1977</v>
      </c>
      <c r="K380" s="31">
        <f t="shared" si="18"/>
        <v>7</v>
      </c>
      <c r="L380" s="32">
        <f t="shared" si="19"/>
        <v>0.75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 t="s">
        <v>2288</v>
      </c>
      <c r="V380" s="70" t="s">
        <v>2288</v>
      </c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21</v>
      </c>
      <c r="J381" s="147" t="s">
        <v>1978</v>
      </c>
      <c r="K381" s="31">
        <f t="shared" ref="K381:K462" si="21">COUNTIF(M381:AN381,"APAGADO")</f>
        <v>7</v>
      </c>
      <c r="L381" s="32">
        <f t="shared" ref="L381:L462" si="22">(I381)/(K381+I381)</f>
        <v>0.75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 t="s">
        <v>2288</v>
      </c>
      <c r="V381" s="70" t="s">
        <v>2288</v>
      </c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21</v>
      </c>
      <c r="J382" s="147" t="s">
        <v>1979</v>
      </c>
      <c r="K382" s="31">
        <f t="shared" si="21"/>
        <v>7</v>
      </c>
      <c r="L382" s="32">
        <f t="shared" si="22"/>
        <v>0.75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 t="s">
        <v>2288</v>
      </c>
      <c r="V382" s="70" t="s">
        <v>2288</v>
      </c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21</v>
      </c>
      <c r="J383" s="147" t="s">
        <v>1980</v>
      </c>
      <c r="K383" s="31">
        <f t="shared" si="21"/>
        <v>7</v>
      </c>
      <c r="L383" s="32">
        <f t="shared" si="22"/>
        <v>0.75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 t="s">
        <v>2288</v>
      </c>
      <c r="V383" s="70" t="s">
        <v>2288</v>
      </c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21</v>
      </c>
      <c r="J384" s="147" t="s">
        <v>1981</v>
      </c>
      <c r="K384" s="31">
        <f t="shared" si="21"/>
        <v>7</v>
      </c>
      <c r="L384" s="32">
        <f t="shared" si="22"/>
        <v>0.75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 t="s">
        <v>2288</v>
      </c>
      <c r="V384" s="70" t="s">
        <v>2288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21</v>
      </c>
      <c r="J385" s="147" t="s">
        <v>1982</v>
      </c>
      <c r="K385" s="31">
        <f t="shared" si="21"/>
        <v>7</v>
      </c>
      <c r="L385" s="32">
        <f t="shared" si="22"/>
        <v>0.75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 t="s">
        <v>2288</v>
      </c>
      <c r="V385" s="70" t="s">
        <v>2288</v>
      </c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21</v>
      </c>
      <c r="J386" s="147" t="s">
        <v>1983</v>
      </c>
      <c r="K386" s="31">
        <f t="shared" si="21"/>
        <v>7</v>
      </c>
      <c r="L386" s="32">
        <f t="shared" si="22"/>
        <v>0.75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 t="s">
        <v>2288</v>
      </c>
      <c r="V386" s="70" t="s">
        <v>2288</v>
      </c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21</v>
      </c>
      <c r="J387" s="147" t="s">
        <v>1984</v>
      </c>
      <c r="K387" s="31">
        <f t="shared" si="21"/>
        <v>7</v>
      </c>
      <c r="L387" s="32">
        <f t="shared" si="22"/>
        <v>0.75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 t="s">
        <v>2288</v>
      </c>
      <c r="V387" s="70" t="s">
        <v>2288</v>
      </c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18</v>
      </c>
      <c r="J388" s="147" t="s">
        <v>1985</v>
      </c>
      <c r="K388" s="31">
        <f t="shared" si="21"/>
        <v>10</v>
      </c>
      <c r="L388" s="32">
        <f t="shared" si="22"/>
        <v>0.6428571428571429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 t="s">
        <v>2288</v>
      </c>
      <c r="V388" s="70" t="s">
        <v>2288</v>
      </c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18</v>
      </c>
      <c r="J389" s="147" t="s">
        <v>1986</v>
      </c>
      <c r="K389" s="31">
        <f t="shared" si="21"/>
        <v>10</v>
      </c>
      <c r="L389" s="32">
        <f t="shared" si="22"/>
        <v>0.6428571428571429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 t="s">
        <v>2288</v>
      </c>
      <c r="V389" s="70" t="s">
        <v>2288</v>
      </c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19</v>
      </c>
      <c r="J393" s="87"/>
      <c r="K393" s="31">
        <f t="shared" si="21"/>
        <v>9</v>
      </c>
      <c r="L393" s="32">
        <f t="shared" si="22"/>
        <v>0.6785714285714286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 t="s">
        <v>2288</v>
      </c>
      <c r="V393" s="84" t="s">
        <v>2288</v>
      </c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20</v>
      </c>
      <c r="J395" s="87"/>
      <c r="K395" s="31">
        <f t="shared" si="21"/>
        <v>8</v>
      </c>
      <c r="L395" s="32">
        <f t="shared" si="22"/>
        <v>0.7142857142857143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 t="s">
        <v>2288</v>
      </c>
      <c r="V395" s="70" t="s">
        <v>2288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18</v>
      </c>
      <c r="J399" s="147" t="s">
        <v>1991</v>
      </c>
      <c r="K399" s="87">
        <f t="shared" si="21"/>
        <v>10</v>
      </c>
      <c r="L399" s="88">
        <f t="shared" si="22"/>
        <v>0.6428571428571429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 t="s">
        <v>2288</v>
      </c>
      <c r="V399" s="89" t="s">
        <v>2288</v>
      </c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18</v>
      </c>
      <c r="J401" s="147" t="s">
        <v>1992</v>
      </c>
      <c r="K401" s="31">
        <f t="shared" si="21"/>
        <v>10</v>
      </c>
      <c r="L401" s="32">
        <f t="shared" si="22"/>
        <v>0.6428571428571429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 t="s">
        <v>2288</v>
      </c>
      <c r="V401" s="70" t="s">
        <v>2288</v>
      </c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18</v>
      </c>
      <c r="J402" s="147" t="s">
        <v>1993</v>
      </c>
      <c r="K402" s="31">
        <f t="shared" si="21"/>
        <v>10</v>
      </c>
      <c r="L402" s="32">
        <f t="shared" si="22"/>
        <v>0.6428571428571429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 t="s">
        <v>2288</v>
      </c>
      <c r="V402" s="70" t="s">
        <v>2288</v>
      </c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18</v>
      </c>
      <c r="J415" s="87"/>
      <c r="K415" s="31">
        <f t="shared" si="21"/>
        <v>10</v>
      </c>
      <c r="L415" s="32">
        <f t="shared" si="22"/>
        <v>0.6428571428571429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 t="s">
        <v>2288</v>
      </c>
      <c r="V415" s="70" t="s">
        <v>2288</v>
      </c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18</v>
      </c>
      <c r="J436" s="147" t="s">
        <v>2017</v>
      </c>
      <c r="K436" s="31">
        <f t="shared" si="21"/>
        <v>10</v>
      </c>
      <c r="L436" s="32">
        <f t="shared" si="22"/>
        <v>0.6428571428571429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 t="s">
        <v>2288</v>
      </c>
      <c r="V436" s="70" t="s">
        <v>2288</v>
      </c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21</v>
      </c>
      <c r="J441" s="147" t="s">
        <v>2018</v>
      </c>
      <c r="K441" s="31">
        <f t="shared" si="21"/>
        <v>7</v>
      </c>
      <c r="L441" s="32">
        <f t="shared" si="22"/>
        <v>0.75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18</v>
      </c>
      <c r="J442" s="147" t="s">
        <v>2019</v>
      </c>
      <c r="K442" s="31">
        <f t="shared" si="21"/>
        <v>10</v>
      </c>
      <c r="L442" s="32">
        <f t="shared" si="22"/>
        <v>0.6428571428571429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 t="s">
        <v>2288</v>
      </c>
      <c r="V442" s="70" t="s">
        <v>2288</v>
      </c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18</v>
      </c>
      <c r="J456" s="147" t="s">
        <v>2027</v>
      </c>
      <c r="K456" s="142">
        <f t="shared" si="21"/>
        <v>10</v>
      </c>
      <c r="L456" s="143">
        <f t="shared" si="22"/>
        <v>0.6428571428571429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 t="s">
        <v>2288</v>
      </c>
      <c r="V456" s="70" t="s">
        <v>2288</v>
      </c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18</v>
      </c>
      <c r="J457" s="147" t="s">
        <v>2028</v>
      </c>
      <c r="K457" s="142">
        <f t="shared" si="21"/>
        <v>10</v>
      </c>
      <c r="L457" s="143">
        <f t="shared" si="22"/>
        <v>0.6428571428571429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 t="s">
        <v>2288</v>
      </c>
      <c r="V457" s="70" t="s">
        <v>2288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18</v>
      </c>
      <c r="J458" s="87"/>
      <c r="K458" s="142">
        <f t="shared" si="21"/>
        <v>10</v>
      </c>
      <c r="L458" s="143">
        <f t="shared" si="22"/>
        <v>0.6428571428571429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 t="s">
        <v>2288</v>
      </c>
      <c r="V458" s="70" t="s">
        <v>2288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18</v>
      </c>
      <c r="J459" s="153" t="s">
        <v>2146</v>
      </c>
      <c r="K459" s="142">
        <f t="shared" si="21"/>
        <v>10</v>
      </c>
      <c r="L459" s="143">
        <f t="shared" si="22"/>
        <v>0.6428571428571429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 t="s">
        <v>2288</v>
      </c>
      <c r="V459" s="70" t="s">
        <v>2288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18</v>
      </c>
      <c r="J460" s="153"/>
      <c r="K460" s="142">
        <f t="shared" si="21"/>
        <v>10</v>
      </c>
      <c r="L460" s="143">
        <f t="shared" si="22"/>
        <v>0.6428571428571429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 t="s">
        <v>2288</v>
      </c>
      <c r="V460" s="70" t="s">
        <v>2288</v>
      </c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26</v>
      </c>
      <c r="J483" s="87"/>
      <c r="K483" s="31">
        <f t="shared" si="24"/>
        <v>2</v>
      </c>
      <c r="L483" s="32">
        <f t="shared" si="25"/>
        <v>0.9285714285714286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22</v>
      </c>
      <c r="J496" s="147" t="s">
        <v>2055</v>
      </c>
      <c r="K496" s="31">
        <f t="shared" si="24"/>
        <v>6</v>
      </c>
      <c r="L496" s="32">
        <f t="shared" si="25"/>
        <v>0.7857142857142857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22</v>
      </c>
      <c r="J503" s="147" t="s">
        <v>2062</v>
      </c>
      <c r="K503" s="31">
        <f t="shared" si="24"/>
        <v>6</v>
      </c>
      <c r="L503" s="32">
        <f t="shared" si="25"/>
        <v>0.7857142857142857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22</v>
      </c>
      <c r="J508" s="147" t="s">
        <v>2067</v>
      </c>
      <c r="K508" s="31">
        <f t="shared" si="24"/>
        <v>6</v>
      </c>
      <c r="L508" s="32">
        <f t="shared" si="25"/>
        <v>0.7857142857142857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18</v>
      </c>
      <c r="J510" s="147" t="s">
        <v>2069</v>
      </c>
      <c r="K510" s="31">
        <f t="shared" si="24"/>
        <v>10</v>
      </c>
      <c r="L510" s="32">
        <f t="shared" si="25"/>
        <v>0.6428571428571429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 t="s">
        <v>2288</v>
      </c>
      <c r="V510" s="70" t="s">
        <v>2288</v>
      </c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22</v>
      </c>
      <c r="J511" s="147" t="s">
        <v>2070</v>
      </c>
      <c r="K511" s="31">
        <f t="shared" si="24"/>
        <v>6</v>
      </c>
      <c r="L511" s="32">
        <f t="shared" si="25"/>
        <v>0.7857142857142857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22</v>
      </c>
      <c r="J514" s="147" t="s">
        <v>2072</v>
      </c>
      <c r="K514" s="31">
        <f t="shared" si="24"/>
        <v>6</v>
      </c>
      <c r="L514" s="32">
        <f t="shared" si="25"/>
        <v>0.7857142857142857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23</v>
      </c>
      <c r="J515" s="147" t="s">
        <v>2073</v>
      </c>
      <c r="K515" s="31">
        <f t="shared" si="24"/>
        <v>5</v>
      </c>
      <c r="L515" s="32">
        <f t="shared" si="25"/>
        <v>0.8214285714285714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18</v>
      </c>
      <c r="J520" s="147" t="s">
        <v>2078</v>
      </c>
      <c r="K520" s="142">
        <f t="shared" si="24"/>
        <v>10</v>
      </c>
      <c r="L520" s="143">
        <f t="shared" si="25"/>
        <v>0.6428571428571429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 t="s">
        <v>2288</v>
      </c>
      <c r="V520" s="70" t="s">
        <v>2288</v>
      </c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18</v>
      </c>
      <c r="J540" s="147" t="s">
        <v>2200</v>
      </c>
      <c r="K540" s="31">
        <f t="shared" si="27"/>
        <v>10</v>
      </c>
      <c r="L540" s="32">
        <f t="shared" si="28"/>
        <v>0.6428571428571429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 t="s">
        <v>2288</v>
      </c>
      <c r="V540" s="70" t="s">
        <v>2288</v>
      </c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20</v>
      </c>
      <c r="J547" s="87"/>
      <c r="K547" s="142">
        <f t="shared" si="27"/>
        <v>8</v>
      </c>
      <c r="L547" s="143">
        <f t="shared" si="28"/>
        <v>0.7142857142857143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18</v>
      </c>
      <c r="J548" s="87" t="s">
        <v>2189</v>
      </c>
      <c r="K548" s="142">
        <f t="shared" si="27"/>
        <v>10</v>
      </c>
      <c r="L548" s="143">
        <f t="shared" si="28"/>
        <v>0.6428571428571429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 t="s">
        <v>2288</v>
      </c>
      <c r="V548" s="70" t="s">
        <v>2288</v>
      </c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22</v>
      </c>
      <c r="J549" s="87" t="s">
        <v>2185</v>
      </c>
      <c r="K549" s="31">
        <f t="shared" si="27"/>
        <v>6</v>
      </c>
      <c r="L549" s="32">
        <f t="shared" si="28"/>
        <v>0.7857142857142857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19</v>
      </c>
      <c r="J551" s="87" t="s">
        <v>2186</v>
      </c>
      <c r="K551" s="31">
        <f t="shared" si="27"/>
        <v>9</v>
      </c>
      <c r="L551" s="32">
        <f t="shared" si="28"/>
        <v>0.6785714285714286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 t="s">
        <v>2288</v>
      </c>
      <c r="V551" s="70" t="s">
        <v>2288</v>
      </c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18</v>
      </c>
      <c r="J559" s="147" t="s">
        <v>2105</v>
      </c>
      <c r="K559" s="31">
        <f t="shared" si="27"/>
        <v>10</v>
      </c>
      <c r="L559" s="32">
        <f t="shared" si="28"/>
        <v>0.6428571428571429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 t="s">
        <v>2288</v>
      </c>
      <c r="V559" s="70" t="s">
        <v>2288</v>
      </c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27</v>
      </c>
      <c r="J560" s="147" t="s">
        <v>2106</v>
      </c>
      <c r="K560" s="31">
        <f t="shared" si="27"/>
        <v>1</v>
      </c>
      <c r="L560" s="32">
        <f t="shared" si="28"/>
        <v>0.9642857142857143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2288</v>
      </c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27</v>
      </c>
      <c r="J561" s="147" t="s">
        <v>2107</v>
      </c>
      <c r="K561" s="31">
        <f t="shared" si="27"/>
        <v>1</v>
      </c>
      <c r="L561" s="32">
        <f t="shared" si="28"/>
        <v>0.9642857142857143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2288</v>
      </c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2288</v>
      </c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2288</v>
      </c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18</v>
      </c>
      <c r="J577" s="147" t="s">
        <v>2116</v>
      </c>
      <c r="K577" s="142">
        <f t="shared" si="27"/>
        <v>10</v>
      </c>
      <c r="L577" s="143">
        <f t="shared" si="28"/>
        <v>0.6428571428571429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 t="s">
        <v>2288</v>
      </c>
      <c r="V577" s="70" t="s">
        <v>2288</v>
      </c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3" operator="containsText" text="fija">
      <formula>NOT(ISERROR(SEARCH("fija",E556)))</formula>
    </cfRule>
    <cfRule type="containsText" dxfId="132" priority="474" operator="containsText" text="domo">
      <formula>NOT(ISERROR(SEARCH("domo",E556)))</formula>
    </cfRule>
    <cfRule type="containsText" dxfId="131" priority="475" operator="containsText" text="Radio">
      <formula>NOT(ISERROR(SEARCH("Radio",E556)))</formula>
    </cfRule>
  </conditionalFormatting>
  <conditionalFormatting sqref="E556:E557">
    <cfRule type="containsText" dxfId="130" priority="468" operator="containsText" text="fija">
      <formula>NOT(ISERROR(SEARCH("fija",E556)))</formula>
    </cfRule>
    <cfRule type="containsText" dxfId="129" priority="469" operator="containsText" text="domo">
      <formula>NOT(ISERROR(SEARCH("domo",E556)))</formula>
    </cfRule>
  </conditionalFormatting>
  <conditionalFormatting sqref="E557">
    <cfRule type="containsText" dxfId="128" priority="466" operator="containsText" text="fija">
      <formula>NOT(ISERROR(SEARCH("fija",E557)))</formula>
    </cfRule>
    <cfRule type="containsText" dxfId="127" priority="467" operator="containsText" text="domo">
      <formula>NOT(ISERROR(SEARCH("domo",E557)))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3" operator="containsText" text="fija">
      <formula>NOT(ISERROR(SEARCH("fija",E560)))</formula>
    </cfRule>
    <cfRule type="containsText" dxfId="124" priority="464" operator="containsText" text="domo">
      <formula>NOT(ISERROR(SEARCH("domo",E560)))</formula>
    </cfRule>
    <cfRule type="containsText" dxfId="123" priority="465" operator="containsText" text="Radio">
      <formula>NOT(ISERROR(SEARCH("Radio",E560)))</formula>
    </cfRule>
  </conditionalFormatting>
  <conditionalFormatting sqref="E560:E561">
    <cfRule type="containsText" dxfId="122" priority="458" operator="containsText" text="fija">
      <formula>NOT(ISERROR(SEARCH("fija",E560)))</formula>
    </cfRule>
    <cfRule type="containsText" dxfId="121" priority="459" operator="containsText" text="domo">
      <formula>NOT(ISERROR(SEARCH("domo",E560)))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3" operator="containsText" text="fija">
      <formula>NOT(ISERROR(SEARCH("fija",E561)))</formula>
    </cfRule>
    <cfRule type="containsText" dxfId="118" priority="454" operator="containsText" text="domo">
      <formula>NOT(ISERROR(SEARCH("domo",E561)))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8" operator="containsText" text="fija">
      <formula>NOT(ISERROR(SEARCH("fija",E562)))</formula>
    </cfRule>
    <cfRule type="containsText" dxfId="115" priority="449" operator="containsText" text="domo">
      <formula>NOT(ISERROR(SEARCH("domo",E562)))</formula>
    </cfRule>
  </conditionalFormatting>
  <conditionalFormatting sqref="E563">
    <cfRule type="containsText" dxfId="114" priority="446" operator="containsText" text="fija">
      <formula>NOT(ISERROR(SEARCH("fija",E563)))</formula>
    </cfRule>
    <cfRule type="containsText" dxfId="113" priority="447" operator="containsText" text="domo">
      <formula>NOT(ISERROR(SEARCH("domo",E563)))</formula>
    </cfRule>
    <cfRule type="containsText" dxfId="112" priority="450" operator="containsText" text="Radio">
      <formula>NOT(ISERROR(SEARCH("Radio",E563)))</formula>
    </cfRule>
  </conditionalFormatting>
  <conditionalFormatting sqref="E567">
    <cfRule type="containsText" dxfId="111" priority="744" operator="containsText" text="fija">
      <formula>NOT(ISERROR(SEARCH("fija",E567)))</formula>
    </cfRule>
    <cfRule type="containsText" dxfId="110" priority="745" operator="containsText" text="domo">
      <formula>NOT(ISERROR(SEARCH("domo",E567)))</formula>
    </cfRule>
  </conditionalFormatting>
  <conditionalFormatting sqref="E570:E573">
    <cfRule type="containsText" dxfId="109" priority="476" operator="containsText" text="fija">
      <formula>NOT(ISERROR(SEARCH("fija",E570)))</formula>
    </cfRule>
    <cfRule type="containsText" dxfId="108" priority="477" operator="containsText" text="domo">
      <formula>NOT(ISERROR(SEARCH("domo",E570)))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1:F412">
    <cfRule type="containsText" dxfId="78" priority="57" operator="containsText" text="Radio">
      <formula>NOT(ISERROR(SEARCH("Radio",F411)))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5">
    <cfRule type="containsText" dxfId="74" priority="123" operator="containsText" text="Radio">
      <formula>NOT(ISERROR(SEARCH("Radio",F555)))</formula>
    </cfRule>
    <cfRule type="cellIs" dxfId="73" priority="124" operator="equal">
      <formula>"PTP A FO"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AC132:AO132 M132:AB144 AC133:AP144 M145:AP225 Z226:Z227 AQ228:AQ389 M333:AO338 AP333:AP389 M339:AB339 AD339:AO339 M340:AO389 N390:O390 M390:M394 N391:N394 O391:O395 M395:N395 P395:AP395 AQ395:AQ410 M396:AP403 O404:AP410 M404:N412 M413:AQ581 AI664:AO1048576 M94:AO118 M119:U119 W119:AO119 M120:AO131 M316:AP332 M315:U315 W315:AP315 M228:AP314">
    <cfRule type="cellIs" dxfId="57" priority="106" operator="equal">
      <formula>"APAGADO"</formula>
    </cfRule>
  </conditionalFormatting>
  <conditionalFormatting sqref="O664:O1183">
    <cfRule type="notContainsText" dxfId="56" priority="286" operator="notContains" text="Caida">
      <formula>ISERROR(SEARCH("Caida",O664))</formula>
    </cfRule>
    <cfRule type="containsText" dxfId="55" priority="287" operator="containsText" text="Caida">
      <formula>NOT(ISERROR(SEARCH("Caida",O664)))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67" zoomScale="84" zoomScaleNormal="84" workbookViewId="0">
      <selection activeCell="B78" sqref="B78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3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3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3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" thickBot="1" x14ac:dyDescent="0.35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3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3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3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3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3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3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" thickBot="1" x14ac:dyDescent="0.35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2026-01-12T11:39:09Z</dcterms:modified>
</cp:coreProperties>
</file>