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57C47D34-3066-4DB3-9828-5A2AEA91961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<sst xmlns="http://schemas.openxmlformats.org/spreadsheetml/2006/main" count="5339" uniqueCount="2289">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</sst>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0.22962962962962963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0.22962962962962963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0.22962962962962963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0.22962962962962963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55" zoomScaleNormal="55" workbookViewId="0">
      <pane xSplit="12" ySplit="7" topLeftCell="N294" activePane="bottomRight" state="frozen"/>
      <selection pane="topRight" activeCell="M1" sqref="M1"/>
      <selection pane="bottomLeft" activeCell="A5" sqref="A5"/>
      <selection pane="bottomRight" activeCell="O317" sqref="O31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0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0</v>
      </c>
      <c r="Q4" s="10">
        <f>COUNTIFS(Q8:Q689, "=APAGADO",F8:F689,"=Fibra Optica")</f>
        <v>0</v>
      </c>
      <c r="R4" s="10">
        <f>COUNTIFS(R8:R689, "=APAGADO",F8:F689,"=Fibra Optica")</f>
        <v>0</v>
      </c>
      <c r="S4" s="10">
        <f>COUNTIFS(S8:S689, "=APAGADO",F8:F689,"=Fibra Optica")</f>
        <v>0</v>
      </c>
      <c r="T4" s="10">
        <f>COUNTIFS(T8:T689, "=APAGADO",F8:F689,"=Fibra Optica")</f>
        <v>0</v>
      </c>
      <c r="U4" s="10">
        <f>COUNTIFS(U8:U689, "=APAGADO",F8:F689,"=Fibra Optica")</f>
        <v>0</v>
      </c>
      <c r="V4" s="10">
        <f>COUNTIFS(V8:V689, "=APAGADO",F8:F689,"=Fibra Optica")</f>
        <v>0</v>
      </c>
      <c r="W4" s="10">
        <f>COUNTIFS(W8:W689, "=APAGADO",F8:F689,"=Fibra Optica")</f>
        <v>0</v>
      </c>
      <c r="X4" s="10">
        <f>COUNTIFS(X8:X689, "=APAGADO",F8:F689,"=Fibra Optica")</f>
        <v>0</v>
      </c>
      <c r="Y4" s="10">
        <f>COUNTIFS(Y8:Y689, "=APAGADO",F8:F689,"=Fibra Optica")</f>
        <v>0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0</v>
      </c>
      <c r="Q5" s="130">
        <f>COUNTIFS(Q8:Q689, "=APAGADO",F8:F689,"=RADIO")</f>
        <v>0</v>
      </c>
      <c r="R5" s="130">
        <f>COUNTIFS(R8:R689, "=APAGADO",F8:F689,"=RADIO")</f>
        <v>0</v>
      </c>
      <c r="S5" s="130">
        <f>COUNTIFS(S8:S689, "=APAGADO",F8:F689,"=RADIO")</f>
        <v>0</v>
      </c>
      <c r="T5" s="130">
        <f>COUNTIFS(T8:T689, "=APAGADO",F8:F689,"=RADIO")</f>
        <v>0</v>
      </c>
      <c r="U5" s="130">
        <f>COUNTIFS(U8:U689, "=APAGADO",F8:F689,"=RADIO")</f>
        <v>0</v>
      </c>
      <c r="V5" s="130">
        <f>COUNTIFS(V8:V689, "=APAGADO",F8:F689,"=RADIO")</f>
        <v>0</v>
      </c>
      <c r="W5" s="130">
        <f>COUNTIFS(W8:W689, "=APAGADO",F8:F689,"=RADIO")</f>
        <v>0</v>
      </c>
      <c r="X5" s="130">
        <f>COUNTIFS(X8:X689, "=APAGADO",F8:F689,"=RADIO")</f>
        <v>0</v>
      </c>
      <c r="Y5" s="130">
        <f>COUNTIFS(Y8:Y689, "=APAGADO",F8:F689,"=RADIO")</f>
        <v>0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0</v>
      </c>
      <c r="Q6" s="10">
        <f>COUNTIFS(Q8:Q689, "=APAGADO",F8:F689,"=PTO A FO")</f>
        <v>0</v>
      </c>
      <c r="R6" s="10">
        <f>COUNTIFS(R8:R689, "=APAGADO",F8:F689,"=PTO A FO")</f>
        <v>0</v>
      </c>
      <c r="S6" s="10">
        <f>COUNTIFS(S8:S689, "=APAGADO",F8:F689,"=PTO A FO")</f>
        <v>0</v>
      </c>
      <c r="T6" s="10">
        <f>COUNTIFS(T8:T689, "=APAGADO",F8:F689,"=PTO A FO")</f>
        <v>0</v>
      </c>
      <c r="U6" s="10">
        <f>COUNTIFS(U8:U689, "=APAGADO",F8:F689,"=PTO A FO")</f>
        <v>0</v>
      </c>
      <c r="V6" s="10">
        <f>COUNTIFS(V8:V689, "=APAGADO",F8:F689,"=PTO A FO")</f>
        <v>0</v>
      </c>
      <c r="W6" s="10">
        <f>COUNTIFS(W8:W689, "=APAGADO",F8:F689,"=PTO A FO")</f>
        <v>0</v>
      </c>
      <c r="X6" s="10">
        <f>COUNTIFS(X8:X689, "=APAGADO",F8:F689,"=PTO A FO")</f>
        <v>0</v>
      </c>
      <c r="Y6" s="10">
        <f>COUNTIFS(Y8:Y689, "=APAGADO",F8:F689,"=PTO A FO")</f>
        <v>0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25</v>
      </c>
      <c r="J8" s="147" t="s">
        <v>1667</v>
      </c>
      <c r="K8" s="31">
        <f t="shared" ref="K8:K85" si="6">COUNTIF(M8:AN8,"APAGADO")</f>
        <v>3</v>
      </c>
      <c r="L8" s="32">
        <f t="shared" ref="L8:L85" si="7">(I8)/(K8+I8)</f>
        <v>0.8928571428571429</v>
      </c>
      <c r="M8" s="70" t="s">
        <v>2288</v>
      </c>
      <c r="N8" s="70" t="s">
        <v>2288</v>
      </c>
      <c r="O8" s="70" t="s">
        <v>2288</v>
      </c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25</v>
      </c>
      <c r="J9" s="147" t="s">
        <v>1668</v>
      </c>
      <c r="K9" s="31">
        <f t="shared" si="6"/>
        <v>3</v>
      </c>
      <c r="L9" s="32">
        <f t="shared" si="7"/>
        <v>0.8928571428571429</v>
      </c>
      <c r="M9" s="70" t="s">
        <v>2288</v>
      </c>
      <c r="N9" s="70" t="s">
        <v>2288</v>
      </c>
      <c r="O9" s="70" t="s">
        <v>2288</v>
      </c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25</v>
      </c>
      <c r="J14" s="147" t="s">
        <v>1673</v>
      </c>
      <c r="K14" s="31">
        <f t="shared" si="6"/>
        <v>3</v>
      </c>
      <c r="L14" s="32">
        <f t="shared" si="7"/>
        <v>0.8928571428571429</v>
      </c>
      <c r="M14" s="70" t="s">
        <v>2288</v>
      </c>
      <c r="N14" s="70" t="s">
        <v>2288</v>
      </c>
      <c r="O14" s="70" t="s">
        <v>2288</v>
      </c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25</v>
      </c>
      <c r="J19" s="147" t="s">
        <v>1677</v>
      </c>
      <c r="K19" s="31">
        <f t="shared" si="6"/>
        <v>3</v>
      </c>
      <c r="L19" s="32">
        <f t="shared" si="7"/>
        <v>0.8928571428571429</v>
      </c>
      <c r="M19" s="70" t="s">
        <v>2288</v>
      </c>
      <c r="N19" s="70" t="s">
        <v>2288</v>
      </c>
      <c r="O19" s="70" t="s">
        <v>2288</v>
      </c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25</v>
      </c>
      <c r="J20" s="147" t="s">
        <v>1678</v>
      </c>
      <c r="K20" s="31">
        <f t="shared" si="6"/>
        <v>3</v>
      </c>
      <c r="L20" s="32">
        <f t="shared" si="7"/>
        <v>0.8928571428571429</v>
      </c>
      <c r="M20" s="70" t="s">
        <v>2288</v>
      </c>
      <c r="N20" s="70" t="s">
        <v>2288</v>
      </c>
      <c r="O20" s="70" t="s">
        <v>2288</v>
      </c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25</v>
      </c>
      <c r="J34" s="147" t="s">
        <v>1689</v>
      </c>
      <c r="K34" s="134">
        <f t="shared" si="6"/>
        <v>3</v>
      </c>
      <c r="L34" s="135">
        <f t="shared" si="7"/>
        <v>0.8928571428571429</v>
      </c>
      <c r="M34" s="136" t="s">
        <v>2288</v>
      </c>
      <c r="N34" s="136" t="s">
        <v>2288</v>
      </c>
      <c r="O34" s="136" t="s">
        <v>2288</v>
      </c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25</v>
      </c>
      <c r="J36" s="87" t="s">
        <v>2157</v>
      </c>
      <c r="K36" s="142">
        <f t="shared" si="6"/>
        <v>3</v>
      </c>
      <c r="L36" s="143">
        <f t="shared" si="7"/>
        <v>0.8928571428571429</v>
      </c>
      <c r="M36" s="70" t="s">
        <v>2288</v>
      </c>
      <c r="N36" s="70" t="s">
        <v>2288</v>
      </c>
      <c r="O36" s="70" t="s">
        <v>2288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25</v>
      </c>
      <c r="J89" s="147" t="s">
        <v>1733</v>
      </c>
      <c r="K89" s="31">
        <f t="shared" si="9"/>
        <v>3</v>
      </c>
      <c r="L89" s="32">
        <f t="shared" si="10"/>
        <v>0.8928571428571429</v>
      </c>
      <c r="M89" s="70" t="s">
        <v>2288</v>
      </c>
      <c r="N89" s="70" t="s">
        <v>2288</v>
      </c>
      <c r="O89" s="70" t="s">
        <v>2288</v>
      </c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25</v>
      </c>
      <c r="J99" s="147" t="s">
        <v>1743</v>
      </c>
      <c r="K99" s="142">
        <f t="shared" si="9"/>
        <v>3</v>
      </c>
      <c r="L99" s="143">
        <f t="shared" si="10"/>
        <v>0.8928571428571429</v>
      </c>
      <c r="M99" s="70" t="s">
        <v>2288</v>
      </c>
      <c r="N99" s="70" t="s">
        <v>2288</v>
      </c>
      <c r="O99" s="70" t="s">
        <v>2288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25</v>
      </c>
      <c r="J112" s="147" t="s">
        <v>1756</v>
      </c>
      <c r="K112" s="142">
        <f t="shared" si="9"/>
        <v>3</v>
      </c>
      <c r="L112" s="143">
        <f t="shared" si="10"/>
        <v>0.8928571428571429</v>
      </c>
      <c r="M112" s="70" t="s">
        <v>2288</v>
      </c>
      <c r="N112" s="70" t="s">
        <v>2288</v>
      </c>
      <c r="O112" s="70" t="s">
        <v>2288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25</v>
      </c>
      <c r="J113" s="147" t="s">
        <v>1755</v>
      </c>
      <c r="K113" s="142">
        <f t="shared" si="9"/>
        <v>3</v>
      </c>
      <c r="L113" s="143">
        <f t="shared" si="10"/>
        <v>0.8928571428571429</v>
      </c>
      <c r="M113" s="70" t="s">
        <v>2288</v>
      </c>
      <c r="N113" s="70" t="s">
        <v>2288</v>
      </c>
      <c r="O113" s="70" t="s">
        <v>2288</v>
      </c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1761</v>
      </c>
      <c r="K118" s="31">
        <f t="shared" si="9"/>
        <v>2</v>
      </c>
      <c r="L118" s="32">
        <f t="shared" si="10"/>
        <v>0.9285714285714286</v>
      </c>
      <c r="M118" s="70" t="s">
        <v>2288</v>
      </c>
      <c r="N118" s="70" t="s">
        <v>2288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25</v>
      </c>
      <c r="J120" s="147" t="s">
        <v>1763</v>
      </c>
      <c r="K120" s="142">
        <f t="shared" si="9"/>
        <v>3</v>
      </c>
      <c r="L120" s="143">
        <f t="shared" si="10"/>
        <v>0.8928571428571429</v>
      </c>
      <c r="M120" s="70" t="s">
        <v>2288</v>
      </c>
      <c r="N120" s="70" t="s">
        <v>2288</v>
      </c>
      <c r="O120" s="70" t="s">
        <v>2288</v>
      </c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27</v>
      </c>
      <c r="J127" s="148" t="s">
        <v>1770</v>
      </c>
      <c r="K127" s="142">
        <f t="shared" si="9"/>
        <v>1</v>
      </c>
      <c r="L127" s="143">
        <f t="shared" si="10"/>
        <v>0.9642857142857143</v>
      </c>
      <c r="M127" s="70"/>
      <c r="N127" s="70" t="s">
        <v>2288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26</v>
      </c>
      <c r="J130" s="147" t="s">
        <v>1773</v>
      </c>
      <c r="K130" s="31">
        <f t="shared" si="9"/>
        <v>2</v>
      </c>
      <c r="L130" s="32">
        <f t="shared" si="10"/>
        <v>0.9285714285714286</v>
      </c>
      <c r="M130" s="70" t="s">
        <v>2288</v>
      </c>
      <c r="N130" s="70" t="s">
        <v>2288</v>
      </c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27</v>
      </c>
      <c r="J131" s="147" t="s">
        <v>1774</v>
      </c>
      <c r="K131" s="31">
        <f t="shared" si="9"/>
        <v>1</v>
      </c>
      <c r="L131" s="32">
        <f t="shared" si="10"/>
        <v>0.9642857142857143</v>
      </c>
      <c r="M131" s="70" t="s">
        <v>2288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25</v>
      </c>
      <c r="J145" s="147" t="s">
        <v>1784</v>
      </c>
      <c r="K145" s="31">
        <f t="shared" si="9"/>
        <v>3</v>
      </c>
      <c r="L145" s="32">
        <f t="shared" si="10"/>
        <v>0.8928571428571429</v>
      </c>
      <c r="M145" s="70" t="s">
        <v>2288</v>
      </c>
      <c r="N145" s="70" t="s">
        <v>2288</v>
      </c>
      <c r="O145" s="70" t="s">
        <v>2288</v>
      </c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28</v>
      </c>
      <c r="J151" s="87"/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25</v>
      </c>
      <c r="J156" s="87"/>
      <c r="K156" s="31">
        <f t="shared" si="9"/>
        <v>3</v>
      </c>
      <c r="L156" s="32">
        <f t="shared" si="10"/>
        <v>0.8928571428571429</v>
      </c>
      <c r="M156" s="70" t="s">
        <v>2288</v>
      </c>
      <c r="N156" s="70" t="s">
        <v>2288</v>
      </c>
      <c r="O156" s="70" t="s">
        <v>2288</v>
      </c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25</v>
      </c>
      <c r="J157" s="87"/>
      <c r="K157" s="31">
        <f t="shared" si="9"/>
        <v>3</v>
      </c>
      <c r="L157" s="32">
        <f t="shared" si="10"/>
        <v>0.8928571428571429</v>
      </c>
      <c r="M157" s="70" t="s">
        <v>2288</v>
      </c>
      <c r="N157" s="70" t="s">
        <v>2288</v>
      </c>
      <c r="O157" s="70" t="s">
        <v>2288</v>
      </c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25</v>
      </c>
      <c r="J164" s="147" t="s">
        <v>1797</v>
      </c>
      <c r="K164" s="31">
        <f t="shared" si="12"/>
        <v>3</v>
      </c>
      <c r="L164" s="32">
        <f t="shared" si="13"/>
        <v>0.8928571428571429</v>
      </c>
      <c r="M164" s="70" t="s">
        <v>2288</v>
      </c>
      <c r="N164" s="70" t="s">
        <v>2288</v>
      </c>
      <c r="O164" s="70" t="s">
        <v>2288</v>
      </c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27</v>
      </c>
      <c r="J165" s="147" t="s">
        <v>1798</v>
      </c>
      <c r="K165" s="31">
        <f t="shared" si="12"/>
        <v>1</v>
      </c>
      <c r="L165" s="32">
        <f t="shared" si="13"/>
        <v>0.9642857142857143</v>
      </c>
      <c r="M165" s="70"/>
      <c r="N165" s="70"/>
      <c r="O165" s="70" t="s">
        <v>2288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26</v>
      </c>
      <c r="J167" s="147" t="s">
        <v>1800</v>
      </c>
      <c r="K167" s="31">
        <f t="shared" si="12"/>
        <v>2</v>
      </c>
      <c r="L167" s="32">
        <f t="shared" si="13"/>
        <v>0.9285714285714286</v>
      </c>
      <c r="M167" s="70" t="s">
        <v>2288</v>
      </c>
      <c r="N167" s="70" t="s">
        <v>2288</v>
      </c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26</v>
      </c>
      <c r="J168" s="147" t="s">
        <v>1801</v>
      </c>
      <c r="K168" s="31">
        <f t="shared" si="12"/>
        <v>2</v>
      </c>
      <c r="L168" s="32">
        <f t="shared" si="13"/>
        <v>0.9285714285714286</v>
      </c>
      <c r="M168" s="70" t="s">
        <v>2288</v>
      </c>
      <c r="N168" s="70" t="s">
        <v>2288</v>
      </c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25</v>
      </c>
      <c r="J169" s="147" t="s">
        <v>1802</v>
      </c>
      <c r="K169" s="31">
        <f t="shared" si="12"/>
        <v>3</v>
      </c>
      <c r="L169" s="32">
        <f t="shared" si="13"/>
        <v>0.8928571428571429</v>
      </c>
      <c r="M169" s="70" t="s">
        <v>2288</v>
      </c>
      <c r="N169" s="70" t="s">
        <v>2288</v>
      </c>
      <c r="O169" s="70" t="s">
        <v>2288</v>
      </c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25</v>
      </c>
      <c r="J180" s="147" t="s">
        <v>1812</v>
      </c>
      <c r="K180" s="31">
        <f t="shared" si="12"/>
        <v>3</v>
      </c>
      <c r="L180" s="32">
        <f t="shared" si="13"/>
        <v>0.8928571428571429</v>
      </c>
      <c r="M180" s="70" t="s">
        <v>2288</v>
      </c>
      <c r="N180" s="70" t="s">
        <v>2288</v>
      </c>
      <c r="O180" s="70" t="s">
        <v>2288</v>
      </c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25</v>
      </c>
      <c r="J181" s="147" t="s">
        <v>1813</v>
      </c>
      <c r="K181" s="31">
        <f t="shared" si="12"/>
        <v>3</v>
      </c>
      <c r="L181" s="32">
        <f t="shared" si="13"/>
        <v>0.8928571428571429</v>
      </c>
      <c r="M181" s="70" t="s">
        <v>2288</v>
      </c>
      <c r="N181" s="70" t="s">
        <v>2288</v>
      </c>
      <c r="O181" s="70" t="s">
        <v>2288</v>
      </c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25</v>
      </c>
      <c r="J182" s="147" t="s">
        <v>1814</v>
      </c>
      <c r="K182" s="31">
        <f t="shared" si="12"/>
        <v>3</v>
      </c>
      <c r="L182" s="32">
        <f t="shared" si="13"/>
        <v>0.8928571428571429</v>
      </c>
      <c r="M182" s="70" t="s">
        <v>2288</v>
      </c>
      <c r="N182" s="70" t="s">
        <v>2288</v>
      </c>
      <c r="O182" s="70" t="s">
        <v>2288</v>
      </c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25</v>
      </c>
      <c r="J183" s="147" t="s">
        <v>1815</v>
      </c>
      <c r="K183" s="31">
        <f t="shared" si="12"/>
        <v>3</v>
      </c>
      <c r="L183" s="32">
        <f t="shared" si="13"/>
        <v>0.8928571428571429</v>
      </c>
      <c r="M183" s="70" t="s">
        <v>2288</v>
      </c>
      <c r="N183" s="70" t="s">
        <v>2288</v>
      </c>
      <c r="O183" s="70" t="s">
        <v>2288</v>
      </c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25</v>
      </c>
      <c r="J187" s="147" t="s">
        <v>1818</v>
      </c>
      <c r="K187" s="31">
        <f t="shared" si="12"/>
        <v>3</v>
      </c>
      <c r="L187" s="32">
        <f t="shared" si="13"/>
        <v>0.8928571428571429</v>
      </c>
      <c r="M187" s="70" t="s">
        <v>2288</v>
      </c>
      <c r="N187" s="70" t="s">
        <v>2288</v>
      </c>
      <c r="O187" s="70" t="s">
        <v>2288</v>
      </c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25</v>
      </c>
      <c r="J193" s="87"/>
      <c r="K193" s="138">
        <f t="shared" si="12"/>
        <v>3</v>
      </c>
      <c r="L193" s="139">
        <f t="shared" si="13"/>
        <v>0.8928571428571429</v>
      </c>
      <c r="M193" s="140" t="s">
        <v>2288</v>
      </c>
      <c r="N193" s="140" t="s">
        <v>2288</v>
      </c>
      <c r="O193" s="140" t="s">
        <v>2288</v>
      </c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25</v>
      </c>
      <c r="J194" s="147" t="s">
        <v>1822</v>
      </c>
      <c r="K194" s="142">
        <f t="shared" si="12"/>
        <v>3</v>
      </c>
      <c r="L194" s="143">
        <f t="shared" si="13"/>
        <v>0.8928571428571429</v>
      </c>
      <c r="M194" s="70" t="s">
        <v>2288</v>
      </c>
      <c r="N194" s="70" t="s">
        <v>2288</v>
      </c>
      <c r="O194" s="70" t="s">
        <v>2288</v>
      </c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25</v>
      </c>
      <c r="J195" s="147" t="s">
        <v>1823</v>
      </c>
      <c r="K195" s="142">
        <f t="shared" si="12"/>
        <v>3</v>
      </c>
      <c r="L195" s="143">
        <f t="shared" si="13"/>
        <v>0.8928571428571429</v>
      </c>
      <c r="M195" s="70" t="s">
        <v>2288</v>
      </c>
      <c r="N195" s="70" t="s">
        <v>2288</v>
      </c>
      <c r="O195" s="70" t="s">
        <v>2288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28</v>
      </c>
      <c r="J197" s="147" t="s">
        <v>1825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25</v>
      </c>
      <c r="J200" s="147" t="s">
        <v>1827</v>
      </c>
      <c r="K200" s="142">
        <f t="shared" si="12"/>
        <v>3</v>
      </c>
      <c r="L200" s="143">
        <f t="shared" si="13"/>
        <v>0.8928571428571429</v>
      </c>
      <c r="M200" s="70" t="s">
        <v>2288</v>
      </c>
      <c r="N200" s="70" t="s">
        <v>2288</v>
      </c>
      <c r="O200" s="70" t="s">
        <v>2288</v>
      </c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25</v>
      </c>
      <c r="J201" s="147" t="s">
        <v>1828</v>
      </c>
      <c r="K201" s="31">
        <f t="shared" si="12"/>
        <v>3</v>
      </c>
      <c r="L201" s="32">
        <f t="shared" si="13"/>
        <v>0.8928571428571429</v>
      </c>
      <c r="M201" s="70" t="s">
        <v>2288</v>
      </c>
      <c r="N201" s="70" t="s">
        <v>2288</v>
      </c>
      <c r="O201" s="70" t="s">
        <v>2288</v>
      </c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25</v>
      </c>
      <c r="J211" s="147" t="s">
        <v>1837</v>
      </c>
      <c r="K211" s="142">
        <f t="shared" si="12"/>
        <v>3</v>
      </c>
      <c r="L211" s="143">
        <f t="shared" si="13"/>
        <v>0.8928571428571429</v>
      </c>
      <c r="M211" s="70" t="s">
        <v>2288</v>
      </c>
      <c r="N211" s="70" t="s">
        <v>2288</v>
      </c>
      <c r="O211" s="70" t="s">
        <v>2288</v>
      </c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25</v>
      </c>
      <c r="J218" s="151" t="s">
        <v>2276</v>
      </c>
      <c r="K218" s="142">
        <f t="shared" si="12"/>
        <v>3</v>
      </c>
      <c r="L218" s="143">
        <f t="shared" si="13"/>
        <v>0.8928571428571429</v>
      </c>
      <c r="M218" s="70" t="s">
        <v>2288</v>
      </c>
      <c r="N218" s="70" t="s">
        <v>2288</v>
      </c>
      <c r="O218" s="70" t="s">
        <v>2288</v>
      </c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25</v>
      </c>
      <c r="J219" s="87"/>
      <c r="K219" s="31">
        <f t="shared" si="12"/>
        <v>3</v>
      </c>
      <c r="L219" s="32">
        <f t="shared" si="13"/>
        <v>0.8928571428571429</v>
      </c>
      <c r="M219" s="70" t="s">
        <v>2288</v>
      </c>
      <c r="N219" s="70" t="s">
        <v>2288</v>
      </c>
      <c r="O219" s="70" t="s">
        <v>2288</v>
      </c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25</v>
      </c>
      <c r="J220" s="87"/>
      <c r="K220" s="31">
        <f t="shared" si="12"/>
        <v>3</v>
      </c>
      <c r="L220" s="32">
        <f t="shared" si="13"/>
        <v>0.8928571428571429</v>
      </c>
      <c r="M220" s="70" t="s">
        <v>2288</v>
      </c>
      <c r="N220" s="70" t="s">
        <v>2288</v>
      </c>
      <c r="O220" s="70" t="s">
        <v>2288</v>
      </c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25</v>
      </c>
      <c r="J232" s="147" t="s">
        <v>1852</v>
      </c>
      <c r="K232" s="31">
        <f t="shared" si="12"/>
        <v>3</v>
      </c>
      <c r="L232" s="32">
        <f t="shared" si="13"/>
        <v>0.8928571428571429</v>
      </c>
      <c r="M232" s="70" t="s">
        <v>2288</v>
      </c>
      <c r="N232" s="70" t="s">
        <v>2288</v>
      </c>
      <c r="O232" s="70" t="s">
        <v>2288</v>
      </c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28</v>
      </c>
      <c r="J233" s="147" t="s">
        <v>1853</v>
      </c>
      <c r="K233" s="31">
        <f t="shared" si="12"/>
        <v>0</v>
      </c>
      <c r="L233" s="3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25</v>
      </c>
      <c r="J234" s="147" t="s">
        <v>1854</v>
      </c>
      <c r="K234" s="31">
        <f t="shared" si="12"/>
        <v>3</v>
      </c>
      <c r="L234" s="32">
        <f t="shared" si="13"/>
        <v>0.8928571428571429</v>
      </c>
      <c r="M234" s="70" t="s">
        <v>2288</v>
      </c>
      <c r="N234" s="70" t="s">
        <v>2288</v>
      </c>
      <c r="O234" s="70" t="s">
        <v>2288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28</v>
      </c>
      <c r="J235" s="147" t="s">
        <v>1855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28</v>
      </c>
      <c r="J236" s="147" t="s">
        <v>1856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 t="s">
        <v>2288</v>
      </c>
      <c r="O241" s="70" t="s">
        <v>2288</v>
      </c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28</v>
      </c>
      <c r="J242" s="147" t="s">
        <v>1862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28</v>
      </c>
      <c r="J243" s="147" t="s">
        <v>1863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28</v>
      </c>
      <c r="J244" s="147" t="s">
        <v>1864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28</v>
      </c>
      <c r="J245" s="147" t="s">
        <v>1865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27</v>
      </c>
      <c r="J246" s="147" t="s">
        <v>1866</v>
      </c>
      <c r="K246" s="31">
        <f t="shared" si="15"/>
        <v>1</v>
      </c>
      <c r="L246" s="32">
        <f t="shared" si="16"/>
        <v>0.9642857142857143</v>
      </c>
      <c r="M246" s="70"/>
      <c r="N246" s="70"/>
      <c r="O246" s="70" t="s">
        <v>2288</v>
      </c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28</v>
      </c>
      <c r="J257" s="147" t="s">
        <v>1873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28</v>
      </c>
      <c r="J260" s="147" t="s">
        <v>1876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28</v>
      </c>
      <c r="J262" s="147" t="s">
        <v>1864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1878</v>
      </c>
      <c r="K263" s="31">
        <f t="shared" si="15"/>
        <v>1</v>
      </c>
      <c r="L263" s="32">
        <f t="shared" si="16"/>
        <v>0.9642857142857143</v>
      </c>
      <c r="M263" s="70"/>
      <c r="N263" s="70" t="s">
        <v>2288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25</v>
      </c>
      <c r="J264" s="147" t="s">
        <v>1879</v>
      </c>
      <c r="K264" s="31">
        <f t="shared" si="15"/>
        <v>3</v>
      </c>
      <c r="L264" s="32">
        <f t="shared" si="16"/>
        <v>0.8928571428571429</v>
      </c>
      <c r="M264" s="70" t="s">
        <v>2288</v>
      </c>
      <c r="N264" s="70" t="s">
        <v>2288</v>
      </c>
      <c r="O264" s="70" t="s">
        <v>2288</v>
      </c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28</v>
      </c>
      <c r="J266" s="147" t="s">
        <v>1881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25</v>
      </c>
      <c r="J281" s="147" t="s">
        <v>1893</v>
      </c>
      <c r="K281" s="31">
        <f t="shared" si="15"/>
        <v>3</v>
      </c>
      <c r="L281" s="32">
        <f t="shared" si="16"/>
        <v>0.8928571428571429</v>
      </c>
      <c r="M281" s="70" t="s">
        <v>2288</v>
      </c>
      <c r="N281" s="70" t="s">
        <v>2288</v>
      </c>
      <c r="O281" s="70" t="s">
        <v>2288</v>
      </c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25</v>
      </c>
      <c r="J296" s="147" t="s">
        <v>1907</v>
      </c>
      <c r="K296" s="31">
        <f t="shared" si="15"/>
        <v>3</v>
      </c>
      <c r="L296" s="32">
        <f t="shared" si="16"/>
        <v>0.8928571428571429</v>
      </c>
      <c r="M296" s="70" t="s">
        <v>2288</v>
      </c>
      <c r="N296" s="70" t="s">
        <v>2288</v>
      </c>
      <c r="O296" s="70" t="s">
        <v>2288</v>
      </c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28</v>
      </c>
      <c r="J298" s="147" t="s">
        <v>1909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25</v>
      </c>
      <c r="J308" s="147" t="s">
        <v>1918</v>
      </c>
      <c r="K308" s="142">
        <f t="shared" si="15"/>
        <v>3</v>
      </c>
      <c r="L308" s="143">
        <f t="shared" si="16"/>
        <v>0.8928571428571429</v>
      </c>
      <c r="M308" s="70" t="s">
        <v>2288</v>
      </c>
      <c r="N308" s="70" t="s">
        <v>2288</v>
      </c>
      <c r="O308" s="70" t="s">
        <v>2288</v>
      </c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25</v>
      </c>
      <c r="J310" s="147" t="s">
        <v>1919</v>
      </c>
      <c r="K310" s="31">
        <f t="shared" ref="K310:K380" si="18">COUNTIF(M310:AN310,"APAGADO")</f>
        <v>3</v>
      </c>
      <c r="L310" s="32">
        <f t="shared" ref="L310:L380" si="19">(I310)/(K310+I310)</f>
        <v>0.8928571428571429</v>
      </c>
      <c r="M310" s="70" t="s">
        <v>2288</v>
      </c>
      <c r="N310" s="70" t="s">
        <v>2288</v>
      </c>
      <c r="O310" s="70" t="s">
        <v>2288</v>
      </c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26</v>
      </c>
      <c r="J311" s="147" t="s">
        <v>1920</v>
      </c>
      <c r="K311" s="142">
        <f t="shared" si="18"/>
        <v>2</v>
      </c>
      <c r="L311" s="143">
        <f t="shared" si="19"/>
        <v>0.9285714285714286</v>
      </c>
      <c r="M311" s="70"/>
      <c r="N311" s="70" t="s">
        <v>2288</v>
      </c>
      <c r="O311" s="70" t="s">
        <v>2288</v>
      </c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26</v>
      </c>
      <c r="J312" s="87" t="s">
        <v>2197</v>
      </c>
      <c r="K312" s="142">
        <f t="shared" si="18"/>
        <v>2</v>
      </c>
      <c r="L312" s="143">
        <f t="shared" si="19"/>
        <v>0.9285714285714286</v>
      </c>
      <c r="M312" s="70"/>
      <c r="N312" s="70" t="s">
        <v>2288</v>
      </c>
      <c r="O312" s="70" t="s">
        <v>2288</v>
      </c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26</v>
      </c>
      <c r="J313" s="147" t="s">
        <v>1921</v>
      </c>
      <c r="K313" s="142">
        <f t="shared" si="18"/>
        <v>2</v>
      </c>
      <c r="L313" s="143">
        <f t="shared" si="19"/>
        <v>0.9285714285714286</v>
      </c>
      <c r="M313" s="70"/>
      <c r="N313" s="70" t="s">
        <v>2288</v>
      </c>
      <c r="O313" s="70" t="s">
        <v>2288</v>
      </c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25</v>
      </c>
      <c r="J314" s="147" t="s">
        <v>1922</v>
      </c>
      <c r="K314" s="31">
        <f t="shared" si="18"/>
        <v>3</v>
      </c>
      <c r="L314" s="32">
        <f t="shared" si="19"/>
        <v>0.8928571428571429</v>
      </c>
      <c r="M314" s="70" t="s">
        <v>2288</v>
      </c>
      <c r="N314" s="70" t="s">
        <v>2288</v>
      </c>
      <c r="O314" s="70" t="s">
        <v>2288</v>
      </c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25</v>
      </c>
      <c r="J315" s="147" t="s">
        <v>1923</v>
      </c>
      <c r="K315" s="31">
        <f t="shared" si="18"/>
        <v>3</v>
      </c>
      <c r="L315" s="32">
        <f t="shared" si="19"/>
        <v>0.8928571428571429</v>
      </c>
      <c r="M315" s="70" t="s">
        <v>2288</v>
      </c>
      <c r="N315" s="70" t="s">
        <v>2288</v>
      </c>
      <c r="O315" s="70" t="s">
        <v>2288</v>
      </c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25</v>
      </c>
      <c r="J316" s="147" t="s">
        <v>1924</v>
      </c>
      <c r="K316" s="31">
        <f t="shared" si="18"/>
        <v>3</v>
      </c>
      <c r="L316" s="32">
        <f t="shared" si="19"/>
        <v>0.8928571428571429</v>
      </c>
      <c r="M316" s="70" t="s">
        <v>2288</v>
      </c>
      <c r="N316" s="70" t="s">
        <v>2288</v>
      </c>
      <c r="O316" s="70" t="s">
        <v>2288</v>
      </c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28</v>
      </c>
      <c r="J333" s="147" t="s">
        <v>1939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28</v>
      </c>
      <c r="J348" s="87"/>
      <c r="K348" s="142">
        <f t="shared" si="18"/>
        <v>0</v>
      </c>
      <c r="L348" s="143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28</v>
      </c>
      <c r="J349" s="87"/>
      <c r="K349" s="142">
        <f t="shared" si="18"/>
        <v>0</v>
      </c>
      <c r="L349" s="143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28</v>
      </c>
      <c r="J350" s="147" t="s">
        <v>1952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25</v>
      </c>
      <c r="J375" s="73"/>
      <c r="K375" s="31">
        <f t="shared" si="18"/>
        <v>3</v>
      </c>
      <c r="L375" s="32">
        <f t="shared" si="19"/>
        <v>0.8928571428571429</v>
      </c>
      <c r="M375" s="70" t="s">
        <v>2288</v>
      </c>
      <c r="N375" s="70" t="s">
        <v>2288</v>
      </c>
      <c r="O375" s="70" t="s">
        <v>2288</v>
      </c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26</v>
      </c>
      <c r="J378" s="147" t="s">
        <v>1975</v>
      </c>
      <c r="K378" s="31">
        <f t="shared" si="18"/>
        <v>2</v>
      </c>
      <c r="L378" s="32">
        <f t="shared" si="19"/>
        <v>0.9285714285714286</v>
      </c>
      <c r="M378" s="70" t="s">
        <v>2288</v>
      </c>
      <c r="N378" s="70" t="s">
        <v>2288</v>
      </c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26</v>
      </c>
      <c r="J379" s="147" t="s">
        <v>1976</v>
      </c>
      <c r="K379" s="31">
        <f t="shared" si="18"/>
        <v>2</v>
      </c>
      <c r="L379" s="32">
        <f t="shared" si="19"/>
        <v>0.9285714285714286</v>
      </c>
      <c r="M379" s="70" t="s">
        <v>2288</v>
      </c>
      <c r="N379" s="70" t="s">
        <v>2288</v>
      </c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26</v>
      </c>
      <c r="J380" s="147" t="s">
        <v>1977</v>
      </c>
      <c r="K380" s="31">
        <f t="shared" si="18"/>
        <v>2</v>
      </c>
      <c r="L380" s="32">
        <f t="shared" si="19"/>
        <v>0.9285714285714286</v>
      </c>
      <c r="M380" s="70" t="s">
        <v>2288</v>
      </c>
      <c r="N380" s="70" t="s">
        <v>2288</v>
      </c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26</v>
      </c>
      <c r="J381" s="147" t="s">
        <v>1978</v>
      </c>
      <c r="K381" s="31">
        <f t="shared" ref="K381:K462" si="21">COUNTIF(M381:AN381,"APAGADO")</f>
        <v>2</v>
      </c>
      <c r="L381" s="32">
        <f t="shared" ref="L381:L462" si="22">(I381)/(K381+I381)</f>
        <v>0.9285714285714286</v>
      </c>
      <c r="M381" s="70" t="s">
        <v>2288</v>
      </c>
      <c r="N381" s="70" t="s">
        <v>2288</v>
      </c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26</v>
      </c>
      <c r="J382" s="147" t="s">
        <v>1979</v>
      </c>
      <c r="K382" s="31">
        <f t="shared" si="21"/>
        <v>2</v>
      </c>
      <c r="L382" s="32">
        <f t="shared" si="22"/>
        <v>0.9285714285714286</v>
      </c>
      <c r="M382" s="70" t="s">
        <v>2288</v>
      </c>
      <c r="N382" s="70" t="s">
        <v>2288</v>
      </c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26</v>
      </c>
      <c r="J383" s="147" t="s">
        <v>1980</v>
      </c>
      <c r="K383" s="31">
        <f t="shared" si="21"/>
        <v>2</v>
      </c>
      <c r="L383" s="32">
        <f t="shared" si="22"/>
        <v>0.9285714285714286</v>
      </c>
      <c r="M383" s="70" t="s">
        <v>2288</v>
      </c>
      <c r="N383" s="70" t="s">
        <v>2288</v>
      </c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26</v>
      </c>
      <c r="J384" s="147" t="s">
        <v>1981</v>
      </c>
      <c r="K384" s="31">
        <f t="shared" si="21"/>
        <v>2</v>
      </c>
      <c r="L384" s="32">
        <f t="shared" si="22"/>
        <v>0.9285714285714286</v>
      </c>
      <c r="M384" s="70" t="s">
        <v>2288</v>
      </c>
      <c r="N384" s="70" t="s">
        <v>2288</v>
      </c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26</v>
      </c>
      <c r="J385" s="147" t="s">
        <v>1982</v>
      </c>
      <c r="K385" s="31">
        <f t="shared" si="21"/>
        <v>2</v>
      </c>
      <c r="L385" s="32">
        <f t="shared" si="22"/>
        <v>0.9285714285714286</v>
      </c>
      <c r="M385" s="70" t="s">
        <v>2288</v>
      </c>
      <c r="N385" s="70" t="s">
        <v>2288</v>
      </c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26</v>
      </c>
      <c r="J386" s="147" t="s">
        <v>1983</v>
      </c>
      <c r="K386" s="31">
        <f t="shared" si="21"/>
        <v>2</v>
      </c>
      <c r="L386" s="32">
        <f t="shared" si="22"/>
        <v>0.9285714285714286</v>
      </c>
      <c r="M386" s="70" t="s">
        <v>2288</v>
      </c>
      <c r="N386" s="70" t="s">
        <v>2288</v>
      </c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26</v>
      </c>
      <c r="J387" s="147" t="s">
        <v>1984</v>
      </c>
      <c r="K387" s="31">
        <f t="shared" si="21"/>
        <v>2</v>
      </c>
      <c r="L387" s="32">
        <f t="shared" si="22"/>
        <v>0.9285714285714286</v>
      </c>
      <c r="M387" s="70" t="s">
        <v>2288</v>
      </c>
      <c r="N387" s="70" t="s">
        <v>2288</v>
      </c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25</v>
      </c>
      <c r="J388" s="147" t="s">
        <v>1985</v>
      </c>
      <c r="K388" s="31">
        <f t="shared" si="21"/>
        <v>3</v>
      </c>
      <c r="L388" s="32">
        <f t="shared" si="22"/>
        <v>0.8928571428571429</v>
      </c>
      <c r="M388" s="70" t="s">
        <v>2288</v>
      </c>
      <c r="N388" s="70" t="s">
        <v>2288</v>
      </c>
      <c r="O388" s="70" t="s">
        <v>2288</v>
      </c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25</v>
      </c>
      <c r="J389" s="147" t="s">
        <v>1986</v>
      </c>
      <c r="K389" s="31">
        <f t="shared" si="21"/>
        <v>3</v>
      </c>
      <c r="L389" s="32">
        <f t="shared" si="22"/>
        <v>0.8928571428571429</v>
      </c>
      <c r="M389" s="70" t="s">
        <v>2288</v>
      </c>
      <c r="N389" s="70" t="s">
        <v>2288</v>
      </c>
      <c r="O389" s="70" t="s">
        <v>2288</v>
      </c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26</v>
      </c>
      <c r="J393" s="87"/>
      <c r="K393" s="31">
        <f t="shared" si="21"/>
        <v>2</v>
      </c>
      <c r="L393" s="32">
        <f t="shared" si="22"/>
        <v>0.9285714285714286</v>
      </c>
      <c r="M393" s="70"/>
      <c r="N393" s="70" t="s">
        <v>2288</v>
      </c>
      <c r="O393" s="70" t="s">
        <v>2288</v>
      </c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26</v>
      </c>
      <c r="J395" s="87"/>
      <c r="K395" s="31">
        <f t="shared" si="21"/>
        <v>2</v>
      </c>
      <c r="L395" s="32">
        <f t="shared" si="22"/>
        <v>0.9285714285714286</v>
      </c>
      <c r="M395" s="70" t="s">
        <v>2288</v>
      </c>
      <c r="N395" s="70" t="s">
        <v>2288</v>
      </c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28</v>
      </c>
      <c r="J397" s="87"/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25</v>
      </c>
      <c r="J399" s="147" t="s">
        <v>1991</v>
      </c>
      <c r="K399" s="87">
        <f t="shared" si="21"/>
        <v>3</v>
      </c>
      <c r="L399" s="88">
        <f t="shared" si="22"/>
        <v>0.8928571428571429</v>
      </c>
      <c r="M399" s="89" t="s">
        <v>2288</v>
      </c>
      <c r="N399" s="89" t="s">
        <v>2288</v>
      </c>
      <c r="O399" s="89" t="s">
        <v>2288</v>
      </c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27</v>
      </c>
      <c r="J400" s="87"/>
      <c r="K400" s="31">
        <f t="shared" si="21"/>
        <v>1</v>
      </c>
      <c r="L400" s="32">
        <f t="shared" si="22"/>
        <v>0.9642857142857143</v>
      </c>
      <c r="M400" s="70"/>
      <c r="N400" s="70"/>
      <c r="O400" s="70" t="s">
        <v>2288</v>
      </c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25</v>
      </c>
      <c r="J401" s="147" t="s">
        <v>1992</v>
      </c>
      <c r="K401" s="31">
        <f t="shared" si="21"/>
        <v>3</v>
      </c>
      <c r="L401" s="32">
        <f t="shared" si="22"/>
        <v>0.8928571428571429</v>
      </c>
      <c r="M401" s="70" t="s">
        <v>2288</v>
      </c>
      <c r="N401" s="70" t="s">
        <v>2288</v>
      </c>
      <c r="O401" s="70" t="s">
        <v>2288</v>
      </c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25</v>
      </c>
      <c r="J402" s="147" t="s">
        <v>1993</v>
      </c>
      <c r="K402" s="31">
        <f t="shared" si="21"/>
        <v>3</v>
      </c>
      <c r="L402" s="32">
        <f t="shared" si="22"/>
        <v>0.8928571428571429</v>
      </c>
      <c r="M402" s="70" t="s">
        <v>2288</v>
      </c>
      <c r="N402" s="70" t="s">
        <v>2288</v>
      </c>
      <c r="O402" s="70" t="s">
        <v>2288</v>
      </c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25</v>
      </c>
      <c r="J405" s="87"/>
      <c r="K405" s="142">
        <f t="shared" si="21"/>
        <v>3</v>
      </c>
      <c r="L405" s="143">
        <f t="shared" si="22"/>
        <v>0.8928571428571429</v>
      </c>
      <c r="M405" s="70" t="s">
        <v>2288</v>
      </c>
      <c r="N405" s="70" t="s">
        <v>2288</v>
      </c>
      <c r="O405" s="70" t="s">
        <v>2288</v>
      </c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25</v>
      </c>
      <c r="J406" s="87"/>
      <c r="K406" s="142">
        <f t="shared" si="21"/>
        <v>3</v>
      </c>
      <c r="L406" s="143">
        <f t="shared" si="22"/>
        <v>0.8928571428571429</v>
      </c>
      <c r="M406" s="70" t="s">
        <v>2288</v>
      </c>
      <c r="N406" s="70" t="s">
        <v>2288</v>
      </c>
      <c r="O406" s="70" t="s">
        <v>2288</v>
      </c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25</v>
      </c>
      <c r="J413" s="147" t="s">
        <v>1998</v>
      </c>
      <c r="K413" s="142">
        <f t="shared" si="21"/>
        <v>3</v>
      </c>
      <c r="L413" s="143">
        <f t="shared" si="22"/>
        <v>0.8928571428571429</v>
      </c>
      <c r="M413" s="70" t="s">
        <v>2288</v>
      </c>
      <c r="N413" s="70" t="s">
        <v>2288</v>
      </c>
      <c r="O413" s="70" t="s">
        <v>2288</v>
      </c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25</v>
      </c>
      <c r="J415" s="87"/>
      <c r="K415" s="31">
        <f t="shared" si="21"/>
        <v>3</v>
      </c>
      <c r="L415" s="32">
        <f t="shared" si="22"/>
        <v>0.8928571428571429</v>
      </c>
      <c r="M415" s="70" t="s">
        <v>2288</v>
      </c>
      <c r="N415" s="70" t="s">
        <v>2288</v>
      </c>
      <c r="O415" s="70" t="s">
        <v>2288</v>
      </c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25</v>
      </c>
      <c r="J416" s="147" t="s">
        <v>2000</v>
      </c>
      <c r="K416" s="142">
        <f t="shared" si="21"/>
        <v>3</v>
      </c>
      <c r="L416" s="143">
        <f t="shared" si="22"/>
        <v>0.8928571428571429</v>
      </c>
      <c r="M416" s="70" t="s">
        <v>2288</v>
      </c>
      <c r="N416" s="70" t="s">
        <v>2288</v>
      </c>
      <c r="O416" s="70" t="s">
        <v>2288</v>
      </c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28</v>
      </c>
      <c r="J419" s="73" t="s">
        <v>2002</v>
      </c>
      <c r="K419" s="142">
        <f t="shared" si="21"/>
        <v>0</v>
      </c>
      <c r="L419" s="143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25</v>
      </c>
      <c r="J420" s="147" t="s">
        <v>2003</v>
      </c>
      <c r="K420" s="31">
        <f t="shared" si="21"/>
        <v>3</v>
      </c>
      <c r="L420" s="32">
        <f t="shared" si="22"/>
        <v>0.8928571428571429</v>
      </c>
      <c r="M420" s="70" t="s">
        <v>2288</v>
      </c>
      <c r="N420" s="70" t="s">
        <v>2288</v>
      </c>
      <c r="O420" s="70" t="s">
        <v>2288</v>
      </c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25</v>
      </c>
      <c r="J421" s="147" t="s">
        <v>2004</v>
      </c>
      <c r="K421" s="31">
        <f t="shared" si="21"/>
        <v>3</v>
      </c>
      <c r="L421" s="32">
        <f t="shared" si="22"/>
        <v>0.8928571428571429</v>
      </c>
      <c r="M421" s="70" t="s">
        <v>2288</v>
      </c>
      <c r="N421" s="70" t="s">
        <v>2288</v>
      </c>
      <c r="O421" s="70" t="s">
        <v>2288</v>
      </c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28</v>
      </c>
      <c r="J422" s="147" t="s">
        <v>2005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28</v>
      </c>
      <c r="J423" s="147" t="s">
        <v>2006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28</v>
      </c>
      <c r="J424" s="14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25</v>
      </c>
      <c r="J429" s="147" t="s">
        <v>2011</v>
      </c>
      <c r="K429" s="31">
        <f t="shared" si="21"/>
        <v>3</v>
      </c>
      <c r="L429" s="32">
        <f t="shared" si="22"/>
        <v>0.8928571428571429</v>
      </c>
      <c r="M429" s="70" t="s">
        <v>2288</v>
      </c>
      <c r="N429" s="70" t="s">
        <v>2288</v>
      </c>
      <c r="O429" s="70" t="s">
        <v>2288</v>
      </c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25</v>
      </c>
      <c r="J430" s="147" t="s">
        <v>2012</v>
      </c>
      <c r="K430" s="31">
        <f t="shared" si="21"/>
        <v>3</v>
      </c>
      <c r="L430" s="32">
        <f t="shared" si="22"/>
        <v>0.8928571428571429</v>
      </c>
      <c r="M430" s="70" t="s">
        <v>2288</v>
      </c>
      <c r="N430" s="70" t="s">
        <v>2288</v>
      </c>
      <c r="O430" s="70" t="s">
        <v>2288</v>
      </c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25</v>
      </c>
      <c r="J434" s="147" t="s">
        <v>2015</v>
      </c>
      <c r="K434" s="31">
        <f t="shared" si="21"/>
        <v>3</v>
      </c>
      <c r="L434" s="32">
        <f t="shared" si="22"/>
        <v>0.8928571428571429</v>
      </c>
      <c r="M434" s="70" t="s">
        <v>2288</v>
      </c>
      <c r="N434" s="70" t="s">
        <v>2288</v>
      </c>
      <c r="O434" s="70" t="s">
        <v>2288</v>
      </c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25</v>
      </c>
      <c r="J436" s="147" t="s">
        <v>2017</v>
      </c>
      <c r="K436" s="31">
        <f t="shared" si="21"/>
        <v>3</v>
      </c>
      <c r="L436" s="32">
        <f t="shared" si="22"/>
        <v>0.8928571428571429</v>
      </c>
      <c r="M436" s="70" t="s">
        <v>2288</v>
      </c>
      <c r="N436" s="70" t="s">
        <v>2288</v>
      </c>
      <c r="O436" s="70" t="s">
        <v>2288</v>
      </c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25</v>
      </c>
      <c r="J441" s="147" t="s">
        <v>2018</v>
      </c>
      <c r="K441" s="31">
        <f t="shared" si="21"/>
        <v>3</v>
      </c>
      <c r="L441" s="32">
        <f t="shared" si="22"/>
        <v>0.8928571428571429</v>
      </c>
      <c r="M441" s="70" t="s">
        <v>2288</v>
      </c>
      <c r="N441" s="70" t="s">
        <v>2288</v>
      </c>
      <c r="O441" s="70" t="s">
        <v>2288</v>
      </c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25</v>
      </c>
      <c r="J442" s="147" t="s">
        <v>2019</v>
      </c>
      <c r="K442" s="31">
        <f t="shared" si="21"/>
        <v>3</v>
      </c>
      <c r="L442" s="32">
        <f t="shared" si="22"/>
        <v>0.8928571428571429</v>
      </c>
      <c r="M442" s="70" t="s">
        <v>2288</v>
      </c>
      <c r="N442" s="70" t="s">
        <v>2288</v>
      </c>
      <c r="O442" s="70" t="s">
        <v>2288</v>
      </c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25</v>
      </c>
      <c r="J446" s="147" t="s">
        <v>2023</v>
      </c>
      <c r="K446" s="31">
        <f t="shared" si="21"/>
        <v>3</v>
      </c>
      <c r="L446" s="32">
        <f t="shared" si="22"/>
        <v>0.8928571428571429</v>
      </c>
      <c r="M446" s="70" t="s">
        <v>2288</v>
      </c>
      <c r="N446" s="70" t="s">
        <v>2288</v>
      </c>
      <c r="O446" s="70" t="s">
        <v>2288</v>
      </c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25</v>
      </c>
      <c r="J447" s="147" t="s">
        <v>2024</v>
      </c>
      <c r="K447" s="31">
        <f t="shared" si="21"/>
        <v>3</v>
      </c>
      <c r="L447" s="32">
        <f t="shared" si="22"/>
        <v>0.8928571428571429</v>
      </c>
      <c r="M447" s="70" t="s">
        <v>2288</v>
      </c>
      <c r="N447" s="70" t="s">
        <v>2288</v>
      </c>
      <c r="O447" s="70" t="s">
        <v>2288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25</v>
      </c>
      <c r="J448" s="147" t="s">
        <v>2025</v>
      </c>
      <c r="K448" s="31">
        <f t="shared" si="21"/>
        <v>3</v>
      </c>
      <c r="L448" s="32">
        <f t="shared" si="22"/>
        <v>0.8928571428571429</v>
      </c>
      <c r="M448" s="70" t="s">
        <v>2288</v>
      </c>
      <c r="N448" s="70" t="s">
        <v>2288</v>
      </c>
      <c r="O448" s="70" t="s">
        <v>2288</v>
      </c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25</v>
      </c>
      <c r="J456" s="147" t="s">
        <v>2027</v>
      </c>
      <c r="K456" s="142">
        <f t="shared" si="21"/>
        <v>3</v>
      </c>
      <c r="L456" s="143">
        <f t="shared" si="22"/>
        <v>0.8928571428571429</v>
      </c>
      <c r="M456" s="70" t="s">
        <v>2288</v>
      </c>
      <c r="N456" s="70" t="s">
        <v>2288</v>
      </c>
      <c r="O456" s="70" t="s">
        <v>2288</v>
      </c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25</v>
      </c>
      <c r="J457" s="147" t="s">
        <v>2028</v>
      </c>
      <c r="K457" s="142">
        <f t="shared" si="21"/>
        <v>3</v>
      </c>
      <c r="L457" s="143">
        <f t="shared" si="22"/>
        <v>0.8928571428571429</v>
      </c>
      <c r="M457" s="70" t="s">
        <v>2288</v>
      </c>
      <c r="N457" s="70" t="s">
        <v>2288</v>
      </c>
      <c r="O457" s="70" t="s">
        <v>2288</v>
      </c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25</v>
      </c>
      <c r="J458" s="87"/>
      <c r="K458" s="142">
        <f t="shared" si="21"/>
        <v>3</v>
      </c>
      <c r="L458" s="143">
        <f t="shared" si="22"/>
        <v>0.8928571428571429</v>
      </c>
      <c r="M458" s="70" t="s">
        <v>2288</v>
      </c>
      <c r="N458" s="70" t="s">
        <v>2288</v>
      </c>
      <c r="O458" s="70" t="s">
        <v>2288</v>
      </c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25</v>
      </c>
      <c r="J459" s="153" t="s">
        <v>2146</v>
      </c>
      <c r="K459" s="142">
        <f t="shared" si="21"/>
        <v>3</v>
      </c>
      <c r="L459" s="143">
        <f t="shared" si="22"/>
        <v>0.8928571428571429</v>
      </c>
      <c r="M459" s="70" t="s">
        <v>2288</v>
      </c>
      <c r="N459" s="70" t="s">
        <v>2288</v>
      </c>
      <c r="O459" s="70" t="s">
        <v>2288</v>
      </c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25</v>
      </c>
      <c r="J460" s="153"/>
      <c r="K460" s="142">
        <f t="shared" si="21"/>
        <v>3</v>
      </c>
      <c r="L460" s="143">
        <f t="shared" si="22"/>
        <v>0.8928571428571429</v>
      </c>
      <c r="M460" s="70" t="s">
        <v>2288</v>
      </c>
      <c r="N460" s="70" t="s">
        <v>2288</v>
      </c>
      <c r="O460" s="70" t="s">
        <v>2288</v>
      </c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28</v>
      </c>
      <c r="J461" s="147" t="s">
        <v>2029</v>
      </c>
      <c r="K461" s="31">
        <f t="shared" si="21"/>
        <v>0</v>
      </c>
      <c r="L461" s="32">
        <f t="shared" si="22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28</v>
      </c>
      <c r="J462" s="147" t="s">
        <v>2030</v>
      </c>
      <c r="K462" s="31">
        <f t="shared" si="21"/>
        <v>0</v>
      </c>
      <c r="L462" s="32">
        <f t="shared" si="22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28</v>
      </c>
      <c r="J481" s="87"/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28</v>
      </c>
      <c r="J482" s="87"/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28</v>
      </c>
      <c r="J483" s="87"/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28</v>
      </c>
      <c r="J484" s="87"/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28</v>
      </c>
      <c r="J485" s="87"/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26</v>
      </c>
      <c r="J496" s="147" t="s">
        <v>2055</v>
      </c>
      <c r="K496" s="31">
        <f t="shared" si="24"/>
        <v>2</v>
      </c>
      <c r="L496" s="32">
        <f t="shared" si="25"/>
        <v>0.9285714285714286</v>
      </c>
      <c r="M496" s="70" t="s">
        <v>2288</v>
      </c>
      <c r="N496" s="70" t="s">
        <v>2288</v>
      </c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26</v>
      </c>
      <c r="J503" s="147" t="s">
        <v>2062</v>
      </c>
      <c r="K503" s="31">
        <f t="shared" si="24"/>
        <v>2</v>
      </c>
      <c r="L503" s="32">
        <f t="shared" si="25"/>
        <v>0.9285714285714286</v>
      </c>
      <c r="M503" s="70" t="s">
        <v>2288</v>
      </c>
      <c r="N503" s="70" t="s">
        <v>2288</v>
      </c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26</v>
      </c>
      <c r="J508" s="147" t="s">
        <v>2067</v>
      </c>
      <c r="K508" s="31">
        <f t="shared" si="24"/>
        <v>2</v>
      </c>
      <c r="L508" s="32">
        <f t="shared" si="25"/>
        <v>0.9285714285714286</v>
      </c>
      <c r="M508" s="70" t="s">
        <v>2288</v>
      </c>
      <c r="N508" s="70" t="s">
        <v>2288</v>
      </c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25</v>
      </c>
      <c r="J510" s="147" t="s">
        <v>2069</v>
      </c>
      <c r="K510" s="31">
        <f t="shared" si="24"/>
        <v>3</v>
      </c>
      <c r="L510" s="32">
        <f t="shared" si="25"/>
        <v>0.8928571428571429</v>
      </c>
      <c r="M510" s="70" t="s">
        <v>2288</v>
      </c>
      <c r="N510" s="70" t="s">
        <v>2288</v>
      </c>
      <c r="O510" s="70" t="s">
        <v>2288</v>
      </c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26</v>
      </c>
      <c r="J511" s="147" t="s">
        <v>2070</v>
      </c>
      <c r="K511" s="31">
        <f t="shared" si="24"/>
        <v>2</v>
      </c>
      <c r="L511" s="32">
        <f t="shared" si="25"/>
        <v>0.9285714285714286</v>
      </c>
      <c r="M511" s="70" t="s">
        <v>2288</v>
      </c>
      <c r="N511" s="70" t="s">
        <v>2288</v>
      </c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26</v>
      </c>
      <c r="J514" s="147" t="s">
        <v>2072</v>
      </c>
      <c r="K514" s="31">
        <f t="shared" si="24"/>
        <v>2</v>
      </c>
      <c r="L514" s="32">
        <f t="shared" si="25"/>
        <v>0.9285714285714286</v>
      </c>
      <c r="M514" s="70" t="s">
        <v>2288</v>
      </c>
      <c r="N514" s="70" t="s">
        <v>2288</v>
      </c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26</v>
      </c>
      <c r="J515" s="147" t="s">
        <v>2073</v>
      </c>
      <c r="K515" s="31">
        <f t="shared" si="24"/>
        <v>2</v>
      </c>
      <c r="L515" s="32">
        <f t="shared" si="25"/>
        <v>0.9285714285714286</v>
      </c>
      <c r="M515" s="70" t="s">
        <v>2288</v>
      </c>
      <c r="N515" s="70" t="s">
        <v>2288</v>
      </c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25</v>
      </c>
      <c r="J520" s="147" t="s">
        <v>2078</v>
      </c>
      <c r="K520" s="142">
        <f t="shared" si="24"/>
        <v>3</v>
      </c>
      <c r="L520" s="143">
        <f t="shared" si="25"/>
        <v>0.8928571428571429</v>
      </c>
      <c r="M520" s="70" t="s">
        <v>2288</v>
      </c>
      <c r="N520" s="70" t="s">
        <v>2288</v>
      </c>
      <c r="O520" s="70" t="s">
        <v>2288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25</v>
      </c>
      <c r="J523" s="147" t="s">
        <v>2081</v>
      </c>
      <c r="K523" s="142">
        <f t="shared" si="24"/>
        <v>3</v>
      </c>
      <c r="L523" s="143">
        <f t="shared" si="25"/>
        <v>0.8928571428571429</v>
      </c>
      <c r="M523" s="70" t="s">
        <v>2288</v>
      </c>
      <c r="N523" s="70" t="s">
        <v>2288</v>
      </c>
      <c r="O523" s="70" t="s">
        <v>2288</v>
      </c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2086</v>
      </c>
      <c r="K530" s="31">
        <f t="shared" si="24"/>
        <v>2</v>
      </c>
      <c r="L530" s="32">
        <f t="shared" si="25"/>
        <v>0.9285714285714286</v>
      </c>
      <c r="M530" s="70" t="s">
        <v>2288</v>
      </c>
      <c r="N530" s="70" t="s">
        <v>2288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2087</v>
      </c>
      <c r="K531" s="31">
        <f t="shared" si="24"/>
        <v>2</v>
      </c>
      <c r="L531" s="32">
        <f t="shared" si="25"/>
        <v>0.9285714285714286</v>
      </c>
      <c r="M531" s="70" t="s">
        <v>2288</v>
      </c>
      <c r="N531" s="70" t="s">
        <v>2288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2288</v>
      </c>
      <c r="N532" s="70" t="s">
        <v>2288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2088</v>
      </c>
      <c r="K533" s="31">
        <f t="shared" si="24"/>
        <v>2</v>
      </c>
      <c r="L533" s="32">
        <f t="shared" si="25"/>
        <v>0.9285714285714286</v>
      </c>
      <c r="M533" s="70" t="s">
        <v>2288</v>
      </c>
      <c r="N533" s="70" t="s">
        <v>2288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28</v>
      </c>
      <c r="J539" s="147" t="s">
        <v>2094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25</v>
      </c>
      <c r="J540" s="147" t="s">
        <v>2200</v>
      </c>
      <c r="K540" s="31">
        <f t="shared" si="27"/>
        <v>3</v>
      </c>
      <c r="L540" s="32">
        <f t="shared" si="28"/>
        <v>0.8928571428571429</v>
      </c>
      <c r="M540" s="70" t="s">
        <v>2288</v>
      </c>
      <c r="N540" s="70" t="s">
        <v>2288</v>
      </c>
      <c r="O540" s="70" t="s">
        <v>2288</v>
      </c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28</v>
      </c>
      <c r="J542" s="147" t="s">
        <v>2095</v>
      </c>
      <c r="K542" s="142">
        <f t="shared" si="27"/>
        <v>0</v>
      </c>
      <c r="L542" s="143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28</v>
      </c>
      <c r="J543" s="147" t="s">
        <v>2096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28</v>
      </c>
      <c r="J544" s="147" t="s">
        <v>2097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28</v>
      </c>
      <c r="J545" s="147" t="s">
        <v>2098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25</v>
      </c>
      <c r="J547" s="87"/>
      <c r="K547" s="142">
        <f t="shared" si="27"/>
        <v>3</v>
      </c>
      <c r="L547" s="143">
        <f t="shared" si="28"/>
        <v>0.8928571428571429</v>
      </c>
      <c r="M547" s="70" t="s">
        <v>2288</v>
      </c>
      <c r="N547" s="70" t="s">
        <v>2288</v>
      </c>
      <c r="O547" s="70" t="s">
        <v>2288</v>
      </c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25</v>
      </c>
      <c r="J548" s="87" t="s">
        <v>2189</v>
      </c>
      <c r="K548" s="142">
        <f t="shared" si="27"/>
        <v>3</v>
      </c>
      <c r="L548" s="143">
        <f t="shared" si="28"/>
        <v>0.8928571428571429</v>
      </c>
      <c r="M548" s="70" t="s">
        <v>2288</v>
      </c>
      <c r="N548" s="70" t="s">
        <v>2288</v>
      </c>
      <c r="O548" s="70" t="s">
        <v>2288</v>
      </c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25</v>
      </c>
      <c r="J549" s="87" t="s">
        <v>2185</v>
      </c>
      <c r="K549" s="31">
        <f t="shared" si="27"/>
        <v>3</v>
      </c>
      <c r="L549" s="32">
        <f t="shared" si="28"/>
        <v>0.8928571428571429</v>
      </c>
      <c r="M549" s="70" t="s">
        <v>2288</v>
      </c>
      <c r="N549" s="70" t="s">
        <v>2288</v>
      </c>
      <c r="O549" s="70" t="s">
        <v>2288</v>
      </c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25</v>
      </c>
      <c r="J550" s="147" t="s">
        <v>2099</v>
      </c>
      <c r="K550" s="31">
        <f t="shared" si="27"/>
        <v>3</v>
      </c>
      <c r="L550" s="32">
        <f t="shared" si="28"/>
        <v>0.8928571428571429</v>
      </c>
      <c r="M550" s="70" t="s">
        <v>2288</v>
      </c>
      <c r="N550" s="70" t="s">
        <v>2288</v>
      </c>
      <c r="O550" s="70" t="s">
        <v>2288</v>
      </c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25</v>
      </c>
      <c r="J551" s="87" t="s">
        <v>2186</v>
      </c>
      <c r="K551" s="31">
        <f t="shared" si="27"/>
        <v>3</v>
      </c>
      <c r="L551" s="32">
        <f t="shared" si="28"/>
        <v>0.8928571428571429</v>
      </c>
      <c r="M551" s="70" t="s">
        <v>2288</v>
      </c>
      <c r="N551" s="70" t="s">
        <v>2288</v>
      </c>
      <c r="O551" s="70" t="s">
        <v>2288</v>
      </c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25</v>
      </c>
      <c r="J552" s="147" t="s">
        <v>2100</v>
      </c>
      <c r="K552" s="31">
        <f t="shared" si="27"/>
        <v>3</v>
      </c>
      <c r="L552" s="32">
        <f t="shared" si="28"/>
        <v>0.8928571428571429</v>
      </c>
      <c r="M552" s="70" t="s">
        <v>2288</v>
      </c>
      <c r="N552" s="70" t="s">
        <v>2288</v>
      </c>
      <c r="O552" s="70" t="s">
        <v>2288</v>
      </c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25</v>
      </c>
      <c r="J559" s="147" t="s">
        <v>2105</v>
      </c>
      <c r="K559" s="31">
        <f t="shared" si="27"/>
        <v>3</v>
      </c>
      <c r="L559" s="32">
        <f t="shared" si="28"/>
        <v>0.8928571428571429</v>
      </c>
      <c r="M559" s="70" t="s">
        <v>2288</v>
      </c>
      <c r="N559" s="70" t="s">
        <v>2288</v>
      </c>
      <c r="O559" s="70" t="s">
        <v>2288</v>
      </c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28</v>
      </c>
      <c r="J562" s="147" t="s">
        <v>2108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28</v>
      </c>
      <c r="J563" s="147" t="s">
        <v>2109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28</v>
      </c>
      <c r="J564" s="87" t="s">
        <v>2203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25</v>
      </c>
      <c r="J577" s="147" t="s">
        <v>2116</v>
      </c>
      <c r="K577" s="142">
        <f t="shared" si="27"/>
        <v>3</v>
      </c>
      <c r="L577" s="143">
        <f t="shared" si="28"/>
        <v>0.8928571428571429</v>
      </c>
      <c r="M577" s="70" t="s">
        <v>2288</v>
      </c>
      <c r="N577" s="70" t="s">
        <v>2288</v>
      </c>
      <c r="O577" s="70" t="s">
        <v>2288</v>
      </c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zoomScale="84" zoomScaleNormal="84" workbookViewId="0">
      <selection activeCell="B12" sqref="B1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61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25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25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62</v>
      </c>
      <c r="E21" s="114">
        <f>D21/C21</f>
        <v>0.22962962962962963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25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25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.75" thickBot="1" x14ac:dyDescent="0.3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25">
      <c r="A36" t="s">
        <v>1469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25">
      <c r="A47" t="s">
        <v>1471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1243</v>
      </c>
      <c r="C48" s="67">
        <v>0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1244</v>
      </c>
      <c r="C49" s="67">
        <v>0</v>
      </c>
      <c r="D49" s="103">
        <v>0</v>
      </c>
      <c r="E49" s="55">
        <f>D49/C46</f>
        <v>0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v>304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25">
      <c r="A58" t="s">
        <v>1472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1243</v>
      </c>
      <c r="C59" s="67">
        <v>0</v>
      </c>
      <c r="D59" s="103">
        <v>0</v>
      </c>
      <c r="E59" s="55">
        <f>D59/C57</f>
        <v>0</v>
      </c>
      <c r="F59" s="155"/>
    </row>
    <row r="60" spans="1:6" x14ac:dyDescent="0.25">
      <c r="B60" s="53" t="s">
        <v>1244</v>
      </c>
      <c r="C60" s="67">
        <v>0</v>
      </c>
      <c r="D60" s="103">
        <v>0</v>
      </c>
      <c r="E60" s="55">
        <f>D60/C57</f>
        <v>0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0</v>
      </c>
      <c r="D61" s="103">
        <v>0</v>
      </c>
      <c r="E61" s="55">
        <f>D61/C57</f>
        <v>0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v>304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1244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v>304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v>304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25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25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v>304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1244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v>304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0</v>
      </c>
      <c r="E131" s="114">
        <v>0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0</v>
      </c>
      <c r="D136" s="103">
        <v>0</v>
      </c>
      <c r="E136" s="55">
        <f>D136/C134</f>
        <v>0</v>
      </c>
      <c r="F136" s="155"/>
    </row>
    <row r="137" spans="2:6" x14ac:dyDescent="0.25">
      <c r="B137" s="53" t="s">
        <v>1244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v>304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25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25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25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25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6.5" thickTop="1" thickBot="1" x14ac:dyDescent="0.3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25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25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>
        <f>'RESUMEN TOTAL'!P89</f>
        <v>0</v>
      </c>
      <c r="J68" s="70">
        <f>'RESUMEN TOTAL'!Q89</f>
        <v>0</v>
      </c>
      <c r="K68" s="70">
        <f>'RESUMEN TOTAL'!R89</f>
        <v>0</v>
      </c>
      <c r="L68" s="70">
        <f>'RESUMEN TOTAL'!S89</f>
        <v>0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>
        <f>'RESUMEN TOTAL'!P99</f>
        <v>0</v>
      </c>
      <c r="J78" s="70">
        <f>'RESUMEN TOTAL'!Q99</f>
        <v>0</v>
      </c>
      <c r="K78" s="70">
        <f>'RESUMEN TOTAL'!R99</f>
        <v>0</v>
      </c>
      <c r="L78" s="70">
        <f>'RESUMEN TOTAL'!S99</f>
        <v>0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>
        <f>'RESUMEN TOTAL'!R127</f>
        <v>0</v>
      </c>
      <c r="L106" s="70">
        <f>'RESUMEN TOTAL'!S127</f>
        <v>0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>
        <f>'RESUMEN TOTAL'!Q130</f>
        <v>0</v>
      </c>
      <c r="K109" s="70">
        <f>'RESUMEN TOTAL'!R130</f>
        <v>0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>
        <f>'RESUMEN TOTAL'!Q151</f>
        <v>0</v>
      </c>
      <c r="K117" s="70">
        <f>'RESUMEN TOTAL'!R151</f>
        <v>0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>
        <f>'RESUMEN TOTAL'!P193</f>
        <v>0</v>
      </c>
      <c r="J148" s="70">
        <f>'RESUMEN TOTAL'!Q193</f>
        <v>0</v>
      </c>
      <c r="K148" s="70">
        <f>'RESUMEN TOTAL'!R193</f>
        <v>0</v>
      </c>
      <c r="L148" s="70">
        <f>'RESUMEN TOTAL'!S193</f>
        <v>0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>
        <f>'RESUMEN TOTAL'!P201</f>
        <v>0</v>
      </c>
      <c r="J156" s="70">
        <f>'RESUMEN TOTAL'!Q201</f>
        <v>0</v>
      </c>
      <c r="K156" s="70">
        <f>'RESUMEN TOTAL'!R201</f>
        <v>0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>
        <f>'RESUMEN TOTAL'!P219</f>
        <v>0</v>
      </c>
      <c r="J170" s="70">
        <f>'RESUMEN TOTAL'!Q219</f>
        <v>0</v>
      </c>
      <c r="K170" s="70">
        <f>'RESUMEN TOTAL'!R219</f>
        <v>0</v>
      </c>
      <c r="L170" s="70">
        <f>'RESUMEN TOTAL'!S219</f>
        <v>0</v>
      </c>
      <c r="M170" s="70">
        <f>'RESUMEN TOTAL'!T219</f>
        <v>0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>
        <f>'RESUMEN TOTAL'!P220</f>
        <v>0</v>
      </c>
      <c r="J171" s="70">
        <f>'RESUMEN TOTAL'!Q220</f>
        <v>0</v>
      </c>
      <c r="K171" s="70">
        <f>'RESUMEN TOTAL'!R220</f>
        <v>0</v>
      </c>
      <c r="L171" s="70">
        <f>'RESUMEN TOTAL'!S220</f>
        <v>0</v>
      </c>
      <c r="M171" s="70">
        <f>'RESUMEN TOTAL'!T220</f>
        <v>0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>
        <f>'RESUMEN TOTAL'!P232</f>
        <v>0</v>
      </c>
      <c r="J179" s="70">
        <f>'RESUMEN TOTAL'!Q232</f>
        <v>0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>
        <f>'RESUMEN TOTAL'!P234</f>
        <v>0</v>
      </c>
      <c r="J181" s="70">
        <f>'RESUMEN TOTAL'!Q234</f>
        <v>0</v>
      </c>
      <c r="K181" s="70">
        <f>'RESUMEN TOTAL'!R234</f>
        <v>0</v>
      </c>
      <c r="L181" s="70">
        <f>'RESUMEN TOTAL'!S234</f>
        <v>0</v>
      </c>
      <c r="M181" s="70">
        <f>'RESUMEN TOTAL'!T234</f>
        <v>0</v>
      </c>
      <c r="N181" s="70">
        <f>'RESUMEN TOTAL'!U234</f>
        <v>0</v>
      </c>
      <c r="O181" s="70">
        <f>'RESUMEN TOTAL'!V234</f>
        <v>0</v>
      </c>
      <c r="P181" s="70">
        <f>'RESUMEN TOTAL'!W234</f>
        <v>0</v>
      </c>
      <c r="Q181" s="70">
        <f>'RESUMEN TOTAL'!X234</f>
        <v>0</v>
      </c>
      <c r="R181" s="70">
        <f>'RESUMEN TOTAL'!Y234</f>
        <v>0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>
        <f>'RESUMEN TOTAL'!S257</f>
        <v>0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>
        <f>'RESUMEN TOTAL'!P281</f>
        <v>0</v>
      </c>
      <c r="J224" s="70">
        <f>'RESUMEN TOTAL'!Q281</f>
        <v>0</v>
      </c>
      <c r="K224" s="70">
        <f>'RESUMEN TOTAL'!R281</f>
        <v>0</v>
      </c>
      <c r="L224" s="70">
        <f>'RESUMEN TOTAL'!S281</f>
        <v>0</v>
      </c>
      <c r="M224" s="70">
        <f>'RESUMEN TOTAL'!T281</f>
        <v>0</v>
      </c>
      <c r="N224" s="70">
        <f>'RESUMEN TOTAL'!U281</f>
        <v>0</v>
      </c>
      <c r="O224" s="70">
        <f>'RESUMEN TOTAL'!V281</f>
        <v>0</v>
      </c>
      <c r="P224" s="70">
        <f>'RESUMEN TOTAL'!W281</f>
        <v>0</v>
      </c>
      <c r="Q224" s="70">
        <f>'RESUMEN TOTAL'!X281</f>
        <v>0</v>
      </c>
      <c r="R224" s="70">
        <f>'RESUMEN TOTAL'!Y281</f>
        <v>0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>
        <f>'RESUMEN TOTAL'!P296</f>
        <v>0</v>
      </c>
      <c r="J236" s="70">
        <f>'RESUMEN TOTAL'!Q296</f>
        <v>0</v>
      </c>
      <c r="K236" s="70">
        <f>'RESUMEN TOTAL'!R296</f>
        <v>0</v>
      </c>
      <c r="L236" s="70">
        <f>'RESUMEN TOTAL'!S296</f>
        <v>0</v>
      </c>
      <c r="M236" s="70">
        <f>'RESUMEN TOTAL'!T296</f>
        <v>0</v>
      </c>
      <c r="N236" s="70">
        <f>'RESUMEN TOTAL'!U296</f>
        <v>0</v>
      </c>
      <c r="O236" s="70">
        <f>'RESUMEN TOTAL'!V296</f>
        <v>0</v>
      </c>
      <c r="P236" s="70">
        <f>'RESUMEN TOTAL'!W296</f>
        <v>0</v>
      </c>
      <c r="Q236" s="70">
        <f>'RESUMEN TOTAL'!X296</f>
        <v>0</v>
      </c>
      <c r="R236" s="70">
        <f>'RESUMEN TOTAL'!Y296</f>
        <v>0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>
        <f>'RESUMEN TOTAL'!P308</f>
        <v>0</v>
      </c>
      <c r="J248" s="70">
        <f>'RESUMEN TOTAL'!Q308</f>
        <v>0</v>
      </c>
      <c r="K248" s="70">
        <f>'RESUMEN TOTAL'!R308</f>
        <v>0</v>
      </c>
      <c r="L248" s="70">
        <f>'RESUMEN TOTAL'!S308</f>
        <v>0</v>
      </c>
      <c r="M248" s="70">
        <f>'RESUMEN TOTAL'!T308</f>
        <v>0</v>
      </c>
      <c r="N248" s="70">
        <f>'RESUMEN TOTAL'!U308</f>
        <v>0</v>
      </c>
      <c r="O248" s="70">
        <f>'RESUMEN TOTAL'!V308</f>
        <v>0</v>
      </c>
      <c r="P248" s="70">
        <f>'RESUMEN TOTAL'!W308</f>
        <v>0</v>
      </c>
      <c r="Q248" s="70">
        <f>'RESUMEN TOTAL'!X308</f>
        <v>0</v>
      </c>
      <c r="R248" s="70">
        <f>'RESUMEN TOTAL'!Y308</f>
        <v>0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>
        <f>'RESUMEN TOTAL'!P310</f>
        <v>0</v>
      </c>
      <c r="J250" s="70">
        <f>'RESUMEN TOTAL'!Q310</f>
        <v>0</v>
      </c>
      <c r="K250" s="70">
        <f>'RESUMEN TOTAL'!R310</f>
        <v>0</v>
      </c>
      <c r="L250" s="70">
        <f>'RESUMEN TOTAL'!S310</f>
        <v>0</v>
      </c>
      <c r="M250" s="70">
        <f>'RESUMEN TOTAL'!T310</f>
        <v>0</v>
      </c>
      <c r="N250" s="70">
        <f>'RESUMEN TOTAL'!U310</f>
        <v>0</v>
      </c>
      <c r="O250" s="70">
        <f>'RESUMEN TOTAL'!V310</f>
        <v>0</v>
      </c>
      <c r="P250" s="70">
        <f>'RESUMEN TOTAL'!W310</f>
        <v>0</v>
      </c>
      <c r="Q250" s="70">
        <f>'RESUMEN TOTAL'!X310</f>
        <v>0</v>
      </c>
      <c r="R250" s="70">
        <f>'RESUMEN TOTAL'!Y310</f>
        <v>0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>
        <f>'RESUMEN TOTAL'!P311</f>
        <v>0</v>
      </c>
      <c r="J251" s="70">
        <f>'RESUMEN TOTAL'!Q311</f>
        <v>0</v>
      </c>
      <c r="K251" s="70">
        <f>'RESUMEN TOTAL'!R311</f>
        <v>0</v>
      </c>
      <c r="L251" s="70">
        <f>'RESUMEN TOTAL'!S311</f>
        <v>0</v>
      </c>
      <c r="M251" s="70">
        <f>'RESUMEN TOTAL'!T311</f>
        <v>0</v>
      </c>
      <c r="N251" s="70">
        <f>'RESUMEN TOTAL'!U311</f>
        <v>0</v>
      </c>
      <c r="O251" s="70">
        <f>'RESUMEN TOTAL'!V311</f>
        <v>0</v>
      </c>
      <c r="P251" s="70">
        <f>'RESUMEN TOTAL'!W311</f>
        <v>0</v>
      </c>
      <c r="Q251" s="70">
        <f>'RESUMEN TOTAL'!X311</f>
        <v>0</v>
      </c>
      <c r="R251" s="70">
        <f>'RESUMEN TOTAL'!Y311</f>
        <v>0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>
        <f>'RESUMEN TOTAL'!P312</f>
        <v>0</v>
      </c>
      <c r="J252" s="70">
        <f>'RESUMEN TOTAL'!Q312</f>
        <v>0</v>
      </c>
      <c r="K252" s="70">
        <f>'RESUMEN TOTAL'!R312</f>
        <v>0</v>
      </c>
      <c r="L252" s="70">
        <f>'RESUMEN TOTAL'!S312</f>
        <v>0</v>
      </c>
      <c r="M252" s="70">
        <f>'RESUMEN TOTAL'!T312</f>
        <v>0</v>
      </c>
      <c r="N252" s="70">
        <f>'RESUMEN TOTAL'!U312</f>
        <v>0</v>
      </c>
      <c r="O252" s="70">
        <f>'RESUMEN TOTAL'!V312</f>
        <v>0</v>
      </c>
      <c r="P252" s="70">
        <f>'RESUMEN TOTAL'!W312</f>
        <v>0</v>
      </c>
      <c r="Q252" s="70">
        <f>'RESUMEN TOTAL'!X312</f>
        <v>0</v>
      </c>
      <c r="R252" s="70">
        <f>'RESUMEN TOTAL'!Y312</f>
        <v>0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>
        <f>'RESUMEN TOTAL'!P313</f>
        <v>0</v>
      </c>
      <c r="J253" s="70">
        <f>'RESUMEN TOTAL'!Q313</f>
        <v>0</v>
      </c>
      <c r="K253" s="70">
        <f>'RESUMEN TOTAL'!R313</f>
        <v>0</v>
      </c>
      <c r="L253" s="70">
        <f>'RESUMEN TOTAL'!S313</f>
        <v>0</v>
      </c>
      <c r="M253" s="70">
        <f>'RESUMEN TOTAL'!T313</f>
        <v>0</v>
      </c>
      <c r="N253" s="70">
        <f>'RESUMEN TOTAL'!U313</f>
        <v>0</v>
      </c>
      <c r="O253" s="70">
        <f>'RESUMEN TOTAL'!V313</f>
        <v>0</v>
      </c>
      <c r="P253" s="70">
        <f>'RESUMEN TOTAL'!W313</f>
        <v>0</v>
      </c>
      <c r="Q253" s="70">
        <f>'RESUMEN TOTAL'!X313</f>
        <v>0</v>
      </c>
      <c r="R253" s="70">
        <f>'RESUMEN TOTAL'!Y313</f>
        <v>0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>
        <f>'RESUMEN TOTAL'!P314</f>
        <v>0</v>
      </c>
      <c r="J254" s="70">
        <f>'RESUMEN TOTAL'!Q314</f>
        <v>0</v>
      </c>
      <c r="K254" s="70">
        <f>'RESUMEN TOTAL'!R314</f>
        <v>0</v>
      </c>
      <c r="L254" s="70">
        <f>'RESUMEN TOTAL'!S314</f>
        <v>0</v>
      </c>
      <c r="M254" s="70">
        <f>'RESUMEN TOTAL'!T314</f>
        <v>0</v>
      </c>
      <c r="N254" s="70">
        <f>'RESUMEN TOTAL'!U314</f>
        <v>0</v>
      </c>
      <c r="O254" s="70">
        <f>'RESUMEN TOTAL'!V314</f>
        <v>0</v>
      </c>
      <c r="P254" s="70">
        <f>'RESUMEN TOTAL'!W314</f>
        <v>0</v>
      </c>
      <c r="Q254" s="70">
        <f>'RESUMEN TOTAL'!X314</f>
        <v>0</v>
      </c>
      <c r="R254" s="70">
        <f>'RESUMEN TOTAL'!Y314</f>
        <v>0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>
        <f>'RESUMEN TOTAL'!P315</f>
        <v>0</v>
      </c>
      <c r="J255" s="70">
        <f>'RESUMEN TOTAL'!Q315</f>
        <v>0</v>
      </c>
      <c r="K255" s="70">
        <f>'RESUMEN TOTAL'!R315</f>
        <v>0</v>
      </c>
      <c r="L255" s="70">
        <f>'RESUMEN TOTAL'!S315</f>
        <v>0</v>
      </c>
      <c r="M255" s="70">
        <f>'RESUMEN TOTAL'!T315</f>
        <v>0</v>
      </c>
      <c r="N255" s="70">
        <f>'RESUMEN TOTAL'!U315</f>
        <v>0</v>
      </c>
      <c r="O255" s="70">
        <f>'RESUMEN TOTAL'!V315</f>
        <v>0</v>
      </c>
      <c r="P255" s="70">
        <f>'RESUMEN TOTAL'!W315</f>
        <v>0</v>
      </c>
      <c r="Q255" s="70">
        <f>'RESUMEN TOTAL'!X315</f>
        <v>0</v>
      </c>
      <c r="R255" s="70">
        <f>'RESUMEN TOTAL'!Y315</f>
        <v>0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>
        <f>'RESUMEN TOTAL'!P316</f>
        <v>0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>
        <f>'RESUMEN TOTAL'!X348</f>
        <v>0</v>
      </c>
      <c r="R279" s="70">
        <f>'RESUMEN TOTAL'!Y348</f>
        <v>0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>
        <f>'RESUMEN TOTAL'!X349</f>
        <v>0</v>
      </c>
      <c r="R280" s="70">
        <f>'RESUMEN TOTAL'!Y349</f>
        <v>0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>
        <f>'RESUMEN TOTAL'!P375</f>
        <v>0</v>
      </c>
      <c r="J301" s="70">
        <f>'RESUMEN TOTAL'!Q375</f>
        <v>0</v>
      </c>
      <c r="K301" s="70">
        <f>'RESUMEN TOTAL'!R375</f>
        <v>0</v>
      </c>
      <c r="L301" s="70">
        <f>'RESUMEN TOTAL'!S375</f>
        <v>0</v>
      </c>
      <c r="M301" s="70">
        <f>'RESUMEN TOTAL'!T375</f>
        <v>0</v>
      </c>
      <c r="N301" s="70">
        <f>'RESUMEN TOTAL'!U375</f>
        <v>0</v>
      </c>
      <c r="O301" s="70">
        <f>'RESUMEN TOTAL'!V375</f>
        <v>0</v>
      </c>
      <c r="P301" s="70">
        <f>'RESUMEN TOTAL'!W375</f>
        <v>0</v>
      </c>
      <c r="Q301" s="70">
        <f>'RESUMEN TOTAL'!X375</f>
        <v>0</v>
      </c>
      <c r="R301" s="70">
        <f>'RESUMEN TOTAL'!Y375</f>
        <v>0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>
        <f>'RESUMEN TOTAL'!R383</f>
        <v>0</v>
      </c>
      <c r="L309" s="70">
        <f>'RESUMEN TOTAL'!S383</f>
        <v>0</v>
      </c>
      <c r="M309" s="70">
        <f>'RESUMEN TOTAL'!T383</f>
        <v>0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>
        <f>'RESUMEN TOTAL'!R384</f>
        <v>0</v>
      </c>
      <c r="L310" s="70">
        <f>'RESUMEN TOTAL'!S384</f>
        <v>0</v>
      </c>
      <c r="M310" s="70">
        <f>'RESUMEN TOTAL'!T384</f>
        <v>0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>
        <f>'RESUMEN TOTAL'!P388</f>
        <v>0</v>
      </c>
      <c r="J314" s="70">
        <f>'RESUMEN TOTAL'!Q388</f>
        <v>0</v>
      </c>
      <c r="K314" s="70">
        <f>'RESUMEN TOTAL'!R388</f>
        <v>0</v>
      </c>
      <c r="L314" s="70">
        <f>'RESUMEN TOTAL'!S388</f>
        <v>0</v>
      </c>
      <c r="M314" s="70">
        <f>'RESUMEN TOTAL'!T388</f>
        <v>0</v>
      </c>
      <c r="N314" s="70">
        <f>'RESUMEN TOTAL'!U388</f>
        <v>0</v>
      </c>
      <c r="O314" s="70">
        <f>'RESUMEN TOTAL'!V388</f>
        <v>0</v>
      </c>
      <c r="P314" s="70">
        <f>'RESUMEN TOTAL'!W388</f>
        <v>0</v>
      </c>
      <c r="Q314" s="70">
        <f>'RESUMEN TOTAL'!X388</f>
        <v>0</v>
      </c>
      <c r="R314" s="70">
        <f>'RESUMEN TOTAL'!Y388</f>
        <v>0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>
        <f>'RESUMEN TOTAL'!P389</f>
        <v>0</v>
      </c>
      <c r="J315" s="70">
        <f>'RESUMEN TOTAL'!Q389</f>
        <v>0</v>
      </c>
      <c r="K315" s="70">
        <f>'RESUMEN TOTAL'!R389</f>
        <v>0</v>
      </c>
      <c r="L315" s="70">
        <f>'RESUMEN TOTAL'!S389</f>
        <v>0</v>
      </c>
      <c r="M315" s="70">
        <f>'RESUMEN TOTAL'!T389</f>
        <v>0</v>
      </c>
      <c r="N315" s="70">
        <f>'RESUMEN TOTAL'!U389</f>
        <v>0</v>
      </c>
      <c r="O315" s="70">
        <f>'RESUMEN TOTAL'!V389</f>
        <v>0</v>
      </c>
      <c r="P315" s="70">
        <f>'RESUMEN TOTAL'!W389</f>
        <v>0</v>
      </c>
      <c r="Q315" s="70">
        <f>'RESUMEN TOTAL'!X389</f>
        <v>0</v>
      </c>
      <c r="R315" s="70">
        <f>'RESUMEN TOTAL'!Y389</f>
        <v>0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>
        <f>'RESUMEN TOTAL'!Q395</f>
        <v>0</v>
      </c>
      <c r="K316" s="70">
        <f>'RESUMEN TOTAL'!R395</f>
        <v>0</v>
      </c>
      <c r="L316" s="70">
        <f>'RESUMEN TOTAL'!S395</f>
        <v>0</v>
      </c>
      <c r="M316" s="70">
        <f>'RESUMEN TOTAL'!T395</f>
        <v>0</v>
      </c>
      <c r="N316" s="70">
        <f>'RESUMEN TOTAL'!U395</f>
        <v>0</v>
      </c>
      <c r="O316" s="70">
        <f>'RESUMEN TOTAL'!V395</f>
        <v>0</v>
      </c>
      <c r="P316" s="70">
        <f>'RESUMEN TOTAL'!W395</f>
        <v>0</v>
      </c>
      <c r="Q316" s="70">
        <f>'RESUMEN TOTAL'!X395</f>
        <v>0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>
        <f>'RESUMEN TOTAL'!R397</f>
        <v>0</v>
      </c>
      <c r="L318" s="70">
        <f>'RESUMEN TOTAL'!S397</f>
        <v>0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>
        <f>'RESUMEN TOTAL'!R398</f>
        <v>0</v>
      </c>
      <c r="L319" s="70">
        <f>'RESUMEN TOTAL'!S398</f>
        <v>0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>
        <f>'RESUMEN TOTAL'!P399</f>
        <v>0</v>
      </c>
      <c r="J320" s="70">
        <f>'RESUMEN TOTAL'!Q399</f>
        <v>0</v>
      </c>
      <c r="K320" s="70">
        <f>'RESUMEN TOTAL'!R399</f>
        <v>0</v>
      </c>
      <c r="L320" s="70">
        <f>'RESUMEN TOTAL'!S399</f>
        <v>0</v>
      </c>
      <c r="M320" s="70">
        <f>'RESUMEN TOTAL'!T399</f>
        <v>0</v>
      </c>
      <c r="N320" s="70">
        <f>'RESUMEN TOTAL'!U399</f>
        <v>0</v>
      </c>
      <c r="O320" s="70">
        <f>'RESUMEN TOTAL'!V399</f>
        <v>0</v>
      </c>
      <c r="P320" s="70">
        <f>'RESUMEN TOTAL'!W399</f>
        <v>0</v>
      </c>
      <c r="Q320" s="70">
        <f>'RESUMEN TOTAL'!X399</f>
        <v>0</v>
      </c>
      <c r="R320" s="70">
        <f>'RESUMEN TOTAL'!Y399</f>
        <v>0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>
        <f>'RESUMEN TOTAL'!R400</f>
        <v>0</v>
      </c>
      <c r="L321" s="70">
        <f>'RESUMEN TOTAL'!S400</f>
        <v>0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>
        <f>'RESUMEN TOTAL'!P401</f>
        <v>0</v>
      </c>
      <c r="I322" s="70">
        <v>0</v>
      </c>
      <c r="J322" s="70">
        <f>'RESUMEN TOTAL'!Q401</f>
        <v>0</v>
      </c>
      <c r="K322" s="70">
        <f>'RESUMEN TOTAL'!R401</f>
        <v>0</v>
      </c>
      <c r="L322" s="70">
        <f>'RESUMEN TOTAL'!S401</f>
        <v>0</v>
      </c>
      <c r="M322" s="70">
        <f>'RESUMEN TOTAL'!T401</f>
        <v>0</v>
      </c>
      <c r="N322" s="70">
        <f>'RESUMEN TOTAL'!U401</f>
        <v>0</v>
      </c>
      <c r="O322" s="70">
        <f>'RESUMEN TOTAL'!V401</f>
        <v>0</v>
      </c>
      <c r="P322" s="70">
        <f>'RESUMEN TOTAL'!W401</f>
        <v>0</v>
      </c>
      <c r="Q322" s="70">
        <f>'RESUMEN TOTAL'!X401</f>
        <v>0</v>
      </c>
      <c r="R322" s="70">
        <f>'RESUMEN TOTAL'!Y401</f>
        <v>0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>
        <f>'RESUMEN TOTAL'!P402</f>
        <v>0</v>
      </c>
      <c r="I323" s="70">
        <v>0</v>
      </c>
      <c r="J323" s="70">
        <f>'RESUMEN TOTAL'!Q402</f>
        <v>0</v>
      </c>
      <c r="K323" s="70">
        <f>'RESUMEN TOTAL'!R402</f>
        <v>0</v>
      </c>
      <c r="L323" s="70">
        <f>'RESUMEN TOTAL'!S402</f>
        <v>0</v>
      </c>
      <c r="M323" s="70">
        <f>'RESUMEN TOTAL'!T402</f>
        <v>0</v>
      </c>
      <c r="N323" s="70">
        <f>'RESUMEN TOTAL'!U402</f>
        <v>0</v>
      </c>
      <c r="O323" s="70">
        <f>'RESUMEN TOTAL'!V402</f>
        <v>0</v>
      </c>
      <c r="P323" s="70">
        <f>'RESUMEN TOTAL'!W402</f>
        <v>0</v>
      </c>
      <c r="Q323" s="70">
        <f>'RESUMEN TOTAL'!X402</f>
        <v>0</v>
      </c>
      <c r="R323" s="70">
        <f>'RESUMEN TOTAL'!Y402</f>
        <v>0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>
        <f>'RESUMEN TOTAL'!P413</f>
        <v>0</v>
      </c>
      <c r="J327" s="70">
        <f>'RESUMEN TOTAL'!Q413</f>
        <v>0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>
        <f>'RESUMEN TOTAL'!P415</f>
        <v>0</v>
      </c>
      <c r="J329" s="70">
        <f>'RESUMEN TOTAL'!Q415</f>
        <v>0</v>
      </c>
      <c r="K329" s="70">
        <f>'RESUMEN TOTAL'!R415</f>
        <v>0</v>
      </c>
      <c r="L329" s="70">
        <f>'RESUMEN TOTAL'!S415</f>
        <v>0</v>
      </c>
      <c r="M329" s="70">
        <f>'RESUMEN TOTAL'!T415</f>
        <v>0</v>
      </c>
      <c r="N329" s="70">
        <f>'RESUMEN TOTAL'!U415</f>
        <v>0</v>
      </c>
      <c r="O329" s="70">
        <f>'RESUMEN TOTAL'!V415</f>
        <v>0</v>
      </c>
      <c r="P329" s="70">
        <f>'RESUMEN TOTAL'!W415</f>
        <v>0</v>
      </c>
      <c r="Q329" s="70">
        <f>'RESUMEN TOTAL'!X415</f>
        <v>0</v>
      </c>
      <c r="R329" s="70">
        <f>'RESUMEN TOTAL'!Y415</f>
        <v>0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>
        <f>'RESUMEN TOTAL'!P416</f>
        <v>0</v>
      </c>
      <c r="J330" s="70">
        <f>'RESUMEN TOTAL'!Q416</f>
        <v>0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>
        <f>'RESUMEN TOTAL'!X419</f>
        <v>0</v>
      </c>
      <c r="R333" s="70">
        <f>'RESUMEN TOTAL'!Y419</f>
        <v>0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>
        <f>'RESUMEN TOTAL'!P420</f>
        <v>0</v>
      </c>
      <c r="I334" s="70">
        <v>0</v>
      </c>
      <c r="J334" s="70">
        <f>'RESUMEN TOTAL'!Q420</f>
        <v>0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>
        <f>'RESUMEN TOTAL'!P421</f>
        <v>0</v>
      </c>
      <c r="I335" s="70">
        <v>0</v>
      </c>
      <c r="J335" s="70">
        <f>'RESUMEN TOTAL'!Q421</f>
        <v>0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>
        <f>'RESUMEN TOTAL'!P429</f>
        <v>0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>
        <f>'RESUMEN TOTAL'!X429</f>
        <v>0</v>
      </c>
      <c r="R340" s="70">
        <f>'RESUMEN TOTAL'!Y429</f>
        <v>0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>
        <f>'RESUMEN TOTAL'!P430</f>
        <v>0</v>
      </c>
      <c r="J341" s="70">
        <f>'RESUMEN TOTAL'!Q430</f>
        <v>0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>
        <f>'RESUMEN TOTAL'!X430</f>
        <v>0</v>
      </c>
      <c r="R341" s="70">
        <f>'RESUMEN TOTAL'!Y430</f>
        <v>0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>
        <f>'RESUMEN TOTAL'!P434</f>
        <v>0</v>
      </c>
      <c r="J345" s="70">
        <f>'RESUMEN TOTAL'!Q434</f>
        <v>0</v>
      </c>
      <c r="K345" s="70">
        <f>'RESUMEN TOTAL'!R434</f>
        <v>0</v>
      </c>
      <c r="L345" s="70">
        <f>'RESUMEN TOTAL'!S434</f>
        <v>0</v>
      </c>
      <c r="M345" s="70">
        <f>'RESUMEN TOTAL'!T434</f>
        <v>0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>
        <f>'RESUMEN TOTAL'!P436</f>
        <v>0</v>
      </c>
      <c r="J347" s="70">
        <f>'RESUMEN TOTAL'!Q436</f>
        <v>0</v>
      </c>
      <c r="K347" s="70">
        <f>'RESUMEN TOTAL'!R436</f>
        <v>0</v>
      </c>
      <c r="L347" s="70">
        <f>'RESUMEN TOTAL'!S436</f>
        <v>0</v>
      </c>
      <c r="M347" s="70">
        <f>'RESUMEN TOTAL'!T436</f>
        <v>0</v>
      </c>
      <c r="N347" s="70">
        <f>'RESUMEN TOTAL'!U436</f>
        <v>0</v>
      </c>
      <c r="O347" s="70">
        <f>'RESUMEN TOTAL'!V436</f>
        <v>0</v>
      </c>
      <c r="P347" s="70">
        <f>'RESUMEN TOTAL'!W436</f>
        <v>0</v>
      </c>
      <c r="Q347" s="70">
        <f>'RESUMEN TOTAL'!X436</f>
        <v>0</v>
      </c>
      <c r="R347" s="70">
        <f>'RESUMEN TOTAL'!Y436</f>
        <v>0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>
        <f>'RESUMEN TOTAL'!P441</f>
        <v>0</v>
      </c>
      <c r="J352" s="70">
        <f>'RESUMEN TOTAL'!Q441</f>
        <v>0</v>
      </c>
      <c r="K352" s="70">
        <f>'RESUMEN TOTAL'!R441</f>
        <v>0</v>
      </c>
      <c r="L352" s="70">
        <f>'RESUMEN TOTAL'!S441</f>
        <v>0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>
        <f>'RESUMEN TOTAL'!X441</f>
        <v>0</v>
      </c>
      <c r="R352" s="70">
        <f>'RESUMEN TOTAL'!Y441</f>
        <v>0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>
        <f>'RESUMEN TOTAL'!P442</f>
        <v>0</v>
      </c>
      <c r="J353" s="70">
        <f>'RESUMEN TOTAL'!Q442</f>
        <v>0</v>
      </c>
      <c r="K353" s="70">
        <f>'RESUMEN TOTAL'!R442</f>
        <v>0</v>
      </c>
      <c r="L353" s="70">
        <f>'RESUMEN TOTAL'!S442</f>
        <v>0</v>
      </c>
      <c r="M353" s="70">
        <f>'RESUMEN TOTAL'!T442</f>
        <v>0</v>
      </c>
      <c r="N353" s="70">
        <f>'RESUMEN TOTAL'!U442</f>
        <v>0</v>
      </c>
      <c r="O353" s="70">
        <f>'RESUMEN TOTAL'!V442</f>
        <v>0</v>
      </c>
      <c r="P353" s="70">
        <f>'RESUMEN TOTAL'!W442</f>
        <v>0</v>
      </c>
      <c r="Q353" s="70">
        <f>'RESUMEN TOTAL'!X442</f>
        <v>0</v>
      </c>
      <c r="R353" s="70">
        <f>'RESUMEN TOTAL'!Y442</f>
        <v>0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>
        <f>'RESUMEN TOTAL'!P446</f>
        <v>0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>
        <f>'RESUMEN TOTAL'!X446</f>
        <v>0</v>
      </c>
      <c r="R357" s="70">
        <f>'RESUMEN TOTAL'!Y446</f>
        <v>0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>
        <f>'RESUMEN TOTAL'!P447</f>
        <v>0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>
        <f>'RESUMEN TOTAL'!X447</f>
        <v>0</v>
      </c>
      <c r="R358" s="70">
        <f>'RESUMEN TOTAL'!Y447</f>
        <v>0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>
        <f>'RESUMEN TOTAL'!P448</f>
        <v>0</v>
      </c>
      <c r="J359" s="70">
        <f>'RESUMEN TOTAL'!Q448</f>
        <v>0</v>
      </c>
      <c r="K359" s="70">
        <f>'RESUMEN TOTAL'!R448</f>
        <v>0</v>
      </c>
      <c r="L359" s="70">
        <f>'RESUMEN TOTAL'!S448</f>
        <v>0</v>
      </c>
      <c r="M359" s="70">
        <f>'RESUMEN TOTAL'!T448</f>
        <v>0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>
        <f>'RESUMEN TOTAL'!P456</f>
        <v>0</v>
      </c>
      <c r="J361" s="70">
        <f>'RESUMEN TOTAL'!Q456</f>
        <v>0</v>
      </c>
      <c r="K361" s="70">
        <f>'RESUMEN TOTAL'!R456</f>
        <v>0</v>
      </c>
      <c r="L361" s="70">
        <f>'RESUMEN TOTAL'!S456</f>
        <v>0</v>
      </c>
      <c r="M361" s="70">
        <f>'RESUMEN TOTAL'!T456</f>
        <v>0</v>
      </c>
      <c r="N361" s="70">
        <f>'RESUMEN TOTAL'!U456</f>
        <v>0</v>
      </c>
      <c r="O361" s="70">
        <f>'RESUMEN TOTAL'!V456</f>
        <v>0</v>
      </c>
      <c r="P361" s="70">
        <f>'RESUMEN TOTAL'!W456</f>
        <v>0</v>
      </c>
      <c r="Q361" s="70">
        <f>'RESUMEN TOTAL'!X456</f>
        <v>0</v>
      </c>
      <c r="R361" s="70">
        <f>'RESUMEN TOTAL'!Y456</f>
        <v>0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>
        <f>'RESUMEN TOTAL'!P457</f>
        <v>0</v>
      </c>
      <c r="J362" s="70">
        <f>'RESUMEN TOTAL'!Q457</f>
        <v>0</v>
      </c>
      <c r="K362" s="70">
        <f>'RESUMEN TOTAL'!R457</f>
        <v>0</v>
      </c>
      <c r="L362" s="70">
        <f>'RESUMEN TOTAL'!S457</f>
        <v>0</v>
      </c>
      <c r="M362" s="70">
        <f>'RESUMEN TOTAL'!T457</f>
        <v>0</v>
      </c>
      <c r="N362" s="70">
        <f>'RESUMEN TOTAL'!U457</f>
        <v>0</v>
      </c>
      <c r="O362" s="70">
        <f>'RESUMEN TOTAL'!V457</f>
        <v>0</v>
      </c>
      <c r="P362" s="70">
        <f>'RESUMEN TOTAL'!W457</f>
        <v>0</v>
      </c>
      <c r="Q362" s="70">
        <f>'RESUMEN TOTAL'!X457</f>
        <v>0</v>
      </c>
      <c r="R362" s="70">
        <f>'RESUMEN TOTAL'!Y457</f>
        <v>0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>
        <f>'RESUMEN TOTAL'!P458</f>
        <v>0</v>
      </c>
      <c r="J363" s="70">
        <f>'RESUMEN TOTAL'!Q458</f>
        <v>0</v>
      </c>
      <c r="K363" s="70">
        <f>'RESUMEN TOTAL'!R458</f>
        <v>0</v>
      </c>
      <c r="L363" s="70">
        <f>'RESUMEN TOTAL'!S458</f>
        <v>0</v>
      </c>
      <c r="M363" s="70">
        <f>'RESUMEN TOTAL'!T458</f>
        <v>0</v>
      </c>
      <c r="N363" s="70">
        <f>'RESUMEN TOTAL'!U458</f>
        <v>0</v>
      </c>
      <c r="O363" s="70">
        <f>'RESUMEN TOTAL'!V458</f>
        <v>0</v>
      </c>
      <c r="P363" s="70">
        <f>'RESUMEN TOTAL'!W458</f>
        <v>0</v>
      </c>
      <c r="Q363" s="70">
        <f>'RESUMEN TOTAL'!X458</f>
        <v>0</v>
      </c>
      <c r="R363" s="70">
        <f>'RESUMEN TOTAL'!Y458</f>
        <v>0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>
        <f>'RESUMEN TOTAL'!R481</f>
        <v>0</v>
      </c>
      <c r="L378" s="70">
        <f>'RESUMEN TOTAL'!S481</f>
        <v>0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>
        <f>'RESUMEN TOTAL'!R482</f>
        <v>0</v>
      </c>
      <c r="L379" s="70">
        <f>'RESUMEN TOTAL'!S482</f>
        <v>0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>
        <f>'RESUMEN TOTAL'!R483</f>
        <v>0</v>
      </c>
      <c r="L380" s="70">
        <f>'RESUMEN TOTAL'!S483</f>
        <v>0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>
        <f>'RESUMEN TOTAL'!R484</f>
        <v>0</v>
      </c>
      <c r="L381" s="70">
        <f>'RESUMEN TOTAL'!S484</f>
        <v>0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>
        <f>'RESUMEN TOTAL'!R485</f>
        <v>0</v>
      </c>
      <c r="L382" s="70">
        <f>'RESUMEN TOTAL'!S485</f>
        <v>0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>
        <f>'RESUMEN TOTAL'!P510</f>
        <v>0</v>
      </c>
      <c r="J407" s="70">
        <f>'RESUMEN TOTAL'!Q510</f>
        <v>0</v>
      </c>
      <c r="K407" s="70">
        <f>'RESUMEN TOTAL'!R510</f>
        <v>0</v>
      </c>
      <c r="L407" s="70">
        <f>'RESUMEN TOTAL'!S510</f>
        <v>0</v>
      </c>
      <c r="M407" s="70">
        <f>'RESUMEN TOTAL'!T510</f>
        <v>0</v>
      </c>
      <c r="N407" s="70">
        <f>'RESUMEN TOTAL'!U510</f>
        <v>0</v>
      </c>
      <c r="O407" s="70">
        <f>'RESUMEN TOTAL'!V510</f>
        <v>0</v>
      </c>
      <c r="P407" s="70">
        <f>'RESUMEN TOTAL'!W510</f>
        <v>0</v>
      </c>
      <c r="Q407" s="70">
        <f>'RESUMEN TOTAL'!X510</f>
        <v>0</v>
      </c>
      <c r="R407" s="70">
        <f>'RESUMEN TOTAL'!Y510</f>
        <v>0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>
        <f>'RESUMEN TOTAL'!P520</f>
        <v>0</v>
      </c>
      <c r="J417" s="70">
        <f>'RESUMEN TOTAL'!Q520</f>
        <v>0</v>
      </c>
      <c r="K417" s="70">
        <f>'RESUMEN TOTAL'!R520</f>
        <v>0</v>
      </c>
      <c r="L417" s="70">
        <f>'RESUMEN TOTAL'!S520</f>
        <v>0</v>
      </c>
      <c r="M417" s="70">
        <f>'RESUMEN TOTAL'!T520</f>
        <v>0</v>
      </c>
      <c r="N417" s="70">
        <f>'RESUMEN TOTAL'!U520</f>
        <v>0</v>
      </c>
      <c r="O417" s="70">
        <f>'RESUMEN TOTAL'!V520</f>
        <v>0</v>
      </c>
      <c r="P417" s="70">
        <f>'RESUMEN TOTAL'!W520</f>
        <v>0</v>
      </c>
      <c r="Q417" s="70">
        <f>'RESUMEN TOTAL'!X520</f>
        <v>0</v>
      </c>
      <c r="R417" s="70">
        <f>'RESUMEN TOTAL'!Y520</f>
        <v>0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>
        <f>'RESUMEN TOTAL'!X539</f>
        <v>0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>
        <f>'RESUMEN TOTAL'!X542</f>
        <v>0</v>
      </c>
      <c r="R432" s="70">
        <f>'RESUMEN TOTAL'!Y542</f>
        <v>0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>
        <f>'RESUMEN TOTAL'!X543</f>
        <v>0</v>
      </c>
      <c r="R433" s="70">
        <f>'RESUMEN TOTAL'!Y543</f>
        <v>0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>
        <f>'RESUMEN TOTAL'!X544</f>
        <v>0</v>
      </c>
      <c r="R434" s="70">
        <f>'RESUMEN TOTAL'!Y544</f>
        <v>0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>
        <f>'RESUMEN TOTAL'!X545</f>
        <v>0</v>
      </c>
      <c r="R435" s="70">
        <f>'RESUMEN TOTAL'!Y545</f>
        <v>0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>
        <f>'RESUMEN TOTAL'!P549</f>
        <v>0</v>
      </c>
      <c r="J436" s="70">
        <f>'RESUMEN TOTAL'!Q549</f>
        <v>0</v>
      </c>
      <c r="K436" s="70">
        <f>'RESUMEN TOTAL'!R549</f>
        <v>0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>
        <f>'RESUMEN TOTAL'!X549</f>
        <v>0</v>
      </c>
      <c r="R436" s="70">
        <f>'RESUMEN TOTAL'!Y549</f>
        <v>0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>
        <f>'RESUMEN TOTAL'!P550</f>
        <v>0</v>
      </c>
      <c r="J437" s="70">
        <f>'RESUMEN TOTAL'!Q550</f>
        <v>0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>
        <f>'RESUMEN TOTAL'!P551</f>
        <v>0</v>
      </c>
      <c r="J438" s="70">
        <f>'RESUMEN TOTAL'!Q551</f>
        <v>0</v>
      </c>
      <c r="K438" s="70">
        <f>'RESUMEN TOTAL'!R551</f>
        <v>0</v>
      </c>
      <c r="L438" s="70">
        <f>'RESUMEN TOTAL'!S551</f>
        <v>0</v>
      </c>
      <c r="M438" s="70">
        <f>'RESUMEN TOTAL'!T551</f>
        <v>0</v>
      </c>
      <c r="N438" s="70">
        <f>'RESUMEN TOTAL'!U551</f>
        <v>0</v>
      </c>
      <c r="O438" s="70">
        <f>'RESUMEN TOTAL'!V551</f>
        <v>0</v>
      </c>
      <c r="P438" s="70">
        <f>'RESUMEN TOTAL'!W551</f>
        <v>0</v>
      </c>
      <c r="Q438" s="70">
        <f>'RESUMEN TOTAL'!X551</f>
        <v>0</v>
      </c>
      <c r="R438" s="70">
        <f>'RESUMEN TOTAL'!Y551</f>
        <v>0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>
        <f>'RESUMEN TOTAL'!P552</f>
        <v>0</v>
      </c>
      <c r="J439" s="70">
        <f>'RESUMEN TOTAL'!Q552</f>
        <v>0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>
        <f>'RESUMEN TOTAL'!P559</f>
        <v>0</v>
      </c>
      <c r="J445" s="70">
        <f>'RESUMEN TOTAL'!Q559</f>
        <v>0</v>
      </c>
      <c r="K445" s="70">
        <f>'RESUMEN TOTAL'!R559</f>
        <v>0</v>
      </c>
      <c r="L445" s="70">
        <f>'RESUMEN TOTAL'!S559</f>
        <v>0</v>
      </c>
      <c r="M445" s="70">
        <f>'RESUMEN TOTAL'!T559</f>
        <v>0</v>
      </c>
      <c r="N445" s="70">
        <f>'RESUMEN TOTAL'!U559</f>
        <v>0</v>
      </c>
      <c r="O445" s="70">
        <f>'RESUMEN TOTAL'!V559</f>
        <v>0</v>
      </c>
      <c r="P445" s="70">
        <f>'RESUMEN TOTAL'!W559</f>
        <v>0</v>
      </c>
      <c r="Q445" s="70">
        <f>'RESUMEN TOTAL'!X559</f>
        <v>0</v>
      </c>
      <c r="R445" s="70">
        <f>'RESUMEN TOTAL'!Y559</f>
        <v>0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>
        <f>'RESUMEN TOTAL'!X564</f>
        <v>0</v>
      </c>
      <c r="R450" s="70">
        <f>'RESUMEN TOTAL'!Y564</f>
        <v>0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>
        <f>'RESUMEN TOTAL'!P577</f>
        <v>0</v>
      </c>
      <c r="J460" s="70">
        <f>'RESUMEN TOTAL'!Q577</f>
        <v>0</v>
      </c>
      <c r="K460" s="70">
        <f>'RESUMEN TOTAL'!R577</f>
        <v>0</v>
      </c>
      <c r="L460" s="70">
        <f>'RESUMEN TOTAL'!S577</f>
        <v>0</v>
      </c>
      <c r="M460" s="70">
        <f>'RESUMEN TOTAL'!T577</f>
        <v>0</v>
      </c>
      <c r="N460" s="70">
        <f>'RESUMEN TOTAL'!U577</f>
        <v>0</v>
      </c>
      <c r="O460" s="70">
        <f>'RESUMEN TOTAL'!V577</f>
        <v>0</v>
      </c>
      <c r="P460" s="70">
        <f>'RESUMEN TOTAL'!W577</f>
        <v>0</v>
      </c>
      <c r="Q460" s="70">
        <f>'RESUMEN TOTAL'!X577</f>
        <v>0</v>
      </c>
      <c r="R460" s="70">
        <f>'RESUMEN TOTAL'!Y577</f>
        <v>0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AF7" sqref="AF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50</v>
      </c>
      <c r="H3" s="46">
        <v>0</v>
      </c>
      <c r="I3" s="46">
        <v>0</v>
      </c>
      <c r="J3" s="46">
        <f>COUNTIFS('RESUMEN TOTAL'!Q8:Q689,"=APAGADO",'RESUMEN TOTAL'!C8:C689,"=BONOMO")</f>
        <v>0</v>
      </c>
      <c r="K3" s="46">
        <f>COUNTIFS('RESUMEN TOTAL'!R8:R689,"=APAGADO",'RESUMEN TOTAL'!C8:C689,"=BONOMO")</f>
        <v>0</v>
      </c>
      <c r="L3" s="46">
        <v>0</v>
      </c>
      <c r="M3" s="46">
        <v>0</v>
      </c>
      <c r="N3" s="46">
        <f>COUNTIFS('RESUMEN TOTAL'!U8:U689,"=APAGADO",'RESUMEN TOTAL'!C8:C689,"=BONOMO")</f>
        <v>0</v>
      </c>
      <c r="O3" s="46">
        <f>COUNTIFS('RESUMEN TOTAL'!V8:V689,"=APAGADO",'RESUMEN TOTAL'!C8:C689,"=BONOMO")</f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0</v>
      </c>
      <c r="R3" s="46">
        <f>COUNTIFS('RESUMEN TOTAL'!Y8:Y689,"=APAGADO",'RESUMEN TOTAL'!C8:C689,"=BONOMO")</f>
        <v>0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61</v>
      </c>
      <c r="G5" s="46">
        <f>COUNTIFS('RESUMEN TOTAL'!N8:N689,"=APAGADO",'RESUMEN TOTAL'!C8:C689,"=COSEIDI")</f>
        <v>62</v>
      </c>
      <c r="H5" s="46">
        <v>0</v>
      </c>
      <c r="I5" s="46">
        <f>COUNTIFS('RESUMEN TOTAL'!P10:P691,"=APAGADO",'RESUMEN TOTAL'!C10:C691,"=COSEIDI")</f>
        <v>0</v>
      </c>
      <c r="J5" s="46">
        <f>COUNTIFS('RESUMEN TOTAL'!Q10:Q691,"=APAGADO",'RESUMEN TOTAL'!C10:C691,"=COSEIDI")</f>
        <v>0</v>
      </c>
      <c r="K5" s="46">
        <f>COUNTIFS('RESUMEN TOTAL'!R10:R691,"=APAGADO",'RESUMEN TOTAL'!C10:C691,"=COSEIDI")</f>
        <v>0</v>
      </c>
      <c r="L5" s="46">
        <f>COUNTIFS('RESUMEN TOTAL'!S10:S691,"=APAGADO",'RESUMEN TOTAL'!C10:C691,"=COSEIDI")</f>
        <v>0</v>
      </c>
      <c r="M5" s="46">
        <v>0</v>
      </c>
      <c r="N5" s="46">
        <f>COUNTIFS('RESUMEN TOTAL'!U10:U691,"=APAGADO",'RESUMEN TOTAL'!C10:C691,"=COSEIDI")</f>
        <v>0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0</v>
      </c>
      <c r="R5" s="46">
        <f>COUNTIFS('RESUMEN TOTAL'!Y10:Y691,"=APAGADO",'RESUMEN TOTAL'!C10:C691,"=COSEIDI")</f>
        <v>0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0.22962962962962963</v>
      </c>
      <c r="H6" s="50">
        <v>0</v>
      </c>
      <c r="I6" s="50">
        <v>0</v>
      </c>
      <c r="J6" s="50">
        <v>0</v>
      </c>
      <c r="K6" s="50">
        <f t="shared" ref="K6:AH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2026-01-05T10:31:04Z</dcterms:modified>
</cp:coreProperties>
</file>