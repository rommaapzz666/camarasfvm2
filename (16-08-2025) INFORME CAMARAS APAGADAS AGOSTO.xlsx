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7D2431A0-7974-4EFD-BF62-8944039497D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9" i="2" l="1"/>
  <c r="K150" i="2"/>
  <c r="J150" i="2"/>
  <c r="J149" i="2"/>
  <c r="I150" i="2"/>
  <c r="I149" i="2"/>
  <c r="J367" i="2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<sst xmlns="http://schemas.openxmlformats.org/spreadsheetml/2006/main" count="5203" uniqueCount="1567">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</sst>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tabSelected="1" zoomScale="53" zoomScaleNormal="53" workbookViewId="0">
      <pane xSplit="11" ySplit="7" topLeftCell="Z253" activePane="bottomRight" state="frozen"/>
      <selection pane="topRight" activeCell="M1" sqref="M1"/>
      <selection pane="bottomLeft" activeCell="A5" sqref="A5"/>
      <selection pane="bottomRight" activeCell="AA285" sqref="AA28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0.13253012048192772</v>
      </c>
      <c r="AA1" s="3">
        <f t="shared" si="1"/>
        <v>0.15577889447236182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71</v>
      </c>
      <c r="Z4" s="10">
        <f>COUNTIFS(Z8:Z619, "=APAGADO",F8:F619,"=Fibra Optica")</f>
        <v>50</v>
      </c>
      <c r="AA4" s="10">
        <f>COUNTIFS(AA8:AA619, "=APAGADO",F8:F619,"=Fibra Optica")</f>
        <v>64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21</v>
      </c>
      <c r="Z5" s="134">
        <f>COUNTIFS(Z8:Z619, "=APAGADO",F8:F619,"=RADIO")</f>
        <v>15</v>
      </c>
      <c r="AA5" s="134">
        <f>COUNTIFS(AA8:AA619, "=APAGADO",F8:F619,"=RADIO")</f>
        <v>15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9</v>
      </c>
      <c r="Z6" s="10">
        <f>COUNTIFS(Z8:Z619, "=APAGADO",F8:F619,"=PTO A FO")</f>
        <v>8</v>
      </c>
      <c r="AA6" s="10">
        <f>COUNTIFS(AA8:AA619, "=APAGADO",F8:F619,"=PTO A FO")</f>
        <v>8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14</v>
      </c>
      <c r="J12" s="31">
        <f t="shared" si="5"/>
        <v>14</v>
      </c>
      <c r="K12" s="32">
        <f t="shared" si="6"/>
        <v>0.5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13</v>
      </c>
      <c r="J17" s="31">
        <f t="shared" si="5"/>
        <v>15</v>
      </c>
      <c r="K17" s="32">
        <f t="shared" si="6"/>
        <v>0.4642857142857143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13</v>
      </c>
      <c r="J18" s="31">
        <f t="shared" si="5"/>
        <v>15</v>
      </c>
      <c r="K18" s="32">
        <f t="shared" si="6"/>
        <v>0.4642857142857143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25</v>
      </c>
      <c r="J23" s="31">
        <f t="shared" si="5"/>
        <v>3</v>
      </c>
      <c r="K23" s="32">
        <f t="shared" si="6"/>
        <v>0.8928571428571429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 t="s">
        <v>1530</v>
      </c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25</v>
      </c>
      <c r="J24" s="31">
        <f t="shared" si="5"/>
        <v>3</v>
      </c>
      <c r="K24" s="32">
        <f t="shared" si="6"/>
        <v>0.8928571428571429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25</v>
      </c>
      <c r="J25" s="31">
        <f t="shared" si="5"/>
        <v>3</v>
      </c>
      <c r="K25" s="32">
        <f t="shared" si="6"/>
        <v>0.8928571428571429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25</v>
      </c>
      <c r="J26" s="31">
        <f t="shared" si="5"/>
        <v>3</v>
      </c>
      <c r="K26" s="32">
        <f t="shared" si="6"/>
        <v>0.8928571428571429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27</v>
      </c>
      <c r="J27" s="31">
        <f t="shared" si="5"/>
        <v>1</v>
      </c>
      <c r="K27" s="32">
        <f t="shared" si="6"/>
        <v>0.9642857142857143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13</v>
      </c>
      <c r="J30" s="138">
        <f t="shared" si="5"/>
        <v>15</v>
      </c>
      <c r="K30" s="139">
        <f t="shared" si="6"/>
        <v>0.4642857142857143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 t="s">
        <v>1530</v>
      </c>
      <c r="Z30" s="140" t="s">
        <v>1530</v>
      </c>
      <c r="AA30" s="140" t="s">
        <v>1530</v>
      </c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13</v>
      </c>
      <c r="J39" s="31">
        <f t="shared" si="5"/>
        <v>15</v>
      </c>
      <c r="K39" s="32">
        <f t="shared" si="6"/>
        <v>0.4642857142857143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 t="s">
        <v>1530</v>
      </c>
      <c r="Z39" s="70" t="s">
        <v>1530</v>
      </c>
      <c r="AA39" s="70" t="s">
        <v>1530</v>
      </c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13</v>
      </c>
      <c r="J40" s="31">
        <f t="shared" si="5"/>
        <v>15</v>
      </c>
      <c r="K40" s="32">
        <f t="shared" si="6"/>
        <v>0.4642857142857143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24</v>
      </c>
      <c r="J54" s="31">
        <f t="shared" si="5"/>
        <v>4</v>
      </c>
      <c r="K54" s="32">
        <f t="shared" si="6"/>
        <v>0.8571428571428571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 t="s">
        <v>1530</v>
      </c>
      <c r="Z54" s="70" t="s">
        <v>1530</v>
      </c>
      <c r="AA54" s="70" t="s">
        <v>1530</v>
      </c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13</v>
      </c>
      <c r="J55" s="31">
        <f t="shared" si="5"/>
        <v>15</v>
      </c>
      <c r="K55" s="32">
        <f t="shared" si="6"/>
        <v>0.4642857142857143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 t="s">
        <v>1530</v>
      </c>
      <c r="Z55" s="70" t="s">
        <v>1530</v>
      </c>
      <c r="AA55" s="70" t="s">
        <v>1530</v>
      </c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18</v>
      </c>
      <c r="J56" s="31">
        <f t="shared" si="5"/>
        <v>10</v>
      </c>
      <c r="K56" s="32">
        <f t="shared" si="6"/>
        <v>0.6428571428571429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13</v>
      </c>
      <c r="J58" s="31">
        <f t="shared" si="5"/>
        <v>15</v>
      </c>
      <c r="K58" s="32">
        <f t="shared" si="6"/>
        <v>0.4642857142857143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 t="s">
        <v>1530</v>
      </c>
      <c r="Z58" s="70" t="s">
        <v>1530</v>
      </c>
      <c r="AA58" s="70" t="s">
        <v>1530</v>
      </c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23</v>
      </c>
      <c r="J85" s="31">
        <f t="shared" si="8"/>
        <v>5</v>
      </c>
      <c r="K85" s="32">
        <f t="shared" si="9"/>
        <v>0.8214285714285714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 t="s">
        <v>1530</v>
      </c>
      <c r="Z85" s="70" t="s">
        <v>1530</v>
      </c>
      <c r="AA85" s="70" t="s">
        <v>1530</v>
      </c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23</v>
      </c>
      <c r="J94" s="31">
        <f t="shared" si="8"/>
        <v>5</v>
      </c>
      <c r="K94" s="32">
        <f t="shared" si="9"/>
        <v>0.8214285714285714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 t="s">
        <v>1530</v>
      </c>
      <c r="Z94" s="70" t="s">
        <v>1530</v>
      </c>
      <c r="AA94" s="70" t="s">
        <v>1530</v>
      </c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22</v>
      </c>
      <c r="J105" s="31">
        <f t="shared" si="8"/>
        <v>6</v>
      </c>
      <c r="K105" s="32">
        <f t="shared" si="9"/>
        <v>0.7857142857142857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 t="s">
        <v>1530</v>
      </c>
      <c r="Z105" s="70" t="s">
        <v>1530</v>
      </c>
      <c r="AA105" s="70" t="s">
        <v>1530</v>
      </c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22</v>
      </c>
      <c r="J106" s="31">
        <f t="shared" si="8"/>
        <v>6</v>
      </c>
      <c r="K106" s="32">
        <f t="shared" si="9"/>
        <v>0.7857142857142857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23</v>
      </c>
      <c r="J107" s="31">
        <f t="shared" si="8"/>
        <v>5</v>
      </c>
      <c r="K107" s="32">
        <f t="shared" si="9"/>
        <v>0.8214285714285714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 t="s">
        <v>1530</v>
      </c>
      <c r="Z107" s="70" t="s">
        <v>1530</v>
      </c>
      <c r="AA107" s="70" t="s">
        <v>1530</v>
      </c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13</v>
      </c>
      <c r="J108" s="31">
        <f t="shared" si="8"/>
        <v>15</v>
      </c>
      <c r="K108" s="32">
        <f t="shared" si="9"/>
        <v>0.4642857142857143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 t="s">
        <v>1530</v>
      </c>
      <c r="Z109" s="70" t="s">
        <v>1530</v>
      </c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13</v>
      </c>
      <c r="J129" s="31">
        <f t="shared" si="8"/>
        <v>15</v>
      </c>
      <c r="K129" s="32">
        <f t="shared" si="9"/>
        <v>0.4642857142857143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 t="s">
        <v>1530</v>
      </c>
      <c r="Z129" s="70" t="s">
        <v>1530</v>
      </c>
      <c r="AA129" s="70" t="s">
        <v>1530</v>
      </c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23</v>
      </c>
      <c r="J131" s="31">
        <f t="shared" si="8"/>
        <v>5</v>
      </c>
      <c r="K131" s="32">
        <f t="shared" si="9"/>
        <v>0.8214285714285714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 t="s">
        <v>1530</v>
      </c>
      <c r="Z131" s="70" t="s">
        <v>1530</v>
      </c>
      <c r="AA131" s="70" t="s">
        <v>1530</v>
      </c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13</v>
      </c>
      <c r="J136" s="145">
        <f t="shared" si="8"/>
        <v>15</v>
      </c>
      <c r="K136" s="146">
        <f t="shared" si="9"/>
        <v>0.4642857142857143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 t="s">
        <v>1530</v>
      </c>
      <c r="Z136" s="97" t="s">
        <v>1530</v>
      </c>
      <c r="AA136" s="97" t="s">
        <v>1530</v>
      </c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13</v>
      </c>
      <c r="J139" s="31">
        <f t="shared" si="8"/>
        <v>15</v>
      </c>
      <c r="K139" s="32">
        <f t="shared" si="9"/>
        <v>0.4642857142857143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 t="s">
        <v>1530</v>
      </c>
      <c r="Z139" s="70" t="s">
        <v>1530</v>
      </c>
      <c r="AA139" s="70" t="s">
        <v>1530</v>
      </c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13</v>
      </c>
      <c r="J140" s="31">
        <f t="shared" si="8"/>
        <v>15</v>
      </c>
      <c r="K140" s="32">
        <f t="shared" si="9"/>
        <v>0.4642857142857143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 t="s">
        <v>1530</v>
      </c>
      <c r="Z140" s="70" t="s">
        <v>1530</v>
      </c>
      <c r="AA140" s="70" t="s">
        <v>1530</v>
      </c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23</v>
      </c>
      <c r="J145" s="31">
        <f t="shared" si="11"/>
        <v>5</v>
      </c>
      <c r="K145" s="32">
        <f t="shared" si="12"/>
        <v>0.8214285714285714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 t="s">
        <v>1530</v>
      </c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23</v>
      </c>
      <c r="J146" s="31">
        <f t="shared" si="11"/>
        <v>5</v>
      </c>
      <c r="K146" s="32">
        <f t="shared" si="12"/>
        <v>0.8214285714285714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 t="s">
        <v>1530</v>
      </c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27</v>
      </c>
      <c r="J147" s="31">
        <f t="shared" si="11"/>
        <v>1</v>
      </c>
      <c r="K147" s="32">
        <f t="shared" si="12"/>
        <v>0.9642857142857143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 t="s">
        <v>1530</v>
      </c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23</v>
      </c>
      <c r="J148" s="31">
        <f t="shared" si="11"/>
        <v>5</v>
      </c>
      <c r="K148" s="32">
        <f t="shared" si="12"/>
        <v>0.8214285714285714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 t="s">
        <v>1530</v>
      </c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>
        <f t="shared" si="10"/>
        <v>27</v>
      </c>
      <c r="J149" s="31">
        <f t="shared" si="11"/>
        <v>1</v>
      </c>
      <c r="K149" s="32">
        <f t="shared" si="12"/>
        <v>0.9642857142857143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 t="s">
        <v>1530</v>
      </c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>
        <f t="shared" si="10"/>
        <v>27</v>
      </c>
      <c r="J150" s="31">
        <f t="shared" si="11"/>
        <v>1</v>
      </c>
      <c r="K150" s="32">
        <f t="shared" si="12"/>
        <v>0.9642857142857143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 t="s">
        <v>1530</v>
      </c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13</v>
      </c>
      <c r="J171" s="142">
        <f t="shared" si="11"/>
        <v>15</v>
      </c>
      <c r="K171" s="143">
        <f t="shared" si="12"/>
        <v>0.4642857142857143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 t="s">
        <v>1530</v>
      </c>
      <c r="Z171" s="144" t="s">
        <v>1530</v>
      </c>
      <c r="AA171" s="144" t="s">
        <v>1530</v>
      </c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16</v>
      </c>
      <c r="J177" s="31">
        <f t="shared" si="11"/>
        <v>12</v>
      </c>
      <c r="K177" s="32">
        <f t="shared" si="12"/>
        <v>0.5714285714285714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 t="s">
        <v>1530</v>
      </c>
      <c r="Z177" s="70" t="s">
        <v>1530</v>
      </c>
      <c r="AA177" s="70" t="s">
        <v>1530</v>
      </c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13</v>
      </c>
      <c r="J178" s="31">
        <f t="shared" si="11"/>
        <v>15</v>
      </c>
      <c r="K178" s="32">
        <f t="shared" si="12"/>
        <v>0.4642857142857143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 t="s">
        <v>1530</v>
      </c>
      <c r="Z178" s="70" t="s">
        <v>1530</v>
      </c>
      <c r="AA178" s="70" t="s">
        <v>1530</v>
      </c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23</v>
      </c>
      <c r="J190" s="31">
        <f t="shared" si="11"/>
        <v>5</v>
      </c>
      <c r="K190" s="32">
        <f t="shared" si="12"/>
        <v>0.8214285714285714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 t="s">
        <v>1530</v>
      </c>
      <c r="Z190" s="70" t="s">
        <v>1530</v>
      </c>
      <c r="AA190" s="70" t="s">
        <v>1530</v>
      </c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13</v>
      </c>
      <c r="J220" s="31">
        <f t="shared" si="14"/>
        <v>15</v>
      </c>
      <c r="K220" s="32">
        <f t="shared" si="15"/>
        <v>0.4642857142857143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 t="s">
        <v>1530</v>
      </c>
      <c r="Z220" s="70" t="s">
        <v>1530</v>
      </c>
      <c r="AA220" s="70" t="s">
        <v>1530</v>
      </c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27</v>
      </c>
      <c r="J221" s="31">
        <f t="shared" si="14"/>
        <v>1</v>
      </c>
      <c r="K221" s="32">
        <f t="shared" si="15"/>
        <v>0.9642857142857143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26</v>
      </c>
      <c r="J222" s="31">
        <f t="shared" si="14"/>
        <v>2</v>
      </c>
      <c r="K222" s="32">
        <f t="shared" si="15"/>
        <v>0.9285714285714286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 t="s">
        <v>1530</v>
      </c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27</v>
      </c>
      <c r="J223" s="31">
        <f t="shared" si="14"/>
        <v>1</v>
      </c>
      <c r="K223" s="32">
        <f t="shared" si="15"/>
        <v>0.9642857142857143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 t="s">
        <v>1530</v>
      </c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27</v>
      </c>
      <c r="J224" s="31">
        <f t="shared" si="14"/>
        <v>1</v>
      </c>
      <c r="K224" s="32">
        <f t="shared" si="15"/>
        <v>0.9642857142857143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 t="s">
        <v>1530</v>
      </c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 t="s">
        <v>1530</v>
      </c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13</v>
      </c>
      <c r="J228" s="31">
        <f t="shared" si="14"/>
        <v>15</v>
      </c>
      <c r="K228" s="32">
        <f t="shared" si="15"/>
        <v>0.4642857142857143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 t="s">
        <v>1530</v>
      </c>
      <c r="Z228" s="70" t="s">
        <v>1530</v>
      </c>
      <c r="AA228" s="70" t="s">
        <v>1530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14</v>
      </c>
      <c r="J231" s="31">
        <f t="shared" si="14"/>
        <v>14</v>
      </c>
      <c r="K231" s="32">
        <f t="shared" si="15"/>
        <v>0.5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 t="s">
        <v>1530</v>
      </c>
      <c r="Z231" s="70" t="s">
        <v>1530</v>
      </c>
      <c r="AA231" s="70" t="s">
        <v>1530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13</v>
      </c>
      <c r="J232" s="31">
        <f t="shared" si="14"/>
        <v>15</v>
      </c>
      <c r="K232" s="32">
        <f t="shared" si="15"/>
        <v>0.4642857142857143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 t="s">
        <v>1530</v>
      </c>
      <c r="Z232" s="70" t="s">
        <v>1530</v>
      </c>
      <c r="AA232" s="70" t="s">
        <v>1530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15</v>
      </c>
      <c r="J249" s="31">
        <f t="shared" si="14"/>
        <v>13</v>
      </c>
      <c r="K249" s="32">
        <f t="shared" si="15"/>
        <v>0.5357142857142857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 t="s">
        <v>1530</v>
      </c>
      <c r="Z249" s="70" t="s">
        <v>1530</v>
      </c>
      <c r="AA249" s="70" t="s">
        <v>1530</v>
      </c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27</v>
      </c>
      <c r="J254" s="31">
        <f t="shared" si="14"/>
        <v>1</v>
      </c>
      <c r="K254" s="32">
        <f t="shared" si="15"/>
        <v>0.9642857142857143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 t="s">
        <v>1530</v>
      </c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21</v>
      </c>
      <c r="J265" s="31">
        <f t="shared" si="14"/>
        <v>7</v>
      </c>
      <c r="K265" s="32">
        <f t="shared" si="15"/>
        <v>0.75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 t="s">
        <v>1530</v>
      </c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14</v>
      </c>
      <c r="J267" s="31">
        <f t="shared" si="14"/>
        <v>14</v>
      </c>
      <c r="K267" s="32">
        <f t="shared" si="15"/>
        <v>0.5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 t="s">
        <v>1530</v>
      </c>
      <c r="Z267" s="70" t="s">
        <v>1530</v>
      </c>
      <c r="AA267" s="70" t="s">
        <v>1530</v>
      </c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13</v>
      </c>
      <c r="J268" s="31">
        <f t="shared" si="14"/>
        <v>15</v>
      </c>
      <c r="K268" s="32">
        <f t="shared" si="15"/>
        <v>0.4642857142857143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 t="s">
        <v>1530</v>
      </c>
      <c r="Z268" s="70" t="s">
        <v>1530</v>
      </c>
      <c r="AA268" s="70" t="s">
        <v>1530</v>
      </c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27</v>
      </c>
      <c r="J269" s="31">
        <f t="shared" si="14"/>
        <v>1</v>
      </c>
      <c r="K269" s="32">
        <f t="shared" si="15"/>
        <v>0.9642857142857143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 t="s">
        <v>1530</v>
      </c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26</v>
      </c>
      <c r="J271" s="31">
        <f t="shared" si="14"/>
        <v>2</v>
      </c>
      <c r="K271" s="32">
        <f t="shared" si="15"/>
        <v>0.9285714285714286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26</v>
      </c>
      <c r="J272" s="31">
        <f t="shared" si="14"/>
        <v>2</v>
      </c>
      <c r="K272" s="32">
        <f t="shared" si="15"/>
        <v>0.9285714285714286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 t="s">
        <v>1530</v>
      </c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26</v>
      </c>
      <c r="J273" s="31">
        <f t="shared" si="14"/>
        <v>2</v>
      </c>
      <c r="K273" s="32">
        <f t="shared" si="15"/>
        <v>0.9285714285714286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 t="s">
        <v>1530</v>
      </c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26</v>
      </c>
      <c r="J278" s="31">
        <f t="shared" si="14"/>
        <v>2</v>
      </c>
      <c r="K278" s="32">
        <f t="shared" si="15"/>
        <v>0.9285714285714286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 t="s">
        <v>1530</v>
      </c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13</v>
      </c>
      <c r="J279" s="142">
        <f t="shared" si="14"/>
        <v>15</v>
      </c>
      <c r="K279" s="143">
        <f t="shared" si="15"/>
        <v>0.4642857142857143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 t="s">
        <v>1530</v>
      </c>
      <c r="Z279" s="144" t="s">
        <v>1530</v>
      </c>
      <c r="AA279" s="144" t="s">
        <v>1530</v>
      </c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25</v>
      </c>
      <c r="J280" s="31">
        <f t="shared" ref="J280:J343" si="17">COUNTIF(L280:AM280,"APAGADO")</f>
        <v>3</v>
      </c>
      <c r="K280" s="32">
        <f t="shared" ref="K280:K343" si="18">(I280)/(J280+I280)</f>
        <v>0.8928571428571429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 t="s">
        <v>1530</v>
      </c>
      <c r="Z280" s="70" t="s">
        <v>1530</v>
      </c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27</v>
      </c>
      <c r="J281" s="31">
        <f t="shared" si="17"/>
        <v>1</v>
      </c>
      <c r="K281" s="32">
        <f t="shared" si="18"/>
        <v>0.9642857142857143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 t="s">
        <v>1530</v>
      </c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26</v>
      </c>
      <c r="J282" s="31">
        <f t="shared" si="17"/>
        <v>2</v>
      </c>
      <c r="K282" s="32">
        <f t="shared" si="18"/>
        <v>0.9285714285714286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1530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27</v>
      </c>
      <c r="J283" s="31">
        <f t="shared" si="17"/>
        <v>1</v>
      </c>
      <c r="K283" s="32">
        <f t="shared" si="18"/>
        <v>0.9642857142857143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 t="s">
        <v>1530</v>
      </c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14</v>
      </c>
      <c r="J284" s="31">
        <f t="shared" si="17"/>
        <v>14</v>
      </c>
      <c r="K284" s="32">
        <f t="shared" si="18"/>
        <v>0.5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 t="s">
        <v>1530</v>
      </c>
      <c r="AA284" s="70" t="s">
        <v>1530</v>
      </c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27</v>
      </c>
      <c r="J290" s="31">
        <f t="shared" si="17"/>
        <v>1</v>
      </c>
      <c r="K290" s="32">
        <f t="shared" si="18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 t="s">
        <v>1530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 t="s">
        <v>1530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27</v>
      </c>
      <c r="J292" s="31">
        <f t="shared" si="17"/>
        <v>1</v>
      </c>
      <c r="K292" s="32">
        <f t="shared" si="18"/>
        <v>0.9642857142857143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 t="s">
        <v>1530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 t="s">
        <v>1530</v>
      </c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 t="s">
        <v>1530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26</v>
      </c>
      <c r="J295" s="31">
        <f t="shared" si="17"/>
        <v>2</v>
      </c>
      <c r="K295" s="32">
        <f t="shared" si="18"/>
        <v>0.9285714285714286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 t="s">
        <v>1530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27</v>
      </c>
      <c r="J300" s="91">
        <f t="shared" si="17"/>
        <v>1</v>
      </c>
      <c r="K300" s="92">
        <f t="shared" si="18"/>
        <v>0.9642857142857143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 t="s">
        <v>1530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13</v>
      </c>
      <c r="J301" s="31">
        <f t="shared" si="17"/>
        <v>15</v>
      </c>
      <c r="K301" s="32">
        <f t="shared" si="18"/>
        <v>0.4642857142857143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 t="s">
        <v>1530</v>
      </c>
      <c r="Z301" s="70" t="s">
        <v>1530</v>
      </c>
      <c r="AA301" s="70" t="s">
        <v>1530</v>
      </c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1530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1530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27</v>
      </c>
      <c r="J304" s="31">
        <f t="shared" si="17"/>
        <v>1</v>
      </c>
      <c r="K304" s="32">
        <f t="shared" si="18"/>
        <v>0.9642857142857143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 t="s">
        <v>1530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 t="s">
        <v>1530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1530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13</v>
      </c>
      <c r="J307" s="31">
        <f t="shared" si="17"/>
        <v>15</v>
      </c>
      <c r="K307" s="32">
        <f t="shared" si="18"/>
        <v>0.4642857142857143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13</v>
      </c>
      <c r="J313" s="31">
        <f t="shared" si="17"/>
        <v>15</v>
      </c>
      <c r="K313" s="32">
        <f t="shared" si="18"/>
        <v>0.4642857142857143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13</v>
      </c>
      <c r="J314" s="31">
        <f t="shared" si="17"/>
        <v>15</v>
      </c>
      <c r="K314" s="32">
        <f t="shared" si="18"/>
        <v>0.4642857142857143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 t="s">
        <v>1530</v>
      </c>
      <c r="Z314" s="70" t="s">
        <v>1530</v>
      </c>
      <c r="AA314" s="70" t="s">
        <v>1530</v>
      </c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13</v>
      </c>
      <c r="J315" s="31">
        <f t="shared" si="17"/>
        <v>15</v>
      </c>
      <c r="K315" s="32">
        <f t="shared" si="18"/>
        <v>0.4642857142857143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 t="s">
        <v>1530</v>
      </c>
      <c r="Z315" s="70" t="s">
        <v>1530</v>
      </c>
      <c r="AA315" s="70" t="s">
        <v>1530</v>
      </c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 t="s">
        <v>1530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 t="s">
        <v>1530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19</v>
      </c>
      <c r="J322" s="31">
        <f t="shared" si="17"/>
        <v>9</v>
      </c>
      <c r="K322" s="32">
        <f t="shared" si="18"/>
        <v>0.6785714285714286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 t="s">
        <v>1530</v>
      </c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13</v>
      </c>
      <c r="J338" s="31">
        <f t="shared" si="17"/>
        <v>15</v>
      </c>
      <c r="K338" s="32">
        <f t="shared" si="18"/>
        <v>0.4642857142857143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 t="s">
        <v>1530</v>
      </c>
      <c r="Z338" s="70" t="s">
        <v>1530</v>
      </c>
      <c r="AA338" s="70" t="s">
        <v>1530</v>
      </c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13</v>
      </c>
      <c r="J339" s="142">
        <f t="shared" si="17"/>
        <v>15</v>
      </c>
      <c r="K339" s="143">
        <f t="shared" si="18"/>
        <v>0.4642857142857143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 t="s">
        <v>1530</v>
      </c>
      <c r="Z339" s="144" t="s">
        <v>1530</v>
      </c>
      <c r="AA339" s="144" t="s">
        <v>1530</v>
      </c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17</v>
      </c>
      <c r="J341" s="31">
        <f t="shared" si="17"/>
        <v>11</v>
      </c>
      <c r="K341" s="32">
        <f t="shared" si="18"/>
        <v>0.6071428571428571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 t="s">
        <v>1530</v>
      </c>
      <c r="Z341" s="70" t="s">
        <v>1530</v>
      </c>
      <c r="AA341" s="70" t="s">
        <v>1530</v>
      </c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17</v>
      </c>
      <c r="J342" s="31">
        <f t="shared" si="17"/>
        <v>11</v>
      </c>
      <c r="K342" s="32">
        <f t="shared" si="18"/>
        <v>0.6071428571428571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 t="s">
        <v>1530</v>
      </c>
      <c r="Z342" s="70" t="s">
        <v>1530</v>
      </c>
      <c r="AA342" s="70" t="s">
        <v>1530</v>
      </c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17</v>
      </c>
      <c r="J343" s="31">
        <f t="shared" si="17"/>
        <v>11</v>
      </c>
      <c r="K343" s="32">
        <f t="shared" si="18"/>
        <v>0.6071428571428571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 t="s">
        <v>1530</v>
      </c>
      <c r="Z343" s="70" t="s">
        <v>1530</v>
      </c>
      <c r="AA343" s="70" t="s">
        <v>1530</v>
      </c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17</v>
      </c>
      <c r="J346" s="31">
        <f t="shared" si="20"/>
        <v>11</v>
      </c>
      <c r="K346" s="32">
        <f t="shared" si="21"/>
        <v>0.6071428571428571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 t="s">
        <v>1530</v>
      </c>
      <c r="Z346" s="70" t="s">
        <v>1530</v>
      </c>
      <c r="AA346" s="70" t="s">
        <v>1530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17</v>
      </c>
      <c r="J347" s="31">
        <f t="shared" si="20"/>
        <v>11</v>
      </c>
      <c r="K347" s="32">
        <f t="shared" si="21"/>
        <v>0.6071428571428571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17</v>
      </c>
      <c r="J348" s="31">
        <f t="shared" si="20"/>
        <v>11</v>
      </c>
      <c r="K348" s="32">
        <f t="shared" si="21"/>
        <v>0.6071428571428571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 t="s">
        <v>1530</v>
      </c>
      <c r="Z348" s="70" t="s">
        <v>1530</v>
      </c>
      <c r="AA348" s="70" t="s">
        <v>1530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17</v>
      </c>
      <c r="J349" s="31">
        <f t="shared" si="20"/>
        <v>11</v>
      </c>
      <c r="K349" s="32">
        <f t="shared" si="21"/>
        <v>0.6071428571428571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 t="s">
        <v>1530</v>
      </c>
      <c r="Z349" s="70" t="s">
        <v>1530</v>
      </c>
      <c r="AA349" s="70" t="s">
        <v>1530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17</v>
      </c>
      <c r="J351" s="31">
        <f t="shared" si="20"/>
        <v>11</v>
      </c>
      <c r="K351" s="32">
        <f t="shared" si="21"/>
        <v>0.6071428571428571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22</v>
      </c>
      <c r="J362" s="31">
        <f t="shared" si="20"/>
        <v>6</v>
      </c>
      <c r="K362" s="32">
        <f t="shared" si="21"/>
        <v>0.7857142857142857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 t="s">
        <v>1530</v>
      </c>
      <c r="Z362" s="70" t="s">
        <v>1530</v>
      </c>
      <c r="AA362" s="70" t="s">
        <v>1530</v>
      </c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22</v>
      </c>
      <c r="J363" s="31">
        <f t="shared" si="20"/>
        <v>6</v>
      </c>
      <c r="K363" s="32">
        <f t="shared" si="21"/>
        <v>0.7857142857142857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 t="s">
        <v>1530</v>
      </c>
      <c r="Z363" s="70" t="s">
        <v>1530</v>
      </c>
      <c r="AA363" s="70" t="s">
        <v>1530</v>
      </c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13</v>
      </c>
      <c r="J368" s="31">
        <f t="shared" si="20"/>
        <v>15</v>
      </c>
      <c r="K368" s="32">
        <f t="shared" si="21"/>
        <v>0.4642857142857143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 t="s">
        <v>1530</v>
      </c>
      <c r="Z368" s="70" t="s">
        <v>1530</v>
      </c>
      <c r="AA368" s="70" t="s">
        <v>1530</v>
      </c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14</v>
      </c>
      <c r="J369" s="31">
        <f t="shared" si="20"/>
        <v>14</v>
      </c>
      <c r="K369" s="32">
        <f t="shared" si="21"/>
        <v>0.5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 t="s">
        <v>1530</v>
      </c>
      <c r="Z369" s="70" t="s">
        <v>1530</v>
      </c>
      <c r="AA369" s="70" t="s">
        <v>1530</v>
      </c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13</v>
      </c>
      <c r="J373" s="31">
        <f t="shared" si="20"/>
        <v>15</v>
      </c>
      <c r="K373" s="32">
        <f t="shared" si="21"/>
        <v>0.4642857142857143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 t="s">
        <v>1530</v>
      </c>
      <c r="Z373" s="70" t="s">
        <v>1530</v>
      </c>
      <c r="AA373" s="70" t="s">
        <v>1530</v>
      </c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13</v>
      </c>
      <c r="J376" s="31">
        <f t="shared" si="20"/>
        <v>15</v>
      </c>
      <c r="K376" s="32">
        <f t="shared" si="21"/>
        <v>0.4642857142857143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 t="s">
        <v>1530</v>
      </c>
      <c r="Z376" s="70" t="s">
        <v>1530</v>
      </c>
      <c r="AA376" s="70" t="s">
        <v>1530</v>
      </c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23</v>
      </c>
      <c r="J380" s="31">
        <f t="shared" si="20"/>
        <v>5</v>
      </c>
      <c r="K380" s="32">
        <f t="shared" si="21"/>
        <v>0.8214285714285714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 t="s">
        <v>1530</v>
      </c>
      <c r="Z380" s="70" t="s">
        <v>1530</v>
      </c>
      <c r="AA380" s="70" t="s">
        <v>1530</v>
      </c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23</v>
      </c>
      <c r="J381" s="31">
        <f t="shared" si="20"/>
        <v>5</v>
      </c>
      <c r="K381" s="32">
        <f t="shared" si="21"/>
        <v>0.8214285714285714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 t="s">
        <v>1530</v>
      </c>
      <c r="Z381" s="70" t="s">
        <v>1530</v>
      </c>
      <c r="AA381" s="70" t="s">
        <v>1530</v>
      </c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23</v>
      </c>
      <c r="J382" s="31">
        <f t="shared" si="20"/>
        <v>5</v>
      </c>
      <c r="K382" s="32">
        <f t="shared" si="21"/>
        <v>0.8214285714285714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23</v>
      </c>
      <c r="J383" s="31">
        <f t="shared" si="20"/>
        <v>5</v>
      </c>
      <c r="K383" s="32">
        <f t="shared" si="21"/>
        <v>0.8214285714285714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 t="s">
        <v>1530</v>
      </c>
      <c r="Z383" s="70" t="s">
        <v>1530</v>
      </c>
      <c r="AA383" s="70" t="s">
        <v>1530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22</v>
      </c>
      <c r="J384" s="31">
        <f t="shared" si="20"/>
        <v>6</v>
      </c>
      <c r="K384" s="32">
        <f t="shared" si="21"/>
        <v>0.7857142857142857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 t="s">
        <v>1530</v>
      </c>
      <c r="Z384" s="70" t="s">
        <v>1530</v>
      </c>
      <c r="AA384" s="70" t="s">
        <v>1530</v>
      </c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13</v>
      </c>
      <c r="J392" s="31">
        <f t="shared" si="20"/>
        <v>15</v>
      </c>
      <c r="K392" s="32">
        <f t="shared" si="21"/>
        <v>0.4642857142857143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14</v>
      </c>
      <c r="J393" s="31">
        <f t="shared" si="20"/>
        <v>14</v>
      </c>
      <c r="K393" s="32">
        <f t="shared" si="21"/>
        <v>0.5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13</v>
      </c>
      <c r="J398" s="31">
        <f t="shared" si="20"/>
        <v>15</v>
      </c>
      <c r="K398" s="32">
        <f t="shared" si="21"/>
        <v>0.4642857142857143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 t="s">
        <v>1530</v>
      </c>
      <c r="Z398" s="70" t="s">
        <v>1530</v>
      </c>
      <c r="AA398" s="70" t="s">
        <v>1530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14</v>
      </c>
      <c r="J404" s="31">
        <f t="shared" si="20"/>
        <v>14</v>
      </c>
      <c r="K404" s="32">
        <f t="shared" si="21"/>
        <v>0.5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13</v>
      </c>
      <c r="J407" s="31">
        <f t="shared" si="20"/>
        <v>15</v>
      </c>
      <c r="K407" s="32">
        <f t="shared" si="21"/>
        <v>0.4642857142857143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 t="s">
        <v>1530</v>
      </c>
      <c r="Z407" s="70" t="s">
        <v>1530</v>
      </c>
      <c r="AA407" s="70" t="s">
        <v>1530</v>
      </c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13</v>
      </c>
      <c r="J417" s="31">
        <f t="shared" si="23"/>
        <v>15</v>
      </c>
      <c r="K417" s="32">
        <f t="shared" si="24"/>
        <v>0.4642857142857143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 t="s">
        <v>1530</v>
      </c>
      <c r="Z417" s="70" t="s">
        <v>1530</v>
      </c>
      <c r="AA417" s="70" t="s">
        <v>1530</v>
      </c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13</v>
      </c>
      <c r="J418" s="31">
        <f t="shared" si="23"/>
        <v>15</v>
      </c>
      <c r="K418" s="32">
        <f t="shared" si="24"/>
        <v>0.4642857142857143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25</v>
      </c>
      <c r="J429" s="31">
        <f t="shared" si="23"/>
        <v>3</v>
      </c>
      <c r="K429" s="32">
        <f t="shared" si="24"/>
        <v>0.8928571428571429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 t="s">
        <v>1530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17</v>
      </c>
      <c r="J467" s="31">
        <f t="shared" si="23"/>
        <v>11</v>
      </c>
      <c r="K467" s="32">
        <f t="shared" si="24"/>
        <v>0.6071428571428571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 t="s">
        <v>1530</v>
      </c>
      <c r="Z467" s="70" t="s">
        <v>1530</v>
      </c>
      <c r="AA467" s="70" t="s">
        <v>1530</v>
      </c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17</v>
      </c>
      <c r="J468" s="31">
        <f t="shared" si="23"/>
        <v>11</v>
      </c>
      <c r="K468" s="32">
        <f t="shared" si="24"/>
        <v>0.6071428571428571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 t="s">
        <v>1530</v>
      </c>
      <c r="Z468" s="70" t="s">
        <v>1530</v>
      </c>
      <c r="AA468" s="70" t="s">
        <v>1530</v>
      </c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24</v>
      </c>
      <c r="J476" s="31">
        <f t="shared" si="26"/>
        <v>4</v>
      </c>
      <c r="K476" s="32">
        <f t="shared" si="27"/>
        <v>0.8571428571428571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 t="s">
        <v>1530</v>
      </c>
      <c r="Z476" s="70" t="s">
        <v>1530</v>
      </c>
      <c r="AA476" s="70" t="s">
        <v>1530</v>
      </c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24</v>
      </c>
      <c r="J478" s="31">
        <f t="shared" si="26"/>
        <v>4</v>
      </c>
      <c r="K478" s="32">
        <f t="shared" si="27"/>
        <v>0.8571428571428571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 t="s">
        <v>1530</v>
      </c>
      <c r="Z478" s="70" t="s">
        <v>1530</v>
      </c>
      <c r="AA478" s="70" t="s">
        <v>1530</v>
      </c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13</v>
      </c>
      <c r="J484" s="31">
        <f t="shared" si="26"/>
        <v>15</v>
      </c>
      <c r="K484" s="32">
        <f t="shared" si="27"/>
        <v>0.4642857142857143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 t="s">
        <v>1530</v>
      </c>
      <c r="Z484" s="70" t="s">
        <v>1530</v>
      </c>
      <c r="AA484" s="70" t="s">
        <v>1530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13</v>
      </c>
      <c r="J486" s="31">
        <f t="shared" si="26"/>
        <v>15</v>
      </c>
      <c r="K486" s="32">
        <f t="shared" si="27"/>
        <v>0.4642857142857143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 t="s">
        <v>1530</v>
      </c>
      <c r="Z486" s="70" t="s">
        <v>1530</v>
      </c>
      <c r="AA486" s="70" t="s">
        <v>1530</v>
      </c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24</v>
      </c>
      <c r="J507" s="31">
        <f t="shared" si="26"/>
        <v>4</v>
      </c>
      <c r="K507" s="32">
        <f t="shared" si="27"/>
        <v>0.8571428571428571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 t="s">
        <v>1530</v>
      </c>
      <c r="Z507" s="70" t="s">
        <v>1530</v>
      </c>
      <c r="AA507" s="70" t="s">
        <v>1530</v>
      </c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14</v>
      </c>
      <c r="J508" s="31">
        <f t="shared" si="26"/>
        <v>14</v>
      </c>
      <c r="K508" s="32">
        <f t="shared" si="27"/>
        <v>0.5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 t="s">
        <v>1530</v>
      </c>
      <c r="Z508" s="70" t="s">
        <v>1530</v>
      </c>
      <c r="AA508" s="70" t="s">
        <v>1530</v>
      </c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33" zoomScale="90" zoomScaleNormal="90" workbookViewId="0">
      <selection activeCell="B144" sqref="B1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0.20833333333333334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0.20238095238095238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0.19047619047619047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0.14880952380952381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0.13095238095238096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v>49</v>
      </c>
      <c r="E152" s="109">
        <f>D152/C152</f>
        <v>0.18081180811808117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v>56</v>
      </c>
      <c r="E153" s="118">
        <f>D153/C153</f>
        <v>0.24034334763948498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0.15277777777777779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0.15277777777777779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0.15277777777777779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0.12301587301587301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0.12301587301587301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47</v>
      </c>
      <c r="E163" s="109">
        <f>D163/C163</f>
        <v>0.17343173431734318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30</v>
      </c>
      <c r="E164" s="118">
        <f>D164/C164</f>
        <v>0.12875536480686695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0.18452380952380953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0.18452380952380953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0.18452380952380953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0.15476190476190477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0.15476190476190477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45</v>
      </c>
      <c r="E175" s="118">
        <f>D175/C175</f>
        <v>0.19313304721030042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 t="str">
        <f>'RESUMEN TOTAL'!Y23</f>
        <v>APAGADO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 t="str">
        <f>'RESUMEN TOTAL'!Y24</f>
        <v>APAGADO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 t="str">
        <f>'RESUMEN TOTAL'!Y25</f>
        <v>APAGADO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 t="str">
        <f>'RESUMEN TOTAL'!Y26</f>
        <v>APAGADO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 t="str">
        <f>'RESUMEN TOTAL'!Y27</f>
        <v>APAGADO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 t="str">
        <f>'RESUMEN TOTAL'!Y28</f>
        <v>APAGADO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 t="str">
        <f>'RESUMEN TOTAL'!Y39</f>
        <v>APAGADO</v>
      </c>
      <c r="T29" s="70" t="str">
        <f>'RESUMEN TOTAL'!Z39</f>
        <v>APAGADO</v>
      </c>
      <c r="U29" s="70" t="str">
        <f>'RESUMEN TOTAL'!AA39</f>
        <v>APAGADO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 t="str">
        <f>'RESUMEN TOTAL'!Y54</f>
        <v>APAGADO</v>
      </c>
      <c r="T44" s="70" t="str">
        <f>'RESUMEN TOTAL'!Z54</f>
        <v>APAGADO</v>
      </c>
      <c r="U44" s="70" t="str">
        <f>'RESUMEN TOTAL'!AA54</f>
        <v>APAGADO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 t="str">
        <f>'RESUMEN TOTAL'!Y56</f>
        <v>APAGADO</v>
      </c>
      <c r="T46" s="70" t="str">
        <f>'RESUMEN TOTAL'!Z56</f>
        <v>APAGADO</v>
      </c>
      <c r="U46" s="70" t="str">
        <f>'RESUMEN TOTAL'!AA56</f>
        <v>APAGADO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 t="str">
        <f>'RESUMEN TOTAL'!Y85</f>
        <v>APAGADO</v>
      </c>
      <c r="T75" s="70" t="str">
        <f>'RESUMEN TOTAL'!Z85</f>
        <v>APAGADO</v>
      </c>
      <c r="U75" s="70" t="str">
        <f>'RESUMEN TOTAL'!AA85</f>
        <v>APAGADO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 t="str">
        <f>'RESUMEN TOTAL'!Y94</f>
        <v>APAGADO</v>
      </c>
      <c r="T84" s="70" t="str">
        <f>'RESUMEN TOTAL'!Z94</f>
        <v>APAGADO</v>
      </c>
      <c r="U84" s="70" t="str">
        <f>'RESUMEN TOTAL'!AA94</f>
        <v>APAGADO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 t="str">
        <f>'RESUMEN TOTAL'!Y105</f>
        <v>APAGADO</v>
      </c>
      <c r="T95" s="70" t="str">
        <f>'RESUMEN TOTAL'!Z105</f>
        <v>APAGADO</v>
      </c>
      <c r="U95" s="70" t="str">
        <f>'RESUMEN TOTAL'!AA105</f>
        <v>APAGADO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 t="str">
        <f>'RESUMEN TOTAL'!Y106</f>
        <v>APAGADO</v>
      </c>
      <c r="T96" s="70" t="str">
        <f>'RESUMEN TOTAL'!Z106</f>
        <v>APAGADO</v>
      </c>
      <c r="U96" s="70" t="str">
        <f>'RESUMEN TOTAL'!AA106</f>
        <v>APAGADO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 t="str">
        <f>'RESUMEN TOTAL'!Y107</f>
        <v>APAGADO</v>
      </c>
      <c r="T97" s="70" t="str">
        <f>'RESUMEN TOTAL'!Z107</f>
        <v>APAGADO</v>
      </c>
      <c r="U97" s="70" t="str">
        <f>'RESUMEN TOTAL'!AA107</f>
        <v>APAGADO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 t="str">
        <f>'RESUMEN TOTAL'!Y108</f>
        <v>APAGADO</v>
      </c>
      <c r="T98" s="70" t="str">
        <f>'RESUMEN TOTAL'!Z108</f>
        <v>APAGADO</v>
      </c>
      <c r="U98" s="70" t="str">
        <f>'RESUMEN TOTAL'!AA108</f>
        <v>APAGADO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 t="str">
        <f>'RESUMEN TOTAL'!Y109</f>
        <v>APAGADO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 t="str">
        <f>'RESUMEN TOTAL'!Y131</f>
        <v>APAGADO</v>
      </c>
      <c r="T114" s="70" t="str">
        <f>'RESUMEN TOTAL'!Z131</f>
        <v>APAGADO</v>
      </c>
      <c r="U114" s="70" t="str">
        <f>'RESUMEN TOTAL'!AA131</f>
        <v>APAGADO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 t="str">
        <f>'RESUMEN TOTAL'!AA145</f>
        <v>APAGADO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 t="str">
        <f>'RESUMEN TOTAL'!AA146</f>
        <v>APAGADO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 t="str">
        <f>'RESUMEN TOTAL'!AA147</f>
        <v>APAGADO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 t="str">
        <f>'RESUMEN TOTAL'!AA148</f>
        <v>APAGADO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 t="str">
        <f>'RESUMEN TOTAL'!Y171</f>
        <v>APAGADO</v>
      </c>
      <c r="T148" s="70" t="str">
        <f>'RESUMEN TOTAL'!Z171</f>
        <v>APAGADO</v>
      </c>
      <c r="U148" s="70" t="str">
        <f>'RESUMEN TOTAL'!AA171</f>
        <v>APAGADO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 t="str">
        <f>'RESUMEN TOTAL'!Y177</f>
        <v>APAGADO</v>
      </c>
      <c r="T154" s="70" t="str">
        <f>'RESUMEN TOTAL'!Z177</f>
        <v>APAGADO</v>
      </c>
      <c r="U154" s="70" t="str">
        <f>'RESUMEN TOTAL'!AA177</f>
        <v>APAGADO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 t="str">
        <f>'RESUMEN TOTAL'!Y178</f>
        <v>APAGADO</v>
      </c>
      <c r="T155" s="70" t="str">
        <f>'RESUMEN TOTAL'!Z178</f>
        <v>APAGADO</v>
      </c>
      <c r="U155" s="70" t="str">
        <f>'RESUMEN TOTAL'!AA178</f>
        <v>APAGADO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 t="str">
        <f>'RESUMEN TOTAL'!Y190</f>
        <v>APAGADO</v>
      </c>
      <c r="T167" s="70" t="str">
        <f>'RESUMEN TOTAL'!Z190</f>
        <v>APAGADO</v>
      </c>
      <c r="U167" s="70" t="str">
        <f>'RESUMEN TOTAL'!AA190</f>
        <v>APAGADO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 t="str">
        <f>'RESUMEN TOTAL'!Y220</f>
        <v>APAGADO</v>
      </c>
      <c r="T194" s="70" t="str">
        <f>'RESUMEN TOTAL'!Z220</f>
        <v>APAGADO</v>
      </c>
      <c r="U194" s="70" t="str">
        <f>'RESUMEN TOTAL'!AA220</f>
        <v>APAGADO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 t="str">
        <f>'RESUMEN TOTAL'!AA222</f>
        <v>APAGADO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 t="str">
        <f>'RESUMEN TOTAL'!Y223</f>
        <v>APAGADO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 t="str">
        <f>'RESUMEN TOTAL'!Y224</f>
        <v>APAGADO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 t="str">
        <f>'RESUMEN TOTAL'!Y225</f>
        <v>APAGADO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 t="str">
        <f>'RESUMEN TOTAL'!Y228</f>
        <v>APAGADO</v>
      </c>
      <c r="T202" s="70" t="str">
        <f>'RESUMEN TOTAL'!Z228</f>
        <v>APAGADO</v>
      </c>
      <c r="U202" s="70" t="str">
        <f>'RESUMEN TOTAL'!AA228</f>
        <v>APAGADO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 t="str">
        <f>'RESUMEN TOTAL'!Y231</f>
        <v>APAGADO</v>
      </c>
      <c r="T205" s="70" t="str">
        <f>'RESUMEN TOTAL'!Z231</f>
        <v>APAGADO</v>
      </c>
      <c r="U205" s="70" t="str">
        <f>'RESUMEN TOTAL'!AA231</f>
        <v>APAGADO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 t="str">
        <f>'RESUMEN TOTAL'!Y232</f>
        <v>APAGADO</v>
      </c>
      <c r="T206" s="70" t="str">
        <f>'RESUMEN TOTAL'!Z232</f>
        <v>APAGADO</v>
      </c>
      <c r="U206" s="70" t="str">
        <f>'RESUMEN TOTAL'!AA232</f>
        <v>APAGADO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 t="str">
        <f>'RESUMEN TOTAL'!Y249</f>
        <v>APAGADO</v>
      </c>
      <c r="T221" s="70" t="str">
        <f>'RESUMEN TOTAL'!Z249</f>
        <v>APAGADO</v>
      </c>
      <c r="U221" s="70" t="str">
        <f>'RESUMEN TOTAL'!AA249</f>
        <v>APAGADO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 t="str">
        <f>'RESUMEN TOTAL'!AA254</f>
        <v>APAGADO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 t="str">
        <f>'RESUMEN TOTAL'!AA265</f>
        <v>APAGADO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 t="str">
        <f>'RESUMEN TOTAL'!Y267</f>
        <v>APAGADO</v>
      </c>
      <c r="T237" s="70" t="str">
        <f>'RESUMEN TOTAL'!Z267</f>
        <v>APAGADO</v>
      </c>
      <c r="U237" s="70" t="str">
        <f>'RESUMEN TOTAL'!AA267</f>
        <v>APAGADO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 t="str">
        <f>'RESUMEN TOTAL'!Y268</f>
        <v>APAGADO</v>
      </c>
      <c r="T238" s="70" t="str">
        <f>'RESUMEN TOTAL'!Z268</f>
        <v>APAGADO</v>
      </c>
      <c r="U238" s="70" t="str">
        <f>'RESUMEN TOTAL'!AA268</f>
        <v>APAGADO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 t="str">
        <f>'RESUMEN TOTAL'!AA269</f>
        <v>APAGADO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 t="str">
        <f>'RESUMEN TOTAL'!AA271</f>
        <v>APAGADO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 t="str">
        <f>'RESUMEN TOTAL'!AA272</f>
        <v>APAGADO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 t="str">
        <f>'RESUMEN TOTAL'!AA273</f>
        <v>APAGADO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 t="str">
        <f>'RESUMEN TOTAL'!Y278</f>
        <v>APAGADO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 t="str">
        <f>'RESUMEN TOTAL'!Y279</f>
        <v>APAGADO</v>
      </c>
      <c r="T249" s="70" t="str">
        <f>'RESUMEN TOTAL'!Z279</f>
        <v>APAGADO</v>
      </c>
      <c r="U249" s="70" t="str">
        <f>'RESUMEN TOTAL'!AA279</f>
        <v>APAGADO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 t="str">
        <f>'RESUMEN TOTAL'!Y280</f>
        <v>APAGADO</v>
      </c>
      <c r="T250" s="70" t="str">
        <f>'RESUMEN TOTAL'!Z280</f>
        <v>APAGADO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 t="str">
        <f>'RESUMEN TOTAL'!AA281</f>
        <v>APAGADO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 t="str">
        <f>'RESUMEN TOTAL'!AA282</f>
        <v>APAGADO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 t="str">
        <f>'RESUMEN TOTAL'!AA283</f>
        <v>APAGADO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 t="str">
        <f>'RESUMEN TOTAL'!Z284</f>
        <v>APAGADO</v>
      </c>
      <c r="U254" s="70" t="str">
        <f>'RESUMEN TOTAL'!AA284</f>
        <v>APAGADO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 t="str">
        <f>'RESUMEN TOTAL'!Y290</f>
        <v>APAGADO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 t="str">
        <f>'RESUMEN TOTAL'!Y291</f>
        <v>APAGADO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 t="str">
        <f>'RESUMEN TOTAL'!Y292</f>
        <v>APAGADO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 t="str">
        <f>'RESUMEN TOTAL'!Y293</f>
        <v>APAGADO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 t="str">
        <f>'RESUMEN TOTAL'!Y294</f>
        <v>APAGADO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 t="str">
        <f>'RESUMEN TOTAL'!Y295</f>
        <v>APAGADO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 t="str">
        <f>'RESUMEN TOTAL'!Y300</f>
        <v>APAGADO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 t="str">
        <f>'RESUMEN TOTAL'!Y301</f>
        <v>APAGADO</v>
      </c>
      <c r="T267" s="70" t="str">
        <f>'RESUMEN TOTAL'!Z301</f>
        <v>APAGADO</v>
      </c>
      <c r="U267" s="70" t="str">
        <f>'RESUMEN TOTAL'!AA301</f>
        <v>APAGADO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 t="str">
        <f>'RESUMEN TOTAL'!Y302</f>
        <v>APAGADO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 t="str">
        <f>'RESUMEN TOTAL'!Y303</f>
        <v>APAGADO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 t="str">
        <f>'RESUMEN TOTAL'!Y304</f>
        <v>APAGADO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 t="str">
        <f>'RESUMEN TOTAL'!Y305</f>
        <v>APAGADO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 t="str">
        <f>'RESUMEN TOTAL'!Y306</f>
        <v>APAGADO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 t="str">
        <f>'RESUMEN TOTAL'!Y307</f>
        <v>APAGADO</v>
      </c>
      <c r="T273" s="70" t="str">
        <f>'RESUMEN TOTAL'!Z307</f>
        <v>APAGADO</v>
      </c>
      <c r="U273" s="70" t="str">
        <f>'RESUMEN TOTAL'!AA307</f>
        <v>APAGADO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 t="str">
        <f>'RESUMEN TOTAL'!Y308</f>
        <v>APAGADO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 t="str">
        <f>'RESUMEN TOTAL'!Y309</f>
        <v>APAGADO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 t="str">
        <f>'RESUMEN TOTAL'!Y310</f>
        <v>APAGADO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 t="str">
        <f>'RESUMEN TOTAL'!Y311</f>
        <v>APAGADO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 t="str">
        <f>'RESUMEN TOTAL'!Y312</f>
        <v>APAGADO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 t="str">
        <f>'RESUMEN TOTAL'!Y319</f>
        <v>APAGADO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 t="str">
        <f>'RESUMEN TOTAL'!Y320</f>
        <v>APAGADO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 t="str">
        <f>'RESUMEN TOTAL'!AA322</f>
        <v>APAGADO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 t="str">
        <f>'RESUMEN TOTAL'!Y338</f>
        <v>APAGADO</v>
      </c>
      <c r="T301" s="70" t="str">
        <f>'RESUMEN TOTAL'!Z338</f>
        <v>APAGADO</v>
      </c>
      <c r="U301" s="70" t="str">
        <f>'RESUMEN TOTAL'!AA338</f>
        <v>APAGADO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 t="str">
        <f>'RESUMEN TOTAL'!Y339</f>
        <v>APAGADO</v>
      </c>
      <c r="T302" s="70" t="str">
        <f>'RESUMEN TOTAL'!Z339</f>
        <v>APAGADO</v>
      </c>
      <c r="U302" s="70" t="str">
        <f>'RESUMEN TOTAL'!AA339</f>
        <v>APAGADO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 t="str">
        <f>'RESUMEN TOTAL'!Y341</f>
        <v>APAGADO</v>
      </c>
      <c r="T304" s="70" t="str">
        <f>'RESUMEN TOTAL'!Z341</f>
        <v>APAGADO</v>
      </c>
      <c r="U304" s="70" t="str">
        <f>'RESUMEN TOTAL'!AA341</f>
        <v>APAGADO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 t="str">
        <f>'RESUMEN TOTAL'!Y342</f>
        <v>APAGADO</v>
      </c>
      <c r="T305" s="70" t="str">
        <f>'RESUMEN TOTAL'!Z342</f>
        <v>APAGADO</v>
      </c>
      <c r="U305" s="70" t="str">
        <f>'RESUMEN TOTAL'!AA342</f>
        <v>APAGADO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 t="str">
        <f>'RESUMEN TOTAL'!Y343</f>
        <v>APAGADO</v>
      </c>
      <c r="T306" s="70" t="str">
        <f>'RESUMEN TOTAL'!Z343</f>
        <v>APAGADO</v>
      </c>
      <c r="U306" s="70" t="str">
        <f>'RESUMEN TOTAL'!AA343</f>
        <v>APAGADO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 t="str">
        <f>'RESUMEN TOTAL'!Y346</f>
        <v>APAGADO</v>
      </c>
      <c r="T309" s="70" t="str">
        <f>'RESUMEN TOTAL'!Z346</f>
        <v>APAGADO</v>
      </c>
      <c r="U309" s="70" t="str">
        <f>'RESUMEN TOTAL'!AA346</f>
        <v>APAGADO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 t="str">
        <f>'RESUMEN TOTAL'!Y347</f>
        <v>APAGADO</v>
      </c>
      <c r="T310" s="70" t="str">
        <f>'RESUMEN TOTAL'!Z347</f>
        <v>APAGADO</v>
      </c>
      <c r="U310" s="70" t="str">
        <f>'RESUMEN TOTAL'!AA347</f>
        <v>APAGADO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 t="str">
        <f>'RESUMEN TOTAL'!Y348</f>
        <v>APAGADO</v>
      </c>
      <c r="T311" s="70" t="str">
        <f>'RESUMEN TOTAL'!Z348</f>
        <v>APAGADO</v>
      </c>
      <c r="U311" s="70" t="str">
        <f>'RESUMEN TOTAL'!AA348</f>
        <v>APAGADO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 t="str">
        <f>'RESUMEN TOTAL'!Y349</f>
        <v>APAGADO</v>
      </c>
      <c r="T312" s="70" t="str">
        <f>'RESUMEN TOTAL'!Z349</f>
        <v>APAGADO</v>
      </c>
      <c r="U312" s="70" t="str">
        <f>'RESUMEN TOTAL'!AA349</f>
        <v>APAGADO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 t="str">
        <f>'RESUMEN TOTAL'!Y351</f>
        <v>APAGADO</v>
      </c>
      <c r="T314" s="70" t="str">
        <f>'RESUMEN TOTAL'!Z351</f>
        <v>APAGADO</v>
      </c>
      <c r="U314" s="70" t="str">
        <f>'RESUMEN TOTAL'!AA351</f>
        <v>APAGADO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 t="str">
        <f>'RESUMEN TOTAL'!Y362</f>
        <v>APAGADO</v>
      </c>
      <c r="T322" s="70" t="str">
        <f>'RESUMEN TOTAL'!Z362</f>
        <v>APAGADO</v>
      </c>
      <c r="U322" s="70" t="str">
        <f>'RESUMEN TOTAL'!AA362</f>
        <v>APAGADO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 t="str">
        <f>'RESUMEN TOTAL'!Y363</f>
        <v>APAGADO</v>
      </c>
      <c r="T323" s="70" t="str">
        <f>'RESUMEN TOTAL'!Z363</f>
        <v>APAGADO</v>
      </c>
      <c r="U323" s="70" t="str">
        <f>'RESUMEN TOTAL'!AA363</f>
        <v>APAGADO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 t="str">
        <f>'RESUMEN TOTAL'!Y368</f>
        <v>APAGADO</v>
      </c>
      <c r="T326" s="70" t="str">
        <f>'RESUMEN TOTAL'!Z368</f>
        <v>APAGADO</v>
      </c>
      <c r="U326" s="70" t="str">
        <f>'RESUMEN TOTAL'!AA368</f>
        <v>APAGADO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 t="str">
        <f>'RESUMEN TOTAL'!Y373</f>
        <v>APAGADO</v>
      </c>
      <c r="T329" s="70" t="str">
        <f>'RESUMEN TOTAL'!Z373</f>
        <v>APAGADO</v>
      </c>
      <c r="U329" s="70" t="str">
        <f>'RESUMEN TOTAL'!AA373</f>
        <v>APAGADO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 t="str">
        <f>'RESUMEN TOTAL'!Y376</f>
        <v>APAGADO</v>
      </c>
      <c r="T332" s="70" t="str">
        <f>'RESUMEN TOTAL'!Z376</f>
        <v>APAGADO</v>
      </c>
      <c r="U332" s="70" t="str">
        <f>'RESUMEN TOTAL'!AA376</f>
        <v>APAGADO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 t="str">
        <f>'RESUMEN TOTAL'!Y380</f>
        <v>APAGADO</v>
      </c>
      <c r="T336" s="70" t="str">
        <f>'RESUMEN TOTAL'!Z380</f>
        <v>APAGADO</v>
      </c>
      <c r="U336" s="70" t="str">
        <f>'RESUMEN TOTAL'!AA380</f>
        <v>APAGADO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 t="str">
        <f>'RESUMEN TOTAL'!Y381</f>
        <v>APAGADO</v>
      </c>
      <c r="T337" s="70" t="str">
        <f>'RESUMEN TOTAL'!Z381</f>
        <v>APAGADO</v>
      </c>
      <c r="U337" s="70" t="str">
        <f>'RESUMEN TOTAL'!AA381</f>
        <v>APAGADO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 t="str">
        <f>'RESUMEN TOTAL'!Y382</f>
        <v>APAGADO</v>
      </c>
      <c r="T338" s="70" t="str">
        <f>'RESUMEN TOTAL'!Z382</f>
        <v>APAGADO</v>
      </c>
      <c r="U338" s="70" t="str">
        <f>'RESUMEN TOTAL'!AA382</f>
        <v>APAGADO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 t="str">
        <f>'RESUMEN TOTAL'!Y383</f>
        <v>APAGADO</v>
      </c>
      <c r="T339" s="70" t="str">
        <f>'RESUMEN TOTAL'!Z383</f>
        <v>APAGADO</v>
      </c>
      <c r="U339" s="70" t="str">
        <f>'RESUMEN TOTAL'!AA383</f>
        <v>APAGADO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 t="str">
        <f>'RESUMEN TOTAL'!Y384</f>
        <v>APAGADO</v>
      </c>
      <c r="T340" s="70" t="str">
        <f>'RESUMEN TOTAL'!Z384</f>
        <v>APAGADO</v>
      </c>
      <c r="U340" s="70" t="str">
        <f>'RESUMEN TOTAL'!AA384</f>
        <v>APAGADO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 t="str">
        <f>'RESUMEN TOTAL'!Y392</f>
        <v>APAGADO</v>
      </c>
      <c r="T348" s="70" t="str">
        <f>'RESUMEN TOTAL'!Z392</f>
        <v>APAGADO</v>
      </c>
      <c r="U348" s="70" t="str">
        <f>'RESUMEN TOTAL'!AA392</f>
        <v>APAGADO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 t="str">
        <f>'RESUMEN TOTAL'!Y393</f>
        <v>APAGADO</v>
      </c>
      <c r="T349" s="70" t="str">
        <f>'RESUMEN TOTAL'!Z393</f>
        <v>APAGADO</v>
      </c>
      <c r="U349" s="70" t="str">
        <f>'RESUMEN TOTAL'!AA393</f>
        <v>APAGADO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 t="str">
        <f>'RESUMEN TOTAL'!Y398</f>
        <v>APAGADO</v>
      </c>
      <c r="T354" s="70" t="str">
        <f>'RESUMEN TOTAL'!Z398</f>
        <v>APAGADO</v>
      </c>
      <c r="U354" s="70" t="str">
        <f>'RESUMEN TOTAL'!AA398</f>
        <v>APAGADO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 t="str">
        <f>'RESUMEN TOTAL'!Y404</f>
        <v>APAGADO</v>
      </c>
      <c r="T360" s="70" t="str">
        <f>'RESUMEN TOTAL'!Z404</f>
        <v>APAGADO</v>
      </c>
      <c r="U360" s="70" t="str">
        <f>'RESUMEN TOTAL'!AA404</f>
        <v>APAGADO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 t="str">
        <f>'RESUMEN TOTAL'!Y407</f>
        <v>APAGADO</v>
      </c>
      <c r="T363" s="70" t="str">
        <f>'RESUMEN TOTAL'!Z407</f>
        <v>APAGADO</v>
      </c>
      <c r="U363" s="70" t="str">
        <f>'RESUMEN TOTAL'!AA407</f>
        <v>APAGADO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 t="str">
        <f>'RESUMEN TOTAL'!Y417</f>
        <v>APAGADO</v>
      </c>
      <c r="T373" s="70" t="str">
        <f>'RESUMEN TOTAL'!Z417</f>
        <v>APAGADO</v>
      </c>
      <c r="U373" s="70" t="str">
        <f>'RESUMEN TOTAL'!AA417</f>
        <v>APAGADO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 t="str">
        <f>'RESUMEN TOTAL'!Y418</f>
        <v>APAGADO</v>
      </c>
      <c r="T374" s="70" t="str">
        <f>'RESUMEN TOTAL'!Z418</f>
        <v>APAGADO</v>
      </c>
      <c r="U374" s="70" t="str">
        <f>'RESUMEN TOTAL'!AA418</f>
        <v>APAGADO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 t="str">
        <f>'RESUMEN TOTAL'!AA429</f>
        <v>APAGADO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 t="str">
        <f>'RESUMEN TOTAL'!Y467</f>
        <v>APAGADO</v>
      </c>
      <c r="T420" s="70" t="str">
        <f>'RESUMEN TOTAL'!Z467</f>
        <v>APAGADO</v>
      </c>
      <c r="U420" s="70" t="str">
        <f>'RESUMEN TOTAL'!AA467</f>
        <v>APAGADO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 t="str">
        <f>'RESUMEN TOTAL'!Y468</f>
        <v>APAGADO</v>
      </c>
      <c r="T421" s="70" t="str">
        <f>'RESUMEN TOTAL'!Z468</f>
        <v>APAGADO</v>
      </c>
      <c r="U421" s="70" t="str">
        <f>'RESUMEN TOTAL'!AA468</f>
        <v>APAGADO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 t="str">
        <f>'RESUMEN TOTAL'!Y476</f>
        <v>APAGADO</v>
      </c>
      <c r="T428" s="70" t="str">
        <f>'RESUMEN TOTAL'!Z476</f>
        <v>APAGADO</v>
      </c>
      <c r="U428" s="70" t="str">
        <f>'RESUMEN TOTAL'!AA476</f>
        <v>APAGADO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 t="str">
        <f>'RESUMEN TOTAL'!Y478</f>
        <v>APAGADO</v>
      </c>
      <c r="T430" s="70" t="str">
        <f>'RESUMEN TOTAL'!Z478</f>
        <v>APAGADO</v>
      </c>
      <c r="U430" s="70" t="str">
        <f>'RESUMEN TOTAL'!AA478</f>
        <v>APAGADO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 t="str">
        <f>'RESUMEN TOTAL'!Y484</f>
        <v>APAGADO</v>
      </c>
      <c r="T436" s="70" t="str">
        <f>'RESUMEN TOTAL'!Z484</f>
        <v>APAGADO</v>
      </c>
      <c r="U436" s="70" t="str">
        <f>'RESUMEN TOTAL'!AA484</f>
        <v>APAGADO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 t="str">
        <f>'RESUMEN TOTAL'!Y486</f>
        <v>APAGADO</v>
      </c>
      <c r="T438" s="70" t="str">
        <f>'RESUMEN TOTAL'!Z486</f>
        <v>APAGADO</v>
      </c>
      <c r="U438" s="70" t="str">
        <f>'RESUMEN TOTAL'!AA486</f>
        <v>APAGADO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 t="str">
        <f>'RESUMEN TOTAL'!Y507</f>
        <v>APAGADO</v>
      </c>
      <c r="T459" s="70" t="str">
        <f>'RESUMEN TOTAL'!Z507</f>
        <v>APAGADO</v>
      </c>
      <c r="U459" s="70" t="str">
        <f>'RESUMEN TOTAL'!AA507</f>
        <v>APAGADO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 t="str">
        <f>'RESUMEN TOTAL'!Y508</f>
        <v>APAGADO</v>
      </c>
      <c r="T460" s="70" t="str">
        <f>'RESUMEN TOTAL'!Z508</f>
        <v>APAGADO</v>
      </c>
      <c r="U460" s="70" t="str">
        <f>'RESUMEN TOTAL'!AA508</f>
        <v>APAGADO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49</v>
      </c>
      <c r="T3" s="46">
        <f>COUNTIFS('RESUMEN TOTAL'!Z8:Z619,"=APAGADO",'RESUMEN TOTAL'!C8:C619,"=BONOMO")</f>
        <v>47</v>
      </c>
      <c r="U3" s="46">
        <f>COUNTIFS('RESUMEN TOTAL'!AA8:AA619,"=APAGADO",'RESUMEN TOTAL'!C8:C619,"=BONOMO")</f>
        <v>48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0.18081180811808117</v>
      </c>
      <c r="T4" s="50">
        <f t="shared" si="0"/>
        <v>0.17343173431734318</v>
      </c>
      <c r="U4" s="50">
        <f t="shared" si="0"/>
        <v>0.17712177121771217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56</v>
      </c>
      <c r="T5" s="46">
        <f>COUNTIFS('RESUMEN TOTAL'!Z10:Z621,"=APAGADO",'RESUMEN TOTAL'!C10:C621,"=COSEIDI")</f>
        <v>30</v>
      </c>
      <c r="U5" s="46">
        <f>COUNTIFS('RESUMEN TOTAL'!AA10:AA621,"=APAGADO",'RESUMEN TOTAL'!C10:C621,"=COSEIDI")</f>
        <v>45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0.24034334763948498</v>
      </c>
      <c r="T6" s="50">
        <f t="shared" si="1"/>
        <v>0.12875536480686695</v>
      </c>
      <c r="U6" s="50">
        <f t="shared" si="1"/>
        <v>0.19313304721030042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2025-08-18T11:10:07Z</dcterms:modified>
</cp:coreProperties>
</file>