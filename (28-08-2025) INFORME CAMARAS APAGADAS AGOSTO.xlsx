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171B81C0-DD66-4259-A763-294E229C263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<sst xmlns="http://schemas.openxmlformats.org/spreadsheetml/2006/main" count="6358" uniqueCount="1608">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</sst>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0.21352313167259787</c:v>
                      </c:pt>
                      <c:pt idx="27">
                        <c:v>0.12455516014234876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0.13559322033898305</c:v>
                      </c:pt>
                      <c:pt idx="27">
                        <c:v>0.17372881355932204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0.21352313167259787</c:v>
                </c:pt>
                <c:pt idx="27">
                  <c:v>0.12455516014234876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0.13559322033898305</c:v>
                </c:pt>
                <c:pt idx="27">
                  <c:v>0.17372881355932204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0.21352313167259787</c:v>
                      </c:pt>
                      <c:pt idx="27">
                        <c:v>0.12455516014234876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0.13559322033898305</c:v>
                      </c:pt>
                      <c:pt idx="27">
                        <c:v>0.17372881355932204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0.21352313167259787</c:v>
                </c:pt>
                <c:pt idx="27">
                  <c:v>0.12455516014234876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0.13559322033898305</c:v>
                </c:pt>
                <c:pt idx="27">
                  <c:v>0.17372881355932204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zoomScale="60" zoomScaleNormal="60" workbookViewId="0">
      <pane xSplit="11" ySplit="7" topLeftCell="AM234" activePane="bottomRight" state="frozen"/>
      <selection pane="topRight" activeCell="M1" sqref="M1"/>
      <selection pane="bottomLeft" activeCell="A5" sqref="A5"/>
      <selection pane="bottomRight" activeCell="G372" sqref="G372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0.13976705490848584</v>
      </c>
      <c r="AJ1" s="3">
        <f t="shared" si="1"/>
        <v>0.14262023217247097</v>
      </c>
      <c r="AK1" s="3">
        <f t="shared" si="1"/>
        <v>0.1325503355704698</v>
      </c>
      <c r="AL1" s="3">
        <f t="shared" si="1"/>
        <v>0.15106732348111659</v>
      </c>
      <c r="AM1" s="3">
        <f t="shared" si="1"/>
        <v>0.12816188870151771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79</v>
      </c>
      <c r="AL3" s="130">
        <f t="shared" si="3"/>
        <v>92</v>
      </c>
      <c r="AM3" s="130">
        <f t="shared" si="3"/>
        <v>76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39</v>
      </c>
      <c r="Q4" s="10">
        <f>COUNTIFS(Q8:Q632, "=APAGADO",F8:F632,"=Fibra Optica")</f>
        <v>54</v>
      </c>
      <c r="R4" s="10">
        <f>COUNTIFS(R8:R632, "=APAGADO",F8:F632,"=Fibra Optica")</f>
        <v>39</v>
      </c>
      <c r="S4" s="10">
        <f>COUNTIFS(S8:S632, "=APAGADO",F8:F632,"=Fibra Optica")</f>
        <v>49</v>
      </c>
      <c r="T4" s="10">
        <f>COUNTIFS(T8:T632, "=APAGADO",F8:F632,"=Fibra Optica")</f>
        <v>43</v>
      </c>
      <c r="U4" s="10">
        <f>COUNTIFS(U8:U632, "=APAGADO",F8:F632,"=Fibra Optica")</f>
        <v>43</v>
      </c>
      <c r="V4" s="10">
        <f>COUNTIFS(V8:V632, "=APAGADO",F8:F632,"=Fibra Optica")</f>
        <v>44</v>
      </c>
      <c r="W4" s="10">
        <f>COUNTIFS(W8:W632, "=APAGADO",F8:F632,"=Fibra Optica")</f>
        <v>43</v>
      </c>
      <c r="X4" s="10">
        <f>COUNTIFS(X8:X632, "=APAGADO",F8:F632,"=Fibra Optica")</f>
        <v>50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49</v>
      </c>
      <c r="AJ4" s="10">
        <f>COUNTIFS(AJ8:AJ632, "=APAGADO",F8:F632,"=Fibra Optica")</f>
        <v>48</v>
      </c>
      <c r="AK4" s="10">
        <f>COUNTIFS(AK8:AK632, "=APAGADO",F8:F632,"=Fibra Optica")</f>
        <v>42</v>
      </c>
      <c r="AL4" s="10">
        <f>COUNTIFS(AL8:AL632, "=APAGADO",F8:F632,"=Fibra Optica")</f>
        <v>53</v>
      </c>
      <c r="AM4" s="10">
        <f>COUNTIFS(AM8:AM632, "=APAGADO",F8:F632,"=Fibra Optica")</f>
        <v>43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14</v>
      </c>
      <c r="M5" s="134">
        <f>COUNTIFS(M8:M632, "=APAGADO",F8:F632,"=RADIO")</f>
        <v>0</v>
      </c>
      <c r="N5" s="134">
        <f>COUNTIFS(N8:N632, "=APAGADO",F8:F632,"=RADIO")</f>
        <v>14</v>
      </c>
      <c r="O5" s="134">
        <f>COUNTIFS(O8:O632, "=APAGADO",F8:F632,"=RADIO")</f>
        <v>14</v>
      </c>
      <c r="P5" s="134">
        <f>COUNTIFS(P8:P632, "=APAGADO",F8:F632,"=RADIO")</f>
        <v>17</v>
      </c>
      <c r="Q5" s="134">
        <f>COUNTIFS(Q8:Q632, "=APAGADO",F8:F632,"=RADIO")</f>
        <v>13</v>
      </c>
      <c r="R5" s="134">
        <f>COUNTIFS(R8:R632, "=APAGADO",F8:F632,"=RADIO")</f>
        <v>13</v>
      </c>
      <c r="S5" s="134">
        <f>COUNTIFS(S8:S632, "=APAGADO",F8:F632,"=RADIO")</f>
        <v>16</v>
      </c>
      <c r="T5" s="134">
        <f>COUNTIFS(T8:T632, "=APAGADO",F8:F632,"=RADIO")</f>
        <v>15</v>
      </c>
      <c r="U5" s="134">
        <f>COUNTIFS(U8:U632, "=APAGADO",F8:F632,"=RADIO")</f>
        <v>17</v>
      </c>
      <c r="V5" s="134">
        <f>COUNTIFS(V8:V632, "=APAGADO",F8:F632,"=RADIO")</f>
        <v>19</v>
      </c>
      <c r="W5" s="134">
        <f>COUNTIFS(W8:W632, "=APAGADO",F8:F632,"=RADIO")</f>
        <v>15</v>
      </c>
      <c r="X5" s="134">
        <f>COUNTIFS(X8:X632, "=APAGADO",F8:F632,"=RADIO")</f>
        <v>16</v>
      </c>
      <c r="Y5" s="134">
        <f>COUNTIFS(Y8:Y632, "=APAGADO",F8:F632,"=RADIO")</f>
        <v>20</v>
      </c>
      <c r="Z5" s="134">
        <f>COUNTIFS(Z8:Z632, "=APAGADO",F8:F632,"=RADIO")</f>
        <v>14</v>
      </c>
      <c r="AA5" s="134">
        <f>COUNTIFS(AA8:AA632, "=APAGADO",F8:F632,"=RADIO")</f>
        <v>14</v>
      </c>
      <c r="AB5" s="134">
        <f>COUNTIFS(AB8:AB632, "=APAGADO",F8:F632,"=RADIO")</f>
        <v>15</v>
      </c>
      <c r="AC5" s="134">
        <f>COUNTIFS(AC8:AC632, "=APAGADO",F8:F632,"=RADIO")</f>
        <v>16</v>
      </c>
      <c r="AD5" s="134">
        <f>COUNTIFS(AD8:AD632, "=APAGADO",F8:F632,"=RADIO")</f>
        <v>17</v>
      </c>
      <c r="AE5" s="134">
        <f>COUNTIFS(AE8:AE632, "=APAGADO",F8:F632,"=RADIO")</f>
        <v>18</v>
      </c>
      <c r="AF5" s="134">
        <f>COUNTIFS(AF8:AF632, "=APAGADO",F8:F632,"=RADIO")</f>
        <v>23</v>
      </c>
      <c r="AG5" s="134">
        <f>COUNTIFS(AG8:AG632, "=APAGADO",F8:F632,"=RADIO")</f>
        <v>24</v>
      </c>
      <c r="AH5" s="134">
        <f>COUNTIFS(AH8:AH632, "=APAGADO",F8:F632,"=RADIO")</f>
        <v>21</v>
      </c>
      <c r="AI5" s="134">
        <f>COUNTIFS(AI8:AI632, "=APAGADO",F8:F632,"=RADIO")</f>
        <v>21</v>
      </c>
      <c r="AJ5" s="134">
        <f>COUNTIFS(AJ8:AJ632, "=APAGADO",F8:F632,"=RADIO")</f>
        <v>24</v>
      </c>
      <c r="AK5" s="134">
        <f>COUNTIFS(AK8:AK632, "=APAGADO",F8:F632,"=RADIO")</f>
        <v>24</v>
      </c>
      <c r="AL5" s="134">
        <f>COUNTIFS(AL8:AL632, "=APAGADO",F8:F632,"=RADIO")</f>
        <v>21</v>
      </c>
      <c r="AM5" s="134">
        <f>COUNTIFS(AM8:AM632, "=APAGADO",F8:F632,"=RADIO")</f>
        <v>19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8</v>
      </c>
      <c r="AJ6" s="10">
        <f>COUNTIFS(AJ8:AJ632, "=APAGADO",F8:F632,"=PTO A FO")</f>
        <v>8</v>
      </c>
      <c r="AK6" s="10">
        <f>COUNTIFS(AK8:AK632, "=APAGADO",F8:F632,"=PTO A FO")</f>
        <v>8</v>
      </c>
      <c r="AL6" s="10">
        <f>COUNTIFS(AL8:AL632, "=APAGADO",F8:F632,"=PTO A FO")</f>
        <v>10</v>
      </c>
      <c r="AM6" s="10">
        <f>COUNTIFS(AM8:AM632, "=APAGADO",F8:F632,"=PTO A FO")</f>
        <v>8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1529</v>
      </c>
      <c r="M11" s="70"/>
      <c r="N11" s="70"/>
      <c r="O11" s="70"/>
      <c r="P11" s="70" t="s">
        <v>1529</v>
      </c>
      <c r="Q11" s="70" t="s">
        <v>1529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1529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1062</v>
      </c>
      <c r="G12" s="30" t="s">
        <v>1257</v>
      </c>
      <c r="H12" s="30" t="s">
        <v>615</v>
      </c>
      <c r="I12" s="31">
        <f t="shared" si="4"/>
        <v>2</v>
      </c>
      <c r="J12" s="31">
        <f t="shared" si="5"/>
        <v>26</v>
      </c>
      <c r="K12" s="32">
        <f t="shared" si="6"/>
        <v>7.1428571428571425E-2</v>
      </c>
      <c r="L12" s="70" t="s">
        <v>1529</v>
      </c>
      <c r="M12" s="70"/>
      <c r="N12" s="70" t="s">
        <v>1529</v>
      </c>
      <c r="O12" s="70" t="s">
        <v>1529</v>
      </c>
      <c r="P12" s="70" t="s">
        <v>1529</v>
      </c>
      <c r="Q12" s="70"/>
      <c r="R12" s="70" t="s">
        <v>1529</v>
      </c>
      <c r="S12" s="70" t="s">
        <v>1529</v>
      </c>
      <c r="T12" s="70" t="s">
        <v>1529</v>
      </c>
      <c r="U12" s="70" t="s">
        <v>1529</v>
      </c>
      <c r="V12" s="70" t="s">
        <v>1529</v>
      </c>
      <c r="W12" s="70" t="s">
        <v>1529</v>
      </c>
      <c r="X12" s="70" t="s">
        <v>1529</v>
      </c>
      <c r="Y12" s="70" t="s">
        <v>1529</v>
      </c>
      <c r="Z12" s="70" t="s">
        <v>1529</v>
      </c>
      <c r="AA12" s="70" t="s">
        <v>1529</v>
      </c>
      <c r="AB12" s="70" t="s">
        <v>1529</v>
      </c>
      <c r="AC12" s="70" t="s">
        <v>1529</v>
      </c>
      <c r="AD12" s="70" t="s">
        <v>1529</v>
      </c>
      <c r="AE12" s="70" t="s">
        <v>1529</v>
      </c>
      <c r="AF12" s="70" t="s">
        <v>1529</v>
      </c>
      <c r="AG12" s="70" t="s">
        <v>1529</v>
      </c>
      <c r="AH12" s="70" t="s">
        <v>1529</v>
      </c>
      <c r="AI12" s="70" t="s">
        <v>1529</v>
      </c>
      <c r="AJ12" s="70" t="s">
        <v>1529</v>
      </c>
      <c r="AK12" s="70" t="s">
        <v>1529</v>
      </c>
      <c r="AL12" s="70" t="s">
        <v>1529</v>
      </c>
      <c r="AM12" s="70" t="s">
        <v>1529</v>
      </c>
      <c r="AN12" s="70"/>
      <c r="AO12" s="70"/>
      <c r="AP12" s="70"/>
    </row>
    <row r="13" spans="1:42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1062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1</v>
      </c>
      <c r="J17" s="31">
        <f t="shared" si="5"/>
        <v>27</v>
      </c>
      <c r="K17" s="32">
        <f t="shared" si="6"/>
        <v>3.5714285714285712E-2</v>
      </c>
      <c r="L17" s="70" t="s">
        <v>1529</v>
      </c>
      <c r="M17" s="70"/>
      <c r="N17" s="70" t="s">
        <v>1529</v>
      </c>
      <c r="O17" s="70" t="s">
        <v>1529</v>
      </c>
      <c r="P17" s="70" t="s">
        <v>1529</v>
      </c>
      <c r="Q17" s="70" t="s">
        <v>1529</v>
      </c>
      <c r="R17" s="70" t="s">
        <v>1529</v>
      </c>
      <c r="S17" s="70" t="s">
        <v>1529</v>
      </c>
      <c r="T17" s="70" t="s">
        <v>1529</v>
      </c>
      <c r="U17" s="70" t="s">
        <v>1529</v>
      </c>
      <c r="V17" s="70" t="s">
        <v>1529</v>
      </c>
      <c r="W17" s="70" t="s">
        <v>1529</v>
      </c>
      <c r="X17" s="70" t="s">
        <v>1529</v>
      </c>
      <c r="Y17" s="70" t="s">
        <v>1529</v>
      </c>
      <c r="Z17" s="70" t="s">
        <v>1529</v>
      </c>
      <c r="AA17" s="70" t="s">
        <v>1529</v>
      </c>
      <c r="AB17" s="70" t="s">
        <v>1529</v>
      </c>
      <c r="AC17" s="70" t="s">
        <v>1529</v>
      </c>
      <c r="AD17" s="70" t="s">
        <v>1529</v>
      </c>
      <c r="AE17" s="70" t="s">
        <v>1529</v>
      </c>
      <c r="AF17" s="70" t="s">
        <v>1529</v>
      </c>
      <c r="AG17" s="70" t="s">
        <v>1529</v>
      </c>
      <c r="AH17" s="70" t="s">
        <v>1529</v>
      </c>
      <c r="AI17" s="70" t="s">
        <v>1529</v>
      </c>
      <c r="AJ17" s="70" t="s">
        <v>1529</v>
      </c>
      <c r="AK17" s="70" t="s">
        <v>1529</v>
      </c>
      <c r="AL17" s="70" t="s">
        <v>1529</v>
      </c>
      <c r="AM17" s="70" t="s">
        <v>1529</v>
      </c>
      <c r="AN17" s="70"/>
      <c r="AO17" s="70"/>
      <c r="AP17" s="70"/>
    </row>
    <row r="18" spans="1:42" ht="15.75" thickBot="1" x14ac:dyDescent="0.3">
      <c r="A18" t="s">
        <v>26</v>
      </c>
      <c r="B18" t="s">
        <v>1540</v>
      </c>
      <c r="C18" t="s">
        <v>1068</v>
      </c>
      <c r="D18" s="68" t="s">
        <v>1541</v>
      </c>
      <c r="E18" s="30" t="s">
        <v>73</v>
      </c>
      <c r="F18" s="30" t="s">
        <v>28</v>
      </c>
      <c r="G18" s="30"/>
      <c r="H18" s="30" t="s">
        <v>1542</v>
      </c>
      <c r="I18" s="31">
        <f t="shared" si="4"/>
        <v>1</v>
      </c>
      <c r="J18" s="31">
        <f t="shared" si="5"/>
        <v>27</v>
      </c>
      <c r="K18" s="32">
        <f t="shared" si="6"/>
        <v>3.5714285714285712E-2</v>
      </c>
      <c r="L18" s="70" t="s">
        <v>1529</v>
      </c>
      <c r="M18" s="70"/>
      <c r="N18" s="70" t="s">
        <v>1529</v>
      </c>
      <c r="O18" s="70" t="s">
        <v>1529</v>
      </c>
      <c r="P18" s="70" t="s">
        <v>1529</v>
      </c>
      <c r="Q18" s="70" t="s">
        <v>1529</v>
      </c>
      <c r="R18" s="70" t="s">
        <v>1529</v>
      </c>
      <c r="S18" s="70" t="s">
        <v>1529</v>
      </c>
      <c r="T18" s="70" t="s">
        <v>1529</v>
      </c>
      <c r="U18" s="70" t="s">
        <v>1529</v>
      </c>
      <c r="V18" s="70" t="s">
        <v>1529</v>
      </c>
      <c r="W18" s="70" t="s">
        <v>1529</v>
      </c>
      <c r="X18" s="70" t="s">
        <v>1529</v>
      </c>
      <c r="Y18" s="71" t="s">
        <v>1529</v>
      </c>
      <c r="Z18" s="70" t="s">
        <v>1529</v>
      </c>
      <c r="AA18" s="70" t="s">
        <v>1529</v>
      </c>
      <c r="AB18" s="70" t="s">
        <v>1529</v>
      </c>
      <c r="AC18" s="70" t="s">
        <v>1529</v>
      </c>
      <c r="AD18" s="70" t="s">
        <v>1529</v>
      </c>
      <c r="AE18" s="70" t="s">
        <v>1529</v>
      </c>
      <c r="AF18" s="70" t="s">
        <v>1529</v>
      </c>
      <c r="AG18" s="70" t="s">
        <v>1529</v>
      </c>
      <c r="AH18" s="70" t="s">
        <v>1529</v>
      </c>
      <c r="AI18" s="70" t="s">
        <v>1529</v>
      </c>
      <c r="AJ18" s="70" t="s">
        <v>1529</v>
      </c>
      <c r="AK18" s="70" t="s">
        <v>1529</v>
      </c>
      <c r="AL18" s="70" t="s">
        <v>1529</v>
      </c>
      <c r="AM18" s="70" t="s">
        <v>1529</v>
      </c>
      <c r="AN18" s="70"/>
      <c r="AO18" s="70"/>
      <c r="AP18" s="70"/>
    </row>
    <row r="19" spans="1:42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1555</v>
      </c>
      <c r="C20" t="s">
        <v>1068</v>
      </c>
      <c r="D20" t="s">
        <v>1556</v>
      </c>
      <c r="E20" s="30" t="s">
        <v>73</v>
      </c>
      <c r="F20" s="30" t="s">
        <v>1308</v>
      </c>
      <c r="G20" s="30"/>
      <c r="H20" s="30" t="s">
        <v>1557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1586</v>
      </c>
      <c r="C21" t="s">
        <v>1068</v>
      </c>
      <c r="D21" t="s">
        <v>1587</v>
      </c>
      <c r="E21" s="30"/>
      <c r="F21" s="30" t="s">
        <v>1308</v>
      </c>
      <c r="G21" s="30"/>
      <c r="H21" s="30" t="s">
        <v>1588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16</v>
      </c>
      <c r="J22" s="31">
        <f t="shared" si="5"/>
        <v>12</v>
      </c>
      <c r="K22" s="32">
        <f t="shared" si="6"/>
        <v>0.5714285714285714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1529</v>
      </c>
      <c r="AC22" s="70" t="s">
        <v>1529</v>
      </c>
      <c r="AD22" s="70" t="s">
        <v>1529</v>
      </c>
      <c r="AE22" s="70" t="s">
        <v>1529</v>
      </c>
      <c r="AF22" s="70" t="s">
        <v>1529</v>
      </c>
      <c r="AG22" s="70" t="s">
        <v>1529</v>
      </c>
      <c r="AH22" s="70" t="s">
        <v>1529</v>
      </c>
      <c r="AI22" s="70" t="s">
        <v>1529</v>
      </c>
      <c r="AJ22" s="70" t="s">
        <v>1529</v>
      </c>
      <c r="AK22" s="70" t="s">
        <v>1529</v>
      </c>
      <c r="AL22" s="70" t="s">
        <v>1529</v>
      </c>
      <c r="AM22" s="70" t="s">
        <v>1529</v>
      </c>
      <c r="AN22" s="70"/>
      <c r="AO22" s="70"/>
      <c r="AP22" s="70"/>
    </row>
    <row r="23" spans="1:42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1529</v>
      </c>
      <c r="V24" s="70" t="s">
        <v>1529</v>
      </c>
      <c r="W24" s="70"/>
      <c r="X24" s="70"/>
      <c r="Y24" s="70" t="s">
        <v>1529</v>
      </c>
      <c r="Z24" s="70"/>
      <c r="AA24" s="70"/>
      <c r="AB24" s="70"/>
      <c r="AC24" s="70"/>
      <c r="AD24" s="70"/>
      <c r="AE24" s="70"/>
      <c r="AF24" s="70" t="s">
        <v>1529</v>
      </c>
      <c r="AG24" s="70" t="s">
        <v>1529</v>
      </c>
      <c r="AH24" s="70" t="s">
        <v>1529</v>
      </c>
      <c r="AI24" s="70" t="s">
        <v>1529</v>
      </c>
      <c r="AJ24" s="70" t="s">
        <v>1529</v>
      </c>
      <c r="AK24" s="70" t="s">
        <v>1529</v>
      </c>
      <c r="AL24" s="70" t="s">
        <v>1529</v>
      </c>
      <c r="AM24" s="70" t="s">
        <v>1529</v>
      </c>
      <c r="AN24" s="70"/>
      <c r="AO24" s="70"/>
      <c r="AP24" s="70"/>
    </row>
    <row r="25" spans="1:42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17</v>
      </c>
      <c r="J25" s="31">
        <f t="shared" si="5"/>
        <v>11</v>
      </c>
      <c r="K25" s="32">
        <f t="shared" si="6"/>
        <v>0.6071428571428571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1529</v>
      </c>
      <c r="V25" s="70" t="s">
        <v>1529</v>
      </c>
      <c r="W25" s="70"/>
      <c r="X25" s="70"/>
      <c r="Y25" s="70" t="s">
        <v>1529</v>
      </c>
      <c r="Z25" s="70"/>
      <c r="AA25" s="70"/>
      <c r="AB25" s="70"/>
      <c r="AC25" s="70"/>
      <c r="AD25" s="70"/>
      <c r="AE25" s="70"/>
      <c r="AF25" s="70" t="s">
        <v>1529</v>
      </c>
      <c r="AG25" s="70" t="s">
        <v>1529</v>
      </c>
      <c r="AH25" s="70" t="s">
        <v>1529</v>
      </c>
      <c r="AI25" s="70" t="s">
        <v>1529</v>
      </c>
      <c r="AJ25" s="70" t="s">
        <v>1529</v>
      </c>
      <c r="AK25" s="70" t="s">
        <v>1529</v>
      </c>
      <c r="AL25" s="70" t="s">
        <v>1529</v>
      </c>
      <c r="AM25" s="70" t="s">
        <v>1529</v>
      </c>
      <c r="AN25" s="70"/>
      <c r="AO25" s="70"/>
      <c r="AP25" s="70"/>
    </row>
    <row r="26" spans="1:42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17</v>
      </c>
      <c r="J26" s="31">
        <f t="shared" si="5"/>
        <v>11</v>
      </c>
      <c r="K26" s="32">
        <f t="shared" si="6"/>
        <v>0.6071428571428571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1529</v>
      </c>
      <c r="V26" s="70" t="s">
        <v>1529</v>
      </c>
      <c r="W26" s="70"/>
      <c r="X26" s="70"/>
      <c r="Y26" s="70" t="s">
        <v>1529</v>
      </c>
      <c r="Z26" s="70"/>
      <c r="AA26" s="70"/>
      <c r="AB26" s="70"/>
      <c r="AC26" s="70"/>
      <c r="AD26" s="70"/>
      <c r="AE26" s="70"/>
      <c r="AF26" s="70" t="s">
        <v>1529</v>
      </c>
      <c r="AG26" s="70" t="s">
        <v>1529</v>
      </c>
      <c r="AH26" s="70" t="s">
        <v>1529</v>
      </c>
      <c r="AI26" s="70" t="s">
        <v>1529</v>
      </c>
      <c r="AJ26" s="70" t="s">
        <v>1529</v>
      </c>
      <c r="AK26" s="70" t="s">
        <v>1529</v>
      </c>
      <c r="AL26" s="70" t="s">
        <v>1529</v>
      </c>
      <c r="AM26" s="70" t="s">
        <v>1529</v>
      </c>
      <c r="AN26" s="70"/>
      <c r="AO26" s="70"/>
      <c r="AP26" s="70"/>
    </row>
    <row r="27" spans="1:42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17</v>
      </c>
      <c r="J27" s="31">
        <f t="shared" si="5"/>
        <v>11</v>
      </c>
      <c r="K27" s="32">
        <f t="shared" si="6"/>
        <v>0.6071428571428571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1529</v>
      </c>
      <c r="V27" s="70" t="s">
        <v>1529</v>
      </c>
      <c r="W27" s="70"/>
      <c r="X27" s="70"/>
      <c r="Y27" s="70" t="s">
        <v>1529</v>
      </c>
      <c r="Z27" s="70"/>
      <c r="AA27" s="70"/>
      <c r="AB27" s="70"/>
      <c r="AC27" s="70"/>
      <c r="AD27" s="70"/>
      <c r="AE27" s="70"/>
      <c r="AF27" s="70" t="s">
        <v>1529</v>
      </c>
      <c r="AG27" s="70" t="s">
        <v>1529</v>
      </c>
      <c r="AH27" s="70" t="s">
        <v>1529</v>
      </c>
      <c r="AI27" s="70" t="s">
        <v>1529</v>
      </c>
      <c r="AJ27" s="70" t="s">
        <v>1529</v>
      </c>
      <c r="AK27" s="70" t="s">
        <v>1529</v>
      </c>
      <c r="AL27" s="70" t="s">
        <v>1529</v>
      </c>
      <c r="AM27" s="70" t="s">
        <v>1529</v>
      </c>
      <c r="AN27" s="70"/>
      <c r="AO27" s="70"/>
      <c r="AP27" s="70"/>
    </row>
    <row r="28" spans="1:42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1529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1529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28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1200</v>
      </c>
      <c r="B31" s="137" t="s">
        <v>1357</v>
      </c>
      <c r="C31" s="136" t="s">
        <v>1069</v>
      </c>
      <c r="D31" s="136" t="s">
        <v>1358</v>
      </c>
      <c r="E31" s="137" t="s">
        <v>19</v>
      </c>
      <c r="F31" s="137" t="s">
        <v>28</v>
      </c>
      <c r="G31" s="137"/>
      <c r="H31" s="137" t="s">
        <v>1454</v>
      </c>
      <c r="I31" s="138">
        <f t="shared" si="4"/>
        <v>2</v>
      </c>
      <c r="J31" s="138">
        <f t="shared" si="5"/>
        <v>26</v>
      </c>
      <c r="K31" s="139">
        <f t="shared" si="6"/>
        <v>7.1428571428571425E-2</v>
      </c>
      <c r="L31" s="140" t="s">
        <v>1529</v>
      </c>
      <c r="M31" s="140"/>
      <c r="N31" s="140" t="s">
        <v>1529</v>
      </c>
      <c r="O31" s="140" t="s">
        <v>1529</v>
      </c>
      <c r="P31" s="140" t="s">
        <v>1529</v>
      </c>
      <c r="Q31" s="140" t="s">
        <v>1529</v>
      </c>
      <c r="R31" s="140" t="s">
        <v>1529</v>
      </c>
      <c r="S31" s="140" t="s">
        <v>1529</v>
      </c>
      <c r="T31" s="140" t="s">
        <v>1529</v>
      </c>
      <c r="U31" s="140" t="s">
        <v>1529</v>
      </c>
      <c r="V31" s="140" t="s">
        <v>1529</v>
      </c>
      <c r="W31" s="140" t="s">
        <v>1529</v>
      </c>
      <c r="X31" s="140" t="s">
        <v>1529</v>
      </c>
      <c r="Y31" s="140" t="s">
        <v>1529</v>
      </c>
      <c r="Z31" s="140" t="s">
        <v>1529</v>
      </c>
      <c r="AA31" s="140" t="s">
        <v>1529</v>
      </c>
      <c r="AB31" s="140" t="s">
        <v>1529</v>
      </c>
      <c r="AC31" s="140" t="s">
        <v>1529</v>
      </c>
      <c r="AD31" s="140" t="s">
        <v>1529</v>
      </c>
      <c r="AE31" s="140" t="s">
        <v>1529</v>
      </c>
      <c r="AF31" s="70" t="s">
        <v>1529</v>
      </c>
      <c r="AG31" s="140" t="s">
        <v>1529</v>
      </c>
      <c r="AH31" s="140" t="s">
        <v>1529</v>
      </c>
      <c r="AI31" s="140" t="s">
        <v>1529</v>
      </c>
      <c r="AJ31" s="140" t="s">
        <v>1529</v>
      </c>
      <c r="AK31" s="140" t="s">
        <v>1529</v>
      </c>
      <c r="AL31" s="140"/>
      <c r="AM31" s="140" t="s">
        <v>1529</v>
      </c>
      <c r="AN31" s="140"/>
      <c r="AO31" s="140"/>
      <c r="AP31" s="140"/>
    </row>
    <row r="32" spans="1:42" ht="15.75" thickBot="1" x14ac:dyDescent="0.3">
      <c r="A32" t="s">
        <v>1200</v>
      </c>
      <c r="B32" s="30" t="s">
        <v>1408</v>
      </c>
      <c r="C32" t="s">
        <v>1069</v>
      </c>
      <c r="D32" t="s">
        <v>1409</v>
      </c>
      <c r="F32" s="30" t="s">
        <v>28</v>
      </c>
      <c r="G32" s="30"/>
      <c r="H32" s="87" t="s">
        <v>1410</v>
      </c>
      <c r="I32" s="31">
        <f t="shared" si="4"/>
        <v>24</v>
      </c>
      <c r="J32" s="31">
        <f t="shared" si="5"/>
        <v>4</v>
      </c>
      <c r="K32" s="32">
        <f t="shared" si="6"/>
        <v>0.8571428571428571</v>
      </c>
      <c r="L32" s="70"/>
      <c r="M32" s="70"/>
      <c r="N32" s="70"/>
      <c r="O32" s="70" t="s">
        <v>1529</v>
      </c>
      <c r="P32" s="70" t="s">
        <v>1529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 t="s">
        <v>1529</v>
      </c>
      <c r="AL32" s="70"/>
      <c r="AM32" s="70" t="s">
        <v>1529</v>
      </c>
      <c r="AN32" s="70"/>
      <c r="AO32" s="70"/>
      <c r="AP32" s="70"/>
    </row>
    <row r="33" spans="1:42" ht="15.75" thickBot="1" x14ac:dyDescent="0.3">
      <c r="A33" t="s">
        <v>1200</v>
      </c>
      <c r="B33" s="30" t="s">
        <v>1521</v>
      </c>
      <c r="C33" t="s">
        <v>1069</v>
      </c>
      <c r="D33" t="s">
        <v>1522</v>
      </c>
      <c r="E33" s="65"/>
      <c r="F33" s="30" t="s">
        <v>28</v>
      </c>
      <c r="G33" s="30"/>
      <c r="H33" s="87" t="s">
        <v>1523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1466</v>
      </c>
      <c r="B34" s="30" t="s">
        <v>1465</v>
      </c>
      <c r="C34" t="s">
        <v>1069</v>
      </c>
      <c r="D34" t="s">
        <v>1464</v>
      </c>
      <c r="E34" s="30" t="s">
        <v>73</v>
      </c>
      <c r="F34" s="30" t="s">
        <v>28</v>
      </c>
      <c r="G34" s="30"/>
      <c r="H34" s="87" t="s">
        <v>1468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1466</v>
      </c>
      <c r="B35" s="30" t="s">
        <v>1467</v>
      </c>
      <c r="C35" t="s">
        <v>1069</v>
      </c>
      <c r="D35" t="s">
        <v>1464</v>
      </c>
      <c r="E35" s="30" t="s">
        <v>73</v>
      </c>
      <c r="F35" s="30" t="s">
        <v>28</v>
      </c>
      <c r="G35" s="30"/>
      <c r="H35" s="87" t="s">
        <v>1469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1068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1068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1068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1068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928</v>
      </c>
      <c r="C40" t="s">
        <v>1068</v>
      </c>
      <c r="D40" t="s">
        <v>1087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4</v>
      </c>
      <c r="J40" s="31">
        <f t="shared" si="5"/>
        <v>24</v>
      </c>
      <c r="K40" s="32">
        <f t="shared" si="6"/>
        <v>0.14285714285714285</v>
      </c>
      <c r="L40" s="70" t="s">
        <v>1529</v>
      </c>
      <c r="M40" s="70"/>
      <c r="N40" s="70" t="s">
        <v>1529</v>
      </c>
      <c r="O40" s="70" t="s">
        <v>1529</v>
      </c>
      <c r="P40" s="70" t="s">
        <v>1529</v>
      </c>
      <c r="Q40" s="70" t="s">
        <v>1529</v>
      </c>
      <c r="R40" s="70" t="s">
        <v>1529</v>
      </c>
      <c r="S40" s="70" t="s">
        <v>1529</v>
      </c>
      <c r="T40" s="70" t="s">
        <v>1529</v>
      </c>
      <c r="U40" s="70" t="s">
        <v>1529</v>
      </c>
      <c r="V40" s="70" t="s">
        <v>1529</v>
      </c>
      <c r="W40" s="70" t="s">
        <v>1529</v>
      </c>
      <c r="X40" s="70" t="s">
        <v>1529</v>
      </c>
      <c r="Y40" s="70" t="s">
        <v>1529</v>
      </c>
      <c r="Z40" s="70" t="s">
        <v>1529</v>
      </c>
      <c r="AA40" s="70" t="s">
        <v>1529</v>
      </c>
      <c r="AB40" s="70" t="s">
        <v>1529</v>
      </c>
      <c r="AC40" s="70" t="s">
        <v>1529</v>
      </c>
      <c r="AD40" s="70" t="s">
        <v>1529</v>
      </c>
      <c r="AE40" s="70" t="s">
        <v>1529</v>
      </c>
      <c r="AF40" s="70" t="s">
        <v>1529</v>
      </c>
      <c r="AG40" s="70" t="s">
        <v>1529</v>
      </c>
      <c r="AH40" s="70" t="s">
        <v>1529</v>
      </c>
      <c r="AI40" s="70" t="s">
        <v>1529</v>
      </c>
      <c r="AJ40" s="70" t="s">
        <v>1529</v>
      </c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1068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3</v>
      </c>
      <c r="J41" s="31">
        <f t="shared" si="5"/>
        <v>25</v>
      </c>
      <c r="K41" s="32">
        <f t="shared" si="6"/>
        <v>0.10714285714285714</v>
      </c>
      <c r="L41" s="70" t="s">
        <v>1529</v>
      </c>
      <c r="M41" s="70"/>
      <c r="N41" s="70" t="s">
        <v>1529</v>
      </c>
      <c r="O41" s="70" t="s">
        <v>1529</v>
      </c>
      <c r="P41" s="70" t="s">
        <v>1529</v>
      </c>
      <c r="Q41" s="70" t="s">
        <v>1529</v>
      </c>
      <c r="R41" s="70" t="s">
        <v>1529</v>
      </c>
      <c r="S41" s="70" t="s">
        <v>1529</v>
      </c>
      <c r="T41" s="70" t="s">
        <v>1529</v>
      </c>
      <c r="U41" s="70" t="s">
        <v>1529</v>
      </c>
      <c r="V41" s="70" t="s">
        <v>1529</v>
      </c>
      <c r="W41" s="70" t="s">
        <v>1529</v>
      </c>
      <c r="X41" s="70" t="s">
        <v>1529</v>
      </c>
      <c r="Y41" s="70" t="s">
        <v>1529</v>
      </c>
      <c r="Z41" s="70" t="s">
        <v>1529</v>
      </c>
      <c r="AA41" s="70" t="s">
        <v>1529</v>
      </c>
      <c r="AB41" s="70" t="s">
        <v>1529</v>
      </c>
      <c r="AC41" s="70" t="s">
        <v>1529</v>
      </c>
      <c r="AD41" s="70" t="s">
        <v>1529</v>
      </c>
      <c r="AE41" s="70" t="s">
        <v>1529</v>
      </c>
      <c r="AF41" s="70" t="s">
        <v>1529</v>
      </c>
      <c r="AG41" s="70" t="s">
        <v>1529</v>
      </c>
      <c r="AH41" s="70" t="s">
        <v>1529</v>
      </c>
      <c r="AI41" s="70" t="s">
        <v>1529</v>
      </c>
      <c r="AJ41" s="70" t="s">
        <v>1529</v>
      </c>
      <c r="AK41" s="70" t="s">
        <v>1529</v>
      </c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1068</v>
      </c>
      <c r="D42" t="s">
        <v>1083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1068</v>
      </c>
      <c r="D43" t="s">
        <v>1082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1068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1068</v>
      </c>
      <c r="D45" t="s">
        <v>1081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1068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929</v>
      </c>
      <c r="C47" t="s">
        <v>1068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1529</v>
      </c>
      <c r="O47" s="70" t="s">
        <v>1529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930</v>
      </c>
      <c r="C48" t="s">
        <v>1068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1068</v>
      </c>
      <c r="D49" t="s">
        <v>1085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1068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1068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1068</v>
      </c>
      <c r="D52" t="s">
        <v>97</v>
      </c>
      <c r="E52" s="30" t="s">
        <v>19</v>
      </c>
      <c r="F52" s="30" t="s">
        <v>1062</v>
      </c>
      <c r="G52" s="30" t="s">
        <v>1259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1068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1529</v>
      </c>
      <c r="O53" s="70" t="s">
        <v>1529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1068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1068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1529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1529</v>
      </c>
      <c r="Z55" s="70" t="s">
        <v>1529</v>
      </c>
      <c r="AA55" s="70" t="s">
        <v>1529</v>
      </c>
      <c r="AB55" s="70" t="s">
        <v>1529</v>
      </c>
      <c r="AC55" s="70" t="s">
        <v>1529</v>
      </c>
      <c r="AD55" s="70" t="s">
        <v>1529</v>
      </c>
      <c r="AE55" s="70" t="s">
        <v>1529</v>
      </c>
      <c r="AF55" s="70" t="s">
        <v>1529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1068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1</v>
      </c>
      <c r="J56" s="31">
        <f t="shared" si="5"/>
        <v>27</v>
      </c>
      <c r="K56" s="32">
        <f t="shared" si="6"/>
        <v>3.5714285714285712E-2</v>
      </c>
      <c r="L56" s="70" t="s">
        <v>1529</v>
      </c>
      <c r="M56" s="70"/>
      <c r="N56" s="70" t="s">
        <v>1529</v>
      </c>
      <c r="O56" s="70" t="s">
        <v>1529</v>
      </c>
      <c r="P56" s="70" t="s">
        <v>1529</v>
      </c>
      <c r="Q56" s="70" t="s">
        <v>1529</v>
      </c>
      <c r="R56" s="70" t="s">
        <v>1529</v>
      </c>
      <c r="S56" s="70" t="s">
        <v>1529</v>
      </c>
      <c r="T56" s="70" t="s">
        <v>1529</v>
      </c>
      <c r="U56" s="70" t="s">
        <v>1529</v>
      </c>
      <c r="V56" s="70" t="s">
        <v>1529</v>
      </c>
      <c r="W56" s="70" t="s">
        <v>1529</v>
      </c>
      <c r="X56" s="70" t="s">
        <v>1529</v>
      </c>
      <c r="Y56" s="70" t="s">
        <v>1529</v>
      </c>
      <c r="Z56" s="70" t="s">
        <v>1529</v>
      </c>
      <c r="AA56" s="70" t="s">
        <v>1529</v>
      </c>
      <c r="AB56" s="70" t="s">
        <v>1529</v>
      </c>
      <c r="AC56" s="70" t="s">
        <v>1529</v>
      </c>
      <c r="AD56" s="97" t="s">
        <v>1529</v>
      </c>
      <c r="AE56" s="97" t="s">
        <v>1529</v>
      </c>
      <c r="AF56" s="70" t="s">
        <v>1529</v>
      </c>
      <c r="AG56" s="97" t="s">
        <v>1529</v>
      </c>
      <c r="AH56" s="97" t="s">
        <v>1529</v>
      </c>
      <c r="AI56" s="97" t="s">
        <v>1529</v>
      </c>
      <c r="AJ56" s="97" t="s">
        <v>1529</v>
      </c>
      <c r="AK56" s="97" t="s">
        <v>1529</v>
      </c>
      <c r="AL56" s="97" t="s">
        <v>1529</v>
      </c>
      <c r="AM56" s="97" t="s">
        <v>1529</v>
      </c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1068</v>
      </c>
      <c r="D57" t="s">
        <v>107</v>
      </c>
      <c r="E57" s="30" t="s">
        <v>19</v>
      </c>
      <c r="F57" s="30" t="s">
        <v>28</v>
      </c>
      <c r="G57" s="30"/>
      <c r="H57" s="30" t="s">
        <v>1385</v>
      </c>
      <c r="I57" s="31">
        <f t="shared" si="4"/>
        <v>9</v>
      </c>
      <c r="J57" s="31">
        <f t="shared" si="5"/>
        <v>19</v>
      </c>
      <c r="K57" s="32">
        <f t="shared" si="6"/>
        <v>0.32142857142857145</v>
      </c>
      <c r="L57" s="70"/>
      <c r="M57" s="70"/>
      <c r="N57" s="70"/>
      <c r="O57" s="70"/>
      <c r="P57" s="70"/>
      <c r="Q57" s="70"/>
      <c r="R57" s="70" t="s">
        <v>1529</v>
      </c>
      <c r="S57" s="70" t="s">
        <v>1529</v>
      </c>
      <c r="T57" s="70" t="s">
        <v>1529</v>
      </c>
      <c r="U57" s="70" t="s">
        <v>1529</v>
      </c>
      <c r="V57" s="70" t="s">
        <v>1529</v>
      </c>
      <c r="W57" s="70" t="s">
        <v>1529</v>
      </c>
      <c r="X57" s="70" t="s">
        <v>1529</v>
      </c>
      <c r="Y57" s="70" t="s">
        <v>1529</v>
      </c>
      <c r="Z57" s="70" t="s">
        <v>1529</v>
      </c>
      <c r="AA57" s="70" t="s">
        <v>1529</v>
      </c>
      <c r="AB57" s="70" t="s">
        <v>1529</v>
      </c>
      <c r="AC57" s="70" t="s">
        <v>1529</v>
      </c>
      <c r="AD57" s="70" t="s">
        <v>1529</v>
      </c>
      <c r="AE57" s="70" t="s">
        <v>1529</v>
      </c>
      <c r="AF57" s="70" t="s">
        <v>1529</v>
      </c>
      <c r="AG57" s="70" t="s">
        <v>1529</v>
      </c>
      <c r="AH57" s="70" t="s">
        <v>1529</v>
      </c>
      <c r="AI57" s="70" t="s">
        <v>1529</v>
      </c>
      <c r="AJ57" s="70" t="s">
        <v>1529</v>
      </c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1068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1529</v>
      </c>
      <c r="O58" s="70" t="s">
        <v>1529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1068</v>
      </c>
      <c r="D59" t="s">
        <v>1086</v>
      </c>
      <c r="E59" s="30" t="s">
        <v>19</v>
      </c>
      <c r="F59" s="30" t="s">
        <v>28</v>
      </c>
      <c r="G59" s="30"/>
      <c r="H59" s="30" t="s">
        <v>1450</v>
      </c>
      <c r="I59" s="31">
        <f t="shared" si="4"/>
        <v>2</v>
      </c>
      <c r="J59" s="31">
        <f t="shared" si="5"/>
        <v>26</v>
      </c>
      <c r="K59" s="32">
        <f t="shared" si="6"/>
        <v>7.1428571428571425E-2</v>
      </c>
      <c r="L59" s="70" t="s">
        <v>1529</v>
      </c>
      <c r="M59" s="70"/>
      <c r="N59" s="70" t="s">
        <v>1529</v>
      </c>
      <c r="O59" s="70" t="s">
        <v>1529</v>
      </c>
      <c r="P59" s="70" t="s">
        <v>1529</v>
      </c>
      <c r="Q59" s="70" t="s">
        <v>1529</v>
      </c>
      <c r="R59" s="70" t="s">
        <v>1529</v>
      </c>
      <c r="S59" s="70" t="s">
        <v>1529</v>
      </c>
      <c r="T59" s="70" t="s">
        <v>1529</v>
      </c>
      <c r="U59" s="70" t="s">
        <v>1529</v>
      </c>
      <c r="V59" s="70" t="s">
        <v>1529</v>
      </c>
      <c r="W59" s="70" t="s">
        <v>1529</v>
      </c>
      <c r="X59" s="70" t="s">
        <v>1529</v>
      </c>
      <c r="Y59" s="70" t="s">
        <v>1529</v>
      </c>
      <c r="Z59" s="70" t="s">
        <v>1529</v>
      </c>
      <c r="AA59" s="70" t="s">
        <v>1529</v>
      </c>
      <c r="AB59" s="70" t="s">
        <v>1529</v>
      </c>
      <c r="AC59" s="70" t="s">
        <v>1529</v>
      </c>
      <c r="AD59" s="70" t="s">
        <v>1529</v>
      </c>
      <c r="AE59" s="70" t="s">
        <v>1529</v>
      </c>
      <c r="AF59" s="70"/>
      <c r="AG59" s="70" t="s">
        <v>1529</v>
      </c>
      <c r="AH59" s="70" t="s">
        <v>1529</v>
      </c>
      <c r="AI59" s="70" t="s">
        <v>1529</v>
      </c>
      <c r="AJ59" s="70" t="s">
        <v>1529</v>
      </c>
      <c r="AK59" s="70" t="s">
        <v>1529</v>
      </c>
      <c r="AL59" s="70" t="s">
        <v>1529</v>
      </c>
      <c r="AM59" s="70" t="s">
        <v>1529</v>
      </c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1068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1068</v>
      </c>
      <c r="D61" t="s">
        <v>1088</v>
      </c>
      <c r="E61" s="30" t="s">
        <v>19</v>
      </c>
      <c r="F61" s="30" t="s">
        <v>28</v>
      </c>
      <c r="G61" s="30"/>
      <c r="H61" s="30" t="s">
        <v>1155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1529</v>
      </c>
      <c r="O61" s="70" t="s">
        <v>1529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1068</v>
      </c>
      <c r="D62" t="s">
        <v>1089</v>
      </c>
      <c r="E62" s="30" t="s">
        <v>19</v>
      </c>
      <c r="F62" s="30" t="s">
        <v>28</v>
      </c>
      <c r="G62" s="30"/>
      <c r="H62" s="30" t="s">
        <v>1489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1529</v>
      </c>
      <c r="O62" s="70" t="s">
        <v>1529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1068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1529</v>
      </c>
      <c r="O63" s="70" t="s">
        <v>1529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1068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1529</v>
      </c>
      <c r="O64" s="70" t="s">
        <v>1529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1068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22</v>
      </c>
      <c r="J65" s="31">
        <f t="shared" si="5"/>
        <v>6</v>
      </c>
      <c r="K65" s="32">
        <f t="shared" si="6"/>
        <v>0.7857142857142857</v>
      </c>
      <c r="L65" s="70"/>
      <c r="M65" s="70"/>
      <c r="N65" s="70" t="s">
        <v>1529</v>
      </c>
      <c r="O65" s="70" t="s">
        <v>1529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 t="s">
        <v>1529</v>
      </c>
      <c r="AJ65" s="70" t="s">
        <v>1529</v>
      </c>
      <c r="AK65" s="70" t="s">
        <v>1529</v>
      </c>
      <c r="AL65" s="70" t="s">
        <v>1529</v>
      </c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1068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1529</v>
      </c>
      <c r="O66" s="70" t="s">
        <v>1529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1068</v>
      </c>
      <c r="D67" t="s">
        <v>1090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1529</v>
      </c>
      <c r="O67" s="70" t="s">
        <v>1529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1068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1068</v>
      </c>
      <c r="D69" t="s">
        <v>1071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1068</v>
      </c>
      <c r="D70" t="s">
        <v>1072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1068</v>
      </c>
      <c r="D71" t="s">
        <v>1073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1529</v>
      </c>
      <c r="M71" s="70"/>
      <c r="N71" s="70" t="s">
        <v>1529</v>
      </c>
      <c r="O71" s="70" t="s">
        <v>1529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931</v>
      </c>
      <c r="C72" t="s">
        <v>1068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1068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1529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1529</v>
      </c>
      <c r="AE73" s="70" t="s">
        <v>1529</v>
      </c>
      <c r="AF73" s="70" t="s">
        <v>1529</v>
      </c>
      <c r="AG73" s="70" t="s">
        <v>1529</v>
      </c>
      <c r="AH73" s="70" t="s">
        <v>1529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1068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1068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1068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1068</v>
      </c>
      <c r="D77" t="s">
        <v>1533</v>
      </c>
      <c r="E77" s="30" t="s">
        <v>19</v>
      </c>
      <c r="F77" s="30" t="s">
        <v>1308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1068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1529</v>
      </c>
      <c r="P78" s="70" t="s">
        <v>1529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1529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1068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1529</v>
      </c>
      <c r="O79" s="70" t="s">
        <v>1529</v>
      </c>
      <c r="P79" s="70" t="s">
        <v>1529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1490</v>
      </c>
      <c r="C80" t="s">
        <v>1068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1491</v>
      </c>
      <c r="C81" t="s">
        <v>1068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1068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1529</v>
      </c>
      <c r="O82" s="70" t="s">
        <v>1529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1068</v>
      </c>
      <c r="D83" t="s">
        <v>146</v>
      </c>
      <c r="E83" s="30" t="s">
        <v>19</v>
      </c>
      <c r="F83" s="30" t="s">
        <v>1308</v>
      </c>
      <c r="G83" s="30"/>
      <c r="H83" s="30" t="s">
        <v>1433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1068</v>
      </c>
      <c r="D84" t="s">
        <v>148</v>
      </c>
      <c r="E84" s="30" t="s">
        <v>19</v>
      </c>
      <c r="F84" s="30" t="s">
        <v>28</v>
      </c>
      <c r="G84" s="30"/>
      <c r="H84" s="30" t="s">
        <v>1470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932</v>
      </c>
      <c r="C85" t="s">
        <v>1068</v>
      </c>
      <c r="D85" t="s">
        <v>149</v>
      </c>
      <c r="E85" s="30" t="s">
        <v>19</v>
      </c>
      <c r="F85" s="30" t="s">
        <v>28</v>
      </c>
      <c r="G85" s="30"/>
      <c r="H85" s="30" t="s">
        <v>1370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933</v>
      </c>
      <c r="C86" t="s">
        <v>1068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1529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1529</v>
      </c>
      <c r="Y86" s="70" t="s">
        <v>1529</v>
      </c>
      <c r="Z86" s="70" t="s">
        <v>1529</v>
      </c>
      <c r="AA86" s="70" t="s">
        <v>1529</v>
      </c>
      <c r="AB86" s="70" t="s">
        <v>1529</v>
      </c>
      <c r="AC86" s="70" t="s">
        <v>1529</v>
      </c>
      <c r="AD86" s="70" t="s">
        <v>1529</v>
      </c>
      <c r="AE86" s="70" t="s">
        <v>1529</v>
      </c>
      <c r="AF86" s="70" t="s">
        <v>1529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1068</v>
      </c>
      <c r="D87" t="s">
        <v>151</v>
      </c>
      <c r="E87" s="30" t="s">
        <v>15</v>
      </c>
      <c r="F87" s="30" t="s">
        <v>20</v>
      </c>
      <c r="G87" s="30"/>
      <c r="H87" s="30" t="s">
        <v>1441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934</v>
      </c>
      <c r="C88" t="s">
        <v>1068</v>
      </c>
      <c r="D88" t="s">
        <v>47</v>
      </c>
      <c r="E88" s="30" t="s">
        <v>19</v>
      </c>
      <c r="F88" s="30" t="s">
        <v>28</v>
      </c>
      <c r="G88" s="30"/>
      <c r="H88" s="30" t="s">
        <v>1377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1068</v>
      </c>
      <c r="D89" t="s">
        <v>49</v>
      </c>
      <c r="E89" s="30" t="s">
        <v>19</v>
      </c>
      <c r="F89" s="30" t="s">
        <v>28</v>
      </c>
      <c r="G89" s="30"/>
      <c r="H89" s="30" t="s">
        <v>1364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1529</v>
      </c>
      <c r="M89" s="70"/>
      <c r="N89" s="70" t="s">
        <v>1529</v>
      </c>
      <c r="O89" s="70" t="s">
        <v>1529</v>
      </c>
      <c r="P89" s="70" t="s">
        <v>1529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1068</v>
      </c>
      <c r="D90" t="s">
        <v>51</v>
      </c>
      <c r="E90" s="30" t="s">
        <v>19</v>
      </c>
      <c r="F90" s="30" t="s">
        <v>20</v>
      </c>
      <c r="G90" s="30"/>
      <c r="H90" s="30" t="s">
        <v>1418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1068</v>
      </c>
      <c r="D91" t="s">
        <v>54</v>
      </c>
      <c r="E91" s="30" t="s">
        <v>15</v>
      </c>
      <c r="F91" s="30" t="s">
        <v>20</v>
      </c>
      <c r="G91" s="30"/>
      <c r="H91" s="30" t="s">
        <v>1434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1529</v>
      </c>
      <c r="Q91" s="70" t="s">
        <v>1529</v>
      </c>
      <c r="R91" s="70" t="s">
        <v>1529</v>
      </c>
      <c r="S91" s="70" t="s">
        <v>1529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1068</v>
      </c>
      <c r="D92" t="s">
        <v>56</v>
      </c>
      <c r="E92" s="30" t="s">
        <v>15</v>
      </c>
      <c r="F92" s="30" t="s">
        <v>28</v>
      </c>
      <c r="G92" s="30"/>
      <c r="H92" s="30" t="s">
        <v>1373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1068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939</v>
      </c>
      <c r="C94" t="s">
        <v>1068</v>
      </c>
      <c r="D94" t="s">
        <v>59</v>
      </c>
      <c r="E94" s="30" t="s">
        <v>15</v>
      </c>
      <c r="F94" s="30" t="s">
        <v>28</v>
      </c>
      <c r="G94" s="30"/>
      <c r="H94" s="30" t="s">
        <v>1384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1068</v>
      </c>
      <c r="D95" t="s">
        <v>61</v>
      </c>
      <c r="E95" s="30" t="s">
        <v>15</v>
      </c>
      <c r="F95" s="30" t="s">
        <v>1062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1529</v>
      </c>
      <c r="Y95" s="70" t="s">
        <v>1529</v>
      </c>
      <c r="Z95" s="70" t="s">
        <v>1529</v>
      </c>
      <c r="AA95" s="70" t="s">
        <v>1529</v>
      </c>
      <c r="AB95" s="70" t="s">
        <v>1529</v>
      </c>
      <c r="AC95" s="70" t="s">
        <v>1529</v>
      </c>
      <c r="AD95" s="70" t="s">
        <v>1529</v>
      </c>
      <c r="AE95" s="70" t="s">
        <v>1529</v>
      </c>
      <c r="AF95" s="70" t="s">
        <v>1529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1068</v>
      </c>
      <c r="D96" t="s">
        <v>63</v>
      </c>
      <c r="E96" s="30" t="s">
        <v>15</v>
      </c>
      <c r="F96" s="30" t="s">
        <v>28</v>
      </c>
      <c r="G96" s="30"/>
      <c r="H96" s="30" t="s">
        <v>1374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1529</v>
      </c>
      <c r="M96" s="70"/>
      <c r="N96" s="70" t="s">
        <v>1529</v>
      </c>
      <c r="O96" s="70" t="s">
        <v>1529</v>
      </c>
      <c r="P96" s="70" t="s">
        <v>1529</v>
      </c>
      <c r="Q96" s="70" t="s">
        <v>1529</v>
      </c>
      <c r="R96" s="70"/>
      <c r="S96" s="70" t="s">
        <v>1529</v>
      </c>
      <c r="T96" s="70" t="s">
        <v>1529</v>
      </c>
      <c r="U96" s="70" t="s">
        <v>1529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1529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940</v>
      </c>
      <c r="C97" t="s">
        <v>1068</v>
      </c>
      <c r="D97" t="s">
        <v>1091</v>
      </c>
      <c r="E97" s="30" t="s">
        <v>15</v>
      </c>
      <c r="F97" s="30" t="s">
        <v>1062</v>
      </c>
      <c r="G97" s="30" t="s">
        <v>1260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941</v>
      </c>
      <c r="C98" t="s">
        <v>1068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1068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935</v>
      </c>
      <c r="C100" t="s">
        <v>1068</v>
      </c>
      <c r="D100" t="s">
        <v>154</v>
      </c>
      <c r="E100" s="30" t="s">
        <v>46</v>
      </c>
      <c r="F100" s="30" t="s">
        <v>28</v>
      </c>
      <c r="G100" s="30"/>
      <c r="H100" s="30" t="s">
        <v>1065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1068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1068</v>
      </c>
      <c r="D102" t="s">
        <v>157</v>
      </c>
      <c r="E102" s="30" t="s">
        <v>73</v>
      </c>
      <c r="F102" s="30" t="s">
        <v>1308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1068</v>
      </c>
      <c r="D103" t="s">
        <v>157</v>
      </c>
      <c r="E103" s="30" t="s">
        <v>73</v>
      </c>
      <c r="F103" s="30" t="s">
        <v>1308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1068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1068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1068</v>
      </c>
      <c r="D106" t="s">
        <v>68</v>
      </c>
      <c r="E106" s="30" t="s">
        <v>19</v>
      </c>
      <c r="F106" s="30" t="s">
        <v>1308</v>
      </c>
      <c r="G106" s="30"/>
      <c r="H106" s="30" t="s">
        <v>679</v>
      </c>
      <c r="I106" s="31">
        <f t="shared" si="7"/>
        <v>11</v>
      </c>
      <c r="J106" s="31">
        <f t="shared" si="8"/>
        <v>17</v>
      </c>
      <c r="K106" s="32">
        <f t="shared" si="9"/>
        <v>0.39285714285714285</v>
      </c>
      <c r="L106" s="70" t="s">
        <v>1529</v>
      </c>
      <c r="M106" s="70"/>
      <c r="N106" s="70" t="s">
        <v>1529</v>
      </c>
      <c r="O106" s="70" t="s">
        <v>1529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1529</v>
      </c>
      <c r="Z106" s="70" t="s">
        <v>1529</v>
      </c>
      <c r="AA106" s="70" t="s">
        <v>1529</v>
      </c>
      <c r="AB106" s="70" t="s">
        <v>1529</v>
      </c>
      <c r="AC106" s="70" t="s">
        <v>1529</v>
      </c>
      <c r="AD106" s="70" t="s">
        <v>1529</v>
      </c>
      <c r="AE106" s="70" t="s">
        <v>1529</v>
      </c>
      <c r="AF106" s="70" t="s">
        <v>1529</v>
      </c>
      <c r="AG106" s="70" t="s">
        <v>1529</v>
      </c>
      <c r="AH106" s="70" t="s">
        <v>1529</v>
      </c>
      <c r="AI106" s="70" t="s">
        <v>1529</v>
      </c>
      <c r="AJ106" s="70" t="s">
        <v>1529</v>
      </c>
      <c r="AK106" s="70" t="s">
        <v>1529</v>
      </c>
      <c r="AL106" s="70" t="s">
        <v>1529</v>
      </c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1068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12</v>
      </c>
      <c r="J107" s="31">
        <f t="shared" si="8"/>
        <v>16</v>
      </c>
      <c r="K107" s="32">
        <f t="shared" si="9"/>
        <v>0.42857142857142855</v>
      </c>
      <c r="L107" s="70" t="s">
        <v>1529</v>
      </c>
      <c r="M107" s="70"/>
      <c r="N107" s="70" t="s">
        <v>1529</v>
      </c>
      <c r="O107" s="70" t="s">
        <v>1529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1529</v>
      </c>
      <c r="Z107" s="70" t="s">
        <v>1529</v>
      </c>
      <c r="AA107" s="70" t="s">
        <v>1529</v>
      </c>
      <c r="AB107" s="70" t="s">
        <v>1529</v>
      </c>
      <c r="AC107" s="70" t="s">
        <v>1529</v>
      </c>
      <c r="AD107" s="70" t="s">
        <v>1529</v>
      </c>
      <c r="AE107" s="70" t="s">
        <v>1529</v>
      </c>
      <c r="AF107" s="70" t="s">
        <v>1529</v>
      </c>
      <c r="AG107" s="70" t="s">
        <v>1529</v>
      </c>
      <c r="AH107" s="70" t="s">
        <v>1529</v>
      </c>
      <c r="AI107" s="70" t="s">
        <v>1529</v>
      </c>
      <c r="AJ107" s="70" t="s">
        <v>1529</v>
      </c>
      <c r="AK107" s="70" t="s">
        <v>1529</v>
      </c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1068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1529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1529</v>
      </c>
      <c r="Y108" s="70" t="s">
        <v>1529</v>
      </c>
      <c r="Z108" s="70" t="s">
        <v>1529</v>
      </c>
      <c r="AA108" s="70" t="s">
        <v>1529</v>
      </c>
      <c r="AB108" s="70" t="s">
        <v>1529</v>
      </c>
      <c r="AC108" s="70" t="s">
        <v>1529</v>
      </c>
      <c r="AD108" s="70" t="s">
        <v>1529</v>
      </c>
      <c r="AE108" s="70" t="s">
        <v>1529</v>
      </c>
      <c r="AF108" s="70" t="s">
        <v>1529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1068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1</v>
      </c>
      <c r="J109" s="31">
        <f t="shared" si="8"/>
        <v>27</v>
      </c>
      <c r="K109" s="32">
        <f t="shared" si="9"/>
        <v>3.5714285714285712E-2</v>
      </c>
      <c r="L109" s="70" t="s">
        <v>1529</v>
      </c>
      <c r="M109" s="70"/>
      <c r="N109" s="70" t="s">
        <v>1529</v>
      </c>
      <c r="O109" s="70" t="s">
        <v>1529</v>
      </c>
      <c r="P109" s="70" t="s">
        <v>1529</v>
      </c>
      <c r="Q109" s="70" t="s">
        <v>1529</v>
      </c>
      <c r="R109" s="70" t="s">
        <v>1529</v>
      </c>
      <c r="S109" s="70" t="s">
        <v>1529</v>
      </c>
      <c r="T109" s="70" t="s">
        <v>1529</v>
      </c>
      <c r="U109" s="70" t="s">
        <v>1529</v>
      </c>
      <c r="V109" s="70" t="s">
        <v>1529</v>
      </c>
      <c r="W109" s="70" t="s">
        <v>1529</v>
      </c>
      <c r="X109" s="70" t="s">
        <v>1529</v>
      </c>
      <c r="Y109" s="70" t="s">
        <v>1529</v>
      </c>
      <c r="Z109" s="70" t="s">
        <v>1529</v>
      </c>
      <c r="AA109" s="70" t="s">
        <v>1529</v>
      </c>
      <c r="AB109" s="70" t="s">
        <v>1529</v>
      </c>
      <c r="AC109" s="70" t="s">
        <v>1529</v>
      </c>
      <c r="AD109" s="70" t="s">
        <v>1529</v>
      </c>
      <c r="AE109" s="70" t="s">
        <v>1529</v>
      </c>
      <c r="AF109" s="70" t="s">
        <v>1529</v>
      </c>
      <c r="AG109" s="70" t="s">
        <v>1529</v>
      </c>
      <c r="AH109" s="70" t="s">
        <v>1529</v>
      </c>
      <c r="AI109" s="70" t="s">
        <v>1529</v>
      </c>
      <c r="AJ109" s="70" t="s">
        <v>1529</v>
      </c>
      <c r="AK109" s="70" t="s">
        <v>1529</v>
      </c>
      <c r="AL109" s="70" t="s">
        <v>1529</v>
      </c>
      <c r="AM109" s="70" t="s">
        <v>1529</v>
      </c>
      <c r="AN109" s="70"/>
      <c r="AO109" s="70"/>
      <c r="AP109" s="70"/>
    </row>
    <row r="110" spans="1:42" ht="15.75" thickBot="1" x14ac:dyDescent="0.3">
      <c r="A110" t="s">
        <v>52</v>
      </c>
      <c r="B110" t="s">
        <v>936</v>
      </c>
      <c r="C110" t="s">
        <v>1068</v>
      </c>
      <c r="D110" t="s">
        <v>937</v>
      </c>
      <c r="E110" s="30" t="s">
        <v>19</v>
      </c>
      <c r="F110" s="30" t="s">
        <v>28</v>
      </c>
      <c r="G110" s="30"/>
      <c r="H110" s="30" t="s">
        <v>1220</v>
      </c>
      <c r="I110" s="31">
        <f t="shared" si="7"/>
        <v>23</v>
      </c>
      <c r="J110" s="31">
        <f t="shared" si="8"/>
        <v>5</v>
      </c>
      <c r="K110" s="32">
        <f t="shared" si="9"/>
        <v>0.8214285714285714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1529</v>
      </c>
      <c r="X110" s="70"/>
      <c r="Y110" s="70" t="s">
        <v>1529</v>
      </c>
      <c r="Z110" s="70" t="s">
        <v>1529</v>
      </c>
      <c r="AA110" s="70"/>
      <c r="AB110" s="70"/>
      <c r="AC110" s="70"/>
      <c r="AD110" s="70"/>
      <c r="AE110" s="70"/>
      <c r="AF110" s="70"/>
      <c r="AG110" s="70"/>
      <c r="AH110" s="70" t="s">
        <v>1529</v>
      </c>
      <c r="AI110" s="70" t="s">
        <v>1529</v>
      </c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938</v>
      </c>
      <c r="C111" t="s">
        <v>1068</v>
      </c>
      <c r="D111" t="s">
        <v>1084</v>
      </c>
      <c r="E111" s="30" t="s">
        <v>73</v>
      </c>
      <c r="F111" s="30" t="s">
        <v>28</v>
      </c>
      <c r="G111" s="30"/>
      <c r="H111" s="30" t="s">
        <v>1507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1529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1115</v>
      </c>
      <c r="C112" t="s">
        <v>1068</v>
      </c>
      <c r="D112" t="s">
        <v>1114</v>
      </c>
      <c r="E112" s="30" t="s">
        <v>73</v>
      </c>
      <c r="F112" s="30" t="s">
        <v>28</v>
      </c>
      <c r="G112" s="30"/>
      <c r="H112" s="30" t="s">
        <v>1116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1529</v>
      </c>
      <c r="O112" s="70" t="s">
        <v>1529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1124</v>
      </c>
      <c r="C113" s="30" t="s">
        <v>1068</v>
      </c>
      <c r="D113" t="s">
        <v>122</v>
      </c>
      <c r="E113" s="30" t="s">
        <v>73</v>
      </c>
      <c r="F113" s="30" t="s">
        <v>28</v>
      </c>
      <c r="G113" s="30"/>
      <c r="H113" s="30" t="s">
        <v>1125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1529</v>
      </c>
      <c r="O113" s="70" t="s">
        <v>1529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1117</v>
      </c>
      <c r="C114" s="30" t="s">
        <v>1068</v>
      </c>
      <c r="D114" t="s">
        <v>1119</v>
      </c>
      <c r="E114" s="30" t="s">
        <v>73</v>
      </c>
      <c r="F114" s="30" t="s">
        <v>28</v>
      </c>
      <c r="G114" s="30"/>
      <c r="H114" s="30" t="s">
        <v>1126</v>
      </c>
      <c r="I114" s="31">
        <f t="shared" si="7"/>
        <v>17</v>
      </c>
      <c r="J114" s="31">
        <f t="shared" si="8"/>
        <v>11</v>
      </c>
      <c r="K114" s="32">
        <f t="shared" si="9"/>
        <v>0.6071428571428571</v>
      </c>
      <c r="L114" s="70" t="s">
        <v>1529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1529</v>
      </c>
      <c r="AE114" s="70" t="s">
        <v>1529</v>
      </c>
      <c r="AF114" s="70" t="s">
        <v>1529</v>
      </c>
      <c r="AG114" s="70" t="s">
        <v>1529</v>
      </c>
      <c r="AH114" s="70" t="s">
        <v>1529</v>
      </c>
      <c r="AI114" s="70" t="s">
        <v>1529</v>
      </c>
      <c r="AJ114" s="70" t="s">
        <v>1529</v>
      </c>
      <c r="AK114" s="70" t="s">
        <v>1529</v>
      </c>
      <c r="AL114" s="70" t="s">
        <v>1529</v>
      </c>
      <c r="AM114" s="70" t="s">
        <v>1529</v>
      </c>
      <c r="AN114" s="70"/>
      <c r="AO114" s="70"/>
      <c r="AP114" s="70"/>
    </row>
    <row r="115" spans="1:42" ht="15.75" thickBot="1" x14ac:dyDescent="0.3">
      <c r="A115" t="s">
        <v>52</v>
      </c>
      <c r="B115" s="30" t="s">
        <v>1118</v>
      </c>
      <c r="C115" s="30" t="s">
        <v>1068</v>
      </c>
      <c r="D115" t="s">
        <v>1119</v>
      </c>
      <c r="E115" s="30" t="s">
        <v>73</v>
      </c>
      <c r="F115" s="30" t="s">
        <v>28</v>
      </c>
      <c r="G115" s="30"/>
      <c r="H115" s="30" t="s">
        <v>1127</v>
      </c>
      <c r="I115" s="31">
        <f t="shared" si="7"/>
        <v>17</v>
      </c>
      <c r="J115" s="31">
        <f t="shared" si="8"/>
        <v>11</v>
      </c>
      <c r="K115" s="32">
        <f t="shared" si="9"/>
        <v>0.6071428571428571</v>
      </c>
      <c r="L115" s="70" t="s">
        <v>1529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1529</v>
      </c>
      <c r="AE115" s="70" t="s">
        <v>1529</v>
      </c>
      <c r="AF115" s="70" t="s">
        <v>1529</v>
      </c>
      <c r="AG115" s="70" t="s">
        <v>1529</v>
      </c>
      <c r="AH115" s="70" t="s">
        <v>1529</v>
      </c>
      <c r="AI115" s="70" t="s">
        <v>1529</v>
      </c>
      <c r="AJ115" s="70" t="s">
        <v>1529</v>
      </c>
      <c r="AK115" s="70" t="s">
        <v>1529</v>
      </c>
      <c r="AL115" s="70" t="s">
        <v>1529</v>
      </c>
      <c r="AM115" s="70" t="s">
        <v>1529</v>
      </c>
      <c r="AN115" s="70"/>
      <c r="AO115" s="70"/>
      <c r="AP115" s="70"/>
    </row>
    <row r="116" spans="1:42" ht="15.75" thickBot="1" x14ac:dyDescent="0.3">
      <c r="A116" t="s">
        <v>52</v>
      </c>
      <c r="B116" s="30" t="s">
        <v>1188</v>
      </c>
      <c r="C116" s="30" t="s">
        <v>1068</v>
      </c>
      <c r="D116" t="s">
        <v>93</v>
      </c>
      <c r="E116" s="30" t="s">
        <v>73</v>
      </c>
      <c r="F116" s="30" t="s">
        <v>28</v>
      </c>
      <c r="G116" s="30"/>
      <c r="H116" s="30" t="s">
        <v>1189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1204</v>
      </c>
      <c r="C117" s="30" t="s">
        <v>1068</v>
      </c>
      <c r="D117" t="s">
        <v>1205</v>
      </c>
      <c r="E117" s="30" t="s">
        <v>19</v>
      </c>
      <c r="F117" s="30" t="s">
        <v>28</v>
      </c>
      <c r="G117" s="30"/>
      <c r="H117" s="30" t="s">
        <v>1206</v>
      </c>
      <c r="I117" s="31">
        <f t="shared" si="7"/>
        <v>27</v>
      </c>
      <c r="J117" s="31">
        <f t="shared" si="8"/>
        <v>1</v>
      </c>
      <c r="K117" s="32">
        <f t="shared" si="9"/>
        <v>0.9642857142857143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 t="s">
        <v>1529</v>
      </c>
      <c r="AN117" s="70"/>
      <c r="AO117" s="70"/>
      <c r="AP117" s="70"/>
    </row>
    <row r="118" spans="1:42" ht="15.75" thickBot="1" x14ac:dyDescent="0.3">
      <c r="A118" t="s">
        <v>52</v>
      </c>
      <c r="B118" s="30" t="s">
        <v>1201</v>
      </c>
      <c r="C118" s="30" t="s">
        <v>1068</v>
      </c>
      <c r="D118" t="s">
        <v>1202</v>
      </c>
      <c r="E118" s="30" t="s">
        <v>19</v>
      </c>
      <c r="F118" s="30" t="s">
        <v>20</v>
      </c>
      <c r="G118" s="30"/>
      <c r="H118" s="30" t="s">
        <v>1203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1230</v>
      </c>
      <c r="C119" s="30" t="s">
        <v>1068</v>
      </c>
      <c r="D119" t="s">
        <v>1231</v>
      </c>
      <c r="E119" t="s">
        <v>73</v>
      </c>
      <c r="F119" t="s">
        <v>28</v>
      </c>
      <c r="G119"/>
      <c r="H119" s="30" t="s">
        <v>1318</v>
      </c>
      <c r="I119" s="31">
        <f t="shared" si="7"/>
        <v>26</v>
      </c>
      <c r="J119" s="31">
        <f t="shared" si="8"/>
        <v>2</v>
      </c>
      <c r="K119" s="32">
        <f t="shared" si="9"/>
        <v>0.9285714285714286</v>
      </c>
      <c r="L119" s="70"/>
      <c r="M119" s="70"/>
      <c r="N119" s="70"/>
      <c r="O119" s="70"/>
      <c r="P119" s="70" t="s">
        <v>1529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1529</v>
      </c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1232</v>
      </c>
      <c r="C120" s="30" t="s">
        <v>1068</v>
      </c>
      <c r="D120" t="s">
        <v>1233</v>
      </c>
      <c r="E120" t="s">
        <v>73</v>
      </c>
      <c r="F120" t="s">
        <v>28</v>
      </c>
      <c r="G120"/>
      <c r="H120" s="30" t="s">
        <v>1330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1529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1306</v>
      </c>
      <c r="C121" s="30" t="s">
        <v>1068</v>
      </c>
      <c r="D121" t="s">
        <v>88</v>
      </c>
      <c r="E121" s="30" t="s">
        <v>73</v>
      </c>
      <c r="F121" s="30" t="s">
        <v>28</v>
      </c>
      <c r="G121" s="30"/>
      <c r="H121" s="30" t="s">
        <v>1305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1332</v>
      </c>
      <c r="C122" s="30" t="s">
        <v>1068</v>
      </c>
      <c r="D122" t="s">
        <v>1333</v>
      </c>
      <c r="E122" s="87" t="s">
        <v>19</v>
      </c>
      <c r="F122" s="87" t="s">
        <v>1308</v>
      </c>
      <c r="G122" s="87"/>
      <c r="H122" s="87" t="s">
        <v>1334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1425</v>
      </c>
      <c r="C123" s="30" t="s">
        <v>1068</v>
      </c>
      <c r="D123" t="s">
        <v>1543</v>
      </c>
      <c r="E123" s="87" t="s">
        <v>19</v>
      </c>
      <c r="F123" s="87" t="s">
        <v>28</v>
      </c>
      <c r="G123" s="87"/>
      <c r="H123" s="87" t="s">
        <v>1426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1519</v>
      </c>
      <c r="C124" s="30" t="s">
        <v>1068</v>
      </c>
      <c r="D124" t="s">
        <v>1520</v>
      </c>
      <c r="E124" s="87"/>
      <c r="F124" s="87" t="s">
        <v>28</v>
      </c>
      <c r="G124" s="87"/>
      <c r="H124" s="87" t="s">
        <v>1524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1498</v>
      </c>
      <c r="C125" s="30" t="s">
        <v>1068</v>
      </c>
      <c r="D125" t="s">
        <v>1497</v>
      </c>
      <c r="E125" s="87" t="s">
        <v>73</v>
      </c>
      <c r="F125" s="87" t="s">
        <v>28</v>
      </c>
      <c r="G125" s="87"/>
      <c r="H125" s="87" t="s">
        <v>1499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1501</v>
      </c>
      <c r="C126" s="30" t="s">
        <v>1068</v>
      </c>
      <c r="D126" t="s">
        <v>1500</v>
      </c>
      <c r="E126" s="87" t="s">
        <v>19</v>
      </c>
      <c r="F126" s="87" t="s">
        <v>28</v>
      </c>
      <c r="G126" s="87"/>
      <c r="H126" s="87" t="s">
        <v>1502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1534</v>
      </c>
      <c r="C127" s="30" t="s">
        <v>1068</v>
      </c>
      <c r="D127" t="s">
        <v>1535</v>
      </c>
      <c r="E127" s="87" t="s">
        <v>19</v>
      </c>
      <c r="F127" s="87" t="s">
        <v>28</v>
      </c>
      <c r="G127" s="87"/>
      <c r="H127" s="87" t="s">
        <v>1536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1529</v>
      </c>
      <c r="W127" s="70" t="s">
        <v>1529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1537</v>
      </c>
      <c r="C128" s="30" t="s">
        <v>1068</v>
      </c>
      <c r="D128" t="s">
        <v>1538</v>
      </c>
      <c r="E128" s="87" t="s">
        <v>19</v>
      </c>
      <c r="F128" s="87" t="s">
        <v>28</v>
      </c>
      <c r="G128" s="87"/>
      <c r="H128" s="87" t="s">
        <v>1539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1579</v>
      </c>
      <c r="C129" s="30" t="s">
        <v>1068</v>
      </c>
      <c r="D129" t="s">
        <v>1581</v>
      </c>
      <c r="E129" s="87" t="s">
        <v>1585</v>
      </c>
      <c r="F129" s="87" t="s">
        <v>1308</v>
      </c>
      <c r="G129" s="87"/>
      <c r="H129" s="87" t="s">
        <v>1583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1580</v>
      </c>
      <c r="C130" s="30" t="s">
        <v>1068</v>
      </c>
      <c r="D130" t="s">
        <v>1582</v>
      </c>
      <c r="E130" s="87"/>
      <c r="F130" s="87" t="s">
        <v>1308</v>
      </c>
      <c r="G130" s="87"/>
      <c r="H130" s="87" t="s">
        <v>1584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1068</v>
      </c>
      <c r="D131" t="s">
        <v>167</v>
      </c>
      <c r="E131" s="30" t="s">
        <v>19</v>
      </c>
      <c r="F131" s="30" t="s">
        <v>20</v>
      </c>
      <c r="G131" s="30"/>
      <c r="H131" s="30" t="s">
        <v>1416</v>
      </c>
      <c r="I131" s="31">
        <f t="shared" si="7"/>
        <v>26</v>
      </c>
      <c r="J131" s="31">
        <f t="shared" si="8"/>
        <v>2</v>
      </c>
      <c r="K131" s="32">
        <f t="shared" si="9"/>
        <v>0.9285714285714286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 t="s">
        <v>1529</v>
      </c>
      <c r="AJ131" s="70"/>
      <c r="AK131" s="70" t="s">
        <v>1529</v>
      </c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1068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1529</v>
      </c>
      <c r="M132" s="70"/>
      <c r="N132" s="70" t="s">
        <v>1529</v>
      </c>
      <c r="O132" s="70" t="s">
        <v>1529</v>
      </c>
      <c r="P132" s="70" t="s">
        <v>1529</v>
      </c>
      <c r="Q132" s="70" t="s">
        <v>1529</v>
      </c>
      <c r="R132" s="70" t="s">
        <v>1529</v>
      </c>
      <c r="S132" s="70" t="s">
        <v>1529</v>
      </c>
      <c r="T132" s="70" t="s">
        <v>1529</v>
      </c>
      <c r="U132" s="70" t="s">
        <v>1529</v>
      </c>
      <c r="V132" s="70" t="s">
        <v>1529</v>
      </c>
      <c r="W132" s="70" t="s">
        <v>1529</v>
      </c>
      <c r="X132" s="70" t="s">
        <v>1529</v>
      </c>
      <c r="Y132" s="70" t="s">
        <v>1529</v>
      </c>
      <c r="Z132" s="70" t="s">
        <v>1529</v>
      </c>
      <c r="AA132" s="70" t="s">
        <v>1529</v>
      </c>
      <c r="AB132" s="70" t="s">
        <v>1529</v>
      </c>
      <c r="AC132" s="70" t="s">
        <v>1529</v>
      </c>
      <c r="AD132" s="70" t="s">
        <v>1529</v>
      </c>
      <c r="AE132" s="70" t="s">
        <v>1529</v>
      </c>
      <c r="AF132" s="70" t="s">
        <v>1529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1068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1529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1068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1529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1529</v>
      </c>
      <c r="Y134" s="70" t="s">
        <v>1529</v>
      </c>
      <c r="Z134" s="70" t="s">
        <v>1529</v>
      </c>
      <c r="AA134" s="70" t="s">
        <v>1529</v>
      </c>
      <c r="AB134" s="70" t="s">
        <v>1529</v>
      </c>
      <c r="AC134" s="70" t="s">
        <v>1529</v>
      </c>
      <c r="AD134" s="70" t="s">
        <v>1529</v>
      </c>
      <c r="AE134" s="70" t="s">
        <v>1529</v>
      </c>
      <c r="AF134" s="70" t="s">
        <v>1529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1069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1069</v>
      </c>
      <c r="D136" t="s">
        <v>180</v>
      </c>
      <c r="E136" s="30" t="s">
        <v>19</v>
      </c>
      <c r="F136" s="30" t="s">
        <v>20</v>
      </c>
      <c r="G136" s="30"/>
      <c r="H136" s="30" t="s">
        <v>1316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1529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942</v>
      </c>
      <c r="C137" t="s">
        <v>1069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1529</v>
      </c>
      <c r="Q137" s="70" t="s">
        <v>1529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1234</v>
      </c>
      <c r="C138" t="s">
        <v>1069</v>
      </c>
      <c r="D138" t="s">
        <v>1235</v>
      </c>
      <c r="E138" t="s">
        <v>19</v>
      </c>
      <c r="F138" t="s">
        <v>28</v>
      </c>
      <c r="G138"/>
      <c r="H138" s="30" t="s">
        <v>1245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1068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2</v>
      </c>
      <c r="J139" s="145">
        <f t="shared" si="8"/>
        <v>26</v>
      </c>
      <c r="K139" s="146">
        <f t="shared" si="9"/>
        <v>7.1428571428571425E-2</v>
      </c>
      <c r="L139" s="97" t="s">
        <v>1529</v>
      </c>
      <c r="M139" s="97"/>
      <c r="N139" s="97" t="s">
        <v>1529</v>
      </c>
      <c r="O139" s="97" t="s">
        <v>1529</v>
      </c>
      <c r="P139" s="97" t="s">
        <v>1529</v>
      </c>
      <c r="Q139" s="97" t="s">
        <v>1529</v>
      </c>
      <c r="R139" s="97" t="s">
        <v>1529</v>
      </c>
      <c r="S139" s="97" t="s">
        <v>1529</v>
      </c>
      <c r="T139" s="97" t="s">
        <v>1529</v>
      </c>
      <c r="U139" s="97" t="s">
        <v>1529</v>
      </c>
      <c r="V139" s="97" t="s">
        <v>1529</v>
      </c>
      <c r="W139" s="97" t="s">
        <v>1529</v>
      </c>
      <c r="X139" s="97" t="s">
        <v>1529</v>
      </c>
      <c r="Y139" s="97" t="s">
        <v>1529</v>
      </c>
      <c r="Z139" s="97" t="s">
        <v>1529</v>
      </c>
      <c r="AA139" s="97" t="s">
        <v>1529</v>
      </c>
      <c r="AB139" s="97" t="s">
        <v>1529</v>
      </c>
      <c r="AC139" s="97" t="s">
        <v>1529</v>
      </c>
      <c r="AD139" s="97" t="s">
        <v>1529</v>
      </c>
      <c r="AE139" s="97" t="s">
        <v>1529</v>
      </c>
      <c r="AF139" s="70" t="s">
        <v>1529</v>
      </c>
      <c r="AG139" s="97" t="s">
        <v>1529</v>
      </c>
      <c r="AH139" s="97" t="s">
        <v>1529</v>
      </c>
      <c r="AI139" s="97"/>
      <c r="AJ139" s="97" t="s">
        <v>1529</v>
      </c>
      <c r="AK139" s="97" t="s">
        <v>1529</v>
      </c>
      <c r="AL139" s="97" t="s">
        <v>1529</v>
      </c>
      <c r="AM139" s="97" t="s">
        <v>1529</v>
      </c>
      <c r="AN139" s="97"/>
      <c r="AO139" s="97"/>
      <c r="AP139" s="97"/>
    </row>
    <row r="140" spans="1:42" ht="15.75" thickBot="1" x14ac:dyDescent="0.3">
      <c r="A140" t="s">
        <v>184</v>
      </c>
      <c r="B140" t="s">
        <v>943</v>
      </c>
      <c r="C140" t="s">
        <v>1068</v>
      </c>
      <c r="D140" t="s">
        <v>185</v>
      </c>
      <c r="E140" s="30" t="s">
        <v>73</v>
      </c>
      <c r="F140" s="30" t="s">
        <v>1062</v>
      </c>
      <c r="G140" s="30" t="s">
        <v>1256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944</v>
      </c>
      <c r="C141" t="s">
        <v>1068</v>
      </c>
      <c r="D141" t="s">
        <v>185</v>
      </c>
      <c r="E141" s="30" t="s">
        <v>73</v>
      </c>
      <c r="F141" s="30" t="s">
        <v>1062</v>
      </c>
      <c r="G141" s="30" t="s">
        <v>1256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945</v>
      </c>
      <c r="C142" s="95" t="s">
        <v>1068</v>
      </c>
      <c r="D142" s="95" t="s">
        <v>946</v>
      </c>
      <c r="E142" s="96" t="s">
        <v>73</v>
      </c>
      <c r="F142" s="96" t="s">
        <v>1062</v>
      </c>
      <c r="G142" s="96" t="s">
        <v>1256</v>
      </c>
      <c r="H142" s="96" t="s">
        <v>1221</v>
      </c>
      <c r="I142" s="31">
        <f t="shared" si="7"/>
        <v>1</v>
      </c>
      <c r="J142" s="31">
        <f t="shared" si="8"/>
        <v>27</v>
      </c>
      <c r="K142" s="32">
        <f t="shared" si="9"/>
        <v>3.5714285714285712E-2</v>
      </c>
      <c r="L142" s="70" t="s">
        <v>1529</v>
      </c>
      <c r="M142" s="70"/>
      <c r="N142" s="70" t="s">
        <v>1529</v>
      </c>
      <c r="O142" s="70" t="s">
        <v>1529</v>
      </c>
      <c r="P142" s="70" t="s">
        <v>1529</v>
      </c>
      <c r="Q142" s="70" t="s">
        <v>1529</v>
      </c>
      <c r="R142" s="70" t="s">
        <v>1529</v>
      </c>
      <c r="S142" s="70" t="s">
        <v>1529</v>
      </c>
      <c r="T142" s="70" t="s">
        <v>1529</v>
      </c>
      <c r="U142" s="70" t="s">
        <v>1529</v>
      </c>
      <c r="V142" s="70" t="s">
        <v>1529</v>
      </c>
      <c r="W142" s="70" t="s">
        <v>1529</v>
      </c>
      <c r="X142" s="70" t="s">
        <v>1529</v>
      </c>
      <c r="Y142" s="70" t="s">
        <v>1529</v>
      </c>
      <c r="Z142" s="70" t="s">
        <v>1529</v>
      </c>
      <c r="AA142" s="70" t="s">
        <v>1529</v>
      </c>
      <c r="AB142" s="70" t="s">
        <v>1529</v>
      </c>
      <c r="AC142" s="70" t="s">
        <v>1529</v>
      </c>
      <c r="AD142" s="97" t="s">
        <v>1529</v>
      </c>
      <c r="AE142" s="97" t="s">
        <v>1529</v>
      </c>
      <c r="AF142" s="70" t="s">
        <v>1529</v>
      </c>
      <c r="AG142" s="97" t="s">
        <v>1529</v>
      </c>
      <c r="AH142" s="97" t="s">
        <v>1529</v>
      </c>
      <c r="AI142" s="97" t="s">
        <v>1529</v>
      </c>
      <c r="AJ142" s="97" t="s">
        <v>1529</v>
      </c>
      <c r="AK142" s="97" t="s">
        <v>1529</v>
      </c>
      <c r="AL142" s="97" t="s">
        <v>1529</v>
      </c>
      <c r="AM142" s="97" t="s">
        <v>1529</v>
      </c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947</v>
      </c>
      <c r="C143" s="95" t="s">
        <v>1068</v>
      </c>
      <c r="D143" s="95" t="s">
        <v>946</v>
      </c>
      <c r="E143" s="96" t="s">
        <v>73</v>
      </c>
      <c r="F143" s="96" t="s">
        <v>1062</v>
      </c>
      <c r="G143" s="96" t="s">
        <v>1256</v>
      </c>
      <c r="H143" s="96" t="s">
        <v>1222</v>
      </c>
      <c r="I143" s="31">
        <f t="shared" si="7"/>
        <v>1</v>
      </c>
      <c r="J143" s="31">
        <f t="shared" si="8"/>
        <v>27</v>
      </c>
      <c r="K143" s="32">
        <f t="shared" si="9"/>
        <v>3.5714285714285712E-2</v>
      </c>
      <c r="L143" s="70" t="s">
        <v>1529</v>
      </c>
      <c r="M143" s="70"/>
      <c r="N143" s="70" t="s">
        <v>1529</v>
      </c>
      <c r="O143" s="70" t="s">
        <v>1529</v>
      </c>
      <c r="P143" s="70" t="s">
        <v>1529</v>
      </c>
      <c r="Q143" s="70" t="s">
        <v>1529</v>
      </c>
      <c r="R143" s="70" t="s">
        <v>1529</v>
      </c>
      <c r="S143" s="70" t="s">
        <v>1529</v>
      </c>
      <c r="T143" s="70" t="s">
        <v>1529</v>
      </c>
      <c r="U143" s="70" t="s">
        <v>1529</v>
      </c>
      <c r="V143" s="70" t="s">
        <v>1529</v>
      </c>
      <c r="W143" s="70" t="s">
        <v>1529</v>
      </c>
      <c r="X143" s="70" t="s">
        <v>1529</v>
      </c>
      <c r="Y143" s="70" t="s">
        <v>1529</v>
      </c>
      <c r="Z143" s="70" t="s">
        <v>1529</v>
      </c>
      <c r="AA143" s="70" t="s">
        <v>1529</v>
      </c>
      <c r="AB143" s="70" t="s">
        <v>1529</v>
      </c>
      <c r="AC143" s="70" t="s">
        <v>1529</v>
      </c>
      <c r="AD143" s="97" t="s">
        <v>1529</v>
      </c>
      <c r="AE143" s="97" t="s">
        <v>1529</v>
      </c>
      <c r="AF143" s="70" t="s">
        <v>1529</v>
      </c>
      <c r="AG143" s="97" t="s">
        <v>1529</v>
      </c>
      <c r="AH143" s="97" t="s">
        <v>1529</v>
      </c>
      <c r="AI143" s="97" t="s">
        <v>1529</v>
      </c>
      <c r="AJ143" s="97" t="s">
        <v>1529</v>
      </c>
      <c r="AK143" s="97" t="s">
        <v>1529</v>
      </c>
      <c r="AL143" s="97" t="s">
        <v>1529</v>
      </c>
      <c r="AM143" s="97" t="s">
        <v>1529</v>
      </c>
      <c r="AN143" s="97"/>
      <c r="AO143" s="97"/>
      <c r="AP143" s="97"/>
    </row>
    <row r="144" spans="1:42" ht="15.75" thickBot="1" x14ac:dyDescent="0.3">
      <c r="A144" t="s">
        <v>184</v>
      </c>
      <c r="B144" t="s">
        <v>1140</v>
      </c>
      <c r="C144" t="s">
        <v>1068</v>
      </c>
      <c r="D144" t="s">
        <v>1135</v>
      </c>
      <c r="E144" s="30" t="s">
        <v>73</v>
      </c>
      <c r="F144" s="30" t="s">
        <v>1062</v>
      </c>
      <c r="G144" s="30" t="s">
        <v>1256</v>
      </c>
      <c r="H144" s="30" t="s">
        <v>1148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1141</v>
      </c>
      <c r="C145" t="s">
        <v>1068</v>
      </c>
      <c r="D145" t="s">
        <v>1135</v>
      </c>
      <c r="E145" s="30" t="s">
        <v>73</v>
      </c>
      <c r="F145" s="30" t="s">
        <v>1062</v>
      </c>
      <c r="G145" s="30" t="s">
        <v>1256</v>
      </c>
      <c r="H145" s="30" t="s">
        <v>1149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1570</v>
      </c>
      <c r="C146" t="s">
        <v>1068</v>
      </c>
      <c r="D146" t="s">
        <v>1571</v>
      </c>
      <c r="E146" s="30" t="s">
        <v>46</v>
      </c>
      <c r="F146" s="30" t="s">
        <v>1308</v>
      </c>
      <c r="G146" s="30"/>
      <c r="H146" s="30" t="s">
        <v>1572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1337</v>
      </c>
      <c r="B147" t="s">
        <v>1325</v>
      </c>
      <c r="C147" s="85" t="s">
        <v>1069</v>
      </c>
      <c r="D147" t="s">
        <v>1326</v>
      </c>
      <c r="E147" s="30" t="s">
        <v>19</v>
      </c>
      <c r="F147" s="30" t="s">
        <v>1308</v>
      </c>
      <c r="G147" s="30"/>
      <c r="H147" s="30" t="s">
        <v>1340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1529</v>
      </c>
      <c r="AG147" s="70" t="s">
        <v>1529</v>
      </c>
      <c r="AH147" s="70" t="s">
        <v>1529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1337</v>
      </c>
      <c r="B148" t="s">
        <v>1341</v>
      </c>
      <c r="C148" s="85" t="s">
        <v>1069</v>
      </c>
      <c r="D148" t="s">
        <v>1342</v>
      </c>
      <c r="E148" s="30"/>
      <c r="F148" s="30"/>
      <c r="G148" s="30"/>
      <c r="H148" s="30" t="s">
        <v>1508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948</v>
      </c>
      <c r="C149" t="s">
        <v>1069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13</v>
      </c>
      <c r="J149" s="31">
        <f t="shared" si="11"/>
        <v>15</v>
      </c>
      <c r="K149" s="32">
        <f t="shared" si="12"/>
        <v>0.4642857142857143</v>
      </c>
      <c r="L149" s="70"/>
      <c r="M149" s="70"/>
      <c r="N149" s="70"/>
      <c r="O149" s="70"/>
      <c r="P149" s="70"/>
      <c r="Q149" s="70"/>
      <c r="R149" s="70"/>
      <c r="S149" s="70" t="s">
        <v>1529</v>
      </c>
      <c r="T149" s="70" t="s">
        <v>1529</v>
      </c>
      <c r="U149" s="70" t="s">
        <v>1529</v>
      </c>
      <c r="V149" s="70" t="s">
        <v>1529</v>
      </c>
      <c r="W149" s="70"/>
      <c r="X149" s="70"/>
      <c r="Y149" s="70"/>
      <c r="Z149" s="70"/>
      <c r="AA149" s="70" t="s">
        <v>1529</v>
      </c>
      <c r="AB149" s="70" t="s">
        <v>1529</v>
      </c>
      <c r="AC149" s="70" t="s">
        <v>1529</v>
      </c>
      <c r="AD149" s="70" t="s">
        <v>1529</v>
      </c>
      <c r="AE149" s="70" t="s">
        <v>1529</v>
      </c>
      <c r="AF149" s="70" t="s">
        <v>1529</v>
      </c>
      <c r="AG149" s="70" t="s">
        <v>1529</v>
      </c>
      <c r="AH149" s="70" t="s">
        <v>1529</v>
      </c>
      <c r="AI149" s="70" t="s">
        <v>1529</v>
      </c>
      <c r="AJ149" s="70" t="s">
        <v>1529</v>
      </c>
      <c r="AK149" s="70"/>
      <c r="AL149" s="70"/>
      <c r="AM149" s="70" t="s">
        <v>1529</v>
      </c>
      <c r="AN149" s="70"/>
      <c r="AO149" s="70"/>
      <c r="AP149" s="70"/>
    </row>
    <row r="150" spans="1:42" ht="15.75" thickBot="1" x14ac:dyDescent="0.3">
      <c r="A150" t="s">
        <v>186</v>
      </c>
      <c r="B150" t="s">
        <v>949</v>
      </c>
      <c r="C150" t="s">
        <v>1069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21</v>
      </c>
      <c r="J150" s="31">
        <f t="shared" si="11"/>
        <v>7</v>
      </c>
      <c r="K150" s="32">
        <f t="shared" si="12"/>
        <v>0.75</v>
      </c>
      <c r="L150" s="70"/>
      <c r="M150" s="70"/>
      <c r="N150" s="70"/>
      <c r="O150" s="70"/>
      <c r="P150" s="70"/>
      <c r="Q150" s="70"/>
      <c r="R150" s="70"/>
      <c r="S150" s="70" t="s">
        <v>1529</v>
      </c>
      <c r="T150" s="70" t="s">
        <v>1529</v>
      </c>
      <c r="U150" s="70" t="s">
        <v>1529</v>
      </c>
      <c r="V150" s="70" t="s">
        <v>1529</v>
      </c>
      <c r="W150" s="70"/>
      <c r="X150" s="70"/>
      <c r="Y150" s="70"/>
      <c r="Z150" s="70"/>
      <c r="AA150" s="70" t="s">
        <v>1529</v>
      </c>
      <c r="AB150" s="70" t="s">
        <v>1529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 t="s">
        <v>1529</v>
      </c>
      <c r="AN150" s="70"/>
      <c r="AO150" s="70"/>
      <c r="AP150" s="70"/>
    </row>
    <row r="151" spans="1:42" ht="15.75" thickBot="1" x14ac:dyDescent="0.3">
      <c r="A151" t="s">
        <v>186</v>
      </c>
      <c r="B151" t="s">
        <v>950</v>
      </c>
      <c r="C151" t="s">
        <v>1069</v>
      </c>
      <c r="D151" t="s">
        <v>189</v>
      </c>
      <c r="E151" s="30" t="s">
        <v>19</v>
      </c>
      <c r="F151" s="30" t="s">
        <v>28</v>
      </c>
      <c r="G151" s="30"/>
      <c r="H151" s="30" t="s">
        <v>1317</v>
      </c>
      <c r="I151" s="31">
        <f t="shared" si="10"/>
        <v>25</v>
      </c>
      <c r="J151" s="31">
        <f t="shared" si="11"/>
        <v>3</v>
      </c>
      <c r="K151" s="32">
        <f t="shared" si="12"/>
        <v>0.8928571428571429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1529</v>
      </c>
      <c r="AB151" s="70" t="s">
        <v>1529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1529</v>
      </c>
      <c r="AN151" s="70"/>
      <c r="AO151" s="70"/>
      <c r="AP151" s="70"/>
    </row>
    <row r="152" spans="1:42" ht="15.75" thickBot="1" x14ac:dyDescent="0.3">
      <c r="A152" t="s">
        <v>186</v>
      </c>
      <c r="B152" t="s">
        <v>951</v>
      </c>
      <c r="C152" t="s">
        <v>1069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21</v>
      </c>
      <c r="J152" s="31">
        <f t="shared" si="11"/>
        <v>7</v>
      </c>
      <c r="K152" s="32">
        <f t="shared" si="12"/>
        <v>0.75</v>
      </c>
      <c r="L152" s="70"/>
      <c r="M152" s="70"/>
      <c r="N152" s="70"/>
      <c r="O152" s="70"/>
      <c r="P152" s="70"/>
      <c r="Q152" s="70"/>
      <c r="R152" s="70"/>
      <c r="S152" s="70" t="s">
        <v>1529</v>
      </c>
      <c r="T152" s="70" t="s">
        <v>1529</v>
      </c>
      <c r="U152" s="70" t="s">
        <v>1529</v>
      </c>
      <c r="V152" s="70" t="s">
        <v>1529</v>
      </c>
      <c r="W152" s="70"/>
      <c r="X152" s="70"/>
      <c r="Y152" s="70"/>
      <c r="Z152" s="70"/>
      <c r="AA152" s="70" t="s">
        <v>1529</v>
      </c>
      <c r="AB152" s="70" t="s">
        <v>1529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 t="s">
        <v>1529</v>
      </c>
      <c r="AN152" s="70"/>
      <c r="AO152" s="70"/>
      <c r="AP152" s="70"/>
    </row>
    <row r="153" spans="1:42" ht="15.75" thickBot="1" x14ac:dyDescent="0.3">
      <c r="A153" t="s">
        <v>186</v>
      </c>
      <c r="B153" t="s">
        <v>1561</v>
      </c>
      <c r="C153" t="s">
        <v>1069</v>
      </c>
      <c r="D153" t="s">
        <v>983</v>
      </c>
      <c r="E153" s="30" t="s">
        <v>46</v>
      </c>
      <c r="F153" s="30"/>
      <c r="G153" s="30"/>
      <c r="H153" s="30" t="s">
        <v>1564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1529</v>
      </c>
      <c r="AB153" s="70" t="s">
        <v>1529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 t="s">
        <v>1529</v>
      </c>
      <c r="AN153" s="70"/>
      <c r="AO153" s="70"/>
      <c r="AP153" s="70"/>
    </row>
    <row r="154" spans="1:42" ht="15.75" thickBot="1" x14ac:dyDescent="0.3">
      <c r="A154" t="s">
        <v>186</v>
      </c>
      <c r="B154" t="s">
        <v>1562</v>
      </c>
      <c r="C154" t="s">
        <v>1069</v>
      </c>
      <c r="D154" t="s">
        <v>1563</v>
      </c>
      <c r="E154" s="30" t="s">
        <v>15</v>
      </c>
      <c r="F154" s="30"/>
      <c r="G154" s="30"/>
      <c r="H154" s="30" t="s">
        <v>1565</v>
      </c>
      <c r="I154" s="31">
        <f t="shared" si="10"/>
        <v>25</v>
      </c>
      <c r="J154" s="31">
        <f t="shared" si="11"/>
        <v>3</v>
      </c>
      <c r="K154" s="32">
        <f t="shared" si="12"/>
        <v>0.8928571428571429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1529</v>
      </c>
      <c r="AB154" s="70" t="s">
        <v>1529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 t="s">
        <v>1529</v>
      </c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1069</v>
      </c>
      <c r="D155" t="s">
        <v>195</v>
      </c>
      <c r="E155" s="30" t="s">
        <v>19</v>
      </c>
      <c r="F155" s="30" t="s">
        <v>20</v>
      </c>
      <c r="G155" s="30"/>
      <c r="H155" s="30" t="s">
        <v>1452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1069</v>
      </c>
      <c r="D156" t="s">
        <v>198</v>
      </c>
      <c r="E156" s="30" t="s">
        <v>19</v>
      </c>
      <c r="F156" s="30" t="s">
        <v>1062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1529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1529</v>
      </c>
      <c r="AF156" s="70" t="s">
        <v>1529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1069</v>
      </c>
      <c r="D157" t="s">
        <v>201</v>
      </c>
      <c r="E157" s="30" t="s">
        <v>15</v>
      </c>
      <c r="F157" s="30" t="s">
        <v>1062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1529</v>
      </c>
      <c r="AF157" s="70" t="s">
        <v>1529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1069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1069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1069</v>
      </c>
      <c r="D160" t="s">
        <v>207</v>
      </c>
      <c r="E160" s="30" t="s">
        <v>19</v>
      </c>
      <c r="F160" s="30" t="s">
        <v>20</v>
      </c>
      <c r="G160" s="30"/>
      <c r="H160" s="30" t="s">
        <v>1438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953</v>
      </c>
      <c r="C161" t="s">
        <v>1069</v>
      </c>
      <c r="D161" t="s">
        <v>192</v>
      </c>
      <c r="E161" s="30" t="s">
        <v>15</v>
      </c>
      <c r="F161" s="30" t="s">
        <v>1062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1529</v>
      </c>
      <c r="AF161" s="70" t="s">
        <v>1529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1069</v>
      </c>
      <c r="D162" t="s">
        <v>952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1069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1069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1069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1529</v>
      </c>
      <c r="AF165" s="70" t="s">
        <v>1529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1069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1529</v>
      </c>
      <c r="AF166" s="70" t="s">
        <v>1529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1176</v>
      </c>
      <c r="C167" s="30" t="s">
        <v>1069</v>
      </c>
      <c r="D167" t="s">
        <v>1159</v>
      </c>
      <c r="E167" s="30" t="s">
        <v>1120</v>
      </c>
      <c r="F167" s="30" t="s">
        <v>28</v>
      </c>
      <c r="G167" s="30"/>
      <c r="H167" s="30" t="s">
        <v>1160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1529</v>
      </c>
      <c r="AF167" s="70" t="s">
        <v>1529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1175</v>
      </c>
      <c r="C168" s="30" t="s">
        <v>1069</v>
      </c>
      <c r="D168" t="s">
        <v>1159</v>
      </c>
      <c r="E168" s="30" t="s">
        <v>1120</v>
      </c>
      <c r="F168" s="30" t="s">
        <v>28</v>
      </c>
      <c r="G168" s="30"/>
      <c r="H168" s="30" t="s">
        <v>1161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1529</v>
      </c>
      <c r="AF168" s="70" t="s">
        <v>1529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1178</v>
      </c>
      <c r="C169" s="30" t="s">
        <v>1069</v>
      </c>
      <c r="D169" t="s">
        <v>1156</v>
      </c>
      <c r="E169" s="30" t="s">
        <v>73</v>
      </c>
      <c r="F169" s="30" t="s">
        <v>28</v>
      </c>
      <c r="G169" s="30"/>
      <c r="H169" s="30" t="s">
        <v>1157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1529</v>
      </c>
      <c r="M169" s="70"/>
      <c r="N169" s="70" t="s">
        <v>1529</v>
      </c>
      <c r="O169" s="70" t="s">
        <v>1529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1179</v>
      </c>
      <c r="C170" s="30" t="s">
        <v>1069</v>
      </c>
      <c r="D170" t="s">
        <v>1156</v>
      </c>
      <c r="E170" s="30" t="s">
        <v>73</v>
      </c>
      <c r="F170" s="30" t="s">
        <v>28</v>
      </c>
      <c r="G170" s="30"/>
      <c r="H170" s="30" t="s">
        <v>1158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1529</v>
      </c>
      <c r="M170" s="70"/>
      <c r="N170" s="70" t="s">
        <v>1529</v>
      </c>
      <c r="O170" s="70" t="s">
        <v>1529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1525</v>
      </c>
      <c r="C171" s="30" t="s">
        <v>1069</v>
      </c>
      <c r="D171" t="s">
        <v>1526</v>
      </c>
      <c r="E171" s="30" t="s">
        <v>19</v>
      </c>
      <c r="F171" s="30" t="s">
        <v>28</v>
      </c>
      <c r="G171" s="30"/>
      <c r="H171" s="30" t="s">
        <v>1527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1567</v>
      </c>
      <c r="C172" s="30" t="s">
        <v>1069</v>
      </c>
      <c r="D172" t="s">
        <v>1568</v>
      </c>
      <c r="E172" s="30" t="s">
        <v>19</v>
      </c>
      <c r="F172" s="30" t="s">
        <v>1308</v>
      </c>
      <c r="G172" s="30"/>
      <c r="H172" s="30" t="s">
        <v>1569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1547</v>
      </c>
      <c r="C173" s="30" t="s">
        <v>1069</v>
      </c>
      <c r="D173" t="s">
        <v>1548</v>
      </c>
      <c r="E173" s="30" t="s">
        <v>1120</v>
      </c>
      <c r="F173" s="30" t="s">
        <v>1549</v>
      </c>
      <c r="G173" s="30"/>
      <c r="H173" s="30" t="s">
        <v>1550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954</v>
      </c>
      <c r="C174" t="s">
        <v>1069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27</v>
      </c>
      <c r="J174" s="31">
        <f t="shared" si="11"/>
        <v>1</v>
      </c>
      <c r="K174" s="32">
        <f t="shared" si="12"/>
        <v>0.9642857142857143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 t="s">
        <v>1529</v>
      </c>
      <c r="AN174" s="70"/>
      <c r="AO174" s="70"/>
      <c r="AP174" s="70"/>
    </row>
    <row r="175" spans="1:42" ht="15.75" thickBot="1" x14ac:dyDescent="0.3">
      <c r="A175" t="s">
        <v>214</v>
      </c>
      <c r="B175" t="s">
        <v>955</v>
      </c>
      <c r="C175" t="s">
        <v>1069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27</v>
      </c>
      <c r="J175" s="31">
        <f t="shared" si="11"/>
        <v>1</v>
      </c>
      <c r="K175" s="32">
        <f t="shared" si="12"/>
        <v>0.9642857142857143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 t="s">
        <v>1529</v>
      </c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956</v>
      </c>
      <c r="C176" s="141" t="s">
        <v>1069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1</v>
      </c>
      <c r="J176" s="142">
        <f t="shared" si="11"/>
        <v>27</v>
      </c>
      <c r="K176" s="143">
        <f t="shared" si="12"/>
        <v>3.5714285714285712E-2</v>
      </c>
      <c r="L176" s="144" t="s">
        <v>1529</v>
      </c>
      <c r="M176" s="144"/>
      <c r="N176" s="144" t="s">
        <v>1529</v>
      </c>
      <c r="O176" s="144" t="s">
        <v>1529</v>
      </c>
      <c r="P176" s="144" t="s">
        <v>1529</v>
      </c>
      <c r="Q176" s="144" t="s">
        <v>1529</v>
      </c>
      <c r="R176" s="144" t="s">
        <v>1529</v>
      </c>
      <c r="S176" s="144" t="s">
        <v>1529</v>
      </c>
      <c r="T176" s="144" t="s">
        <v>1529</v>
      </c>
      <c r="U176" s="144" t="s">
        <v>1529</v>
      </c>
      <c r="V176" s="144" t="s">
        <v>1529</v>
      </c>
      <c r="W176" s="144" t="s">
        <v>1529</v>
      </c>
      <c r="X176" s="144" t="s">
        <v>1529</v>
      </c>
      <c r="Y176" s="144" t="s">
        <v>1529</v>
      </c>
      <c r="Z176" s="144" t="s">
        <v>1529</v>
      </c>
      <c r="AA176" s="144" t="s">
        <v>1529</v>
      </c>
      <c r="AB176" s="144" t="s">
        <v>1529</v>
      </c>
      <c r="AC176" s="144" t="s">
        <v>1529</v>
      </c>
      <c r="AD176" s="144" t="s">
        <v>1529</v>
      </c>
      <c r="AE176" s="144" t="s">
        <v>1529</v>
      </c>
      <c r="AF176" s="70" t="s">
        <v>1529</v>
      </c>
      <c r="AG176" s="144" t="s">
        <v>1529</v>
      </c>
      <c r="AH176" s="144" t="s">
        <v>1529</v>
      </c>
      <c r="AI176" s="144" t="s">
        <v>1529</v>
      </c>
      <c r="AJ176" s="144" t="s">
        <v>1529</v>
      </c>
      <c r="AK176" s="144" t="s">
        <v>1529</v>
      </c>
      <c r="AL176" s="144" t="s">
        <v>1529</v>
      </c>
      <c r="AM176" s="144" t="s">
        <v>1529</v>
      </c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1068</v>
      </c>
      <c r="D177" t="s">
        <v>231</v>
      </c>
      <c r="E177" s="30" t="s">
        <v>15</v>
      </c>
      <c r="F177" s="30" t="s">
        <v>20</v>
      </c>
      <c r="G177" s="30"/>
      <c r="H177" s="30" t="s">
        <v>1400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1068</v>
      </c>
      <c r="D178" t="s">
        <v>233</v>
      </c>
      <c r="E178" s="30" t="s">
        <v>19</v>
      </c>
      <c r="F178" s="30" t="s">
        <v>1308</v>
      </c>
      <c r="G178" s="30"/>
      <c r="H178" s="30" t="s">
        <v>1435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1529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1068</v>
      </c>
      <c r="D179" t="s">
        <v>235</v>
      </c>
      <c r="E179" s="30" t="s">
        <v>19</v>
      </c>
      <c r="F179" s="30" t="s">
        <v>20</v>
      </c>
      <c r="G179" s="30"/>
      <c r="H179" s="30" t="s">
        <v>1417</v>
      </c>
      <c r="I179" s="31">
        <f t="shared" si="10"/>
        <v>25</v>
      </c>
      <c r="J179" s="31">
        <f t="shared" si="11"/>
        <v>3</v>
      </c>
      <c r="K179" s="32">
        <f t="shared" si="12"/>
        <v>0.8928571428571429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 t="s">
        <v>1529</v>
      </c>
      <c r="AK179" s="70" t="s">
        <v>1529</v>
      </c>
      <c r="AL179" s="70" t="s">
        <v>1529</v>
      </c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1068</v>
      </c>
      <c r="D180" t="s">
        <v>237</v>
      </c>
      <c r="E180" s="30" t="s">
        <v>19</v>
      </c>
      <c r="F180" s="30" t="s">
        <v>20</v>
      </c>
      <c r="G180" s="30"/>
      <c r="H180" s="30" t="s">
        <v>1443</v>
      </c>
      <c r="I180" s="31">
        <f t="shared" si="10"/>
        <v>14</v>
      </c>
      <c r="J180" s="31">
        <f t="shared" si="11"/>
        <v>14</v>
      </c>
      <c r="K180" s="32">
        <f t="shared" si="12"/>
        <v>0.5</v>
      </c>
      <c r="L180" s="70"/>
      <c r="M180" s="70"/>
      <c r="N180" s="70"/>
      <c r="O180" s="70"/>
      <c r="P180" s="70"/>
      <c r="Q180" s="70"/>
      <c r="R180" s="70"/>
      <c r="S180" s="70" t="s">
        <v>1529</v>
      </c>
      <c r="T180" s="70" t="s">
        <v>1529</v>
      </c>
      <c r="U180" s="70"/>
      <c r="V180" s="70"/>
      <c r="W180" s="70"/>
      <c r="X180" s="70"/>
      <c r="Y180" s="70"/>
      <c r="Z180" s="70"/>
      <c r="AA180" s="70"/>
      <c r="AB180" s="70" t="s">
        <v>1529</v>
      </c>
      <c r="AC180" s="70" t="s">
        <v>1529</v>
      </c>
      <c r="AD180" s="70" t="s">
        <v>1529</v>
      </c>
      <c r="AE180" s="70" t="s">
        <v>1529</v>
      </c>
      <c r="AF180" s="70" t="s">
        <v>1529</v>
      </c>
      <c r="AG180" s="70" t="s">
        <v>1529</v>
      </c>
      <c r="AH180" s="70" t="s">
        <v>1529</v>
      </c>
      <c r="AI180" s="70" t="s">
        <v>1529</v>
      </c>
      <c r="AJ180" s="70" t="s">
        <v>1529</v>
      </c>
      <c r="AK180" s="70" t="s">
        <v>1529</v>
      </c>
      <c r="AL180" s="70" t="s">
        <v>1529</v>
      </c>
      <c r="AM180" s="70" t="s">
        <v>1529</v>
      </c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1068</v>
      </c>
      <c r="D181" t="s">
        <v>239</v>
      </c>
      <c r="E181" s="30" t="s">
        <v>19</v>
      </c>
      <c r="F181" s="30" t="s">
        <v>20</v>
      </c>
      <c r="G181" s="30"/>
      <c r="H181" s="30" t="s">
        <v>1444</v>
      </c>
      <c r="I181" s="31">
        <f t="shared" si="10"/>
        <v>15</v>
      </c>
      <c r="J181" s="31">
        <f t="shared" si="11"/>
        <v>13</v>
      </c>
      <c r="K181" s="32">
        <f t="shared" si="12"/>
        <v>0.5357142857142857</v>
      </c>
      <c r="L181" s="70"/>
      <c r="M181" s="70"/>
      <c r="N181" s="70"/>
      <c r="O181" s="70"/>
      <c r="P181" s="70"/>
      <c r="Q181" s="70"/>
      <c r="R181" s="70"/>
      <c r="S181" s="70" t="s">
        <v>1529</v>
      </c>
      <c r="T181" s="70" t="s">
        <v>1529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1529</v>
      </c>
      <c r="AD181" s="70" t="s">
        <v>1529</v>
      </c>
      <c r="AE181" s="70" t="s">
        <v>1529</v>
      </c>
      <c r="AF181" s="70" t="s">
        <v>1529</v>
      </c>
      <c r="AG181" s="70" t="s">
        <v>1529</v>
      </c>
      <c r="AH181" s="70" t="s">
        <v>1529</v>
      </c>
      <c r="AI181" s="70" t="s">
        <v>1529</v>
      </c>
      <c r="AJ181" s="70" t="s">
        <v>1529</v>
      </c>
      <c r="AK181" s="70" t="s">
        <v>1529</v>
      </c>
      <c r="AL181" s="70" t="s">
        <v>1529</v>
      </c>
      <c r="AM181" s="70" t="s">
        <v>1529</v>
      </c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1068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6</v>
      </c>
      <c r="J182" s="31">
        <f t="shared" si="11"/>
        <v>22</v>
      </c>
      <c r="K182" s="32">
        <f t="shared" si="12"/>
        <v>0.21428571428571427</v>
      </c>
      <c r="L182" s="70" t="s">
        <v>1529</v>
      </c>
      <c r="M182" s="70"/>
      <c r="N182" s="70"/>
      <c r="O182" s="70"/>
      <c r="P182" s="70" t="s">
        <v>1529</v>
      </c>
      <c r="Q182" s="70"/>
      <c r="R182" s="70" t="s">
        <v>1529</v>
      </c>
      <c r="S182" s="70" t="s">
        <v>1529</v>
      </c>
      <c r="T182" s="70" t="s">
        <v>1529</v>
      </c>
      <c r="U182" s="70" t="s">
        <v>1529</v>
      </c>
      <c r="V182" s="70" t="s">
        <v>1529</v>
      </c>
      <c r="W182" s="70" t="s">
        <v>1529</v>
      </c>
      <c r="X182" s="70" t="s">
        <v>1529</v>
      </c>
      <c r="Y182" s="70" t="s">
        <v>1529</v>
      </c>
      <c r="Z182" s="70" t="s">
        <v>1529</v>
      </c>
      <c r="AA182" s="70" t="s">
        <v>1529</v>
      </c>
      <c r="AB182" s="70" t="s">
        <v>1529</v>
      </c>
      <c r="AC182" s="70" t="s">
        <v>1529</v>
      </c>
      <c r="AD182" s="97"/>
      <c r="AE182" s="97"/>
      <c r="AF182" s="70" t="s">
        <v>1529</v>
      </c>
      <c r="AG182" s="97" t="s">
        <v>1529</v>
      </c>
      <c r="AH182" s="97" t="s">
        <v>1529</v>
      </c>
      <c r="AI182" s="97" t="s">
        <v>1529</v>
      </c>
      <c r="AJ182" s="97" t="s">
        <v>1529</v>
      </c>
      <c r="AK182" s="97" t="s">
        <v>1529</v>
      </c>
      <c r="AL182" s="97" t="s">
        <v>1529</v>
      </c>
      <c r="AM182" s="97" t="s">
        <v>1529</v>
      </c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1068</v>
      </c>
      <c r="D183" t="s">
        <v>221</v>
      </c>
      <c r="E183" s="30" t="s">
        <v>15</v>
      </c>
      <c r="F183" s="30" t="s">
        <v>28</v>
      </c>
      <c r="G183" s="30"/>
      <c r="H183" s="30" t="s">
        <v>1607</v>
      </c>
      <c r="I183" s="31">
        <f t="shared" si="10"/>
        <v>2</v>
      </c>
      <c r="J183" s="31">
        <f t="shared" si="11"/>
        <v>26</v>
      </c>
      <c r="K183" s="32">
        <f t="shared" si="12"/>
        <v>7.1428571428571425E-2</v>
      </c>
      <c r="L183" s="70" t="s">
        <v>1529</v>
      </c>
      <c r="M183" s="70"/>
      <c r="N183" s="70" t="s">
        <v>1529</v>
      </c>
      <c r="O183" s="70" t="s">
        <v>1529</v>
      </c>
      <c r="P183" s="70" t="s">
        <v>1529</v>
      </c>
      <c r="Q183" s="70" t="s">
        <v>1529</v>
      </c>
      <c r="R183" s="70" t="s">
        <v>1529</v>
      </c>
      <c r="S183" s="70" t="s">
        <v>1529</v>
      </c>
      <c r="T183" s="70" t="s">
        <v>1529</v>
      </c>
      <c r="U183" s="70" t="s">
        <v>1529</v>
      </c>
      <c r="V183" s="70" t="s">
        <v>1529</v>
      </c>
      <c r="W183" s="70" t="s">
        <v>1529</v>
      </c>
      <c r="X183" s="70" t="s">
        <v>1529</v>
      </c>
      <c r="Y183" s="70" t="s">
        <v>1529</v>
      </c>
      <c r="Z183" s="70" t="s">
        <v>1529</v>
      </c>
      <c r="AA183" s="70" t="s">
        <v>1529</v>
      </c>
      <c r="AB183" s="70" t="s">
        <v>1529</v>
      </c>
      <c r="AC183" s="70" t="s">
        <v>1529</v>
      </c>
      <c r="AD183" s="70" t="s">
        <v>1529</v>
      </c>
      <c r="AE183" s="70" t="s">
        <v>1529</v>
      </c>
      <c r="AF183" s="70" t="s">
        <v>1529</v>
      </c>
      <c r="AG183" s="70" t="s">
        <v>1529</v>
      </c>
      <c r="AH183" s="70" t="s">
        <v>1529</v>
      </c>
      <c r="AI183" s="70" t="s">
        <v>1529</v>
      </c>
      <c r="AJ183" s="70" t="s">
        <v>1529</v>
      </c>
      <c r="AK183" s="70" t="s">
        <v>1529</v>
      </c>
      <c r="AL183" s="70"/>
      <c r="AM183" s="70" t="s">
        <v>1529</v>
      </c>
      <c r="AN183" s="70"/>
      <c r="AO183" s="70"/>
      <c r="AP183" s="70"/>
    </row>
    <row r="184" spans="1:42" ht="15.75" thickBot="1" x14ac:dyDescent="0.3">
      <c r="A184" t="s">
        <v>219</v>
      </c>
      <c r="B184" t="s">
        <v>961</v>
      </c>
      <c r="C184" t="s">
        <v>1068</v>
      </c>
      <c r="D184" t="s">
        <v>222</v>
      </c>
      <c r="E184" s="30" t="s">
        <v>15</v>
      </c>
      <c r="F184" s="30" t="s">
        <v>20</v>
      </c>
      <c r="G184" s="30"/>
      <c r="H184" s="30" t="s">
        <v>1415</v>
      </c>
      <c r="I184" s="31">
        <f t="shared" si="10"/>
        <v>26</v>
      </c>
      <c r="J184" s="31">
        <f t="shared" si="11"/>
        <v>2</v>
      </c>
      <c r="K184" s="32">
        <f t="shared" si="12"/>
        <v>0.9285714285714286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 t="s">
        <v>1529</v>
      </c>
      <c r="AK184" s="70" t="s">
        <v>1529</v>
      </c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962</v>
      </c>
      <c r="C185" t="s">
        <v>1068</v>
      </c>
      <c r="D185" t="s">
        <v>223</v>
      </c>
      <c r="E185" s="30" t="s">
        <v>15</v>
      </c>
      <c r="F185" s="30" t="s">
        <v>20</v>
      </c>
      <c r="G185" s="30"/>
      <c r="H185" s="30" t="s">
        <v>1218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 t="s">
        <v>1529</v>
      </c>
      <c r="AK185" s="70" t="s">
        <v>1529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1068</v>
      </c>
      <c r="D186" t="s">
        <v>225</v>
      </c>
      <c r="E186" s="30" t="s">
        <v>15</v>
      </c>
      <c r="F186" s="30" t="s">
        <v>20</v>
      </c>
      <c r="G186" s="30"/>
      <c r="H186" s="30" t="s">
        <v>1414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1068</v>
      </c>
      <c r="D187" t="s">
        <v>243</v>
      </c>
      <c r="E187" s="30" t="s">
        <v>15</v>
      </c>
      <c r="F187" s="30" t="s">
        <v>28</v>
      </c>
      <c r="G187" s="30"/>
      <c r="H187" s="30" t="s">
        <v>707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1068</v>
      </c>
      <c r="D188" t="s">
        <v>227</v>
      </c>
      <c r="E188" s="30" t="s">
        <v>73</v>
      </c>
      <c r="F188" s="30" t="s">
        <v>1062</v>
      </c>
      <c r="G188" s="30" t="s">
        <v>1256</v>
      </c>
      <c r="H188" s="30" t="s">
        <v>708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1068</v>
      </c>
      <c r="D189" t="s">
        <v>227</v>
      </c>
      <c r="E189" s="30" t="s">
        <v>73</v>
      </c>
      <c r="F189" s="30" t="s">
        <v>1062</v>
      </c>
      <c r="G189" s="30" t="s">
        <v>1256</v>
      </c>
      <c r="H189" s="30" t="s">
        <v>709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957</v>
      </c>
      <c r="C190" t="s">
        <v>1068</v>
      </c>
      <c r="D190" t="s">
        <v>244</v>
      </c>
      <c r="E190" s="30" t="s">
        <v>73</v>
      </c>
      <c r="F190" s="30" t="s">
        <v>1062</v>
      </c>
      <c r="G190" s="30" t="s">
        <v>1256</v>
      </c>
      <c r="H190" s="30" t="s">
        <v>710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958</v>
      </c>
      <c r="C191" t="s">
        <v>1068</v>
      </c>
      <c r="D191" t="s">
        <v>244</v>
      </c>
      <c r="E191" s="30" t="s">
        <v>73</v>
      </c>
      <c r="F191" s="30" t="s">
        <v>1062</v>
      </c>
      <c r="G191" s="30" t="s">
        <v>1256</v>
      </c>
      <c r="H191" s="30" t="s">
        <v>711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959</v>
      </c>
      <c r="C192" t="s">
        <v>1068</v>
      </c>
      <c r="D192" t="s">
        <v>245</v>
      </c>
      <c r="E192" s="30" t="s">
        <v>73</v>
      </c>
      <c r="F192" s="30" t="s">
        <v>1062</v>
      </c>
      <c r="G192" s="30" t="s">
        <v>1256</v>
      </c>
      <c r="H192" s="30" t="s">
        <v>712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1068</v>
      </c>
      <c r="D193" t="s">
        <v>245</v>
      </c>
      <c r="E193" s="30" t="s">
        <v>73</v>
      </c>
      <c r="F193" s="30" t="s">
        <v>1062</v>
      </c>
      <c r="G193" s="30" t="s">
        <v>1256</v>
      </c>
      <c r="H193" s="30" t="s">
        <v>713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1237</v>
      </c>
      <c r="C194" t="s">
        <v>1068</v>
      </c>
      <c r="D194" t="s">
        <v>1236</v>
      </c>
      <c r="E194" t="s">
        <v>19</v>
      </c>
      <c r="F194" t="s">
        <v>28</v>
      </c>
      <c r="G194"/>
      <c r="H194" s="30" t="s">
        <v>1246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1604</v>
      </c>
      <c r="C195" t="s">
        <v>1068</v>
      </c>
      <c r="D195" t="s">
        <v>1605</v>
      </c>
      <c r="E195" s="30" t="s">
        <v>73</v>
      </c>
      <c r="F195" s="30" t="s">
        <v>1308</v>
      </c>
      <c r="G195"/>
      <c r="H195" s="30" t="s">
        <v>1606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1068</v>
      </c>
      <c r="D196" t="s">
        <v>247</v>
      </c>
      <c r="E196" s="30" t="s">
        <v>15</v>
      </c>
      <c r="F196" s="30" t="s">
        <v>1062</v>
      </c>
      <c r="G196" s="30" t="s">
        <v>45</v>
      </c>
      <c r="H196" s="30" t="s">
        <v>714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1529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1529</v>
      </c>
      <c r="Y196" s="70" t="s">
        <v>1529</v>
      </c>
      <c r="Z196" s="70" t="s">
        <v>1529</v>
      </c>
      <c r="AA196" s="70" t="s">
        <v>1529</v>
      </c>
      <c r="AB196" s="70" t="s">
        <v>1529</v>
      </c>
      <c r="AC196" s="70" t="s">
        <v>1529</v>
      </c>
      <c r="AD196" s="70" t="s">
        <v>1529</v>
      </c>
      <c r="AE196" s="70" t="s">
        <v>1529</v>
      </c>
      <c r="AF196" s="70" t="s">
        <v>1529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1068</v>
      </c>
      <c r="D197" t="s">
        <v>249</v>
      </c>
      <c r="E197" s="30" t="s">
        <v>15</v>
      </c>
      <c r="F197" s="30" t="s">
        <v>1062</v>
      </c>
      <c r="G197" s="30" t="s">
        <v>45</v>
      </c>
      <c r="H197" s="30" t="s">
        <v>715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1068</v>
      </c>
      <c r="D198" t="s">
        <v>251</v>
      </c>
      <c r="E198" s="30" t="s">
        <v>15</v>
      </c>
      <c r="F198" s="30" t="s">
        <v>1062</v>
      </c>
      <c r="G198" s="30" t="s">
        <v>45</v>
      </c>
      <c r="H198" s="30" t="s">
        <v>716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1530</v>
      </c>
      <c r="C199" t="s">
        <v>1068</v>
      </c>
      <c r="D199" t="s">
        <v>1531</v>
      </c>
      <c r="E199" s="30" t="s">
        <v>15</v>
      </c>
      <c r="F199" s="30" t="s">
        <v>28</v>
      </c>
      <c r="G199" s="30"/>
      <c r="H199" s="30" t="s">
        <v>1532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1190</v>
      </c>
      <c r="C200" t="s">
        <v>1069</v>
      </c>
      <c r="D200" t="s">
        <v>1191</v>
      </c>
      <c r="E200" s="30" t="s">
        <v>73</v>
      </c>
      <c r="F200" s="30" t="s">
        <v>16</v>
      </c>
      <c r="G200" s="30"/>
      <c r="H200" s="30" t="s">
        <v>1277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1529</v>
      </c>
      <c r="M200" s="70"/>
      <c r="N200" s="70" t="s">
        <v>1529</v>
      </c>
      <c r="O200" s="70" t="s">
        <v>1529</v>
      </c>
      <c r="P200" s="70" t="s">
        <v>1529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1529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1192</v>
      </c>
      <c r="C201" t="s">
        <v>1069</v>
      </c>
      <c r="D201" t="s">
        <v>1193</v>
      </c>
      <c r="E201" s="30" t="s">
        <v>73</v>
      </c>
      <c r="F201" s="30" t="s">
        <v>20</v>
      </c>
      <c r="G201" s="30"/>
      <c r="H201" s="30" t="s">
        <v>1278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1529</v>
      </c>
      <c r="M201" s="70"/>
      <c r="N201" s="70" t="s">
        <v>1529</v>
      </c>
      <c r="O201" s="70" t="s">
        <v>1529</v>
      </c>
      <c r="P201" s="70" t="s">
        <v>1529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1529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1453</v>
      </c>
      <c r="B202" t="s">
        <v>963</v>
      </c>
      <c r="C202" t="s">
        <v>1068</v>
      </c>
      <c r="D202" t="s">
        <v>1092</v>
      </c>
      <c r="E202" s="30" t="s">
        <v>19</v>
      </c>
      <c r="F202" s="30" t="s">
        <v>20</v>
      </c>
      <c r="G202" s="30"/>
      <c r="H202" s="30" t="s">
        <v>1442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1068</v>
      </c>
      <c r="D203" t="s">
        <v>253</v>
      </c>
      <c r="E203" s="30" t="s">
        <v>19</v>
      </c>
      <c r="F203" s="30" t="s">
        <v>1308</v>
      </c>
      <c r="G203" s="30"/>
      <c r="H203" s="30" t="s">
        <v>1424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1068</v>
      </c>
      <c r="D204" t="s">
        <v>256</v>
      </c>
      <c r="E204" s="30" t="s">
        <v>73</v>
      </c>
      <c r="F204" s="30" t="s">
        <v>28</v>
      </c>
      <c r="G204" s="30"/>
      <c r="H204" s="30" t="s">
        <v>717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1068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1331</v>
      </c>
      <c r="C206" t="s">
        <v>1068</v>
      </c>
      <c r="D206" t="s">
        <v>1335</v>
      </c>
      <c r="E206" s="30" t="s">
        <v>15</v>
      </c>
      <c r="F206" s="30" t="s">
        <v>1308</v>
      </c>
      <c r="G206" s="30"/>
      <c r="H206" s="30" t="s">
        <v>1336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1427</v>
      </c>
      <c r="C207" t="s">
        <v>1068</v>
      </c>
      <c r="D207" t="s">
        <v>1428</v>
      </c>
      <c r="E207" s="90"/>
      <c r="F207" s="87" t="s">
        <v>28</v>
      </c>
      <c r="G207" s="87"/>
      <c r="H207" s="87" t="s">
        <v>1429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964</v>
      </c>
      <c r="C208" t="s">
        <v>1069</v>
      </c>
      <c r="D208" t="s">
        <v>259</v>
      </c>
      <c r="E208" s="30" t="s">
        <v>15</v>
      </c>
      <c r="F208" s="30" t="s">
        <v>28</v>
      </c>
      <c r="G208" s="30"/>
      <c r="H208" s="30" t="s">
        <v>718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1069</v>
      </c>
      <c r="D209" t="s">
        <v>261</v>
      </c>
      <c r="E209" s="30" t="s">
        <v>73</v>
      </c>
      <c r="F209" s="30" t="s">
        <v>28</v>
      </c>
      <c r="G209" s="30"/>
      <c r="H209" s="30" t="s">
        <v>719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1069</v>
      </c>
      <c r="D210" t="s">
        <v>261</v>
      </c>
      <c r="E210" s="30" t="s">
        <v>73</v>
      </c>
      <c r="F210" s="30" t="s">
        <v>28</v>
      </c>
      <c r="G210" s="30"/>
      <c r="H210" s="30" t="s">
        <v>720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965</v>
      </c>
      <c r="C211" t="s">
        <v>1068</v>
      </c>
      <c r="D211" t="s">
        <v>272</v>
      </c>
      <c r="E211" s="30" t="s">
        <v>73</v>
      </c>
      <c r="F211" s="30" t="s">
        <v>28</v>
      </c>
      <c r="G211" s="30"/>
      <c r="H211" s="30" t="s">
        <v>725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966</v>
      </c>
      <c r="C212" t="s">
        <v>1068</v>
      </c>
      <c r="D212" t="s">
        <v>1093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0"/>
        <v>23</v>
      </c>
      <c r="J212" s="31">
        <f t="shared" si="11"/>
        <v>5</v>
      </c>
      <c r="K212" s="32">
        <f t="shared" si="12"/>
        <v>0.8214285714285714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 t="s">
        <v>1529</v>
      </c>
      <c r="AJ212" s="70" t="s">
        <v>1529</v>
      </c>
      <c r="AK212" s="70" t="s">
        <v>1529</v>
      </c>
      <c r="AL212" s="70" t="s">
        <v>1529</v>
      </c>
      <c r="AM212" s="70" t="s">
        <v>1529</v>
      </c>
      <c r="AN212" s="70"/>
      <c r="AO212" s="70"/>
      <c r="AP212" s="70"/>
    </row>
    <row r="213" spans="1:42" ht="15.75" thickBot="1" x14ac:dyDescent="0.3">
      <c r="A213" t="s">
        <v>267</v>
      </c>
      <c r="B213" t="s">
        <v>967</v>
      </c>
      <c r="C213" t="s">
        <v>1068</v>
      </c>
      <c r="D213" t="s">
        <v>279</v>
      </c>
      <c r="E213" s="30" t="s">
        <v>19</v>
      </c>
      <c r="F213" s="30" t="s">
        <v>28</v>
      </c>
      <c r="G213" s="30"/>
      <c r="H213" s="30" t="s">
        <v>1492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968</v>
      </c>
      <c r="C214" t="s">
        <v>1068</v>
      </c>
      <c r="D214" t="s">
        <v>282</v>
      </c>
      <c r="E214" s="30" t="s">
        <v>73</v>
      </c>
      <c r="F214" s="30" t="s">
        <v>28</v>
      </c>
      <c r="G214" s="30"/>
      <c r="H214" s="30" t="s">
        <v>729</v>
      </c>
      <c r="I214" s="31">
        <f t="shared" si="10"/>
        <v>23</v>
      </c>
      <c r="J214" s="31">
        <f t="shared" si="11"/>
        <v>5</v>
      </c>
      <c r="K214" s="32">
        <f t="shared" si="12"/>
        <v>0.8214285714285714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 t="s">
        <v>1529</v>
      </c>
      <c r="AJ214" s="70" t="s">
        <v>1529</v>
      </c>
      <c r="AK214" s="70" t="s">
        <v>1529</v>
      </c>
      <c r="AL214" s="70" t="s">
        <v>1529</v>
      </c>
      <c r="AM214" s="70" t="s">
        <v>1529</v>
      </c>
      <c r="AN214" s="70"/>
      <c r="AO214" s="70"/>
      <c r="AP214" s="70"/>
    </row>
    <row r="215" spans="1:42" ht="15.75" thickBot="1" x14ac:dyDescent="0.3">
      <c r="A215" t="s">
        <v>267</v>
      </c>
      <c r="B215" t="s">
        <v>969</v>
      </c>
      <c r="C215" t="s">
        <v>1068</v>
      </c>
      <c r="D215" t="s">
        <v>282</v>
      </c>
      <c r="E215" s="30" t="s">
        <v>73</v>
      </c>
      <c r="F215" s="30" t="s">
        <v>28</v>
      </c>
      <c r="G215" s="30"/>
      <c r="H215" s="30" t="s">
        <v>730</v>
      </c>
      <c r="I215" s="31">
        <f t="shared" si="10"/>
        <v>23</v>
      </c>
      <c r="J215" s="31">
        <f t="shared" si="11"/>
        <v>5</v>
      </c>
      <c r="K215" s="32">
        <f t="shared" si="12"/>
        <v>0.8214285714285714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 t="s">
        <v>1529</v>
      </c>
      <c r="AJ215" s="70" t="s">
        <v>1529</v>
      </c>
      <c r="AK215" s="70" t="s">
        <v>1529</v>
      </c>
      <c r="AL215" s="70" t="s">
        <v>1529</v>
      </c>
      <c r="AM215" s="70" t="s">
        <v>1529</v>
      </c>
      <c r="AN215" s="70"/>
      <c r="AO215" s="70"/>
      <c r="AP215" s="70"/>
    </row>
    <row r="216" spans="1:42" ht="15.75" thickBot="1" x14ac:dyDescent="0.3">
      <c r="A216" t="s">
        <v>267</v>
      </c>
      <c r="B216" t="s">
        <v>970</v>
      </c>
      <c r="C216" t="s">
        <v>1068</v>
      </c>
      <c r="D216" t="s">
        <v>263</v>
      </c>
      <c r="E216" s="30" t="s">
        <v>46</v>
      </c>
      <c r="F216" s="30" t="s">
        <v>28</v>
      </c>
      <c r="G216" s="30"/>
      <c r="H216" s="30" t="s">
        <v>721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1068</v>
      </c>
      <c r="D217" t="s">
        <v>266</v>
      </c>
      <c r="E217" s="30" t="s">
        <v>19</v>
      </c>
      <c r="F217" s="30" t="s">
        <v>28</v>
      </c>
      <c r="G217" s="30"/>
      <c r="H217" s="30" t="s">
        <v>722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1068</v>
      </c>
      <c r="D218" t="s">
        <v>269</v>
      </c>
      <c r="E218" s="30" t="s">
        <v>73</v>
      </c>
      <c r="F218" s="30" t="s">
        <v>28</v>
      </c>
      <c r="G218" s="30"/>
      <c r="H218" s="30" t="s">
        <v>723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1068</v>
      </c>
      <c r="D219" t="s">
        <v>271</v>
      </c>
      <c r="E219" s="30" t="s">
        <v>46</v>
      </c>
      <c r="F219" s="30" t="s">
        <v>28</v>
      </c>
      <c r="G219" s="30"/>
      <c r="H219" s="30" t="s">
        <v>724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1068</v>
      </c>
      <c r="D220" t="s">
        <v>274</v>
      </c>
      <c r="E220" s="30" t="s">
        <v>19</v>
      </c>
      <c r="F220" s="30" t="s">
        <v>28</v>
      </c>
      <c r="G220" s="30"/>
      <c r="H220" s="30" t="s">
        <v>726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1068</v>
      </c>
      <c r="D221" t="s">
        <v>276</v>
      </c>
      <c r="E221" s="30" t="s">
        <v>19</v>
      </c>
      <c r="F221" s="30" t="s">
        <v>28</v>
      </c>
      <c r="G221" s="30"/>
      <c r="H221" s="30" t="s">
        <v>715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1068</v>
      </c>
      <c r="D222" t="s">
        <v>278</v>
      </c>
      <c r="E222" s="30" t="s">
        <v>19</v>
      </c>
      <c r="F222" s="30" t="s">
        <v>28</v>
      </c>
      <c r="G222" s="30"/>
      <c r="H222" s="30" t="s">
        <v>1451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1068</v>
      </c>
      <c r="D223" t="s">
        <v>281</v>
      </c>
      <c r="E223" s="17"/>
      <c r="F223" s="30" t="s">
        <v>28</v>
      </c>
      <c r="G223" s="30"/>
      <c r="H223" s="30" t="s">
        <v>728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1068</v>
      </c>
      <c r="D224" t="s">
        <v>284</v>
      </c>
      <c r="E224" s="30" t="s">
        <v>15</v>
      </c>
      <c r="F224" s="30" t="s">
        <v>28</v>
      </c>
      <c r="G224" s="30"/>
      <c r="H224" s="30" t="s">
        <v>731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1217</v>
      </c>
      <c r="C225" s="30" t="s">
        <v>1068</v>
      </c>
      <c r="D225" t="s">
        <v>1212</v>
      </c>
      <c r="E225" s="30" t="s">
        <v>15</v>
      </c>
      <c r="F225" s="30" t="s">
        <v>28</v>
      </c>
      <c r="G225" s="30"/>
      <c r="H225" s="30" t="s">
        <v>1213</v>
      </c>
      <c r="I225" s="31">
        <f t="shared" si="13"/>
        <v>23</v>
      </c>
      <c r="J225" s="31">
        <f t="shared" si="14"/>
        <v>5</v>
      </c>
      <c r="K225" s="32">
        <f t="shared" si="15"/>
        <v>0.8214285714285714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 t="s">
        <v>1529</v>
      </c>
      <c r="AJ225" s="70" t="s">
        <v>1529</v>
      </c>
      <c r="AK225" s="70" t="s">
        <v>1529</v>
      </c>
      <c r="AL225" s="70" t="s">
        <v>1529</v>
      </c>
      <c r="AM225" s="70" t="s">
        <v>1529</v>
      </c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971</v>
      </c>
      <c r="C226" s="95" t="s">
        <v>1069</v>
      </c>
      <c r="D226" s="95" t="s">
        <v>1094</v>
      </c>
      <c r="E226" s="96" t="s">
        <v>19</v>
      </c>
      <c r="F226" s="96" t="s">
        <v>20</v>
      </c>
      <c r="G226" s="96"/>
      <c r="H226" s="96" t="s">
        <v>732</v>
      </c>
      <c r="I226" s="31">
        <f t="shared" si="13"/>
        <v>1</v>
      </c>
      <c r="J226" s="31">
        <f t="shared" si="14"/>
        <v>27</v>
      </c>
      <c r="K226" s="32">
        <f t="shared" si="15"/>
        <v>3.5714285714285712E-2</v>
      </c>
      <c r="L226" s="70" t="s">
        <v>1529</v>
      </c>
      <c r="M226" s="70"/>
      <c r="N226" s="70" t="s">
        <v>1529</v>
      </c>
      <c r="O226" s="70" t="s">
        <v>1529</v>
      </c>
      <c r="P226" s="70" t="s">
        <v>1529</v>
      </c>
      <c r="Q226" s="70" t="s">
        <v>1529</v>
      </c>
      <c r="R226" s="70" t="s">
        <v>1529</v>
      </c>
      <c r="S226" s="70" t="s">
        <v>1529</v>
      </c>
      <c r="T226" s="70" t="s">
        <v>1529</v>
      </c>
      <c r="U226" s="70" t="s">
        <v>1529</v>
      </c>
      <c r="V226" s="70" t="s">
        <v>1529</v>
      </c>
      <c r="W226" s="70" t="s">
        <v>1529</v>
      </c>
      <c r="X226" s="70" t="s">
        <v>1529</v>
      </c>
      <c r="Y226" s="70" t="s">
        <v>1529</v>
      </c>
      <c r="Z226" s="70" t="s">
        <v>1529</v>
      </c>
      <c r="AA226" s="70" t="s">
        <v>1529</v>
      </c>
      <c r="AB226" s="70" t="s">
        <v>1529</v>
      </c>
      <c r="AC226" s="70" t="s">
        <v>1529</v>
      </c>
      <c r="AD226" s="97" t="s">
        <v>1529</v>
      </c>
      <c r="AE226" s="97" t="s">
        <v>1529</v>
      </c>
      <c r="AF226" s="70" t="s">
        <v>1529</v>
      </c>
      <c r="AG226" s="97" t="s">
        <v>1529</v>
      </c>
      <c r="AH226" s="97" t="s">
        <v>1529</v>
      </c>
      <c r="AI226" s="97" t="s">
        <v>1529</v>
      </c>
      <c r="AJ226" s="97" t="s">
        <v>1529</v>
      </c>
      <c r="AK226" s="97" t="s">
        <v>1529</v>
      </c>
      <c r="AL226" s="97" t="s">
        <v>1529</v>
      </c>
      <c r="AM226" s="97" t="s">
        <v>1529</v>
      </c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1069</v>
      </c>
      <c r="D227" t="s">
        <v>286</v>
      </c>
      <c r="E227" s="30" t="s">
        <v>15</v>
      </c>
      <c r="F227" s="30" t="s">
        <v>1062</v>
      </c>
      <c r="G227" s="30"/>
      <c r="H227" s="30" t="s">
        <v>1070</v>
      </c>
      <c r="I227" s="31">
        <f t="shared" si="13"/>
        <v>15</v>
      </c>
      <c r="J227" s="31">
        <f t="shared" si="14"/>
        <v>12</v>
      </c>
      <c r="K227" s="32">
        <f t="shared" si="15"/>
        <v>0.55555555555555558</v>
      </c>
      <c r="L227" s="70"/>
      <c r="M227" s="70"/>
      <c r="N227" s="70"/>
      <c r="O227" s="70"/>
      <c r="P227" s="70"/>
      <c r="Q227" s="70"/>
      <c r="R227" s="71"/>
      <c r="S227" s="70" t="s">
        <v>1529</v>
      </c>
      <c r="T227" s="70"/>
      <c r="U227" s="70"/>
      <c r="V227" s="70"/>
      <c r="W227" s="70"/>
      <c r="X227" s="70"/>
      <c r="Y227" s="70"/>
      <c r="Z227" s="70"/>
      <c r="AA227" s="70"/>
      <c r="AB227" s="70" t="s">
        <v>1529</v>
      </c>
      <c r="AC227" s="70" t="s">
        <v>1529</v>
      </c>
      <c r="AD227" s="70" t="s">
        <v>1529</v>
      </c>
      <c r="AE227" s="70" t="s">
        <v>1566</v>
      </c>
      <c r="AF227" s="70" t="s">
        <v>1529</v>
      </c>
      <c r="AG227" s="70" t="s">
        <v>1529</v>
      </c>
      <c r="AH227" s="70" t="s">
        <v>1529</v>
      </c>
      <c r="AI227" s="70" t="s">
        <v>1529</v>
      </c>
      <c r="AJ227" s="70" t="s">
        <v>1529</v>
      </c>
      <c r="AK227" s="70" t="s">
        <v>1529</v>
      </c>
      <c r="AL227" s="70" t="s">
        <v>1529</v>
      </c>
      <c r="AM227" s="70" t="s">
        <v>1529</v>
      </c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1069</v>
      </c>
      <c r="D228" t="s">
        <v>289</v>
      </c>
      <c r="E228" s="30" t="s">
        <v>15</v>
      </c>
      <c r="F228" s="30" t="s">
        <v>28</v>
      </c>
      <c r="G228" s="30"/>
      <c r="H228" s="30" t="s">
        <v>733</v>
      </c>
      <c r="I228" s="31">
        <f t="shared" si="13"/>
        <v>18</v>
      </c>
      <c r="J228" s="31">
        <f t="shared" si="14"/>
        <v>10</v>
      </c>
      <c r="K228" s="32">
        <f t="shared" si="15"/>
        <v>0.6428571428571429</v>
      </c>
      <c r="L228" s="70"/>
      <c r="M228" s="70"/>
      <c r="N228" s="70"/>
      <c r="O228" s="70"/>
      <c r="P228" s="70"/>
      <c r="Q228" s="70"/>
      <c r="R228" s="70"/>
      <c r="S228" s="70" t="s">
        <v>1529</v>
      </c>
      <c r="T228" s="70"/>
      <c r="U228" s="70"/>
      <c r="V228" s="70"/>
      <c r="W228" s="70"/>
      <c r="X228" s="70"/>
      <c r="Y228" s="70"/>
      <c r="Z228" s="70"/>
      <c r="AA228" s="70" t="s">
        <v>1529</v>
      </c>
      <c r="AB228" s="70" t="s">
        <v>1529</v>
      </c>
      <c r="AC228" s="70" t="s">
        <v>1529</v>
      </c>
      <c r="AD228" s="70"/>
      <c r="AE228" s="70"/>
      <c r="AF228" s="70"/>
      <c r="AG228" s="70"/>
      <c r="AH228" s="70" t="s">
        <v>1529</v>
      </c>
      <c r="AI228" s="70" t="s">
        <v>1529</v>
      </c>
      <c r="AJ228" s="70" t="s">
        <v>1529</v>
      </c>
      <c r="AK228" s="70" t="s">
        <v>1529</v>
      </c>
      <c r="AL228" s="70" t="s">
        <v>1529</v>
      </c>
      <c r="AM228" s="70" t="s">
        <v>1529</v>
      </c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1069</v>
      </c>
      <c r="D229" t="s">
        <v>14</v>
      </c>
      <c r="E229" s="30" t="s">
        <v>15</v>
      </c>
      <c r="F229" s="30" t="s">
        <v>1062</v>
      </c>
      <c r="G229" s="30"/>
      <c r="H229" s="30" t="s">
        <v>734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1529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972</v>
      </c>
      <c r="C230" t="s">
        <v>1069</v>
      </c>
      <c r="D230" t="s">
        <v>973</v>
      </c>
      <c r="E230" s="30" t="s">
        <v>73</v>
      </c>
      <c r="F230" s="30" t="s">
        <v>28</v>
      </c>
      <c r="G230" s="30"/>
      <c r="H230" s="30" t="s">
        <v>1223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1529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974</v>
      </c>
      <c r="B231" t="s">
        <v>975</v>
      </c>
      <c r="C231" t="s">
        <v>1069</v>
      </c>
      <c r="D231" t="s">
        <v>973</v>
      </c>
      <c r="E231" s="30" t="s">
        <v>73</v>
      </c>
      <c r="F231" s="30" t="s">
        <v>28</v>
      </c>
      <c r="G231" s="30"/>
      <c r="H231" s="30" t="s">
        <v>1224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1529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1069</v>
      </c>
      <c r="D232" t="s">
        <v>1095</v>
      </c>
      <c r="E232" s="30" t="s">
        <v>19</v>
      </c>
      <c r="F232" s="30" t="s">
        <v>1308</v>
      </c>
      <c r="G232" s="30"/>
      <c r="H232" s="30" t="s">
        <v>1386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1069</v>
      </c>
      <c r="D233" t="s">
        <v>22</v>
      </c>
      <c r="E233" s="30" t="s">
        <v>19</v>
      </c>
      <c r="F233" s="30" t="s">
        <v>28</v>
      </c>
      <c r="G233" s="30"/>
      <c r="H233" s="30" t="s">
        <v>1387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1069</v>
      </c>
      <c r="D234" t="s">
        <v>610</v>
      </c>
      <c r="E234" s="30" t="s">
        <v>15</v>
      </c>
      <c r="F234" s="30" t="s">
        <v>1062</v>
      </c>
      <c r="G234" s="30" t="s">
        <v>1261</v>
      </c>
      <c r="H234" s="30" t="s">
        <v>735</v>
      </c>
      <c r="I234" s="31">
        <f t="shared" si="13"/>
        <v>6</v>
      </c>
      <c r="J234" s="31">
        <f t="shared" si="14"/>
        <v>22</v>
      </c>
      <c r="K234" s="32">
        <f t="shared" si="15"/>
        <v>0.21428571428571427</v>
      </c>
      <c r="L234" s="70" t="s">
        <v>1529</v>
      </c>
      <c r="M234" s="70"/>
      <c r="N234" s="70" t="s">
        <v>1529</v>
      </c>
      <c r="O234" s="70" t="s">
        <v>1529</v>
      </c>
      <c r="P234" s="70" t="s">
        <v>1529</v>
      </c>
      <c r="Q234" s="70" t="s">
        <v>1529</v>
      </c>
      <c r="R234" s="70" t="s">
        <v>1529</v>
      </c>
      <c r="S234" s="70" t="s">
        <v>1529</v>
      </c>
      <c r="T234" s="70" t="s">
        <v>1529</v>
      </c>
      <c r="U234" s="70" t="s">
        <v>1529</v>
      </c>
      <c r="V234" s="70" t="s">
        <v>1529</v>
      </c>
      <c r="W234" s="70" t="s">
        <v>1529</v>
      </c>
      <c r="X234" s="70" t="s">
        <v>1529</v>
      </c>
      <c r="Y234" s="70" t="s">
        <v>1529</v>
      </c>
      <c r="Z234" s="70" t="s">
        <v>1529</v>
      </c>
      <c r="AA234" s="70" t="s">
        <v>1529</v>
      </c>
      <c r="AB234" s="70" t="s">
        <v>1529</v>
      </c>
      <c r="AC234" s="70" t="s">
        <v>1529</v>
      </c>
      <c r="AD234" s="70"/>
      <c r="AE234" s="70"/>
      <c r="AF234" s="70"/>
      <c r="AG234" s="70"/>
      <c r="AH234" s="70"/>
      <c r="AI234" s="70" t="s">
        <v>1529</v>
      </c>
      <c r="AJ234" s="70" t="s">
        <v>1529</v>
      </c>
      <c r="AK234" s="70" t="s">
        <v>1529</v>
      </c>
      <c r="AL234" s="70" t="s">
        <v>1529</v>
      </c>
      <c r="AM234" s="70" t="s">
        <v>1529</v>
      </c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1069</v>
      </c>
      <c r="D235" t="s">
        <v>25</v>
      </c>
      <c r="E235" s="30" t="s">
        <v>15</v>
      </c>
      <c r="F235" s="30" t="s">
        <v>20</v>
      </c>
      <c r="G235" s="30"/>
      <c r="H235" s="30" t="s">
        <v>736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1238</v>
      </c>
      <c r="C236" t="s">
        <v>1068</v>
      </c>
      <c r="D236" t="s">
        <v>1239</v>
      </c>
      <c r="E236" t="s">
        <v>19</v>
      </c>
      <c r="F236" t="s">
        <v>28</v>
      </c>
      <c r="G236"/>
      <c r="H236" s="30" t="s">
        <v>1279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1529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1529</v>
      </c>
      <c r="AE236" s="70" t="s">
        <v>1529</v>
      </c>
      <c r="AF236" s="70" t="s">
        <v>1529</v>
      </c>
      <c r="AG236" s="70" t="s">
        <v>1529</v>
      </c>
      <c r="AH236" s="70" t="s">
        <v>1529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1324</v>
      </c>
      <c r="C237" t="s">
        <v>1068</v>
      </c>
      <c r="D237" t="s">
        <v>1327</v>
      </c>
      <c r="E237" s="30" t="s">
        <v>15</v>
      </c>
      <c r="F237" s="30" t="s">
        <v>28</v>
      </c>
      <c r="G237"/>
      <c r="H237" s="30" t="s">
        <v>1339</v>
      </c>
      <c r="I237" s="31">
        <f t="shared" si="13"/>
        <v>2</v>
      </c>
      <c r="J237" s="31">
        <f t="shared" si="14"/>
        <v>26</v>
      </c>
      <c r="K237" s="32">
        <f t="shared" si="15"/>
        <v>7.1428571428571425E-2</v>
      </c>
      <c r="L237" s="70" t="s">
        <v>1529</v>
      </c>
      <c r="M237" s="70"/>
      <c r="N237" s="70" t="s">
        <v>1529</v>
      </c>
      <c r="O237" s="70" t="s">
        <v>1529</v>
      </c>
      <c r="P237" s="70" t="s">
        <v>1529</v>
      </c>
      <c r="Q237" s="70" t="s">
        <v>1529</v>
      </c>
      <c r="R237" s="70" t="s">
        <v>1529</v>
      </c>
      <c r="S237" s="70" t="s">
        <v>1529</v>
      </c>
      <c r="T237" s="70" t="s">
        <v>1529</v>
      </c>
      <c r="U237" s="70" t="s">
        <v>1529</v>
      </c>
      <c r="V237" s="70"/>
      <c r="W237" s="70" t="s">
        <v>1529</v>
      </c>
      <c r="X237" s="70" t="s">
        <v>1529</v>
      </c>
      <c r="Y237" s="70" t="s">
        <v>1529</v>
      </c>
      <c r="Z237" s="70" t="s">
        <v>1529</v>
      </c>
      <c r="AA237" s="70" t="s">
        <v>1529</v>
      </c>
      <c r="AB237" s="70" t="s">
        <v>1529</v>
      </c>
      <c r="AC237" s="70" t="s">
        <v>1529</v>
      </c>
      <c r="AD237" s="70" t="s">
        <v>1529</v>
      </c>
      <c r="AE237" s="70" t="s">
        <v>1529</v>
      </c>
      <c r="AF237" s="70" t="s">
        <v>1529</v>
      </c>
      <c r="AG237" s="70" t="s">
        <v>1529</v>
      </c>
      <c r="AH237" s="70" t="s">
        <v>1529</v>
      </c>
      <c r="AI237" s="70" t="s">
        <v>1529</v>
      </c>
      <c r="AJ237" s="70" t="s">
        <v>1529</v>
      </c>
      <c r="AK237" s="70" t="s">
        <v>1529</v>
      </c>
      <c r="AL237" s="70" t="s">
        <v>1529</v>
      </c>
      <c r="AM237" s="70" t="s">
        <v>1529</v>
      </c>
      <c r="AN237" s="70"/>
      <c r="AO237" s="70"/>
      <c r="AP237" s="70"/>
    </row>
    <row r="238" spans="1:42" ht="15.75" thickBot="1" x14ac:dyDescent="0.3">
      <c r="A238" t="s">
        <v>290</v>
      </c>
      <c r="B238" t="s">
        <v>976</v>
      </c>
      <c r="C238" t="s">
        <v>1068</v>
      </c>
      <c r="D238" t="s">
        <v>291</v>
      </c>
      <c r="E238" s="30" t="s">
        <v>73</v>
      </c>
      <c r="F238" s="30" t="s">
        <v>28</v>
      </c>
      <c r="G238" s="30"/>
      <c r="H238" s="30" t="s">
        <v>737</v>
      </c>
      <c r="I238" s="31">
        <f t="shared" si="13"/>
        <v>2</v>
      </c>
      <c r="J238" s="31">
        <f t="shared" si="14"/>
        <v>26</v>
      </c>
      <c r="K238" s="32">
        <f t="shared" si="15"/>
        <v>7.1428571428571425E-2</v>
      </c>
      <c r="L238" s="70" t="s">
        <v>1529</v>
      </c>
      <c r="M238" s="70"/>
      <c r="N238" s="70" t="s">
        <v>1529</v>
      </c>
      <c r="O238" s="70" t="s">
        <v>1529</v>
      </c>
      <c r="P238" s="70" t="s">
        <v>1529</v>
      </c>
      <c r="Q238" s="70" t="s">
        <v>1529</v>
      </c>
      <c r="R238" s="70" t="s">
        <v>1529</v>
      </c>
      <c r="S238" s="70" t="s">
        <v>1529</v>
      </c>
      <c r="T238" s="70" t="s">
        <v>1529</v>
      </c>
      <c r="U238" s="70" t="s">
        <v>1529</v>
      </c>
      <c r="V238" s="70" t="s">
        <v>1529</v>
      </c>
      <c r="W238" s="70" t="s">
        <v>1529</v>
      </c>
      <c r="X238" s="70" t="s">
        <v>1529</v>
      </c>
      <c r="Y238" s="70" t="s">
        <v>1529</v>
      </c>
      <c r="Z238" s="70" t="s">
        <v>1529</v>
      </c>
      <c r="AA238" s="70" t="s">
        <v>1529</v>
      </c>
      <c r="AB238" s="70"/>
      <c r="AC238" s="70" t="s">
        <v>1529</v>
      </c>
      <c r="AD238" s="70" t="s">
        <v>1529</v>
      </c>
      <c r="AE238" s="70" t="s">
        <v>1529</v>
      </c>
      <c r="AF238" s="70" t="s">
        <v>1529</v>
      </c>
      <c r="AG238" s="70" t="s">
        <v>1529</v>
      </c>
      <c r="AH238" s="70" t="s">
        <v>1529</v>
      </c>
      <c r="AI238" s="70" t="s">
        <v>1529</v>
      </c>
      <c r="AJ238" s="70" t="s">
        <v>1529</v>
      </c>
      <c r="AK238" s="70" t="s">
        <v>1529</v>
      </c>
      <c r="AL238" s="70" t="s">
        <v>1529</v>
      </c>
      <c r="AM238" s="70" t="s">
        <v>1529</v>
      </c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1068</v>
      </c>
      <c r="D239" t="s">
        <v>293</v>
      </c>
      <c r="E239" s="30" t="s">
        <v>73</v>
      </c>
      <c r="F239" s="30" t="s">
        <v>28</v>
      </c>
      <c r="G239" s="30"/>
      <c r="H239" s="30" t="s">
        <v>1066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977</v>
      </c>
      <c r="C240" t="s">
        <v>1068</v>
      </c>
      <c r="D240" t="s">
        <v>295</v>
      </c>
      <c r="E240" s="30" t="s">
        <v>19</v>
      </c>
      <c r="F240" s="30" t="s">
        <v>28</v>
      </c>
      <c r="G240" s="30"/>
      <c r="H240" s="30" t="s">
        <v>738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1068</v>
      </c>
      <c r="D241" t="s">
        <v>297</v>
      </c>
      <c r="E241" s="30" t="s">
        <v>19</v>
      </c>
      <c r="F241" s="30" t="s">
        <v>28</v>
      </c>
      <c r="G241" s="30"/>
      <c r="H241" s="30" t="s">
        <v>739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978</v>
      </c>
      <c r="C242" t="s">
        <v>1068</v>
      </c>
      <c r="D242" t="s">
        <v>298</v>
      </c>
      <c r="E242" s="30" t="s">
        <v>19</v>
      </c>
      <c r="F242" s="30" t="s">
        <v>28</v>
      </c>
      <c r="G242" s="30"/>
      <c r="H242" s="30" t="s">
        <v>740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1068</v>
      </c>
      <c r="D243" t="s">
        <v>300</v>
      </c>
      <c r="E243" s="30" t="s">
        <v>15</v>
      </c>
      <c r="F243" s="30" t="s">
        <v>20</v>
      </c>
      <c r="G243" s="30"/>
      <c r="H243" s="30" t="s">
        <v>741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1252</v>
      </c>
      <c r="C244" t="s">
        <v>1068</v>
      </c>
      <c r="D244" t="s">
        <v>1253</v>
      </c>
      <c r="E244" s="30" t="s">
        <v>19</v>
      </c>
      <c r="F244" s="30" t="s">
        <v>1062</v>
      </c>
      <c r="G244" s="30"/>
      <c r="H244" s="30" t="s">
        <v>1254</v>
      </c>
      <c r="I244" s="31">
        <f t="shared" si="13"/>
        <v>27</v>
      </c>
      <c r="J244" s="31">
        <f t="shared" si="14"/>
        <v>1</v>
      </c>
      <c r="K244" s="32">
        <f t="shared" si="15"/>
        <v>0.9642857142857143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1529</v>
      </c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1291</v>
      </c>
      <c r="C245" t="s">
        <v>1068</v>
      </c>
      <c r="D245" t="s">
        <v>1292</v>
      </c>
      <c r="E245" s="30" t="s">
        <v>19</v>
      </c>
      <c r="F245" s="30" t="s">
        <v>1062</v>
      </c>
      <c r="G245" s="30"/>
      <c r="H245" s="30" t="s">
        <v>1368</v>
      </c>
      <c r="I245" s="31">
        <f t="shared" si="13"/>
        <v>23</v>
      </c>
      <c r="J245" s="31">
        <f t="shared" si="14"/>
        <v>5</v>
      </c>
      <c r="K245" s="32">
        <f t="shared" si="15"/>
        <v>0.8214285714285714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 t="s">
        <v>1529</v>
      </c>
      <c r="AJ245" s="70" t="s">
        <v>1529</v>
      </c>
      <c r="AK245" s="70" t="s">
        <v>1529</v>
      </c>
      <c r="AL245" s="70" t="s">
        <v>1529</v>
      </c>
      <c r="AM245" s="70" t="s">
        <v>1529</v>
      </c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1068</v>
      </c>
      <c r="D246" t="s">
        <v>303</v>
      </c>
      <c r="E246" s="30" t="s">
        <v>73</v>
      </c>
      <c r="F246" s="30" t="s">
        <v>28</v>
      </c>
      <c r="G246" s="30"/>
      <c r="H246" s="30" t="s">
        <v>742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1068</v>
      </c>
      <c r="D247" t="s">
        <v>305</v>
      </c>
      <c r="E247" s="30" t="s">
        <v>19</v>
      </c>
      <c r="F247" s="30" t="s">
        <v>20</v>
      </c>
      <c r="G247" s="30"/>
      <c r="H247" s="30" t="s">
        <v>743</v>
      </c>
      <c r="I247" s="31">
        <f t="shared" si="13"/>
        <v>17</v>
      </c>
      <c r="J247" s="31">
        <f t="shared" si="14"/>
        <v>11</v>
      </c>
      <c r="K247" s="32">
        <f t="shared" si="15"/>
        <v>0.6071428571428571</v>
      </c>
      <c r="L247" s="70" t="s">
        <v>1529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1529</v>
      </c>
      <c r="AE247" s="70" t="s">
        <v>1529</v>
      </c>
      <c r="AF247" s="70" t="s">
        <v>1529</v>
      </c>
      <c r="AG247" s="70" t="s">
        <v>1529</v>
      </c>
      <c r="AH247" s="70" t="s">
        <v>1529</v>
      </c>
      <c r="AI247" s="70" t="s">
        <v>1529</v>
      </c>
      <c r="AJ247" s="70" t="s">
        <v>1529</v>
      </c>
      <c r="AK247" s="70" t="s">
        <v>1529</v>
      </c>
      <c r="AL247" s="70" t="s">
        <v>1529</v>
      </c>
      <c r="AM247" s="70" t="s">
        <v>1529</v>
      </c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1068</v>
      </c>
      <c r="D248" t="s">
        <v>307</v>
      </c>
      <c r="E248" s="30" t="s">
        <v>19</v>
      </c>
      <c r="F248" s="30" t="s">
        <v>20</v>
      </c>
      <c r="G248" s="30"/>
      <c r="H248" s="30" t="s">
        <v>1509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1068</v>
      </c>
      <c r="D249" t="s">
        <v>309</v>
      </c>
      <c r="E249" s="30" t="s">
        <v>19</v>
      </c>
      <c r="F249" s="30" t="s">
        <v>1308</v>
      </c>
      <c r="G249" s="30"/>
      <c r="H249" s="30" t="s">
        <v>1510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1504</v>
      </c>
      <c r="C250" t="s">
        <v>1068</v>
      </c>
      <c r="D250" t="s">
        <v>1503</v>
      </c>
      <c r="E250" s="30" t="s">
        <v>73</v>
      </c>
      <c r="F250" s="30" t="s">
        <v>28</v>
      </c>
      <c r="G250" s="30"/>
      <c r="H250" s="30" t="s">
        <v>1505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1506</v>
      </c>
      <c r="C251" t="s">
        <v>1068</v>
      </c>
      <c r="D251" t="s">
        <v>1503</v>
      </c>
      <c r="E251" s="30" t="s">
        <v>73</v>
      </c>
      <c r="F251" s="30" t="s">
        <v>28</v>
      </c>
      <c r="G251" s="30"/>
      <c r="H251" s="30" t="s">
        <v>1511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979</v>
      </c>
      <c r="C252" t="s">
        <v>1068</v>
      </c>
      <c r="D252" t="s">
        <v>313</v>
      </c>
      <c r="E252" s="30" t="s">
        <v>19</v>
      </c>
      <c r="F252" s="30" t="s">
        <v>28</v>
      </c>
      <c r="G252" s="30"/>
      <c r="H252" s="30" t="s">
        <v>744</v>
      </c>
      <c r="I252" s="31">
        <f t="shared" si="13"/>
        <v>23</v>
      </c>
      <c r="J252" s="31">
        <f t="shared" si="14"/>
        <v>5</v>
      </c>
      <c r="K252" s="32">
        <f t="shared" si="15"/>
        <v>0.8214285714285714</v>
      </c>
      <c r="L252" s="70"/>
      <c r="M252" s="70"/>
      <c r="N252" s="70" t="s">
        <v>1529</v>
      </c>
      <c r="O252" s="70" t="s">
        <v>1529</v>
      </c>
      <c r="P252" s="70" t="s">
        <v>1529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1529</v>
      </c>
      <c r="AD252" s="70"/>
      <c r="AE252" s="70"/>
      <c r="AF252" s="70"/>
      <c r="AG252" s="70"/>
      <c r="AH252" s="70"/>
      <c r="AI252" s="70" t="s">
        <v>1529</v>
      </c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1068</v>
      </c>
      <c r="D253" t="s">
        <v>315</v>
      </c>
      <c r="E253" s="30" t="s">
        <v>19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1068</v>
      </c>
      <c r="D254" t="s">
        <v>317</v>
      </c>
      <c r="E254" s="30" t="s">
        <v>19</v>
      </c>
      <c r="F254" s="30" t="s">
        <v>1062</v>
      </c>
      <c r="G254" s="30" t="s">
        <v>1262</v>
      </c>
      <c r="H254" s="30" t="s">
        <v>745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1529</v>
      </c>
      <c r="O254" s="70" t="s">
        <v>1529</v>
      </c>
      <c r="P254" s="70" t="s">
        <v>1529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1068</v>
      </c>
      <c r="D255" t="s">
        <v>319</v>
      </c>
      <c r="E255" s="30" t="s">
        <v>19</v>
      </c>
      <c r="F255" s="30" t="s">
        <v>28</v>
      </c>
      <c r="G255" s="30"/>
      <c r="H255" s="30" t="s">
        <v>1371</v>
      </c>
      <c r="I255" s="31">
        <f t="shared" si="13"/>
        <v>3</v>
      </c>
      <c r="J255" s="31">
        <f t="shared" si="14"/>
        <v>25</v>
      </c>
      <c r="K255" s="32">
        <f t="shared" si="15"/>
        <v>0.10714285714285714</v>
      </c>
      <c r="L255" s="70"/>
      <c r="M255" s="70"/>
      <c r="N255" s="70"/>
      <c r="O255" s="70" t="s">
        <v>1529</v>
      </c>
      <c r="P255" s="70" t="s">
        <v>1529</v>
      </c>
      <c r="Q255" s="70" t="s">
        <v>1529</v>
      </c>
      <c r="R255" s="70" t="s">
        <v>1529</v>
      </c>
      <c r="S255" s="70" t="s">
        <v>1529</v>
      </c>
      <c r="T255" s="70" t="s">
        <v>1529</v>
      </c>
      <c r="U255" s="70" t="s">
        <v>1529</v>
      </c>
      <c r="V255" s="70" t="s">
        <v>1529</v>
      </c>
      <c r="W255" s="70" t="s">
        <v>1529</v>
      </c>
      <c r="X255" s="70" t="s">
        <v>1529</v>
      </c>
      <c r="Y255" s="70" t="s">
        <v>1529</v>
      </c>
      <c r="Z255" s="70" t="s">
        <v>1529</v>
      </c>
      <c r="AA255" s="70" t="s">
        <v>1529</v>
      </c>
      <c r="AB255" s="70" t="s">
        <v>1529</v>
      </c>
      <c r="AC255" s="70" t="s">
        <v>1529</v>
      </c>
      <c r="AD255" s="70" t="s">
        <v>1529</v>
      </c>
      <c r="AE255" s="70" t="s">
        <v>1529</v>
      </c>
      <c r="AF255" s="70" t="s">
        <v>1529</v>
      </c>
      <c r="AG255" s="70" t="s">
        <v>1529</v>
      </c>
      <c r="AH255" s="70" t="s">
        <v>1529</v>
      </c>
      <c r="AI255" s="70" t="s">
        <v>1529</v>
      </c>
      <c r="AJ255" s="70" t="s">
        <v>1529</v>
      </c>
      <c r="AK255" s="70" t="s">
        <v>1529</v>
      </c>
      <c r="AL255" s="70" t="s">
        <v>1529</v>
      </c>
      <c r="AM255" s="70" t="s">
        <v>1529</v>
      </c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1068</v>
      </c>
      <c r="D256" t="s">
        <v>322</v>
      </c>
      <c r="E256" s="30" t="s">
        <v>19</v>
      </c>
      <c r="F256" s="30" t="s">
        <v>28</v>
      </c>
      <c r="G256" s="30"/>
      <c r="H256" s="77" t="s">
        <v>1372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1529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1068</v>
      </c>
      <c r="D257" t="s">
        <v>324</v>
      </c>
      <c r="E257" s="30" t="s">
        <v>19</v>
      </c>
      <c r="F257" s="30" t="s">
        <v>28</v>
      </c>
      <c r="G257" s="30"/>
      <c r="H257" s="30" t="s">
        <v>746</v>
      </c>
      <c r="I257" s="31">
        <f t="shared" si="13"/>
        <v>24</v>
      </c>
      <c r="J257" s="31">
        <f t="shared" si="14"/>
        <v>4</v>
      </c>
      <c r="K257" s="32">
        <f t="shared" si="15"/>
        <v>0.8571428571428571</v>
      </c>
      <c r="L257" s="70"/>
      <c r="M257" s="70"/>
      <c r="N257" s="70" t="s">
        <v>1529</v>
      </c>
      <c r="O257" s="70" t="s">
        <v>1529</v>
      </c>
      <c r="P257" s="70" t="s">
        <v>1529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 t="s">
        <v>1529</v>
      </c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1068</v>
      </c>
      <c r="D258" t="s">
        <v>326</v>
      </c>
      <c r="E258" s="30" t="s">
        <v>19</v>
      </c>
      <c r="F258" s="30" t="s">
        <v>28</v>
      </c>
      <c r="G258" s="30"/>
      <c r="H258" s="30" t="s">
        <v>747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1068</v>
      </c>
      <c r="D259" t="s">
        <v>312</v>
      </c>
      <c r="E259" s="30" t="s">
        <v>15</v>
      </c>
      <c r="F259" s="30" t="s">
        <v>28</v>
      </c>
      <c r="G259" s="30"/>
      <c r="H259" s="30" t="s">
        <v>1380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1068</v>
      </c>
      <c r="D260" t="s">
        <v>328</v>
      </c>
      <c r="E260" s="30" t="s">
        <v>15</v>
      </c>
      <c r="F260" s="30" t="s">
        <v>28</v>
      </c>
      <c r="G260" s="30"/>
      <c r="H260" s="30" t="s">
        <v>748</v>
      </c>
      <c r="I260" s="31">
        <f t="shared" si="13"/>
        <v>16</v>
      </c>
      <c r="J260" s="31">
        <f t="shared" si="14"/>
        <v>12</v>
      </c>
      <c r="K260" s="32">
        <f t="shared" si="15"/>
        <v>0.5714285714285714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1529</v>
      </c>
      <c r="AB260" s="70" t="s">
        <v>1529</v>
      </c>
      <c r="AC260" s="70" t="s">
        <v>1529</v>
      </c>
      <c r="AD260" s="70" t="s">
        <v>1529</v>
      </c>
      <c r="AE260" s="70" t="s">
        <v>1529</v>
      </c>
      <c r="AF260" s="70" t="s">
        <v>1529</v>
      </c>
      <c r="AG260" s="70" t="s">
        <v>1529</v>
      </c>
      <c r="AH260" s="70" t="s">
        <v>1529</v>
      </c>
      <c r="AI260" s="70" t="s">
        <v>1529</v>
      </c>
      <c r="AJ260" s="70" t="s">
        <v>1529</v>
      </c>
      <c r="AK260" s="70" t="s">
        <v>1529</v>
      </c>
      <c r="AL260" s="70" t="s">
        <v>1529</v>
      </c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1350</v>
      </c>
      <c r="C261" t="s">
        <v>1068</v>
      </c>
      <c r="D261" t="s">
        <v>1351</v>
      </c>
      <c r="E261" s="30"/>
      <c r="F261" s="30"/>
      <c r="G261" s="30"/>
      <c r="H261" s="30" t="s">
        <v>1366</v>
      </c>
      <c r="I261" s="31">
        <f t="shared" si="13"/>
        <v>27</v>
      </c>
      <c r="J261" s="31">
        <f t="shared" si="14"/>
        <v>1</v>
      </c>
      <c r="K261" s="32">
        <f t="shared" si="15"/>
        <v>0.9642857142857143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 t="s">
        <v>1529</v>
      </c>
      <c r="AM261" s="70"/>
      <c r="AN261" s="70"/>
      <c r="AO261" s="70"/>
      <c r="AP261" s="70"/>
    </row>
    <row r="262" spans="1:42" ht="15.75" thickBot="1" x14ac:dyDescent="0.3">
      <c r="A262" t="s">
        <v>1552</v>
      </c>
      <c r="B262" t="s">
        <v>1551</v>
      </c>
      <c r="C262" t="s">
        <v>1068</v>
      </c>
      <c r="D262" t="s">
        <v>1553</v>
      </c>
      <c r="E262" s="30" t="s">
        <v>19</v>
      </c>
      <c r="F262" s="30" t="s">
        <v>1308</v>
      </c>
      <c r="G262" s="30"/>
      <c r="H262" s="30" t="s">
        <v>1554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1069</v>
      </c>
      <c r="D263" t="s">
        <v>330</v>
      </c>
      <c r="E263" s="30" t="s">
        <v>15</v>
      </c>
      <c r="F263" s="30" t="s">
        <v>28</v>
      </c>
      <c r="G263" s="30"/>
      <c r="H263" s="30" t="s">
        <v>749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1069</v>
      </c>
      <c r="D264" t="s">
        <v>333</v>
      </c>
      <c r="E264" s="30" t="s">
        <v>73</v>
      </c>
      <c r="F264" s="30" t="s">
        <v>28</v>
      </c>
      <c r="G264" s="30"/>
      <c r="H264" s="30" t="s">
        <v>750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1069</v>
      </c>
      <c r="D265" t="s">
        <v>333</v>
      </c>
      <c r="E265" s="30" t="s">
        <v>73</v>
      </c>
      <c r="F265" s="30" t="s">
        <v>28</v>
      </c>
      <c r="G265" s="30"/>
      <c r="H265" s="30" t="s">
        <v>751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1069</v>
      </c>
      <c r="D266" t="s">
        <v>336</v>
      </c>
      <c r="E266" s="30" t="s">
        <v>73</v>
      </c>
      <c r="F266" s="30" t="s">
        <v>28</v>
      </c>
      <c r="G266" s="30"/>
      <c r="H266" s="30" t="s">
        <v>752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1069</v>
      </c>
      <c r="D267" t="s">
        <v>336</v>
      </c>
      <c r="E267" s="30" t="s">
        <v>73</v>
      </c>
      <c r="F267" s="30" t="s">
        <v>28</v>
      </c>
      <c r="G267" s="30"/>
      <c r="H267" s="30" t="s">
        <v>753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1068</v>
      </c>
      <c r="D268" t="s">
        <v>340</v>
      </c>
      <c r="E268" s="30" t="s">
        <v>15</v>
      </c>
      <c r="F268" s="30" t="s">
        <v>28</v>
      </c>
      <c r="G268" s="30"/>
      <c r="H268" s="30" t="s">
        <v>756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1068</v>
      </c>
      <c r="D269" t="s">
        <v>340</v>
      </c>
      <c r="E269" s="30" t="s">
        <v>73</v>
      </c>
      <c r="F269" s="30" t="s">
        <v>28</v>
      </c>
      <c r="G269" s="30"/>
      <c r="H269" s="30" t="s">
        <v>757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981</v>
      </c>
      <c r="C270" t="s">
        <v>1068</v>
      </c>
      <c r="D270" t="s">
        <v>982</v>
      </c>
      <c r="E270" s="30" t="s">
        <v>73</v>
      </c>
      <c r="F270" s="30" t="s">
        <v>28</v>
      </c>
      <c r="G270" s="30"/>
      <c r="H270" s="30" t="s">
        <v>1280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1069</v>
      </c>
      <c r="D271" t="s">
        <v>343</v>
      </c>
      <c r="E271" s="30" t="s">
        <v>15</v>
      </c>
      <c r="F271" s="30" t="s">
        <v>28</v>
      </c>
      <c r="G271" s="30"/>
      <c r="H271" s="30" t="s">
        <v>758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1529</v>
      </c>
      <c r="M271" s="70"/>
      <c r="N271" s="70" t="s">
        <v>1529</v>
      </c>
      <c r="O271" s="70" t="s">
        <v>1529</v>
      </c>
      <c r="P271" s="70"/>
      <c r="Q271" s="70" t="s">
        <v>1529</v>
      </c>
      <c r="R271" s="70" t="s">
        <v>1529</v>
      </c>
      <c r="S271" s="70" t="s">
        <v>1529</v>
      </c>
      <c r="T271" s="70"/>
      <c r="U271" s="70"/>
      <c r="V271" s="70"/>
      <c r="W271" s="70"/>
      <c r="X271" s="70"/>
      <c r="Y271" s="70"/>
      <c r="Z271" s="70"/>
      <c r="AA271" s="70" t="s">
        <v>1529</v>
      </c>
      <c r="AB271" s="70" t="s">
        <v>1529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1069</v>
      </c>
      <c r="D272" t="s">
        <v>343</v>
      </c>
      <c r="E272" s="30" t="s">
        <v>73</v>
      </c>
      <c r="F272" s="30" t="s">
        <v>28</v>
      </c>
      <c r="G272" s="30"/>
      <c r="H272" s="30" t="s">
        <v>759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1302</v>
      </c>
      <c r="C273" t="s">
        <v>1069</v>
      </c>
      <c r="D273" t="s">
        <v>983</v>
      </c>
      <c r="E273" s="30" t="s">
        <v>73</v>
      </c>
      <c r="F273" s="30" t="s">
        <v>28</v>
      </c>
      <c r="G273" s="30"/>
      <c r="H273" s="30" t="s">
        <v>1281</v>
      </c>
      <c r="I273" s="31">
        <f t="shared" si="13"/>
        <v>2</v>
      </c>
      <c r="J273" s="31">
        <f t="shared" si="14"/>
        <v>26</v>
      </c>
      <c r="K273" s="32">
        <f t="shared" si="15"/>
        <v>7.1428571428571425E-2</v>
      </c>
      <c r="L273" s="70"/>
      <c r="M273" s="70"/>
      <c r="N273" s="70" t="s">
        <v>1529</v>
      </c>
      <c r="O273" s="70" t="s">
        <v>1529</v>
      </c>
      <c r="P273" s="70" t="s">
        <v>1529</v>
      </c>
      <c r="Q273" s="70" t="s">
        <v>1529</v>
      </c>
      <c r="R273" s="70" t="s">
        <v>1529</v>
      </c>
      <c r="S273" s="70" t="s">
        <v>1529</v>
      </c>
      <c r="T273" s="70" t="s">
        <v>1529</v>
      </c>
      <c r="U273" s="70" t="s">
        <v>1529</v>
      </c>
      <c r="V273" s="70" t="s">
        <v>1529</v>
      </c>
      <c r="W273" s="70" t="s">
        <v>1529</v>
      </c>
      <c r="X273" s="70" t="s">
        <v>1529</v>
      </c>
      <c r="Y273" s="70" t="s">
        <v>1529</v>
      </c>
      <c r="Z273" s="70" t="s">
        <v>1529</v>
      </c>
      <c r="AA273" s="70" t="s">
        <v>1529</v>
      </c>
      <c r="AB273" s="70" t="s">
        <v>1529</v>
      </c>
      <c r="AC273" s="70" t="s">
        <v>1529</v>
      </c>
      <c r="AD273" s="70" t="s">
        <v>1529</v>
      </c>
      <c r="AE273" s="70" t="s">
        <v>1529</v>
      </c>
      <c r="AF273" s="70" t="s">
        <v>1529</v>
      </c>
      <c r="AG273" s="70" t="s">
        <v>1529</v>
      </c>
      <c r="AH273" s="70" t="s">
        <v>1529</v>
      </c>
      <c r="AI273" s="70" t="s">
        <v>1529</v>
      </c>
      <c r="AJ273" s="70" t="s">
        <v>1529</v>
      </c>
      <c r="AK273" s="70" t="s">
        <v>1529</v>
      </c>
      <c r="AL273" s="70" t="s">
        <v>1529</v>
      </c>
      <c r="AM273" s="70" t="s">
        <v>1529</v>
      </c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1069</v>
      </c>
      <c r="D274" t="s">
        <v>346</v>
      </c>
      <c r="E274" s="30" t="s">
        <v>15</v>
      </c>
      <c r="F274" s="30" t="s">
        <v>28</v>
      </c>
      <c r="G274" s="30"/>
      <c r="H274" s="30" t="s">
        <v>760</v>
      </c>
      <c r="I274" s="31">
        <f t="shared" si="13"/>
        <v>10</v>
      </c>
      <c r="J274" s="31">
        <f t="shared" si="14"/>
        <v>18</v>
      </c>
      <c r="K274" s="32">
        <f t="shared" si="15"/>
        <v>0.35714285714285715</v>
      </c>
      <c r="L274" s="70" t="s">
        <v>1529</v>
      </c>
      <c r="M274" s="70"/>
      <c r="N274" s="70" t="s">
        <v>1529</v>
      </c>
      <c r="O274" s="70" t="s">
        <v>1529</v>
      </c>
      <c r="P274" s="70" t="s">
        <v>1529</v>
      </c>
      <c r="Q274" s="70" t="s">
        <v>1529</v>
      </c>
      <c r="R274" s="70" t="s">
        <v>1529</v>
      </c>
      <c r="S274" s="70" t="s">
        <v>1529</v>
      </c>
      <c r="T274" s="70" t="s">
        <v>1529</v>
      </c>
      <c r="U274" s="70" t="s">
        <v>1529</v>
      </c>
      <c r="V274" s="70" t="s">
        <v>1529</v>
      </c>
      <c r="W274" s="70" t="s">
        <v>1529</v>
      </c>
      <c r="X274" s="70" t="s">
        <v>1529</v>
      </c>
      <c r="Y274" s="70" t="s">
        <v>1529</v>
      </c>
      <c r="Z274" s="70" t="s">
        <v>1529</v>
      </c>
      <c r="AA274" s="70" t="s">
        <v>1529</v>
      </c>
      <c r="AB274" s="70" t="s">
        <v>1529</v>
      </c>
      <c r="AC274" s="70" t="s">
        <v>1529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1529</v>
      </c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1069</v>
      </c>
      <c r="D275" t="s">
        <v>346</v>
      </c>
      <c r="E275" s="30" t="s">
        <v>73</v>
      </c>
      <c r="F275" s="30" t="s">
        <v>28</v>
      </c>
      <c r="G275" s="30"/>
      <c r="H275" s="30" t="s">
        <v>761</v>
      </c>
      <c r="I275" s="31">
        <f t="shared" si="13"/>
        <v>25</v>
      </c>
      <c r="J275" s="31">
        <f t="shared" si="14"/>
        <v>3</v>
      </c>
      <c r="K275" s="32">
        <f t="shared" si="15"/>
        <v>0.8928571428571429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1529</v>
      </c>
      <c r="AB275" s="70" t="s">
        <v>1529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 t="s">
        <v>1529</v>
      </c>
      <c r="AN275" s="70"/>
      <c r="AO275" s="70"/>
      <c r="AP275" s="70"/>
    </row>
    <row r="276" spans="1:42" ht="15.75" thickBot="1" x14ac:dyDescent="0.3">
      <c r="A276" t="s">
        <v>214</v>
      </c>
      <c r="B276" t="s">
        <v>1301</v>
      </c>
      <c r="C276" t="s">
        <v>1069</v>
      </c>
      <c r="D276" t="s">
        <v>984</v>
      </c>
      <c r="E276" s="30" t="s">
        <v>19</v>
      </c>
      <c r="F276" s="30" t="s">
        <v>28</v>
      </c>
      <c r="G276" s="30"/>
      <c r="H276" s="30" t="s">
        <v>1282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1069</v>
      </c>
      <c r="D277" t="s">
        <v>349</v>
      </c>
      <c r="E277" s="30" t="s">
        <v>73</v>
      </c>
      <c r="F277" s="30" t="s">
        <v>28</v>
      </c>
      <c r="G277" s="30"/>
      <c r="H277" s="30" t="s">
        <v>763</v>
      </c>
      <c r="I277" s="31">
        <f t="shared" si="13"/>
        <v>18</v>
      </c>
      <c r="J277" s="31">
        <f t="shared" si="14"/>
        <v>10</v>
      </c>
      <c r="K277" s="32">
        <f t="shared" si="15"/>
        <v>0.6428571428571429</v>
      </c>
      <c r="L277" s="70"/>
      <c r="M277" s="70"/>
      <c r="N277" s="70"/>
      <c r="O277" s="70"/>
      <c r="P277" s="70"/>
      <c r="Q277" s="70"/>
      <c r="R277" s="70"/>
      <c r="S277" s="70" t="s">
        <v>1529</v>
      </c>
      <c r="T277" s="70"/>
      <c r="U277" s="70"/>
      <c r="V277" s="70"/>
      <c r="W277" s="70"/>
      <c r="X277" s="70"/>
      <c r="Y277" s="70"/>
      <c r="Z277" s="70"/>
      <c r="AA277" s="70" t="s">
        <v>1529</v>
      </c>
      <c r="AB277" s="70" t="s">
        <v>1529</v>
      </c>
      <c r="AC277" s="70" t="s">
        <v>1529</v>
      </c>
      <c r="AD277" s="70"/>
      <c r="AE277" s="70"/>
      <c r="AF277" s="70"/>
      <c r="AG277" s="70"/>
      <c r="AH277" s="70" t="s">
        <v>1529</v>
      </c>
      <c r="AI277" s="70" t="s">
        <v>1529</v>
      </c>
      <c r="AJ277" s="70" t="s">
        <v>1529</v>
      </c>
      <c r="AK277" s="70" t="s">
        <v>1529</v>
      </c>
      <c r="AL277" s="70" t="s">
        <v>1529</v>
      </c>
      <c r="AM277" s="70" t="s">
        <v>1529</v>
      </c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1069</v>
      </c>
      <c r="D278" t="s">
        <v>349</v>
      </c>
      <c r="E278" s="30" t="s">
        <v>15</v>
      </c>
      <c r="F278" s="30" t="s">
        <v>28</v>
      </c>
      <c r="G278" s="30"/>
      <c r="H278" s="30" t="s">
        <v>764</v>
      </c>
      <c r="I278" s="31">
        <f t="shared" si="13"/>
        <v>20</v>
      </c>
      <c r="J278" s="31">
        <f t="shared" si="14"/>
        <v>8</v>
      </c>
      <c r="K278" s="32">
        <f t="shared" si="15"/>
        <v>0.7142857142857143</v>
      </c>
      <c r="L278" s="70"/>
      <c r="M278" s="70"/>
      <c r="N278" s="70"/>
      <c r="O278" s="70"/>
      <c r="P278" s="70"/>
      <c r="Q278" s="70"/>
      <c r="R278" s="70"/>
      <c r="S278" s="70" t="s">
        <v>1529</v>
      </c>
      <c r="T278" s="70"/>
      <c r="U278" s="70"/>
      <c r="V278" s="70"/>
      <c r="W278" s="70"/>
      <c r="X278" s="70"/>
      <c r="Y278" s="70"/>
      <c r="Z278" s="70"/>
      <c r="AA278" s="70" t="s">
        <v>1529</v>
      </c>
      <c r="AB278" s="70" t="s">
        <v>1529</v>
      </c>
      <c r="AC278" s="70" t="s">
        <v>1529</v>
      </c>
      <c r="AD278" s="70"/>
      <c r="AE278" s="70"/>
      <c r="AF278" s="70"/>
      <c r="AG278" s="70"/>
      <c r="AH278" s="70" t="s">
        <v>1529</v>
      </c>
      <c r="AI278" s="70" t="s">
        <v>1529</v>
      </c>
      <c r="AJ278" s="70" t="s">
        <v>1529</v>
      </c>
      <c r="AK278" s="70" t="s">
        <v>1529</v>
      </c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985</v>
      </c>
      <c r="C279" t="s">
        <v>1069</v>
      </c>
      <c r="D279" t="s">
        <v>986</v>
      </c>
      <c r="E279" s="30" t="s">
        <v>73</v>
      </c>
      <c r="F279" s="30" t="s">
        <v>28</v>
      </c>
      <c r="G279" s="30"/>
      <c r="H279" s="30" t="s">
        <v>1283</v>
      </c>
      <c r="I279" s="31">
        <f t="shared" si="13"/>
        <v>21</v>
      </c>
      <c r="J279" s="31">
        <f t="shared" si="14"/>
        <v>7</v>
      </c>
      <c r="K279" s="32">
        <f t="shared" si="15"/>
        <v>0.75</v>
      </c>
      <c r="L279" s="70"/>
      <c r="M279" s="70"/>
      <c r="N279" s="70"/>
      <c r="O279" s="70"/>
      <c r="P279" s="70"/>
      <c r="Q279" s="70"/>
      <c r="R279" s="70"/>
      <c r="S279" s="70" t="s">
        <v>1529</v>
      </c>
      <c r="T279" s="70"/>
      <c r="U279" s="70"/>
      <c r="V279" s="70"/>
      <c r="W279" s="70"/>
      <c r="X279" s="70"/>
      <c r="Y279" s="70"/>
      <c r="Z279" s="70"/>
      <c r="AA279" s="70" t="s">
        <v>1529</v>
      </c>
      <c r="AB279" s="70" t="s">
        <v>1529</v>
      </c>
      <c r="AC279" s="70" t="s">
        <v>1529</v>
      </c>
      <c r="AD279" s="70"/>
      <c r="AE279" s="70"/>
      <c r="AF279" s="70"/>
      <c r="AG279" s="70"/>
      <c r="AH279" s="70" t="s">
        <v>1529</v>
      </c>
      <c r="AI279" s="70" t="s">
        <v>1529</v>
      </c>
      <c r="AJ279" s="70" t="s">
        <v>1529</v>
      </c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1069</v>
      </c>
      <c r="D280" t="s">
        <v>352</v>
      </c>
      <c r="E280" s="30" t="s">
        <v>15</v>
      </c>
      <c r="F280" s="30" t="s">
        <v>28</v>
      </c>
      <c r="G280" s="30"/>
      <c r="H280" s="30" t="s">
        <v>765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1069</v>
      </c>
      <c r="D281" t="s">
        <v>352</v>
      </c>
      <c r="E281" s="30" t="s">
        <v>73</v>
      </c>
      <c r="F281" s="30" t="s">
        <v>28</v>
      </c>
      <c r="G281" s="30"/>
      <c r="H281" s="30" t="s">
        <v>766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987</v>
      </c>
      <c r="C282" t="s">
        <v>1069</v>
      </c>
      <c r="D282" t="s">
        <v>352</v>
      </c>
      <c r="E282" s="30" t="s">
        <v>19</v>
      </c>
      <c r="F282" s="30" t="s">
        <v>28</v>
      </c>
      <c r="G282" s="30"/>
      <c r="H282" s="30" t="s">
        <v>1284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980</v>
      </c>
      <c r="C283" t="s">
        <v>1069</v>
      </c>
      <c r="D283" t="s">
        <v>355</v>
      </c>
      <c r="E283" s="30" t="s">
        <v>15</v>
      </c>
      <c r="F283" s="30" t="s">
        <v>28</v>
      </c>
      <c r="G283" s="30"/>
      <c r="H283" s="30" t="s">
        <v>772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1069</v>
      </c>
      <c r="D284" t="s">
        <v>357</v>
      </c>
      <c r="E284" s="30" t="s">
        <v>15</v>
      </c>
      <c r="F284" s="30" t="s">
        <v>28</v>
      </c>
      <c r="G284" s="30"/>
      <c r="H284" s="30" t="s">
        <v>767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1529</v>
      </c>
      <c r="R284" s="70"/>
      <c r="S284" s="70"/>
      <c r="T284" s="70"/>
      <c r="U284" s="70"/>
      <c r="V284" s="70"/>
      <c r="W284" s="70"/>
      <c r="X284" s="70"/>
      <c r="Y284" s="70" t="s">
        <v>1529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1069</v>
      </c>
      <c r="D285" s="141" t="s">
        <v>357</v>
      </c>
      <c r="E285" s="89" t="s">
        <v>73</v>
      </c>
      <c r="F285" s="89" t="s">
        <v>28</v>
      </c>
      <c r="G285" s="89"/>
      <c r="H285" s="89" t="s">
        <v>768</v>
      </c>
      <c r="I285" s="142">
        <f t="shared" si="13"/>
        <v>1</v>
      </c>
      <c r="J285" s="142">
        <f t="shared" si="14"/>
        <v>27</v>
      </c>
      <c r="K285" s="143">
        <f t="shared" si="15"/>
        <v>3.5714285714285712E-2</v>
      </c>
      <c r="L285" s="144" t="s">
        <v>1529</v>
      </c>
      <c r="M285" s="144"/>
      <c r="N285" s="144" t="s">
        <v>1529</v>
      </c>
      <c r="O285" s="144" t="s">
        <v>1529</v>
      </c>
      <c r="P285" s="144" t="s">
        <v>1529</v>
      </c>
      <c r="Q285" s="144" t="s">
        <v>1529</v>
      </c>
      <c r="R285" s="144" t="s">
        <v>1529</v>
      </c>
      <c r="S285" s="144" t="s">
        <v>1529</v>
      </c>
      <c r="T285" s="144" t="s">
        <v>1529</v>
      </c>
      <c r="U285" s="144" t="s">
        <v>1529</v>
      </c>
      <c r="V285" s="144" t="s">
        <v>1529</v>
      </c>
      <c r="W285" s="144" t="s">
        <v>1529</v>
      </c>
      <c r="X285" s="144" t="s">
        <v>1529</v>
      </c>
      <c r="Y285" s="144" t="s">
        <v>1529</v>
      </c>
      <c r="Z285" s="144" t="s">
        <v>1529</v>
      </c>
      <c r="AA285" s="144" t="s">
        <v>1529</v>
      </c>
      <c r="AB285" s="144" t="s">
        <v>1529</v>
      </c>
      <c r="AC285" s="144" t="s">
        <v>1529</v>
      </c>
      <c r="AD285" s="144" t="s">
        <v>1529</v>
      </c>
      <c r="AE285" s="144" t="s">
        <v>1529</v>
      </c>
      <c r="AF285" s="70" t="s">
        <v>1529</v>
      </c>
      <c r="AG285" s="144" t="s">
        <v>1529</v>
      </c>
      <c r="AH285" s="144" t="s">
        <v>1529</v>
      </c>
      <c r="AI285" s="144" t="s">
        <v>1529</v>
      </c>
      <c r="AJ285" s="144" t="s">
        <v>1529</v>
      </c>
      <c r="AK285" s="144" t="s">
        <v>1529</v>
      </c>
      <c r="AL285" s="144" t="s">
        <v>1529</v>
      </c>
      <c r="AM285" s="144" t="s">
        <v>1529</v>
      </c>
      <c r="AN285" s="144"/>
      <c r="AO285" s="144"/>
      <c r="AP285" s="144"/>
    </row>
    <row r="286" spans="1:42" ht="15.75" thickBot="1" x14ac:dyDescent="0.3">
      <c r="A286" t="s">
        <v>196</v>
      </c>
      <c r="B286" t="s">
        <v>988</v>
      </c>
      <c r="C286" t="s">
        <v>1069</v>
      </c>
      <c r="D286" t="s">
        <v>989</v>
      </c>
      <c r="E286" s="30" t="s">
        <v>73</v>
      </c>
      <c r="F286" s="30" t="s">
        <v>28</v>
      </c>
      <c r="G286" s="30"/>
      <c r="H286" s="30" t="s">
        <v>1285</v>
      </c>
      <c r="I286" s="31">
        <f t="shared" ref="I286:I352" si="16">COUNTIF(L286:AM286,"")</f>
        <v>24</v>
      </c>
      <c r="J286" s="31">
        <f t="shared" ref="J286:J352" si="17">COUNTIF(L286:AM286,"APAGADO")</f>
        <v>4</v>
      </c>
      <c r="K286" s="32">
        <f t="shared" ref="K286:K352" si="18">(I286)/(J286+I286)</f>
        <v>0.8571428571428571</v>
      </c>
      <c r="L286" s="70"/>
      <c r="M286" s="70"/>
      <c r="N286" s="70"/>
      <c r="O286" s="70"/>
      <c r="P286" s="70"/>
      <c r="Q286" s="70" t="s">
        <v>1529</v>
      </c>
      <c r="R286" s="70"/>
      <c r="S286" s="70"/>
      <c r="T286" s="70"/>
      <c r="U286" s="70"/>
      <c r="V286" s="70"/>
      <c r="W286" s="70"/>
      <c r="X286" s="70"/>
      <c r="Y286" s="70" t="s">
        <v>1529</v>
      </c>
      <c r="Z286" s="70" t="s">
        <v>1529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 t="s">
        <v>1529</v>
      </c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1215</v>
      </c>
      <c r="C287" t="s">
        <v>1069</v>
      </c>
      <c r="D287" t="s">
        <v>1216</v>
      </c>
      <c r="E287" s="30" t="s">
        <v>15</v>
      </c>
      <c r="F287" s="30" t="s">
        <v>28</v>
      </c>
      <c r="G287" s="30"/>
      <c r="H287" s="30" t="s">
        <v>773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1529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1069</v>
      </c>
      <c r="D288" t="s">
        <v>1216</v>
      </c>
      <c r="E288" s="30" t="s">
        <v>73</v>
      </c>
      <c r="F288" s="30" t="s">
        <v>28</v>
      </c>
      <c r="G288" s="30"/>
      <c r="H288" s="30" t="s">
        <v>774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1529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1529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990</v>
      </c>
      <c r="C289" t="s">
        <v>1069</v>
      </c>
      <c r="D289" t="s">
        <v>991</v>
      </c>
      <c r="E289" s="30" t="s">
        <v>19</v>
      </c>
      <c r="F289" s="30" t="s">
        <v>28</v>
      </c>
      <c r="G289" s="30"/>
      <c r="H289" s="30" t="s">
        <v>1286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1529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1069</v>
      </c>
      <c r="D290" t="s">
        <v>362</v>
      </c>
      <c r="E290" s="30" t="s">
        <v>15</v>
      </c>
      <c r="F290" s="30" t="s">
        <v>28</v>
      </c>
      <c r="G290" s="30"/>
      <c r="H290" s="30" t="s">
        <v>770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1529</v>
      </c>
      <c r="M290" s="70"/>
      <c r="N290" s="70" t="s">
        <v>1529</v>
      </c>
      <c r="O290" s="70" t="s">
        <v>1529</v>
      </c>
      <c r="P290" s="70" t="s">
        <v>1529</v>
      </c>
      <c r="Q290" s="70" t="s">
        <v>1529</v>
      </c>
      <c r="R290" s="70" t="s">
        <v>1529</v>
      </c>
      <c r="S290" s="70" t="s">
        <v>1529</v>
      </c>
      <c r="T290" s="70" t="s">
        <v>1529</v>
      </c>
      <c r="U290" s="70" t="s">
        <v>1529</v>
      </c>
      <c r="V290" s="70" t="s">
        <v>1529</v>
      </c>
      <c r="W290" s="70" t="s">
        <v>1529</v>
      </c>
      <c r="X290" s="70" t="s">
        <v>1529</v>
      </c>
      <c r="Y290" s="70"/>
      <c r="Z290" s="70" t="s">
        <v>1529</v>
      </c>
      <c r="AA290" s="70" t="s">
        <v>1529</v>
      </c>
      <c r="AB290" s="70" t="s">
        <v>1529</v>
      </c>
      <c r="AC290" s="70" t="s">
        <v>1529</v>
      </c>
      <c r="AD290" s="70" t="s">
        <v>1529</v>
      </c>
      <c r="AE290" s="70" t="s">
        <v>1529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1069</v>
      </c>
      <c r="D291" t="s">
        <v>362</v>
      </c>
      <c r="E291" s="30" t="s">
        <v>73</v>
      </c>
      <c r="F291" s="30" t="s">
        <v>28</v>
      </c>
      <c r="G291" s="30"/>
      <c r="H291" s="30" t="s">
        <v>769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992</v>
      </c>
      <c r="C292" t="s">
        <v>1069</v>
      </c>
      <c r="D292" t="s">
        <v>993</v>
      </c>
      <c r="E292" s="30" t="s">
        <v>73</v>
      </c>
      <c r="F292" s="30" t="s">
        <v>28</v>
      </c>
      <c r="G292" s="30"/>
      <c r="H292" s="30" t="s">
        <v>1287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1298</v>
      </c>
      <c r="C293" t="s">
        <v>1069</v>
      </c>
      <c r="D293" t="s">
        <v>995</v>
      </c>
      <c r="E293" s="30" t="s">
        <v>73</v>
      </c>
      <c r="F293" s="30" t="s">
        <v>28</v>
      </c>
      <c r="G293" s="30"/>
      <c r="H293" s="30" t="s">
        <v>771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1299</v>
      </c>
      <c r="C294" t="s">
        <v>1069</v>
      </c>
      <c r="D294" t="s">
        <v>995</v>
      </c>
      <c r="E294" s="30" t="s">
        <v>73</v>
      </c>
      <c r="F294" s="30" t="s">
        <v>28</v>
      </c>
      <c r="G294" s="30"/>
      <c r="H294" s="30" t="s">
        <v>762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994</v>
      </c>
      <c r="C295" t="s">
        <v>1069</v>
      </c>
      <c r="D295" t="s">
        <v>995</v>
      </c>
      <c r="E295" s="30" t="s">
        <v>73</v>
      </c>
      <c r="F295" s="30" t="s">
        <v>28</v>
      </c>
      <c r="G295" s="30"/>
      <c r="H295" s="30" t="s">
        <v>1300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1069</v>
      </c>
      <c r="D296" t="s">
        <v>367</v>
      </c>
      <c r="E296" s="30" t="s">
        <v>15</v>
      </c>
      <c r="F296" s="30" t="s">
        <v>28</v>
      </c>
      <c r="G296" s="30"/>
      <c r="H296" s="30" t="s">
        <v>775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1529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996</v>
      </c>
      <c r="C297" t="s">
        <v>1069</v>
      </c>
      <c r="D297" t="s">
        <v>368</v>
      </c>
      <c r="E297" s="30" t="s">
        <v>15</v>
      </c>
      <c r="F297" s="30" t="s">
        <v>28</v>
      </c>
      <c r="G297" s="30"/>
      <c r="H297" s="30" t="s">
        <v>776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1529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1069</v>
      </c>
      <c r="D298" t="s">
        <v>370</v>
      </c>
      <c r="E298" s="30" t="s">
        <v>73</v>
      </c>
      <c r="F298" s="30" t="s">
        <v>28</v>
      </c>
      <c r="G298" s="30"/>
      <c r="H298" s="30" t="s">
        <v>777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1529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1069</v>
      </c>
      <c r="D299" t="s">
        <v>370</v>
      </c>
      <c r="E299" s="30" t="s">
        <v>73</v>
      </c>
      <c r="F299" s="30" t="s">
        <v>28</v>
      </c>
      <c r="G299" s="30"/>
      <c r="H299" s="30" t="s">
        <v>778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1529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1069</v>
      </c>
      <c r="D300" t="s">
        <v>373</v>
      </c>
      <c r="E300" s="30" t="s">
        <v>73</v>
      </c>
      <c r="F300" s="30" t="s">
        <v>28</v>
      </c>
      <c r="G300" s="30"/>
      <c r="H300" s="30" t="s">
        <v>779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1529</v>
      </c>
      <c r="Q300" s="70"/>
      <c r="R300" s="70"/>
      <c r="S300" s="70"/>
      <c r="T300" s="70"/>
      <c r="U300" s="70"/>
      <c r="V300" s="70"/>
      <c r="W300" s="70"/>
      <c r="X300" s="70"/>
      <c r="Y300" s="70" t="s">
        <v>1529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1069</v>
      </c>
      <c r="D301" t="s">
        <v>373</v>
      </c>
      <c r="E301" s="30" t="s">
        <v>46</v>
      </c>
      <c r="F301" s="30" t="s">
        <v>28</v>
      </c>
      <c r="G301" s="30"/>
      <c r="H301" s="30" t="s">
        <v>780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1529</v>
      </c>
      <c r="Q301" s="70"/>
      <c r="R301" s="70"/>
      <c r="S301" s="70"/>
      <c r="T301" s="70"/>
      <c r="U301" s="70"/>
      <c r="V301" s="70"/>
      <c r="W301" s="70"/>
      <c r="X301" s="70"/>
      <c r="Y301" s="70" t="s">
        <v>1529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1343</v>
      </c>
      <c r="C302" t="s">
        <v>1068</v>
      </c>
      <c r="D302" t="s">
        <v>1344</v>
      </c>
      <c r="E302" s="30"/>
      <c r="F302" s="30" t="s">
        <v>28</v>
      </c>
      <c r="G302" s="30"/>
      <c r="H302" s="30" t="s">
        <v>1354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1388</v>
      </c>
      <c r="C303" t="s">
        <v>1069</v>
      </c>
      <c r="D303" s="68" t="s">
        <v>1391</v>
      </c>
      <c r="E303" s="30" t="s">
        <v>19</v>
      </c>
      <c r="F303" s="30" t="s">
        <v>28</v>
      </c>
      <c r="G303" s="30"/>
      <c r="H303" s="30" t="s">
        <v>1403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1389</v>
      </c>
      <c r="C304" t="s">
        <v>1069</v>
      </c>
      <c r="D304" s="68" t="s">
        <v>1392</v>
      </c>
      <c r="E304" s="30" t="s">
        <v>73</v>
      </c>
      <c r="F304" s="30" t="s">
        <v>28</v>
      </c>
      <c r="G304" s="30"/>
      <c r="H304" s="30" t="s">
        <v>1404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1390</v>
      </c>
      <c r="C305" t="s">
        <v>1069</v>
      </c>
      <c r="D305" s="68" t="s">
        <v>1393</v>
      </c>
      <c r="E305" s="30" t="s">
        <v>73</v>
      </c>
      <c r="F305" s="30" t="s">
        <v>28</v>
      </c>
      <c r="G305" s="30"/>
      <c r="H305" s="30" t="s">
        <v>1405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1006</v>
      </c>
      <c r="C306" s="73" t="s">
        <v>1069</v>
      </c>
      <c r="D306" s="73" t="s">
        <v>376</v>
      </c>
      <c r="E306" s="87" t="s">
        <v>15</v>
      </c>
      <c r="F306" s="87" t="s">
        <v>28</v>
      </c>
      <c r="G306" s="87"/>
      <c r="H306" s="87" t="s">
        <v>781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1529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1007</v>
      </c>
      <c r="C307" t="s">
        <v>1069</v>
      </c>
      <c r="D307" t="s">
        <v>377</v>
      </c>
      <c r="E307" s="30" t="s">
        <v>15</v>
      </c>
      <c r="F307" s="30" t="s">
        <v>28</v>
      </c>
      <c r="G307" s="30"/>
      <c r="H307" s="30" t="s">
        <v>784</v>
      </c>
      <c r="I307" s="31">
        <f t="shared" si="16"/>
        <v>1</v>
      </c>
      <c r="J307" s="31">
        <f t="shared" si="17"/>
        <v>27</v>
      </c>
      <c r="K307" s="32">
        <f t="shared" si="18"/>
        <v>3.5714285714285712E-2</v>
      </c>
      <c r="L307" s="70" t="s">
        <v>1529</v>
      </c>
      <c r="M307" s="70"/>
      <c r="N307" s="70" t="s">
        <v>1529</v>
      </c>
      <c r="O307" s="70" t="s">
        <v>1529</v>
      </c>
      <c r="P307" s="70" t="s">
        <v>1529</v>
      </c>
      <c r="Q307" s="70" t="s">
        <v>1529</v>
      </c>
      <c r="R307" s="70" t="s">
        <v>1529</v>
      </c>
      <c r="S307" s="70" t="s">
        <v>1529</v>
      </c>
      <c r="T307" s="70" t="s">
        <v>1529</v>
      </c>
      <c r="U307" s="70" t="s">
        <v>1529</v>
      </c>
      <c r="V307" s="70" t="s">
        <v>1529</v>
      </c>
      <c r="W307" s="70" t="s">
        <v>1529</v>
      </c>
      <c r="X307" s="70" t="s">
        <v>1529</v>
      </c>
      <c r="Y307" s="70" t="s">
        <v>1529</v>
      </c>
      <c r="Z307" s="70" t="s">
        <v>1529</v>
      </c>
      <c r="AA307" s="70" t="s">
        <v>1529</v>
      </c>
      <c r="AB307" s="70" t="s">
        <v>1529</v>
      </c>
      <c r="AC307" s="70" t="s">
        <v>1529</v>
      </c>
      <c r="AD307" s="70" t="s">
        <v>1529</v>
      </c>
      <c r="AE307" s="70" t="s">
        <v>1529</v>
      </c>
      <c r="AF307" s="70" t="s">
        <v>1529</v>
      </c>
      <c r="AG307" s="70" t="s">
        <v>1529</v>
      </c>
      <c r="AH307" s="70" t="s">
        <v>1529</v>
      </c>
      <c r="AI307" s="70" t="s">
        <v>1529</v>
      </c>
      <c r="AJ307" s="70" t="s">
        <v>1529</v>
      </c>
      <c r="AK307" s="70" t="s">
        <v>1529</v>
      </c>
      <c r="AL307" s="70" t="s">
        <v>1529</v>
      </c>
      <c r="AM307" s="70" t="s">
        <v>1529</v>
      </c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1069</v>
      </c>
      <c r="D308" t="s">
        <v>379</v>
      </c>
      <c r="E308" s="30" t="s">
        <v>73</v>
      </c>
      <c r="F308" s="30" t="s">
        <v>28</v>
      </c>
      <c r="G308" s="30"/>
      <c r="H308" s="30" t="s">
        <v>782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1529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1069</v>
      </c>
      <c r="D309" t="s">
        <v>379</v>
      </c>
      <c r="E309" s="30" t="s">
        <v>73</v>
      </c>
      <c r="F309" s="30" t="s">
        <v>28</v>
      </c>
      <c r="G309" s="30"/>
      <c r="H309" s="30" t="s">
        <v>783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1529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997</v>
      </c>
      <c r="C310" t="s">
        <v>1069</v>
      </c>
      <c r="D310" t="s">
        <v>381</v>
      </c>
      <c r="E310" s="30" t="s">
        <v>15</v>
      </c>
      <c r="F310" s="30" t="s">
        <v>28</v>
      </c>
      <c r="G310" s="30"/>
      <c r="H310" s="30" t="s">
        <v>785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1529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998</v>
      </c>
      <c r="C311" t="s">
        <v>1069</v>
      </c>
      <c r="D311" t="s">
        <v>999</v>
      </c>
      <c r="E311" s="30" t="s">
        <v>19</v>
      </c>
      <c r="F311" s="30" t="s">
        <v>28</v>
      </c>
      <c r="G311" s="30"/>
      <c r="H311" s="30" t="s">
        <v>911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1529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1000</v>
      </c>
      <c r="C312" t="s">
        <v>1069</v>
      </c>
      <c r="D312" t="s">
        <v>1001</v>
      </c>
      <c r="E312" s="30" t="s">
        <v>19</v>
      </c>
      <c r="F312" s="30" t="s">
        <v>28</v>
      </c>
      <c r="G312" s="30"/>
      <c r="H312" s="30" t="s">
        <v>912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1529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1002</v>
      </c>
      <c r="C313" t="s">
        <v>1069</v>
      </c>
      <c r="D313" t="s">
        <v>1003</v>
      </c>
      <c r="E313" s="30" t="s">
        <v>19</v>
      </c>
      <c r="F313" s="30" t="s">
        <v>28</v>
      </c>
      <c r="G313" s="30"/>
      <c r="H313" s="30" t="s">
        <v>913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1529</v>
      </c>
      <c r="M313" s="70"/>
      <c r="N313" s="70" t="s">
        <v>1529</v>
      </c>
      <c r="O313" s="70" t="s">
        <v>1529</v>
      </c>
      <c r="P313" s="70" t="s">
        <v>1529</v>
      </c>
      <c r="Q313" s="70" t="s">
        <v>1529</v>
      </c>
      <c r="R313" s="70" t="s">
        <v>1529</v>
      </c>
      <c r="S313" s="70" t="s">
        <v>1529</v>
      </c>
      <c r="T313" s="70" t="s">
        <v>1529</v>
      </c>
      <c r="U313" s="70" t="s">
        <v>1529</v>
      </c>
      <c r="V313" s="70" t="s">
        <v>1529</v>
      </c>
      <c r="W313" s="70" t="s">
        <v>1529</v>
      </c>
      <c r="X313" s="70" t="s">
        <v>1529</v>
      </c>
      <c r="Y313" s="70" t="s">
        <v>1529</v>
      </c>
      <c r="Z313" s="70" t="s">
        <v>1529</v>
      </c>
      <c r="AA313" s="70" t="s">
        <v>1529</v>
      </c>
      <c r="AB313" s="14" t="s">
        <v>1529</v>
      </c>
      <c r="AC313" s="70" t="s">
        <v>1529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1004</v>
      </c>
      <c r="C314" t="s">
        <v>1069</v>
      </c>
      <c r="D314" t="s">
        <v>1005</v>
      </c>
      <c r="E314" s="30" t="s">
        <v>19</v>
      </c>
      <c r="F314" s="30" t="s">
        <v>28</v>
      </c>
      <c r="G314" s="30"/>
      <c r="H314" s="30" t="s">
        <v>914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1529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1180</v>
      </c>
      <c r="C315" t="s">
        <v>1069</v>
      </c>
      <c r="D315" t="s">
        <v>1163</v>
      </c>
      <c r="E315" s="30" t="s">
        <v>19</v>
      </c>
      <c r="F315" s="30" t="s">
        <v>28</v>
      </c>
      <c r="G315" s="30"/>
      <c r="H315" s="30" t="s">
        <v>1165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1529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1181</v>
      </c>
      <c r="C316" t="s">
        <v>1069</v>
      </c>
      <c r="D316" t="s">
        <v>1163</v>
      </c>
      <c r="E316" s="30" t="s">
        <v>19</v>
      </c>
      <c r="F316" s="30" t="s">
        <v>28</v>
      </c>
      <c r="G316" s="30"/>
      <c r="H316" s="30" t="s">
        <v>1166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1529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1199</v>
      </c>
      <c r="C317" t="s">
        <v>1069</v>
      </c>
      <c r="D317" t="s">
        <v>1162</v>
      </c>
      <c r="E317" s="30" t="s">
        <v>15</v>
      </c>
      <c r="F317" s="30" t="s">
        <v>28</v>
      </c>
      <c r="G317" s="30"/>
      <c r="H317" s="30" t="s">
        <v>1164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1529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1303</v>
      </c>
      <c r="C318" t="s">
        <v>1069</v>
      </c>
      <c r="D318" t="s">
        <v>1304</v>
      </c>
      <c r="E318" s="30" t="s">
        <v>73</v>
      </c>
      <c r="F318" s="30" t="s">
        <v>28</v>
      </c>
      <c r="G318" s="30"/>
      <c r="H318" s="30" t="s">
        <v>1496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1529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1394</v>
      </c>
      <c r="C319" t="s">
        <v>1069</v>
      </c>
      <c r="D319" s="68" t="s">
        <v>1397</v>
      </c>
      <c r="E319" s="30" t="s">
        <v>15</v>
      </c>
      <c r="F319" s="30" t="s">
        <v>1062</v>
      </c>
      <c r="G319" s="30"/>
      <c r="H319" s="30" t="s">
        <v>1401</v>
      </c>
      <c r="I319" s="31">
        <f t="shared" si="16"/>
        <v>1</v>
      </c>
      <c r="J319" s="31">
        <f t="shared" si="17"/>
        <v>27</v>
      </c>
      <c r="K319" s="32">
        <f t="shared" si="18"/>
        <v>3.5714285714285712E-2</v>
      </c>
      <c r="L319" s="70" t="s">
        <v>1529</v>
      </c>
      <c r="M319" s="70"/>
      <c r="N319" s="70" t="s">
        <v>1529</v>
      </c>
      <c r="O319" s="70" t="s">
        <v>1529</v>
      </c>
      <c r="P319" s="70" t="s">
        <v>1529</v>
      </c>
      <c r="Q319" s="70" t="s">
        <v>1529</v>
      </c>
      <c r="R319" s="70" t="s">
        <v>1529</v>
      </c>
      <c r="S319" s="70" t="s">
        <v>1529</v>
      </c>
      <c r="T319" s="70" t="s">
        <v>1529</v>
      </c>
      <c r="U319" s="70" t="s">
        <v>1529</v>
      </c>
      <c r="V319" s="70" t="s">
        <v>1529</v>
      </c>
      <c r="W319" s="70" t="s">
        <v>1529</v>
      </c>
      <c r="X319" s="70" t="s">
        <v>1529</v>
      </c>
      <c r="Y319" s="70" t="s">
        <v>1529</v>
      </c>
      <c r="Z319" s="70" t="s">
        <v>1529</v>
      </c>
      <c r="AA319" s="70" t="s">
        <v>1529</v>
      </c>
      <c r="AB319" s="70" t="s">
        <v>1529</v>
      </c>
      <c r="AC319" s="70" t="s">
        <v>1529</v>
      </c>
      <c r="AD319" s="70" t="s">
        <v>1529</v>
      </c>
      <c r="AE319" s="70" t="s">
        <v>1529</v>
      </c>
      <c r="AF319" s="70" t="s">
        <v>1529</v>
      </c>
      <c r="AG319" s="70" t="s">
        <v>1529</v>
      </c>
      <c r="AH319" s="70" t="s">
        <v>1529</v>
      </c>
      <c r="AI319" s="70" t="s">
        <v>1529</v>
      </c>
      <c r="AJ319" s="70" t="s">
        <v>1529</v>
      </c>
      <c r="AK319" s="70" t="s">
        <v>1529</v>
      </c>
      <c r="AL319" s="70" t="s">
        <v>1529</v>
      </c>
      <c r="AM319" s="70" t="s">
        <v>1529</v>
      </c>
      <c r="AN319" s="70"/>
      <c r="AO319" s="70"/>
      <c r="AP319" s="70"/>
    </row>
    <row r="320" spans="1:42" ht="15.75" thickBot="1" x14ac:dyDescent="0.3">
      <c r="A320" t="s">
        <v>375</v>
      </c>
      <c r="B320" t="s">
        <v>1395</v>
      </c>
      <c r="C320" t="s">
        <v>1069</v>
      </c>
      <c r="D320" s="68" t="s">
        <v>1398</v>
      </c>
      <c r="E320" s="30" t="s">
        <v>73</v>
      </c>
      <c r="F320" s="30" t="s">
        <v>1062</v>
      </c>
      <c r="G320" s="30"/>
      <c r="H320" s="30" t="s">
        <v>1402</v>
      </c>
      <c r="I320" s="31">
        <f t="shared" si="16"/>
        <v>1</v>
      </c>
      <c r="J320" s="31">
        <f t="shared" si="17"/>
        <v>27</v>
      </c>
      <c r="K320" s="32">
        <f t="shared" si="18"/>
        <v>3.5714285714285712E-2</v>
      </c>
      <c r="L320" s="70" t="s">
        <v>1529</v>
      </c>
      <c r="M320" s="70"/>
      <c r="N320" s="70" t="s">
        <v>1529</v>
      </c>
      <c r="O320" s="70" t="s">
        <v>1529</v>
      </c>
      <c r="P320" s="70" t="s">
        <v>1529</v>
      </c>
      <c r="Q320" s="70" t="s">
        <v>1529</v>
      </c>
      <c r="R320" s="70" t="s">
        <v>1529</v>
      </c>
      <c r="S320" s="70" t="s">
        <v>1529</v>
      </c>
      <c r="T320" s="70" t="s">
        <v>1529</v>
      </c>
      <c r="U320" s="70" t="s">
        <v>1529</v>
      </c>
      <c r="V320" s="70" t="s">
        <v>1529</v>
      </c>
      <c r="W320" s="70" t="s">
        <v>1529</v>
      </c>
      <c r="X320" s="70" t="s">
        <v>1529</v>
      </c>
      <c r="Y320" s="70" t="s">
        <v>1529</v>
      </c>
      <c r="Z320" s="70" t="s">
        <v>1529</v>
      </c>
      <c r="AA320" s="70" t="s">
        <v>1529</v>
      </c>
      <c r="AB320" s="70" t="s">
        <v>1529</v>
      </c>
      <c r="AC320" s="70" t="s">
        <v>1529</v>
      </c>
      <c r="AD320" s="70" t="s">
        <v>1529</v>
      </c>
      <c r="AE320" s="70" t="s">
        <v>1529</v>
      </c>
      <c r="AF320" s="70" t="s">
        <v>1529</v>
      </c>
      <c r="AG320" s="70" t="s">
        <v>1529</v>
      </c>
      <c r="AH320" s="70" t="s">
        <v>1529</v>
      </c>
      <c r="AI320" s="70" t="s">
        <v>1529</v>
      </c>
      <c r="AJ320" s="70" t="s">
        <v>1529</v>
      </c>
      <c r="AK320" s="70" t="s">
        <v>1529</v>
      </c>
      <c r="AL320" s="70" t="s">
        <v>1529</v>
      </c>
      <c r="AM320" s="70" t="s">
        <v>1529</v>
      </c>
      <c r="AN320" s="70"/>
      <c r="AO320" s="70"/>
      <c r="AP320" s="70"/>
    </row>
    <row r="321" spans="1:42" ht="15.75" thickBot="1" x14ac:dyDescent="0.3">
      <c r="A321" t="s">
        <v>375</v>
      </c>
      <c r="B321" t="s">
        <v>1396</v>
      </c>
      <c r="C321" t="s">
        <v>1069</v>
      </c>
      <c r="D321" s="68" t="s">
        <v>1399</v>
      </c>
      <c r="E321" s="30" t="s">
        <v>15</v>
      </c>
      <c r="F321" s="30" t="s">
        <v>28</v>
      </c>
      <c r="G321" s="30"/>
      <c r="H321" s="30" t="s">
        <v>1513</v>
      </c>
      <c r="I321" s="31">
        <f t="shared" si="16"/>
        <v>1</v>
      </c>
      <c r="J321" s="31">
        <f t="shared" si="17"/>
        <v>27</v>
      </c>
      <c r="K321" s="32">
        <f t="shared" si="18"/>
        <v>3.5714285714285712E-2</v>
      </c>
      <c r="L321" s="70" t="s">
        <v>1529</v>
      </c>
      <c r="M321" s="70"/>
      <c r="N321" s="70" t="s">
        <v>1529</v>
      </c>
      <c r="O321" s="70" t="s">
        <v>1529</v>
      </c>
      <c r="P321" s="70" t="s">
        <v>1529</v>
      </c>
      <c r="Q321" s="70" t="s">
        <v>1529</v>
      </c>
      <c r="R321" s="70" t="s">
        <v>1529</v>
      </c>
      <c r="S321" s="70" t="s">
        <v>1529</v>
      </c>
      <c r="T321" s="70" t="s">
        <v>1529</v>
      </c>
      <c r="U321" s="70" t="s">
        <v>1529</v>
      </c>
      <c r="V321" s="70" t="s">
        <v>1529</v>
      </c>
      <c r="W321" s="70" t="s">
        <v>1529</v>
      </c>
      <c r="X321" s="70" t="s">
        <v>1529</v>
      </c>
      <c r="Y321" s="70" t="s">
        <v>1529</v>
      </c>
      <c r="Z321" s="70" t="s">
        <v>1529</v>
      </c>
      <c r="AA321" s="70" t="s">
        <v>1529</v>
      </c>
      <c r="AB321" s="70" t="s">
        <v>1529</v>
      </c>
      <c r="AC321" s="70" t="s">
        <v>1529</v>
      </c>
      <c r="AD321" s="70" t="s">
        <v>1529</v>
      </c>
      <c r="AE321" s="70" t="s">
        <v>1529</v>
      </c>
      <c r="AF321" s="70" t="s">
        <v>1529</v>
      </c>
      <c r="AG321" s="70" t="s">
        <v>1529</v>
      </c>
      <c r="AH321" s="70" t="s">
        <v>1529</v>
      </c>
      <c r="AI321" s="70" t="s">
        <v>1529</v>
      </c>
      <c r="AJ321" s="70" t="s">
        <v>1529</v>
      </c>
      <c r="AK321" s="70" t="s">
        <v>1529</v>
      </c>
      <c r="AL321" s="70" t="s">
        <v>1529</v>
      </c>
      <c r="AM321" s="70" t="s">
        <v>1529</v>
      </c>
      <c r="AN321" s="70"/>
      <c r="AO321" s="70"/>
      <c r="AP321" s="70"/>
    </row>
    <row r="322" spans="1:42" ht="15.75" thickBot="1" x14ac:dyDescent="0.3">
      <c r="A322" t="s">
        <v>904</v>
      </c>
      <c r="B322" t="s">
        <v>1008</v>
      </c>
      <c r="C322" t="s">
        <v>1069</v>
      </c>
      <c r="D322" t="s">
        <v>1009</v>
      </c>
      <c r="E322" s="30" t="s">
        <v>1063</v>
      </c>
      <c r="F322" s="30" t="s">
        <v>1308</v>
      </c>
      <c r="G322" s="30"/>
      <c r="H322" s="30" t="s">
        <v>906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904</v>
      </c>
      <c r="B323" t="s">
        <v>903</v>
      </c>
      <c r="C323" t="s">
        <v>1069</v>
      </c>
      <c r="D323" t="s">
        <v>1009</v>
      </c>
      <c r="E323" s="30" t="s">
        <v>1064</v>
      </c>
      <c r="F323" s="30" t="s">
        <v>1308</v>
      </c>
      <c r="G323" s="30"/>
      <c r="H323" s="30" t="s">
        <v>905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1068</v>
      </c>
      <c r="D324" t="s">
        <v>383</v>
      </c>
      <c r="E324" s="30" t="s">
        <v>19</v>
      </c>
      <c r="F324" s="30" t="s">
        <v>28</v>
      </c>
      <c r="G324" s="30"/>
      <c r="H324" s="30" t="s">
        <v>786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1010</v>
      </c>
      <c r="C325" t="s">
        <v>1068</v>
      </c>
      <c r="D325" t="s">
        <v>338</v>
      </c>
      <c r="E325" s="30" t="s">
        <v>73</v>
      </c>
      <c r="F325" s="30" t="s">
        <v>28</v>
      </c>
      <c r="G325" s="30"/>
      <c r="H325" s="30" t="s">
        <v>754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1529</v>
      </c>
      <c r="O325" s="70"/>
      <c r="P325" s="70"/>
      <c r="Q325" s="70"/>
      <c r="R325" s="70"/>
      <c r="S325" s="70" t="s">
        <v>1529</v>
      </c>
      <c r="T325" s="70"/>
      <c r="U325" s="70"/>
      <c r="V325" s="70"/>
      <c r="W325" s="70"/>
      <c r="X325" s="70" t="s">
        <v>1529</v>
      </c>
      <c r="Y325" s="70" t="s">
        <v>1529</v>
      </c>
      <c r="Z325" s="70"/>
      <c r="AA325" s="70"/>
      <c r="AB325" s="70"/>
      <c r="AC325" s="70"/>
      <c r="AD325" s="70"/>
      <c r="AE325" s="70"/>
      <c r="AF325" s="70"/>
      <c r="AG325" s="70" t="s">
        <v>1529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1011</v>
      </c>
      <c r="C326" t="s">
        <v>1068</v>
      </c>
      <c r="D326" t="s">
        <v>338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1529</v>
      </c>
      <c r="O326" s="70"/>
      <c r="P326" s="70"/>
      <c r="Q326" s="70"/>
      <c r="R326" s="70"/>
      <c r="S326" s="70" t="s">
        <v>1529</v>
      </c>
      <c r="T326" s="70"/>
      <c r="U326" s="70"/>
      <c r="V326" s="70"/>
      <c r="W326" s="70"/>
      <c r="X326" s="70" t="s">
        <v>1529</v>
      </c>
      <c r="Y326" s="70" t="s">
        <v>1529</v>
      </c>
      <c r="Z326" s="70"/>
      <c r="AA326" s="70"/>
      <c r="AB326" s="70"/>
      <c r="AC326" s="70"/>
      <c r="AD326" s="70"/>
      <c r="AE326" s="70"/>
      <c r="AF326" s="70"/>
      <c r="AG326" s="70" t="s">
        <v>1529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1012</v>
      </c>
      <c r="C327" t="s">
        <v>1068</v>
      </c>
      <c r="D327" t="s">
        <v>1013</v>
      </c>
      <c r="E327" s="30" t="s">
        <v>19</v>
      </c>
      <c r="F327" s="30" t="s">
        <v>28</v>
      </c>
      <c r="G327" s="30"/>
      <c r="H327" s="30" t="s">
        <v>1493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1014</v>
      </c>
      <c r="C328" t="s">
        <v>1068</v>
      </c>
      <c r="D328" t="s">
        <v>1015</v>
      </c>
      <c r="E328" s="30" t="s">
        <v>19</v>
      </c>
      <c r="F328" s="30" t="s">
        <v>28</v>
      </c>
      <c r="G328" s="30"/>
      <c r="H328" s="30" t="s">
        <v>1225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1529</v>
      </c>
      <c r="M328" s="70"/>
      <c r="N328" s="70" t="s">
        <v>1529</v>
      </c>
      <c r="O328" s="70" t="s">
        <v>1529</v>
      </c>
      <c r="P328" s="70" t="s">
        <v>1529</v>
      </c>
      <c r="Q328" s="70"/>
      <c r="R328" s="70"/>
      <c r="S328" s="70"/>
      <c r="T328" s="70"/>
      <c r="U328" s="70" t="s">
        <v>1529</v>
      </c>
      <c r="V328" s="70" t="s">
        <v>1529</v>
      </c>
      <c r="W328" s="70" t="s">
        <v>1529</v>
      </c>
      <c r="X328" s="70" t="s">
        <v>1529</v>
      </c>
      <c r="Y328" s="70"/>
      <c r="Z328" s="70"/>
      <c r="AA328" s="70" t="s">
        <v>1529</v>
      </c>
      <c r="AB328" s="70" t="s">
        <v>1529</v>
      </c>
      <c r="AC328" s="70" t="s">
        <v>1529</v>
      </c>
      <c r="AD328" s="70" t="s">
        <v>1529</v>
      </c>
      <c r="AE328" s="70" t="s">
        <v>1529</v>
      </c>
      <c r="AF328" s="70" t="s">
        <v>1529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1136</v>
      </c>
      <c r="C329" t="s">
        <v>1068</v>
      </c>
      <c r="D329" t="s">
        <v>1133</v>
      </c>
      <c r="E329" s="30" t="s">
        <v>73</v>
      </c>
      <c r="F329" s="30" t="s">
        <v>28</v>
      </c>
      <c r="G329" s="30"/>
      <c r="H329" s="30" t="s">
        <v>1142</v>
      </c>
      <c r="I329" s="31">
        <f t="shared" si="16"/>
        <v>27</v>
      </c>
      <c r="J329" s="31">
        <f t="shared" si="17"/>
        <v>1</v>
      </c>
      <c r="K329" s="32">
        <f t="shared" si="18"/>
        <v>0.9642857142857143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1529</v>
      </c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1137</v>
      </c>
      <c r="C330" t="s">
        <v>1068</v>
      </c>
      <c r="D330" t="s">
        <v>1133</v>
      </c>
      <c r="E330" s="30" t="s">
        <v>73</v>
      </c>
      <c r="F330" s="30" t="s">
        <v>28</v>
      </c>
      <c r="G330" s="30"/>
      <c r="H330" s="30" t="s">
        <v>1143</v>
      </c>
      <c r="I330" s="31">
        <f t="shared" si="16"/>
        <v>27</v>
      </c>
      <c r="J330" s="31">
        <f t="shared" si="17"/>
        <v>1</v>
      </c>
      <c r="K330" s="32">
        <f t="shared" si="18"/>
        <v>0.9642857142857143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1529</v>
      </c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1138</v>
      </c>
      <c r="C331" t="s">
        <v>1068</v>
      </c>
      <c r="D331" t="s">
        <v>1134</v>
      </c>
      <c r="E331" s="30" t="s">
        <v>73</v>
      </c>
      <c r="F331" s="30" t="s">
        <v>28</v>
      </c>
      <c r="G331" s="30"/>
      <c r="H331" s="30" t="s">
        <v>1144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1139</v>
      </c>
      <c r="C332" t="s">
        <v>1068</v>
      </c>
      <c r="D332" t="s">
        <v>1134</v>
      </c>
      <c r="E332" s="30" t="s">
        <v>73</v>
      </c>
      <c r="F332" s="30" t="s">
        <v>28</v>
      </c>
      <c r="G332" s="30"/>
      <c r="H332" s="30" t="s">
        <v>1145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1328</v>
      </c>
      <c r="B333" t="s">
        <v>1240</v>
      </c>
      <c r="C333" t="s">
        <v>1068</v>
      </c>
      <c r="D333" t="s">
        <v>1241</v>
      </c>
      <c r="E333" t="s">
        <v>19</v>
      </c>
      <c r="F333" t="s">
        <v>28</v>
      </c>
      <c r="G333"/>
      <c r="H333" s="30" t="s">
        <v>1247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1529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1529</v>
      </c>
      <c r="AE333" s="70" t="s">
        <v>1529</v>
      </c>
      <c r="AF333" s="70" t="s">
        <v>1529</v>
      </c>
      <c r="AG333" s="70" t="s">
        <v>1529</v>
      </c>
      <c r="AH333" s="70" t="s">
        <v>1529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1328</v>
      </c>
      <c r="B334" t="s">
        <v>1242</v>
      </c>
      <c r="C334" t="s">
        <v>1068</v>
      </c>
      <c r="D334" t="s">
        <v>1243</v>
      </c>
      <c r="E334" t="s">
        <v>19</v>
      </c>
      <c r="F334" t="s">
        <v>28</v>
      </c>
      <c r="G334"/>
      <c r="H334" s="30" t="s">
        <v>1248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1529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1529</v>
      </c>
      <c r="AE334" s="70" t="s">
        <v>1529</v>
      </c>
      <c r="AF334" s="70" t="s">
        <v>1529</v>
      </c>
      <c r="AG334" s="70" t="s">
        <v>1529</v>
      </c>
      <c r="AH334" s="70" t="s">
        <v>1529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1328</v>
      </c>
      <c r="B335" t="s">
        <v>1589</v>
      </c>
      <c r="C335" t="s">
        <v>1068</v>
      </c>
      <c r="D335" t="s">
        <v>1592</v>
      </c>
      <c r="E335" s="30" t="s">
        <v>73</v>
      </c>
      <c r="F335" s="30" t="s">
        <v>1308</v>
      </c>
      <c r="G335"/>
      <c r="H335" s="30" t="s">
        <v>1593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 t="s">
        <v>1529</v>
      </c>
      <c r="AM335" s="70"/>
      <c r="AN335" s="70"/>
      <c r="AO335" s="70"/>
      <c r="AP335" s="70"/>
    </row>
    <row r="336" spans="1:42" ht="15.75" thickBot="1" x14ac:dyDescent="0.3">
      <c r="A336" s="73" t="s">
        <v>1328</v>
      </c>
      <c r="B336" t="s">
        <v>1590</v>
      </c>
      <c r="C336" t="s">
        <v>1068</v>
      </c>
      <c r="D336" t="s">
        <v>1594</v>
      </c>
      <c r="E336" t="s">
        <v>73</v>
      </c>
      <c r="F336" s="30" t="s">
        <v>1308</v>
      </c>
      <c r="G336"/>
      <c r="H336" s="30" t="s">
        <v>1595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1328</v>
      </c>
      <c r="B337" t="s">
        <v>1591</v>
      </c>
      <c r="C337" t="s">
        <v>1068</v>
      </c>
      <c r="D337" t="s">
        <v>1596</v>
      </c>
      <c r="E337" t="s">
        <v>73</v>
      </c>
      <c r="F337" s="30" t="s">
        <v>1308</v>
      </c>
      <c r="G337"/>
      <c r="H337" s="30" t="s">
        <v>1597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1068</v>
      </c>
      <c r="D338" t="s">
        <v>386</v>
      </c>
      <c r="E338" s="30" t="s">
        <v>19</v>
      </c>
      <c r="F338" s="30" t="s">
        <v>28</v>
      </c>
      <c r="G338" s="30"/>
      <c r="H338" s="30" t="s">
        <v>787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 t="s">
        <v>1529</v>
      </c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1068</v>
      </c>
      <c r="D339" t="s">
        <v>388</v>
      </c>
      <c r="E339" s="30" t="s">
        <v>19</v>
      </c>
      <c r="F339" s="30" t="s">
        <v>28</v>
      </c>
      <c r="G339" s="30"/>
      <c r="H339" s="30" t="s">
        <v>788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1068</v>
      </c>
      <c r="D340" s="141" t="s">
        <v>391</v>
      </c>
      <c r="E340" s="96" t="s">
        <v>19</v>
      </c>
      <c r="F340" s="96" t="s">
        <v>1308</v>
      </c>
      <c r="G340" s="89"/>
      <c r="H340" s="89" t="s">
        <v>1494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1068</v>
      </c>
      <c r="D341" t="s">
        <v>393</v>
      </c>
      <c r="E341" s="30" t="s">
        <v>19</v>
      </c>
      <c r="F341" s="30" t="s">
        <v>28</v>
      </c>
      <c r="G341" s="30"/>
      <c r="H341" s="30" t="s">
        <v>791</v>
      </c>
      <c r="I341" s="31">
        <f t="shared" si="16"/>
        <v>27</v>
      </c>
      <c r="J341" s="31">
        <f t="shared" si="17"/>
        <v>1</v>
      </c>
      <c r="K341" s="32">
        <f t="shared" si="18"/>
        <v>0.9642857142857143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 t="s">
        <v>1529</v>
      </c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1016</v>
      </c>
      <c r="C342" t="s">
        <v>1068</v>
      </c>
      <c r="D342" t="s">
        <v>394</v>
      </c>
      <c r="E342" s="30" t="s">
        <v>19</v>
      </c>
      <c r="F342" s="30" t="s">
        <v>28</v>
      </c>
      <c r="G342" s="30"/>
      <c r="H342" s="30" t="s">
        <v>792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1529</v>
      </c>
      <c r="O342" s="70" t="s">
        <v>1529</v>
      </c>
      <c r="P342" s="70" t="s">
        <v>1529</v>
      </c>
      <c r="Q342" s="70" t="s">
        <v>1529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1068</v>
      </c>
      <c r="D343" t="s">
        <v>396</v>
      </c>
      <c r="E343" s="30" t="s">
        <v>73</v>
      </c>
      <c r="F343" s="30" t="s">
        <v>28</v>
      </c>
      <c r="G343" s="30"/>
      <c r="H343" s="30" t="s">
        <v>789</v>
      </c>
      <c r="I343" s="31">
        <f t="shared" si="16"/>
        <v>26</v>
      </c>
      <c r="J343" s="31">
        <f t="shared" si="17"/>
        <v>2</v>
      </c>
      <c r="K343" s="32">
        <f t="shared" si="18"/>
        <v>0.9285714285714286</v>
      </c>
      <c r="L343" s="70"/>
      <c r="M343" s="70"/>
      <c r="N343" s="70"/>
      <c r="O343" s="70"/>
      <c r="P343" s="70"/>
      <c r="Q343" s="70" t="s">
        <v>1529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 t="s">
        <v>1529</v>
      </c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1068</v>
      </c>
      <c r="D344" t="s">
        <v>396</v>
      </c>
      <c r="E344" s="30" t="s">
        <v>73</v>
      </c>
      <c r="F344" s="30" t="s">
        <v>28</v>
      </c>
      <c r="G344" s="30"/>
      <c r="H344" s="30" t="s">
        <v>790</v>
      </c>
      <c r="I344" s="31">
        <f t="shared" si="16"/>
        <v>26</v>
      </c>
      <c r="J344" s="31">
        <f t="shared" si="17"/>
        <v>2</v>
      </c>
      <c r="K344" s="32">
        <f t="shared" si="18"/>
        <v>0.9285714285714286</v>
      </c>
      <c r="L344" s="70"/>
      <c r="M344" s="70"/>
      <c r="N344" s="70"/>
      <c r="O344" s="70"/>
      <c r="P344" s="70"/>
      <c r="Q344" s="70" t="s">
        <v>1529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 t="s">
        <v>1529</v>
      </c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1271</v>
      </c>
      <c r="C345" t="s">
        <v>1068</v>
      </c>
      <c r="D345" t="s">
        <v>1272</v>
      </c>
      <c r="E345" s="30" t="s">
        <v>15</v>
      </c>
      <c r="F345" s="30" t="s">
        <v>1062</v>
      </c>
      <c r="G345" s="30" t="s">
        <v>1274</v>
      </c>
      <c r="H345" s="30" t="s">
        <v>1273</v>
      </c>
      <c r="I345" s="31">
        <f t="shared" si="16"/>
        <v>27</v>
      </c>
      <c r="J345" s="31">
        <f t="shared" si="17"/>
        <v>1</v>
      </c>
      <c r="K345" s="32">
        <f t="shared" si="18"/>
        <v>0.9642857142857143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1529</v>
      </c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1321</v>
      </c>
      <c r="C346" s="85" t="s">
        <v>1069</v>
      </c>
      <c r="D346" t="s">
        <v>1322</v>
      </c>
      <c r="E346" s="30" t="s">
        <v>15</v>
      </c>
      <c r="F346" s="30" t="s">
        <v>1308</v>
      </c>
      <c r="G346" s="30"/>
      <c r="H346" s="30" t="s">
        <v>1323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1529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1068</v>
      </c>
      <c r="D347" s="95" t="s">
        <v>408</v>
      </c>
      <c r="E347" s="96" t="s">
        <v>15</v>
      </c>
      <c r="F347" s="96" t="s">
        <v>20</v>
      </c>
      <c r="G347" s="96"/>
      <c r="H347" s="96" t="s">
        <v>793</v>
      </c>
      <c r="I347" s="31">
        <f t="shared" si="16"/>
        <v>1</v>
      </c>
      <c r="J347" s="31">
        <f t="shared" si="17"/>
        <v>27</v>
      </c>
      <c r="K347" s="32">
        <f t="shared" si="18"/>
        <v>3.5714285714285712E-2</v>
      </c>
      <c r="L347" s="70" t="s">
        <v>1529</v>
      </c>
      <c r="M347" s="70"/>
      <c r="N347" s="70" t="s">
        <v>1529</v>
      </c>
      <c r="O347" s="70" t="s">
        <v>1529</v>
      </c>
      <c r="P347" s="70" t="s">
        <v>1529</v>
      </c>
      <c r="Q347" s="70" t="s">
        <v>1529</v>
      </c>
      <c r="R347" s="70" t="s">
        <v>1529</v>
      </c>
      <c r="S347" s="70" t="s">
        <v>1529</v>
      </c>
      <c r="T347" s="70" t="s">
        <v>1529</v>
      </c>
      <c r="U347" s="70" t="s">
        <v>1529</v>
      </c>
      <c r="V347" s="70" t="s">
        <v>1529</v>
      </c>
      <c r="W347" s="70" t="s">
        <v>1529</v>
      </c>
      <c r="X347" s="70" t="s">
        <v>1529</v>
      </c>
      <c r="Y347" s="70" t="s">
        <v>1529</v>
      </c>
      <c r="Z347" s="70" t="s">
        <v>1529</v>
      </c>
      <c r="AA347" s="70" t="s">
        <v>1529</v>
      </c>
      <c r="AB347" s="70" t="s">
        <v>1529</v>
      </c>
      <c r="AC347" s="70" t="s">
        <v>1529</v>
      </c>
      <c r="AD347" s="97" t="s">
        <v>1529</v>
      </c>
      <c r="AE347" s="97" t="s">
        <v>1529</v>
      </c>
      <c r="AF347" s="70" t="s">
        <v>1529</v>
      </c>
      <c r="AG347" s="97" t="s">
        <v>1529</v>
      </c>
      <c r="AH347" s="97" t="s">
        <v>1529</v>
      </c>
      <c r="AI347" s="97" t="s">
        <v>1529</v>
      </c>
      <c r="AJ347" s="97" t="s">
        <v>1529</v>
      </c>
      <c r="AK347" s="97" t="s">
        <v>1529</v>
      </c>
      <c r="AL347" s="97" t="s">
        <v>1529</v>
      </c>
      <c r="AM347" s="97" t="s">
        <v>1529</v>
      </c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1068</v>
      </c>
      <c r="D348" s="141" t="s">
        <v>399</v>
      </c>
      <c r="E348" s="89" t="s">
        <v>19</v>
      </c>
      <c r="F348" s="89" t="s">
        <v>1495</v>
      </c>
      <c r="G348" s="89"/>
      <c r="H348" s="89" t="s">
        <v>1296</v>
      </c>
      <c r="I348" s="142">
        <f t="shared" si="16"/>
        <v>1</v>
      </c>
      <c r="J348" s="142">
        <f t="shared" si="17"/>
        <v>27</v>
      </c>
      <c r="K348" s="143">
        <f t="shared" si="18"/>
        <v>3.5714285714285712E-2</v>
      </c>
      <c r="L348" s="144" t="s">
        <v>1529</v>
      </c>
      <c r="M348" s="144"/>
      <c r="N348" s="144" t="s">
        <v>1529</v>
      </c>
      <c r="O348" s="144" t="s">
        <v>1529</v>
      </c>
      <c r="P348" s="144" t="s">
        <v>1529</v>
      </c>
      <c r="Q348" s="144" t="s">
        <v>1529</v>
      </c>
      <c r="R348" s="144" t="s">
        <v>1529</v>
      </c>
      <c r="S348" s="144" t="s">
        <v>1529</v>
      </c>
      <c r="T348" s="144" t="s">
        <v>1529</v>
      </c>
      <c r="U348" s="144" t="s">
        <v>1529</v>
      </c>
      <c r="V348" s="144" t="s">
        <v>1529</v>
      </c>
      <c r="W348" s="144" t="s">
        <v>1529</v>
      </c>
      <c r="X348" s="144" t="s">
        <v>1529</v>
      </c>
      <c r="Y348" s="144" t="s">
        <v>1529</v>
      </c>
      <c r="Z348" s="144" t="s">
        <v>1529</v>
      </c>
      <c r="AA348" s="144" t="s">
        <v>1529</v>
      </c>
      <c r="AB348" s="144" t="s">
        <v>1529</v>
      </c>
      <c r="AC348" s="144" t="s">
        <v>1529</v>
      </c>
      <c r="AD348" s="144" t="s">
        <v>1529</v>
      </c>
      <c r="AE348" s="144" t="s">
        <v>1529</v>
      </c>
      <c r="AF348" s="70" t="s">
        <v>1529</v>
      </c>
      <c r="AG348" s="144" t="s">
        <v>1529</v>
      </c>
      <c r="AH348" s="144" t="s">
        <v>1529</v>
      </c>
      <c r="AI348" s="144" t="s">
        <v>1529</v>
      </c>
      <c r="AJ348" s="144" t="s">
        <v>1529</v>
      </c>
      <c r="AK348" s="144" t="s">
        <v>1529</v>
      </c>
      <c r="AL348" s="144" t="s">
        <v>1529</v>
      </c>
      <c r="AM348" s="144" t="s">
        <v>1529</v>
      </c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1068</v>
      </c>
      <c r="D349" s="73" t="s">
        <v>401</v>
      </c>
      <c r="E349" s="87" t="s">
        <v>15</v>
      </c>
      <c r="F349" s="87" t="s">
        <v>28</v>
      </c>
      <c r="G349" s="87"/>
      <c r="H349" s="87" t="s">
        <v>1528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1068</v>
      </c>
      <c r="D350" t="s">
        <v>404</v>
      </c>
      <c r="E350" s="30" t="s">
        <v>19</v>
      </c>
      <c r="F350" s="30" t="s">
        <v>28</v>
      </c>
      <c r="G350" s="30"/>
      <c r="H350" s="30" t="s">
        <v>794</v>
      </c>
      <c r="I350" s="31">
        <f t="shared" si="16"/>
        <v>11</v>
      </c>
      <c r="J350" s="31">
        <f t="shared" si="17"/>
        <v>17</v>
      </c>
      <c r="K350" s="32">
        <f t="shared" si="18"/>
        <v>0.39285714285714285</v>
      </c>
      <c r="L350" s="70"/>
      <c r="M350" s="70"/>
      <c r="N350" s="70"/>
      <c r="O350" s="70"/>
      <c r="P350" s="70"/>
      <c r="Q350" s="70" t="s">
        <v>1529</v>
      </c>
      <c r="R350" s="70" t="s">
        <v>1529</v>
      </c>
      <c r="S350" s="70" t="s">
        <v>1529</v>
      </c>
      <c r="T350" s="70" t="s">
        <v>1529</v>
      </c>
      <c r="U350" s="70" t="s">
        <v>1529</v>
      </c>
      <c r="V350" s="70" t="s">
        <v>1529</v>
      </c>
      <c r="W350" s="70" t="s">
        <v>1529</v>
      </c>
      <c r="X350" s="70" t="s">
        <v>1529</v>
      </c>
      <c r="Y350" s="70" t="s">
        <v>1529</v>
      </c>
      <c r="Z350" s="70" t="s">
        <v>1529</v>
      </c>
      <c r="AA350" s="70" t="s">
        <v>1529</v>
      </c>
      <c r="AB350" s="70" t="s">
        <v>1529</v>
      </c>
      <c r="AC350" s="70" t="s">
        <v>1529</v>
      </c>
      <c r="AD350" s="70" t="s">
        <v>1529</v>
      </c>
      <c r="AE350" s="70" t="s">
        <v>1529</v>
      </c>
      <c r="AF350" s="70" t="s">
        <v>1529</v>
      </c>
      <c r="AG350" s="70"/>
      <c r="AH350" s="70"/>
      <c r="AI350" s="70"/>
      <c r="AJ350" s="70"/>
      <c r="AK350" s="70"/>
      <c r="AL350" s="70" t="s">
        <v>1529</v>
      </c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1068</v>
      </c>
      <c r="D351" t="s">
        <v>404</v>
      </c>
      <c r="E351" s="30" t="s">
        <v>73</v>
      </c>
      <c r="F351" s="30" t="s">
        <v>28</v>
      </c>
      <c r="G351" s="30"/>
      <c r="H351" s="30" t="s">
        <v>795</v>
      </c>
      <c r="I351" s="31">
        <f t="shared" si="16"/>
        <v>11</v>
      </c>
      <c r="J351" s="31">
        <f t="shared" si="17"/>
        <v>17</v>
      </c>
      <c r="K351" s="32">
        <f t="shared" si="18"/>
        <v>0.39285714285714285</v>
      </c>
      <c r="L351" s="70"/>
      <c r="M351" s="70"/>
      <c r="N351" s="70"/>
      <c r="O351" s="70"/>
      <c r="P351" s="70"/>
      <c r="Q351" s="70" t="s">
        <v>1529</v>
      </c>
      <c r="R351" s="70" t="s">
        <v>1529</v>
      </c>
      <c r="S351" s="70" t="s">
        <v>1529</v>
      </c>
      <c r="T351" s="70" t="s">
        <v>1529</v>
      </c>
      <c r="U351" s="70" t="s">
        <v>1529</v>
      </c>
      <c r="V351" s="70" t="s">
        <v>1529</v>
      </c>
      <c r="W351" s="70" t="s">
        <v>1529</v>
      </c>
      <c r="X351" s="70" t="s">
        <v>1529</v>
      </c>
      <c r="Y351" s="70" t="s">
        <v>1529</v>
      </c>
      <c r="Z351" s="70" t="s">
        <v>1529</v>
      </c>
      <c r="AA351" s="70" t="s">
        <v>1529</v>
      </c>
      <c r="AB351" s="70" t="s">
        <v>1529</v>
      </c>
      <c r="AC351" s="70" t="s">
        <v>1529</v>
      </c>
      <c r="AD351" s="70" t="s">
        <v>1529</v>
      </c>
      <c r="AE351" s="70" t="s">
        <v>1529</v>
      </c>
      <c r="AF351" s="70" t="s">
        <v>1529</v>
      </c>
      <c r="AG351" s="70"/>
      <c r="AH351" s="70"/>
      <c r="AI351" s="70"/>
      <c r="AJ351" s="70"/>
      <c r="AK351" s="70"/>
      <c r="AL351" s="70" t="s">
        <v>1529</v>
      </c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1068</v>
      </c>
      <c r="D352" t="s">
        <v>404</v>
      </c>
      <c r="E352" s="30" t="s">
        <v>73</v>
      </c>
      <c r="F352" s="30" t="s">
        <v>28</v>
      </c>
      <c r="G352" s="30"/>
      <c r="H352" s="30" t="s">
        <v>796</v>
      </c>
      <c r="I352" s="31">
        <f t="shared" si="16"/>
        <v>11</v>
      </c>
      <c r="J352" s="31">
        <f t="shared" si="17"/>
        <v>17</v>
      </c>
      <c r="K352" s="32">
        <f t="shared" si="18"/>
        <v>0.39285714285714285</v>
      </c>
      <c r="L352" s="70"/>
      <c r="M352" s="70"/>
      <c r="N352" s="70"/>
      <c r="O352" s="70"/>
      <c r="P352" s="70"/>
      <c r="Q352" s="70" t="s">
        <v>1529</v>
      </c>
      <c r="R352" s="70" t="s">
        <v>1529</v>
      </c>
      <c r="S352" s="70" t="s">
        <v>1529</v>
      </c>
      <c r="T352" s="70" t="s">
        <v>1529</v>
      </c>
      <c r="U352" s="70" t="s">
        <v>1529</v>
      </c>
      <c r="V352" s="70" t="s">
        <v>1529</v>
      </c>
      <c r="W352" s="70" t="s">
        <v>1529</v>
      </c>
      <c r="X352" s="70" t="s">
        <v>1529</v>
      </c>
      <c r="Y352" s="70" t="s">
        <v>1529</v>
      </c>
      <c r="Z352" s="70" t="s">
        <v>1529</v>
      </c>
      <c r="AA352" s="70" t="s">
        <v>1529</v>
      </c>
      <c r="AB352" s="70" t="s">
        <v>1529</v>
      </c>
      <c r="AC352" s="70" t="s">
        <v>1529</v>
      </c>
      <c r="AD352" s="70" t="s">
        <v>1529</v>
      </c>
      <c r="AE352" s="70" t="s">
        <v>1529</v>
      </c>
      <c r="AF352" s="70" t="s">
        <v>1529</v>
      </c>
      <c r="AG352" s="70"/>
      <c r="AH352" s="70"/>
      <c r="AI352" s="70"/>
      <c r="AJ352" s="70"/>
      <c r="AK352" s="70"/>
      <c r="AL352" s="70" t="s">
        <v>1529</v>
      </c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1068</v>
      </c>
      <c r="D353" t="s">
        <v>411</v>
      </c>
      <c r="E353" s="30" t="s">
        <v>73</v>
      </c>
      <c r="F353" s="30" t="s">
        <v>28</v>
      </c>
      <c r="G353" s="30"/>
      <c r="H353" s="30" t="s">
        <v>797</v>
      </c>
      <c r="I353" s="31">
        <f t="shared" ref="I353:I420" si="19">COUNTIF(L353:AM353,"")</f>
        <v>26</v>
      </c>
      <c r="J353" s="31">
        <f t="shared" ref="J353:J420" si="20">COUNTIF(L353:AM353,"APAGADO")</f>
        <v>2</v>
      </c>
      <c r="K353" s="32">
        <f t="shared" ref="K353:K420" si="21">(I353)/(J353+I353)</f>
        <v>0.9285714285714286</v>
      </c>
      <c r="L353" s="70"/>
      <c r="M353" s="70"/>
      <c r="N353" s="70"/>
      <c r="O353" s="70"/>
      <c r="P353" s="70"/>
      <c r="Q353" s="70" t="s">
        <v>1529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 t="s">
        <v>1529</v>
      </c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1068</v>
      </c>
      <c r="D354" t="s">
        <v>411</v>
      </c>
      <c r="E354" s="30" t="s">
        <v>73</v>
      </c>
      <c r="F354" s="30" t="s">
        <v>28</v>
      </c>
      <c r="G354" s="30"/>
      <c r="H354" s="30" t="s">
        <v>798</v>
      </c>
      <c r="I354" s="31">
        <f t="shared" si="19"/>
        <v>26</v>
      </c>
      <c r="J354" s="31">
        <f t="shared" si="20"/>
        <v>2</v>
      </c>
      <c r="K354" s="32">
        <f t="shared" si="21"/>
        <v>0.9285714285714286</v>
      </c>
      <c r="L354" s="70"/>
      <c r="M354" s="70"/>
      <c r="N354" s="70"/>
      <c r="O354" s="70"/>
      <c r="P354" s="70"/>
      <c r="Q354" s="70" t="s">
        <v>1529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 t="s">
        <v>1529</v>
      </c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1068</v>
      </c>
      <c r="D355" t="s">
        <v>414</v>
      </c>
      <c r="E355" s="30" t="s">
        <v>73</v>
      </c>
      <c r="F355" s="30" t="s">
        <v>28</v>
      </c>
      <c r="G355" s="30"/>
      <c r="H355" s="30" t="s">
        <v>799</v>
      </c>
      <c r="I355" s="31">
        <f t="shared" si="19"/>
        <v>11</v>
      </c>
      <c r="J355" s="31">
        <f t="shared" si="20"/>
        <v>17</v>
      </c>
      <c r="K355" s="32">
        <f t="shared" si="21"/>
        <v>0.39285714285714285</v>
      </c>
      <c r="L355" s="70"/>
      <c r="M355" s="70"/>
      <c r="N355" s="70"/>
      <c r="O355" s="70"/>
      <c r="P355" s="70"/>
      <c r="Q355" s="70" t="s">
        <v>1529</v>
      </c>
      <c r="R355" s="70" t="s">
        <v>1529</v>
      </c>
      <c r="S355" s="70" t="s">
        <v>1529</v>
      </c>
      <c r="T355" s="70" t="s">
        <v>1529</v>
      </c>
      <c r="U355" s="70" t="s">
        <v>1529</v>
      </c>
      <c r="V355" s="70" t="s">
        <v>1529</v>
      </c>
      <c r="W355" s="70" t="s">
        <v>1529</v>
      </c>
      <c r="X355" s="70" t="s">
        <v>1529</v>
      </c>
      <c r="Y355" s="70" t="s">
        <v>1529</v>
      </c>
      <c r="Z355" s="70" t="s">
        <v>1529</v>
      </c>
      <c r="AA355" s="70" t="s">
        <v>1529</v>
      </c>
      <c r="AB355" s="70" t="s">
        <v>1529</v>
      </c>
      <c r="AC355" s="70" t="s">
        <v>1529</v>
      </c>
      <c r="AD355" s="70" t="s">
        <v>1529</v>
      </c>
      <c r="AE355" s="70" t="s">
        <v>1529</v>
      </c>
      <c r="AF355" s="70" t="s">
        <v>1529</v>
      </c>
      <c r="AG355" s="70"/>
      <c r="AH355" s="70"/>
      <c r="AI355" s="70"/>
      <c r="AJ355" s="70"/>
      <c r="AK355" s="70"/>
      <c r="AL355" s="70" t="s">
        <v>1529</v>
      </c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1068</v>
      </c>
      <c r="D356" t="s">
        <v>414</v>
      </c>
      <c r="E356" s="30" t="s">
        <v>73</v>
      </c>
      <c r="F356" s="30" t="s">
        <v>28</v>
      </c>
      <c r="G356" s="30"/>
      <c r="H356" s="30" t="s">
        <v>800</v>
      </c>
      <c r="I356" s="31">
        <f t="shared" si="19"/>
        <v>11</v>
      </c>
      <c r="J356" s="31">
        <f t="shared" si="20"/>
        <v>17</v>
      </c>
      <c r="K356" s="32">
        <f t="shared" si="21"/>
        <v>0.39285714285714285</v>
      </c>
      <c r="L356" s="70"/>
      <c r="M356" s="70"/>
      <c r="N356" s="70"/>
      <c r="O356" s="70"/>
      <c r="P356" s="70"/>
      <c r="Q356" s="70" t="s">
        <v>1529</v>
      </c>
      <c r="R356" s="70" t="s">
        <v>1529</v>
      </c>
      <c r="S356" s="70" t="s">
        <v>1529</v>
      </c>
      <c r="T356" s="70" t="s">
        <v>1529</v>
      </c>
      <c r="U356" s="70" t="s">
        <v>1529</v>
      </c>
      <c r="V356" s="70" t="s">
        <v>1529</v>
      </c>
      <c r="W356" s="70" t="s">
        <v>1529</v>
      </c>
      <c r="X356" s="70" t="s">
        <v>1529</v>
      </c>
      <c r="Y356" s="70" t="s">
        <v>1529</v>
      </c>
      <c r="Z356" s="70" t="s">
        <v>1529</v>
      </c>
      <c r="AA356" s="70" t="s">
        <v>1529</v>
      </c>
      <c r="AB356" s="70" t="s">
        <v>1529</v>
      </c>
      <c r="AC356" s="70" t="s">
        <v>1529</v>
      </c>
      <c r="AD356" s="70" t="s">
        <v>1529</v>
      </c>
      <c r="AE356" s="70" t="s">
        <v>1529</v>
      </c>
      <c r="AF356" s="70" t="s">
        <v>1529</v>
      </c>
      <c r="AG356" s="70"/>
      <c r="AH356" s="70"/>
      <c r="AI356" s="70"/>
      <c r="AJ356" s="70"/>
      <c r="AK356" s="70"/>
      <c r="AL356" s="70" t="s">
        <v>1529</v>
      </c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1068</v>
      </c>
      <c r="D357" t="s">
        <v>417</v>
      </c>
      <c r="E357" s="30" t="s">
        <v>73</v>
      </c>
      <c r="F357" s="30" t="s">
        <v>28</v>
      </c>
      <c r="G357" s="30"/>
      <c r="H357" s="30" t="s">
        <v>801</v>
      </c>
      <c r="I357" s="31">
        <f t="shared" si="19"/>
        <v>11</v>
      </c>
      <c r="J357" s="31">
        <f t="shared" si="20"/>
        <v>17</v>
      </c>
      <c r="K357" s="32">
        <f t="shared" si="21"/>
        <v>0.39285714285714285</v>
      </c>
      <c r="L357" s="70"/>
      <c r="M357" s="70"/>
      <c r="N357" s="70"/>
      <c r="O357" s="70"/>
      <c r="P357" s="70"/>
      <c r="Q357" s="70" t="s">
        <v>1529</v>
      </c>
      <c r="R357" s="70" t="s">
        <v>1529</v>
      </c>
      <c r="S357" s="70" t="s">
        <v>1529</v>
      </c>
      <c r="T357" s="70" t="s">
        <v>1529</v>
      </c>
      <c r="U357" s="70" t="s">
        <v>1529</v>
      </c>
      <c r="V357" s="70" t="s">
        <v>1529</v>
      </c>
      <c r="W357" s="70" t="s">
        <v>1529</v>
      </c>
      <c r="X357" s="70" t="s">
        <v>1529</v>
      </c>
      <c r="Y357" s="70" t="s">
        <v>1529</v>
      </c>
      <c r="Z357" s="70" t="s">
        <v>1529</v>
      </c>
      <c r="AA357" s="70" t="s">
        <v>1529</v>
      </c>
      <c r="AB357" s="70" t="s">
        <v>1529</v>
      </c>
      <c r="AC357" s="70" t="s">
        <v>1529</v>
      </c>
      <c r="AD357" s="70" t="s">
        <v>1529</v>
      </c>
      <c r="AE357" s="70" t="s">
        <v>1529</v>
      </c>
      <c r="AF357" s="70" t="s">
        <v>1529</v>
      </c>
      <c r="AG357" s="70"/>
      <c r="AH357" s="70"/>
      <c r="AI357" s="70"/>
      <c r="AJ357" s="70"/>
      <c r="AK357" s="70"/>
      <c r="AL357" s="70" t="s">
        <v>1529</v>
      </c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1068</v>
      </c>
      <c r="D358" t="s">
        <v>417</v>
      </c>
      <c r="E358" s="30" t="s">
        <v>73</v>
      </c>
      <c r="F358" s="30" t="s">
        <v>28</v>
      </c>
      <c r="G358" s="30"/>
      <c r="H358" s="30" t="s">
        <v>802</v>
      </c>
      <c r="I358" s="31">
        <f t="shared" si="19"/>
        <v>11</v>
      </c>
      <c r="J358" s="31">
        <f t="shared" si="20"/>
        <v>17</v>
      </c>
      <c r="K358" s="32">
        <f t="shared" si="21"/>
        <v>0.39285714285714285</v>
      </c>
      <c r="L358" s="70"/>
      <c r="M358" s="70"/>
      <c r="N358" s="70"/>
      <c r="O358" s="70"/>
      <c r="P358" s="70"/>
      <c r="Q358" s="70" t="s">
        <v>1529</v>
      </c>
      <c r="R358" s="70" t="s">
        <v>1529</v>
      </c>
      <c r="S358" s="70" t="s">
        <v>1529</v>
      </c>
      <c r="T358" s="70" t="s">
        <v>1529</v>
      </c>
      <c r="U358" s="70" t="s">
        <v>1529</v>
      </c>
      <c r="V358" s="70" t="s">
        <v>1529</v>
      </c>
      <c r="W358" s="70" t="s">
        <v>1529</v>
      </c>
      <c r="X358" s="70" t="s">
        <v>1529</v>
      </c>
      <c r="Y358" s="70" t="s">
        <v>1529</v>
      </c>
      <c r="Z358" s="70" t="s">
        <v>1529</v>
      </c>
      <c r="AA358" s="70" t="s">
        <v>1529</v>
      </c>
      <c r="AB358" s="70" t="s">
        <v>1529</v>
      </c>
      <c r="AC358" s="70" t="s">
        <v>1529</v>
      </c>
      <c r="AD358" s="70" t="s">
        <v>1529</v>
      </c>
      <c r="AE358" s="70" t="s">
        <v>1529</v>
      </c>
      <c r="AF358" s="70" t="s">
        <v>1529</v>
      </c>
      <c r="AG358" s="70"/>
      <c r="AH358" s="70"/>
      <c r="AI358" s="70"/>
      <c r="AJ358" s="70"/>
      <c r="AK358" s="70"/>
      <c r="AL358" s="70" t="s">
        <v>1529</v>
      </c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907</v>
      </c>
      <c r="C359" t="s">
        <v>1068</v>
      </c>
      <c r="D359" t="s">
        <v>908</v>
      </c>
      <c r="E359" s="30" t="s">
        <v>19</v>
      </c>
      <c r="F359" s="30" t="s">
        <v>28</v>
      </c>
      <c r="G359" s="30"/>
      <c r="H359" s="30" t="s">
        <v>915</v>
      </c>
      <c r="I359" s="31">
        <f t="shared" si="19"/>
        <v>26</v>
      </c>
      <c r="J359" s="31">
        <f t="shared" si="20"/>
        <v>2</v>
      </c>
      <c r="K359" s="32">
        <f t="shared" si="21"/>
        <v>0.9285714285714286</v>
      </c>
      <c r="L359" s="70"/>
      <c r="M359" s="70"/>
      <c r="N359" s="70"/>
      <c r="O359" s="70"/>
      <c r="P359" s="70"/>
      <c r="Q359" s="70" t="s">
        <v>1529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 t="s">
        <v>1529</v>
      </c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909</v>
      </c>
      <c r="C360" t="s">
        <v>1068</v>
      </c>
      <c r="D360" t="s">
        <v>910</v>
      </c>
      <c r="E360" s="30" t="s">
        <v>19</v>
      </c>
      <c r="F360" s="30" t="s">
        <v>28</v>
      </c>
      <c r="G360" s="30"/>
      <c r="H360" s="30" t="s">
        <v>916</v>
      </c>
      <c r="I360" s="31">
        <f t="shared" si="19"/>
        <v>11</v>
      </c>
      <c r="J360" s="31">
        <f t="shared" si="20"/>
        <v>17</v>
      </c>
      <c r="K360" s="32">
        <f t="shared" si="21"/>
        <v>0.39285714285714285</v>
      </c>
      <c r="L360" s="70"/>
      <c r="M360" s="70"/>
      <c r="N360" s="70"/>
      <c r="O360" s="70"/>
      <c r="P360" s="70"/>
      <c r="Q360" s="70" t="s">
        <v>1529</v>
      </c>
      <c r="R360" s="70" t="s">
        <v>1529</v>
      </c>
      <c r="S360" s="70" t="s">
        <v>1529</v>
      </c>
      <c r="T360" s="70" t="s">
        <v>1529</v>
      </c>
      <c r="U360" s="70" t="s">
        <v>1529</v>
      </c>
      <c r="V360" s="70" t="s">
        <v>1529</v>
      </c>
      <c r="W360" s="70" t="s">
        <v>1529</v>
      </c>
      <c r="X360" s="70" t="s">
        <v>1529</v>
      </c>
      <c r="Y360" s="70" t="s">
        <v>1529</v>
      </c>
      <c r="Z360" s="70" t="s">
        <v>1529</v>
      </c>
      <c r="AA360" s="70" t="s">
        <v>1529</v>
      </c>
      <c r="AB360" s="70" t="s">
        <v>1529</v>
      </c>
      <c r="AC360" s="70" t="s">
        <v>1529</v>
      </c>
      <c r="AD360" s="70" t="s">
        <v>1529</v>
      </c>
      <c r="AE360" s="70" t="s">
        <v>1529</v>
      </c>
      <c r="AF360" s="70" t="s">
        <v>1529</v>
      </c>
      <c r="AG360" s="70"/>
      <c r="AH360" s="70"/>
      <c r="AI360" s="70"/>
      <c r="AJ360" s="70"/>
      <c r="AK360" s="70"/>
      <c r="AL360" s="70" t="s">
        <v>1529</v>
      </c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1017</v>
      </c>
      <c r="C361" t="s">
        <v>1068</v>
      </c>
      <c r="D361" t="s">
        <v>1018</v>
      </c>
      <c r="E361" s="30" t="s">
        <v>19</v>
      </c>
      <c r="F361" s="30" t="s">
        <v>28</v>
      </c>
      <c r="G361" s="30"/>
      <c r="H361" s="30" t="s">
        <v>1226</v>
      </c>
      <c r="I361" s="31">
        <f t="shared" si="19"/>
        <v>20</v>
      </c>
      <c r="J361" s="31">
        <f t="shared" si="20"/>
        <v>8</v>
      </c>
      <c r="K361" s="32">
        <f t="shared" si="21"/>
        <v>0.7142857142857143</v>
      </c>
      <c r="L361" s="70"/>
      <c r="M361" s="70"/>
      <c r="N361" s="70"/>
      <c r="O361" s="70"/>
      <c r="P361" s="70"/>
      <c r="Q361" s="70" t="s">
        <v>1529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1529</v>
      </c>
      <c r="AH361" s="70" t="s">
        <v>1529</v>
      </c>
      <c r="AI361" s="70" t="s">
        <v>1529</v>
      </c>
      <c r="AJ361" s="70" t="s">
        <v>1529</v>
      </c>
      <c r="AK361" s="70" t="s">
        <v>1529</v>
      </c>
      <c r="AL361" s="70" t="s">
        <v>1529</v>
      </c>
      <c r="AM361" s="70" t="s">
        <v>1529</v>
      </c>
      <c r="AN361" s="70"/>
      <c r="AO361" s="70"/>
      <c r="AP361" s="70"/>
    </row>
    <row r="362" spans="1:42" ht="15.75" thickBot="1" x14ac:dyDescent="0.3">
      <c r="A362" t="s">
        <v>402</v>
      </c>
      <c r="B362" t="s">
        <v>1445</v>
      </c>
      <c r="C362" t="s">
        <v>1068</v>
      </c>
      <c r="D362" t="s">
        <v>1448</v>
      </c>
      <c r="E362" s="90"/>
      <c r="F362" s="30" t="s">
        <v>28</v>
      </c>
      <c r="G362" s="30"/>
      <c r="H362" s="87" t="s">
        <v>1449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1446</v>
      </c>
      <c r="C363" t="s">
        <v>1068</v>
      </c>
      <c r="D363" t="s">
        <v>1448</v>
      </c>
      <c r="E363" s="90"/>
      <c r="F363" s="30" t="s">
        <v>28</v>
      </c>
      <c r="G363" s="30"/>
      <c r="H363" s="87" t="s">
        <v>1514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1447</v>
      </c>
      <c r="C364" t="s">
        <v>1068</v>
      </c>
      <c r="D364" t="s">
        <v>1448</v>
      </c>
      <c r="E364" s="90"/>
      <c r="F364" s="30" t="s">
        <v>28</v>
      </c>
      <c r="G364" s="30"/>
      <c r="H364" s="87" t="s">
        <v>1512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1069</v>
      </c>
      <c r="D365" t="s">
        <v>420</v>
      </c>
      <c r="E365" s="30" t="s">
        <v>15</v>
      </c>
      <c r="F365" s="30" t="s">
        <v>20</v>
      </c>
      <c r="G365" s="30"/>
      <c r="H365" s="30" t="s">
        <v>804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1529</v>
      </c>
      <c r="M365" s="70"/>
      <c r="N365" s="70" t="s">
        <v>1529</v>
      </c>
      <c r="O365" s="70" t="s">
        <v>1529</v>
      </c>
      <c r="P365" s="70" t="s">
        <v>1529</v>
      </c>
      <c r="Q365" s="70"/>
      <c r="R365" s="70"/>
      <c r="S365" s="70" t="s">
        <v>1529</v>
      </c>
      <c r="T365" s="70" t="s">
        <v>1529</v>
      </c>
      <c r="U365" s="70" t="s">
        <v>1529</v>
      </c>
      <c r="V365" s="70" t="s">
        <v>1529</v>
      </c>
      <c r="W365" s="70" t="s">
        <v>1529</v>
      </c>
      <c r="X365" s="70" t="s">
        <v>1529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1069</v>
      </c>
      <c r="D366" t="s">
        <v>422</v>
      </c>
      <c r="E366" s="30" t="s">
        <v>15</v>
      </c>
      <c r="F366" s="30" t="s">
        <v>1308</v>
      </c>
      <c r="G366" s="30"/>
      <c r="H366" s="30" t="s">
        <v>1439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1019</v>
      </c>
      <c r="C367" t="s">
        <v>1069</v>
      </c>
      <c r="D367" t="s">
        <v>1020</v>
      </c>
      <c r="E367" s="30" t="s">
        <v>73</v>
      </c>
      <c r="F367" s="30" t="s">
        <v>20</v>
      </c>
      <c r="G367" s="30"/>
      <c r="H367" s="30" t="s">
        <v>1288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1021</v>
      </c>
      <c r="C368" t="s">
        <v>1069</v>
      </c>
      <c r="D368" t="s">
        <v>1020</v>
      </c>
      <c r="E368" s="30" t="s">
        <v>73</v>
      </c>
      <c r="F368" s="30" t="s">
        <v>20</v>
      </c>
      <c r="G368" s="30"/>
      <c r="H368" s="30" t="s">
        <v>1407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1069</v>
      </c>
      <c r="D369" t="s">
        <v>424</v>
      </c>
      <c r="E369" s="30" t="s">
        <v>19</v>
      </c>
      <c r="F369" s="30" t="s">
        <v>20</v>
      </c>
      <c r="G369" s="30"/>
      <c r="H369" s="30" t="s">
        <v>1440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1069</v>
      </c>
      <c r="D370" t="s">
        <v>426</v>
      </c>
      <c r="E370" s="30" t="s">
        <v>19</v>
      </c>
      <c r="F370" s="30" t="s">
        <v>20</v>
      </c>
      <c r="G370" s="30"/>
      <c r="H370" s="30" t="s">
        <v>803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1069</v>
      </c>
      <c r="D371" t="s">
        <v>428</v>
      </c>
      <c r="E371" s="30" t="s">
        <v>73</v>
      </c>
      <c r="F371" s="30" t="s">
        <v>28</v>
      </c>
      <c r="G371" s="30"/>
      <c r="H371" s="30" t="s">
        <v>806</v>
      </c>
      <c r="I371" s="31">
        <f t="shared" si="19"/>
        <v>10</v>
      </c>
      <c r="J371" s="31">
        <f t="shared" si="20"/>
        <v>18</v>
      </c>
      <c r="K371" s="32">
        <f t="shared" si="21"/>
        <v>0.35714285714285715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1529</v>
      </c>
      <c r="W371" s="70" t="s">
        <v>1529</v>
      </c>
      <c r="X371" s="70" t="s">
        <v>1529</v>
      </c>
      <c r="Y371" s="70" t="s">
        <v>1529</v>
      </c>
      <c r="Z371" s="70" t="s">
        <v>1529</v>
      </c>
      <c r="AA371" s="70" t="s">
        <v>1529</v>
      </c>
      <c r="AB371" s="70" t="s">
        <v>1529</v>
      </c>
      <c r="AC371" s="70" t="s">
        <v>1529</v>
      </c>
      <c r="AD371" s="70" t="s">
        <v>1529</v>
      </c>
      <c r="AE371" s="70" t="s">
        <v>1529</v>
      </c>
      <c r="AF371" s="70" t="s">
        <v>1529</v>
      </c>
      <c r="AG371" s="70" t="s">
        <v>1529</v>
      </c>
      <c r="AH371" s="70" t="s">
        <v>1529</v>
      </c>
      <c r="AI371" s="70" t="s">
        <v>1529</v>
      </c>
      <c r="AJ371" s="70" t="s">
        <v>1529</v>
      </c>
      <c r="AK371" s="70" t="s">
        <v>1529</v>
      </c>
      <c r="AL371" s="70" t="s">
        <v>1529</v>
      </c>
      <c r="AM371" s="70" t="s">
        <v>1529</v>
      </c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1069</v>
      </c>
      <c r="D372" t="s">
        <v>428</v>
      </c>
      <c r="E372" s="30" t="s">
        <v>73</v>
      </c>
      <c r="F372" s="30" t="s">
        <v>28</v>
      </c>
      <c r="G372" s="30"/>
      <c r="H372" s="30" t="s">
        <v>807</v>
      </c>
      <c r="I372" s="31">
        <f t="shared" si="19"/>
        <v>10</v>
      </c>
      <c r="J372" s="31">
        <f t="shared" si="20"/>
        <v>18</v>
      </c>
      <c r="K372" s="32">
        <f t="shared" si="21"/>
        <v>0.35714285714285715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1529</v>
      </c>
      <c r="W372" s="70" t="s">
        <v>1529</v>
      </c>
      <c r="X372" s="70" t="s">
        <v>1529</v>
      </c>
      <c r="Y372" s="70" t="s">
        <v>1529</v>
      </c>
      <c r="Z372" s="70" t="s">
        <v>1529</v>
      </c>
      <c r="AA372" s="70" t="s">
        <v>1529</v>
      </c>
      <c r="AB372" s="70" t="s">
        <v>1529</v>
      </c>
      <c r="AC372" s="70" t="s">
        <v>1529</v>
      </c>
      <c r="AD372" s="70" t="s">
        <v>1529</v>
      </c>
      <c r="AE372" s="70" t="s">
        <v>1529</v>
      </c>
      <c r="AF372" s="70" t="s">
        <v>1529</v>
      </c>
      <c r="AG372" s="70" t="s">
        <v>1529</v>
      </c>
      <c r="AH372" s="70" t="s">
        <v>1529</v>
      </c>
      <c r="AI372" s="70" t="s">
        <v>1529</v>
      </c>
      <c r="AJ372" s="70" t="s">
        <v>1529</v>
      </c>
      <c r="AK372" s="70" t="s">
        <v>1529</v>
      </c>
      <c r="AL372" s="70" t="s">
        <v>1529</v>
      </c>
      <c r="AM372" s="70" t="s">
        <v>1529</v>
      </c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1069</v>
      </c>
      <c r="D373" t="s">
        <v>431</v>
      </c>
      <c r="E373" s="30" t="s">
        <v>73</v>
      </c>
      <c r="F373" s="30" t="s">
        <v>28</v>
      </c>
      <c r="G373" s="30"/>
      <c r="H373" s="30" t="s">
        <v>808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1069</v>
      </c>
      <c r="D374" t="s">
        <v>431</v>
      </c>
      <c r="E374" s="30" t="s">
        <v>73</v>
      </c>
      <c r="F374" s="30" t="s">
        <v>28</v>
      </c>
      <c r="G374" s="30"/>
      <c r="H374" s="30" t="s">
        <v>809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1558</v>
      </c>
      <c r="C375" t="s">
        <v>1069</v>
      </c>
      <c r="D375" t="s">
        <v>1559</v>
      </c>
      <c r="E375" s="30" t="s">
        <v>73</v>
      </c>
      <c r="F375" s="30" t="s">
        <v>1308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1560</v>
      </c>
      <c r="C376" t="s">
        <v>1069</v>
      </c>
      <c r="D376" t="s">
        <v>1559</v>
      </c>
      <c r="E376" s="30" t="s">
        <v>73</v>
      </c>
      <c r="F376" s="30" t="s">
        <v>1308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1069</v>
      </c>
      <c r="D377" s="95" t="s">
        <v>435</v>
      </c>
      <c r="E377" s="96" t="s">
        <v>19</v>
      </c>
      <c r="F377" s="96" t="s">
        <v>20</v>
      </c>
      <c r="G377" s="96"/>
      <c r="H377" s="96" t="s">
        <v>810</v>
      </c>
      <c r="I377" s="31">
        <f t="shared" si="19"/>
        <v>1</v>
      </c>
      <c r="J377" s="31">
        <f t="shared" si="20"/>
        <v>27</v>
      </c>
      <c r="K377" s="32">
        <f t="shared" si="21"/>
        <v>3.5714285714285712E-2</v>
      </c>
      <c r="L377" s="70" t="s">
        <v>1529</v>
      </c>
      <c r="M377" s="70"/>
      <c r="N377" s="70" t="s">
        <v>1529</v>
      </c>
      <c r="O377" s="70" t="s">
        <v>1529</v>
      </c>
      <c r="P377" s="70" t="s">
        <v>1529</v>
      </c>
      <c r="Q377" s="70" t="s">
        <v>1529</v>
      </c>
      <c r="R377" s="70" t="s">
        <v>1529</v>
      </c>
      <c r="S377" s="70" t="s">
        <v>1529</v>
      </c>
      <c r="T377" s="70" t="s">
        <v>1529</v>
      </c>
      <c r="U377" s="70" t="s">
        <v>1529</v>
      </c>
      <c r="V377" s="70" t="s">
        <v>1529</v>
      </c>
      <c r="W377" s="70" t="s">
        <v>1529</v>
      </c>
      <c r="X377" s="70" t="s">
        <v>1529</v>
      </c>
      <c r="Y377" s="70" t="s">
        <v>1529</v>
      </c>
      <c r="Z377" s="70" t="s">
        <v>1529</v>
      </c>
      <c r="AA377" s="70" t="s">
        <v>1529</v>
      </c>
      <c r="AB377" s="70" t="s">
        <v>1529</v>
      </c>
      <c r="AC377" s="70" t="s">
        <v>1529</v>
      </c>
      <c r="AD377" s="97" t="s">
        <v>1529</v>
      </c>
      <c r="AE377" s="97" t="s">
        <v>1529</v>
      </c>
      <c r="AF377" s="70" t="s">
        <v>1529</v>
      </c>
      <c r="AG377" s="97" t="s">
        <v>1529</v>
      </c>
      <c r="AH377" s="97" t="s">
        <v>1529</v>
      </c>
      <c r="AI377" s="97" t="s">
        <v>1529</v>
      </c>
      <c r="AJ377" s="97" t="s">
        <v>1529</v>
      </c>
      <c r="AK377" s="97" t="s">
        <v>1529</v>
      </c>
      <c r="AL377" s="97" t="s">
        <v>1529</v>
      </c>
      <c r="AM377" s="97" t="s">
        <v>1529</v>
      </c>
      <c r="AN377" s="97"/>
      <c r="AO377" s="97"/>
      <c r="AP377" s="97"/>
    </row>
    <row r="378" spans="1:42" ht="15.75" thickBot="1" x14ac:dyDescent="0.3">
      <c r="A378" t="s">
        <v>433</v>
      </c>
      <c r="B378" t="s">
        <v>1361</v>
      </c>
      <c r="C378" t="s">
        <v>1069</v>
      </c>
      <c r="D378" t="s">
        <v>1362</v>
      </c>
      <c r="E378" s="30"/>
      <c r="F378" s="30"/>
      <c r="G378" s="30"/>
      <c r="H378" s="30" t="s">
        <v>1423</v>
      </c>
      <c r="I378" s="31">
        <f t="shared" si="19"/>
        <v>3</v>
      </c>
      <c r="J378" s="31">
        <f t="shared" si="20"/>
        <v>25</v>
      </c>
      <c r="K378" s="32">
        <f t="shared" si="21"/>
        <v>0.10714285714285714</v>
      </c>
      <c r="L378" s="70" t="s">
        <v>1529</v>
      </c>
      <c r="M378" s="70"/>
      <c r="N378" s="70" t="s">
        <v>1529</v>
      </c>
      <c r="O378" s="70" t="s">
        <v>1529</v>
      </c>
      <c r="P378" s="70" t="s">
        <v>1529</v>
      </c>
      <c r="Q378" s="70" t="s">
        <v>1529</v>
      </c>
      <c r="R378" s="70" t="s">
        <v>1529</v>
      </c>
      <c r="S378" s="70"/>
      <c r="T378" s="70" t="s">
        <v>1529</v>
      </c>
      <c r="U378" s="70" t="s">
        <v>1529</v>
      </c>
      <c r="V378" s="70" t="s">
        <v>1529</v>
      </c>
      <c r="W378" s="70" t="s">
        <v>1529</v>
      </c>
      <c r="X378" s="70" t="s">
        <v>1529</v>
      </c>
      <c r="Y378" s="70" t="s">
        <v>1529</v>
      </c>
      <c r="Z378" s="70" t="s">
        <v>1529</v>
      </c>
      <c r="AA378" s="70" t="s">
        <v>1529</v>
      </c>
      <c r="AB378" s="70" t="s">
        <v>1529</v>
      </c>
      <c r="AC378" s="70" t="s">
        <v>1529</v>
      </c>
      <c r="AD378" s="70" t="s">
        <v>1529</v>
      </c>
      <c r="AE378" s="70" t="s">
        <v>1529</v>
      </c>
      <c r="AF378" s="70" t="s">
        <v>1529</v>
      </c>
      <c r="AG378" s="70" t="s">
        <v>1529</v>
      </c>
      <c r="AH378" s="70" t="s">
        <v>1529</v>
      </c>
      <c r="AI378" s="70" t="s">
        <v>1529</v>
      </c>
      <c r="AJ378" s="70" t="s">
        <v>1529</v>
      </c>
      <c r="AK378" s="70" t="s">
        <v>1529</v>
      </c>
      <c r="AL378" s="70" t="s">
        <v>1529</v>
      </c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1411</v>
      </c>
      <c r="C379" t="s">
        <v>1069</v>
      </c>
      <c r="D379" t="s">
        <v>1412</v>
      </c>
      <c r="E379" s="88"/>
      <c r="F379" s="89" t="s">
        <v>28</v>
      </c>
      <c r="G379" s="89"/>
      <c r="H379" s="89" t="s">
        <v>1413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1069</v>
      </c>
      <c r="D380" t="s">
        <v>446</v>
      </c>
      <c r="E380" s="30" t="s">
        <v>15</v>
      </c>
      <c r="F380" s="30" t="s">
        <v>1308</v>
      </c>
      <c r="G380" s="30"/>
      <c r="H380" s="30" t="s">
        <v>1382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1069</v>
      </c>
      <c r="D381" t="s">
        <v>448</v>
      </c>
      <c r="E381" s="30" t="s">
        <v>19</v>
      </c>
      <c r="F381" s="30" t="s">
        <v>1308</v>
      </c>
      <c r="G381" s="30"/>
      <c r="H381" s="30" t="s">
        <v>1432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1069</v>
      </c>
      <c r="D382" s="95" t="s">
        <v>437</v>
      </c>
      <c r="E382" s="96" t="s">
        <v>19</v>
      </c>
      <c r="F382" s="96" t="s">
        <v>20</v>
      </c>
      <c r="G382" s="96"/>
      <c r="H382" s="96" t="s">
        <v>811</v>
      </c>
      <c r="I382" s="31">
        <f t="shared" si="19"/>
        <v>1</v>
      </c>
      <c r="J382" s="31">
        <f t="shared" si="20"/>
        <v>27</v>
      </c>
      <c r="K382" s="32">
        <f t="shared" si="21"/>
        <v>3.5714285714285712E-2</v>
      </c>
      <c r="L382" s="70" t="s">
        <v>1529</v>
      </c>
      <c r="M382" s="70"/>
      <c r="N382" s="70" t="s">
        <v>1529</v>
      </c>
      <c r="O382" s="70" t="s">
        <v>1529</v>
      </c>
      <c r="P382" s="70" t="s">
        <v>1529</v>
      </c>
      <c r="Q382" s="70" t="s">
        <v>1529</v>
      </c>
      <c r="R382" s="70" t="s">
        <v>1529</v>
      </c>
      <c r="S382" s="70" t="s">
        <v>1529</v>
      </c>
      <c r="T382" s="70" t="s">
        <v>1529</v>
      </c>
      <c r="U382" s="70" t="s">
        <v>1529</v>
      </c>
      <c r="V382" s="70" t="s">
        <v>1529</v>
      </c>
      <c r="W382" s="70" t="s">
        <v>1529</v>
      </c>
      <c r="X382" s="70" t="s">
        <v>1529</v>
      </c>
      <c r="Y382" s="70" t="s">
        <v>1529</v>
      </c>
      <c r="Z382" s="70" t="s">
        <v>1529</v>
      </c>
      <c r="AA382" s="70" t="s">
        <v>1529</v>
      </c>
      <c r="AB382" s="70" t="s">
        <v>1529</v>
      </c>
      <c r="AC382" s="70" t="s">
        <v>1529</v>
      </c>
      <c r="AD382" s="97" t="s">
        <v>1529</v>
      </c>
      <c r="AE382" s="97" t="s">
        <v>1529</v>
      </c>
      <c r="AF382" s="70" t="s">
        <v>1529</v>
      </c>
      <c r="AG382" s="97" t="s">
        <v>1529</v>
      </c>
      <c r="AH382" s="97" t="s">
        <v>1529</v>
      </c>
      <c r="AI382" s="97" t="s">
        <v>1529</v>
      </c>
      <c r="AJ382" s="97" t="s">
        <v>1529</v>
      </c>
      <c r="AK382" s="97" t="s">
        <v>1529</v>
      </c>
      <c r="AL382" s="97" t="s">
        <v>1529</v>
      </c>
      <c r="AM382" s="97" t="s">
        <v>1529</v>
      </c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1069</v>
      </c>
      <c r="D383" t="s">
        <v>440</v>
      </c>
      <c r="E383" s="30" t="s">
        <v>46</v>
      </c>
      <c r="F383" s="30" t="s">
        <v>1308</v>
      </c>
      <c r="G383" s="30"/>
      <c r="H383" s="30" t="s">
        <v>1383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1069</v>
      </c>
      <c r="D384" t="s">
        <v>450</v>
      </c>
      <c r="E384" s="30" t="s">
        <v>15</v>
      </c>
      <c r="F384" s="30" t="s">
        <v>1062</v>
      </c>
      <c r="G384" s="30" t="s">
        <v>1263</v>
      </c>
      <c r="H384" s="30" t="s">
        <v>812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1069</v>
      </c>
      <c r="D385" t="s">
        <v>442</v>
      </c>
      <c r="E385" s="30" t="s">
        <v>15</v>
      </c>
      <c r="F385" s="30" t="s">
        <v>28</v>
      </c>
      <c r="G385" s="30"/>
      <c r="H385" s="30" t="s">
        <v>813</v>
      </c>
      <c r="I385" s="31">
        <f t="shared" si="19"/>
        <v>1</v>
      </c>
      <c r="J385" s="31">
        <f t="shared" si="20"/>
        <v>27</v>
      </c>
      <c r="K385" s="32">
        <f t="shared" si="21"/>
        <v>3.5714285714285712E-2</v>
      </c>
      <c r="L385" s="70" t="s">
        <v>1529</v>
      </c>
      <c r="M385" s="70"/>
      <c r="N385" s="70" t="s">
        <v>1529</v>
      </c>
      <c r="O385" s="70" t="s">
        <v>1529</v>
      </c>
      <c r="P385" s="70" t="s">
        <v>1529</v>
      </c>
      <c r="Q385" s="70" t="s">
        <v>1529</v>
      </c>
      <c r="R385" s="70" t="s">
        <v>1529</v>
      </c>
      <c r="S385" s="70" t="s">
        <v>1529</v>
      </c>
      <c r="T385" s="70" t="s">
        <v>1529</v>
      </c>
      <c r="U385" s="70" t="s">
        <v>1529</v>
      </c>
      <c r="V385" s="70" t="s">
        <v>1529</v>
      </c>
      <c r="W385" s="70" t="s">
        <v>1529</v>
      </c>
      <c r="X385" s="70" t="s">
        <v>1529</v>
      </c>
      <c r="Y385" s="70" t="s">
        <v>1529</v>
      </c>
      <c r="Z385" s="70" t="s">
        <v>1529</v>
      </c>
      <c r="AA385" s="70" t="s">
        <v>1529</v>
      </c>
      <c r="AB385" s="70" t="s">
        <v>1529</v>
      </c>
      <c r="AC385" s="70" t="s">
        <v>1529</v>
      </c>
      <c r="AD385" s="70" t="s">
        <v>1529</v>
      </c>
      <c r="AE385" s="70" t="s">
        <v>1529</v>
      </c>
      <c r="AF385" s="70" t="s">
        <v>1529</v>
      </c>
      <c r="AG385" s="70" t="s">
        <v>1529</v>
      </c>
      <c r="AH385" s="70" t="s">
        <v>1529</v>
      </c>
      <c r="AI385" s="70" t="s">
        <v>1529</v>
      </c>
      <c r="AJ385" s="70" t="s">
        <v>1529</v>
      </c>
      <c r="AK385" s="70" t="s">
        <v>1529</v>
      </c>
      <c r="AL385" s="70" t="s">
        <v>1529</v>
      </c>
      <c r="AM385" s="70" t="s">
        <v>1529</v>
      </c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1069</v>
      </c>
      <c r="D386" t="s">
        <v>444</v>
      </c>
      <c r="E386" s="30" t="s">
        <v>15</v>
      </c>
      <c r="F386" s="30" t="s">
        <v>1308</v>
      </c>
      <c r="G386" s="30"/>
      <c r="H386" s="30" t="s">
        <v>814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1130</v>
      </c>
      <c r="B387" t="s">
        <v>1131</v>
      </c>
      <c r="C387" t="s">
        <v>1069</v>
      </c>
      <c r="D387" t="s">
        <v>1132</v>
      </c>
      <c r="E387" s="30" t="s">
        <v>1120</v>
      </c>
      <c r="F387" s="30" t="s">
        <v>28</v>
      </c>
      <c r="G387" s="30"/>
      <c r="H387" s="30" t="s">
        <v>1146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1130</v>
      </c>
      <c r="B388" t="s">
        <v>1150</v>
      </c>
      <c r="C388" t="s">
        <v>1069</v>
      </c>
      <c r="D388" t="s">
        <v>1132</v>
      </c>
      <c r="E388" s="30" t="s">
        <v>1120</v>
      </c>
      <c r="F388" s="30" t="s">
        <v>28</v>
      </c>
      <c r="G388" s="30"/>
      <c r="H388" s="30" t="s">
        <v>1147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1574</v>
      </c>
      <c r="C389" t="s">
        <v>1069</v>
      </c>
      <c r="D389" t="s">
        <v>1575</v>
      </c>
      <c r="E389" s="30" t="s">
        <v>1120</v>
      </c>
      <c r="F389" s="30" t="s">
        <v>1308</v>
      </c>
      <c r="G389" s="30"/>
      <c r="H389" s="30" t="s">
        <v>1577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1573</v>
      </c>
      <c r="C390" t="s">
        <v>1069</v>
      </c>
      <c r="D390" t="s">
        <v>1576</v>
      </c>
      <c r="E390" s="30" t="s">
        <v>1120</v>
      </c>
      <c r="F390" s="30" t="s">
        <v>1308</v>
      </c>
      <c r="G390" s="30"/>
      <c r="H390" s="30" t="s">
        <v>1578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1068</v>
      </c>
      <c r="D391" t="s">
        <v>452</v>
      </c>
      <c r="E391" s="30" t="s">
        <v>73</v>
      </c>
      <c r="F391" s="30" t="s">
        <v>28</v>
      </c>
      <c r="G391" s="30"/>
      <c r="H391" s="30" t="s">
        <v>815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1529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1529</v>
      </c>
      <c r="Y391" s="70" t="s">
        <v>1529</v>
      </c>
      <c r="Z391" s="70" t="s">
        <v>1529</v>
      </c>
      <c r="AA391" s="70" t="s">
        <v>1529</v>
      </c>
      <c r="AB391" s="70" t="s">
        <v>1529</v>
      </c>
      <c r="AC391" s="70" t="s">
        <v>1529</v>
      </c>
      <c r="AD391" s="70" t="s">
        <v>1529</v>
      </c>
      <c r="AE391" s="70" t="s">
        <v>1529</v>
      </c>
      <c r="AF391" s="70" t="s">
        <v>1529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1068</v>
      </c>
      <c r="D392" t="s">
        <v>452</v>
      </c>
      <c r="E392" s="30" t="s">
        <v>73</v>
      </c>
      <c r="F392" s="30" t="s">
        <v>28</v>
      </c>
      <c r="G392" s="30"/>
      <c r="H392" s="30" t="s">
        <v>816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1529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1529</v>
      </c>
      <c r="Y392" s="70" t="s">
        <v>1529</v>
      </c>
      <c r="Z392" s="70" t="s">
        <v>1529</v>
      </c>
      <c r="AA392" s="70" t="s">
        <v>1529</v>
      </c>
      <c r="AB392" s="70" t="s">
        <v>1529</v>
      </c>
      <c r="AC392" s="70" t="s">
        <v>1529</v>
      </c>
      <c r="AD392" s="70" t="s">
        <v>1529</v>
      </c>
      <c r="AE392" s="70" t="s">
        <v>1529</v>
      </c>
      <c r="AF392" s="70" t="s">
        <v>1529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1022</v>
      </c>
      <c r="C393" t="s">
        <v>1068</v>
      </c>
      <c r="D393" t="s">
        <v>454</v>
      </c>
      <c r="E393" s="30" t="s">
        <v>73</v>
      </c>
      <c r="F393" s="30" t="s">
        <v>28</v>
      </c>
      <c r="G393" s="30"/>
      <c r="H393" s="30" t="s">
        <v>817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1529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1529</v>
      </c>
      <c r="Y393" s="70" t="s">
        <v>1529</v>
      </c>
      <c r="Z393" s="70" t="s">
        <v>1529</v>
      </c>
      <c r="AA393" s="70" t="s">
        <v>1529</v>
      </c>
      <c r="AB393" s="70" t="s">
        <v>1529</v>
      </c>
      <c r="AC393" s="70" t="s">
        <v>1529</v>
      </c>
      <c r="AD393" s="70" t="s">
        <v>1529</v>
      </c>
      <c r="AE393" s="70" t="s">
        <v>1529</v>
      </c>
      <c r="AF393" s="70" t="s">
        <v>1529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1023</v>
      </c>
      <c r="C394" t="s">
        <v>1068</v>
      </c>
      <c r="D394" t="s">
        <v>454</v>
      </c>
      <c r="E394" s="30" t="s">
        <v>73</v>
      </c>
      <c r="F394" s="30" t="s">
        <v>28</v>
      </c>
      <c r="G394" s="30"/>
      <c r="H394" s="30" t="s">
        <v>818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1529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1529</v>
      </c>
      <c r="Y394" s="70" t="s">
        <v>1529</v>
      </c>
      <c r="Z394" s="70" t="s">
        <v>1529</v>
      </c>
      <c r="AA394" s="70" t="s">
        <v>1529</v>
      </c>
      <c r="AB394" s="70" t="s">
        <v>1529</v>
      </c>
      <c r="AC394" s="70" t="s">
        <v>1529</v>
      </c>
      <c r="AD394" s="70" t="s">
        <v>1529</v>
      </c>
      <c r="AE394" s="70" t="s">
        <v>1529</v>
      </c>
      <c r="AF394" s="70" t="s">
        <v>1529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1069</v>
      </c>
      <c r="D395" t="s">
        <v>1030</v>
      </c>
      <c r="E395" s="30" t="s">
        <v>19</v>
      </c>
      <c r="F395" s="30" t="s">
        <v>20</v>
      </c>
      <c r="G395" s="30"/>
      <c r="H395" s="30" t="s">
        <v>1419</v>
      </c>
      <c r="I395" s="31">
        <f t="shared" si="19"/>
        <v>15</v>
      </c>
      <c r="J395" s="31">
        <f t="shared" si="20"/>
        <v>13</v>
      </c>
      <c r="K395" s="32">
        <f t="shared" si="21"/>
        <v>0.5357142857142857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1529</v>
      </c>
      <c r="W395" s="70" t="s">
        <v>1529</v>
      </c>
      <c r="X395" s="70" t="s">
        <v>1529</v>
      </c>
      <c r="Y395" s="70" t="s">
        <v>1529</v>
      </c>
      <c r="Z395" s="70" t="s">
        <v>1529</v>
      </c>
      <c r="AA395" s="70" t="s">
        <v>1529</v>
      </c>
      <c r="AB395" s="70" t="s">
        <v>1529</v>
      </c>
      <c r="AC395" s="70" t="s">
        <v>1529</v>
      </c>
      <c r="AD395" s="70" t="s">
        <v>1529</v>
      </c>
      <c r="AE395" s="70" t="s">
        <v>1529</v>
      </c>
      <c r="AF395" s="70" t="s">
        <v>1529</v>
      </c>
      <c r="AG395" s="70" t="s">
        <v>1529</v>
      </c>
      <c r="AH395" s="70"/>
      <c r="AI395" s="70"/>
      <c r="AJ395" s="70"/>
      <c r="AK395" s="70" t="s">
        <v>1529</v>
      </c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1069</v>
      </c>
      <c r="D396" t="s">
        <v>1329</v>
      </c>
      <c r="E396" s="30" t="s">
        <v>19</v>
      </c>
      <c r="F396" s="30" t="s">
        <v>20</v>
      </c>
      <c r="G396" s="30"/>
      <c r="H396" s="30" t="s">
        <v>1420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1529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1069</v>
      </c>
      <c r="D397" t="s">
        <v>467</v>
      </c>
      <c r="E397" s="30" t="s">
        <v>19</v>
      </c>
      <c r="F397" s="30" t="s">
        <v>1308</v>
      </c>
      <c r="G397" s="30"/>
      <c r="H397" s="30" t="s">
        <v>1431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1024</v>
      </c>
      <c r="C398" t="s">
        <v>1069</v>
      </c>
      <c r="D398" t="s">
        <v>468</v>
      </c>
      <c r="E398" s="30" t="s">
        <v>19</v>
      </c>
      <c r="F398" s="30" t="s">
        <v>20</v>
      </c>
      <c r="G398" s="30"/>
      <c r="H398" s="30" t="s">
        <v>1336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1529</v>
      </c>
      <c r="AE398" s="70" t="s">
        <v>1529</v>
      </c>
      <c r="AF398" s="70" t="s">
        <v>1529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1031</v>
      </c>
      <c r="C399" t="s">
        <v>1069</v>
      </c>
      <c r="D399" t="s">
        <v>456</v>
      </c>
      <c r="E399" s="30" t="s">
        <v>15</v>
      </c>
      <c r="F399" s="30" t="s">
        <v>20</v>
      </c>
      <c r="G399" s="30"/>
      <c r="H399" s="30" t="s">
        <v>821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1032</v>
      </c>
      <c r="C400" t="s">
        <v>1069</v>
      </c>
      <c r="D400" t="s">
        <v>457</v>
      </c>
      <c r="E400" s="30" t="s">
        <v>19</v>
      </c>
      <c r="F400" s="30" t="s">
        <v>28</v>
      </c>
      <c r="G400" s="30"/>
      <c r="H400" s="30" t="s">
        <v>822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1529</v>
      </c>
      <c r="AF400" s="70" t="s">
        <v>1529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1033</v>
      </c>
      <c r="C401" t="s">
        <v>1069</v>
      </c>
      <c r="D401" t="s">
        <v>458</v>
      </c>
      <c r="E401" s="30" t="s">
        <v>19</v>
      </c>
      <c r="F401" s="30" t="s">
        <v>28</v>
      </c>
      <c r="G401" s="30"/>
      <c r="H401" s="30" t="s">
        <v>823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1529</v>
      </c>
      <c r="AF401" s="70" t="s">
        <v>1529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1069</v>
      </c>
      <c r="D402" t="s">
        <v>460</v>
      </c>
      <c r="E402" s="30" t="s">
        <v>19</v>
      </c>
      <c r="F402" s="30" t="s">
        <v>28</v>
      </c>
      <c r="G402" s="30"/>
      <c r="H402" s="30" t="s">
        <v>824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1529</v>
      </c>
      <c r="AF402" s="70" t="s">
        <v>1529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1034</v>
      </c>
      <c r="C403" t="s">
        <v>1069</v>
      </c>
      <c r="D403" t="s">
        <v>461</v>
      </c>
      <c r="E403" s="30" t="s">
        <v>15</v>
      </c>
      <c r="F403" s="30" t="s">
        <v>20</v>
      </c>
      <c r="G403" s="30"/>
      <c r="H403" s="30" t="s">
        <v>805</v>
      </c>
      <c r="I403" s="31">
        <f t="shared" si="19"/>
        <v>1</v>
      </c>
      <c r="J403" s="31">
        <f t="shared" si="20"/>
        <v>27</v>
      </c>
      <c r="K403" s="32">
        <f t="shared" si="21"/>
        <v>3.5714285714285712E-2</v>
      </c>
      <c r="L403" s="70" t="s">
        <v>1529</v>
      </c>
      <c r="M403" s="70"/>
      <c r="N403" s="70" t="s">
        <v>1529</v>
      </c>
      <c r="O403" s="70" t="s">
        <v>1529</v>
      </c>
      <c r="P403" s="70" t="s">
        <v>1529</v>
      </c>
      <c r="Q403" s="70" t="s">
        <v>1529</v>
      </c>
      <c r="R403" s="70" t="s">
        <v>1529</v>
      </c>
      <c r="S403" s="70" t="s">
        <v>1529</v>
      </c>
      <c r="T403" s="70" t="s">
        <v>1529</v>
      </c>
      <c r="U403" s="70" t="s">
        <v>1529</v>
      </c>
      <c r="V403" s="70" t="s">
        <v>1529</v>
      </c>
      <c r="W403" s="70" t="s">
        <v>1529</v>
      </c>
      <c r="X403" s="70" t="s">
        <v>1529</v>
      </c>
      <c r="Y403" s="70" t="s">
        <v>1529</v>
      </c>
      <c r="Z403" s="70" t="s">
        <v>1529</v>
      </c>
      <c r="AA403" s="70" t="s">
        <v>1529</v>
      </c>
      <c r="AB403" s="70" t="s">
        <v>1529</v>
      </c>
      <c r="AC403" s="70" t="s">
        <v>1529</v>
      </c>
      <c r="AD403" s="70" t="s">
        <v>1529</v>
      </c>
      <c r="AE403" s="70" t="s">
        <v>1529</v>
      </c>
      <c r="AF403" s="70" t="s">
        <v>1529</v>
      </c>
      <c r="AG403" s="70" t="s">
        <v>1529</v>
      </c>
      <c r="AH403" s="70" t="s">
        <v>1529</v>
      </c>
      <c r="AI403" s="70" t="s">
        <v>1529</v>
      </c>
      <c r="AJ403" s="70" t="s">
        <v>1529</v>
      </c>
      <c r="AK403" s="70" t="s">
        <v>1529</v>
      </c>
      <c r="AL403" s="70" t="s">
        <v>1529</v>
      </c>
      <c r="AM403" s="70" t="s">
        <v>1529</v>
      </c>
      <c r="AN403" s="70"/>
      <c r="AO403" s="70"/>
      <c r="AP403" s="70"/>
    </row>
    <row r="404" spans="1:42" ht="15.75" thickBot="1" x14ac:dyDescent="0.3">
      <c r="A404" t="s">
        <v>455</v>
      </c>
      <c r="B404" t="s">
        <v>1035</v>
      </c>
      <c r="C404" t="s">
        <v>1069</v>
      </c>
      <c r="D404" t="s">
        <v>462</v>
      </c>
      <c r="E404" s="30" t="s">
        <v>15</v>
      </c>
      <c r="F404" s="30" t="s">
        <v>20</v>
      </c>
      <c r="G404" s="30"/>
      <c r="H404" s="30" t="s">
        <v>825</v>
      </c>
      <c r="I404" s="31">
        <f t="shared" si="19"/>
        <v>2</v>
      </c>
      <c r="J404" s="31">
        <f t="shared" si="20"/>
        <v>26</v>
      </c>
      <c r="K404" s="32">
        <f t="shared" si="21"/>
        <v>7.1428571428571425E-2</v>
      </c>
      <c r="L404" s="70"/>
      <c r="M404" s="70"/>
      <c r="N404" s="70" t="s">
        <v>1529</v>
      </c>
      <c r="O404" s="70" t="s">
        <v>1529</v>
      </c>
      <c r="P404" s="70" t="s">
        <v>1529</v>
      </c>
      <c r="Q404" s="70" t="s">
        <v>1529</v>
      </c>
      <c r="R404" s="70" t="s">
        <v>1529</v>
      </c>
      <c r="S404" s="70" t="s">
        <v>1529</v>
      </c>
      <c r="T404" s="70" t="s">
        <v>1529</v>
      </c>
      <c r="U404" s="70" t="s">
        <v>1529</v>
      </c>
      <c r="V404" s="70" t="s">
        <v>1529</v>
      </c>
      <c r="W404" s="70" t="s">
        <v>1529</v>
      </c>
      <c r="X404" s="70" t="s">
        <v>1529</v>
      </c>
      <c r="Y404" s="70" t="s">
        <v>1529</v>
      </c>
      <c r="Z404" s="70" t="s">
        <v>1529</v>
      </c>
      <c r="AA404" s="70" t="s">
        <v>1529</v>
      </c>
      <c r="AB404" s="70" t="s">
        <v>1529</v>
      </c>
      <c r="AC404" s="70" t="s">
        <v>1529</v>
      </c>
      <c r="AD404" s="70" t="s">
        <v>1529</v>
      </c>
      <c r="AE404" s="70" t="s">
        <v>1529</v>
      </c>
      <c r="AF404" s="70" t="s">
        <v>1529</v>
      </c>
      <c r="AG404" s="70" t="s">
        <v>1529</v>
      </c>
      <c r="AH404" s="70" t="s">
        <v>1529</v>
      </c>
      <c r="AI404" s="70" t="s">
        <v>1529</v>
      </c>
      <c r="AJ404" s="70" t="s">
        <v>1529</v>
      </c>
      <c r="AK404" s="70" t="s">
        <v>1529</v>
      </c>
      <c r="AL404" s="70" t="s">
        <v>1529</v>
      </c>
      <c r="AM404" s="70" t="s">
        <v>1529</v>
      </c>
      <c r="AN404" s="70"/>
      <c r="AO404" s="70"/>
      <c r="AP404" s="70"/>
    </row>
    <row r="405" spans="1:42" ht="15.75" thickBot="1" x14ac:dyDescent="0.3">
      <c r="A405" t="s">
        <v>455</v>
      </c>
      <c r="B405" t="s">
        <v>1025</v>
      </c>
      <c r="C405" t="s">
        <v>1069</v>
      </c>
      <c r="D405" t="s">
        <v>469</v>
      </c>
      <c r="E405" s="30" t="s">
        <v>15</v>
      </c>
      <c r="F405" s="30" t="s">
        <v>20</v>
      </c>
      <c r="G405" s="30"/>
      <c r="H405" s="30" t="s">
        <v>819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1069</v>
      </c>
      <c r="D406" t="s">
        <v>471</v>
      </c>
      <c r="E406" s="30" t="s">
        <v>15</v>
      </c>
      <c r="F406" s="30" t="s">
        <v>20</v>
      </c>
      <c r="G406" s="30"/>
      <c r="H406" s="30" t="s">
        <v>820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1026</v>
      </c>
      <c r="C407" t="s">
        <v>1069</v>
      </c>
      <c r="D407" t="s">
        <v>472</v>
      </c>
      <c r="E407" s="30" t="s">
        <v>73</v>
      </c>
      <c r="F407" s="30" t="s">
        <v>20</v>
      </c>
      <c r="G407" s="30"/>
      <c r="H407" s="30" t="s">
        <v>1421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1027</v>
      </c>
      <c r="C408" t="s">
        <v>1069</v>
      </c>
      <c r="D408" t="s">
        <v>472</v>
      </c>
      <c r="E408" s="30" t="s">
        <v>73</v>
      </c>
      <c r="F408" s="30" t="s">
        <v>20</v>
      </c>
      <c r="G408" s="30"/>
      <c r="H408" s="30" t="s">
        <v>1422</v>
      </c>
      <c r="I408" s="31">
        <f t="shared" si="19"/>
        <v>22</v>
      </c>
      <c r="J408" s="31">
        <f t="shared" si="20"/>
        <v>6</v>
      </c>
      <c r="K408" s="32">
        <f t="shared" si="21"/>
        <v>0.7857142857142857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1529</v>
      </c>
      <c r="X408" s="70" t="s">
        <v>1529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1529</v>
      </c>
      <c r="AI408" s="70" t="s">
        <v>1529</v>
      </c>
      <c r="AJ408" s="70" t="s">
        <v>1529</v>
      </c>
      <c r="AK408" s="70"/>
      <c r="AL408" s="70" t="s">
        <v>1529</v>
      </c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1069</v>
      </c>
      <c r="D409" t="s">
        <v>474</v>
      </c>
      <c r="E409" s="30" t="s">
        <v>15</v>
      </c>
      <c r="F409" s="30" t="s">
        <v>28</v>
      </c>
      <c r="G409" s="30"/>
      <c r="H409" s="30" t="s">
        <v>826</v>
      </c>
      <c r="I409" s="31">
        <f t="shared" si="19"/>
        <v>2</v>
      </c>
      <c r="J409" s="31">
        <f t="shared" si="20"/>
        <v>26</v>
      </c>
      <c r="K409" s="32">
        <f t="shared" si="21"/>
        <v>7.1428571428571425E-2</v>
      </c>
      <c r="L409" s="70" t="s">
        <v>1529</v>
      </c>
      <c r="M409" s="70"/>
      <c r="N409" s="70" t="s">
        <v>1529</v>
      </c>
      <c r="O409" s="70" t="s">
        <v>1529</v>
      </c>
      <c r="P409" s="70" t="s">
        <v>1529</v>
      </c>
      <c r="Q409" s="70" t="s">
        <v>1529</v>
      </c>
      <c r="R409" s="70" t="s">
        <v>1529</v>
      </c>
      <c r="S409" s="70" t="s">
        <v>1529</v>
      </c>
      <c r="T409" s="70" t="s">
        <v>1529</v>
      </c>
      <c r="U409" s="70" t="s">
        <v>1529</v>
      </c>
      <c r="V409" s="70" t="s">
        <v>1529</v>
      </c>
      <c r="W409" s="70" t="s">
        <v>1529</v>
      </c>
      <c r="X409" s="70" t="s">
        <v>1529</v>
      </c>
      <c r="Y409" s="70" t="s">
        <v>1529</v>
      </c>
      <c r="Z409" s="70" t="s">
        <v>1529</v>
      </c>
      <c r="AA409" s="70" t="s">
        <v>1529</v>
      </c>
      <c r="AB409" s="70" t="s">
        <v>1529</v>
      </c>
      <c r="AC409" s="70" t="s">
        <v>1529</v>
      </c>
      <c r="AD409" s="70" t="s">
        <v>1529</v>
      </c>
      <c r="AE409" s="70" t="s">
        <v>1529</v>
      </c>
      <c r="AF409" s="70" t="s">
        <v>1529</v>
      </c>
      <c r="AG409" s="70" t="s">
        <v>1529</v>
      </c>
      <c r="AH409" s="70" t="s">
        <v>1529</v>
      </c>
      <c r="AI409" s="70" t="s">
        <v>1529</v>
      </c>
      <c r="AJ409" s="70" t="s">
        <v>1529</v>
      </c>
      <c r="AK409" s="70" t="s">
        <v>1529</v>
      </c>
      <c r="AL409" s="70" t="s">
        <v>1529</v>
      </c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1036</v>
      </c>
      <c r="C410" t="s">
        <v>1069</v>
      </c>
      <c r="D410" t="s">
        <v>463</v>
      </c>
      <c r="E410" s="30" t="s">
        <v>73</v>
      </c>
      <c r="F410" s="30" t="s">
        <v>28</v>
      </c>
      <c r="G410" s="30"/>
      <c r="H410" s="30" t="s">
        <v>827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1529</v>
      </c>
      <c r="AE410" s="70" t="s">
        <v>1529</v>
      </c>
      <c r="AF410" s="70" t="s">
        <v>1529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1037</v>
      </c>
      <c r="C411" t="s">
        <v>1069</v>
      </c>
      <c r="D411" t="s">
        <v>463</v>
      </c>
      <c r="E411" s="30" t="s">
        <v>73</v>
      </c>
      <c r="F411" s="30" t="s">
        <v>28</v>
      </c>
      <c r="G411" s="30"/>
      <c r="H411" s="30" t="s">
        <v>828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1529</v>
      </c>
      <c r="AE411" s="70" t="s">
        <v>1529</v>
      </c>
      <c r="AF411" s="70" t="s">
        <v>1529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1028</v>
      </c>
      <c r="C412" t="s">
        <v>1069</v>
      </c>
      <c r="D412" t="s">
        <v>475</v>
      </c>
      <c r="E412" s="30" t="s">
        <v>73</v>
      </c>
      <c r="F412" s="30" t="s">
        <v>28</v>
      </c>
      <c r="G412" s="30"/>
      <c r="H412" s="30" t="s">
        <v>829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1029</v>
      </c>
      <c r="C413" t="s">
        <v>1069</v>
      </c>
      <c r="D413" t="s">
        <v>475</v>
      </c>
      <c r="E413" s="30" t="s">
        <v>73</v>
      </c>
      <c r="F413" s="30" t="s">
        <v>28</v>
      </c>
      <c r="G413" s="30"/>
      <c r="H413" s="30" t="s">
        <v>830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1295</v>
      </c>
      <c r="C414" t="s">
        <v>1069</v>
      </c>
      <c r="D414" s="68" t="s">
        <v>1294</v>
      </c>
      <c r="E414" s="30" t="s">
        <v>73</v>
      </c>
      <c r="F414" s="30" t="s">
        <v>28</v>
      </c>
      <c r="G414" s="30"/>
      <c r="H414" s="30" t="s">
        <v>1296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1529</v>
      </c>
      <c r="AF414" s="70" t="s">
        <v>1529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1293</v>
      </c>
      <c r="C415" t="s">
        <v>1069</v>
      </c>
      <c r="D415" s="68" t="s">
        <v>1294</v>
      </c>
      <c r="E415" s="30" t="s">
        <v>73</v>
      </c>
      <c r="F415" s="30" t="s">
        <v>28</v>
      </c>
      <c r="G415" s="30"/>
      <c r="H415" s="30" t="s">
        <v>1297</v>
      </c>
      <c r="I415" s="31">
        <f t="shared" si="19"/>
        <v>2</v>
      </c>
      <c r="J415" s="31">
        <f t="shared" si="20"/>
        <v>26</v>
      </c>
      <c r="K415" s="32">
        <f t="shared" si="21"/>
        <v>7.1428571428571425E-2</v>
      </c>
      <c r="L415" s="70" t="s">
        <v>1529</v>
      </c>
      <c r="M415" s="70"/>
      <c r="N415" s="70" t="s">
        <v>1529</v>
      </c>
      <c r="O415" s="70" t="s">
        <v>1529</v>
      </c>
      <c r="P415" s="70" t="s">
        <v>1529</v>
      </c>
      <c r="Q415" s="70" t="s">
        <v>1529</v>
      </c>
      <c r="R415" s="70" t="s">
        <v>1529</v>
      </c>
      <c r="S415" s="70"/>
      <c r="T415" s="70" t="s">
        <v>1529</v>
      </c>
      <c r="U415" s="70" t="s">
        <v>1529</v>
      </c>
      <c r="V415" s="70" t="s">
        <v>1529</v>
      </c>
      <c r="W415" s="70" t="s">
        <v>1529</v>
      </c>
      <c r="X415" s="70" t="s">
        <v>1529</v>
      </c>
      <c r="Y415" s="70" t="s">
        <v>1529</v>
      </c>
      <c r="Z415" s="70" t="s">
        <v>1529</v>
      </c>
      <c r="AA415" s="70" t="s">
        <v>1529</v>
      </c>
      <c r="AB415" s="70" t="s">
        <v>1529</v>
      </c>
      <c r="AC415" s="70" t="s">
        <v>1529</v>
      </c>
      <c r="AD415" s="70" t="s">
        <v>1529</v>
      </c>
      <c r="AE415" s="70" t="s">
        <v>1529</v>
      </c>
      <c r="AF415" s="70" t="s">
        <v>1529</v>
      </c>
      <c r="AG415" s="70" t="s">
        <v>1529</v>
      </c>
      <c r="AH415" s="70" t="s">
        <v>1529</v>
      </c>
      <c r="AI415" s="70" t="s">
        <v>1529</v>
      </c>
      <c r="AJ415" s="70" t="s">
        <v>1529</v>
      </c>
      <c r="AK415" s="70" t="s">
        <v>1529</v>
      </c>
      <c r="AL415" s="70" t="s">
        <v>1529</v>
      </c>
      <c r="AM415" s="70" t="s">
        <v>1529</v>
      </c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1069</v>
      </c>
      <c r="D416" t="s">
        <v>477</v>
      </c>
      <c r="E416" s="30" t="s">
        <v>73</v>
      </c>
      <c r="F416" s="30" t="s">
        <v>28</v>
      </c>
      <c r="G416" s="30"/>
      <c r="H416" s="30" t="s">
        <v>831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1069</v>
      </c>
      <c r="D417" t="s">
        <v>477</v>
      </c>
      <c r="E417" s="30" t="s">
        <v>73</v>
      </c>
      <c r="F417" s="30" t="s">
        <v>28</v>
      </c>
      <c r="G417" s="30"/>
      <c r="H417" s="30" t="s">
        <v>832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1111</v>
      </c>
      <c r="C418" s="30" t="s">
        <v>1069</v>
      </c>
      <c r="D418" t="s">
        <v>1110</v>
      </c>
      <c r="E418" s="30" t="s">
        <v>15</v>
      </c>
      <c r="F418" s="30" t="s">
        <v>28</v>
      </c>
      <c r="G418" s="30"/>
      <c r="H418" s="30" t="s">
        <v>1112</v>
      </c>
      <c r="I418" s="31">
        <f t="shared" si="19"/>
        <v>1</v>
      </c>
      <c r="J418" s="31">
        <f t="shared" si="20"/>
        <v>27</v>
      </c>
      <c r="K418" s="32">
        <f t="shared" si="21"/>
        <v>3.5714285714285712E-2</v>
      </c>
      <c r="L418" s="70" t="s">
        <v>1529</v>
      </c>
      <c r="M418" s="70"/>
      <c r="N418" s="70" t="s">
        <v>1529</v>
      </c>
      <c r="O418" s="70" t="s">
        <v>1529</v>
      </c>
      <c r="P418" s="70" t="s">
        <v>1529</v>
      </c>
      <c r="Q418" s="70" t="s">
        <v>1529</v>
      </c>
      <c r="R418" s="70" t="s">
        <v>1529</v>
      </c>
      <c r="S418" s="70" t="s">
        <v>1529</v>
      </c>
      <c r="T418" s="70" t="s">
        <v>1529</v>
      </c>
      <c r="U418" s="70" t="s">
        <v>1529</v>
      </c>
      <c r="V418" s="70" t="s">
        <v>1529</v>
      </c>
      <c r="W418" s="70" t="s">
        <v>1529</v>
      </c>
      <c r="X418" s="70" t="s">
        <v>1529</v>
      </c>
      <c r="Y418" s="70" t="s">
        <v>1529</v>
      </c>
      <c r="Z418" s="70" t="s">
        <v>1529</v>
      </c>
      <c r="AA418" s="70" t="s">
        <v>1529</v>
      </c>
      <c r="AB418" s="70" t="s">
        <v>1529</v>
      </c>
      <c r="AC418" s="70" t="s">
        <v>1529</v>
      </c>
      <c r="AD418" s="70" t="s">
        <v>1529</v>
      </c>
      <c r="AE418" s="70" t="s">
        <v>1529</v>
      </c>
      <c r="AF418" s="70" t="s">
        <v>1529</v>
      </c>
      <c r="AG418" s="70" t="s">
        <v>1529</v>
      </c>
      <c r="AH418" s="70" t="s">
        <v>1529</v>
      </c>
      <c r="AI418" s="70" t="s">
        <v>1529</v>
      </c>
      <c r="AJ418" s="70" t="s">
        <v>1529</v>
      </c>
      <c r="AK418" s="70" t="s">
        <v>1529</v>
      </c>
      <c r="AL418" s="70" t="s">
        <v>1529</v>
      </c>
      <c r="AM418" s="70" t="s">
        <v>1529</v>
      </c>
      <c r="AN418" s="70"/>
      <c r="AO418" s="70"/>
      <c r="AP418" s="70"/>
    </row>
    <row r="419" spans="1:42" ht="15.75" thickBot="1" x14ac:dyDescent="0.3">
      <c r="A419" t="s">
        <v>264</v>
      </c>
      <c r="B419" t="s">
        <v>1038</v>
      </c>
      <c r="C419" t="s">
        <v>1068</v>
      </c>
      <c r="D419" t="s">
        <v>497</v>
      </c>
      <c r="E419" s="30" t="s">
        <v>19</v>
      </c>
      <c r="F419" s="30" t="s">
        <v>1062</v>
      </c>
      <c r="G419" s="30" t="s">
        <v>1264</v>
      </c>
      <c r="H419" s="30" t="s">
        <v>841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1068</v>
      </c>
      <c r="D420" t="s">
        <v>481</v>
      </c>
      <c r="E420" s="30" t="s">
        <v>19</v>
      </c>
      <c r="F420" s="30" t="s">
        <v>1062</v>
      </c>
      <c r="G420" s="30" t="s">
        <v>1264</v>
      </c>
      <c r="H420" s="30" t="s">
        <v>833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1529</v>
      </c>
      <c r="Q420" s="70" t="s">
        <v>1529</v>
      </c>
      <c r="R420" s="70"/>
      <c r="S420" s="70"/>
      <c r="T420" s="70" t="s">
        <v>1529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1529</v>
      </c>
      <c r="AH420" s="70" t="s">
        <v>1529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1068</v>
      </c>
      <c r="D421" t="s">
        <v>483</v>
      </c>
      <c r="E421" s="30" t="s">
        <v>19</v>
      </c>
      <c r="F421" s="30" t="s">
        <v>28</v>
      </c>
      <c r="G421" s="30"/>
      <c r="H421" s="30" t="s">
        <v>834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1068</v>
      </c>
      <c r="D422" t="s">
        <v>486</v>
      </c>
      <c r="E422" s="30" t="s">
        <v>19</v>
      </c>
      <c r="F422" s="30" t="s">
        <v>28</v>
      </c>
      <c r="G422" s="30"/>
      <c r="H422" s="30" t="s">
        <v>835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1068</v>
      </c>
      <c r="D423" t="s">
        <v>488</v>
      </c>
      <c r="E423" s="30" t="s">
        <v>15</v>
      </c>
      <c r="F423" s="30" t="s">
        <v>28</v>
      </c>
      <c r="G423" s="30"/>
      <c r="H423" s="30" t="s">
        <v>836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1068</v>
      </c>
      <c r="D424" t="s">
        <v>490</v>
      </c>
      <c r="E424" s="30" t="s">
        <v>19</v>
      </c>
      <c r="F424" s="30" t="s">
        <v>28</v>
      </c>
      <c r="G424" s="30"/>
      <c r="H424" s="30" t="s">
        <v>837</v>
      </c>
      <c r="I424" s="31">
        <f t="shared" si="22"/>
        <v>26</v>
      </c>
      <c r="J424" s="31">
        <f t="shared" si="23"/>
        <v>2</v>
      </c>
      <c r="K424" s="32">
        <f t="shared" si="24"/>
        <v>0.9285714285714286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 t="s">
        <v>1529</v>
      </c>
      <c r="AJ424" s="70" t="s">
        <v>1529</v>
      </c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1068</v>
      </c>
      <c r="D425" t="s">
        <v>492</v>
      </c>
      <c r="E425" s="30" t="s">
        <v>15</v>
      </c>
      <c r="F425" s="30" t="s">
        <v>1308</v>
      </c>
      <c r="G425" s="30"/>
      <c r="H425" s="30" t="s">
        <v>838</v>
      </c>
      <c r="I425" s="31">
        <f t="shared" si="22"/>
        <v>26</v>
      </c>
      <c r="J425" s="31">
        <f t="shared" si="23"/>
        <v>2</v>
      </c>
      <c r="K425" s="32">
        <f t="shared" si="24"/>
        <v>0.9285714285714286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 t="s">
        <v>1529</v>
      </c>
      <c r="AJ425" s="70" t="s">
        <v>1529</v>
      </c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1068</v>
      </c>
      <c r="D426" t="s">
        <v>494</v>
      </c>
      <c r="E426" s="30" t="s">
        <v>19</v>
      </c>
      <c r="F426" s="30" t="s">
        <v>1308</v>
      </c>
      <c r="G426" s="30"/>
      <c r="H426" s="30" t="s">
        <v>839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1529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1068</v>
      </c>
      <c r="D427" t="s">
        <v>496</v>
      </c>
      <c r="E427" s="30" t="s">
        <v>19</v>
      </c>
      <c r="F427" s="30" t="s">
        <v>1062</v>
      </c>
      <c r="G427" s="30" t="s">
        <v>1265</v>
      </c>
      <c r="H427" s="30" t="s">
        <v>840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1194</v>
      </c>
      <c r="C428" t="s">
        <v>1068</v>
      </c>
      <c r="D428" t="s">
        <v>1195</v>
      </c>
      <c r="E428" s="30" t="s">
        <v>1120</v>
      </c>
      <c r="F428" s="30" t="s">
        <v>28</v>
      </c>
      <c r="G428" s="30"/>
      <c r="H428" s="30" t="s">
        <v>1196</v>
      </c>
      <c r="I428" s="31">
        <f t="shared" si="22"/>
        <v>3</v>
      </c>
      <c r="J428" s="31">
        <f t="shared" si="23"/>
        <v>25</v>
      </c>
      <c r="K428" s="32">
        <f t="shared" si="24"/>
        <v>0.10714285714285714</v>
      </c>
      <c r="L428" s="70" t="s">
        <v>1529</v>
      </c>
      <c r="M428" s="70"/>
      <c r="N428" s="70" t="s">
        <v>1529</v>
      </c>
      <c r="O428" s="70" t="s">
        <v>1529</v>
      </c>
      <c r="P428" s="70" t="s">
        <v>1529</v>
      </c>
      <c r="Q428" s="70" t="s">
        <v>1529</v>
      </c>
      <c r="R428" s="70" t="s">
        <v>1529</v>
      </c>
      <c r="S428" s="70" t="s">
        <v>1529</v>
      </c>
      <c r="T428" s="70" t="s">
        <v>1529</v>
      </c>
      <c r="U428" s="70" t="s">
        <v>1529</v>
      </c>
      <c r="V428" s="70" t="s">
        <v>1529</v>
      </c>
      <c r="W428" s="70" t="s">
        <v>1529</v>
      </c>
      <c r="X428" s="70" t="s">
        <v>1529</v>
      </c>
      <c r="Y428" s="70" t="s">
        <v>1529</v>
      </c>
      <c r="Z428" s="70" t="s">
        <v>1529</v>
      </c>
      <c r="AA428" s="70" t="s">
        <v>1529</v>
      </c>
      <c r="AB428" s="70" t="s">
        <v>1529</v>
      </c>
      <c r="AC428" s="70" t="s">
        <v>1529</v>
      </c>
      <c r="AD428" s="70" t="s">
        <v>1529</v>
      </c>
      <c r="AE428" s="70" t="s">
        <v>1529</v>
      </c>
      <c r="AF428" s="70" t="s">
        <v>1529</v>
      </c>
      <c r="AG428" s="70" t="s">
        <v>1529</v>
      </c>
      <c r="AH428" s="70" t="s">
        <v>1529</v>
      </c>
      <c r="AI428" s="70" t="s">
        <v>1529</v>
      </c>
      <c r="AJ428" s="70" t="s">
        <v>1529</v>
      </c>
      <c r="AK428" s="70" t="s">
        <v>1529</v>
      </c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1197</v>
      </c>
      <c r="C429" t="s">
        <v>1068</v>
      </c>
      <c r="D429" t="s">
        <v>1195</v>
      </c>
      <c r="E429" s="30" t="s">
        <v>1120</v>
      </c>
      <c r="F429" s="30" t="s">
        <v>28</v>
      </c>
      <c r="G429" s="30"/>
      <c r="H429" s="30" t="s">
        <v>1198</v>
      </c>
      <c r="I429" s="31">
        <f t="shared" si="22"/>
        <v>3</v>
      </c>
      <c r="J429" s="31">
        <f t="shared" si="23"/>
        <v>25</v>
      </c>
      <c r="K429" s="32">
        <f t="shared" si="24"/>
        <v>0.10714285714285714</v>
      </c>
      <c r="L429" s="70" t="s">
        <v>1529</v>
      </c>
      <c r="M429" s="70"/>
      <c r="N429" s="70" t="s">
        <v>1529</v>
      </c>
      <c r="O429" s="70" t="s">
        <v>1529</v>
      </c>
      <c r="P429" s="70" t="s">
        <v>1529</v>
      </c>
      <c r="Q429" s="70" t="s">
        <v>1529</v>
      </c>
      <c r="R429" s="70" t="s">
        <v>1529</v>
      </c>
      <c r="S429" s="70" t="s">
        <v>1529</v>
      </c>
      <c r="T429" s="70" t="s">
        <v>1529</v>
      </c>
      <c r="U429" s="70" t="s">
        <v>1529</v>
      </c>
      <c r="V429" s="70" t="s">
        <v>1529</v>
      </c>
      <c r="W429" s="70" t="s">
        <v>1529</v>
      </c>
      <c r="X429" s="70" t="s">
        <v>1529</v>
      </c>
      <c r="Y429" s="70" t="s">
        <v>1529</v>
      </c>
      <c r="Z429" s="70" t="s">
        <v>1529</v>
      </c>
      <c r="AA429" s="70" t="s">
        <v>1529</v>
      </c>
      <c r="AB429" s="70" t="s">
        <v>1529</v>
      </c>
      <c r="AC429" s="70" t="s">
        <v>1529</v>
      </c>
      <c r="AD429" s="70" t="s">
        <v>1529</v>
      </c>
      <c r="AE429" s="70" t="s">
        <v>1529</v>
      </c>
      <c r="AF429" s="70" t="s">
        <v>1529</v>
      </c>
      <c r="AG429" s="70" t="s">
        <v>1529</v>
      </c>
      <c r="AH429" s="70" t="s">
        <v>1529</v>
      </c>
      <c r="AI429" s="70" t="s">
        <v>1529</v>
      </c>
      <c r="AJ429" s="70" t="s">
        <v>1529</v>
      </c>
      <c r="AK429" s="70" t="s">
        <v>1529</v>
      </c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1228</v>
      </c>
      <c r="C430" t="s">
        <v>1068</v>
      </c>
      <c r="D430" t="s">
        <v>1244</v>
      </c>
      <c r="E430" t="s">
        <v>73</v>
      </c>
      <c r="F430" t="s">
        <v>28</v>
      </c>
      <c r="G430"/>
      <c r="H430" s="30" t="s">
        <v>1289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1229</v>
      </c>
      <c r="C431" t="s">
        <v>1068</v>
      </c>
      <c r="D431" t="s">
        <v>1244</v>
      </c>
      <c r="E431" t="s">
        <v>73</v>
      </c>
      <c r="F431" t="s">
        <v>28</v>
      </c>
      <c r="G431"/>
      <c r="H431" s="30" t="s">
        <v>1290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1348</v>
      </c>
      <c r="C432" t="s">
        <v>1068</v>
      </c>
      <c r="D432" s="68" t="s">
        <v>1349</v>
      </c>
      <c r="E432"/>
      <c r="F432"/>
      <c r="G432"/>
      <c r="H432" s="30" t="s">
        <v>1172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1529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1360</v>
      </c>
      <c r="C433" t="s">
        <v>1068</v>
      </c>
      <c r="D433" s="68" t="s">
        <v>1367</v>
      </c>
      <c r="E433"/>
      <c r="F433"/>
      <c r="G433"/>
      <c r="H433" s="30" t="s">
        <v>1430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1529</v>
      </c>
      <c r="M433" s="70"/>
      <c r="N433" s="70" t="s">
        <v>1529</v>
      </c>
      <c r="O433" s="70" t="s">
        <v>1529</v>
      </c>
      <c r="P433" s="70" t="s">
        <v>1529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1069</v>
      </c>
      <c r="D434" t="s">
        <v>499</v>
      </c>
      <c r="E434" s="30" t="s">
        <v>19</v>
      </c>
      <c r="F434" s="30" t="s">
        <v>1308</v>
      </c>
      <c r="G434" s="30"/>
      <c r="H434" s="30" t="s">
        <v>842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1069</v>
      </c>
      <c r="D435" t="s">
        <v>501</v>
      </c>
      <c r="E435" s="30" t="s">
        <v>15</v>
      </c>
      <c r="F435" s="30" t="s">
        <v>20</v>
      </c>
      <c r="G435" s="30"/>
      <c r="H435" s="30" t="s">
        <v>843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1069</v>
      </c>
      <c r="D436" t="s">
        <v>503</v>
      </c>
      <c r="E436" s="30" t="s">
        <v>73</v>
      </c>
      <c r="F436" s="30" t="s">
        <v>20</v>
      </c>
      <c r="G436" s="30"/>
      <c r="H436" s="30" t="s">
        <v>844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1069</v>
      </c>
      <c r="D437" t="s">
        <v>503</v>
      </c>
      <c r="E437" s="30" t="s">
        <v>73</v>
      </c>
      <c r="F437" s="30" t="s">
        <v>20</v>
      </c>
      <c r="G437" s="30"/>
      <c r="H437" s="30" t="s">
        <v>845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1069</v>
      </c>
      <c r="D438" t="s">
        <v>506</v>
      </c>
      <c r="E438" s="30" t="s">
        <v>73</v>
      </c>
      <c r="F438" s="30" t="s">
        <v>20</v>
      </c>
      <c r="G438" s="30"/>
      <c r="H438" s="30" t="s">
        <v>846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1069</v>
      </c>
      <c r="D439" t="s">
        <v>506</v>
      </c>
      <c r="E439" s="30" t="s">
        <v>73</v>
      </c>
      <c r="F439" s="30" t="s">
        <v>20</v>
      </c>
      <c r="G439" s="30"/>
      <c r="H439" s="30" t="s">
        <v>847</v>
      </c>
      <c r="I439" s="31">
        <f t="shared" si="22"/>
        <v>22</v>
      </c>
      <c r="J439" s="31">
        <f t="shared" si="23"/>
        <v>6</v>
      </c>
      <c r="K439" s="32">
        <f t="shared" si="24"/>
        <v>0.7857142857142857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1529</v>
      </c>
      <c r="AF439" s="70" t="s">
        <v>1529</v>
      </c>
      <c r="AG439" s="70" t="s">
        <v>1529</v>
      </c>
      <c r="AH439" s="70" t="s">
        <v>1529</v>
      </c>
      <c r="AI439" s="70" t="s">
        <v>1529</v>
      </c>
      <c r="AJ439" s="70" t="s">
        <v>1529</v>
      </c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1069</v>
      </c>
      <c r="D440" t="s">
        <v>509</v>
      </c>
      <c r="E440" s="30" t="s">
        <v>15</v>
      </c>
      <c r="F440" s="30" t="s">
        <v>28</v>
      </c>
      <c r="G440" s="30"/>
      <c r="H440" s="30" t="s">
        <v>848</v>
      </c>
      <c r="I440" s="31">
        <f t="shared" si="22"/>
        <v>13</v>
      </c>
      <c r="J440" s="31">
        <f t="shared" si="23"/>
        <v>15</v>
      </c>
      <c r="K440" s="32">
        <f t="shared" si="24"/>
        <v>0.4642857142857143</v>
      </c>
      <c r="L440" s="70"/>
      <c r="M440" s="70"/>
      <c r="N440" s="70"/>
      <c r="O440" s="70"/>
      <c r="P440" s="70"/>
      <c r="Q440" s="70"/>
      <c r="R440" s="70"/>
      <c r="S440" s="70" t="s">
        <v>1529</v>
      </c>
      <c r="T440" s="70" t="s">
        <v>1529</v>
      </c>
      <c r="U440" s="70"/>
      <c r="V440" s="70"/>
      <c r="W440" s="70"/>
      <c r="X440" s="70"/>
      <c r="Y440" s="70"/>
      <c r="Z440" s="70"/>
      <c r="AA440" s="70" t="s">
        <v>1529</v>
      </c>
      <c r="AB440" s="70" t="s">
        <v>1529</v>
      </c>
      <c r="AC440" s="70" t="s">
        <v>1529</v>
      </c>
      <c r="AD440" s="70" t="s">
        <v>1529</v>
      </c>
      <c r="AE440" s="70" t="s">
        <v>1529</v>
      </c>
      <c r="AF440" s="70" t="s">
        <v>1529</v>
      </c>
      <c r="AG440" s="70" t="s">
        <v>1529</v>
      </c>
      <c r="AH440" s="70" t="s">
        <v>1529</v>
      </c>
      <c r="AI440" s="70" t="s">
        <v>1529</v>
      </c>
      <c r="AJ440" s="70" t="s">
        <v>1529</v>
      </c>
      <c r="AK440" s="70" t="s">
        <v>1529</v>
      </c>
      <c r="AL440" s="70" t="s">
        <v>1529</v>
      </c>
      <c r="AM440" s="70" t="s">
        <v>1529</v>
      </c>
      <c r="AN440" s="70"/>
      <c r="AO440" s="70"/>
      <c r="AP440" s="70"/>
    </row>
    <row r="441" spans="1:42" ht="15.75" thickBot="1" x14ac:dyDescent="0.3">
      <c r="A441" t="s">
        <v>229</v>
      </c>
      <c r="B441" t="s">
        <v>1039</v>
      </c>
      <c r="C441" t="s">
        <v>1069</v>
      </c>
      <c r="D441" t="s">
        <v>510</v>
      </c>
      <c r="E441" s="30" t="s">
        <v>73</v>
      </c>
      <c r="F441" s="30" t="s">
        <v>28</v>
      </c>
      <c r="G441" s="30"/>
      <c r="H441" s="30" t="s">
        <v>849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1040</v>
      </c>
      <c r="C442" t="s">
        <v>1069</v>
      </c>
      <c r="D442" t="s">
        <v>510</v>
      </c>
      <c r="E442" s="30" t="s">
        <v>73</v>
      </c>
      <c r="F442" s="30" t="s">
        <v>28</v>
      </c>
      <c r="G442" s="30"/>
      <c r="H442" s="30" t="s">
        <v>850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1069</v>
      </c>
      <c r="D443" t="s">
        <v>512</v>
      </c>
      <c r="E443" s="30" t="s">
        <v>73</v>
      </c>
      <c r="F443" s="30" t="s">
        <v>28</v>
      </c>
      <c r="G443" s="30"/>
      <c r="H443" s="30" t="s">
        <v>851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1529</v>
      </c>
      <c r="AF443" s="70" t="s">
        <v>1529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1069</v>
      </c>
      <c r="D444" t="s">
        <v>512</v>
      </c>
      <c r="E444" s="30" t="s">
        <v>73</v>
      </c>
      <c r="F444" s="30" t="s">
        <v>28</v>
      </c>
      <c r="G444" s="30"/>
      <c r="H444" s="30" t="s">
        <v>852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1529</v>
      </c>
      <c r="AF444" s="70" t="s">
        <v>1529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1101</v>
      </c>
      <c r="C445" s="30" t="s">
        <v>1069</v>
      </c>
      <c r="D445" t="s">
        <v>1102</v>
      </c>
      <c r="E445" s="30" t="s">
        <v>19</v>
      </c>
      <c r="F445" s="30" t="s">
        <v>28</v>
      </c>
      <c r="G445" s="30"/>
      <c r="H445" s="30" t="s">
        <v>1103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1529</v>
      </c>
      <c r="AF445" s="70" t="s">
        <v>1529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1106</v>
      </c>
      <c r="C446" s="30" t="s">
        <v>1069</v>
      </c>
      <c r="D446" t="s">
        <v>1104</v>
      </c>
      <c r="E446" s="30" t="s">
        <v>19</v>
      </c>
      <c r="F446" s="30" t="s">
        <v>28</v>
      </c>
      <c r="G446" s="30"/>
      <c r="H446" s="30" t="s">
        <v>1105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1529</v>
      </c>
      <c r="AF446" s="70" t="s">
        <v>1529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1107</v>
      </c>
      <c r="C447" s="30" t="s">
        <v>1069</v>
      </c>
      <c r="D447" t="s">
        <v>1108</v>
      </c>
      <c r="E447" s="30" t="s">
        <v>19</v>
      </c>
      <c r="F447" s="30" t="s">
        <v>28</v>
      </c>
      <c r="G447" s="30"/>
      <c r="H447" s="30" t="s">
        <v>1109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1069</v>
      </c>
      <c r="D448" t="s">
        <v>1045</v>
      </c>
      <c r="E448" s="30" t="s">
        <v>19</v>
      </c>
      <c r="F448" s="30" t="s">
        <v>28</v>
      </c>
      <c r="G448" s="30"/>
      <c r="H448" s="30" t="s">
        <v>853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1529</v>
      </c>
      <c r="M448" s="70"/>
      <c r="N448" s="70" t="s">
        <v>1529</v>
      </c>
      <c r="O448" s="70" t="s">
        <v>1529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1069</v>
      </c>
      <c r="D449" t="s">
        <v>1097</v>
      </c>
      <c r="E449" s="30" t="s">
        <v>19</v>
      </c>
      <c r="F449" s="30" t="s">
        <v>28</v>
      </c>
      <c r="G449" s="30"/>
      <c r="H449" s="30" t="s">
        <v>854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1529</v>
      </c>
      <c r="M449" s="70"/>
      <c r="N449" s="70" t="s">
        <v>1529</v>
      </c>
      <c r="O449" s="70" t="s">
        <v>1529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1069</v>
      </c>
      <c r="D450" t="s">
        <v>530</v>
      </c>
      <c r="E450" s="30" t="s">
        <v>19</v>
      </c>
      <c r="F450" s="30" t="s">
        <v>28</v>
      </c>
      <c r="G450" s="30"/>
      <c r="H450" s="30" t="s">
        <v>855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1069</v>
      </c>
      <c r="D451" s="73" t="s">
        <v>532</v>
      </c>
      <c r="E451" s="87" t="s">
        <v>19</v>
      </c>
      <c r="F451" s="87" t="s">
        <v>28</v>
      </c>
      <c r="G451" s="87"/>
      <c r="H451" s="87" t="s">
        <v>856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1069</v>
      </c>
      <c r="D452" t="s">
        <v>534</v>
      </c>
      <c r="E452" s="30" t="s">
        <v>19</v>
      </c>
      <c r="F452" s="30" t="s">
        <v>1308</v>
      </c>
      <c r="G452" s="30"/>
      <c r="H452" s="30" t="s">
        <v>1515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1069</v>
      </c>
      <c r="D453" t="s">
        <v>1075</v>
      </c>
      <c r="E453" s="30" t="s">
        <v>19</v>
      </c>
      <c r="F453" s="30" t="s">
        <v>28</v>
      </c>
      <c r="G453" s="30"/>
      <c r="H453" s="30" t="s">
        <v>857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1068</v>
      </c>
      <c r="D454" t="s">
        <v>1074</v>
      </c>
      <c r="E454" s="30"/>
      <c r="F454" s="30" t="s">
        <v>28</v>
      </c>
      <c r="G454" s="30"/>
      <c r="H454" s="30" t="s">
        <v>858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1069</v>
      </c>
      <c r="D455" t="s">
        <v>538</v>
      </c>
      <c r="E455" s="30" t="s">
        <v>19</v>
      </c>
      <c r="F455" s="30" t="s">
        <v>28</v>
      </c>
      <c r="G455" s="30"/>
      <c r="H455" s="30" t="s">
        <v>859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1069</v>
      </c>
      <c r="D456" t="s">
        <v>540</v>
      </c>
      <c r="E456" s="30" t="s">
        <v>19</v>
      </c>
      <c r="F456" s="30" t="s">
        <v>28</v>
      </c>
      <c r="G456" s="30"/>
      <c r="H456" s="30" t="s">
        <v>860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1041</v>
      </c>
      <c r="C457" t="s">
        <v>1069</v>
      </c>
      <c r="D457" t="s">
        <v>541</v>
      </c>
      <c r="E457" s="30" t="s">
        <v>19</v>
      </c>
      <c r="F457" s="30" t="s">
        <v>28</v>
      </c>
      <c r="G457" s="30"/>
      <c r="H457" s="30" t="s">
        <v>861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1069</v>
      </c>
      <c r="D458" t="s">
        <v>543</v>
      </c>
      <c r="E458" s="30" t="s">
        <v>19</v>
      </c>
      <c r="F458" s="30" t="s">
        <v>28</v>
      </c>
      <c r="G458" s="30"/>
      <c r="H458" s="30" t="s">
        <v>862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1529</v>
      </c>
      <c r="M458" s="70"/>
      <c r="N458" s="70" t="s">
        <v>1529</v>
      </c>
      <c r="O458" s="70" t="s">
        <v>1529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1046</v>
      </c>
      <c r="C459" t="s">
        <v>1069</v>
      </c>
      <c r="D459" t="s">
        <v>514</v>
      </c>
      <c r="E459" s="30" t="s">
        <v>15</v>
      </c>
      <c r="F459" s="30" t="s">
        <v>1062</v>
      </c>
      <c r="G459" s="30" t="s">
        <v>1266</v>
      </c>
      <c r="H459" s="30" t="s">
        <v>863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1047</v>
      </c>
      <c r="C460" t="s">
        <v>1069</v>
      </c>
      <c r="D460" t="s">
        <v>516</v>
      </c>
      <c r="E460" s="30" t="s">
        <v>19</v>
      </c>
      <c r="F460" s="30" t="s">
        <v>28</v>
      </c>
      <c r="G460" s="30"/>
      <c r="H460" s="30" t="s">
        <v>864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1042</v>
      </c>
      <c r="C461" t="s">
        <v>1069</v>
      </c>
      <c r="D461" t="s">
        <v>544</v>
      </c>
      <c r="E461" s="30" t="s">
        <v>15</v>
      </c>
      <c r="F461" s="30" t="s">
        <v>28</v>
      </c>
      <c r="G461" s="30"/>
      <c r="H461" s="30" t="s">
        <v>865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1529</v>
      </c>
      <c r="M461" s="70"/>
      <c r="N461" s="70" t="s">
        <v>1529</v>
      </c>
      <c r="O461" s="70" t="s">
        <v>1529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1069</v>
      </c>
      <c r="D462" t="s">
        <v>518</v>
      </c>
      <c r="E462" s="30" t="s">
        <v>15</v>
      </c>
      <c r="F462" s="30" t="s">
        <v>1062</v>
      </c>
      <c r="G462" s="30" t="s">
        <v>1267</v>
      </c>
      <c r="H462" s="30" t="s">
        <v>866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1069</v>
      </c>
      <c r="D463" t="s">
        <v>521</v>
      </c>
      <c r="E463" s="30" t="s">
        <v>15</v>
      </c>
      <c r="F463" s="30" t="s">
        <v>1062</v>
      </c>
      <c r="G463" s="30" t="s">
        <v>1263</v>
      </c>
      <c r="H463" s="30" t="s">
        <v>867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1069</v>
      </c>
      <c r="D464" t="s">
        <v>1096</v>
      </c>
      <c r="E464" s="30" t="s">
        <v>15</v>
      </c>
      <c r="F464" s="30" t="s">
        <v>1062</v>
      </c>
      <c r="G464" s="30" t="s">
        <v>1268</v>
      </c>
      <c r="H464" s="30" t="s">
        <v>868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1529</v>
      </c>
      <c r="M464" s="70"/>
      <c r="N464" s="70" t="s">
        <v>1529</v>
      </c>
      <c r="O464" s="70" t="s">
        <v>1529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1048</v>
      </c>
      <c r="C465" t="s">
        <v>1069</v>
      </c>
      <c r="D465" t="s">
        <v>523</v>
      </c>
      <c r="E465" s="30" t="s">
        <v>15</v>
      </c>
      <c r="F465" s="30" t="s">
        <v>1062</v>
      </c>
      <c r="G465" s="30" t="s">
        <v>1269</v>
      </c>
      <c r="H465" s="30" t="s">
        <v>869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1049</v>
      </c>
      <c r="C466" t="s">
        <v>1069</v>
      </c>
      <c r="D466" t="s">
        <v>524</v>
      </c>
      <c r="E466" s="30" t="s">
        <v>15</v>
      </c>
      <c r="F466" s="30" t="s">
        <v>20</v>
      </c>
      <c r="G466" s="30"/>
      <c r="H466" s="30" t="s">
        <v>870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1069</v>
      </c>
      <c r="D467" t="s">
        <v>526</v>
      </c>
      <c r="E467" s="30" t="s">
        <v>46</v>
      </c>
      <c r="F467" s="30" t="s">
        <v>28</v>
      </c>
      <c r="G467" s="30"/>
      <c r="H467" s="30" t="s">
        <v>1375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1043</v>
      </c>
      <c r="C468" t="s">
        <v>1069</v>
      </c>
      <c r="D468" t="s">
        <v>545</v>
      </c>
      <c r="E468" s="30" t="s">
        <v>73</v>
      </c>
      <c r="F468" s="30" t="s">
        <v>28</v>
      </c>
      <c r="G468" s="30"/>
      <c r="H468" s="30" t="s">
        <v>871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1044</v>
      </c>
      <c r="C469" t="s">
        <v>1069</v>
      </c>
      <c r="D469" t="s">
        <v>545</v>
      </c>
      <c r="E469" s="30" t="s">
        <v>73</v>
      </c>
      <c r="F469" s="30" t="s">
        <v>28</v>
      </c>
      <c r="G469" s="30"/>
      <c r="H469" s="30" t="s">
        <v>872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1068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1068</v>
      </c>
      <c r="D471" t="s">
        <v>547</v>
      </c>
      <c r="E471" s="30" t="s">
        <v>73</v>
      </c>
      <c r="F471" s="30" t="s">
        <v>28</v>
      </c>
      <c r="G471" s="30"/>
      <c r="H471" s="30" t="s">
        <v>873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1151</v>
      </c>
      <c r="C472" t="s">
        <v>1069</v>
      </c>
      <c r="D472" t="s">
        <v>1153</v>
      </c>
      <c r="E472" s="30" t="s">
        <v>73</v>
      </c>
      <c r="F472" s="30" t="s">
        <v>28</v>
      </c>
      <c r="G472" s="30"/>
      <c r="H472" s="30" t="s">
        <v>1154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1529</v>
      </c>
      <c r="M472" s="70"/>
      <c r="N472" s="70" t="s">
        <v>1529</v>
      </c>
      <c r="O472" s="70" t="s">
        <v>1529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1152</v>
      </c>
      <c r="C473" t="s">
        <v>1069</v>
      </c>
      <c r="D473" t="s">
        <v>1153</v>
      </c>
      <c r="E473" s="30" t="s">
        <v>1120</v>
      </c>
      <c r="F473" s="30" t="s">
        <v>28</v>
      </c>
      <c r="G473" s="30"/>
      <c r="H473" s="30" t="s">
        <v>1155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1529</v>
      </c>
      <c r="M473" s="70"/>
      <c r="N473" s="70" t="s">
        <v>1529</v>
      </c>
      <c r="O473" s="70" t="s">
        <v>1529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1214</v>
      </c>
      <c r="C474" s="30" t="s">
        <v>1069</v>
      </c>
      <c r="D474" t="s">
        <v>1210</v>
      </c>
      <c r="E474" s="30" t="s">
        <v>15</v>
      </c>
      <c r="F474" s="30" t="s">
        <v>28</v>
      </c>
      <c r="G474" s="30"/>
      <c r="H474" s="30" t="s">
        <v>1211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1529</v>
      </c>
      <c r="Q474" s="70" t="s">
        <v>1529</v>
      </c>
      <c r="R474" s="70" t="s">
        <v>1529</v>
      </c>
      <c r="S474" s="70" t="s">
        <v>1529</v>
      </c>
      <c r="T474" s="70" t="s">
        <v>1529</v>
      </c>
      <c r="U474" s="70" t="s">
        <v>1529</v>
      </c>
      <c r="V474" s="70" t="s">
        <v>1529</v>
      </c>
      <c r="W474" s="70" t="s">
        <v>1529</v>
      </c>
      <c r="X474" s="70" t="s">
        <v>1529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1544</v>
      </c>
      <c r="C475" s="30" t="s">
        <v>1069</v>
      </c>
      <c r="D475" t="s">
        <v>1545</v>
      </c>
      <c r="E475" s="30" t="s">
        <v>1120</v>
      </c>
      <c r="F475" s="30" t="s">
        <v>28</v>
      </c>
      <c r="G475" s="30"/>
      <c r="H475" s="30" t="s">
        <v>1546</v>
      </c>
      <c r="I475" s="31"/>
      <c r="J475" s="31"/>
      <c r="K475" s="32"/>
      <c r="L475" s="70" t="s">
        <v>1529</v>
      </c>
      <c r="M475" s="70"/>
      <c r="N475" s="70" t="s">
        <v>1529</v>
      </c>
      <c r="O475" s="70" t="s">
        <v>1529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1598</v>
      </c>
      <c r="C476" s="30" t="s">
        <v>1069</v>
      </c>
      <c r="D476" t="s">
        <v>1599</v>
      </c>
      <c r="E476" s="30" t="s">
        <v>15</v>
      </c>
      <c r="F476" s="30" t="s">
        <v>1308</v>
      </c>
      <c r="G476" s="30"/>
      <c r="H476" s="30" t="s">
        <v>1600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1601</v>
      </c>
      <c r="C477" s="30" t="s">
        <v>1069</v>
      </c>
      <c r="D477" t="s">
        <v>1602</v>
      </c>
      <c r="E477" s="30" t="s">
        <v>15</v>
      </c>
      <c r="F477" s="30" t="s">
        <v>1308</v>
      </c>
      <c r="G477" s="30"/>
      <c r="H477" s="30" t="s">
        <v>1603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1050</v>
      </c>
      <c r="C478" t="s">
        <v>1068</v>
      </c>
      <c r="D478" t="s">
        <v>551</v>
      </c>
      <c r="E478" s="30" t="s">
        <v>19</v>
      </c>
      <c r="F478" s="30" t="s">
        <v>28</v>
      </c>
      <c r="G478" s="30"/>
      <c r="H478" s="30" t="s">
        <v>876</v>
      </c>
      <c r="I478" s="31">
        <f t="shared" si="22"/>
        <v>26</v>
      </c>
      <c r="J478" s="31">
        <f t="shared" si="23"/>
        <v>2</v>
      </c>
      <c r="K478" s="32">
        <f t="shared" si="24"/>
        <v>0.9285714285714286</v>
      </c>
      <c r="L478" s="70"/>
      <c r="M478" s="70"/>
      <c r="N478" s="70"/>
      <c r="O478" s="70"/>
      <c r="P478" s="70"/>
      <c r="Q478" s="70" t="s">
        <v>1529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 t="s">
        <v>1529</v>
      </c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1051</v>
      </c>
      <c r="C479" t="s">
        <v>1068</v>
      </c>
      <c r="D479" t="s">
        <v>552</v>
      </c>
      <c r="E479" s="30" t="s">
        <v>19</v>
      </c>
      <c r="F479" s="30" t="s">
        <v>28</v>
      </c>
      <c r="G479" s="30"/>
      <c r="H479" s="30" t="s">
        <v>877</v>
      </c>
      <c r="I479" s="31">
        <f t="shared" si="22"/>
        <v>26</v>
      </c>
      <c r="J479" s="31">
        <f t="shared" si="23"/>
        <v>2</v>
      </c>
      <c r="K479" s="32">
        <f t="shared" si="24"/>
        <v>0.9285714285714286</v>
      </c>
      <c r="L479" s="70"/>
      <c r="M479" s="70"/>
      <c r="N479" s="70"/>
      <c r="O479" s="70"/>
      <c r="P479" s="70"/>
      <c r="Q479" s="70" t="s">
        <v>1529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 t="s">
        <v>1529</v>
      </c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1068</v>
      </c>
      <c r="D480" t="s">
        <v>554</v>
      </c>
      <c r="E480" s="30" t="s">
        <v>73</v>
      </c>
      <c r="F480" s="30" t="s">
        <v>28</v>
      </c>
      <c r="G480" s="30"/>
      <c r="H480" s="30" t="s">
        <v>874</v>
      </c>
      <c r="I480" s="31">
        <f t="shared" si="22"/>
        <v>5</v>
      </c>
      <c r="J480" s="31">
        <f t="shared" si="23"/>
        <v>23</v>
      </c>
      <c r="K480" s="32">
        <f t="shared" si="24"/>
        <v>0.17857142857142858</v>
      </c>
      <c r="L480" s="70"/>
      <c r="M480" s="70"/>
      <c r="N480" s="70"/>
      <c r="O480" s="70"/>
      <c r="P480" s="70"/>
      <c r="Q480" s="70" t="s">
        <v>1529</v>
      </c>
      <c r="R480" s="70" t="s">
        <v>1529</v>
      </c>
      <c r="S480" s="70" t="s">
        <v>1529</v>
      </c>
      <c r="T480" s="70" t="s">
        <v>1529</v>
      </c>
      <c r="U480" s="70" t="s">
        <v>1529</v>
      </c>
      <c r="V480" s="70" t="s">
        <v>1529</v>
      </c>
      <c r="W480" s="70" t="s">
        <v>1529</v>
      </c>
      <c r="X480" s="70" t="s">
        <v>1529</v>
      </c>
      <c r="Y480" s="70" t="s">
        <v>1529</v>
      </c>
      <c r="Z480" s="70" t="s">
        <v>1529</v>
      </c>
      <c r="AA480" s="70" t="s">
        <v>1529</v>
      </c>
      <c r="AB480" s="70" t="s">
        <v>1529</v>
      </c>
      <c r="AC480" s="70" t="s">
        <v>1529</v>
      </c>
      <c r="AD480" s="70" t="s">
        <v>1529</v>
      </c>
      <c r="AE480" s="70" t="s">
        <v>1529</v>
      </c>
      <c r="AF480" s="70" t="s">
        <v>1529</v>
      </c>
      <c r="AG480" s="70" t="s">
        <v>1529</v>
      </c>
      <c r="AH480" s="70" t="s">
        <v>1529</v>
      </c>
      <c r="AI480" s="70" t="s">
        <v>1529</v>
      </c>
      <c r="AJ480" s="70" t="s">
        <v>1529</v>
      </c>
      <c r="AK480" s="70" t="s">
        <v>1529</v>
      </c>
      <c r="AL480" s="70" t="s">
        <v>1529</v>
      </c>
      <c r="AM480" s="70" t="s">
        <v>1529</v>
      </c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1068</v>
      </c>
      <c r="D481" t="s">
        <v>554</v>
      </c>
      <c r="E481" s="30" t="s">
        <v>73</v>
      </c>
      <c r="F481" s="30" t="s">
        <v>28</v>
      </c>
      <c r="G481" s="30"/>
      <c r="H481" s="30" t="s">
        <v>875</v>
      </c>
      <c r="I481" s="31">
        <f t="shared" si="22"/>
        <v>5</v>
      </c>
      <c r="J481" s="31">
        <f t="shared" si="23"/>
        <v>23</v>
      </c>
      <c r="K481" s="32">
        <f t="shared" si="24"/>
        <v>0.17857142857142858</v>
      </c>
      <c r="L481" s="70"/>
      <c r="M481" s="70"/>
      <c r="N481" s="70"/>
      <c r="O481" s="70"/>
      <c r="P481" s="70"/>
      <c r="Q481" s="70" t="s">
        <v>1529</v>
      </c>
      <c r="R481" s="70" t="s">
        <v>1529</v>
      </c>
      <c r="S481" s="70" t="s">
        <v>1529</v>
      </c>
      <c r="T481" s="70" t="s">
        <v>1529</v>
      </c>
      <c r="U481" s="70" t="s">
        <v>1529</v>
      </c>
      <c r="V481" s="70" t="s">
        <v>1529</v>
      </c>
      <c r="W481" s="70" t="s">
        <v>1529</v>
      </c>
      <c r="X481" s="70" t="s">
        <v>1529</v>
      </c>
      <c r="Y481" s="70" t="s">
        <v>1529</v>
      </c>
      <c r="Z481" s="70" t="s">
        <v>1529</v>
      </c>
      <c r="AA481" s="70" t="s">
        <v>1529</v>
      </c>
      <c r="AB481" s="70" t="s">
        <v>1529</v>
      </c>
      <c r="AC481" s="70" t="s">
        <v>1529</v>
      </c>
      <c r="AD481" s="70" t="s">
        <v>1529</v>
      </c>
      <c r="AE481" s="70" t="s">
        <v>1529</v>
      </c>
      <c r="AF481" s="70" t="s">
        <v>1529</v>
      </c>
      <c r="AG481" s="70" t="s">
        <v>1529</v>
      </c>
      <c r="AH481" s="70" t="s">
        <v>1529</v>
      </c>
      <c r="AI481" s="70" t="s">
        <v>1529</v>
      </c>
      <c r="AJ481" s="70" t="s">
        <v>1529</v>
      </c>
      <c r="AK481" s="70" t="s">
        <v>1529</v>
      </c>
      <c r="AL481" s="70" t="s">
        <v>1529</v>
      </c>
      <c r="AM481" s="70" t="s">
        <v>1529</v>
      </c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1068</v>
      </c>
      <c r="D482" t="s">
        <v>557</v>
      </c>
      <c r="E482" s="30" t="s">
        <v>73</v>
      </c>
      <c r="F482" s="30" t="s">
        <v>28</v>
      </c>
      <c r="G482" s="30"/>
      <c r="H482" s="30" t="s">
        <v>878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1529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1068</v>
      </c>
      <c r="D483" t="s">
        <v>557</v>
      </c>
      <c r="E483" s="30" t="s">
        <v>73</v>
      </c>
      <c r="F483" s="30" t="s">
        <v>28</v>
      </c>
      <c r="G483" s="30"/>
      <c r="H483" s="30" t="s">
        <v>879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1529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1068</v>
      </c>
      <c r="D484" s="73" t="s">
        <v>550</v>
      </c>
      <c r="E484" s="96" t="s">
        <v>19</v>
      </c>
      <c r="F484" s="87" t="s">
        <v>28</v>
      </c>
      <c r="G484" s="87"/>
      <c r="H484" s="87" t="s">
        <v>880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1529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1068</v>
      </c>
      <c r="D485" s="73" t="s">
        <v>560</v>
      </c>
      <c r="E485" s="96" t="s">
        <v>15</v>
      </c>
      <c r="F485" s="87" t="s">
        <v>28</v>
      </c>
      <c r="G485" s="87"/>
      <c r="H485" s="87" t="s">
        <v>1517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1529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1352</v>
      </c>
      <c r="C486" s="30" t="s">
        <v>1068</v>
      </c>
      <c r="D486" t="s">
        <v>1353</v>
      </c>
      <c r="E486" s="30"/>
      <c r="F486" s="30"/>
      <c r="G486" s="30"/>
      <c r="H486" s="30" t="s">
        <v>1359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1068</v>
      </c>
      <c r="D487" t="s">
        <v>562</v>
      </c>
      <c r="E487" s="30" t="s">
        <v>19</v>
      </c>
      <c r="F487" s="30" t="s">
        <v>28</v>
      </c>
      <c r="G487" s="30"/>
      <c r="H487" s="30" t="s">
        <v>881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1068</v>
      </c>
      <c r="D488" s="73" t="s">
        <v>564</v>
      </c>
      <c r="E488" s="87" t="s">
        <v>19</v>
      </c>
      <c r="F488" s="87" t="s">
        <v>28</v>
      </c>
      <c r="G488" s="87"/>
      <c r="H488" s="87" t="s">
        <v>1378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1068</v>
      </c>
      <c r="D489" t="s">
        <v>566</v>
      </c>
      <c r="E489" s="30" t="s">
        <v>19</v>
      </c>
      <c r="F489" s="30" t="s">
        <v>20</v>
      </c>
      <c r="G489" s="30"/>
      <c r="H489" s="30" t="s">
        <v>1436</v>
      </c>
      <c r="I489" s="31">
        <f t="shared" si="25"/>
        <v>12</v>
      </c>
      <c r="J489" s="31">
        <f t="shared" si="26"/>
        <v>16</v>
      </c>
      <c r="K489" s="32">
        <f t="shared" si="27"/>
        <v>0.42857142857142855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1529</v>
      </c>
      <c r="Y489" s="70" t="s">
        <v>1529</v>
      </c>
      <c r="Z489" s="70" t="s">
        <v>1529</v>
      </c>
      <c r="AA489" s="70" t="s">
        <v>1529</v>
      </c>
      <c r="AB489" s="70" t="s">
        <v>1529</v>
      </c>
      <c r="AC489" s="70" t="s">
        <v>1529</v>
      </c>
      <c r="AD489" s="70" t="s">
        <v>1529</v>
      </c>
      <c r="AE489" s="70" t="s">
        <v>1529</v>
      </c>
      <c r="AF489" s="70" t="s">
        <v>1529</v>
      </c>
      <c r="AG489" s="70" t="s">
        <v>1529</v>
      </c>
      <c r="AH489" s="70" t="s">
        <v>1529</v>
      </c>
      <c r="AI489" s="70" t="s">
        <v>1529</v>
      </c>
      <c r="AJ489" s="70" t="s">
        <v>1529</v>
      </c>
      <c r="AK489" s="70" t="s">
        <v>1529</v>
      </c>
      <c r="AL489" s="70" t="s">
        <v>1529</v>
      </c>
      <c r="AM489" s="70" t="s">
        <v>1529</v>
      </c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1068</v>
      </c>
      <c r="D490" t="s">
        <v>568</v>
      </c>
      <c r="E490" s="30" t="s">
        <v>19</v>
      </c>
      <c r="F490" s="30" t="s">
        <v>1062</v>
      </c>
      <c r="G490" s="30" t="s">
        <v>1270</v>
      </c>
      <c r="H490" s="30" t="s">
        <v>882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1369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1068</v>
      </c>
      <c r="D491" t="s">
        <v>570</v>
      </c>
      <c r="E491" s="30" t="s">
        <v>19</v>
      </c>
      <c r="F491" s="30" t="s">
        <v>1308</v>
      </c>
      <c r="G491" s="30"/>
      <c r="H491" s="30" t="s">
        <v>1516</v>
      </c>
      <c r="I491" s="31">
        <f t="shared" si="25"/>
        <v>12</v>
      </c>
      <c r="J491" s="31">
        <f t="shared" si="26"/>
        <v>16</v>
      </c>
      <c r="K491" s="32">
        <f t="shared" si="27"/>
        <v>0.42857142857142855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1529</v>
      </c>
      <c r="Y491" s="70" t="s">
        <v>1529</v>
      </c>
      <c r="Z491" s="70" t="s">
        <v>1529</v>
      </c>
      <c r="AA491" s="70" t="s">
        <v>1529</v>
      </c>
      <c r="AB491" s="70" t="s">
        <v>1529</v>
      </c>
      <c r="AC491" s="70" t="s">
        <v>1529</v>
      </c>
      <c r="AD491" s="70" t="s">
        <v>1529</v>
      </c>
      <c r="AE491" s="70" t="s">
        <v>1529</v>
      </c>
      <c r="AF491" s="70" t="s">
        <v>1529</v>
      </c>
      <c r="AG491" s="70" t="s">
        <v>1529</v>
      </c>
      <c r="AH491" s="70" t="s">
        <v>1529</v>
      </c>
      <c r="AI491" s="70" t="s">
        <v>1529</v>
      </c>
      <c r="AJ491" s="70" t="s">
        <v>1529</v>
      </c>
      <c r="AK491" s="70" t="s">
        <v>1529</v>
      </c>
      <c r="AL491" s="70" t="s">
        <v>1529</v>
      </c>
      <c r="AM491" s="70" t="s">
        <v>1529</v>
      </c>
      <c r="AN491" s="70"/>
      <c r="AO491" s="70"/>
      <c r="AP491" s="70"/>
    </row>
    <row r="492" spans="1:42" ht="15.75" thickBot="1" x14ac:dyDescent="0.3">
      <c r="A492" t="s">
        <v>479</v>
      </c>
      <c r="B492" t="s">
        <v>1319</v>
      </c>
      <c r="C492" t="s">
        <v>1068</v>
      </c>
      <c r="D492" t="s">
        <v>1320</v>
      </c>
      <c r="E492" s="30" t="s">
        <v>73</v>
      </c>
      <c r="F492" s="30" t="s">
        <v>28</v>
      </c>
      <c r="G492" s="30"/>
      <c r="H492" s="30" t="s">
        <v>1338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1069</v>
      </c>
      <c r="D493" t="s">
        <v>573</v>
      </c>
      <c r="E493" s="30" t="s">
        <v>15</v>
      </c>
      <c r="F493" s="30" t="s">
        <v>1308</v>
      </c>
      <c r="G493" s="30"/>
      <c r="H493" s="30" t="s">
        <v>883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1471</v>
      </c>
      <c r="C494" t="s">
        <v>1069</v>
      </c>
      <c r="D494" t="s">
        <v>574</v>
      </c>
      <c r="E494" s="30" t="s">
        <v>15</v>
      </c>
      <c r="F494" s="30" t="s">
        <v>28</v>
      </c>
      <c r="G494" s="30"/>
      <c r="H494" s="30" t="s">
        <v>884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1052</v>
      </c>
      <c r="C495" t="s">
        <v>1069</v>
      </c>
      <c r="D495" t="s">
        <v>575</v>
      </c>
      <c r="E495" s="30" t="s">
        <v>73</v>
      </c>
      <c r="F495" s="30" t="s">
        <v>1308</v>
      </c>
      <c r="G495" s="30"/>
      <c r="H495" s="30" t="s">
        <v>885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1053</v>
      </c>
      <c r="C496" t="s">
        <v>1069</v>
      </c>
      <c r="D496" t="s">
        <v>575</v>
      </c>
      <c r="E496" s="30" t="s">
        <v>73</v>
      </c>
      <c r="F496" s="30" t="s">
        <v>1308</v>
      </c>
      <c r="G496" s="30"/>
      <c r="H496" s="30" t="s">
        <v>886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1054</v>
      </c>
      <c r="C497" t="s">
        <v>1069</v>
      </c>
      <c r="D497" t="s">
        <v>577</v>
      </c>
      <c r="E497" s="30" t="s">
        <v>73</v>
      </c>
      <c r="F497" s="30" t="s">
        <v>28</v>
      </c>
      <c r="G497" s="30"/>
      <c r="H497" s="30" t="s">
        <v>887</v>
      </c>
      <c r="I497" s="31">
        <f t="shared" si="25"/>
        <v>1</v>
      </c>
      <c r="J497" s="31">
        <f t="shared" si="26"/>
        <v>27</v>
      </c>
      <c r="K497" s="32">
        <f t="shared" si="27"/>
        <v>3.5714285714285712E-2</v>
      </c>
      <c r="L497" s="70" t="s">
        <v>1529</v>
      </c>
      <c r="M497" s="70"/>
      <c r="N497" s="70" t="s">
        <v>1529</v>
      </c>
      <c r="O497" s="70" t="s">
        <v>1529</v>
      </c>
      <c r="P497" s="70" t="s">
        <v>1529</v>
      </c>
      <c r="Q497" s="70" t="s">
        <v>1529</v>
      </c>
      <c r="R497" s="70" t="s">
        <v>1529</v>
      </c>
      <c r="S497" s="70" t="s">
        <v>1529</v>
      </c>
      <c r="T497" s="70" t="s">
        <v>1529</v>
      </c>
      <c r="U497" s="70" t="s">
        <v>1529</v>
      </c>
      <c r="V497" s="70" t="s">
        <v>1529</v>
      </c>
      <c r="W497" s="70" t="s">
        <v>1529</v>
      </c>
      <c r="X497" s="70" t="s">
        <v>1529</v>
      </c>
      <c r="Y497" s="70" t="s">
        <v>1529</v>
      </c>
      <c r="Z497" s="70" t="s">
        <v>1529</v>
      </c>
      <c r="AA497" s="70" t="s">
        <v>1529</v>
      </c>
      <c r="AB497" s="70" t="s">
        <v>1529</v>
      </c>
      <c r="AC497" s="70" t="s">
        <v>1529</v>
      </c>
      <c r="AD497" s="70" t="s">
        <v>1529</v>
      </c>
      <c r="AE497" s="70" t="s">
        <v>1529</v>
      </c>
      <c r="AF497" s="70" t="s">
        <v>1529</v>
      </c>
      <c r="AG497" s="70" t="s">
        <v>1529</v>
      </c>
      <c r="AH497" s="70" t="s">
        <v>1529</v>
      </c>
      <c r="AI497" s="70" t="s">
        <v>1529</v>
      </c>
      <c r="AJ497" s="70" t="s">
        <v>1529</v>
      </c>
      <c r="AK497" s="70" t="s">
        <v>1529</v>
      </c>
      <c r="AL497" s="70" t="s">
        <v>1529</v>
      </c>
      <c r="AM497" s="70" t="s">
        <v>1529</v>
      </c>
      <c r="AN497" s="70"/>
      <c r="AO497" s="70"/>
      <c r="AP497" s="70"/>
    </row>
    <row r="498" spans="1:42" ht="15.75" thickBot="1" x14ac:dyDescent="0.3">
      <c r="A498" t="s">
        <v>576</v>
      </c>
      <c r="B498" t="s">
        <v>1055</v>
      </c>
      <c r="C498" t="s">
        <v>1069</v>
      </c>
      <c r="D498" t="s">
        <v>578</v>
      </c>
      <c r="E498" s="30" t="s">
        <v>15</v>
      </c>
      <c r="F498" s="30" t="s">
        <v>28</v>
      </c>
      <c r="G498" s="30"/>
      <c r="H498" s="30" t="s">
        <v>888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1069</v>
      </c>
      <c r="D499" t="s">
        <v>580</v>
      </c>
      <c r="E499" s="30" t="s">
        <v>73</v>
      </c>
      <c r="F499" s="30" t="s">
        <v>28</v>
      </c>
      <c r="G499" s="30"/>
      <c r="H499" s="30" t="s">
        <v>889</v>
      </c>
      <c r="I499" s="31">
        <f t="shared" si="25"/>
        <v>1</v>
      </c>
      <c r="J499" s="31">
        <f t="shared" si="26"/>
        <v>27</v>
      </c>
      <c r="K499" s="32">
        <f t="shared" si="27"/>
        <v>3.5714285714285712E-2</v>
      </c>
      <c r="L499" s="70" t="s">
        <v>1529</v>
      </c>
      <c r="M499" s="70"/>
      <c r="N499" s="70" t="s">
        <v>1529</v>
      </c>
      <c r="O499" s="70" t="s">
        <v>1529</v>
      </c>
      <c r="P499" s="70" t="s">
        <v>1529</v>
      </c>
      <c r="Q499" s="70" t="s">
        <v>1529</v>
      </c>
      <c r="R499" s="70" t="s">
        <v>1529</v>
      </c>
      <c r="S499" s="70" t="s">
        <v>1529</v>
      </c>
      <c r="T499" s="70" t="s">
        <v>1529</v>
      </c>
      <c r="U499" s="70" t="s">
        <v>1529</v>
      </c>
      <c r="V499" s="70" t="s">
        <v>1529</v>
      </c>
      <c r="W499" s="70" t="s">
        <v>1529</v>
      </c>
      <c r="X499" s="70" t="s">
        <v>1529</v>
      </c>
      <c r="Y499" s="70" t="s">
        <v>1529</v>
      </c>
      <c r="Z499" s="70" t="s">
        <v>1529</v>
      </c>
      <c r="AA499" s="70" t="s">
        <v>1529</v>
      </c>
      <c r="AB499" s="70" t="s">
        <v>1529</v>
      </c>
      <c r="AC499" s="70" t="s">
        <v>1529</v>
      </c>
      <c r="AD499" s="70" t="s">
        <v>1529</v>
      </c>
      <c r="AE499" s="70" t="s">
        <v>1529</v>
      </c>
      <c r="AF499" s="70" t="s">
        <v>1529</v>
      </c>
      <c r="AG499" s="70" t="s">
        <v>1529</v>
      </c>
      <c r="AH499" s="70" t="s">
        <v>1529</v>
      </c>
      <c r="AI499" s="70" t="s">
        <v>1529</v>
      </c>
      <c r="AJ499" s="70" t="s">
        <v>1529</v>
      </c>
      <c r="AK499" s="70" t="s">
        <v>1529</v>
      </c>
      <c r="AL499" s="70" t="s">
        <v>1529</v>
      </c>
      <c r="AM499" s="70" t="s">
        <v>1529</v>
      </c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1069</v>
      </c>
      <c r="D500" t="s">
        <v>582</v>
      </c>
      <c r="E500" s="30" t="s">
        <v>15</v>
      </c>
      <c r="F500" s="30" t="s">
        <v>28</v>
      </c>
      <c r="G500" s="30"/>
      <c r="H500" s="30" t="s">
        <v>890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1069</v>
      </c>
      <c r="D501" t="s">
        <v>584</v>
      </c>
      <c r="E501" s="30" t="s">
        <v>15</v>
      </c>
      <c r="F501" s="30" t="s">
        <v>28</v>
      </c>
      <c r="G501" s="30"/>
      <c r="H501" s="30" t="s">
        <v>891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1069</v>
      </c>
      <c r="D502" t="s">
        <v>1098</v>
      </c>
      <c r="E502" s="30" t="s">
        <v>19</v>
      </c>
      <c r="F502" s="30" t="s">
        <v>20</v>
      </c>
      <c r="G502" s="30"/>
      <c r="H502" s="30" t="s">
        <v>1406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1056</v>
      </c>
      <c r="C503" t="s">
        <v>1069</v>
      </c>
      <c r="D503" t="s">
        <v>1099</v>
      </c>
      <c r="E503" s="30" t="s">
        <v>73</v>
      </c>
      <c r="F503" s="30" t="s">
        <v>28</v>
      </c>
      <c r="G503" s="30"/>
      <c r="H503" s="30" t="s">
        <v>892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1057</v>
      </c>
      <c r="C504" t="s">
        <v>1069</v>
      </c>
      <c r="D504" t="s">
        <v>1099</v>
      </c>
      <c r="E504" s="30" t="s">
        <v>73</v>
      </c>
      <c r="F504" s="30" t="s">
        <v>28</v>
      </c>
      <c r="G504" s="30"/>
      <c r="H504" s="30" t="s">
        <v>893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1058</v>
      </c>
      <c r="C505" t="s">
        <v>1069</v>
      </c>
      <c r="D505" t="s">
        <v>1113</v>
      </c>
      <c r="E505" s="30" t="s">
        <v>15</v>
      </c>
      <c r="F505" s="30" t="s">
        <v>28</v>
      </c>
      <c r="G505" s="30"/>
      <c r="H505" s="30" t="s">
        <v>894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1069</v>
      </c>
      <c r="D506" t="s">
        <v>1100</v>
      </c>
      <c r="E506" s="30" t="s">
        <v>15</v>
      </c>
      <c r="F506" s="30" t="s">
        <v>28</v>
      </c>
      <c r="G506" s="30"/>
      <c r="H506" s="30" t="s">
        <v>1227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1069</v>
      </c>
      <c r="D507" t="s">
        <v>589</v>
      </c>
      <c r="E507" s="30" t="s">
        <v>73</v>
      </c>
      <c r="F507" s="30" t="s">
        <v>28</v>
      </c>
      <c r="G507" s="30"/>
      <c r="H507" s="30" t="s">
        <v>895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1059</v>
      </c>
      <c r="C508" t="s">
        <v>1069</v>
      </c>
      <c r="D508" t="s">
        <v>589</v>
      </c>
      <c r="E508" s="30" t="s">
        <v>73</v>
      </c>
      <c r="F508" s="30" t="s">
        <v>28</v>
      </c>
      <c r="G508" s="30"/>
      <c r="H508" s="30" t="s">
        <v>896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1060</v>
      </c>
      <c r="C509" t="s">
        <v>1069</v>
      </c>
      <c r="D509" t="s">
        <v>590</v>
      </c>
      <c r="E509" s="30" t="s">
        <v>73</v>
      </c>
      <c r="F509" s="30" t="s">
        <v>28</v>
      </c>
      <c r="G509" s="30"/>
      <c r="H509" s="30" t="s">
        <v>897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1069</v>
      </c>
      <c r="D510" t="s">
        <v>590</v>
      </c>
      <c r="E510" s="30" t="s">
        <v>73</v>
      </c>
      <c r="F510" s="30" t="s">
        <v>28</v>
      </c>
      <c r="G510" s="30"/>
      <c r="H510" s="30" t="s">
        <v>898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1069</v>
      </c>
      <c r="D511" t="s">
        <v>594</v>
      </c>
      <c r="E511" s="30" t="s">
        <v>15</v>
      </c>
      <c r="F511" s="30" t="s">
        <v>1308</v>
      </c>
      <c r="G511" s="30"/>
      <c r="H511" s="30" t="s">
        <v>899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1529</v>
      </c>
      <c r="O511" s="70" t="s">
        <v>1529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1061</v>
      </c>
      <c r="C512" t="s">
        <v>1069</v>
      </c>
      <c r="D512" t="s">
        <v>596</v>
      </c>
      <c r="E512" s="30" t="s">
        <v>15</v>
      </c>
      <c r="F512" s="30" t="s">
        <v>20</v>
      </c>
      <c r="G512" s="30"/>
      <c r="H512" s="30" t="s">
        <v>900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1069</v>
      </c>
      <c r="D513" t="s">
        <v>598</v>
      </c>
      <c r="E513" s="30" t="s">
        <v>15</v>
      </c>
      <c r="F513" s="30" t="s">
        <v>20</v>
      </c>
      <c r="G513" s="30"/>
      <c r="H513" s="30" t="s">
        <v>901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1069</v>
      </c>
      <c r="D514" t="s">
        <v>600</v>
      </c>
      <c r="E514" s="30" t="s">
        <v>15</v>
      </c>
      <c r="F514" s="30" t="s">
        <v>20</v>
      </c>
      <c r="G514" s="30"/>
      <c r="H514" s="30" t="s">
        <v>902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1121</v>
      </c>
      <c r="C515" s="30" t="s">
        <v>1069</v>
      </c>
      <c r="D515" t="s">
        <v>1123</v>
      </c>
      <c r="E515" s="30" t="s">
        <v>1120</v>
      </c>
      <c r="F515" s="30" t="s">
        <v>28</v>
      </c>
      <c r="G515" s="30"/>
      <c r="H515" s="30" t="s">
        <v>1128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1122</v>
      </c>
      <c r="C516" s="30" t="s">
        <v>1069</v>
      </c>
      <c r="D516" t="s">
        <v>1123</v>
      </c>
      <c r="E516" s="30" t="s">
        <v>1120</v>
      </c>
      <c r="F516" s="30" t="s">
        <v>28</v>
      </c>
      <c r="G516" s="30"/>
      <c r="H516" s="30" t="s">
        <v>1129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1207</v>
      </c>
      <c r="C517" s="30" t="s">
        <v>1069</v>
      </c>
      <c r="D517" t="s">
        <v>1208</v>
      </c>
      <c r="E517" s="30" t="s">
        <v>15</v>
      </c>
      <c r="F517" s="30" t="s">
        <v>28</v>
      </c>
      <c r="G517" s="30"/>
      <c r="H517" s="30" t="s">
        <v>1209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1069</v>
      </c>
      <c r="D518" t="s">
        <v>605</v>
      </c>
      <c r="E518" s="30" t="s">
        <v>19</v>
      </c>
      <c r="F518" s="30" t="s">
        <v>1308</v>
      </c>
      <c r="G518" s="30"/>
      <c r="H518" s="30" t="s">
        <v>1379</v>
      </c>
      <c r="I518" s="31">
        <f t="shared" si="25"/>
        <v>22</v>
      </c>
      <c r="J518" s="31">
        <f t="shared" si="26"/>
        <v>6</v>
      </c>
      <c r="K518" s="32">
        <f t="shared" si="27"/>
        <v>0.7857142857142857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1529</v>
      </c>
      <c r="AD518" s="70" t="s">
        <v>1529</v>
      </c>
      <c r="AE518" s="70" t="s">
        <v>1529</v>
      </c>
      <c r="AF518" s="70"/>
      <c r="AG518" s="70"/>
      <c r="AH518" s="70" t="s">
        <v>1529</v>
      </c>
      <c r="AI518" s="70"/>
      <c r="AJ518" s="70"/>
      <c r="AK518" s="70"/>
      <c r="AL518" s="70" t="s">
        <v>1529</v>
      </c>
      <c r="AM518" s="70" t="s">
        <v>1529</v>
      </c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1069</v>
      </c>
      <c r="D519" t="s">
        <v>607</v>
      </c>
      <c r="E519" s="30" t="s">
        <v>19</v>
      </c>
      <c r="F519" s="30" t="s">
        <v>1308</v>
      </c>
      <c r="G519" s="30"/>
      <c r="H519" s="30" t="s">
        <v>1376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1068</v>
      </c>
      <c r="D520" t="s">
        <v>609</v>
      </c>
      <c r="E520" s="30" t="s">
        <v>15</v>
      </c>
      <c r="F520" s="30" t="s">
        <v>1308</v>
      </c>
      <c r="G520" s="30"/>
      <c r="H520" s="30" t="s">
        <v>1518</v>
      </c>
      <c r="I520" s="31">
        <f t="shared" si="25"/>
        <v>12</v>
      </c>
      <c r="J520" s="31">
        <f t="shared" si="26"/>
        <v>16</v>
      </c>
      <c r="K520" s="32">
        <f t="shared" si="27"/>
        <v>0.42857142857142855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1529</v>
      </c>
      <c r="Y520" s="70" t="s">
        <v>1529</v>
      </c>
      <c r="Z520" s="70" t="s">
        <v>1529</v>
      </c>
      <c r="AA520" s="70" t="s">
        <v>1529</v>
      </c>
      <c r="AB520" s="70" t="s">
        <v>1529</v>
      </c>
      <c r="AC520" s="70" t="s">
        <v>1529</v>
      </c>
      <c r="AD520" s="70" t="s">
        <v>1529</v>
      </c>
      <c r="AE520" s="70" t="s">
        <v>1529</v>
      </c>
      <c r="AF520" s="70" t="s">
        <v>1529</v>
      </c>
      <c r="AG520" s="70" t="s">
        <v>1529</v>
      </c>
      <c r="AH520" s="70" t="s">
        <v>1529</v>
      </c>
      <c r="AI520" s="70" t="s">
        <v>1529</v>
      </c>
      <c r="AJ520" s="70" t="s">
        <v>1529</v>
      </c>
      <c r="AK520" s="70" t="s">
        <v>1529</v>
      </c>
      <c r="AL520" s="70" t="s">
        <v>1529</v>
      </c>
      <c r="AM520" s="70" t="s">
        <v>1529</v>
      </c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1068</v>
      </c>
      <c r="D521" t="s">
        <v>602</v>
      </c>
      <c r="E521" s="30" t="s">
        <v>19</v>
      </c>
      <c r="F521" s="30" t="s">
        <v>20</v>
      </c>
      <c r="G521" s="30"/>
      <c r="H521" s="30" t="s">
        <v>1437</v>
      </c>
      <c r="I521" s="31">
        <f t="shared" si="25"/>
        <v>2</v>
      </c>
      <c r="J521" s="31">
        <f t="shared" si="26"/>
        <v>26</v>
      </c>
      <c r="K521" s="32">
        <f t="shared" si="27"/>
        <v>7.1428571428571425E-2</v>
      </c>
      <c r="L521" s="70"/>
      <c r="M521" s="70"/>
      <c r="N521" s="70" t="s">
        <v>1529</v>
      </c>
      <c r="O521" s="70" t="s">
        <v>1529</v>
      </c>
      <c r="P521" s="70" t="s">
        <v>1529</v>
      </c>
      <c r="Q521" s="70" t="s">
        <v>1529</v>
      </c>
      <c r="R521" s="70" t="s">
        <v>1529</v>
      </c>
      <c r="S521" s="70" t="s">
        <v>1529</v>
      </c>
      <c r="T521" s="70" t="s">
        <v>1529</v>
      </c>
      <c r="U521" s="70" t="s">
        <v>1529</v>
      </c>
      <c r="V521" s="70" t="s">
        <v>1529</v>
      </c>
      <c r="W521" s="70" t="s">
        <v>1529</v>
      </c>
      <c r="X521" s="70" t="s">
        <v>1529</v>
      </c>
      <c r="Y521" s="70" t="s">
        <v>1529</v>
      </c>
      <c r="Z521" s="70" t="s">
        <v>1529</v>
      </c>
      <c r="AA521" s="70" t="s">
        <v>1529</v>
      </c>
      <c r="AB521" s="70" t="s">
        <v>1529</v>
      </c>
      <c r="AC521" s="70" t="s">
        <v>1529</v>
      </c>
      <c r="AD521" s="70" t="s">
        <v>1529</v>
      </c>
      <c r="AE521" s="70" t="s">
        <v>1529</v>
      </c>
      <c r="AF521" s="70" t="s">
        <v>1529</v>
      </c>
      <c r="AG521" s="70" t="s">
        <v>1529</v>
      </c>
      <c r="AH521" s="70" t="s">
        <v>1529</v>
      </c>
      <c r="AI521" s="70" t="s">
        <v>1529</v>
      </c>
      <c r="AJ521" s="70" t="s">
        <v>1529</v>
      </c>
      <c r="AK521" s="70" t="s">
        <v>1529</v>
      </c>
      <c r="AL521" s="70" t="s">
        <v>1529</v>
      </c>
      <c r="AM521" s="70" t="s">
        <v>1529</v>
      </c>
      <c r="AN521" s="70"/>
      <c r="AO521" s="70"/>
      <c r="AP521" s="70"/>
    </row>
    <row r="522" spans="1:42" ht="15.75" thickBot="1" x14ac:dyDescent="0.3">
      <c r="A522" t="s">
        <v>603</v>
      </c>
      <c r="B522" t="s">
        <v>1455</v>
      </c>
      <c r="C522" t="s">
        <v>1068</v>
      </c>
      <c r="D522" t="s">
        <v>1456</v>
      </c>
      <c r="E522" s="30" t="s">
        <v>46</v>
      </c>
      <c r="F522" s="30" t="s">
        <v>28</v>
      </c>
      <c r="G522" s="30"/>
      <c r="H522" s="30" t="s">
        <v>1461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1458</v>
      </c>
      <c r="C523" t="s">
        <v>1068</v>
      </c>
      <c r="D523" t="s">
        <v>1457</v>
      </c>
      <c r="E523" s="30" t="s">
        <v>73</v>
      </c>
      <c r="F523" s="30" t="s">
        <v>28</v>
      </c>
      <c r="G523" s="30"/>
      <c r="H523" s="30" t="s">
        <v>1462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1459</v>
      </c>
      <c r="C524" t="s">
        <v>1068</v>
      </c>
      <c r="D524" t="s">
        <v>1460</v>
      </c>
      <c r="E524" s="30" t="s">
        <v>73</v>
      </c>
      <c r="F524" s="30" t="s">
        <v>28</v>
      </c>
      <c r="G524" s="30"/>
      <c r="H524" s="30" t="s">
        <v>1463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292" zoomScale="90" zoomScaleNormal="90" workbookViewId="0">
      <selection activeCell="B302" sqref="B302:F3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281</v>
      </c>
      <c r="D9" s="119">
        <f>Hoja1!F3</f>
        <v>52</v>
      </c>
      <c r="E9" s="109">
        <f>D9/C9</f>
        <v>0.18505338078291814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236</v>
      </c>
      <c r="D10" s="117">
        <f>Hoja1!F5</f>
        <v>37</v>
      </c>
      <c r="E10" s="118">
        <f>D10/C10</f>
        <v>0.15677966101694915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236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14</v>
      </c>
      <c r="D28" s="107">
        <f>D27-C28</f>
        <v>72</v>
      </c>
      <c r="E28" s="55">
        <f>D28/C24</f>
        <v>0.13926499032882012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72</v>
      </c>
      <c r="E29" s="74">
        <f>D29/C24</f>
        <v>0.13926499032882012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281</v>
      </c>
      <c r="D31" s="119">
        <f>Hoja1!H3</f>
        <v>47</v>
      </c>
      <c r="E31" s="109">
        <f>D31/C31</f>
        <v>0.16725978647686832</v>
      </c>
      <c r="F31" s="148"/>
    </row>
    <row r="32" spans="1:6" ht="15.75" thickBot="1" x14ac:dyDescent="0.3">
      <c r="B32" s="116" t="s">
        <v>1069</v>
      </c>
      <c r="C32" s="117">
        <f>COSEIDIcam</f>
        <v>236</v>
      </c>
      <c r="D32" s="117">
        <f>Hoja1!H5</f>
        <v>39</v>
      </c>
      <c r="E32" s="118">
        <f>D32/C32</f>
        <v>0.1652542372881356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14</v>
      </c>
      <c r="D39" s="107">
        <f>D38-C39</f>
        <v>65</v>
      </c>
      <c r="E39" s="55">
        <f>D39/C35</f>
        <v>0.12572533849129594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56</v>
      </c>
      <c r="E40" s="74">
        <f>D40/C35</f>
        <v>0.10831721470019343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281</v>
      </c>
      <c r="D42" s="119">
        <f>Hoja1!I3</f>
        <v>48</v>
      </c>
      <c r="E42" s="109">
        <f>D42/C42</f>
        <v>0.1708185053380783</v>
      </c>
      <c r="F42" s="148"/>
    </row>
    <row r="43" spans="1:6" ht="15.75" thickBot="1" x14ac:dyDescent="0.3">
      <c r="B43" s="116" t="s">
        <v>1069</v>
      </c>
      <c r="C43" s="117">
        <f>COSEIDIcam</f>
        <v>236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17</v>
      </c>
      <c r="D50" s="107">
        <f>D49-C50</f>
        <v>35</v>
      </c>
      <c r="E50" s="55">
        <f>D50/C46</f>
        <v>6.7698259187620888E-2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26</v>
      </c>
      <c r="E51" s="74">
        <f>D51/C46</f>
        <v>5.0290135396518373E-2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281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236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13</v>
      </c>
      <c r="D61" s="107">
        <f>D60-C61</f>
        <v>55</v>
      </c>
      <c r="E61" s="55">
        <f>D61/C57</f>
        <v>0.10638297872340426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281</v>
      </c>
      <c r="D64" s="119">
        <f>Hoja1!K3</f>
        <v>47</v>
      </c>
      <c r="E64" s="109">
        <f>D64/C64</f>
        <v>0.16725978647686832</v>
      </c>
      <c r="F64" s="148"/>
    </row>
    <row r="65" spans="1:6" ht="15.75" thickBot="1" x14ac:dyDescent="0.3">
      <c r="B65" s="116" t="s">
        <v>1069</v>
      </c>
      <c r="C65" s="117">
        <f>COSEIDIcam</f>
        <v>236</v>
      </c>
      <c r="D65" s="117">
        <f>Hoja1!K5</f>
        <v>29</v>
      </c>
      <c r="E65" s="118">
        <f>D65/C65</f>
        <v>0.1228813559322034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13</v>
      </c>
      <c r="D72" s="107">
        <f>D71-C72</f>
        <v>39</v>
      </c>
      <c r="E72" s="55">
        <f>D72/C68</f>
        <v>7.5435203094777567E-2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30</v>
      </c>
      <c r="E73" s="74">
        <f>D73/C68</f>
        <v>5.8027079303675046E-2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281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236</v>
      </c>
      <c r="D76" s="117">
        <f>Hoja1!L5</f>
        <v>27</v>
      </c>
      <c r="E76" s="118">
        <f>D76/C76</f>
        <v>0.11440677966101695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16</v>
      </c>
      <c r="D83" s="107">
        <f>D82-C83</f>
        <v>49</v>
      </c>
      <c r="E83" s="55">
        <f>D83/C79</f>
        <v>9.4777562862669251E-2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40</v>
      </c>
      <c r="E84" s="74">
        <f>D84/C79</f>
        <v>7.7369439071566737E-2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281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236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15</v>
      </c>
      <c r="D94" s="107">
        <f>D93-C94</f>
        <v>-15</v>
      </c>
      <c r="E94" s="55">
        <f>D94/C90</f>
        <v>-2.9013539651837523E-2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281</v>
      </c>
      <c r="D97" s="119">
        <f>Hoja1!N3</f>
        <v>37</v>
      </c>
      <c r="E97" s="109">
        <f>D97/C97</f>
        <v>0.13167259786476868</v>
      </c>
      <c r="F97" s="148"/>
    </row>
    <row r="98" spans="1:6" ht="15.75" thickBot="1" x14ac:dyDescent="0.3">
      <c r="B98" s="116" t="s">
        <v>1069</v>
      </c>
      <c r="C98" s="117">
        <f>COSEIDIcam</f>
        <v>236</v>
      </c>
      <c r="D98" s="117">
        <f>Hoja1!N5</f>
        <v>30</v>
      </c>
      <c r="E98" s="118">
        <f>D98/C98</f>
        <v>0.1271186440677966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17</v>
      </c>
      <c r="D105" s="107">
        <f>D104-C105</f>
        <v>52</v>
      </c>
      <c r="E105" s="55">
        <f>D105/C101</f>
        <v>0.10058027079303675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52</v>
      </c>
      <c r="E106" s="74">
        <f>D106/C101</f>
        <v>0.10058027079303675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281</v>
      </c>
      <c r="D108" s="119">
        <f>Hoja1!O3</f>
        <v>35</v>
      </c>
      <c r="E108" s="109">
        <f>D108/C108</f>
        <v>0.12455516014234876</v>
      </c>
      <c r="F108" s="148"/>
    </row>
    <row r="109" spans="1:6" ht="15.75" thickBot="1" x14ac:dyDescent="0.3">
      <c r="B109" s="116" t="s">
        <v>1069</v>
      </c>
      <c r="C109" s="117">
        <f>COSEIDIcam</f>
        <v>236</v>
      </c>
      <c r="D109" s="117">
        <f>Hoja1!O5</f>
        <v>34</v>
      </c>
      <c r="E109" s="118">
        <f>D109/C109</f>
        <v>0.1440677966101695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19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281</v>
      </c>
      <c r="D119" s="119">
        <f>Hoja1!P3</f>
        <v>34</v>
      </c>
      <c r="E119" s="109">
        <f>D119/C119</f>
        <v>0.12099644128113879</v>
      </c>
      <c r="F119" s="148"/>
    </row>
    <row r="120" spans="2:6" ht="15.75" thickBot="1" x14ac:dyDescent="0.3">
      <c r="B120" s="116" t="s">
        <v>1069</v>
      </c>
      <c r="C120" s="117">
        <f>COSEIDIcam</f>
        <v>236</v>
      </c>
      <c r="D120" s="117">
        <f>Hoja1!P5</f>
        <v>37</v>
      </c>
      <c r="E120" s="118">
        <f>D120/C120</f>
        <v>0.15677966101694915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15</v>
      </c>
      <c r="D127" s="107">
        <f>D126-C127</f>
        <v>40</v>
      </c>
      <c r="E127" s="55">
        <f>D127/C123</f>
        <v>7.7369439071566737E-2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31</v>
      </c>
      <c r="E128" s="74">
        <f>D128/C123</f>
        <v>5.9961315280464215E-2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281</v>
      </c>
      <c r="D130" s="119">
        <f>Hoja1!Q3</f>
        <v>36</v>
      </c>
      <c r="E130" s="109">
        <f>D130/C130</f>
        <v>0.12811387900355872</v>
      </c>
      <c r="F130" s="148"/>
    </row>
    <row r="131" spans="2:6" ht="15.75" thickBot="1" x14ac:dyDescent="0.3">
      <c r="B131" s="116" t="s">
        <v>1069</v>
      </c>
      <c r="C131" s="117">
        <f>COSEIDIcam</f>
        <v>236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281</v>
      </c>
      <c r="D141" s="119">
        <v>46</v>
      </c>
      <c r="E141" s="109">
        <f>D141/C141</f>
        <v>0.16370106761565836</v>
      </c>
      <c r="F141" s="148"/>
    </row>
    <row r="142" spans="2:6" ht="15.75" thickBot="1" x14ac:dyDescent="0.3">
      <c r="B142" s="116" t="s">
        <v>1069</v>
      </c>
      <c r="C142" s="117">
        <f>COSEIDIcam</f>
        <v>236</v>
      </c>
      <c r="D142" s="117">
        <v>32</v>
      </c>
      <c r="E142" s="118">
        <f>D142/C142</f>
        <v>0.13559322033898305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20</v>
      </c>
      <c r="D149" s="107">
        <f>D148-C149</f>
        <v>76</v>
      </c>
      <c r="E149" s="55">
        <f>D149/C145</f>
        <v>0.14700193423597679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67</v>
      </c>
      <c r="E150" s="74">
        <f>D150/C145</f>
        <v>0.12959381044487428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281</v>
      </c>
      <c r="D152" s="119">
        <v>49</v>
      </c>
      <c r="E152" s="109">
        <f>D152/C152</f>
        <v>0.17437722419928825</v>
      </c>
      <c r="F152" s="148"/>
    </row>
    <row r="153" spans="2:6" ht="15.75" thickBot="1" x14ac:dyDescent="0.3">
      <c r="B153" s="116" t="s">
        <v>1069</v>
      </c>
      <c r="C153" s="117">
        <f>COSEIDIcam</f>
        <v>236</v>
      </c>
      <c r="D153" s="117">
        <v>56</v>
      </c>
      <c r="E153" s="118">
        <f>D153/C153</f>
        <v>0.23728813559322035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14</v>
      </c>
      <c r="D160" s="107">
        <f>D159-C160</f>
        <v>63</v>
      </c>
      <c r="E160" s="55">
        <f>D160/C156</f>
        <v>0.1218568665377176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63</v>
      </c>
      <c r="E161" s="74">
        <f>D161/C156</f>
        <v>0.1218568665377176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281</v>
      </c>
      <c r="D163" s="119">
        <f>Hoja1!T3</f>
        <v>49</v>
      </c>
      <c r="E163" s="109">
        <f>D163/C163</f>
        <v>0.17437722419928825</v>
      </c>
      <c r="F163" s="148"/>
    </row>
    <row r="164" spans="2:6" ht="15.75" thickBot="1" x14ac:dyDescent="0.3">
      <c r="B164" s="116" t="s">
        <v>1069</v>
      </c>
      <c r="C164" s="117">
        <f>COSEIDIcam</f>
        <v>236</v>
      </c>
      <c r="D164" s="117">
        <f>Hoja1!T5</f>
        <v>28</v>
      </c>
      <c r="E164" s="118">
        <f>D164/C164</f>
        <v>0.11864406779661017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14</v>
      </c>
      <c r="D171" s="107">
        <f>D170-C171</f>
        <v>79</v>
      </c>
      <c r="E171" s="55">
        <f>D171/C167</f>
        <v>0.15280464216634429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79</v>
      </c>
      <c r="E172" s="74">
        <f>D172/C167</f>
        <v>0.15280464216634429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236</v>
      </c>
      <c r="D175" s="117">
        <f>Hoja1!U5</f>
        <v>43</v>
      </c>
      <c r="E175" s="118">
        <f>D175/C175</f>
        <v>0.18220338983050846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281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236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281</v>
      </c>
      <c r="D196" s="119">
        <v>52</v>
      </c>
      <c r="E196" s="109">
        <f>D196/C196</f>
        <v>0.18505338078291814</v>
      </c>
      <c r="F196" s="148"/>
    </row>
    <row r="197" spans="2:6" ht="15.75" thickBot="1" x14ac:dyDescent="0.3">
      <c r="B197" s="116" t="s">
        <v>1069</v>
      </c>
      <c r="C197" s="117">
        <f>COSEIDIcam</f>
        <v>236</v>
      </c>
      <c r="D197" s="117">
        <v>37</v>
      </c>
      <c r="E197" s="118">
        <f>D197/C197</f>
        <v>0.15677966101694915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281</v>
      </c>
      <c r="D207" s="119">
        <v>57</v>
      </c>
      <c r="E207" s="109">
        <f>D207/C207</f>
        <v>0.20284697508896798</v>
      </c>
      <c r="F207" s="148"/>
    </row>
    <row r="208" spans="2:6" ht="15.75" thickBot="1" x14ac:dyDescent="0.3">
      <c r="B208" s="116" t="s">
        <v>1069</v>
      </c>
      <c r="C208" s="117">
        <f>COSEIDIcam</f>
        <v>236</v>
      </c>
      <c r="D208" s="117">
        <v>33</v>
      </c>
      <c r="E208" s="118">
        <f>D208/C208</f>
        <v>0.13983050847457626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281</v>
      </c>
      <c r="D218" s="119">
        <v>58</v>
      </c>
      <c r="E218" s="109">
        <f>D218/C218</f>
        <v>0.20640569395017794</v>
      </c>
      <c r="F218" s="148"/>
    </row>
    <row r="219" spans="2:6" ht="15.75" thickBot="1" x14ac:dyDescent="0.3">
      <c r="B219" s="116" t="s">
        <v>1069</v>
      </c>
      <c r="C219" s="117">
        <f>COSEIDIcam</f>
        <v>236</v>
      </c>
      <c r="D219" s="117">
        <v>48</v>
      </c>
      <c r="E219" s="118">
        <f>D219/C219</f>
        <v>0.20338983050847459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23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281</v>
      </c>
      <c r="D230" s="119">
        <f>Hoja1!Z3</f>
        <v>59</v>
      </c>
      <c r="E230" s="109">
        <f>D230/C230</f>
        <v>0.20996441281138789</v>
      </c>
      <c r="F230" s="148"/>
    </row>
    <row r="231" spans="2:6" ht="15.75" thickBot="1" x14ac:dyDescent="0.3">
      <c r="B231" s="116" t="s">
        <v>1069</v>
      </c>
      <c r="C231" s="117">
        <f>COSEIDIcam</f>
        <v>236</v>
      </c>
      <c r="D231" s="117">
        <f>Hoja1!Z5</f>
        <v>50</v>
      </c>
      <c r="E231" s="118">
        <f>D231/C231</f>
        <v>0.21186440677966101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281</v>
      </c>
      <c r="D242" s="119">
        <v>42</v>
      </c>
      <c r="E242" s="109">
        <f>D242/C242</f>
        <v>0.1494661921708185</v>
      </c>
      <c r="F242" s="148"/>
    </row>
    <row r="243" spans="2:6" ht="15.75" thickBot="1" x14ac:dyDescent="0.3">
      <c r="B243" s="116" t="s">
        <v>1069</v>
      </c>
      <c r="C243" s="117">
        <f>COSEIDIcam</f>
        <v>236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236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236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0.16634429400386846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0.15280464216634429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0.14119922630560927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9.2843326885880081E-2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281</v>
      </c>
      <c r="D277" s="119">
        <v>47</v>
      </c>
      <c r="E277" s="109">
        <f>D277/C277</f>
        <v>0.16725978647686832</v>
      </c>
      <c r="F277" s="148"/>
    </row>
    <row r="278" spans="2:6" ht="15.75" thickBot="1" x14ac:dyDescent="0.3">
      <c r="B278" s="116" t="s">
        <v>1069</v>
      </c>
      <c r="C278" s="117">
        <f>COSEIDIcam</f>
        <v>236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0.15280464216634429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0.13733075435203096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0.12572533849129594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7.7369439071566737E-2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281</v>
      </c>
      <c r="D288" s="119">
        <v>45</v>
      </c>
      <c r="E288" s="109">
        <f>D288/C288</f>
        <v>0.16014234875444841</v>
      </c>
      <c r="F288" s="148"/>
    </row>
    <row r="289" spans="2:6" ht="15.75" thickBot="1" x14ac:dyDescent="0.3">
      <c r="B289" s="116" t="s">
        <v>1069</v>
      </c>
      <c r="C289" s="117">
        <f>COSEIDIcam</f>
        <v>236</v>
      </c>
      <c r="D289" s="117">
        <v>34</v>
      </c>
      <c r="E289" s="118">
        <f>D289/C289</f>
        <v>0.1440677966101695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92</v>
      </c>
      <c r="D293" s="54"/>
      <c r="E293" s="55">
        <f>C293/C292</f>
        <v>0.17794970986460348</v>
      </c>
      <c r="F293" s="148"/>
    </row>
    <row r="294" spans="2:6" x14ac:dyDescent="0.25">
      <c r="B294" s="53" t="s">
        <v>1250</v>
      </c>
      <c r="C294" s="67">
        <v>5</v>
      </c>
      <c r="D294" s="107">
        <v>87</v>
      </c>
      <c r="E294" s="55">
        <f>D294/C292</f>
        <v>0.16827852998065765</v>
      </c>
      <c r="F294" s="148"/>
    </row>
    <row r="295" spans="2:6" x14ac:dyDescent="0.25">
      <c r="B295" s="53" t="s">
        <v>1251</v>
      </c>
      <c r="C295" s="67">
        <v>6</v>
      </c>
      <c r="D295" s="107">
        <v>81</v>
      </c>
      <c r="E295" s="55">
        <f>D295/C292</f>
        <v>0.15667311411992263</v>
      </c>
      <c r="F295" s="148"/>
    </row>
    <row r="296" spans="2:6" x14ac:dyDescent="0.25">
      <c r="B296" s="53" t="s">
        <v>16</v>
      </c>
      <c r="C296" s="98">
        <v>21</v>
      </c>
      <c r="D296" s="107">
        <v>60</v>
      </c>
      <c r="E296" s="55">
        <f>D296/C292</f>
        <v>0.11605415860735009</v>
      </c>
      <c r="F296" s="148"/>
    </row>
    <row r="297" spans="2:6" ht="15.75" thickBot="1" x14ac:dyDescent="0.3">
      <c r="B297" s="56" t="s">
        <v>1472</v>
      </c>
      <c r="C297" s="135">
        <v>9</v>
      </c>
      <c r="D297" s="108">
        <v>51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281</v>
      </c>
      <c r="D299" s="119">
        <v>60</v>
      </c>
      <c r="E299" s="109">
        <f>D299/C299</f>
        <v>0.21352313167259787</v>
      </c>
      <c r="F299" s="148"/>
    </row>
    <row r="300" spans="2:6" ht="15.75" thickBot="1" x14ac:dyDescent="0.3">
      <c r="B300" s="116" t="s">
        <v>1069</v>
      </c>
      <c r="C300" s="117">
        <f>COSEIDIcam</f>
        <v>236</v>
      </c>
      <c r="D300" s="117">
        <v>32</v>
      </c>
      <c r="E300" s="118">
        <f>D300/C300</f>
        <v>0.13559322033898305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76</v>
      </c>
      <c r="D304" s="54"/>
      <c r="E304" s="55">
        <f>C304/C303</f>
        <v>0.14700193423597679</v>
      </c>
      <c r="F304" s="148"/>
    </row>
    <row r="305" spans="2:6" x14ac:dyDescent="0.25">
      <c r="B305" s="53" t="s">
        <v>1250</v>
      </c>
      <c r="C305" s="67">
        <v>5</v>
      </c>
      <c r="D305" s="107">
        <v>71</v>
      </c>
      <c r="E305" s="55">
        <f>D305/C303</f>
        <v>0.13733075435203096</v>
      </c>
      <c r="F305" s="148"/>
    </row>
    <row r="306" spans="2:6" x14ac:dyDescent="0.25">
      <c r="B306" s="53" t="s">
        <v>1251</v>
      </c>
      <c r="C306" s="67">
        <v>6</v>
      </c>
      <c r="D306" s="107">
        <v>65</v>
      </c>
      <c r="E306" s="55">
        <f>D306/C303</f>
        <v>0.12572533849129594</v>
      </c>
      <c r="F306" s="148"/>
    </row>
    <row r="307" spans="2:6" x14ac:dyDescent="0.25">
      <c r="B307" s="53" t="s">
        <v>16</v>
      </c>
      <c r="C307" s="98">
        <v>19</v>
      </c>
      <c r="D307" s="107">
        <v>46</v>
      </c>
      <c r="E307" s="55">
        <f>D307/C303</f>
        <v>8.8974854932301742E-2</v>
      </c>
      <c r="F307" s="148"/>
    </row>
    <row r="308" spans="2:6" ht="15.75" thickBot="1" x14ac:dyDescent="0.3">
      <c r="B308" s="56" t="s">
        <v>1472</v>
      </c>
      <c r="C308" s="135">
        <v>9</v>
      </c>
      <c r="D308" s="108">
        <v>37</v>
      </c>
      <c r="E308" s="74">
        <v>7.1599999999999997E-2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281</v>
      </c>
      <c r="D310" s="119">
        <v>35</v>
      </c>
      <c r="E310" s="109">
        <v>0.12</v>
      </c>
      <c r="F310" s="148"/>
    </row>
    <row r="311" spans="2:6" ht="15.75" thickBot="1" x14ac:dyDescent="0.3">
      <c r="B311" s="116" t="s">
        <v>1069</v>
      </c>
      <c r="C311" s="117">
        <f>COSEIDIcam</f>
        <v>236</v>
      </c>
      <c r="D311" s="117">
        <v>41</v>
      </c>
      <c r="E311" s="118">
        <v>0.17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1250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1251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1472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1069</v>
      </c>
      <c r="C322" s="117">
        <f>COSEIDIcam</f>
        <v>236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236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236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 t="str">
        <f>'RESUMEN TOTAL'!AL12</f>
        <v>APAGADO</v>
      </c>
      <c r="AG9" s="70" t="str">
        <f>'RESUMEN TOTAL'!AM12</f>
        <v>APAGADO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1541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 t="str">
        <f>'RESUMEN TOTAL'!AL18</f>
        <v>APAGADO</v>
      </c>
      <c r="AG15" s="70" t="str">
        <f>'RESUMEN TOTAL'!AM18</f>
        <v>APAGADO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 t="str">
        <f>'RESUMEN TOTAL'!AL22</f>
        <v>APAGADO</v>
      </c>
      <c r="AG17" s="70" t="str">
        <f>'RESUMEN TOTAL'!AM22</f>
        <v>APAGADO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 t="str">
        <f>'RESUMEN TOTAL'!AL24</f>
        <v>APAGADO</v>
      </c>
      <c r="AG19" s="70" t="str">
        <f>'RESUMEN TOTAL'!AM24</f>
        <v>APAGADO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 t="str">
        <f>'RESUMEN TOTAL'!AL25</f>
        <v>APAGADO</v>
      </c>
      <c r="AG20" s="70" t="str">
        <f>'RESUMEN TOTAL'!AM25</f>
        <v>APAGADO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 t="str">
        <f>'RESUMEN TOTAL'!AL26</f>
        <v>APAGADO</v>
      </c>
      <c r="AG21" s="70" t="str">
        <f>'RESUMEN TOTAL'!AM26</f>
        <v>APAGADO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 t="str">
        <f>'RESUMEN TOTAL'!AL27</f>
        <v>APAGADO</v>
      </c>
      <c r="AG22" s="70" t="str">
        <f>'RESUMEN TOTAL'!AM27</f>
        <v>APAGADO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 t="str">
        <f>'RESUMEN TOTAL'!AI40</f>
        <v>APAGADO</v>
      </c>
      <c r="AD29" s="70" t="str">
        <f>'RESUMEN TOTAL'!AJ40</f>
        <v>APAGADO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 t="str">
        <f>'RESUMEN TOTAL'!AI41</f>
        <v>APAGADO</v>
      </c>
      <c r="AD30" s="70" t="str">
        <f>'RESUMEN TOTAL'!AJ41</f>
        <v>APAGADO</v>
      </c>
      <c r="AE30" s="70" t="str">
        <f>'RESUMEN TOTAL'!AK41</f>
        <v>APAGADO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 t="str">
        <f>'RESUMEN TOTAL'!AI56</f>
        <v>APAGADO</v>
      </c>
      <c r="AD45" s="70" t="str">
        <f>'RESUMEN TOTAL'!AJ56</f>
        <v>APAGADO</v>
      </c>
      <c r="AE45" s="70" t="str">
        <f>'RESUMEN TOTAL'!AK56</f>
        <v>APAGADO</v>
      </c>
      <c r="AF45" s="70" t="str">
        <f>'RESUMEN TOTAL'!AL56</f>
        <v>APAGADO</v>
      </c>
      <c r="AG45" s="70" t="str">
        <f>'RESUMEN TOTAL'!AM56</f>
        <v>APAGADO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 t="str">
        <f>'RESUMEN TOTAL'!AI57</f>
        <v>APAGADO</v>
      </c>
      <c r="AD46" s="70" t="str">
        <f>'RESUMEN TOTAL'!AJ57</f>
        <v>APAGADO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 t="str">
        <f>'RESUMEN TOTAL'!AI59</f>
        <v>APAGADO</v>
      </c>
      <c r="AD48" s="70" t="str">
        <f>'RESUMEN TOTAL'!AJ59</f>
        <v>APAGADO</v>
      </c>
      <c r="AE48" s="70" t="str">
        <f>'RESUMEN TOTAL'!AK59</f>
        <v>APAGADO</v>
      </c>
      <c r="AF48" s="70" t="str">
        <f>'RESUMEN TOTAL'!AL59</f>
        <v>APAGADO</v>
      </c>
      <c r="AG48" s="70" t="str">
        <f>'RESUMEN TOTAL'!AM59</f>
        <v>APAGADO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 t="str">
        <f>'RESUMEN TOTAL'!AI65</f>
        <v>APAGADO</v>
      </c>
      <c r="AD54" s="70" t="str">
        <f>'RESUMEN TOTAL'!AJ65</f>
        <v>APAGADO</v>
      </c>
      <c r="AE54" s="70" t="str">
        <f>'RESUMEN TOTAL'!AK65</f>
        <v>APAGADO</v>
      </c>
      <c r="AF54" s="70" t="str">
        <f>'RESUMEN TOTAL'!AL65</f>
        <v>APAGADO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GPON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 t="str">
        <f>'RESUMEN TOTAL'!AI106</f>
        <v>APAGADO</v>
      </c>
      <c r="AD95" s="70" t="str">
        <f>'RESUMEN TOTAL'!AJ106</f>
        <v>APAGADO</v>
      </c>
      <c r="AE95" s="70" t="str">
        <f>'RESUMEN TOTAL'!AK106</f>
        <v>APAGADO</v>
      </c>
      <c r="AF95" s="70" t="str">
        <f>'RESUMEN TOTAL'!AL106</f>
        <v>APAGADO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 t="str">
        <f>'RESUMEN TOTAL'!AI107</f>
        <v>APAGADO</v>
      </c>
      <c r="AD96" s="70" t="str">
        <f>'RESUMEN TOTAL'!AJ107</f>
        <v>APAGADO</v>
      </c>
      <c r="AE96" s="70" t="str">
        <f>'RESUMEN TOTAL'!AK107</f>
        <v>APAGADO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 t="str">
        <f>'RESUMEN TOTAL'!AI109</f>
        <v>APAGADO</v>
      </c>
      <c r="AD98" s="70" t="str">
        <f>'RESUMEN TOTAL'!AJ109</f>
        <v>APAGADO</v>
      </c>
      <c r="AE98" s="70" t="str">
        <f>'RESUMEN TOTAL'!AK109</f>
        <v>APAGADO</v>
      </c>
      <c r="AF98" s="70" t="str">
        <f>'RESUMEN TOTAL'!AL109</f>
        <v>APAGADO</v>
      </c>
      <c r="AG98" s="70" t="str">
        <f>'RESUMEN TOTAL'!AM109</f>
        <v>APAGADO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 t="str">
        <f>'RESUMEN TOTAL'!AI110</f>
        <v>APAGADO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 t="str">
        <f>'RESUMEN TOTAL'!AI114</f>
        <v>APAGADO</v>
      </c>
      <c r="AD103" s="70" t="str">
        <f>'RESUMEN TOTAL'!AJ114</f>
        <v>APAGADO</v>
      </c>
      <c r="AE103" s="70" t="str">
        <f>'RESUMEN TOTAL'!AK114</f>
        <v>APAGADO</v>
      </c>
      <c r="AF103" s="70" t="str">
        <f>'RESUMEN TOTAL'!AL114</f>
        <v>APAGADO</v>
      </c>
      <c r="AG103" s="70" t="str">
        <f>'RESUMEN TOTAL'!AM114</f>
        <v>APAGADO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 t="str">
        <f>'RESUMEN TOTAL'!AI115</f>
        <v>APAGADO</v>
      </c>
      <c r="AD104" s="70" t="str">
        <f>'RESUMEN TOTAL'!AJ115</f>
        <v>APAGADO</v>
      </c>
      <c r="AE104" s="70" t="str">
        <f>'RESUMEN TOTAL'!AK115</f>
        <v>APAGADO</v>
      </c>
      <c r="AF104" s="70" t="str">
        <f>'RESUMEN TOTAL'!AL115</f>
        <v>APAGADO</v>
      </c>
      <c r="AG104" s="70" t="str">
        <f>'RESUMEN TOTAL'!AM115</f>
        <v>APAGADO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 t="str">
        <f>'RESUMEN TOTAL'!AM117</f>
        <v>APAGADO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 t="str">
        <f>'RESUMEN TOTAL'!AI119</f>
        <v>APAGADO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 t="str">
        <f>'RESUMEN TOTAL'!AI131</f>
        <v>APAGADO</v>
      </c>
      <c r="AD111" s="70">
        <f>'RESUMEN TOTAL'!AJ131</f>
        <v>0</v>
      </c>
      <c r="AE111" s="70" t="str">
        <f>'RESUMEN TOTAL'!AK131</f>
        <v>APAGADO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 t="str">
        <f>'RESUMEN TOTAL'!AJ139</f>
        <v>APAGADO</v>
      </c>
      <c r="AE119" s="70" t="str">
        <f>'RESUMEN TOTAL'!AK139</f>
        <v>APAGADO</v>
      </c>
      <c r="AF119" s="70" t="str">
        <f>'RESUMEN TOTAL'!AL139</f>
        <v>APAGADO</v>
      </c>
      <c r="AG119" s="70" t="str">
        <f>'RESUMEN TOTAL'!AM139</f>
        <v>APAGADO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 t="str">
        <f>'RESUMEN TOTAL'!AI142</f>
        <v>APAGADO</v>
      </c>
      <c r="AD122" s="70" t="str">
        <f>'RESUMEN TOTAL'!AJ142</f>
        <v>APAGADO</v>
      </c>
      <c r="AE122" s="70" t="str">
        <f>'RESUMEN TOTAL'!AK142</f>
        <v>APAGADO</v>
      </c>
      <c r="AF122" s="70" t="str">
        <f>'RESUMEN TOTAL'!AL142</f>
        <v>APAGADO</v>
      </c>
      <c r="AG122" s="70" t="str">
        <f>'RESUMEN TOTAL'!AM142</f>
        <v>APAGADO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 t="str">
        <f>'RESUMEN TOTAL'!AI143</f>
        <v>APAGADO</v>
      </c>
      <c r="AD123" s="70" t="str">
        <f>'RESUMEN TOTAL'!AJ143</f>
        <v>APAGADO</v>
      </c>
      <c r="AE123" s="70" t="str">
        <f>'RESUMEN TOTAL'!AK143</f>
        <v>APAGADO</v>
      </c>
      <c r="AF123" s="70" t="str">
        <f>'RESUMEN TOTAL'!AL143</f>
        <v>APAGADO</v>
      </c>
      <c r="AG123" s="70" t="str">
        <f>'RESUMEN TOTAL'!AM143</f>
        <v>APAGADO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 t="str">
        <f>'RESUMEN TOTAL'!AI149</f>
        <v>APAGADO</v>
      </c>
      <c r="AD126" s="70" t="str">
        <f>'RESUMEN TOTAL'!AJ149</f>
        <v>APAGADO</v>
      </c>
      <c r="AE126" s="70">
        <f>'RESUMEN TOTAL'!AK149</f>
        <v>0</v>
      </c>
      <c r="AF126" s="70">
        <f>'RESUMEN TOTAL'!AL149</f>
        <v>0</v>
      </c>
      <c r="AG126" s="70" t="str">
        <f>'RESUMEN TOTAL'!AM149</f>
        <v>APAGADO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 t="str">
        <f>'RESUMEN TOTAL'!AM150</f>
        <v>APAGADO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 t="str">
        <f>'RESUMEN TOTAL'!AM151</f>
        <v>APAGADO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 t="str">
        <f>'RESUMEN TOTAL'!AM152</f>
        <v>APAGADO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 t="str">
        <f>'RESUMEN TOTAL'!AM174</f>
        <v>APAGADO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 t="str">
        <f>'RESUMEN TOTAL'!AM175</f>
        <v>APAGADO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 t="str">
        <f>'RESUMEN TOTAL'!AI176</f>
        <v>APAGADO</v>
      </c>
      <c r="AD148" s="70" t="str">
        <f>'RESUMEN TOTAL'!AJ176</f>
        <v>APAGADO</v>
      </c>
      <c r="AE148" s="70" t="str">
        <f>'RESUMEN TOTAL'!AK176</f>
        <v>APAGADO</v>
      </c>
      <c r="AF148" s="70" t="str">
        <f>'RESUMEN TOTAL'!AL176</f>
        <v>APAGADO</v>
      </c>
      <c r="AG148" s="70" t="str">
        <f>'RESUMEN TOTAL'!AM176</f>
        <v>APAGADO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 t="str">
        <f>'RESUMEN TOTAL'!AJ179</f>
        <v>APAGADO</v>
      </c>
      <c r="AE151" s="70" t="str">
        <f>'RESUMEN TOTAL'!AK179</f>
        <v>APAGADO</v>
      </c>
      <c r="AF151" s="70" t="str">
        <f>'RESUMEN TOTAL'!AL179</f>
        <v>APAGADO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 t="str">
        <f>'RESUMEN TOTAL'!AI180</f>
        <v>APAGADO</v>
      </c>
      <c r="AD152" s="70" t="str">
        <f>'RESUMEN TOTAL'!AJ180</f>
        <v>APAGADO</v>
      </c>
      <c r="AE152" s="70" t="str">
        <f>'RESUMEN TOTAL'!AK180</f>
        <v>APAGADO</v>
      </c>
      <c r="AF152" s="70" t="str">
        <f>'RESUMEN TOTAL'!AL180</f>
        <v>APAGADO</v>
      </c>
      <c r="AG152" s="70" t="str">
        <f>'RESUMEN TOTAL'!AM180</f>
        <v>APAGADO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 t="str">
        <f>'RESUMEN TOTAL'!AI181</f>
        <v>APAGADO</v>
      </c>
      <c r="AD153" s="70" t="str">
        <f>'RESUMEN TOTAL'!AJ181</f>
        <v>APAGADO</v>
      </c>
      <c r="AE153" s="70" t="str">
        <f>'RESUMEN TOTAL'!AK181</f>
        <v>APAGADO</v>
      </c>
      <c r="AF153" s="70" t="str">
        <f>'RESUMEN TOTAL'!AL181</f>
        <v>APAGADO</v>
      </c>
      <c r="AG153" s="70" t="str">
        <f>'RESUMEN TOTAL'!AM181</f>
        <v>APAGADO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 t="str">
        <f>'RESUMEN TOTAL'!AI182</f>
        <v>APAGADO</v>
      </c>
      <c r="AD154" s="70" t="str">
        <f>'RESUMEN TOTAL'!AJ182</f>
        <v>APAGADO</v>
      </c>
      <c r="AE154" s="70" t="str">
        <f>'RESUMEN TOTAL'!AK182</f>
        <v>APAGADO</v>
      </c>
      <c r="AF154" s="70" t="str">
        <f>'RESUMEN TOTAL'!AL182</f>
        <v>APAGADO</v>
      </c>
      <c r="AG154" s="70" t="str">
        <f>'RESUMEN TOTAL'!AM182</f>
        <v>APAGADO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Fibra Optica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 t="str">
        <f>'RESUMEN TOTAL'!AI183</f>
        <v>APAGADO</v>
      </c>
      <c r="AD155" s="70" t="str">
        <f>'RESUMEN TOTAL'!AJ183</f>
        <v>APAGADO</v>
      </c>
      <c r="AE155" s="70" t="str">
        <f>'RESUMEN TOTAL'!AK183</f>
        <v>APAGADO</v>
      </c>
      <c r="AF155" s="70">
        <f>'RESUMEN TOTAL'!AL183</f>
        <v>0</v>
      </c>
      <c r="AG155" s="70" t="str">
        <f>'RESUMEN TOTAL'!AM183</f>
        <v>APAGADO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 t="str">
        <f>'RESUMEN TOTAL'!AJ184</f>
        <v>APAGADO</v>
      </c>
      <c r="AE156" s="70" t="str">
        <f>'RESUMEN TOTAL'!AK184</f>
        <v>APAGADO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 t="str">
        <f>'RESUMEN TOTAL'!AJ185</f>
        <v>APAGADO</v>
      </c>
      <c r="AE157" s="70" t="str">
        <f>'RESUMEN TOTAL'!AK185</f>
        <v>APAGADO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 t="str">
        <f>'RESUMEN TOTAL'!AI212</f>
        <v>APAGADO</v>
      </c>
      <c r="AD180" s="70" t="str">
        <f>'RESUMEN TOTAL'!AJ212</f>
        <v>APAGADO</v>
      </c>
      <c r="AE180" s="70" t="str">
        <f>'RESUMEN TOTAL'!AK212</f>
        <v>APAGADO</v>
      </c>
      <c r="AF180" s="70" t="str">
        <f>'RESUMEN TOTAL'!AL212</f>
        <v>APAGADO</v>
      </c>
      <c r="AG180" s="70" t="str">
        <f>'RESUMEN TOTAL'!AM212</f>
        <v>APAGADO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 t="str">
        <f>'RESUMEN TOTAL'!AI214</f>
        <v>APAGADO</v>
      </c>
      <c r="AD182" s="70" t="str">
        <f>'RESUMEN TOTAL'!AJ214</f>
        <v>APAGADO</v>
      </c>
      <c r="AE182" s="70" t="str">
        <f>'RESUMEN TOTAL'!AK214</f>
        <v>APAGADO</v>
      </c>
      <c r="AF182" s="70" t="str">
        <f>'RESUMEN TOTAL'!AL214</f>
        <v>APAGADO</v>
      </c>
      <c r="AG182" s="70" t="str">
        <f>'RESUMEN TOTAL'!AM214</f>
        <v>APAGADO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 t="str">
        <f>'RESUMEN TOTAL'!AI215</f>
        <v>APAGADO</v>
      </c>
      <c r="AD183" s="70" t="str">
        <f>'RESUMEN TOTAL'!AJ215</f>
        <v>APAGADO</v>
      </c>
      <c r="AE183" s="70" t="str">
        <f>'RESUMEN TOTAL'!AK215</f>
        <v>APAGADO</v>
      </c>
      <c r="AF183" s="70" t="str">
        <f>'RESUMEN TOTAL'!AL215</f>
        <v>APAGADO</v>
      </c>
      <c r="AG183" s="70" t="str">
        <f>'RESUMEN TOTAL'!AM215</f>
        <v>APAGADO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 t="str">
        <f>'RESUMEN TOTAL'!AI225</f>
        <v>APAGADO</v>
      </c>
      <c r="AD193" s="70" t="str">
        <f>'RESUMEN TOTAL'!AJ225</f>
        <v>APAGADO</v>
      </c>
      <c r="AE193" s="70" t="str">
        <f>'RESUMEN TOTAL'!AK225</f>
        <v>APAGADO</v>
      </c>
      <c r="AF193" s="70" t="str">
        <f>'RESUMEN TOTAL'!AL225</f>
        <v>APAGADO</v>
      </c>
      <c r="AG193" s="70" t="str">
        <f>'RESUMEN TOTAL'!AM225</f>
        <v>APAGADO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 t="str">
        <f>'RESUMEN TOTAL'!AI226</f>
        <v>APAGADO</v>
      </c>
      <c r="AD194" s="70" t="str">
        <f>'RESUMEN TOTAL'!AJ226</f>
        <v>APAGADO</v>
      </c>
      <c r="AE194" s="70" t="str">
        <f>'RESUMEN TOTAL'!AK226</f>
        <v>APAGADO</v>
      </c>
      <c r="AF194" s="70" t="str">
        <f>'RESUMEN TOTAL'!AL226</f>
        <v>APAGADO</v>
      </c>
      <c r="AG194" s="70" t="str">
        <f>'RESUMEN TOTAL'!AM226</f>
        <v>APAGADO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 t="str">
        <f>'RESUMEN TOTAL'!AI227</f>
        <v>APAGADO</v>
      </c>
      <c r="AD195" s="70" t="str">
        <f>'RESUMEN TOTAL'!AJ227</f>
        <v>APAGADO</v>
      </c>
      <c r="AE195" s="70" t="str">
        <f>'RESUMEN TOTAL'!AK227</f>
        <v>APAGADO</v>
      </c>
      <c r="AF195" s="70" t="str">
        <f>'RESUMEN TOTAL'!AL227</f>
        <v>APAGADO</v>
      </c>
      <c r="AG195" s="70" t="str">
        <f>'RESUMEN TOTAL'!AM227</f>
        <v>APAGADO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 t="str">
        <f>'RESUMEN TOTAL'!AI228</f>
        <v>APAGADO</v>
      </c>
      <c r="AD196" s="70" t="str">
        <f>'RESUMEN TOTAL'!AJ228</f>
        <v>APAGADO</v>
      </c>
      <c r="AE196" s="70" t="str">
        <f>'RESUMEN TOTAL'!AK228</f>
        <v>APAGADO</v>
      </c>
      <c r="AF196" s="70" t="str">
        <f>'RESUMEN TOTAL'!AL228</f>
        <v>APAGADO</v>
      </c>
      <c r="AG196" s="70" t="str">
        <f>'RESUMEN TOTAL'!AM228</f>
        <v>APAGADO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 t="str">
        <f>'RESUMEN TOTAL'!AI234</f>
        <v>APAGADO</v>
      </c>
      <c r="AD202" s="70" t="str">
        <f>'RESUMEN TOTAL'!AJ234</f>
        <v>APAGADO</v>
      </c>
      <c r="AE202" s="70" t="str">
        <f>'RESUMEN TOTAL'!AK234</f>
        <v>APAGADO</v>
      </c>
      <c r="AF202" s="70" t="str">
        <f>'RESUMEN TOTAL'!AL234</f>
        <v>APAGADO</v>
      </c>
      <c r="AG202" s="70" t="str">
        <f>'RESUMEN TOTAL'!AM234</f>
        <v>APAGADO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 t="str">
        <f>'RESUMEN TOTAL'!AI237</f>
        <v>APAGADO</v>
      </c>
      <c r="AD205" s="70" t="str">
        <f>'RESUMEN TOTAL'!AJ237</f>
        <v>APAGADO</v>
      </c>
      <c r="AE205" s="70" t="str">
        <f>'RESUMEN TOTAL'!AK237</f>
        <v>APAGADO</v>
      </c>
      <c r="AF205" s="70" t="str">
        <f>'RESUMEN TOTAL'!AL237</f>
        <v>APAGADO</v>
      </c>
      <c r="AG205" s="70" t="str">
        <f>'RESUMEN TOTAL'!AM237</f>
        <v>APAGADO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 t="str">
        <f>'RESUMEN TOTAL'!AI238</f>
        <v>APAGADO</v>
      </c>
      <c r="AD206" s="70" t="str">
        <f>'RESUMEN TOTAL'!AJ238</f>
        <v>APAGADO</v>
      </c>
      <c r="AE206" s="70" t="str">
        <f>'RESUMEN TOTAL'!AK238</f>
        <v>APAGADO</v>
      </c>
      <c r="AF206" s="70" t="str">
        <f>'RESUMEN TOTAL'!AL238</f>
        <v>APAGADO</v>
      </c>
      <c r="AG206" s="70" t="str">
        <f>'RESUMEN TOTAL'!AM238</f>
        <v>APAGADO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 t="str">
        <f>'RESUMEN TOTAL'!AL244</f>
        <v>APAGADO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 t="str">
        <f>'RESUMEN TOTAL'!AI245</f>
        <v>APAGADO</v>
      </c>
      <c r="AD213" s="70" t="str">
        <f>'RESUMEN TOTAL'!AJ245</f>
        <v>APAGADO</v>
      </c>
      <c r="AE213" s="70" t="str">
        <f>'RESUMEN TOTAL'!AK245</f>
        <v>APAGADO</v>
      </c>
      <c r="AF213" s="70" t="str">
        <f>'RESUMEN TOTAL'!AL245</f>
        <v>APAGADO</v>
      </c>
      <c r="AG213" s="70" t="str">
        <f>'RESUMEN TOTAL'!AM245</f>
        <v>APAGADO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 t="str">
        <f>'RESUMEN TOTAL'!AI247</f>
        <v>APAGADO</v>
      </c>
      <c r="AD215" s="70" t="str">
        <f>'RESUMEN TOTAL'!AJ247</f>
        <v>APAGADO</v>
      </c>
      <c r="AE215" s="70" t="str">
        <f>'RESUMEN TOTAL'!AK247</f>
        <v>APAGADO</v>
      </c>
      <c r="AF215" s="70" t="str">
        <f>'RESUMEN TOTAL'!AL247</f>
        <v>APAGADO</v>
      </c>
      <c r="AG215" s="70" t="str">
        <f>'RESUMEN TOTAL'!AM247</f>
        <v>APAGADO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 t="str">
        <f>'RESUMEN TOTAL'!AI252</f>
        <v>APAGADO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 t="str">
        <f>'RESUMEN TOTAL'!AI255</f>
        <v>APAGADO</v>
      </c>
      <c r="AD221" s="70" t="str">
        <f>'RESUMEN TOTAL'!AJ255</f>
        <v>APAGADO</v>
      </c>
      <c r="AE221" s="70" t="str">
        <f>'RESUMEN TOTAL'!AK255</f>
        <v>APAGADO</v>
      </c>
      <c r="AF221" s="70" t="str">
        <f>'RESUMEN TOTAL'!AL255</f>
        <v>APAGADO</v>
      </c>
      <c r="AG221" s="70" t="str">
        <f>'RESUMEN TOTAL'!AM255</f>
        <v>APAGADO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 t="str">
        <f>'RESUMEN TOTAL'!AJ257</f>
        <v>APAGADO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 t="str">
        <f>'RESUMEN TOTAL'!AI260</f>
        <v>APAGADO</v>
      </c>
      <c r="AD226" s="70" t="str">
        <f>'RESUMEN TOTAL'!AJ260</f>
        <v>APAGADO</v>
      </c>
      <c r="AE226" s="70" t="str">
        <f>'RESUMEN TOTAL'!AK260</f>
        <v>APAGADO</v>
      </c>
      <c r="AF226" s="70" t="str">
        <f>'RESUMEN TOTAL'!AL260</f>
        <v>APAGADO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 t="str">
        <f>'RESUMEN TOTAL'!AI273</f>
        <v>APAGADO</v>
      </c>
      <c r="AD237" s="70" t="str">
        <f>'RESUMEN TOTAL'!AJ273</f>
        <v>APAGADO</v>
      </c>
      <c r="AE237" s="70" t="str">
        <f>'RESUMEN TOTAL'!AK273</f>
        <v>APAGADO</v>
      </c>
      <c r="AF237" s="70" t="str">
        <f>'RESUMEN TOTAL'!AL273</f>
        <v>APAGADO</v>
      </c>
      <c r="AG237" s="70" t="str">
        <f>'RESUMEN TOTAL'!AM273</f>
        <v>APAGADO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 t="str">
        <f>'RESUMEN TOTAL'!AM274</f>
        <v>APAGADO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 t="str">
        <f>'RESUMEN TOTAL'!AM275</f>
        <v>APAGADO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 t="str">
        <f>'RESUMEN TOTAL'!AI277</f>
        <v>APAGADO</v>
      </c>
      <c r="AD241" s="70" t="str">
        <f>'RESUMEN TOTAL'!AJ277</f>
        <v>APAGADO</v>
      </c>
      <c r="AE241" s="70" t="str">
        <f>'RESUMEN TOTAL'!AK277</f>
        <v>APAGADO</v>
      </c>
      <c r="AF241" s="70" t="str">
        <f>'RESUMEN TOTAL'!AL277</f>
        <v>APAGADO</v>
      </c>
      <c r="AG241" s="70" t="str">
        <f>'RESUMEN TOTAL'!AM277</f>
        <v>APAGADO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 t="str">
        <f>'RESUMEN TOTAL'!AI278</f>
        <v>APAGADO</v>
      </c>
      <c r="AD242" s="70" t="str">
        <f>'RESUMEN TOTAL'!AJ278</f>
        <v>APAGADO</v>
      </c>
      <c r="AE242" s="70" t="str">
        <f>'RESUMEN TOTAL'!AK278</f>
        <v>APAGADO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 t="str">
        <f>'RESUMEN TOTAL'!AI279</f>
        <v>APAGADO</v>
      </c>
      <c r="AD243" s="70" t="str">
        <f>'RESUMEN TOTAL'!AJ279</f>
        <v>APAGADO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 t="str">
        <f>'RESUMEN TOTAL'!AI285</f>
        <v>APAGADO</v>
      </c>
      <c r="AD249" s="70" t="str">
        <f>'RESUMEN TOTAL'!AJ285</f>
        <v>APAGADO</v>
      </c>
      <c r="AE249" s="70" t="str">
        <f>'RESUMEN TOTAL'!AK285</f>
        <v>APAGADO</v>
      </c>
      <c r="AF249" s="70" t="str">
        <f>'RESUMEN TOTAL'!AL285</f>
        <v>APAGADO</v>
      </c>
      <c r="AG249" s="70" t="str">
        <f>'RESUMEN TOTAL'!AM285</f>
        <v>APAGADO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 t="str">
        <f>'RESUMEN TOTAL'!AJ286</f>
        <v>APAGADO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 t="str">
        <f>'RESUMEN TOTAL'!AI307</f>
        <v>APAGADO</v>
      </c>
      <c r="AD267" s="70" t="str">
        <f>'RESUMEN TOTAL'!AJ307</f>
        <v>APAGADO</v>
      </c>
      <c r="AE267" s="70" t="str">
        <f>'RESUMEN TOTAL'!AK307</f>
        <v>APAGADO</v>
      </c>
      <c r="AF267" s="70" t="str">
        <f>'RESUMEN TOTAL'!AL307</f>
        <v>APAGADO</v>
      </c>
      <c r="AG267" s="70" t="str">
        <f>'RESUMEN TOTAL'!AM307</f>
        <v>APAGADO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 t="str">
        <f>'RESUMEN TOTAL'!AL329</f>
        <v>APAGADO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 t="str">
        <f>'RESUMEN TOTAL'!AL330</f>
        <v>APAGADO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 t="str">
        <f>'RESUMEN TOTAL'!AL338</f>
        <v>APAGADO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 t="str">
        <f>'RESUMEN TOTAL'!AL341</f>
        <v>APAGADO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 t="str">
        <f>'RESUMEN TOTAL'!AL343</f>
        <v>APAGADO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 t="str">
        <f>'RESUMEN TOTAL'!AL344</f>
        <v>APAGADO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 t="str">
        <f>'RESUMEN TOTAL'!AL345</f>
        <v>APAGADO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 t="str">
        <f>'RESUMEN TOTAL'!AI347</f>
        <v>APAGADO</v>
      </c>
      <c r="AD301" s="70" t="str">
        <f>'RESUMEN TOTAL'!AJ347</f>
        <v>APAGADO</v>
      </c>
      <c r="AE301" s="70" t="str">
        <f>'RESUMEN TOTAL'!AK347</f>
        <v>APAGADO</v>
      </c>
      <c r="AF301" s="70" t="str">
        <f>'RESUMEN TOTAL'!AL347</f>
        <v>APAGADO</v>
      </c>
      <c r="AG301" s="70" t="str">
        <f>'RESUMEN TOTAL'!AM347</f>
        <v>APAGADO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 t="str">
        <f>'RESUMEN TOTAL'!AI348</f>
        <v>APAGADO</v>
      </c>
      <c r="AD302" s="70" t="str">
        <f>'RESUMEN TOTAL'!AJ348</f>
        <v>APAGADO</v>
      </c>
      <c r="AE302" s="70" t="str">
        <f>'RESUMEN TOTAL'!AK348</f>
        <v>APAGADO</v>
      </c>
      <c r="AF302" s="70" t="str">
        <f>'RESUMEN TOTAL'!AL348</f>
        <v>APAGADO</v>
      </c>
      <c r="AG302" s="70" t="str">
        <f>'RESUMEN TOTAL'!AM348</f>
        <v>APAGADO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 t="str">
        <f>'RESUMEN TOTAL'!AL350</f>
        <v>APAGADO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 t="str">
        <f>'RESUMEN TOTAL'!AL351</f>
        <v>APAGADO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 t="str">
        <f>'RESUMEN TOTAL'!AL352</f>
        <v>APAGADO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 t="str">
        <f>'RESUMEN TOTAL'!AL353</f>
        <v>APAGADO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 t="str">
        <f>'RESUMEN TOTAL'!AL354</f>
        <v>APAGADO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 t="str">
        <f>'RESUMEN TOTAL'!AL355</f>
        <v>APAGADO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 t="str">
        <f>'RESUMEN TOTAL'!AL356</f>
        <v>APAGADO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 t="str">
        <f>'RESUMEN TOTAL'!AL357</f>
        <v>APAGADO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 t="str">
        <f>'RESUMEN TOTAL'!AL358</f>
        <v>APAGADO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 t="str">
        <f>'RESUMEN TOTAL'!AL359</f>
        <v>APAGADO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 t="str">
        <f>'RESUMEN TOTAL'!AL360</f>
        <v>APAGADO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 t="str">
        <f>'RESUMEN TOTAL'!AI361</f>
        <v>APAGADO</v>
      </c>
      <c r="AD315" s="70" t="str">
        <f>'RESUMEN TOTAL'!AJ361</f>
        <v>APAGADO</v>
      </c>
      <c r="AE315" s="70" t="str">
        <f>'RESUMEN TOTAL'!AK361</f>
        <v>APAGADO</v>
      </c>
      <c r="AF315" s="70" t="str">
        <f>'RESUMEN TOTAL'!AL361</f>
        <v>APAGADO</v>
      </c>
      <c r="AG315" s="70" t="str">
        <f>'RESUMEN TOTAL'!AM361</f>
        <v>APAGADO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 t="str">
        <f>'RESUMEN TOTAL'!AI371</f>
        <v>APAGADO</v>
      </c>
      <c r="AD322" s="70" t="str">
        <f>'RESUMEN TOTAL'!AJ371</f>
        <v>APAGADO</v>
      </c>
      <c r="AE322" s="70" t="str">
        <f>'RESUMEN TOTAL'!AK371</f>
        <v>APAGADO</v>
      </c>
      <c r="AF322" s="70" t="str">
        <f>'RESUMEN TOTAL'!AL371</f>
        <v>APAGADO</v>
      </c>
      <c r="AG322" s="70" t="str">
        <f>'RESUMEN TOTAL'!AM371</f>
        <v>APAGADO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 t="str">
        <f>'RESUMEN TOTAL'!AI372</f>
        <v>APAGADO</v>
      </c>
      <c r="AD323" s="70" t="str">
        <f>'RESUMEN TOTAL'!AJ372</f>
        <v>APAGADO</v>
      </c>
      <c r="AE323" s="70" t="str">
        <f>'RESUMEN TOTAL'!AK372</f>
        <v>APAGADO</v>
      </c>
      <c r="AF323" s="70" t="str">
        <f>'RESUMEN TOTAL'!AL372</f>
        <v>APAGADO</v>
      </c>
      <c r="AG323" s="70" t="str">
        <f>'RESUMEN TOTAL'!AM372</f>
        <v>APAGADO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 t="str">
        <f>'RESUMEN TOTAL'!AI377</f>
        <v>APAGADO</v>
      </c>
      <c r="AD326" s="70" t="str">
        <f>'RESUMEN TOTAL'!AJ377</f>
        <v>APAGADO</v>
      </c>
      <c r="AE326" s="70" t="str">
        <f>'RESUMEN TOTAL'!AK377</f>
        <v>APAGADO</v>
      </c>
      <c r="AF326" s="70" t="str">
        <f>'RESUMEN TOTAL'!AL377</f>
        <v>APAGADO</v>
      </c>
      <c r="AG326" s="70" t="str">
        <f>'RESUMEN TOTAL'!AM377</f>
        <v>APAGADO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 t="str">
        <f>'RESUMEN TOTAL'!AI382</f>
        <v>APAGADO</v>
      </c>
      <c r="AD329" s="70" t="str">
        <f>'RESUMEN TOTAL'!AJ382</f>
        <v>APAGADO</v>
      </c>
      <c r="AE329" s="70" t="str">
        <f>'RESUMEN TOTAL'!AK382</f>
        <v>APAGADO</v>
      </c>
      <c r="AF329" s="70" t="str">
        <f>'RESUMEN TOTAL'!AL382</f>
        <v>APAGADO</v>
      </c>
      <c r="AG329" s="70" t="str">
        <f>'RESUMEN TOTAL'!AM382</f>
        <v>APAGADO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GPON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 t="str">
        <f>'RESUMEN TOTAL'!AI385</f>
        <v>APAGADO</v>
      </c>
      <c r="AD332" s="70" t="str">
        <f>'RESUMEN TOTAL'!AJ385</f>
        <v>APAGADO</v>
      </c>
      <c r="AE332" s="70" t="str">
        <f>'RESUMEN TOTAL'!AK385</f>
        <v>APAGADO</v>
      </c>
      <c r="AF332" s="70" t="str">
        <f>'RESUMEN TOTAL'!AL385</f>
        <v>APAGADO</v>
      </c>
      <c r="AG332" s="70" t="str">
        <f>'RESUMEN TOTAL'!AM385</f>
        <v>APAGADO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 t="str">
        <f>'RESUMEN TOTAL'!AK395</f>
        <v>APAGADO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 t="str">
        <f>'RESUMEN TOTAL'!AI403</f>
        <v>APAGADO</v>
      </c>
      <c r="AD348" s="70" t="str">
        <f>'RESUMEN TOTAL'!AJ403</f>
        <v>APAGADO</v>
      </c>
      <c r="AE348" s="70" t="str">
        <f>'RESUMEN TOTAL'!AK403</f>
        <v>APAGADO</v>
      </c>
      <c r="AF348" s="70" t="str">
        <f>'RESUMEN TOTAL'!AL403</f>
        <v>APAGADO</v>
      </c>
      <c r="AG348" s="70" t="str">
        <f>'RESUMEN TOTAL'!AM403</f>
        <v>APAGADO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 t="str">
        <f>'RESUMEN TOTAL'!AI404</f>
        <v>APAGADO</v>
      </c>
      <c r="AD349" s="70" t="str">
        <f>'RESUMEN TOTAL'!AJ404</f>
        <v>APAGADO</v>
      </c>
      <c r="AE349" s="70" t="str">
        <f>'RESUMEN TOTAL'!AK404</f>
        <v>APAGADO</v>
      </c>
      <c r="AF349" s="70" t="str">
        <f>'RESUMEN TOTAL'!AL404</f>
        <v>APAGADO</v>
      </c>
      <c r="AG349" s="70" t="str">
        <f>'RESUMEN TOTAL'!AM404</f>
        <v>APAGADO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 t="str">
        <f>'RESUMEN TOTAL'!AI408</f>
        <v>APAGADO</v>
      </c>
      <c r="AD353" s="70" t="str">
        <f>'RESUMEN TOTAL'!AJ408</f>
        <v>APAGADO</v>
      </c>
      <c r="AE353" s="70">
        <f>'RESUMEN TOTAL'!AK408</f>
        <v>0</v>
      </c>
      <c r="AF353" s="70" t="str">
        <f>'RESUMEN TOTAL'!AL408</f>
        <v>APAGADO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 t="str">
        <f>'RESUMEN TOTAL'!AI409</f>
        <v>APAGADO</v>
      </c>
      <c r="AD354" s="70" t="str">
        <f>'RESUMEN TOTAL'!AJ409</f>
        <v>APAGADO</v>
      </c>
      <c r="AE354" s="70" t="str">
        <f>'RESUMEN TOTAL'!AK409</f>
        <v>APAGADO</v>
      </c>
      <c r="AF354" s="70" t="str">
        <f>'RESUMEN TOTAL'!AL409</f>
        <v>APAGADO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 t="str">
        <f>'RESUMEN TOTAL'!AI415</f>
        <v>APAGADO</v>
      </c>
      <c r="AD360" s="70" t="str">
        <f>'RESUMEN TOTAL'!AJ415</f>
        <v>APAGADO</v>
      </c>
      <c r="AE360" s="70" t="str">
        <f>'RESUMEN TOTAL'!AK415</f>
        <v>APAGADO</v>
      </c>
      <c r="AF360" s="70" t="str">
        <f>'RESUMEN TOTAL'!AL415</f>
        <v>APAGADO</v>
      </c>
      <c r="AG360" s="70" t="str">
        <f>'RESUMEN TOTAL'!AM415</f>
        <v>APAGADO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 t="str">
        <f>'RESUMEN TOTAL'!AI418</f>
        <v>APAGADO</v>
      </c>
      <c r="AD363" s="70" t="str">
        <f>'RESUMEN TOTAL'!AJ418</f>
        <v>APAGADO</v>
      </c>
      <c r="AE363" s="70" t="str">
        <f>'RESUMEN TOTAL'!AK418</f>
        <v>APAGADO</v>
      </c>
      <c r="AF363" s="70" t="str">
        <f>'RESUMEN TOTAL'!AL418</f>
        <v>APAGADO</v>
      </c>
      <c r="AG363" s="70" t="str">
        <f>'RESUMEN TOTAL'!AM418</f>
        <v>APAGADO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 t="str">
        <f>'RESUMEN TOTAL'!AI424</f>
        <v>APAGADO</v>
      </c>
      <c r="AD369" s="70" t="str">
        <f>'RESUMEN TOTAL'!AJ424</f>
        <v>APAGADO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 t="str">
        <f>'RESUMEN TOTAL'!AI425</f>
        <v>APAGADO</v>
      </c>
      <c r="AD370" s="70" t="str">
        <f>'RESUMEN TOTAL'!AJ425</f>
        <v>APAGADO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 t="str">
        <f>'RESUMEN TOTAL'!AI428</f>
        <v>APAGADO</v>
      </c>
      <c r="AD373" s="70" t="str">
        <f>'RESUMEN TOTAL'!AJ428</f>
        <v>APAGADO</v>
      </c>
      <c r="AE373" s="70" t="str">
        <f>'RESUMEN TOTAL'!AK428</f>
        <v>APAGADO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 t="str">
        <f>'RESUMEN TOTAL'!AI429</f>
        <v>APAGADO</v>
      </c>
      <c r="AD374" s="70" t="str">
        <f>'RESUMEN TOTAL'!AJ429</f>
        <v>APAGADO</v>
      </c>
      <c r="AE374" s="70" t="str">
        <f>'RESUMEN TOTAL'!AK429</f>
        <v>APAGADO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 t="str">
        <f>'RESUMEN TOTAL'!AI439</f>
        <v>APAGADO</v>
      </c>
      <c r="AD382" s="70" t="str">
        <f>'RESUMEN TOTAL'!AJ439</f>
        <v>APAGADO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 t="str">
        <f>'RESUMEN TOTAL'!AI440</f>
        <v>APAGADO</v>
      </c>
      <c r="AD383" s="70" t="str">
        <f>'RESUMEN TOTAL'!AJ440</f>
        <v>APAGADO</v>
      </c>
      <c r="AE383" s="70" t="str">
        <f>'RESUMEN TOTAL'!AK440</f>
        <v>APAGADO</v>
      </c>
      <c r="AF383" s="70" t="str">
        <f>'RESUMEN TOTAL'!AL440</f>
        <v>APAGADO</v>
      </c>
      <c r="AG383" s="70" t="str">
        <f>'RESUMEN TOTAL'!AM440</f>
        <v>APAGADO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 t="str">
        <f>'RESUMEN TOTAL'!AL478</f>
        <v>APAGADO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 t="str">
        <f>'RESUMEN TOTAL'!AL479</f>
        <v>APAGADO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 t="str">
        <f>'RESUMEN TOTAL'!AI480</f>
        <v>APAGADO</v>
      </c>
      <c r="AD420" s="70" t="str">
        <f>'RESUMEN TOTAL'!AJ480</f>
        <v>APAGADO</v>
      </c>
      <c r="AE420" s="70" t="str">
        <f>'RESUMEN TOTAL'!AK480</f>
        <v>APAGADO</v>
      </c>
      <c r="AF420" s="70" t="str">
        <f>'RESUMEN TOTAL'!AL480</f>
        <v>APAGADO</v>
      </c>
      <c r="AG420" s="70" t="str">
        <f>'RESUMEN TOTAL'!AM480</f>
        <v>APAGADO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 t="str">
        <f>'RESUMEN TOTAL'!AI481</f>
        <v>APAGADO</v>
      </c>
      <c r="AD421" s="70" t="str">
        <f>'RESUMEN TOTAL'!AJ481</f>
        <v>APAGADO</v>
      </c>
      <c r="AE421" s="70" t="str">
        <f>'RESUMEN TOTAL'!AK481</f>
        <v>APAGADO</v>
      </c>
      <c r="AF421" s="70" t="str">
        <f>'RESUMEN TOTAL'!AL481</f>
        <v>APAGADO</v>
      </c>
      <c r="AG421" s="70" t="str">
        <f>'RESUMEN TOTAL'!AM481</f>
        <v>APAGADO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 t="str">
        <f>'RESUMEN TOTAL'!AI489</f>
        <v>APAGADO</v>
      </c>
      <c r="AD428" s="70" t="str">
        <f>'RESUMEN TOTAL'!AJ489</f>
        <v>APAGADO</v>
      </c>
      <c r="AE428" s="70" t="str">
        <f>'RESUMEN TOTAL'!AK489</f>
        <v>APAGADO</v>
      </c>
      <c r="AF428" s="70" t="str">
        <f>'RESUMEN TOTAL'!AL489</f>
        <v>APAGADO</v>
      </c>
      <c r="AG428" s="70" t="str">
        <f>'RESUMEN TOTAL'!AM489</f>
        <v>APAGADO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 t="str">
        <f>'RESUMEN TOTAL'!AI491</f>
        <v>APAGADO</v>
      </c>
      <c r="AD430" s="70" t="str">
        <f>'RESUMEN TOTAL'!AJ491</f>
        <v>APAGADO</v>
      </c>
      <c r="AE430" s="70" t="str">
        <f>'RESUMEN TOTAL'!AK491</f>
        <v>APAGADO</v>
      </c>
      <c r="AF430" s="70" t="str">
        <f>'RESUMEN TOTAL'!AL491</f>
        <v>APAGADO</v>
      </c>
      <c r="AG430" s="70" t="str">
        <f>'RESUMEN TOTAL'!AM491</f>
        <v>APAGADO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 t="str">
        <f>'RESUMEN TOTAL'!AI497</f>
        <v>APAGADO</v>
      </c>
      <c r="AD436" s="70" t="str">
        <f>'RESUMEN TOTAL'!AJ497</f>
        <v>APAGADO</v>
      </c>
      <c r="AE436" s="70" t="str">
        <f>'RESUMEN TOTAL'!AK497</f>
        <v>APAGADO</v>
      </c>
      <c r="AF436" s="70" t="str">
        <f>'RESUMEN TOTAL'!AL497</f>
        <v>APAGADO</v>
      </c>
      <c r="AG436" s="70" t="str">
        <f>'RESUMEN TOTAL'!AM497</f>
        <v>APAGADO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 t="str">
        <f>'RESUMEN TOTAL'!AI499</f>
        <v>APAGADO</v>
      </c>
      <c r="AD438" s="70" t="str">
        <f>'RESUMEN TOTAL'!AJ499</f>
        <v>APAGADO</v>
      </c>
      <c r="AE438" s="70" t="str">
        <f>'RESUMEN TOTAL'!AK499</f>
        <v>APAGADO</v>
      </c>
      <c r="AF438" s="70" t="str">
        <f>'RESUMEN TOTAL'!AL499</f>
        <v>APAGADO</v>
      </c>
      <c r="AG438" s="70" t="str">
        <f>'RESUMEN TOTAL'!AM499</f>
        <v>APAGADO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 t="str">
        <f>'RESUMEN TOTAL'!AL518</f>
        <v>APAGADO</v>
      </c>
      <c r="AG457" s="70" t="str">
        <f>'RESUMEN TOTAL'!AM518</f>
        <v>APAGADO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 t="str">
        <f>'RESUMEN TOTAL'!AI520</f>
        <v>APAGADO</v>
      </c>
      <c r="AD459" s="70" t="str">
        <f>'RESUMEN TOTAL'!AJ520</f>
        <v>APAGADO</v>
      </c>
      <c r="AE459" s="70" t="str">
        <f>'RESUMEN TOTAL'!AK520</f>
        <v>APAGADO</v>
      </c>
      <c r="AF459" s="70" t="str">
        <f>'RESUMEN TOTAL'!AL520</f>
        <v>APAGADO</v>
      </c>
      <c r="AG459" s="70" t="str">
        <f>'RESUMEN TOTAL'!AM520</f>
        <v>APAGADO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 t="str">
        <f>'RESUMEN TOTAL'!AI521</f>
        <v>APAGADO</v>
      </c>
      <c r="AD460" s="70" t="str">
        <f>'RESUMEN TOTAL'!AJ521</f>
        <v>APAGADO</v>
      </c>
      <c r="AE460" s="70" t="str">
        <f>'RESUMEN TOTAL'!AK521</f>
        <v>APAGADO</v>
      </c>
      <c r="AF460" s="70" t="str">
        <f>'RESUMEN TOTAL'!AL521</f>
        <v>APAGADO</v>
      </c>
      <c r="AG460" s="70" t="str">
        <f>'RESUMEN TOTAL'!AM521</f>
        <v>APAGADO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M1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TOTAL'!C8:C524,"=BONOMO")</f>
        <v>281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47</v>
      </c>
      <c r="I3" s="46">
        <f>COUNTIFS('RESUMEN TOTAL'!O8:O632,"=APAGADO",'RESUMEN TOTAL'!C8:C632,"=BONOMO")</f>
        <v>48</v>
      </c>
      <c r="J3" s="46">
        <f>COUNTIFS('RESUMEN TOTAL'!P8:P632,"=APAGADO",'RESUMEN TOTAL'!C8:C632,"=BONOMO")</f>
        <v>36</v>
      </c>
      <c r="K3" s="46">
        <f>COUNTIFS('RESUMEN TOTAL'!Q8:Q632,"=APAGADO",'RESUMEN TOTAL'!C8:C632,"=BONOMO")</f>
        <v>47</v>
      </c>
      <c r="L3" s="46">
        <f>COUNTIFS('RESUMEN TOTAL'!R8:R632,"=APAGADO",'RESUMEN TOTAL'!C8:C632,"=BONOMO")</f>
        <v>34</v>
      </c>
      <c r="M3" s="46">
        <f>COUNTIFS('RESUMEN TOTAL'!S8:S632,"=APAGADO",'RESUMEN TOTAL'!C8:C632,"=BONOMO")</f>
        <v>39</v>
      </c>
      <c r="N3" s="46">
        <f>COUNTIFS('RESUMEN TOTAL'!T8:T632,"=APAGADO",'RESUMEN TOTAL'!C8:C632,"=BONOMO")</f>
        <v>37</v>
      </c>
      <c r="O3" s="46">
        <f>COUNTIFS('RESUMEN TOTAL'!U8:U632,"=APAGADO",'RESUMEN TOTAL'!C8:C632,"=BONOMO")</f>
        <v>35</v>
      </c>
      <c r="P3" s="46">
        <f>COUNTIFS('RESUMEN TOTAL'!V8:V632,"=APAGADO",'RESUMEN TOTAL'!C8:C632,"=BONOMO")</f>
        <v>34</v>
      </c>
      <c r="Q3" s="46">
        <f>COUNTIFS('RESUMEN TOTAL'!W8:W632,"=APAGADO",'RESUMEN TOTAL'!C8:C632,"=BONOMO")</f>
        <v>36</v>
      </c>
      <c r="R3" s="46">
        <f>COUNTIFS('RESUMEN TOTAL'!X8:X632,"=APAGADO",'RESUMEN TOTAL'!C8:C632,"=BONOMO")</f>
        <v>48</v>
      </c>
      <c r="S3" s="46">
        <f>COUNTIFS('RESUMEN TOTAL'!Y8:Y632,"=APAGADO",'RESUMEN TOTAL'!C8:C632,"=BONOMO")</f>
        <v>51</v>
      </c>
      <c r="T3" s="46">
        <f>COUNTIFS('RESUMEN TOTAL'!Z8:Z632,"=APAGADO",'RESUMEN TOTAL'!C8:C632,"=BONOMO")</f>
        <v>49</v>
      </c>
      <c r="U3" s="46">
        <f>COUNTIFS('RESUMEN TOTAL'!AA8:AA632,"=APAGADO",'RESUMEN TOTAL'!C8:C632,"=BONOMO")</f>
        <v>50</v>
      </c>
      <c r="V3" s="46">
        <f>COUNTIFS('RESUMEN TOTAL'!AB8:AB632,"=APAGADO",'RESUMEN TOTAL'!C8:C632,"=BONOMO")</f>
        <v>53</v>
      </c>
      <c r="W3" s="46">
        <f>COUNTIFS('RESUMEN TOTAL'!AC8:AC632,"=APAGADO",'RESUMEN TOTAL'!C8:C632,"=BONOMO")</f>
        <v>54</v>
      </c>
      <c r="X3" s="46">
        <f>COUNTIFS('RESUMEN TOTAL'!AD8:AD632,"=APAGADO",'RESUMEN TOTAL'!C8:C632,"=BONOMO")</f>
        <v>59</v>
      </c>
      <c r="Y3" s="46">
        <f>COUNTIFS('RESUMEN TOTAL'!AE8:AE632,"=APAGADO",'RESUMEN TOTAL'!C8:C632,"=BONOMO")</f>
        <v>60</v>
      </c>
      <c r="Z3" s="46">
        <f>COUNTIFS('RESUMEN TOTAL'!AF8:AF632,"=APAGADO",'RESUMEN TOTAL'!C8:C632,"=BONOMO")</f>
        <v>59</v>
      </c>
      <c r="AA3" s="46">
        <f>COUNTIFS('RESUMEN TOTAL'!AG8:AG632,"=APAGADO",'RESUMEN TOTAL'!C8:C632,"=BONOMO")</f>
        <v>44</v>
      </c>
      <c r="AB3" s="46">
        <f>COUNTIFS('RESUMEN TOTAL'!AH8:AH632,"=APAGADO",'RESUMEN TOTAL'!C8:C632,"=BONOMO")</f>
        <v>44</v>
      </c>
      <c r="AC3" s="46">
        <f>COUNTIFS('RESUMEN TOTAL'!AI8:AI632,"=APAGADO",'RESUMEN TOTAL'!C8:C632,"=BONOMO")</f>
        <v>48</v>
      </c>
      <c r="AD3" s="46">
        <f>COUNTIFS('RESUMEN TOTAL'!AJ8:AJ632,"=APAGADO",'RESUMEN TOTAL'!C8:C632,"=BONOMO")</f>
        <v>49</v>
      </c>
      <c r="AE3" s="46">
        <v>0</v>
      </c>
      <c r="AF3" s="46">
        <f>COUNTIFS('RESUMEN TOTAL'!AL8:AL632,"=APAGADO",'RESUMEN TOTAL'!C8:C632,"=BONOMO")</f>
        <v>60</v>
      </c>
      <c r="AG3" s="46">
        <f>COUNTIFS('RESUMEN TOTAL'!AM8:AM632,"=APAGADO",'RESUMEN TOTAL'!C8:C632,"=BONOMO")</f>
        <v>35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TOTAL'!C8:C524,"=COSEIDI")</f>
        <v>236</v>
      </c>
      <c r="C4" s="46">
        <v>52</v>
      </c>
      <c r="D4" s="39"/>
      <c r="E4" s="37" t="s">
        <v>1079</v>
      </c>
      <c r="F4" s="50">
        <f t="shared" ref="F4:AH4" si="0">F3/BONOMOcam</f>
        <v>0.18505338078291814</v>
      </c>
      <c r="G4" s="50">
        <f t="shared" si="0"/>
        <v>0</v>
      </c>
      <c r="H4" s="50">
        <f t="shared" si="0"/>
        <v>0.16725978647686832</v>
      </c>
      <c r="I4" s="50">
        <f t="shared" si="0"/>
        <v>0.1708185053380783</v>
      </c>
      <c r="J4" s="50">
        <v>0.14000000000000001</v>
      </c>
      <c r="K4" s="50">
        <f t="shared" si="0"/>
        <v>0.16725978647686832</v>
      </c>
      <c r="L4" s="50">
        <f t="shared" si="0"/>
        <v>0.12099644128113879</v>
      </c>
      <c r="M4" s="50">
        <f t="shared" si="0"/>
        <v>0.13879003558718861</v>
      </c>
      <c r="N4" s="50">
        <f t="shared" si="0"/>
        <v>0.13167259786476868</v>
      </c>
      <c r="O4" s="50">
        <f t="shared" si="0"/>
        <v>0.12455516014234876</v>
      </c>
      <c r="P4" s="50">
        <f t="shared" si="0"/>
        <v>0.12099644128113879</v>
      </c>
      <c r="Q4" s="50">
        <f t="shared" si="0"/>
        <v>0.12811387900355872</v>
      </c>
      <c r="R4" s="50">
        <f t="shared" si="0"/>
        <v>0.1708185053380783</v>
      </c>
      <c r="S4" s="50">
        <f t="shared" si="0"/>
        <v>0.18149466192170818</v>
      </c>
      <c r="T4" s="50">
        <f t="shared" si="0"/>
        <v>0.17437722419928825</v>
      </c>
      <c r="U4" s="50">
        <f t="shared" si="0"/>
        <v>0.17793594306049823</v>
      </c>
      <c r="V4" s="50">
        <f t="shared" si="0"/>
        <v>0.18861209964412812</v>
      </c>
      <c r="W4" s="50">
        <f t="shared" si="0"/>
        <v>0.19217081850533807</v>
      </c>
      <c r="X4" s="50">
        <f t="shared" si="0"/>
        <v>0.20996441281138789</v>
      </c>
      <c r="Y4" s="50">
        <f t="shared" si="0"/>
        <v>0.21352313167259787</v>
      </c>
      <c r="Z4" s="50">
        <f t="shared" si="0"/>
        <v>0.20996441281138789</v>
      </c>
      <c r="AA4" s="50">
        <f t="shared" si="0"/>
        <v>0.15658362989323843</v>
      </c>
      <c r="AB4" s="50">
        <f t="shared" si="0"/>
        <v>0.15658362989323843</v>
      </c>
      <c r="AC4" s="50">
        <f t="shared" si="0"/>
        <v>0.1708185053380783</v>
      </c>
      <c r="AD4" s="50">
        <f t="shared" si="0"/>
        <v>0.17437722419928825</v>
      </c>
      <c r="AE4" s="50">
        <f t="shared" si="0"/>
        <v>0</v>
      </c>
      <c r="AF4" s="50">
        <f t="shared" si="0"/>
        <v>0.21352313167259787</v>
      </c>
      <c r="AG4" s="50">
        <f t="shared" si="0"/>
        <v>0.12455516014234876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39</v>
      </c>
      <c r="I5" s="46">
        <f>COUNTIFS('RESUMEN TOTAL'!O10:O634,"=APAGADO",'RESUMEN TOTAL'!C10:C634,"=COSEIDI")</f>
        <v>40</v>
      </c>
      <c r="J5" s="46">
        <f>COUNTIFS('RESUMEN TOTAL'!P10:P634,"=APAGADO",'RESUMEN TOTAL'!C10:C634,"=COSEIDI")</f>
        <v>32</v>
      </c>
      <c r="K5" s="46">
        <f>COUNTIFS('RESUMEN TOTAL'!Q10:Q634,"=APAGADO",'RESUMEN TOTAL'!C10:C634,"=COSEIDI")</f>
        <v>29</v>
      </c>
      <c r="L5" s="46">
        <f>COUNTIFS('RESUMEN TOTAL'!R10:R634,"=APAGADO",'RESUMEN TOTAL'!C10:C634,"=COSEIDI")</f>
        <v>27</v>
      </c>
      <c r="M5" s="46">
        <f>COUNTIFS('RESUMEN TOTAL'!S10:S634,"=APAGADO",'RESUMEN TOTAL'!C10:C634,"=COSEIDI")</f>
        <v>34</v>
      </c>
      <c r="N5" s="46">
        <f>COUNTIFS('RESUMEN TOTAL'!T10:T634,"=APAGADO",'RESUMEN TOTAL'!C10:C634,"=COSEIDI")</f>
        <v>30</v>
      </c>
      <c r="O5" s="46">
        <f>COUNTIFS('RESUMEN TOTAL'!U10:U634,"=APAGADO",'RESUMEN TOTAL'!C10:C634,"=COSEIDI")</f>
        <v>34</v>
      </c>
      <c r="P5" s="46">
        <f>COUNTIFS('RESUMEN TOTAL'!V10:V634,"=APAGADO",'RESUMEN TOTAL'!C10:C634,"=COSEIDI")</f>
        <v>37</v>
      </c>
      <c r="Q5" s="46">
        <f>COUNTIFS('RESUMEN TOTAL'!W10:W634,"=APAGADO",'RESUMEN TOTAL'!C10:C634,"=COSEIDI")</f>
        <v>30</v>
      </c>
      <c r="R5" s="46">
        <f>COUNTIFS('RESUMEN TOTAL'!X10:X634,"=APAGADO",'RESUMEN TOTAL'!C10:C634,"=COSEIDI")</f>
        <v>30</v>
      </c>
      <c r="S5" s="46">
        <f>COUNTIFS('RESUMEN TOTAL'!Y10:Y634,"=APAGADO",'RESUMEN TOTAL'!C10:C634,"=COSEIDI")</f>
        <v>54</v>
      </c>
      <c r="T5" s="46">
        <f>COUNTIFS('RESUMEN TOTAL'!Z10:Z634,"=APAGADO",'RESUMEN TOTAL'!C10:C634,"=COSEIDI")</f>
        <v>28</v>
      </c>
      <c r="U5" s="46">
        <f>COUNTIFS('RESUMEN TOTAL'!AA10:AA634,"=APAGADO",'RESUMEN TOTAL'!C10:C634,"=COSEIDI")</f>
        <v>43</v>
      </c>
      <c r="V5" s="46">
        <f>COUNTIFS('RESUMEN TOTAL'!AB10:AB634,"=APAGADO",'RESUMEN TOTAL'!C10:C634,"=COSEIDI")</f>
        <v>41</v>
      </c>
      <c r="W5" s="46">
        <f>COUNTIFS('RESUMEN TOTAL'!AC10:AC634,"=APAGADO",'RESUMEN TOTAL'!C10:C634,"=COSEIDI")</f>
        <v>35</v>
      </c>
      <c r="X5" s="46">
        <f>COUNTIFS('RESUMEN TOTAL'!AD10:AD634,"=APAGADO",'RESUMEN TOTAL'!C10:C634,"=COSEIDI")</f>
        <v>31</v>
      </c>
      <c r="Y5" s="46">
        <f>COUNTIFS('RESUMEN TOTAL'!AE10:AE634,"=APAGADO",'RESUMEN TOTAL'!C10:C634,"=COSEIDI")</f>
        <v>46</v>
      </c>
      <c r="Z5" s="46">
        <f>COUNTIFS('RESUMEN TOTAL'!AF10:AF634,"=APAGADO",'RESUMEN TOTAL'!C10:C634,"=COSEIDI")</f>
        <v>50</v>
      </c>
      <c r="AA5" s="46">
        <f>COUNTIFS('RESUMEN TOTAL'!AG10:AG634,"=APAGADO",'RESUMEN TOTAL'!C10:C634,"=COSEIDI")</f>
        <v>36</v>
      </c>
      <c r="AB5" s="46">
        <f>COUNTIFS('RESUMEN TOTAL'!AH10:AH634,"=APAGADO",'RESUMEN TOTAL'!C10:C634,"=COSEIDI")</f>
        <v>37</v>
      </c>
      <c r="AC5" s="46">
        <f>COUNTIFS('RESUMEN TOTAL'!AI10:AI634,"=APAGADO",'RESUMEN TOTAL'!C10:C634,"=COSEIDI")</f>
        <v>36</v>
      </c>
      <c r="AD5" s="46">
        <f>COUNTIFS('RESUMEN TOTAL'!AJ10:AJ634,"=APAGADO",'RESUMEN TOTAL'!C10:C634,"=COSEIDI")</f>
        <v>37</v>
      </c>
      <c r="AE5" s="46">
        <f>COUNTIFS('RESUMEN TOTAL'!AK10:AK634,"=APAGADO",'RESUMEN TOTAL'!C10:C634,"=COSEIDI")</f>
        <v>34</v>
      </c>
      <c r="AF5" s="46">
        <f>COUNTIFS('RESUMEN TOTAL'!AL10:AL634,"=APAGADO",'RESUMEN TOTAL'!C10:C634,"=COSEIDI")</f>
        <v>32</v>
      </c>
      <c r="AG5" s="46">
        <f>COUNTIFS('RESUMEN TOTAL'!AM10:AM634,"=APAGADO",'RESUMEN TOTAL'!C10:C634,"=COSEIDI")</f>
        <v>41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0.15677966101694915</v>
      </c>
      <c r="G6" s="50">
        <f t="shared" si="1"/>
        <v>0</v>
      </c>
      <c r="H6" s="50">
        <f t="shared" si="1"/>
        <v>0.1652542372881356</v>
      </c>
      <c r="I6" s="50">
        <f t="shared" si="1"/>
        <v>0.16949152542372881</v>
      </c>
      <c r="J6" s="50">
        <v>0.12</v>
      </c>
      <c r="K6" s="50">
        <f t="shared" si="1"/>
        <v>0.1228813559322034</v>
      </c>
      <c r="L6" s="50">
        <f t="shared" si="1"/>
        <v>0.11440677966101695</v>
      </c>
      <c r="M6" s="50">
        <f t="shared" si="1"/>
        <v>0.1440677966101695</v>
      </c>
      <c r="N6" s="50">
        <f t="shared" si="1"/>
        <v>0.1271186440677966</v>
      </c>
      <c r="O6" s="50">
        <f t="shared" si="1"/>
        <v>0.1440677966101695</v>
      </c>
      <c r="P6" s="50">
        <f t="shared" si="1"/>
        <v>0.15677966101694915</v>
      </c>
      <c r="Q6" s="50">
        <f t="shared" si="1"/>
        <v>0.1271186440677966</v>
      </c>
      <c r="R6" s="50">
        <f t="shared" si="1"/>
        <v>0.1271186440677966</v>
      </c>
      <c r="S6" s="50">
        <f t="shared" si="1"/>
        <v>0.2288135593220339</v>
      </c>
      <c r="T6" s="50">
        <f t="shared" si="1"/>
        <v>0.11864406779661017</v>
      </c>
      <c r="U6" s="50">
        <f t="shared" si="1"/>
        <v>0.18220338983050846</v>
      </c>
      <c r="V6" s="50">
        <f t="shared" si="1"/>
        <v>0.17372881355932204</v>
      </c>
      <c r="W6" s="50">
        <f t="shared" si="1"/>
        <v>0.14830508474576271</v>
      </c>
      <c r="X6" s="50">
        <f t="shared" si="1"/>
        <v>0.13135593220338984</v>
      </c>
      <c r="Y6" s="50">
        <f t="shared" si="1"/>
        <v>0.19491525423728814</v>
      </c>
      <c r="Z6" s="50">
        <f t="shared" si="1"/>
        <v>0.21186440677966101</v>
      </c>
      <c r="AA6" s="50">
        <f t="shared" si="1"/>
        <v>0.15254237288135594</v>
      </c>
      <c r="AB6" s="50">
        <f t="shared" si="1"/>
        <v>0.15677966101694915</v>
      </c>
      <c r="AC6" s="50">
        <f t="shared" si="1"/>
        <v>0.15254237288135594</v>
      </c>
      <c r="AD6" s="50">
        <f t="shared" si="1"/>
        <v>0.15677966101694915</v>
      </c>
      <c r="AE6" s="50">
        <f t="shared" si="1"/>
        <v>0.1440677966101695</v>
      </c>
      <c r="AF6" s="50">
        <f t="shared" si="1"/>
        <v>0.13559322033898305</v>
      </c>
      <c r="AG6" s="50">
        <f t="shared" si="1"/>
        <v>0.17372881355932204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2025-08-28T10:55:20Z</dcterms:modified>
</cp:coreProperties>
</file>