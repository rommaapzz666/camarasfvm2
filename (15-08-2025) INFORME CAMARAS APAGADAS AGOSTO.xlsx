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8_{769B6827-19C1-48DA-8B25-5A7F4EB7233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7" i="2" l="1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366" i="2" l="1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B4" i="25"/>
  <c r="B2" i="25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<sst xmlns="http://schemas.openxmlformats.org/spreadsheetml/2006/main" count="5110" uniqueCount="1567">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</sst>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0.17343173431734318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0.12875536480686695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0.17343173431734318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0.12875536480686695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0.17343173431734318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0.12875536480686695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0.17343173431734318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0.12875536480686695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3"/>
  <sheetViews>
    <sheetView tabSelected="1" zoomScale="53" zoomScaleNormal="53" workbookViewId="0">
      <pane xSplit="11" ySplit="7" topLeftCell="Y260" activePane="bottomRight" state="frozen"/>
      <selection pane="topRight" activeCell="M1" sqref="M1"/>
      <selection pane="bottomLeft" activeCell="A5" sqref="A5"/>
      <selection pane="bottomRight" activeCell="Z285" sqref="Z285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1" bestFit="1" customWidth="1"/>
    <col min="6" max="6" width="22.42578125" style="65" bestFit="1" customWidth="1"/>
    <col min="7" max="7" width="26" style="65" bestFit="1" customWidth="1"/>
    <col min="8" max="8" width="15.140625" style="65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0.1079646017699115</v>
      </c>
      <c r="S1" s="3">
        <f t="shared" si="0"/>
        <v>0.1265164644714038</v>
      </c>
      <c r="T1" s="3">
        <f t="shared" si="0"/>
        <v>0.11733800350262696</v>
      </c>
      <c r="U1" s="3">
        <f t="shared" si="0"/>
        <v>0.12041884816753927</v>
      </c>
      <c r="V1" s="3">
        <f t="shared" si="0"/>
        <v>0.12347826086956522</v>
      </c>
      <c r="W1" s="3">
        <f t="shared" si="0"/>
        <v>0.11578947368421053</v>
      </c>
      <c r="X1" s="3">
        <f t="shared" si="0"/>
        <v>0.13402061855670103</v>
      </c>
      <c r="Y1" s="3"/>
      <c r="Z1" s="3">
        <f t="shared" ref="Z1:AO1" si="1">(Z3)/(Z2+Z3)</f>
        <v>0.13253012048192772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.75" thickBot="1" x14ac:dyDescent="0.3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0</v>
      </c>
      <c r="AB3" s="130">
        <f t="shared" si="3"/>
        <v>0</v>
      </c>
      <c r="AC3" s="130">
        <f t="shared" si="3"/>
        <v>0</v>
      </c>
      <c r="AD3" s="130">
        <f t="shared" si="3"/>
        <v>0</v>
      </c>
      <c r="AE3" s="130">
        <f t="shared" si="3"/>
        <v>0</v>
      </c>
      <c r="AF3" s="130">
        <f t="shared" si="3"/>
        <v>0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.75" thickTop="1" x14ac:dyDescent="0.25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38</v>
      </c>
      <c r="S4" s="10">
        <f>COUNTIFS(S8:S619, "=APAGADO",F8:F619,"=Fibra Optica")</f>
        <v>48</v>
      </c>
      <c r="T4" s="10">
        <f>COUNTIFS(T8:T619, "=APAGADO",F8:F619,"=Fibra Optica")</f>
        <v>42</v>
      </c>
      <c r="U4" s="10">
        <f>COUNTIFS(U8:U619, "=APAGADO",F8:F619,"=Fibra Optica")</f>
        <v>42</v>
      </c>
      <c r="V4" s="10">
        <f>COUNTIFS(V8:V619, "=APAGADO",F8:F619,"=Fibra Optica")</f>
        <v>43</v>
      </c>
      <c r="W4" s="10">
        <f>COUNTIFS(W8:W619, "=APAGADO",F8:F619,"=Fibra Optica")</f>
        <v>42</v>
      </c>
      <c r="X4" s="10">
        <f>COUNTIFS(X8:X619, "=APAGADO",F8:F619,"=Fibra Optica")</f>
        <v>49</v>
      </c>
      <c r="Y4" s="10">
        <f>COUNTIFS(Y8:Y619, "=APAGADO",F8:F619,"=Fibra Optica")</f>
        <v>71</v>
      </c>
      <c r="Z4" s="10">
        <f>COUNTIFS(Z8:Z619, "=APAGADO",F8:F619,"=Fibra Optica")</f>
        <v>50</v>
      </c>
      <c r="AA4" s="10">
        <f>COUNTIFS(AA8:AA619, "=APAGADO",F8:F619,"=Fibra Optica")</f>
        <v>0</v>
      </c>
      <c r="AB4" s="10">
        <f>COUNTIFS(AB8:AB619, "=APAGADO",F8:F619,"=Fibra Optica")</f>
        <v>0</v>
      </c>
      <c r="AC4" s="10">
        <f>COUNTIFS(AC8:AC619, "=APAGADO",F8:F619,"=Fibra Optica")</f>
        <v>0</v>
      </c>
      <c r="AD4" s="10">
        <f>COUNTIFS(AD8:AD619, "=APAGADO",F8:F619,"=Fibra Optica")</f>
        <v>0</v>
      </c>
      <c r="AE4" s="10">
        <f>COUNTIFS(AE8:AE619, "=APAGADO",F8:F619,"=Fibra Optica")</f>
        <v>0</v>
      </c>
      <c r="AF4" s="10">
        <f>COUNTIFS(AF8:AF619, "=APAGADO",F8:F619,"=Fibra Optica")</f>
        <v>0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25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14</v>
      </c>
      <c r="S5" s="134">
        <f>COUNTIFS(S8:S619, "=APAGADO",F8:F619,"=RADIO")</f>
        <v>17</v>
      </c>
      <c r="T5" s="134">
        <f>COUNTIFS(T8:T619, "=APAGADO",F8:F619,"=RADIO")</f>
        <v>16</v>
      </c>
      <c r="U5" s="134">
        <f>COUNTIFS(U8:U619, "=APAGADO",F8:F619,"=RADIO")</f>
        <v>18</v>
      </c>
      <c r="V5" s="134">
        <f>COUNTIFS(V8:V619, "=APAGADO",F8:F619,"=RADIO")</f>
        <v>20</v>
      </c>
      <c r="W5" s="134">
        <f>COUNTIFS(W8:W619, "=APAGADO",F8:F619,"=RADIO")</f>
        <v>16</v>
      </c>
      <c r="X5" s="134">
        <f>COUNTIFS(X8:X619, "=APAGADO",F8:F619,"=RADIO")</f>
        <v>17</v>
      </c>
      <c r="Y5" s="134">
        <f>COUNTIFS(Y8:Y619, "=APAGADO",F8:F619,"=RADIO")</f>
        <v>21</v>
      </c>
      <c r="Z5" s="134">
        <f>COUNTIFS(Z8:Z619, "=APAGADO",F8:F619,"=RADIO")</f>
        <v>15</v>
      </c>
      <c r="AA5" s="134">
        <f>COUNTIFS(AA8:AA619, "=APAGADO",F8:F619,"=RADIO")</f>
        <v>0</v>
      </c>
      <c r="AB5" s="134">
        <f>COUNTIFS(AB8:AB619, "=APAGADO",F8:F619,"=RADIO")</f>
        <v>0</v>
      </c>
      <c r="AC5" s="134">
        <f>COUNTIFS(AC8:AC619, "=APAGADO",F8:F619,"=RADIO")</f>
        <v>0</v>
      </c>
      <c r="AD5" s="134">
        <f>COUNTIFS(AD8:AD619, "=APAGADO",F8:F619,"=RADIO")</f>
        <v>0</v>
      </c>
      <c r="AE5" s="134">
        <f>COUNTIFS(AE8:AE619, "=APAGADO",F8:F619,"=RADIO")</f>
        <v>0</v>
      </c>
      <c r="AF5" s="134">
        <f>COUNTIFS(AF8:AF619, "=APAGADO",F8:F619,"=RADIO")</f>
        <v>0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.75" thickBot="1" x14ac:dyDescent="0.3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7</v>
      </c>
      <c r="S6" s="10">
        <f>COUNTIFS(S8:S619, "=APAGADO",F8:F619,"=PTO A FO")</f>
        <v>7</v>
      </c>
      <c r="T6" s="10">
        <f>COUNTIFS(T8:T619, "=APAGADO",F8:F619,"=PTO A FO")</f>
        <v>7</v>
      </c>
      <c r="U6" s="10">
        <f>COUNTIFS(U8:U619, "=APAGADO",F8:F619,"=PTO A FO")</f>
        <v>7</v>
      </c>
      <c r="V6" s="10">
        <f>COUNTIFS(V8:V619, "=APAGADO",F8:F619,"=PTO A FO")</f>
        <v>6</v>
      </c>
      <c r="W6" s="10">
        <f>COUNTIFS(W8:W619, "=APAGADO",F8:F619,"=PTO A FO")</f>
        <v>6</v>
      </c>
      <c r="X6" s="10">
        <f>COUNTIFS(X8:X619, "=APAGADO",F8:F619,"=PTO A FO")</f>
        <v>8</v>
      </c>
      <c r="Y6" s="10">
        <f>COUNTIFS(Y8:Y619, "=APAGADO",F8:F619,"=PTO A FO")</f>
        <v>9</v>
      </c>
      <c r="Z6" s="10">
        <f>COUNTIFS(Z8:Z619, "=APAGADO",F8:F619,"=PTO A FO")</f>
        <v>8</v>
      </c>
      <c r="AA6" s="10">
        <f>COUNTIFS(AA8:AA619, "=APAGADO",F8:F619,"=PTO A FO")</f>
        <v>0</v>
      </c>
      <c r="AB6" s="10">
        <f>COUNTIFS(AB8:AB619, "=APAGADO",F8:F619,"=PTO A FO")</f>
        <v>0</v>
      </c>
      <c r="AC6" s="10">
        <f>COUNTIFS(AC8:AC619, "=APAGADO",F8:F619,"=PTO A FO")</f>
        <v>0</v>
      </c>
      <c r="AD6" s="10">
        <f>COUNTIFS(AD8:AD619, "=APAGADO",F8:F619,"=PTO A FO")</f>
        <v>0</v>
      </c>
      <c r="AE6" s="10">
        <f>COUNTIFS(AE8:AE619, "=APAGADO",F8:F619,"=PTO A FO")</f>
        <v>0</v>
      </c>
      <c r="AF6" s="10">
        <f>COUNTIFS(AF8:AF619, "=APAGADO",F8:F619,"=PTO A FO")</f>
        <v>0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2.25" thickTop="1" thickBot="1" x14ac:dyDescent="0.35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25</v>
      </c>
      <c r="J11" s="31">
        <f t="shared" si="5"/>
        <v>3</v>
      </c>
      <c r="K11" s="32">
        <f t="shared" si="6"/>
        <v>0.8928571428571429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15</v>
      </c>
      <c r="J12" s="31">
        <f t="shared" si="5"/>
        <v>13</v>
      </c>
      <c r="K12" s="32">
        <f t="shared" si="6"/>
        <v>0.5357142857142857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 t="s">
        <v>1530</v>
      </c>
      <c r="Y12" s="70" t="s">
        <v>1530</v>
      </c>
      <c r="Z12" s="70" t="s">
        <v>1530</v>
      </c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14</v>
      </c>
      <c r="J17" s="31">
        <f t="shared" si="5"/>
        <v>14</v>
      </c>
      <c r="K17" s="32">
        <f t="shared" si="6"/>
        <v>0.5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 t="s">
        <v>1530</v>
      </c>
      <c r="Y17" s="70" t="s">
        <v>1530</v>
      </c>
      <c r="Z17" s="70" t="s">
        <v>1530</v>
      </c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.75" thickBot="1" x14ac:dyDescent="0.3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14</v>
      </c>
      <c r="J18" s="31">
        <f t="shared" si="5"/>
        <v>14</v>
      </c>
      <c r="K18" s="32">
        <f t="shared" si="6"/>
        <v>0.5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 t="s">
        <v>1530</v>
      </c>
      <c r="Y18" s="71" t="s">
        <v>1530</v>
      </c>
      <c r="Z18" s="70" t="s">
        <v>1530</v>
      </c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.75" thickBot="1" x14ac:dyDescent="0.3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.75" thickBot="1" x14ac:dyDescent="0.3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28</v>
      </c>
      <c r="J21" s="31">
        <f t="shared" si="5"/>
        <v>0</v>
      </c>
      <c r="K21" s="32">
        <f t="shared" si="6"/>
        <v>1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.75" thickBot="1" x14ac:dyDescent="0.3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25</v>
      </c>
      <c r="J23" s="31">
        <f t="shared" si="5"/>
        <v>3</v>
      </c>
      <c r="K23" s="32">
        <f t="shared" si="6"/>
        <v>0.8928571428571429</v>
      </c>
      <c r="L23" s="70"/>
      <c r="M23" s="70"/>
      <c r="N23" s="70"/>
      <c r="O23" s="70"/>
      <c r="P23" s="70"/>
      <c r="Q23" s="70"/>
      <c r="R23" s="70"/>
      <c r="S23" s="70"/>
      <c r="T23" s="70"/>
      <c r="U23" s="70" t="s">
        <v>1530</v>
      </c>
      <c r="V23" s="70" t="s">
        <v>1530</v>
      </c>
      <c r="W23" s="70"/>
      <c r="X23" s="70"/>
      <c r="Y23" s="70" t="s">
        <v>1530</v>
      </c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25</v>
      </c>
      <c r="J24" s="31">
        <f t="shared" si="5"/>
        <v>3</v>
      </c>
      <c r="K24" s="32">
        <f t="shared" si="6"/>
        <v>0.8928571428571429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 t="s">
        <v>1530</v>
      </c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25</v>
      </c>
      <c r="J25" s="31">
        <f t="shared" si="5"/>
        <v>3</v>
      </c>
      <c r="K25" s="32">
        <f t="shared" si="6"/>
        <v>0.8928571428571429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 t="s">
        <v>1530</v>
      </c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25</v>
      </c>
      <c r="J26" s="31">
        <f t="shared" si="5"/>
        <v>3</v>
      </c>
      <c r="K26" s="32">
        <f t="shared" si="6"/>
        <v>0.8928571428571429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 t="s">
        <v>1530</v>
      </c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27</v>
      </c>
      <c r="J27" s="31">
        <f t="shared" si="5"/>
        <v>1</v>
      </c>
      <c r="K27" s="32">
        <f t="shared" si="6"/>
        <v>0.9642857142857143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 t="s">
        <v>1530</v>
      </c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1530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.75" thickBot="1" x14ac:dyDescent="0.3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14</v>
      </c>
      <c r="J30" s="138">
        <f t="shared" si="5"/>
        <v>14</v>
      </c>
      <c r="K30" s="139">
        <f t="shared" si="6"/>
        <v>0.5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 t="s">
        <v>1530</v>
      </c>
      <c r="S30" s="140" t="s">
        <v>1530</v>
      </c>
      <c r="T30" s="140" t="s">
        <v>1530</v>
      </c>
      <c r="U30" s="140" t="s">
        <v>1530</v>
      </c>
      <c r="V30" s="140" t="s">
        <v>1530</v>
      </c>
      <c r="W30" s="140" t="s">
        <v>1530</v>
      </c>
      <c r="X30" s="140" t="s">
        <v>1530</v>
      </c>
      <c r="Y30" s="140" t="s">
        <v>1530</v>
      </c>
      <c r="Z30" s="140" t="s">
        <v>1530</v>
      </c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.75" thickBot="1" x14ac:dyDescent="0.3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.75" thickBot="1" x14ac:dyDescent="0.3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.75" thickBot="1" x14ac:dyDescent="0.3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.75" thickBot="1" x14ac:dyDescent="0.3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.75" thickBot="1" x14ac:dyDescent="0.3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.75" thickBot="1" x14ac:dyDescent="0.3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.75" thickBot="1" x14ac:dyDescent="0.3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14</v>
      </c>
      <c r="J39" s="31">
        <f t="shared" si="5"/>
        <v>14</v>
      </c>
      <c r="K39" s="32">
        <f t="shared" si="6"/>
        <v>0.5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 t="s">
        <v>1530</v>
      </c>
      <c r="S39" s="70" t="s">
        <v>1530</v>
      </c>
      <c r="T39" s="70" t="s">
        <v>1530</v>
      </c>
      <c r="U39" s="70" t="s">
        <v>1530</v>
      </c>
      <c r="V39" s="70" t="s">
        <v>1530</v>
      </c>
      <c r="W39" s="70" t="s">
        <v>1530</v>
      </c>
      <c r="X39" s="70" t="s">
        <v>1530</v>
      </c>
      <c r="Y39" s="70" t="s">
        <v>1530</v>
      </c>
      <c r="Z39" s="70" t="s">
        <v>1530</v>
      </c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14</v>
      </c>
      <c r="J40" s="31">
        <f t="shared" si="5"/>
        <v>14</v>
      </c>
      <c r="K40" s="32">
        <f t="shared" si="6"/>
        <v>0.5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 t="s">
        <v>1530</v>
      </c>
      <c r="Y40" s="70" t="s">
        <v>1530</v>
      </c>
      <c r="Z40" s="70" t="s">
        <v>1530</v>
      </c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25</v>
      </c>
      <c r="J54" s="31">
        <f t="shared" si="5"/>
        <v>3</v>
      </c>
      <c r="K54" s="32">
        <f t="shared" si="6"/>
        <v>0.8928571428571429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 t="s">
        <v>1530</v>
      </c>
      <c r="Z54" s="70" t="s">
        <v>1530</v>
      </c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.75" thickBot="1" x14ac:dyDescent="0.3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14</v>
      </c>
      <c r="J55" s="31">
        <f t="shared" si="5"/>
        <v>14</v>
      </c>
      <c r="K55" s="32">
        <f t="shared" si="6"/>
        <v>0.5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 t="s">
        <v>1530</v>
      </c>
      <c r="S55" s="70" t="s">
        <v>1530</v>
      </c>
      <c r="T55" s="70" t="s">
        <v>1530</v>
      </c>
      <c r="U55" s="70" t="s">
        <v>1530</v>
      </c>
      <c r="V55" s="70" t="s">
        <v>1530</v>
      </c>
      <c r="W55" s="70" t="s">
        <v>1530</v>
      </c>
      <c r="X55" s="70" t="s">
        <v>1530</v>
      </c>
      <c r="Y55" s="70" t="s">
        <v>1530</v>
      </c>
      <c r="Z55" s="70" t="s">
        <v>1530</v>
      </c>
      <c r="AA55" s="70"/>
      <c r="AB55" s="70"/>
      <c r="AC55" s="70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.75" thickBot="1" x14ac:dyDescent="0.3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19</v>
      </c>
      <c r="J56" s="31">
        <f t="shared" si="5"/>
        <v>9</v>
      </c>
      <c r="K56" s="32">
        <f t="shared" si="6"/>
        <v>0.6785714285714286</v>
      </c>
      <c r="L56" s="70"/>
      <c r="M56" s="70"/>
      <c r="N56" s="70"/>
      <c r="O56" s="70"/>
      <c r="P56" s="70"/>
      <c r="Q56" s="70"/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 t="s">
        <v>1530</v>
      </c>
      <c r="Y56" s="70" t="s">
        <v>1530</v>
      </c>
      <c r="Z56" s="70" t="s">
        <v>1530</v>
      </c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.75" thickBot="1" x14ac:dyDescent="0.3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.75" thickBot="1" x14ac:dyDescent="0.3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14</v>
      </c>
      <c r="J58" s="31">
        <f t="shared" si="5"/>
        <v>14</v>
      </c>
      <c r="K58" s="32">
        <f t="shared" si="6"/>
        <v>0.5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 t="s">
        <v>1530</v>
      </c>
      <c r="S58" s="70" t="s">
        <v>1530</v>
      </c>
      <c r="T58" s="70" t="s">
        <v>1530</v>
      </c>
      <c r="U58" s="70" t="s">
        <v>1530</v>
      </c>
      <c r="V58" s="70" t="s">
        <v>1530</v>
      </c>
      <c r="W58" s="70" t="s">
        <v>1530</v>
      </c>
      <c r="X58" s="70" t="s">
        <v>1530</v>
      </c>
      <c r="Y58" s="70" t="s">
        <v>1530</v>
      </c>
      <c r="Z58" s="70" t="s">
        <v>1530</v>
      </c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.75" thickBot="1" x14ac:dyDescent="0.3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.75" thickBot="1" x14ac:dyDescent="0.3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.75" thickBot="1" x14ac:dyDescent="0.3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26</v>
      </c>
      <c r="J77" s="31">
        <f t="shared" si="8"/>
        <v>2</v>
      </c>
      <c r="K77" s="32">
        <f t="shared" si="9"/>
        <v>0.9285714285714286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.75" thickBot="1" x14ac:dyDescent="0.3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24</v>
      </c>
      <c r="J85" s="31">
        <f t="shared" si="8"/>
        <v>4</v>
      </c>
      <c r="K85" s="32">
        <f t="shared" si="9"/>
        <v>0.8571428571428571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 t="s">
        <v>1530</v>
      </c>
      <c r="Y85" s="70" t="s">
        <v>1530</v>
      </c>
      <c r="Z85" s="70" t="s">
        <v>1530</v>
      </c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24</v>
      </c>
      <c r="J90" s="31">
        <f t="shared" si="8"/>
        <v>4</v>
      </c>
      <c r="K90" s="32">
        <f t="shared" si="9"/>
        <v>0.8571428571428571</v>
      </c>
      <c r="L90" s="70"/>
      <c r="M90" s="70"/>
      <c r="N90" s="70"/>
      <c r="O90" s="70"/>
      <c r="P90" s="70" t="s">
        <v>1530</v>
      </c>
      <c r="Q90" s="70" t="s">
        <v>1530</v>
      </c>
      <c r="R90" s="70" t="s">
        <v>1530</v>
      </c>
      <c r="S90" s="70" t="s">
        <v>1530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.75" thickBot="1" x14ac:dyDescent="0.3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.75" thickBot="1" x14ac:dyDescent="0.3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.75" thickBot="1" x14ac:dyDescent="0.3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.75" thickBot="1" x14ac:dyDescent="0.3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24</v>
      </c>
      <c r="J94" s="31">
        <f t="shared" si="8"/>
        <v>4</v>
      </c>
      <c r="K94" s="32">
        <f t="shared" si="9"/>
        <v>0.8571428571428571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 t="s">
        <v>1530</v>
      </c>
      <c r="Y94" s="70" t="s">
        <v>1530</v>
      </c>
      <c r="Z94" s="70" t="s">
        <v>1530</v>
      </c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.75" thickBot="1" x14ac:dyDescent="0.3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20</v>
      </c>
      <c r="J95" s="31">
        <f t="shared" si="8"/>
        <v>8</v>
      </c>
      <c r="K95" s="32">
        <f t="shared" si="9"/>
        <v>0.7142857142857143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 t="s">
        <v>1530</v>
      </c>
      <c r="T95" s="70" t="s">
        <v>1530</v>
      </c>
      <c r="U95" s="70" t="s">
        <v>1530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.75" thickBot="1" x14ac:dyDescent="0.3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.75" thickBot="1" x14ac:dyDescent="0.3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.75" thickBot="1" x14ac:dyDescent="0.3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.75" thickBot="1" x14ac:dyDescent="0.3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.75" thickBot="1" x14ac:dyDescent="0.3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.75" thickBot="1" x14ac:dyDescent="0.3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.75" thickBot="1" x14ac:dyDescent="0.3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.75" thickBot="1" x14ac:dyDescent="0.3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.75" thickBot="1" x14ac:dyDescent="0.3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23</v>
      </c>
      <c r="J105" s="31">
        <f t="shared" si="8"/>
        <v>5</v>
      </c>
      <c r="K105" s="32">
        <f t="shared" si="9"/>
        <v>0.8214285714285714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 t="s">
        <v>1530</v>
      </c>
      <c r="Z105" s="70" t="s">
        <v>1530</v>
      </c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" customHeight="1" thickBot="1" x14ac:dyDescent="0.3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23</v>
      </c>
      <c r="J106" s="31">
        <f t="shared" si="8"/>
        <v>5</v>
      </c>
      <c r="K106" s="32">
        <f t="shared" si="9"/>
        <v>0.8214285714285714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1530</v>
      </c>
      <c r="Z106" s="70" t="s">
        <v>1530</v>
      </c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24</v>
      </c>
      <c r="J107" s="31">
        <f t="shared" si="8"/>
        <v>4</v>
      </c>
      <c r="K107" s="32">
        <f t="shared" si="9"/>
        <v>0.8571428571428571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 t="s">
        <v>1530</v>
      </c>
      <c r="Y107" s="70" t="s">
        <v>1530</v>
      </c>
      <c r="Z107" s="70" t="s">
        <v>1530</v>
      </c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.75" thickBot="1" x14ac:dyDescent="0.3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14</v>
      </c>
      <c r="J108" s="31">
        <f t="shared" si="8"/>
        <v>14</v>
      </c>
      <c r="K108" s="32">
        <f t="shared" si="9"/>
        <v>0.5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 t="s">
        <v>1530</v>
      </c>
      <c r="S108" s="70" t="s">
        <v>1530</v>
      </c>
      <c r="T108" s="70" t="s">
        <v>1530</v>
      </c>
      <c r="U108" s="70" t="s">
        <v>1530</v>
      </c>
      <c r="V108" s="70" t="s">
        <v>1530</v>
      </c>
      <c r="W108" s="70" t="s">
        <v>1530</v>
      </c>
      <c r="X108" s="70" t="s">
        <v>1530</v>
      </c>
      <c r="Y108" s="70" t="s">
        <v>1530</v>
      </c>
      <c r="Z108" s="70" t="s">
        <v>1530</v>
      </c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.75" thickBot="1" x14ac:dyDescent="0.3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25</v>
      </c>
      <c r="J109" s="31">
        <f t="shared" si="8"/>
        <v>3</v>
      </c>
      <c r="K109" s="32">
        <f t="shared" si="9"/>
        <v>0.8928571428571429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 t="s">
        <v>1530</v>
      </c>
      <c r="X109" s="70"/>
      <c r="Y109" s="70" t="s">
        <v>1530</v>
      </c>
      <c r="Z109" s="70" t="s">
        <v>1530</v>
      </c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.75" thickBot="1" x14ac:dyDescent="0.3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.75" thickBot="1" x14ac:dyDescent="0.3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27</v>
      </c>
      <c r="J113" s="31">
        <f t="shared" si="8"/>
        <v>1</v>
      </c>
      <c r="K113" s="32">
        <f t="shared" si="9"/>
        <v>0.9642857142857143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.75" thickBot="1" x14ac:dyDescent="0.3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27</v>
      </c>
      <c r="J114" s="31">
        <f t="shared" si="8"/>
        <v>1</v>
      </c>
      <c r="K114" s="32">
        <f t="shared" si="9"/>
        <v>0.9642857142857143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.75" thickBot="1" x14ac:dyDescent="0.3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customHeight="1" thickBot="1" x14ac:dyDescent="0.3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.75" thickBot="1" x14ac:dyDescent="0.3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.75" thickBot="1" x14ac:dyDescent="0.3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 t="s">
        <v>1530</v>
      </c>
      <c r="W126" s="70" t="s">
        <v>1530</v>
      </c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.75" thickBot="1" x14ac:dyDescent="0.3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14</v>
      </c>
      <c r="J129" s="31">
        <f t="shared" si="8"/>
        <v>14</v>
      </c>
      <c r="K129" s="32">
        <f t="shared" si="9"/>
        <v>0.5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 t="s">
        <v>1530</v>
      </c>
      <c r="S129" s="70" t="s">
        <v>1530</v>
      </c>
      <c r="T129" s="70" t="s">
        <v>1530</v>
      </c>
      <c r="U129" s="70" t="s">
        <v>1530</v>
      </c>
      <c r="V129" s="70" t="s">
        <v>1530</v>
      </c>
      <c r="W129" s="70" t="s">
        <v>1530</v>
      </c>
      <c r="X129" s="70" t="s">
        <v>1530</v>
      </c>
      <c r="Y129" s="70" t="s">
        <v>1530</v>
      </c>
      <c r="Z129" s="70" t="s">
        <v>1530</v>
      </c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.75" thickBot="1" x14ac:dyDescent="0.3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.75" thickBot="1" x14ac:dyDescent="0.3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24</v>
      </c>
      <c r="J131" s="31">
        <f t="shared" si="8"/>
        <v>4</v>
      </c>
      <c r="K131" s="32">
        <f t="shared" si="9"/>
        <v>0.8571428571428571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 t="s">
        <v>1530</v>
      </c>
      <c r="Y131" s="70" t="s">
        <v>1530</v>
      </c>
      <c r="Z131" s="70" t="s">
        <v>1530</v>
      </c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.75" thickBot="1" x14ac:dyDescent="0.3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 t="s">
        <v>1530</v>
      </c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.75" thickBot="1" x14ac:dyDescent="0.3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.75" thickBot="1" x14ac:dyDescent="0.3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14</v>
      </c>
      <c r="J136" s="145">
        <f t="shared" si="8"/>
        <v>14</v>
      </c>
      <c r="K136" s="146">
        <f t="shared" si="9"/>
        <v>0.5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 t="s">
        <v>1530</v>
      </c>
      <c r="S136" s="97" t="s">
        <v>1530</v>
      </c>
      <c r="T136" s="97" t="s">
        <v>1530</v>
      </c>
      <c r="U136" s="97" t="s">
        <v>1530</v>
      </c>
      <c r="V136" s="97" t="s">
        <v>1530</v>
      </c>
      <c r="W136" s="97" t="s">
        <v>1530</v>
      </c>
      <c r="X136" s="97" t="s">
        <v>1530</v>
      </c>
      <c r="Y136" s="97" t="s">
        <v>1530</v>
      </c>
      <c r="Z136" s="97" t="s">
        <v>1530</v>
      </c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.75" thickBot="1" x14ac:dyDescent="0.3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.75" thickBot="1" x14ac:dyDescent="0.3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.75" thickBot="1" x14ac:dyDescent="0.3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14</v>
      </c>
      <c r="J139" s="31">
        <f t="shared" si="8"/>
        <v>14</v>
      </c>
      <c r="K139" s="32">
        <f t="shared" si="9"/>
        <v>0.5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 t="s">
        <v>1530</v>
      </c>
      <c r="S139" s="70" t="s">
        <v>1530</v>
      </c>
      <c r="T139" s="70" t="s">
        <v>1530</v>
      </c>
      <c r="U139" s="70" t="s">
        <v>1530</v>
      </c>
      <c r="V139" s="70" t="s">
        <v>1530</v>
      </c>
      <c r="W139" s="70" t="s">
        <v>1530</v>
      </c>
      <c r="X139" s="70" t="s">
        <v>1530</v>
      </c>
      <c r="Y139" s="70" t="s">
        <v>1530</v>
      </c>
      <c r="Z139" s="70" t="s">
        <v>1530</v>
      </c>
      <c r="AA139" s="70"/>
      <c r="AB139" s="70"/>
      <c r="AC139" s="70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149999999999999" customHeight="1" thickBot="1" x14ac:dyDescent="0.3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14</v>
      </c>
      <c r="J140" s="31">
        <f t="shared" si="8"/>
        <v>14</v>
      </c>
      <c r="K140" s="32">
        <f t="shared" si="9"/>
        <v>0.5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 t="s">
        <v>1530</v>
      </c>
      <c r="S140" s="70" t="s">
        <v>1530</v>
      </c>
      <c r="T140" s="70" t="s">
        <v>1530</v>
      </c>
      <c r="U140" s="70" t="s">
        <v>1530</v>
      </c>
      <c r="V140" s="70" t="s">
        <v>1530</v>
      </c>
      <c r="W140" s="70" t="s">
        <v>1530</v>
      </c>
      <c r="X140" s="70" t="s">
        <v>1530</v>
      </c>
      <c r="Y140" s="70" t="s">
        <v>1530</v>
      </c>
      <c r="Z140" s="70" t="s">
        <v>1530</v>
      </c>
      <c r="AA140" s="70"/>
      <c r="AB140" s="70"/>
      <c r="AC140" s="70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.75" thickBot="1" x14ac:dyDescent="0.3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24</v>
      </c>
      <c r="J145" s="31">
        <f t="shared" si="11"/>
        <v>4</v>
      </c>
      <c r="K145" s="32">
        <f t="shared" si="12"/>
        <v>0.8571428571428571</v>
      </c>
      <c r="L145" s="70"/>
      <c r="M145" s="70"/>
      <c r="N145" s="70"/>
      <c r="O145" s="70"/>
      <c r="P145" s="70"/>
      <c r="Q145" s="70"/>
      <c r="R145" s="70"/>
      <c r="S145" s="70" t="s">
        <v>1530</v>
      </c>
      <c r="T145" s="70" t="s">
        <v>1530</v>
      </c>
      <c r="U145" s="70" t="s">
        <v>1530</v>
      </c>
      <c r="V145" s="70" t="s">
        <v>1530</v>
      </c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24</v>
      </c>
      <c r="J146" s="31">
        <f t="shared" si="11"/>
        <v>4</v>
      </c>
      <c r="K146" s="32">
        <f t="shared" si="12"/>
        <v>0.8571428571428571</v>
      </c>
      <c r="L146" s="70"/>
      <c r="M146" s="70"/>
      <c r="N146" s="70"/>
      <c r="O146" s="70"/>
      <c r="P146" s="70"/>
      <c r="Q146" s="70"/>
      <c r="R146" s="70"/>
      <c r="S146" s="70" t="s">
        <v>1530</v>
      </c>
      <c r="T146" s="70" t="s">
        <v>1530</v>
      </c>
      <c r="U146" s="70" t="s">
        <v>1530</v>
      </c>
      <c r="V146" s="70" t="s">
        <v>1530</v>
      </c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28</v>
      </c>
      <c r="J147" s="31">
        <f t="shared" si="11"/>
        <v>0</v>
      </c>
      <c r="K147" s="32">
        <f t="shared" si="12"/>
        <v>1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24</v>
      </c>
      <c r="J148" s="31">
        <f t="shared" si="11"/>
        <v>4</v>
      </c>
      <c r="K148" s="32">
        <f t="shared" si="12"/>
        <v>0.8571428571428571</v>
      </c>
      <c r="L148" s="70"/>
      <c r="M148" s="70"/>
      <c r="N148" s="70"/>
      <c r="O148" s="70"/>
      <c r="P148" s="70"/>
      <c r="Q148" s="70"/>
      <c r="R148" s="70"/>
      <c r="S148" s="70" t="s">
        <v>1530</v>
      </c>
      <c r="T148" s="70" t="s">
        <v>1530</v>
      </c>
      <c r="U148" s="70" t="s">
        <v>1530</v>
      </c>
      <c r="V148" s="70" t="s">
        <v>1530</v>
      </c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/>
      <c r="J149" s="31"/>
      <c r="K149" s="32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.75" thickBot="1" x14ac:dyDescent="0.3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/>
      <c r="J150" s="31"/>
      <c r="K150" s="32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.75" thickBot="1" x14ac:dyDescent="0.3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27</v>
      </c>
      <c r="J152" s="31">
        <f t="shared" si="11"/>
        <v>1</v>
      </c>
      <c r="K152" s="32">
        <f t="shared" si="12"/>
        <v>0.9642857142857143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 t="s">
        <v>1530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28</v>
      </c>
      <c r="J153" s="31">
        <f t="shared" si="11"/>
        <v>0</v>
      </c>
      <c r="K153" s="32">
        <f t="shared" si="12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.75" thickBot="1" x14ac:dyDescent="0.3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.75" thickBot="1" x14ac:dyDescent="0.3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.75" thickBot="1" x14ac:dyDescent="0.3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28</v>
      </c>
      <c r="J157" s="31">
        <f t="shared" si="11"/>
        <v>0</v>
      </c>
      <c r="K157" s="32">
        <f t="shared" si="12"/>
        <v>1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.75" thickBot="1" x14ac:dyDescent="0.3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14</v>
      </c>
      <c r="J171" s="142">
        <f t="shared" si="11"/>
        <v>14</v>
      </c>
      <c r="K171" s="143">
        <f t="shared" si="12"/>
        <v>0.5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 t="s">
        <v>1530</v>
      </c>
      <c r="S171" s="144" t="s">
        <v>1530</v>
      </c>
      <c r="T171" s="144" t="s">
        <v>1530</v>
      </c>
      <c r="U171" s="144" t="s">
        <v>1530</v>
      </c>
      <c r="V171" s="144" t="s">
        <v>1530</v>
      </c>
      <c r="W171" s="144" t="s">
        <v>1530</v>
      </c>
      <c r="X171" s="144" t="s">
        <v>1530</v>
      </c>
      <c r="Y171" s="144" t="s">
        <v>1530</v>
      </c>
      <c r="Z171" s="144" t="s">
        <v>1530</v>
      </c>
      <c r="AA171" s="144"/>
      <c r="AB171" s="144"/>
      <c r="AC171" s="144"/>
      <c r="AD171" s="144"/>
      <c r="AE171" s="144"/>
      <c r="AF171" s="144"/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.75" thickBot="1" x14ac:dyDescent="0.3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26</v>
      </c>
      <c r="J175" s="31">
        <f t="shared" si="11"/>
        <v>2</v>
      </c>
      <c r="K175" s="32">
        <f t="shared" si="12"/>
        <v>0.9285714285714286</v>
      </c>
      <c r="L175" s="70"/>
      <c r="M175" s="70"/>
      <c r="N175" s="70"/>
      <c r="O175" s="70"/>
      <c r="P175" s="70"/>
      <c r="Q175" s="70"/>
      <c r="R175" s="70"/>
      <c r="S175" s="70" t="s">
        <v>1530</v>
      </c>
      <c r="T175" s="70" t="s">
        <v>1530</v>
      </c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26</v>
      </c>
      <c r="J176" s="31">
        <f t="shared" si="11"/>
        <v>2</v>
      </c>
      <c r="K176" s="32">
        <f t="shared" si="12"/>
        <v>0.9285714285714286</v>
      </c>
      <c r="L176" s="70"/>
      <c r="M176" s="70"/>
      <c r="N176" s="70"/>
      <c r="O176" s="70"/>
      <c r="P176" s="70"/>
      <c r="Q176" s="70"/>
      <c r="R176" s="70"/>
      <c r="S176" s="70" t="s">
        <v>1530</v>
      </c>
      <c r="T176" s="70" t="s">
        <v>1530</v>
      </c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.75" thickBot="1" x14ac:dyDescent="0.3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17</v>
      </c>
      <c r="J177" s="31">
        <f t="shared" si="11"/>
        <v>11</v>
      </c>
      <c r="K177" s="32">
        <f t="shared" si="12"/>
        <v>0.6071428571428571</v>
      </c>
      <c r="L177" s="70" t="s">
        <v>1530</v>
      </c>
      <c r="M177" s="70"/>
      <c r="N177" s="70"/>
      <c r="O177" s="70"/>
      <c r="P177" s="70" t="s">
        <v>1530</v>
      </c>
      <c r="Q177" s="70"/>
      <c r="R177" s="70" t="s">
        <v>1530</v>
      </c>
      <c r="S177" s="70" t="s">
        <v>1530</v>
      </c>
      <c r="T177" s="70" t="s">
        <v>1530</v>
      </c>
      <c r="U177" s="70" t="s">
        <v>1530</v>
      </c>
      <c r="V177" s="70" t="s">
        <v>1530</v>
      </c>
      <c r="W177" s="70" t="s">
        <v>1530</v>
      </c>
      <c r="X177" s="70" t="s">
        <v>1530</v>
      </c>
      <c r="Y177" s="70" t="s">
        <v>1530</v>
      </c>
      <c r="Z177" s="70" t="s">
        <v>1530</v>
      </c>
      <c r="AA177" s="70"/>
      <c r="AB177" s="70"/>
      <c r="AC177" s="70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.75" thickBot="1" x14ac:dyDescent="0.3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14</v>
      </c>
      <c r="J178" s="31">
        <f t="shared" si="11"/>
        <v>14</v>
      </c>
      <c r="K178" s="32">
        <f t="shared" si="12"/>
        <v>0.5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 t="s">
        <v>1530</v>
      </c>
      <c r="S178" s="70" t="s">
        <v>1530</v>
      </c>
      <c r="T178" s="70" t="s">
        <v>1530</v>
      </c>
      <c r="U178" s="70" t="s">
        <v>1530</v>
      </c>
      <c r="V178" s="70" t="s">
        <v>1530</v>
      </c>
      <c r="W178" s="70" t="s">
        <v>1530</v>
      </c>
      <c r="X178" s="70" t="s">
        <v>1530</v>
      </c>
      <c r="Y178" s="70" t="s">
        <v>1530</v>
      </c>
      <c r="Z178" s="70" t="s">
        <v>1530</v>
      </c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.75" thickBot="1" x14ac:dyDescent="0.3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.75" thickBot="1" x14ac:dyDescent="0.3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.75" thickBot="1" x14ac:dyDescent="0.3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.75" thickBot="1" x14ac:dyDescent="0.3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.75" thickBot="1" x14ac:dyDescent="0.3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.75" thickBot="1" x14ac:dyDescent="0.3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24</v>
      </c>
      <c r="J190" s="31">
        <f t="shared" si="11"/>
        <v>4</v>
      </c>
      <c r="K190" s="32">
        <f t="shared" si="12"/>
        <v>0.8571428571428571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 t="s">
        <v>1530</v>
      </c>
      <c r="Y190" s="70" t="s">
        <v>1530</v>
      </c>
      <c r="Z190" s="70" t="s">
        <v>1530</v>
      </c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.75" thickBot="1" x14ac:dyDescent="0.3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.75" thickBot="1" x14ac:dyDescent="0.3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.75" thickBot="1" x14ac:dyDescent="0.3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.75" thickBot="1" x14ac:dyDescent="0.3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.75" thickBot="1" x14ac:dyDescent="0.3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.75" thickBot="1" x14ac:dyDescent="0.3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.75" thickBot="1" x14ac:dyDescent="0.3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.75" thickBot="1" x14ac:dyDescent="0.3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.75" thickBot="1" x14ac:dyDescent="0.3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14</v>
      </c>
      <c r="J220" s="31">
        <f t="shared" si="14"/>
        <v>14</v>
      </c>
      <c r="K220" s="32">
        <f t="shared" si="15"/>
        <v>0.5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 t="s">
        <v>1530</v>
      </c>
      <c r="S220" s="70" t="s">
        <v>1530</v>
      </c>
      <c r="T220" s="70" t="s">
        <v>1530</v>
      </c>
      <c r="U220" s="70" t="s">
        <v>1530</v>
      </c>
      <c r="V220" s="70" t="s">
        <v>1530</v>
      </c>
      <c r="W220" s="70" t="s">
        <v>1530</v>
      </c>
      <c r="X220" s="70" t="s">
        <v>1530</v>
      </c>
      <c r="Y220" s="70" t="s">
        <v>1530</v>
      </c>
      <c r="Z220" s="70" t="s">
        <v>1530</v>
      </c>
      <c r="AA220" s="70"/>
      <c r="AB220" s="70"/>
      <c r="AC220" s="70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.75" thickBot="1" x14ac:dyDescent="0.3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27</v>
      </c>
      <c r="J221" s="31">
        <f t="shared" si="14"/>
        <v>1</v>
      </c>
      <c r="K221" s="32">
        <f t="shared" si="15"/>
        <v>0.9642857142857143</v>
      </c>
      <c r="L221" s="70"/>
      <c r="M221" s="70"/>
      <c r="N221" s="70"/>
      <c r="O221" s="70"/>
      <c r="P221" s="70"/>
      <c r="Q221" s="70"/>
      <c r="R221" s="71"/>
      <c r="S221" s="70" t="s">
        <v>1530</v>
      </c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27</v>
      </c>
      <c r="J222" s="31">
        <f t="shared" si="14"/>
        <v>1</v>
      </c>
      <c r="K222" s="32">
        <f t="shared" si="15"/>
        <v>0.9642857142857143</v>
      </c>
      <c r="L222" s="70"/>
      <c r="M222" s="70"/>
      <c r="N222" s="70"/>
      <c r="O222" s="70"/>
      <c r="P222" s="70"/>
      <c r="Q222" s="70"/>
      <c r="R222" s="70"/>
      <c r="S222" s="70" t="s">
        <v>1530</v>
      </c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27</v>
      </c>
      <c r="J223" s="31">
        <f t="shared" si="14"/>
        <v>1</v>
      </c>
      <c r="K223" s="32">
        <f t="shared" si="15"/>
        <v>0.9642857142857143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 t="s">
        <v>1530</v>
      </c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27</v>
      </c>
      <c r="J224" s="31">
        <f t="shared" si="14"/>
        <v>1</v>
      </c>
      <c r="K224" s="32">
        <f t="shared" si="15"/>
        <v>0.9642857142857143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 t="s">
        <v>1530</v>
      </c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27</v>
      </c>
      <c r="J225" s="31">
        <f t="shared" si="14"/>
        <v>1</v>
      </c>
      <c r="K225" s="32">
        <f t="shared" si="15"/>
        <v>0.9642857142857143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 t="s">
        <v>1530</v>
      </c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14</v>
      </c>
      <c r="J228" s="31">
        <f t="shared" si="14"/>
        <v>14</v>
      </c>
      <c r="K228" s="32">
        <f t="shared" si="15"/>
        <v>0.5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 t="s">
        <v>1530</v>
      </c>
      <c r="S228" s="70" t="s">
        <v>1530</v>
      </c>
      <c r="T228" s="70" t="s">
        <v>1530</v>
      </c>
      <c r="U228" s="70" t="s">
        <v>1530</v>
      </c>
      <c r="V228" s="70" t="s">
        <v>1530</v>
      </c>
      <c r="W228" s="70" t="s">
        <v>1530</v>
      </c>
      <c r="X228" s="70" t="s">
        <v>1530</v>
      </c>
      <c r="Y228" s="70" t="s">
        <v>1530</v>
      </c>
      <c r="Z228" s="70" t="s">
        <v>1530</v>
      </c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customHeight="1" thickBot="1" x14ac:dyDescent="0.3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27</v>
      </c>
      <c r="J230" s="31">
        <f t="shared" si="14"/>
        <v>1</v>
      </c>
      <c r="K230" s="32">
        <f t="shared" si="15"/>
        <v>0.9642857142857143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customHeight="1" thickBot="1" x14ac:dyDescent="0.3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15</v>
      </c>
      <c r="J231" s="31">
        <f t="shared" si="14"/>
        <v>13</v>
      </c>
      <c r="K231" s="32">
        <f t="shared" si="15"/>
        <v>0.5357142857142857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 t="s">
        <v>1530</v>
      </c>
      <c r="S231" s="70" t="s">
        <v>1530</v>
      </c>
      <c r="T231" s="70" t="s">
        <v>1530</v>
      </c>
      <c r="U231" s="70" t="s">
        <v>1530</v>
      </c>
      <c r="V231" s="70"/>
      <c r="W231" s="70" t="s">
        <v>1530</v>
      </c>
      <c r="X231" s="70" t="s">
        <v>1530</v>
      </c>
      <c r="Y231" s="70" t="s">
        <v>1530</v>
      </c>
      <c r="Z231" s="70" t="s">
        <v>1530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14</v>
      </c>
      <c r="J232" s="31">
        <f t="shared" si="14"/>
        <v>14</v>
      </c>
      <c r="K232" s="32">
        <f t="shared" si="15"/>
        <v>0.5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 t="s">
        <v>1530</v>
      </c>
      <c r="S232" s="70" t="s">
        <v>1530</v>
      </c>
      <c r="T232" s="70" t="s">
        <v>1530</v>
      </c>
      <c r="U232" s="70" t="s">
        <v>1530</v>
      </c>
      <c r="V232" s="70" t="s">
        <v>1530</v>
      </c>
      <c r="W232" s="70" t="s">
        <v>1530</v>
      </c>
      <c r="X232" s="70" t="s">
        <v>1530</v>
      </c>
      <c r="Y232" s="70" t="s">
        <v>1530</v>
      </c>
      <c r="Z232" s="70" t="s">
        <v>1530</v>
      </c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27</v>
      </c>
      <c r="J241" s="31">
        <f t="shared" si="14"/>
        <v>1</v>
      </c>
      <c r="K241" s="32">
        <f t="shared" si="15"/>
        <v>0.9642857142857143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.75" thickBot="1" x14ac:dyDescent="0.3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.75" thickBot="1" x14ac:dyDescent="0.3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25</v>
      </c>
      <c r="J246" s="31">
        <f t="shared" si="14"/>
        <v>3</v>
      </c>
      <c r="K246" s="32">
        <f t="shared" si="15"/>
        <v>0.8928571428571429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.75" thickBot="1" x14ac:dyDescent="0.3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16</v>
      </c>
      <c r="J249" s="31">
        <f t="shared" si="14"/>
        <v>12</v>
      </c>
      <c r="K249" s="32">
        <f t="shared" si="15"/>
        <v>0.5714285714285714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 t="s">
        <v>1530</v>
      </c>
      <c r="S249" s="70" t="s">
        <v>1530</v>
      </c>
      <c r="T249" s="70" t="s">
        <v>1530</v>
      </c>
      <c r="U249" s="70" t="s">
        <v>1530</v>
      </c>
      <c r="V249" s="70" t="s">
        <v>1530</v>
      </c>
      <c r="W249" s="70" t="s">
        <v>1530</v>
      </c>
      <c r="X249" s="70" t="s">
        <v>1530</v>
      </c>
      <c r="Y249" s="70" t="s">
        <v>1530</v>
      </c>
      <c r="Z249" s="70" t="s">
        <v>1530</v>
      </c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.75" thickBot="1" x14ac:dyDescent="0.3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.75" thickBot="1" x14ac:dyDescent="0.3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28</v>
      </c>
      <c r="J254" s="31">
        <f t="shared" si="14"/>
        <v>0</v>
      </c>
      <c r="K254" s="32">
        <f t="shared" si="15"/>
        <v>1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.75" thickBot="1" x14ac:dyDescent="0.3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22</v>
      </c>
      <c r="J265" s="31">
        <f t="shared" si="14"/>
        <v>6</v>
      </c>
      <c r="K265" s="32">
        <f t="shared" si="15"/>
        <v>0.7857142857142857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 t="s">
        <v>1530</v>
      </c>
      <c r="S265" s="70" t="s">
        <v>1530</v>
      </c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.75" thickBot="1" x14ac:dyDescent="0.3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15</v>
      </c>
      <c r="J267" s="31">
        <f t="shared" si="14"/>
        <v>13</v>
      </c>
      <c r="K267" s="32">
        <f t="shared" si="15"/>
        <v>0.5357142857142857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 t="s">
        <v>1530</v>
      </c>
      <c r="S267" s="70" t="s">
        <v>1530</v>
      </c>
      <c r="T267" s="70" t="s">
        <v>1530</v>
      </c>
      <c r="U267" s="70" t="s">
        <v>1530</v>
      </c>
      <c r="V267" s="70" t="s">
        <v>1530</v>
      </c>
      <c r="W267" s="70" t="s">
        <v>1530</v>
      </c>
      <c r="X267" s="70" t="s">
        <v>1530</v>
      </c>
      <c r="Y267" s="70" t="s">
        <v>1530</v>
      </c>
      <c r="Z267" s="70" t="s">
        <v>1530</v>
      </c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14</v>
      </c>
      <c r="J268" s="31">
        <f t="shared" si="14"/>
        <v>14</v>
      </c>
      <c r="K268" s="32">
        <f t="shared" si="15"/>
        <v>0.5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 t="s">
        <v>1530</v>
      </c>
      <c r="S268" s="70" t="s">
        <v>1530</v>
      </c>
      <c r="T268" s="70" t="s">
        <v>1530</v>
      </c>
      <c r="U268" s="70" t="s">
        <v>1530</v>
      </c>
      <c r="V268" s="70" t="s">
        <v>1530</v>
      </c>
      <c r="W268" s="70" t="s">
        <v>1530</v>
      </c>
      <c r="X268" s="70" t="s">
        <v>1530</v>
      </c>
      <c r="Y268" s="70" t="s">
        <v>1530</v>
      </c>
      <c r="Z268" s="70" t="s">
        <v>1530</v>
      </c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28</v>
      </c>
      <c r="J269" s="31">
        <f t="shared" si="14"/>
        <v>0</v>
      </c>
      <c r="K269" s="32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.75" thickBot="1" x14ac:dyDescent="0.3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27</v>
      </c>
      <c r="J271" s="31">
        <f t="shared" si="14"/>
        <v>1</v>
      </c>
      <c r="K271" s="32">
        <f t="shared" si="15"/>
        <v>0.9642857142857143</v>
      </c>
      <c r="L271" s="70"/>
      <c r="M271" s="70"/>
      <c r="N271" s="70"/>
      <c r="O271" s="70"/>
      <c r="P271" s="70"/>
      <c r="Q271" s="70"/>
      <c r="R271" s="70"/>
      <c r="S271" s="70" t="s">
        <v>1530</v>
      </c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.75" thickBot="1" x14ac:dyDescent="0.3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27</v>
      </c>
      <c r="J272" s="31">
        <f t="shared" si="14"/>
        <v>1</v>
      </c>
      <c r="K272" s="32">
        <f t="shared" si="15"/>
        <v>0.9642857142857143</v>
      </c>
      <c r="L272" s="70"/>
      <c r="M272" s="70"/>
      <c r="N272" s="70"/>
      <c r="O272" s="70"/>
      <c r="P272" s="70"/>
      <c r="Q272" s="70"/>
      <c r="R272" s="70"/>
      <c r="S272" s="70" t="s">
        <v>1530</v>
      </c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.75" thickBot="1" x14ac:dyDescent="0.3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/>
      <c r="O273" s="70"/>
      <c r="P273" s="70"/>
      <c r="Q273" s="70"/>
      <c r="R273" s="70"/>
      <c r="S273" s="70" t="s">
        <v>1530</v>
      </c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26</v>
      </c>
      <c r="J278" s="31">
        <f t="shared" si="14"/>
        <v>2</v>
      </c>
      <c r="K278" s="32">
        <f t="shared" si="15"/>
        <v>0.9285714285714286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 t="s">
        <v>1530</v>
      </c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.75" thickBot="1" x14ac:dyDescent="0.3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14</v>
      </c>
      <c r="J279" s="142">
        <f t="shared" si="14"/>
        <v>14</v>
      </c>
      <c r="K279" s="143">
        <f t="shared" si="15"/>
        <v>0.5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 t="s">
        <v>1530</v>
      </c>
      <c r="S279" s="144" t="s">
        <v>1530</v>
      </c>
      <c r="T279" s="144" t="s">
        <v>1530</v>
      </c>
      <c r="U279" s="144" t="s">
        <v>1530</v>
      </c>
      <c r="V279" s="144" t="s">
        <v>1530</v>
      </c>
      <c r="W279" s="144" t="s">
        <v>1530</v>
      </c>
      <c r="X279" s="144" t="s">
        <v>1530</v>
      </c>
      <c r="Y279" s="144" t="s">
        <v>1530</v>
      </c>
      <c r="Z279" s="144" t="s">
        <v>1530</v>
      </c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.75" thickBot="1" x14ac:dyDescent="0.3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25</v>
      </c>
      <c r="J280" s="31">
        <f t="shared" ref="J280:J343" si="17">COUNTIF(L280:AM280,"APAGADO")</f>
        <v>3</v>
      </c>
      <c r="K280" s="32">
        <f t="shared" ref="K280:K343" si="18">(I280)/(J280+I280)</f>
        <v>0.8928571428571429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 t="s">
        <v>1530</v>
      </c>
      <c r="Z280" s="70" t="s">
        <v>1530</v>
      </c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28</v>
      </c>
      <c r="J281" s="31">
        <f t="shared" si="17"/>
        <v>0</v>
      </c>
      <c r="K281" s="32">
        <f t="shared" si="18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.75" thickBot="1" x14ac:dyDescent="0.3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27</v>
      </c>
      <c r="J282" s="31">
        <f t="shared" si="17"/>
        <v>1</v>
      </c>
      <c r="K282" s="32">
        <f t="shared" si="18"/>
        <v>0.9642857142857143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28</v>
      </c>
      <c r="J283" s="31">
        <f t="shared" si="17"/>
        <v>0</v>
      </c>
      <c r="K283" s="32">
        <f t="shared" si="18"/>
        <v>1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15</v>
      </c>
      <c r="J284" s="31">
        <f t="shared" si="17"/>
        <v>13</v>
      </c>
      <c r="K284" s="32">
        <f t="shared" si="18"/>
        <v>0.5357142857142857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 t="s">
        <v>1530</v>
      </c>
      <c r="S284" s="70" t="s">
        <v>1530</v>
      </c>
      <c r="T284" s="70" t="s">
        <v>1530</v>
      </c>
      <c r="U284" s="70" t="s">
        <v>1530</v>
      </c>
      <c r="V284" s="70" t="s">
        <v>1530</v>
      </c>
      <c r="W284" s="70" t="s">
        <v>1530</v>
      </c>
      <c r="X284" s="70" t="s">
        <v>1530</v>
      </c>
      <c r="Y284" s="70"/>
      <c r="Z284" s="70" t="s">
        <v>1530</v>
      </c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27</v>
      </c>
      <c r="J290" s="31">
        <f t="shared" si="17"/>
        <v>1</v>
      </c>
      <c r="K290" s="32">
        <f t="shared" si="18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 t="s">
        <v>1530</v>
      </c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27</v>
      </c>
      <c r="J291" s="31">
        <f t="shared" si="17"/>
        <v>1</v>
      </c>
      <c r="K291" s="32">
        <f t="shared" si="18"/>
        <v>0.9642857142857143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 t="s">
        <v>1530</v>
      </c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27</v>
      </c>
      <c r="J292" s="31">
        <f t="shared" si="17"/>
        <v>1</v>
      </c>
      <c r="K292" s="32">
        <f t="shared" si="18"/>
        <v>0.9642857142857143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 t="s">
        <v>1530</v>
      </c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27</v>
      </c>
      <c r="J293" s="31">
        <f t="shared" si="17"/>
        <v>1</v>
      </c>
      <c r="K293" s="32">
        <f t="shared" si="18"/>
        <v>0.9642857142857143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 t="s">
        <v>1530</v>
      </c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26</v>
      </c>
      <c r="J294" s="31">
        <f t="shared" si="17"/>
        <v>2</v>
      </c>
      <c r="K294" s="32">
        <f t="shared" si="18"/>
        <v>0.9285714285714286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 t="s">
        <v>1530</v>
      </c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26</v>
      </c>
      <c r="J295" s="31">
        <f t="shared" si="17"/>
        <v>2</v>
      </c>
      <c r="K295" s="32">
        <f t="shared" si="18"/>
        <v>0.9285714285714286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 t="s">
        <v>1530</v>
      </c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.75" thickBot="1" x14ac:dyDescent="0.3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27</v>
      </c>
      <c r="J300" s="91">
        <f t="shared" si="17"/>
        <v>1</v>
      </c>
      <c r="K300" s="92">
        <f t="shared" si="18"/>
        <v>0.9642857142857143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 t="s">
        <v>1530</v>
      </c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.75" thickBot="1" x14ac:dyDescent="0.3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14</v>
      </c>
      <c r="J301" s="31">
        <f t="shared" si="17"/>
        <v>14</v>
      </c>
      <c r="K301" s="32">
        <f t="shared" si="18"/>
        <v>0.5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 t="s">
        <v>1530</v>
      </c>
      <c r="S301" s="70" t="s">
        <v>1530</v>
      </c>
      <c r="T301" s="70" t="s">
        <v>1530</v>
      </c>
      <c r="U301" s="70" t="s">
        <v>1530</v>
      </c>
      <c r="V301" s="70" t="s">
        <v>1530</v>
      </c>
      <c r="W301" s="70" t="s">
        <v>1530</v>
      </c>
      <c r="X301" s="70" t="s">
        <v>1530</v>
      </c>
      <c r="Y301" s="70" t="s">
        <v>1530</v>
      </c>
      <c r="Z301" s="70" t="s">
        <v>1530</v>
      </c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27</v>
      </c>
      <c r="J302" s="31">
        <f t="shared" si="17"/>
        <v>1</v>
      </c>
      <c r="K302" s="32">
        <f t="shared" si="18"/>
        <v>0.9642857142857143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 t="s">
        <v>1530</v>
      </c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27</v>
      </c>
      <c r="J303" s="31">
        <f t="shared" si="17"/>
        <v>1</v>
      </c>
      <c r="K303" s="32">
        <f t="shared" si="18"/>
        <v>0.9642857142857143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 t="s">
        <v>1530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27</v>
      </c>
      <c r="J304" s="31">
        <f t="shared" si="17"/>
        <v>1</v>
      </c>
      <c r="K304" s="32">
        <f t="shared" si="18"/>
        <v>0.9642857142857143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 t="s">
        <v>1530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27</v>
      </c>
      <c r="J305" s="31">
        <f t="shared" si="17"/>
        <v>1</v>
      </c>
      <c r="K305" s="32">
        <f t="shared" si="18"/>
        <v>0.9642857142857143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 t="s">
        <v>1530</v>
      </c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27</v>
      </c>
      <c r="J306" s="31">
        <f t="shared" si="17"/>
        <v>1</v>
      </c>
      <c r="K306" s="32">
        <f t="shared" si="18"/>
        <v>0.9642857142857143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 t="s">
        <v>1530</v>
      </c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14</v>
      </c>
      <c r="J307" s="31">
        <f t="shared" si="17"/>
        <v>14</v>
      </c>
      <c r="K307" s="32">
        <f t="shared" si="18"/>
        <v>0.5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 t="s">
        <v>1530</v>
      </c>
      <c r="Y307" s="70" t="s">
        <v>1530</v>
      </c>
      <c r="Z307" s="70" t="s">
        <v>1530</v>
      </c>
      <c r="AA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1530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1530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1530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1530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1530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14</v>
      </c>
      <c r="J313" s="31">
        <f t="shared" si="17"/>
        <v>14</v>
      </c>
      <c r="K313" s="32">
        <f t="shared" si="18"/>
        <v>0.5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 t="s">
        <v>1530</v>
      </c>
      <c r="Y313" s="70" t="s">
        <v>1530</v>
      </c>
      <c r="Z313" s="70" t="s">
        <v>1530</v>
      </c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14</v>
      </c>
      <c r="J314" s="31">
        <f t="shared" si="17"/>
        <v>14</v>
      </c>
      <c r="K314" s="32">
        <f t="shared" si="18"/>
        <v>0.5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 t="s">
        <v>1530</v>
      </c>
      <c r="S314" s="70" t="s">
        <v>1530</v>
      </c>
      <c r="T314" s="70" t="s">
        <v>1530</v>
      </c>
      <c r="U314" s="70" t="s">
        <v>1530</v>
      </c>
      <c r="V314" s="70" t="s">
        <v>1530</v>
      </c>
      <c r="W314" s="70" t="s">
        <v>1530</v>
      </c>
      <c r="X314" s="70" t="s">
        <v>1530</v>
      </c>
      <c r="Y314" s="70" t="s">
        <v>1530</v>
      </c>
      <c r="Z314" s="70" t="s">
        <v>1530</v>
      </c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14</v>
      </c>
      <c r="J315" s="31">
        <f t="shared" si="17"/>
        <v>14</v>
      </c>
      <c r="K315" s="32">
        <f t="shared" si="18"/>
        <v>0.5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 t="s">
        <v>1530</v>
      </c>
      <c r="S315" s="70" t="s">
        <v>1530</v>
      </c>
      <c r="T315" s="70" t="s">
        <v>1530</v>
      </c>
      <c r="U315" s="70" t="s">
        <v>1530</v>
      </c>
      <c r="V315" s="70" t="s">
        <v>1530</v>
      </c>
      <c r="W315" s="70" t="s">
        <v>1530</v>
      </c>
      <c r="X315" s="70" t="s">
        <v>1530</v>
      </c>
      <c r="Y315" s="70" t="s">
        <v>1530</v>
      </c>
      <c r="Z315" s="70" t="s">
        <v>1530</v>
      </c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24</v>
      </c>
      <c r="J319" s="31">
        <f t="shared" si="17"/>
        <v>4</v>
      </c>
      <c r="K319" s="32">
        <f t="shared" si="18"/>
        <v>0.8571428571428571</v>
      </c>
      <c r="L319" s="70"/>
      <c r="M319" s="70"/>
      <c r="N319" s="70" t="s">
        <v>1530</v>
      </c>
      <c r="O319" s="70"/>
      <c r="P319" s="70"/>
      <c r="Q319" s="70"/>
      <c r="R319" s="70"/>
      <c r="S319" s="70" t="s">
        <v>1530</v>
      </c>
      <c r="T319" s="70"/>
      <c r="U319" s="70"/>
      <c r="V319" s="70"/>
      <c r="W319" s="70"/>
      <c r="X319" s="70" t="s">
        <v>1530</v>
      </c>
      <c r="Y319" s="70" t="s">
        <v>1530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24</v>
      </c>
      <c r="J320" s="31">
        <f t="shared" si="17"/>
        <v>4</v>
      </c>
      <c r="K320" s="32">
        <f t="shared" si="18"/>
        <v>0.8571428571428571</v>
      </c>
      <c r="L320" s="70"/>
      <c r="M320" s="70"/>
      <c r="N320" s="70" t="s">
        <v>1530</v>
      </c>
      <c r="O320" s="70"/>
      <c r="P320" s="70"/>
      <c r="Q320" s="70"/>
      <c r="R320" s="70"/>
      <c r="S320" s="70" t="s">
        <v>1530</v>
      </c>
      <c r="T320" s="70"/>
      <c r="U320" s="70"/>
      <c r="V320" s="70"/>
      <c r="W320" s="70"/>
      <c r="X320" s="70" t="s">
        <v>1530</v>
      </c>
      <c r="Y320" s="70" t="s">
        <v>1530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20</v>
      </c>
      <c r="J322" s="31">
        <f t="shared" si="17"/>
        <v>8</v>
      </c>
      <c r="K322" s="32">
        <f t="shared" si="18"/>
        <v>0.7142857142857143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 t="s">
        <v>1530</v>
      </c>
      <c r="V322" s="70" t="s">
        <v>1530</v>
      </c>
      <c r="W322" s="70" t="s">
        <v>1530</v>
      </c>
      <c r="X322" s="70" t="s">
        <v>1530</v>
      </c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27</v>
      </c>
      <c r="J327" s="31">
        <f t="shared" si="17"/>
        <v>1</v>
      </c>
      <c r="K327" s="32">
        <f t="shared" si="18"/>
        <v>0.9642857142857143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27</v>
      </c>
      <c r="J328" s="31">
        <f t="shared" si="17"/>
        <v>1</v>
      </c>
      <c r="K328" s="32">
        <f t="shared" si="18"/>
        <v>0.9642857142857143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.75" thickBot="1" x14ac:dyDescent="0.3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.75" thickBot="1" x14ac:dyDescent="0.3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.75" thickBot="1" x14ac:dyDescent="0.3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.75" thickBot="1" x14ac:dyDescent="0.3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14</v>
      </c>
      <c r="J338" s="31">
        <f t="shared" si="17"/>
        <v>14</v>
      </c>
      <c r="K338" s="32">
        <f t="shared" si="18"/>
        <v>0.5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 t="s">
        <v>1530</v>
      </c>
      <c r="S338" s="70" t="s">
        <v>1530</v>
      </c>
      <c r="T338" s="70" t="s">
        <v>1530</v>
      </c>
      <c r="U338" s="70" t="s">
        <v>1530</v>
      </c>
      <c r="V338" s="70" t="s">
        <v>1530</v>
      </c>
      <c r="W338" s="70" t="s">
        <v>1530</v>
      </c>
      <c r="X338" s="70" t="s">
        <v>1530</v>
      </c>
      <c r="Y338" s="70" t="s">
        <v>1530</v>
      </c>
      <c r="Z338" s="70" t="s">
        <v>1530</v>
      </c>
      <c r="AA338" s="70"/>
      <c r="AB338" s="70"/>
      <c r="AC338" s="70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.75" thickBot="1" x14ac:dyDescent="0.3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14</v>
      </c>
      <c r="J339" s="142">
        <f t="shared" si="17"/>
        <v>14</v>
      </c>
      <c r="K339" s="143">
        <f t="shared" si="18"/>
        <v>0.5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 t="s">
        <v>1530</v>
      </c>
      <c r="S339" s="144" t="s">
        <v>1530</v>
      </c>
      <c r="T339" s="144" t="s">
        <v>1530</v>
      </c>
      <c r="U339" s="144" t="s">
        <v>1530</v>
      </c>
      <c r="V339" s="144" t="s">
        <v>1530</v>
      </c>
      <c r="W339" s="144" t="s">
        <v>1530</v>
      </c>
      <c r="X339" s="144" t="s">
        <v>1530</v>
      </c>
      <c r="Y339" s="144" t="s">
        <v>1530</v>
      </c>
      <c r="Z339" s="144" t="s">
        <v>1530</v>
      </c>
      <c r="AA339" s="144"/>
      <c r="AB339" s="144"/>
      <c r="AC339" s="144"/>
      <c r="AD339" s="144"/>
      <c r="AE339" s="144"/>
      <c r="AF339" s="144"/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.75" thickBot="1" x14ac:dyDescent="0.3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.75" thickBot="1" x14ac:dyDescent="0.3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18</v>
      </c>
      <c r="J341" s="31">
        <f t="shared" si="17"/>
        <v>10</v>
      </c>
      <c r="K341" s="32">
        <f t="shared" si="18"/>
        <v>0.6428571428571429</v>
      </c>
      <c r="L341" s="70"/>
      <c r="M341" s="70"/>
      <c r="N341" s="70"/>
      <c r="O341" s="70"/>
      <c r="P341" s="70"/>
      <c r="Q341" s="70" t="s">
        <v>1530</v>
      </c>
      <c r="R341" s="70" t="s">
        <v>1530</v>
      </c>
      <c r="S341" s="70" t="s">
        <v>1530</v>
      </c>
      <c r="T341" s="70" t="s">
        <v>1530</v>
      </c>
      <c r="U341" s="70" t="s">
        <v>1530</v>
      </c>
      <c r="V341" s="70" t="s">
        <v>1530</v>
      </c>
      <c r="W341" s="70" t="s">
        <v>1530</v>
      </c>
      <c r="X341" s="70" t="s">
        <v>1530</v>
      </c>
      <c r="Y341" s="70" t="s">
        <v>1530</v>
      </c>
      <c r="Z341" s="70" t="s">
        <v>1530</v>
      </c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18</v>
      </c>
      <c r="J342" s="31">
        <f t="shared" si="17"/>
        <v>10</v>
      </c>
      <c r="K342" s="32">
        <f t="shared" si="18"/>
        <v>0.6428571428571429</v>
      </c>
      <c r="L342" s="70"/>
      <c r="M342" s="70"/>
      <c r="N342" s="70"/>
      <c r="O342" s="70"/>
      <c r="P342" s="70"/>
      <c r="Q342" s="70" t="s">
        <v>1530</v>
      </c>
      <c r="R342" s="70" t="s">
        <v>1530</v>
      </c>
      <c r="S342" s="70" t="s">
        <v>1530</v>
      </c>
      <c r="T342" s="70" t="s">
        <v>1530</v>
      </c>
      <c r="U342" s="70" t="s">
        <v>1530</v>
      </c>
      <c r="V342" s="70" t="s">
        <v>1530</v>
      </c>
      <c r="W342" s="70" t="s">
        <v>1530</v>
      </c>
      <c r="X342" s="70" t="s">
        <v>1530</v>
      </c>
      <c r="Y342" s="70" t="s">
        <v>1530</v>
      </c>
      <c r="Z342" s="70" t="s">
        <v>1530</v>
      </c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18</v>
      </c>
      <c r="J343" s="31">
        <f t="shared" si="17"/>
        <v>10</v>
      </c>
      <c r="K343" s="32">
        <f t="shared" si="18"/>
        <v>0.6428571428571429</v>
      </c>
      <c r="L343" s="70"/>
      <c r="M343" s="70"/>
      <c r="N343" s="70"/>
      <c r="O343" s="70"/>
      <c r="P343" s="70"/>
      <c r="Q343" s="70" t="s">
        <v>1530</v>
      </c>
      <c r="R343" s="70" t="s">
        <v>1530</v>
      </c>
      <c r="S343" s="70" t="s">
        <v>1530</v>
      </c>
      <c r="T343" s="70" t="s">
        <v>1530</v>
      </c>
      <c r="U343" s="70" t="s">
        <v>1530</v>
      </c>
      <c r="V343" s="70" t="s">
        <v>1530</v>
      </c>
      <c r="W343" s="70" t="s">
        <v>1530</v>
      </c>
      <c r="X343" s="70" t="s">
        <v>1530</v>
      </c>
      <c r="Y343" s="70" t="s">
        <v>1530</v>
      </c>
      <c r="Z343" s="70" t="s">
        <v>1530</v>
      </c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.75" thickBot="1" x14ac:dyDescent="0.3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.75" thickBot="1" x14ac:dyDescent="0.3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18</v>
      </c>
      <c r="J346" s="31">
        <f t="shared" si="20"/>
        <v>10</v>
      </c>
      <c r="K346" s="32">
        <f t="shared" si="21"/>
        <v>0.6428571428571429</v>
      </c>
      <c r="L346" s="70"/>
      <c r="M346" s="70"/>
      <c r="N346" s="70"/>
      <c r="O346" s="70"/>
      <c r="P346" s="70"/>
      <c r="Q346" s="70" t="s">
        <v>1530</v>
      </c>
      <c r="R346" s="70" t="s">
        <v>1530</v>
      </c>
      <c r="S346" s="70" t="s">
        <v>1530</v>
      </c>
      <c r="T346" s="70" t="s">
        <v>1530</v>
      </c>
      <c r="U346" s="70" t="s">
        <v>1530</v>
      </c>
      <c r="V346" s="70" t="s">
        <v>1530</v>
      </c>
      <c r="W346" s="70" t="s">
        <v>1530</v>
      </c>
      <c r="X346" s="70" t="s">
        <v>1530</v>
      </c>
      <c r="Y346" s="70" t="s">
        <v>1530</v>
      </c>
      <c r="Z346" s="70" t="s">
        <v>1530</v>
      </c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18</v>
      </c>
      <c r="J347" s="31">
        <f t="shared" si="20"/>
        <v>10</v>
      </c>
      <c r="K347" s="32">
        <f t="shared" si="21"/>
        <v>0.6428571428571429</v>
      </c>
      <c r="L347" s="70"/>
      <c r="M347" s="70"/>
      <c r="N347" s="70"/>
      <c r="O347" s="70"/>
      <c r="P347" s="70"/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 t="s">
        <v>1530</v>
      </c>
      <c r="Y347" s="70" t="s">
        <v>1530</v>
      </c>
      <c r="Z347" s="70" t="s">
        <v>1530</v>
      </c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18</v>
      </c>
      <c r="J348" s="31">
        <f t="shared" si="20"/>
        <v>10</v>
      </c>
      <c r="K348" s="32">
        <f t="shared" si="21"/>
        <v>0.6428571428571429</v>
      </c>
      <c r="L348" s="70"/>
      <c r="M348" s="70"/>
      <c r="N348" s="70"/>
      <c r="O348" s="70"/>
      <c r="P348" s="70"/>
      <c r="Q348" s="70" t="s">
        <v>1530</v>
      </c>
      <c r="R348" s="70" t="s">
        <v>1530</v>
      </c>
      <c r="S348" s="70" t="s">
        <v>1530</v>
      </c>
      <c r="T348" s="70" t="s">
        <v>1530</v>
      </c>
      <c r="U348" s="70" t="s">
        <v>1530</v>
      </c>
      <c r="V348" s="70" t="s">
        <v>1530</v>
      </c>
      <c r="W348" s="70" t="s">
        <v>1530</v>
      </c>
      <c r="X348" s="70" t="s">
        <v>1530</v>
      </c>
      <c r="Y348" s="70" t="s">
        <v>1530</v>
      </c>
      <c r="Z348" s="70" t="s">
        <v>1530</v>
      </c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18</v>
      </c>
      <c r="J349" s="31">
        <f t="shared" si="20"/>
        <v>10</v>
      </c>
      <c r="K349" s="32">
        <f t="shared" si="21"/>
        <v>0.6428571428571429</v>
      </c>
      <c r="L349" s="70"/>
      <c r="M349" s="70"/>
      <c r="N349" s="70"/>
      <c r="O349" s="70"/>
      <c r="P349" s="70"/>
      <c r="Q349" s="70" t="s">
        <v>1530</v>
      </c>
      <c r="R349" s="70" t="s">
        <v>1530</v>
      </c>
      <c r="S349" s="70" t="s">
        <v>1530</v>
      </c>
      <c r="T349" s="70" t="s">
        <v>1530</v>
      </c>
      <c r="U349" s="70" t="s">
        <v>1530</v>
      </c>
      <c r="V349" s="70" t="s">
        <v>1530</v>
      </c>
      <c r="W349" s="70" t="s">
        <v>1530</v>
      </c>
      <c r="X349" s="70" t="s">
        <v>1530</v>
      </c>
      <c r="Y349" s="70" t="s">
        <v>1530</v>
      </c>
      <c r="Z349" s="70" t="s">
        <v>1530</v>
      </c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18</v>
      </c>
      <c r="J351" s="31">
        <f t="shared" si="20"/>
        <v>10</v>
      </c>
      <c r="K351" s="32">
        <f t="shared" si="21"/>
        <v>0.6428571428571429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 t="s">
        <v>1530</v>
      </c>
      <c r="Y351" s="70" t="s">
        <v>1530</v>
      </c>
      <c r="Z351" s="70" t="s">
        <v>1530</v>
      </c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.75" thickBot="1" x14ac:dyDescent="0.3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.75" thickBot="1" x14ac:dyDescent="0.3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.75" thickBot="1" x14ac:dyDescent="0.3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18</v>
      </c>
      <c r="J356" s="31">
        <f t="shared" si="20"/>
        <v>10</v>
      </c>
      <c r="K356" s="32">
        <f t="shared" si="21"/>
        <v>0.6428571428571429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 t="s">
        <v>1530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.75" thickBot="1" x14ac:dyDescent="0.3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.75" thickBot="1" x14ac:dyDescent="0.3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.75" thickBot="1" x14ac:dyDescent="0.3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.75" thickBot="1" x14ac:dyDescent="0.3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23</v>
      </c>
      <c r="J362" s="31">
        <f t="shared" si="20"/>
        <v>5</v>
      </c>
      <c r="K362" s="32">
        <f t="shared" si="21"/>
        <v>0.8214285714285714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 t="s">
        <v>1530</v>
      </c>
      <c r="W362" s="70" t="s">
        <v>1530</v>
      </c>
      <c r="X362" s="70" t="s">
        <v>1530</v>
      </c>
      <c r="Y362" s="70" t="s">
        <v>1530</v>
      </c>
      <c r="Z362" s="70" t="s">
        <v>1530</v>
      </c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23</v>
      </c>
      <c r="J363" s="31">
        <f t="shared" si="20"/>
        <v>5</v>
      </c>
      <c r="K363" s="32">
        <f t="shared" si="21"/>
        <v>0.8214285714285714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 t="s">
        <v>1530</v>
      </c>
      <c r="W363" s="70" t="s">
        <v>1530</v>
      </c>
      <c r="X363" s="70" t="s">
        <v>1530</v>
      </c>
      <c r="Y363" s="70" t="s">
        <v>1530</v>
      </c>
      <c r="Z363" s="70" t="s">
        <v>1530</v>
      </c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.75" thickBot="1" x14ac:dyDescent="0.3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14</v>
      </c>
      <c r="J368" s="31">
        <f t="shared" si="20"/>
        <v>14</v>
      </c>
      <c r="K368" s="32">
        <f t="shared" si="21"/>
        <v>0.5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 t="s">
        <v>1530</v>
      </c>
      <c r="S368" s="70" t="s">
        <v>1530</v>
      </c>
      <c r="T368" s="70" t="s">
        <v>1530</v>
      </c>
      <c r="U368" s="70" t="s">
        <v>1530</v>
      </c>
      <c r="V368" s="70" t="s">
        <v>1530</v>
      </c>
      <c r="W368" s="70" t="s">
        <v>1530</v>
      </c>
      <c r="X368" s="70" t="s">
        <v>1530</v>
      </c>
      <c r="Y368" s="70" t="s">
        <v>1530</v>
      </c>
      <c r="Z368" s="70" t="s">
        <v>1530</v>
      </c>
      <c r="AA368" s="70"/>
      <c r="AB368" s="70"/>
      <c r="AC368" s="70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.75" thickBot="1" x14ac:dyDescent="0.3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15</v>
      </c>
      <c r="J369" s="31">
        <f t="shared" si="20"/>
        <v>13</v>
      </c>
      <c r="K369" s="32">
        <f t="shared" si="21"/>
        <v>0.5357142857142857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 t="s">
        <v>1530</v>
      </c>
      <c r="S369" s="70"/>
      <c r="T369" s="70" t="s">
        <v>1530</v>
      </c>
      <c r="U369" s="70" t="s">
        <v>1530</v>
      </c>
      <c r="V369" s="70" t="s">
        <v>1530</v>
      </c>
      <c r="W369" s="70" t="s">
        <v>1530</v>
      </c>
      <c r="X369" s="70" t="s">
        <v>1530</v>
      </c>
      <c r="Y369" s="70" t="s">
        <v>1530</v>
      </c>
      <c r="Z369" s="70" t="s">
        <v>1530</v>
      </c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.75" thickBot="1" x14ac:dyDescent="0.3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.75" thickBot="1" x14ac:dyDescent="0.3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14</v>
      </c>
      <c r="J373" s="31">
        <f t="shared" si="20"/>
        <v>14</v>
      </c>
      <c r="K373" s="32">
        <f t="shared" si="21"/>
        <v>0.5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 t="s">
        <v>1530</v>
      </c>
      <c r="S373" s="70" t="s">
        <v>1530</v>
      </c>
      <c r="T373" s="70" t="s">
        <v>1530</v>
      </c>
      <c r="U373" s="70" t="s">
        <v>1530</v>
      </c>
      <c r="V373" s="70" t="s">
        <v>1530</v>
      </c>
      <c r="W373" s="70" t="s">
        <v>1530</v>
      </c>
      <c r="X373" s="70" t="s">
        <v>1530</v>
      </c>
      <c r="Y373" s="70" t="s">
        <v>1530</v>
      </c>
      <c r="Z373" s="70" t="s">
        <v>1530</v>
      </c>
      <c r="AA373" s="70"/>
      <c r="AB373" s="70"/>
      <c r="AC373" s="70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.75" thickBot="1" x14ac:dyDescent="0.3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14</v>
      </c>
      <c r="J376" s="31">
        <f t="shared" si="20"/>
        <v>14</v>
      </c>
      <c r="K376" s="32">
        <f t="shared" si="21"/>
        <v>0.5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 t="s">
        <v>1530</v>
      </c>
      <c r="S376" s="70" t="s">
        <v>1530</v>
      </c>
      <c r="T376" s="70" t="s">
        <v>1530</v>
      </c>
      <c r="U376" s="70" t="s">
        <v>1530</v>
      </c>
      <c r="V376" s="70" t="s">
        <v>1530</v>
      </c>
      <c r="W376" s="70" t="s">
        <v>1530</v>
      </c>
      <c r="X376" s="70" t="s">
        <v>1530</v>
      </c>
      <c r="Y376" s="70" t="s">
        <v>1530</v>
      </c>
      <c r="Z376" s="70" t="s">
        <v>1530</v>
      </c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899999999999999" customHeight="1" thickBot="1" x14ac:dyDescent="0.3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24</v>
      </c>
      <c r="J380" s="31">
        <f t="shared" si="20"/>
        <v>4</v>
      </c>
      <c r="K380" s="32">
        <f t="shared" si="21"/>
        <v>0.8571428571428571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 t="s">
        <v>1530</v>
      </c>
      <c r="Y380" s="70" t="s">
        <v>1530</v>
      </c>
      <c r="Z380" s="70" t="s">
        <v>1530</v>
      </c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24</v>
      </c>
      <c r="J381" s="31">
        <f t="shared" si="20"/>
        <v>4</v>
      </c>
      <c r="K381" s="32">
        <f t="shared" si="21"/>
        <v>0.8571428571428571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 t="s">
        <v>1530</v>
      </c>
      <c r="Y381" s="70" t="s">
        <v>1530</v>
      </c>
      <c r="Z381" s="70" t="s">
        <v>1530</v>
      </c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24</v>
      </c>
      <c r="J382" s="31">
        <f t="shared" si="20"/>
        <v>4</v>
      </c>
      <c r="K382" s="32">
        <f t="shared" si="21"/>
        <v>0.8571428571428571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 t="s">
        <v>1530</v>
      </c>
      <c r="Y382" s="70" t="s">
        <v>1530</v>
      </c>
      <c r="Z382" s="70" t="s">
        <v>1530</v>
      </c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24</v>
      </c>
      <c r="J383" s="31">
        <f t="shared" si="20"/>
        <v>4</v>
      </c>
      <c r="K383" s="32">
        <f t="shared" si="21"/>
        <v>0.8571428571428571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 t="s">
        <v>1530</v>
      </c>
      <c r="Y383" s="70" t="s">
        <v>1530</v>
      </c>
      <c r="Z383" s="70" t="s">
        <v>1530</v>
      </c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23</v>
      </c>
      <c r="J384" s="31">
        <f t="shared" si="20"/>
        <v>5</v>
      </c>
      <c r="K384" s="32">
        <f t="shared" si="21"/>
        <v>0.8214285714285714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 t="s">
        <v>1530</v>
      </c>
      <c r="W384" s="70" t="s">
        <v>1530</v>
      </c>
      <c r="X384" s="70" t="s">
        <v>1530</v>
      </c>
      <c r="Y384" s="70" t="s">
        <v>1530</v>
      </c>
      <c r="Z384" s="70" t="s">
        <v>1530</v>
      </c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.75" thickBot="1" x14ac:dyDescent="0.3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.75" thickBot="1" x14ac:dyDescent="0.3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.75" thickBot="1" x14ac:dyDescent="0.3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28</v>
      </c>
      <c r="J387" s="31">
        <f t="shared" si="20"/>
        <v>0</v>
      </c>
      <c r="K387" s="32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.75" thickBot="1" x14ac:dyDescent="0.3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.75" thickBot="1" x14ac:dyDescent="0.3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28</v>
      </c>
      <c r="J389" s="31">
        <f t="shared" si="20"/>
        <v>0</v>
      </c>
      <c r="K389" s="32">
        <f t="shared" si="21"/>
        <v>1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28</v>
      </c>
      <c r="J390" s="31">
        <f t="shared" si="20"/>
        <v>0</v>
      </c>
      <c r="K390" s="32">
        <f t="shared" si="21"/>
        <v>1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.75" thickBot="1" x14ac:dyDescent="0.3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28</v>
      </c>
      <c r="J391" s="31">
        <f t="shared" si="20"/>
        <v>0</v>
      </c>
      <c r="K391" s="32">
        <f t="shared" si="21"/>
        <v>1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.75" thickBot="1" x14ac:dyDescent="0.3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14</v>
      </c>
      <c r="J392" s="31">
        <f t="shared" si="20"/>
        <v>14</v>
      </c>
      <c r="K392" s="32">
        <f t="shared" si="21"/>
        <v>0.5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 t="s">
        <v>1530</v>
      </c>
      <c r="S392" s="70" t="s">
        <v>1530</v>
      </c>
      <c r="T392" s="70" t="s">
        <v>1530</v>
      </c>
      <c r="U392" s="70" t="s">
        <v>1530</v>
      </c>
      <c r="V392" s="70" t="s">
        <v>1530</v>
      </c>
      <c r="W392" s="70" t="s">
        <v>1530</v>
      </c>
      <c r="X392" s="70" t="s">
        <v>1530</v>
      </c>
      <c r="Y392" s="70" t="s">
        <v>1530</v>
      </c>
      <c r="Z392" s="70" t="s">
        <v>1530</v>
      </c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15</v>
      </c>
      <c r="J393" s="31">
        <f t="shared" si="20"/>
        <v>13</v>
      </c>
      <c r="K393" s="32">
        <f t="shared" si="21"/>
        <v>0.5357142857142857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 t="s">
        <v>1530</v>
      </c>
      <c r="S393" s="70" t="s">
        <v>1530</v>
      </c>
      <c r="T393" s="70" t="s">
        <v>1530</v>
      </c>
      <c r="U393" s="70" t="s">
        <v>1530</v>
      </c>
      <c r="V393" s="70" t="s">
        <v>1530</v>
      </c>
      <c r="W393" s="70" t="s">
        <v>1530</v>
      </c>
      <c r="X393" s="70" t="s">
        <v>1530</v>
      </c>
      <c r="Y393" s="70" t="s">
        <v>1530</v>
      </c>
      <c r="Z393" s="70" t="s">
        <v>1530</v>
      </c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.75" thickBot="1" x14ac:dyDescent="0.3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.75" thickBot="1" x14ac:dyDescent="0.3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.75" thickBot="1" x14ac:dyDescent="0.3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26</v>
      </c>
      <c r="J397" s="31">
        <f t="shared" si="20"/>
        <v>2</v>
      </c>
      <c r="K397" s="32">
        <f t="shared" si="21"/>
        <v>0.9285714285714286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 t="s">
        <v>1530</v>
      </c>
      <c r="X397" s="70" t="s">
        <v>1530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14</v>
      </c>
      <c r="J398" s="31">
        <f t="shared" si="20"/>
        <v>14</v>
      </c>
      <c r="K398" s="32">
        <f t="shared" si="21"/>
        <v>0.5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 t="s">
        <v>1530</v>
      </c>
      <c r="S398" s="70" t="s">
        <v>1530</v>
      </c>
      <c r="T398" s="70" t="s">
        <v>1530</v>
      </c>
      <c r="U398" s="70" t="s">
        <v>1530</v>
      </c>
      <c r="V398" s="70" t="s">
        <v>1530</v>
      </c>
      <c r="W398" s="70" t="s">
        <v>1530</v>
      </c>
      <c r="X398" s="70" t="s">
        <v>1530</v>
      </c>
      <c r="Y398" s="70" t="s">
        <v>1530</v>
      </c>
      <c r="Z398" s="70" t="s">
        <v>1530</v>
      </c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.75" thickBot="1" x14ac:dyDescent="0.3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28</v>
      </c>
      <c r="J399" s="31">
        <f t="shared" si="20"/>
        <v>0</v>
      </c>
      <c r="K399" s="32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.75" thickBot="1" x14ac:dyDescent="0.3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.75" thickBot="1" x14ac:dyDescent="0.3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.75" thickBot="1" x14ac:dyDescent="0.3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.75" thickBot="1" x14ac:dyDescent="0.3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28</v>
      </c>
      <c r="J403" s="31">
        <f t="shared" si="20"/>
        <v>0</v>
      </c>
      <c r="K403" s="32">
        <f t="shared" si="21"/>
        <v>1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.75" thickBot="1" x14ac:dyDescent="0.3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15</v>
      </c>
      <c r="J404" s="31">
        <f t="shared" si="20"/>
        <v>13</v>
      </c>
      <c r="K404" s="32">
        <f t="shared" si="21"/>
        <v>0.5357142857142857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/>
      <c r="T404" s="70" t="s">
        <v>1530</v>
      </c>
      <c r="U404" s="70" t="s">
        <v>1530</v>
      </c>
      <c r="V404" s="70" t="s">
        <v>1530</v>
      </c>
      <c r="W404" s="70" t="s">
        <v>1530</v>
      </c>
      <c r="X404" s="70" t="s">
        <v>1530</v>
      </c>
      <c r="Y404" s="70" t="s">
        <v>1530</v>
      </c>
      <c r="Z404" s="70" t="s">
        <v>1530</v>
      </c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14</v>
      </c>
      <c r="J407" s="31">
        <f t="shared" si="20"/>
        <v>14</v>
      </c>
      <c r="K407" s="32">
        <f t="shared" si="21"/>
        <v>0.5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 t="s">
        <v>1530</v>
      </c>
      <c r="S407" s="70" t="s">
        <v>1530</v>
      </c>
      <c r="T407" s="70" t="s">
        <v>1530</v>
      </c>
      <c r="U407" s="70" t="s">
        <v>1530</v>
      </c>
      <c r="V407" s="70" t="s">
        <v>1530</v>
      </c>
      <c r="W407" s="70" t="s">
        <v>1530</v>
      </c>
      <c r="X407" s="70" t="s">
        <v>1530</v>
      </c>
      <c r="Y407" s="70" t="s">
        <v>1530</v>
      </c>
      <c r="Z407" s="70" t="s">
        <v>1530</v>
      </c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25</v>
      </c>
      <c r="J409" s="31">
        <f t="shared" si="20"/>
        <v>3</v>
      </c>
      <c r="K409" s="32">
        <f t="shared" si="21"/>
        <v>0.8928571428571429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 t="s">
        <v>1530</v>
      </c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.75" thickBot="1" x14ac:dyDescent="0.3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.75" thickBot="1" x14ac:dyDescent="0.3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.75" thickBot="1" x14ac:dyDescent="0.3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14</v>
      </c>
      <c r="J417" s="31">
        <f t="shared" si="23"/>
        <v>14</v>
      </c>
      <c r="K417" s="32">
        <f t="shared" si="24"/>
        <v>0.5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 t="s">
        <v>1530</v>
      </c>
      <c r="S417" s="70" t="s">
        <v>1530</v>
      </c>
      <c r="T417" s="70" t="s">
        <v>1530</v>
      </c>
      <c r="U417" s="70" t="s">
        <v>1530</v>
      </c>
      <c r="V417" s="70" t="s">
        <v>1530</v>
      </c>
      <c r="W417" s="70" t="s">
        <v>1530</v>
      </c>
      <c r="X417" s="70" t="s">
        <v>1530</v>
      </c>
      <c r="Y417" s="70" t="s">
        <v>1530</v>
      </c>
      <c r="Z417" s="70" t="s">
        <v>1530</v>
      </c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14</v>
      </c>
      <c r="J418" s="31">
        <f t="shared" si="23"/>
        <v>14</v>
      </c>
      <c r="K418" s="32">
        <f t="shared" si="24"/>
        <v>0.5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 t="s">
        <v>1530</v>
      </c>
      <c r="Y418" s="70" t="s">
        <v>1530</v>
      </c>
      <c r="Z418" s="70" t="s">
        <v>1530</v>
      </c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.75" thickBot="1" x14ac:dyDescent="0.3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.75" thickBot="1" x14ac:dyDescent="0.3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28</v>
      </c>
      <c r="J428" s="31">
        <f t="shared" si="23"/>
        <v>0</v>
      </c>
      <c r="K428" s="32">
        <f t="shared" si="24"/>
        <v>1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26</v>
      </c>
      <c r="J429" s="31">
        <f t="shared" si="23"/>
        <v>2</v>
      </c>
      <c r="K429" s="32">
        <f t="shared" si="24"/>
        <v>0.9285714285714286</v>
      </c>
      <c r="L429" s="70"/>
      <c r="M429" s="70"/>
      <c r="N429" s="70"/>
      <c r="O429" s="70"/>
      <c r="P429" s="70"/>
      <c r="Q429" s="70"/>
      <c r="R429" s="70"/>
      <c r="S429" s="70" t="s">
        <v>1530</v>
      </c>
      <c r="T429" s="70" t="s">
        <v>1530</v>
      </c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28</v>
      </c>
      <c r="J432" s="31">
        <f t="shared" si="23"/>
        <v>0</v>
      </c>
      <c r="K432" s="32">
        <f t="shared" si="24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.75" thickBot="1" x14ac:dyDescent="0.3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28</v>
      </c>
      <c r="J433" s="31">
        <f t="shared" si="23"/>
        <v>0</v>
      </c>
      <c r="K433" s="32">
        <f t="shared" si="24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.75" thickBot="1" x14ac:dyDescent="0.3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28</v>
      </c>
      <c r="J434" s="31">
        <f t="shared" si="23"/>
        <v>0</v>
      </c>
      <c r="K434" s="32">
        <f t="shared" si="24"/>
        <v>1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.75" thickBot="1" x14ac:dyDescent="0.3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28</v>
      </c>
      <c r="J435" s="31">
        <f t="shared" si="23"/>
        <v>0</v>
      </c>
      <c r="K435" s="32">
        <f t="shared" si="24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.75" thickBot="1" x14ac:dyDescent="0.3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.75" thickBot="1" x14ac:dyDescent="0.3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.75" thickBot="1" x14ac:dyDescent="0.3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.75" thickBot="1" x14ac:dyDescent="0.3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.75" thickBot="1" x14ac:dyDescent="0.3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.75" thickBot="1" x14ac:dyDescent="0.3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.75" thickBot="1" x14ac:dyDescent="0.3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 t="s">
        <v>1530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.75" thickBot="1" x14ac:dyDescent="0.3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.75" thickBot="1" x14ac:dyDescent="0.3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19</v>
      </c>
      <c r="J463" s="31">
        <f t="shared" si="23"/>
        <v>9</v>
      </c>
      <c r="K463" s="32">
        <f t="shared" si="24"/>
        <v>0.6785714285714286</v>
      </c>
      <c r="L463" s="70"/>
      <c r="M463" s="70"/>
      <c r="N463" s="70"/>
      <c r="O463" s="70"/>
      <c r="P463" s="70" t="s">
        <v>1530</v>
      </c>
      <c r="Q463" s="70" t="s">
        <v>1530</v>
      </c>
      <c r="R463" s="70" t="s">
        <v>1530</v>
      </c>
      <c r="S463" s="70" t="s">
        <v>1530</v>
      </c>
      <c r="T463" s="70" t="s">
        <v>1530</v>
      </c>
      <c r="U463" s="70" t="s">
        <v>1530</v>
      </c>
      <c r="V463" s="70" t="s">
        <v>1530</v>
      </c>
      <c r="W463" s="70" t="s">
        <v>1530</v>
      </c>
      <c r="X463" s="70" t="s">
        <v>1530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18</v>
      </c>
      <c r="J467" s="31">
        <f t="shared" si="23"/>
        <v>10</v>
      </c>
      <c r="K467" s="32">
        <f t="shared" si="24"/>
        <v>0.6428571428571429</v>
      </c>
      <c r="L467" s="70"/>
      <c r="M467" s="70"/>
      <c r="N467" s="70"/>
      <c r="O467" s="70"/>
      <c r="P467" s="70"/>
      <c r="Q467" s="70" t="s">
        <v>1530</v>
      </c>
      <c r="R467" s="70" t="s">
        <v>1530</v>
      </c>
      <c r="S467" s="70" t="s">
        <v>1530</v>
      </c>
      <c r="T467" s="70" t="s">
        <v>1530</v>
      </c>
      <c r="U467" s="70" t="s">
        <v>1530</v>
      </c>
      <c r="V467" s="70" t="s">
        <v>1530</v>
      </c>
      <c r="W467" s="70" t="s">
        <v>1530</v>
      </c>
      <c r="X467" s="70" t="s">
        <v>1530</v>
      </c>
      <c r="Y467" s="70" t="s">
        <v>1530</v>
      </c>
      <c r="Z467" s="70" t="s">
        <v>1530</v>
      </c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18</v>
      </c>
      <c r="J468" s="31">
        <f t="shared" si="23"/>
        <v>10</v>
      </c>
      <c r="K468" s="32">
        <f t="shared" si="24"/>
        <v>0.6428571428571429</v>
      </c>
      <c r="L468" s="70"/>
      <c r="M468" s="70"/>
      <c r="N468" s="70"/>
      <c r="O468" s="70"/>
      <c r="P468" s="70"/>
      <c r="Q468" s="70" t="s">
        <v>1530</v>
      </c>
      <c r="R468" s="70" t="s">
        <v>1530</v>
      </c>
      <c r="S468" s="70" t="s">
        <v>1530</v>
      </c>
      <c r="T468" s="70" t="s">
        <v>1530</v>
      </c>
      <c r="U468" s="70" t="s">
        <v>1530</v>
      </c>
      <c r="V468" s="70" t="s">
        <v>1530</v>
      </c>
      <c r="W468" s="70" t="s">
        <v>1530</v>
      </c>
      <c r="X468" s="70" t="s">
        <v>1530</v>
      </c>
      <c r="Y468" s="70" t="s">
        <v>1530</v>
      </c>
      <c r="Z468" s="70" t="s">
        <v>1530</v>
      </c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.75" thickBot="1" x14ac:dyDescent="0.3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.75" thickBot="1" x14ac:dyDescent="0.3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.75" thickBot="1" x14ac:dyDescent="0.3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.75" thickBot="1" x14ac:dyDescent="0.3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25</v>
      </c>
      <c r="J476" s="31">
        <f t="shared" si="26"/>
        <v>3</v>
      </c>
      <c r="K476" s="32">
        <f t="shared" si="27"/>
        <v>0.8928571428571429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 t="s">
        <v>1530</v>
      </c>
      <c r="Y476" s="70" t="s">
        <v>1530</v>
      </c>
      <c r="Z476" s="70" t="s">
        <v>1530</v>
      </c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25</v>
      </c>
      <c r="J478" s="31">
        <f t="shared" si="26"/>
        <v>3</v>
      </c>
      <c r="K478" s="32">
        <f t="shared" si="27"/>
        <v>0.8928571428571429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 t="s">
        <v>1530</v>
      </c>
      <c r="Y478" s="70" t="s">
        <v>1530</v>
      </c>
      <c r="Z478" s="70" t="s">
        <v>1530</v>
      </c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14</v>
      </c>
      <c r="J484" s="31">
        <f t="shared" si="26"/>
        <v>14</v>
      </c>
      <c r="K484" s="32">
        <f t="shared" si="27"/>
        <v>0.5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 t="s">
        <v>1530</v>
      </c>
      <c r="S484" s="70" t="s">
        <v>1530</v>
      </c>
      <c r="T484" s="70" t="s">
        <v>1530</v>
      </c>
      <c r="U484" s="70" t="s">
        <v>1530</v>
      </c>
      <c r="V484" s="70" t="s">
        <v>1530</v>
      </c>
      <c r="W484" s="70" t="s">
        <v>1530</v>
      </c>
      <c r="X484" s="70" t="s">
        <v>1530</v>
      </c>
      <c r="Y484" s="70" t="s">
        <v>1530</v>
      </c>
      <c r="Z484" s="70" t="s">
        <v>1530</v>
      </c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14</v>
      </c>
      <c r="J486" s="31">
        <f t="shared" si="26"/>
        <v>14</v>
      </c>
      <c r="K486" s="32">
        <f t="shared" si="27"/>
        <v>0.5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 t="s">
        <v>1530</v>
      </c>
      <c r="S486" s="70" t="s">
        <v>1530</v>
      </c>
      <c r="T486" s="70" t="s">
        <v>1530</v>
      </c>
      <c r="U486" s="70" t="s">
        <v>1530</v>
      </c>
      <c r="V486" s="70" t="s">
        <v>1530</v>
      </c>
      <c r="W486" s="70" t="s">
        <v>1530</v>
      </c>
      <c r="X486" s="70" t="s">
        <v>1530</v>
      </c>
      <c r="Y486" s="70" t="s">
        <v>1530</v>
      </c>
      <c r="Z486" s="70" t="s">
        <v>1530</v>
      </c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.75" thickBot="1" x14ac:dyDescent="0.3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28</v>
      </c>
      <c r="J505" s="31">
        <f t="shared" si="26"/>
        <v>0</v>
      </c>
      <c r="K505" s="32">
        <f t="shared" si="27"/>
        <v>1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25</v>
      </c>
      <c r="J507" s="31">
        <f t="shared" si="26"/>
        <v>3</v>
      </c>
      <c r="K507" s="32">
        <f t="shared" si="27"/>
        <v>0.8928571428571429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 t="s">
        <v>1530</v>
      </c>
      <c r="Y507" s="70" t="s">
        <v>1530</v>
      </c>
      <c r="Z507" s="70" t="s">
        <v>1530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15</v>
      </c>
      <c r="J508" s="31">
        <f t="shared" si="26"/>
        <v>13</v>
      </c>
      <c r="K508" s="32">
        <f t="shared" si="27"/>
        <v>0.5357142857142857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 t="s">
        <v>1530</v>
      </c>
      <c r="S508" s="70" t="s">
        <v>1530</v>
      </c>
      <c r="T508" s="70" t="s">
        <v>1530</v>
      </c>
      <c r="U508" s="70" t="s">
        <v>1530</v>
      </c>
      <c r="V508" s="70" t="s">
        <v>1530</v>
      </c>
      <c r="W508" s="70" t="s">
        <v>1530</v>
      </c>
      <c r="X508" s="70" t="s">
        <v>1530</v>
      </c>
      <c r="Y508" s="70" t="s">
        <v>1530</v>
      </c>
      <c r="Z508" s="70" t="s">
        <v>1530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.75" thickBot="1" x14ac:dyDescent="0.3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.75" thickBot="1" x14ac:dyDescent="0.3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.75" thickBot="1" x14ac:dyDescent="0.3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94" spans="5:40" x14ac:dyDescent="0.25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25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25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25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25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25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25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25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25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25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25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25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25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25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25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25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25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25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25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25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25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25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25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25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25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25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25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25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25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25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25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25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25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25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25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25">
      <c r="E758" s="30"/>
      <c r="F758" s="30"/>
      <c r="G758" s="30"/>
      <c r="H758" s="30"/>
      <c r="K758" s="13"/>
      <c r="N758" s="70"/>
    </row>
    <row r="759" spans="5:40" x14ac:dyDescent="0.25">
      <c r="E759" s="30"/>
      <c r="F759" s="30"/>
      <c r="G759" s="30"/>
      <c r="H759" s="30"/>
      <c r="K759" s="13"/>
      <c r="N759" s="70"/>
    </row>
    <row r="760" spans="5:40" x14ac:dyDescent="0.25">
      <c r="E760" s="30"/>
      <c r="F760" s="30"/>
      <c r="G760" s="30"/>
      <c r="H760" s="30"/>
      <c r="K760" s="13"/>
      <c r="N760" s="70"/>
    </row>
    <row r="761" spans="5:40" x14ac:dyDescent="0.25">
      <c r="K761" s="13"/>
      <c r="N761" s="70"/>
    </row>
    <row r="762" spans="5:40" x14ac:dyDescent="0.25">
      <c r="N762" s="70"/>
    </row>
    <row r="763" spans="5:40" x14ac:dyDescent="0.25">
      <c r="N763" s="70"/>
    </row>
    <row r="764" spans="5:40" x14ac:dyDescent="0.25">
      <c r="N764" s="70"/>
    </row>
    <row r="765" spans="5:40" x14ac:dyDescent="0.25">
      <c r="N765" s="70"/>
    </row>
    <row r="766" spans="5:40" x14ac:dyDescent="0.25">
      <c r="N766" s="70"/>
    </row>
    <row r="767" spans="5:40" x14ac:dyDescent="0.25">
      <c r="N767" s="70"/>
    </row>
    <row r="768" spans="5:40" x14ac:dyDescent="0.25">
      <c r="N768" s="70"/>
    </row>
    <row r="769" spans="14:14" x14ac:dyDescent="0.25">
      <c r="N769" s="70"/>
    </row>
    <row r="770" spans="14:14" x14ac:dyDescent="0.25">
      <c r="N770" s="70"/>
    </row>
    <row r="771" spans="14:14" x14ac:dyDescent="0.25">
      <c r="N771" s="70"/>
    </row>
    <row r="772" spans="14:14" x14ac:dyDescent="0.25">
      <c r="N772" s="70"/>
    </row>
    <row r="773" spans="14:14" x14ac:dyDescent="0.25">
      <c r="N773" s="70"/>
    </row>
    <row r="774" spans="14:14" x14ac:dyDescent="0.25">
      <c r="N774" s="70"/>
    </row>
    <row r="775" spans="14:14" x14ac:dyDescent="0.25">
      <c r="N775" s="70"/>
    </row>
    <row r="776" spans="14:14" x14ac:dyDescent="0.25">
      <c r="N776" s="70"/>
    </row>
    <row r="777" spans="14:14" x14ac:dyDescent="0.25">
      <c r="N777" s="70"/>
    </row>
    <row r="778" spans="14:14" x14ac:dyDescent="0.25">
      <c r="N778" s="70"/>
    </row>
    <row r="779" spans="14:14" x14ac:dyDescent="0.25">
      <c r="N779" s="70"/>
    </row>
    <row r="780" spans="14:14" x14ac:dyDescent="0.25">
      <c r="N780" s="70"/>
    </row>
    <row r="781" spans="14:14" x14ac:dyDescent="0.25">
      <c r="N781" s="70"/>
    </row>
    <row r="782" spans="14:14" x14ac:dyDescent="0.25">
      <c r="N782" s="70"/>
    </row>
    <row r="783" spans="14:14" x14ac:dyDescent="0.25">
      <c r="N783" s="70"/>
    </row>
    <row r="784" spans="14:14" x14ac:dyDescent="0.25">
      <c r="N784" s="70"/>
    </row>
    <row r="785" spans="14:14" x14ac:dyDescent="0.25">
      <c r="N785" s="70"/>
    </row>
    <row r="786" spans="14:14" x14ac:dyDescent="0.25">
      <c r="N786" s="70"/>
    </row>
    <row r="787" spans="14:14" x14ac:dyDescent="0.25">
      <c r="N787" s="70"/>
    </row>
    <row r="788" spans="14:14" x14ac:dyDescent="0.25">
      <c r="N788" s="70"/>
    </row>
    <row r="789" spans="14:14" x14ac:dyDescent="0.25">
      <c r="N789" s="70"/>
    </row>
    <row r="790" spans="14:14" x14ac:dyDescent="0.25">
      <c r="N790" s="70"/>
    </row>
    <row r="791" spans="14:14" x14ac:dyDescent="0.25">
      <c r="N791" s="70"/>
    </row>
    <row r="792" spans="14:14" x14ac:dyDescent="0.25">
      <c r="N792" s="70"/>
    </row>
    <row r="793" spans="14:14" x14ac:dyDescent="0.25">
      <c r="N793" s="70"/>
    </row>
    <row r="794" spans="14:14" x14ac:dyDescent="0.25">
      <c r="N794" s="70"/>
    </row>
    <row r="795" spans="14:14" x14ac:dyDescent="0.25">
      <c r="N795" s="70"/>
    </row>
    <row r="796" spans="14:14" x14ac:dyDescent="0.25">
      <c r="N796" s="70"/>
    </row>
    <row r="797" spans="14:14" x14ac:dyDescent="0.25">
      <c r="N797" s="70"/>
    </row>
    <row r="798" spans="14:14" x14ac:dyDescent="0.25">
      <c r="N798" s="70"/>
    </row>
    <row r="799" spans="14:14" x14ac:dyDescent="0.25">
      <c r="N799" s="70"/>
    </row>
    <row r="800" spans="14:14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</sheetData>
  <autoFilter ref="A7:AO591" xr:uid="{00000000-0001-0000-0000-000000000000}"/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0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00" priority="457" operator="equal">
      <formula>$C$257</formula>
    </cfRule>
  </conditionalFormatting>
  <conditionalFormatting sqref="C1:C511 D20 D193 D244:D245 D255:D256 D353:D355 D367 D370 C594:C1048576">
    <cfRule type="cellIs" dxfId="99" priority="3" operator="equal">
      <formula>"IPCOMS"</formula>
    </cfRule>
  </conditionalFormatting>
  <conditionalFormatting sqref="E1:E30 E33:E200 E202:E352 E356:E369 E371:E488 E501:E511 E594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3:E34">
    <cfRule type="containsText" dxfId="9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95" priority="459" operator="equal">
      <formula>$E$10</formula>
    </cfRule>
  </conditionalFormatting>
  <conditionalFormatting sqref="E490">
    <cfRule type="containsText" dxfId="94" priority="406" operator="containsText" text="Radio">
      <formula>NOT(ISERROR(SEARCH("Radio",E490)))</formula>
    </cfRule>
    <cfRule type="containsText" dxfId="93" priority="405" operator="containsText" text="domo">
      <formula>NOT(ISERROR(SEARCH("domo",E490)))</formula>
    </cfRule>
    <cfRule type="containsText" dxfId="92" priority="404" operator="containsText" text="fija">
      <formula>NOT(ISERROR(SEARCH("fija",E490)))</formula>
    </cfRule>
  </conditionalFormatting>
  <conditionalFormatting sqref="E490:E491">
    <cfRule type="containsText" dxfId="91" priority="400" operator="containsText" text="domo">
      <formula>NOT(ISERROR(SEARCH("domo",E490)))</formula>
    </cfRule>
    <cfRule type="containsText" dxfId="90" priority="399" operator="containsText" text="fija">
      <formula>NOT(ISERROR(SEARCH("fija",E490)))</formula>
    </cfRule>
  </conditionalFormatting>
  <conditionalFormatting sqref="E491">
    <cfRule type="containsText" dxfId="89" priority="398" operator="containsText" text="domo">
      <formula>NOT(ISERROR(SEARCH("domo",E491)))</formula>
    </cfRule>
    <cfRule type="containsText" dxfId="88" priority="397" operator="containsText" text="fija">
      <formula>NOT(ISERROR(SEARCH("fija",E491)))</formula>
    </cfRule>
    <cfRule type="containsText" dxfId="87" priority="401" operator="containsText" text="Radio">
      <formula>NOT(ISERROR(SEARCH("Radio",E491)))</formula>
    </cfRule>
  </conditionalFormatting>
  <conditionalFormatting sqref="E494">
    <cfRule type="containsText" dxfId="86" priority="395" operator="containsText" text="domo">
      <formula>NOT(ISERROR(SEARCH("domo",E494)))</formula>
    </cfRule>
    <cfRule type="containsText" dxfId="85" priority="396" operator="containsText" text="Radio">
      <formula>NOT(ISERROR(SEARCH("Radio",E494)))</formula>
    </cfRule>
    <cfRule type="containsText" dxfId="84" priority="394" operator="containsText" text="fija">
      <formula>NOT(ISERROR(SEARCH("fija",E494)))</formula>
    </cfRule>
  </conditionalFormatting>
  <conditionalFormatting sqref="E494:E495">
    <cfRule type="containsText" dxfId="83" priority="389" operator="containsText" text="fija">
      <formula>NOT(ISERROR(SEARCH("fija",E494)))</formula>
    </cfRule>
    <cfRule type="containsText" dxfId="8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81" priority="391" operator="containsText" text="Radio">
      <formula>NOT(ISERROR(SEARCH("Radio",E1)))</formula>
    </cfRule>
  </conditionalFormatting>
  <conditionalFormatting sqref="E495:E496">
    <cfRule type="containsText" dxfId="80" priority="385" operator="containsText" text="domo">
      <formula>NOT(ISERROR(SEARCH("domo",E495)))</formula>
    </cfRule>
    <cfRule type="containsText" dxfId="79" priority="384" operator="containsText" text="fija">
      <formula>NOT(ISERROR(SEARCH("fija",E495)))</formula>
    </cfRule>
  </conditionalFormatting>
  <conditionalFormatting sqref="E496">
    <cfRule type="containsText" dxfId="78" priority="386" operator="containsText" text="Radio">
      <formula>NOT(ISERROR(SEARCH("Radio",E496)))</formula>
    </cfRule>
  </conditionalFormatting>
  <conditionalFormatting sqref="E496:E497">
    <cfRule type="containsText" dxfId="77" priority="380" operator="containsText" text="domo">
      <formula>NOT(ISERROR(SEARCH("domo",E496)))</formula>
    </cfRule>
    <cfRule type="containsText" dxfId="76" priority="379" operator="containsText" text="fija">
      <formula>NOT(ISERROR(SEARCH("fija",E496)))</formula>
    </cfRule>
  </conditionalFormatting>
  <conditionalFormatting sqref="E497">
    <cfRule type="containsText" dxfId="75" priority="381" operator="containsText" text="Radio">
      <formula>NOT(ISERROR(SEARCH("Radio",E497)))</formula>
    </cfRule>
    <cfRule type="containsText" dxfId="74" priority="377" operator="containsText" text="fija">
      <formula>NOT(ISERROR(SEARCH("fija",E497)))</formula>
    </cfRule>
    <cfRule type="containsText" dxfId="73" priority="378" operator="containsText" text="domo">
      <formula>NOT(ISERROR(SEARCH("domo",E497)))</formula>
    </cfRule>
  </conditionalFormatting>
  <conditionalFormatting sqref="E499">
    <cfRule type="containsText" dxfId="72" priority="675" operator="containsText" text="fija">
      <formula>NOT(ISERROR(SEARCH("fija",E499)))</formula>
    </cfRule>
    <cfRule type="containsText" dxfId="71" priority="676" operator="containsText" text="domo">
      <formula>NOT(ISERROR(SEARCH("domo",E499)))</formula>
    </cfRule>
  </conditionalFormatting>
  <conditionalFormatting sqref="E502:E504">
    <cfRule type="containsText" dxfId="70" priority="407" operator="containsText" text="fija">
      <formula>NOT(ISERROR(SEARCH("fija",E502)))</formula>
    </cfRule>
    <cfRule type="containsText" dxfId="69" priority="408" operator="containsText" text="domo">
      <formula>NOT(ISERROR(SEARCH("domo",E502)))</formula>
    </cfRule>
  </conditionalFormatting>
  <conditionalFormatting sqref="E499:H499">
    <cfRule type="containsText" dxfId="68" priority="932" operator="containsText" text="Radio">
      <formula>NOT(ISERROR(SEARCH("Radio",E499)))</formula>
    </cfRule>
  </conditionalFormatting>
  <conditionalFormatting sqref="F1:F121 F128:F200 F202:F369 F371:F511 F594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89">
    <cfRule type="cellIs" dxfId="65" priority="55" operator="equal">
      <formula>"PTP A FO"</formula>
    </cfRule>
    <cfRule type="containsText" dxfId="6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63" priority="656" operator="equal">
      <formula>"PTP A FO"</formula>
    </cfRule>
  </conditionalFormatting>
  <conditionalFormatting sqref="F1:G121 F128:G200 F202:G369 F371:G511 F594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11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94:AN670 V594:AG1048576">
    <cfRule type="cellIs" dxfId="58" priority="38" operator="equal">
      <formula>"apagado"</formula>
    </cfRule>
  </conditionalFormatting>
  <conditionalFormatting sqref="L594:AN1048576">
    <cfRule type="containsText" dxfId="57" priority="588" operator="containsText" text="Caida">
      <formula>NOT(ISERROR(SEARCH("Caida",L594)))</formula>
    </cfRule>
    <cfRule type="notContainsText" dxfId="56" priority="921" operator="notContains" text="Caida">
      <formula>ISERROR(SEARCH("Caida",L594))</formula>
    </cfRule>
  </conditionalFormatting>
  <conditionalFormatting sqref="L8:AO34 AP8:AP121 L35:AN81 AO35:AO121 L82:AF82 AH82:AN82 L83:AN120 AB121:AN121 L121:AA127 AB122:AP127 L128:AP200 Y201 L202:AN306 AO202:AP352 L307:AA307 AC307:AN307 L308:AN352 M353:N353 L353:L355 M354:M355 N354:N356 L356:M356 O356:AO356 AP356:AP369 L357:AO364 N365:AO369 L365:M370 L371:AP511 AH594:AN1048576">
    <cfRule type="cellIs" dxfId="55" priority="37" operator="equal">
      <formula>"APAGADO"</formula>
    </cfRule>
  </conditionalFormatting>
  <conditionalFormatting sqref="N594:N1113">
    <cfRule type="notContainsText" dxfId="54" priority="217" operator="notContains" text="Caida">
      <formula>ISERROR(SEARCH("Caida",N594))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NOT(ISERROR(SEARCH("Caida",N594)))</formula>
    </cfRule>
  </conditionalFormatting>
  <conditionalFormatting sqref="N594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133" zoomScale="90" zoomScaleNormal="90" workbookViewId="0">
      <selection activeCell="B144" sqref="B14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25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25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25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25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25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.75" thickBot="1" x14ac:dyDescent="0.3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6.5" thickTop="1" thickBot="1" x14ac:dyDescent="0.3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.75" thickBot="1" x14ac:dyDescent="0.3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6.5" thickTop="1" thickBot="1" x14ac:dyDescent="0.3">
      <c r="C11"/>
      <c r="D11"/>
      <c r="E11"/>
    </row>
    <row r="12" spans="1:6" ht="16.5" thickTop="1" thickBot="1" x14ac:dyDescent="0.3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25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25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25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25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25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.75" thickBot="1" x14ac:dyDescent="0.3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6.5" thickTop="1" thickBot="1" x14ac:dyDescent="0.3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6.5" thickTop="1" thickBot="1" x14ac:dyDescent="0.3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.75" thickBot="1" x14ac:dyDescent="0.3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6.5" thickTop="1" thickBot="1" x14ac:dyDescent="0.3">
      <c r="C22"/>
      <c r="D22"/>
      <c r="E22"/>
    </row>
    <row r="23" spans="1:6" ht="16.5" thickTop="1" thickBot="1" x14ac:dyDescent="0.3">
      <c r="C23" s="111" t="s">
        <v>918</v>
      </c>
      <c r="D23" s="112" t="s">
        <v>1474</v>
      </c>
      <c r="E23" s="113" t="s">
        <v>919</v>
      </c>
    </row>
    <row r="24" spans="1:6" ht="15.75" thickTop="1" x14ac:dyDescent="0.25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25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25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25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25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.75" thickBot="1" x14ac:dyDescent="0.3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6.5" thickTop="1" thickBot="1" x14ac:dyDescent="0.3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6.5" thickTop="1" thickBot="1" x14ac:dyDescent="0.3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.75" thickBot="1" x14ac:dyDescent="0.3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6.5" thickTop="1" thickBot="1" x14ac:dyDescent="0.3"/>
    <row r="34" spans="1:6" ht="16.5" thickTop="1" thickBot="1" x14ac:dyDescent="0.3">
      <c r="C34" s="111" t="s">
        <v>918</v>
      </c>
      <c r="D34" s="112" t="s">
        <v>1474</v>
      </c>
      <c r="E34" s="113" t="s">
        <v>919</v>
      </c>
    </row>
    <row r="35" spans="1:6" ht="15.75" thickTop="1" x14ac:dyDescent="0.25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25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25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25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25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.75" thickBot="1" x14ac:dyDescent="0.3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6.5" thickTop="1" thickBot="1" x14ac:dyDescent="0.3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6.5" thickTop="1" thickBot="1" x14ac:dyDescent="0.3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.75" thickBot="1" x14ac:dyDescent="0.3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6.5" thickTop="1" thickBot="1" x14ac:dyDescent="0.3"/>
    <row r="45" spans="1:6" ht="16.5" thickTop="1" thickBot="1" x14ac:dyDescent="0.3">
      <c r="C45" s="111" t="s">
        <v>918</v>
      </c>
      <c r="D45" s="112" t="s">
        <v>1474</v>
      </c>
      <c r="E45" s="113" t="s">
        <v>919</v>
      </c>
    </row>
    <row r="46" spans="1:6" ht="15.75" thickTop="1" x14ac:dyDescent="0.25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25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25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25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25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.75" thickBot="1" x14ac:dyDescent="0.3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6.5" thickTop="1" thickBot="1" x14ac:dyDescent="0.3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6.5" thickTop="1" thickBot="1" x14ac:dyDescent="0.3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.75" thickBot="1" x14ac:dyDescent="0.3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6.5" thickTop="1" thickBot="1" x14ac:dyDescent="0.3"/>
    <row r="56" spans="1:6" ht="16.5" thickTop="1" thickBot="1" x14ac:dyDescent="0.3">
      <c r="C56" s="111" t="s">
        <v>918</v>
      </c>
      <c r="D56" s="112" t="s">
        <v>1474</v>
      </c>
      <c r="E56" s="113" t="s">
        <v>919</v>
      </c>
    </row>
    <row r="57" spans="1:6" ht="15.75" thickTop="1" x14ac:dyDescent="0.25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25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25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25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25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.75" thickBot="1" x14ac:dyDescent="0.3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6.5" thickTop="1" thickBot="1" x14ac:dyDescent="0.3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6.5" thickTop="1" thickBot="1" x14ac:dyDescent="0.3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.75" thickBot="1" x14ac:dyDescent="0.3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6.5" thickTop="1" thickBot="1" x14ac:dyDescent="0.3"/>
    <row r="67" spans="1:6" ht="16.5" thickTop="1" thickBot="1" x14ac:dyDescent="0.3">
      <c r="C67" s="111" t="s">
        <v>918</v>
      </c>
      <c r="D67" s="112" t="s">
        <v>1474</v>
      </c>
      <c r="E67" s="113" t="s">
        <v>919</v>
      </c>
    </row>
    <row r="68" spans="1:6" ht="15.75" thickTop="1" x14ac:dyDescent="0.25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25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0.12103174603174603</v>
      </c>
      <c r="F69" s="148"/>
    </row>
    <row r="70" spans="1:6" x14ac:dyDescent="0.25">
      <c r="B70" s="53" t="s">
        <v>1251</v>
      </c>
      <c r="C70" s="67">
        <v>3</v>
      </c>
      <c r="D70" s="107">
        <f>C69-C70</f>
        <v>58</v>
      </c>
      <c r="E70" s="55">
        <f>D70/C68</f>
        <v>0.11507936507936507</v>
      </c>
      <c r="F70" s="148"/>
    </row>
    <row r="71" spans="1:6" x14ac:dyDescent="0.25">
      <c r="B71" s="53" t="s">
        <v>1252</v>
      </c>
      <c r="C71" s="67">
        <v>6</v>
      </c>
      <c r="D71" s="107">
        <f>D70-C71</f>
        <v>52</v>
      </c>
      <c r="E71" s="55">
        <f>D71/C68</f>
        <v>0.10317460317460317</v>
      </c>
      <c r="F71" s="148"/>
    </row>
    <row r="72" spans="1:6" x14ac:dyDescent="0.25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7.5396825396825393E-2</v>
      </c>
      <c r="F72" s="148"/>
    </row>
    <row r="73" spans="1:6" ht="15.75" thickBot="1" x14ac:dyDescent="0.3">
      <c r="B73" s="56" t="s">
        <v>1473</v>
      </c>
      <c r="C73" s="135">
        <v>9</v>
      </c>
      <c r="D73" s="108">
        <f>D72-C73</f>
        <v>29</v>
      </c>
      <c r="E73" s="74">
        <f>D73/C68</f>
        <v>5.7539682539682536E-2</v>
      </c>
      <c r="F73" s="148"/>
    </row>
    <row r="74" spans="1:6" ht="16.5" thickTop="1" thickBot="1" x14ac:dyDescent="0.3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6.5" thickTop="1" thickBot="1" x14ac:dyDescent="0.3">
      <c r="B75" s="102" t="s">
        <v>1069</v>
      </c>
      <c r="C75" s="103">
        <f>BONOMOcam</f>
        <v>271</v>
      </c>
      <c r="D75" s="119">
        <f>Hoja1!L3</f>
        <v>33</v>
      </c>
      <c r="E75" s="109">
        <v>0.13</v>
      </c>
      <c r="F75" s="148"/>
    </row>
    <row r="76" spans="1:6" ht="15.75" thickBot="1" x14ac:dyDescent="0.3">
      <c r="B76" s="116" t="s">
        <v>1070</v>
      </c>
      <c r="C76" s="117">
        <f>COSEIDIcam</f>
        <v>233</v>
      </c>
      <c r="D76" s="117">
        <f>Hoja1!L5</f>
        <v>28</v>
      </c>
      <c r="E76" s="118">
        <f>D76/C76</f>
        <v>0.12017167381974249</v>
      </c>
      <c r="F76" s="149"/>
    </row>
    <row r="77" spans="1:6" ht="16.5" thickTop="1" thickBot="1" x14ac:dyDescent="0.3"/>
    <row r="78" spans="1:6" ht="16.5" thickTop="1" thickBot="1" x14ac:dyDescent="0.3">
      <c r="C78" s="111" t="s">
        <v>918</v>
      </c>
      <c r="D78" s="112" t="s">
        <v>1474</v>
      </c>
      <c r="E78" s="113" t="s">
        <v>919</v>
      </c>
    </row>
    <row r="79" spans="1:6" ht="15.75" thickTop="1" x14ac:dyDescent="0.25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25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0.14484126984126985</v>
      </c>
      <c r="F80" s="148"/>
    </row>
    <row r="81" spans="1:6" x14ac:dyDescent="0.25">
      <c r="B81" s="53" t="s">
        <v>1251</v>
      </c>
      <c r="C81" s="67">
        <v>2</v>
      </c>
      <c r="D81" s="107">
        <f>C80-C81</f>
        <v>71</v>
      </c>
      <c r="E81" s="55">
        <f>D81/C79</f>
        <v>0.14087301587301587</v>
      </c>
      <c r="F81" s="148"/>
    </row>
    <row r="82" spans="1:6" x14ac:dyDescent="0.25">
      <c r="B82" s="53" t="s">
        <v>1252</v>
      </c>
      <c r="C82" s="67">
        <v>6</v>
      </c>
      <c r="D82" s="107">
        <f>D81-C82</f>
        <v>65</v>
      </c>
      <c r="E82" s="55">
        <f>D82/C79</f>
        <v>0.12896825396825398</v>
      </c>
      <c r="F82" s="148"/>
    </row>
    <row r="83" spans="1:6" x14ac:dyDescent="0.25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9.5238095238095233E-2</v>
      </c>
      <c r="F83" s="148"/>
    </row>
    <row r="84" spans="1:6" ht="15.75" thickBot="1" x14ac:dyDescent="0.3">
      <c r="B84" s="56" t="s">
        <v>1473</v>
      </c>
      <c r="C84" s="135">
        <v>9</v>
      </c>
      <c r="D84" s="108">
        <f>D83-C84</f>
        <v>39</v>
      </c>
      <c r="E84" s="74">
        <f>D84/C79</f>
        <v>7.7380952380952384E-2</v>
      </c>
      <c r="F84" s="148"/>
    </row>
    <row r="85" spans="1:6" ht="16.5" thickTop="1" thickBot="1" x14ac:dyDescent="0.3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6.5" thickTop="1" thickBot="1" x14ac:dyDescent="0.3">
      <c r="B86" s="102" t="s">
        <v>1069</v>
      </c>
      <c r="C86" s="103">
        <f>BONOMOcam</f>
        <v>271</v>
      </c>
      <c r="D86" s="119">
        <f>Hoja1!M3</f>
        <v>38</v>
      </c>
      <c r="E86" s="109">
        <v>0.15</v>
      </c>
      <c r="F86" s="148"/>
    </row>
    <row r="87" spans="1:6" ht="15.75" thickBot="1" x14ac:dyDescent="0.3">
      <c r="B87" s="116" t="s">
        <v>1070</v>
      </c>
      <c r="C87" s="117">
        <f>COSEIDIcam</f>
        <v>233</v>
      </c>
      <c r="D87" s="117">
        <f>Hoja1!M5</f>
        <v>35</v>
      </c>
      <c r="E87" s="118">
        <v>0.14000000000000001</v>
      </c>
      <c r="F87" s="149"/>
    </row>
    <row r="88" spans="1:6" ht="16.5" thickTop="1" thickBot="1" x14ac:dyDescent="0.3"/>
    <row r="89" spans="1:6" ht="16.5" thickTop="1" thickBot="1" x14ac:dyDescent="0.3">
      <c r="C89" s="111" t="s">
        <v>918</v>
      </c>
      <c r="D89" s="112" t="s">
        <v>1474</v>
      </c>
      <c r="E89" s="113" t="s">
        <v>919</v>
      </c>
    </row>
    <row r="90" spans="1:6" ht="15.75" thickTop="1" x14ac:dyDescent="0.25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25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0.13293650793650794</v>
      </c>
      <c r="F91" s="148"/>
    </row>
    <row r="92" spans="1:6" x14ac:dyDescent="0.25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25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25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-3.1746031746031744E-2</v>
      </c>
      <c r="F94" s="148"/>
    </row>
    <row r="95" spans="1:6" ht="15.75" thickBot="1" x14ac:dyDescent="0.3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6.5" thickTop="1" thickBot="1" x14ac:dyDescent="0.3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6.5" thickTop="1" thickBot="1" x14ac:dyDescent="0.3">
      <c r="B97" s="102" t="s">
        <v>1069</v>
      </c>
      <c r="C97" s="103">
        <f>BONOMOcam</f>
        <v>271</v>
      </c>
      <c r="D97" s="119">
        <f>Hoja1!N3</f>
        <v>36</v>
      </c>
      <c r="E97" s="109">
        <f>D97/C97</f>
        <v>0.13284132841328414</v>
      </c>
      <c r="F97" s="148"/>
    </row>
    <row r="98" spans="1:6" ht="15.75" thickBot="1" x14ac:dyDescent="0.3">
      <c r="B98" s="116" t="s">
        <v>1070</v>
      </c>
      <c r="C98" s="117">
        <f>COSEIDIcam</f>
        <v>233</v>
      </c>
      <c r="D98" s="117">
        <f>Hoja1!N5</f>
        <v>31</v>
      </c>
      <c r="E98" s="118">
        <f>D98/C98</f>
        <v>0.13304721030042918</v>
      </c>
      <c r="F98" s="149"/>
    </row>
    <row r="99" spans="1:6" ht="16.5" thickTop="1" thickBot="1" x14ac:dyDescent="0.3"/>
    <row r="100" spans="1:6" ht="16.5" thickTop="1" thickBot="1" x14ac:dyDescent="0.3">
      <c r="C100" s="111" t="s">
        <v>918</v>
      </c>
      <c r="D100" s="112" t="s">
        <v>1474</v>
      </c>
      <c r="E100" s="113" t="s">
        <v>919</v>
      </c>
    </row>
    <row r="101" spans="1:6" ht="15.75" thickTop="1" x14ac:dyDescent="0.25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25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0.13690476190476192</v>
      </c>
      <c r="F102" s="148"/>
    </row>
    <row r="103" spans="1:6" x14ac:dyDescent="0.25">
      <c r="B103" s="53" t="s">
        <v>1251</v>
      </c>
      <c r="C103" s="67">
        <v>0</v>
      </c>
      <c r="D103" s="107">
        <f>C102-C103</f>
        <v>69</v>
      </c>
      <c r="E103" s="55">
        <f>D103/C101</f>
        <v>0.13690476190476192</v>
      </c>
      <c r="F103" s="148"/>
    </row>
    <row r="104" spans="1:6" x14ac:dyDescent="0.25">
      <c r="B104" s="53" t="s">
        <v>1252</v>
      </c>
      <c r="C104" s="67">
        <v>0</v>
      </c>
      <c r="D104" s="107">
        <f>D103-C104</f>
        <v>69</v>
      </c>
      <c r="E104" s="55">
        <f>D104/C101</f>
        <v>0.13690476190476192</v>
      </c>
      <c r="F104" s="148"/>
    </row>
    <row r="105" spans="1:6" x14ac:dyDescent="0.25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0.10119047619047619</v>
      </c>
      <c r="F105" s="148"/>
    </row>
    <row r="106" spans="1:6" ht="15.75" thickBot="1" x14ac:dyDescent="0.3">
      <c r="B106" s="56" t="s">
        <v>1473</v>
      </c>
      <c r="C106" s="135">
        <v>0</v>
      </c>
      <c r="D106" s="108">
        <f>D105-C106</f>
        <v>51</v>
      </c>
      <c r="E106" s="74">
        <f>D106/C101</f>
        <v>0.10119047619047619</v>
      </c>
      <c r="F106" s="148"/>
    </row>
    <row r="107" spans="1:6" ht="16.5" thickTop="1" thickBot="1" x14ac:dyDescent="0.3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6.5" thickTop="1" thickBot="1" x14ac:dyDescent="0.3">
      <c r="B108" s="102" t="s">
        <v>1069</v>
      </c>
      <c r="C108" s="103">
        <f>BONOMOcam</f>
        <v>271</v>
      </c>
      <c r="D108" s="119">
        <f>Hoja1!O3</f>
        <v>34</v>
      </c>
      <c r="E108" s="109">
        <f>D108/C108</f>
        <v>0.12546125461254612</v>
      </c>
      <c r="F108" s="148"/>
    </row>
    <row r="109" spans="1:6" ht="15.75" thickBot="1" x14ac:dyDescent="0.3">
      <c r="B109" s="116" t="s">
        <v>1070</v>
      </c>
      <c r="C109" s="117">
        <f>COSEIDIcam</f>
        <v>233</v>
      </c>
      <c r="D109" s="117">
        <f>Hoja1!O5</f>
        <v>35</v>
      </c>
      <c r="E109" s="118">
        <f>D109/C109</f>
        <v>0.15021459227467812</v>
      </c>
      <c r="F109" s="149"/>
    </row>
    <row r="110" spans="1:6" ht="16.5" thickTop="1" thickBot="1" x14ac:dyDescent="0.3"/>
    <row r="111" spans="1:6" ht="16.5" thickTop="1" thickBot="1" x14ac:dyDescent="0.3">
      <c r="C111" s="111" t="s">
        <v>918</v>
      </c>
      <c r="D111" s="112" t="s">
        <v>1474</v>
      </c>
      <c r="E111" s="113" t="s">
        <v>919</v>
      </c>
    </row>
    <row r="112" spans="1:6" ht="15.75" thickTop="1" x14ac:dyDescent="0.25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25">
      <c r="B113" s="53" t="s">
        <v>6</v>
      </c>
      <c r="C113" s="66">
        <f>'RESUMEN TOTAL'!V3</f>
        <v>71</v>
      </c>
      <c r="D113" s="54"/>
      <c r="E113" s="55">
        <f>C113/C112</f>
        <v>0.14087301587301587</v>
      </c>
      <c r="F113" s="148"/>
    </row>
    <row r="114" spans="2:6" x14ac:dyDescent="0.25">
      <c r="B114" s="53" t="s">
        <v>1251</v>
      </c>
      <c r="C114" s="67">
        <v>6</v>
      </c>
      <c r="D114" s="107">
        <f>C113-C114</f>
        <v>65</v>
      </c>
      <c r="E114" s="55">
        <f>D114/C112</f>
        <v>0.12896825396825398</v>
      </c>
      <c r="F114" s="148"/>
    </row>
    <row r="115" spans="2:6" x14ac:dyDescent="0.25">
      <c r="B115" s="53" t="s">
        <v>1252</v>
      </c>
      <c r="C115" s="67">
        <v>6</v>
      </c>
      <c r="D115" s="107">
        <v>59</v>
      </c>
      <c r="E115" s="55">
        <f>D115/C112</f>
        <v>0.11706349206349206</v>
      </c>
      <c r="F115" s="148"/>
    </row>
    <row r="116" spans="2:6" x14ac:dyDescent="0.25">
      <c r="B116" s="53" t="s">
        <v>16</v>
      </c>
      <c r="C116" s="98">
        <f>'RESUMEN TOTAL'!V5</f>
        <v>20</v>
      </c>
      <c r="D116" s="107">
        <v>39</v>
      </c>
      <c r="E116" s="55">
        <f>D116/C112</f>
        <v>7.7380952380952384E-2</v>
      </c>
      <c r="F116" s="148"/>
    </row>
    <row r="117" spans="2:6" ht="15.75" thickBot="1" x14ac:dyDescent="0.3">
      <c r="B117" s="56" t="s">
        <v>1473</v>
      </c>
      <c r="C117" s="135">
        <v>9</v>
      </c>
      <c r="D117" s="108">
        <v>30</v>
      </c>
      <c r="E117" s="74">
        <f>D117/C112</f>
        <v>5.9523809523809521E-2</v>
      </c>
      <c r="F117" s="148"/>
    </row>
    <row r="118" spans="2:6" ht="16.5" thickTop="1" thickBot="1" x14ac:dyDescent="0.3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6.5" thickTop="1" thickBot="1" x14ac:dyDescent="0.3">
      <c r="B119" s="102" t="s">
        <v>1069</v>
      </c>
      <c r="C119" s="103">
        <f>BONOMOcam</f>
        <v>271</v>
      </c>
      <c r="D119" s="119">
        <f>Hoja1!P3</f>
        <v>33</v>
      </c>
      <c r="E119" s="109">
        <f>D119/C119</f>
        <v>0.12177121771217712</v>
      </c>
      <c r="F119" s="148"/>
    </row>
    <row r="120" spans="2:6" ht="15.75" thickBot="1" x14ac:dyDescent="0.3">
      <c r="B120" s="116" t="s">
        <v>1070</v>
      </c>
      <c r="C120" s="117">
        <f>COSEIDIcam</f>
        <v>233</v>
      </c>
      <c r="D120" s="117">
        <f>Hoja1!P5</f>
        <v>38</v>
      </c>
      <c r="E120" s="118">
        <f>D120/C120</f>
        <v>0.1630901287553648</v>
      </c>
      <c r="F120" s="149"/>
    </row>
    <row r="121" spans="2:6" ht="16.5" thickTop="1" thickBot="1" x14ac:dyDescent="0.3"/>
    <row r="122" spans="2:6" ht="16.5" thickTop="1" thickBot="1" x14ac:dyDescent="0.3">
      <c r="C122" s="111" t="s">
        <v>918</v>
      </c>
      <c r="D122" s="112" t="s">
        <v>1474</v>
      </c>
      <c r="E122" s="113" t="s">
        <v>919</v>
      </c>
    </row>
    <row r="123" spans="2:6" ht="15.75" thickTop="1" x14ac:dyDescent="0.25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25">
      <c r="B124" s="53" t="s">
        <v>6</v>
      </c>
      <c r="C124" s="66">
        <f>'RESUMEN TOTAL'!W3</f>
        <v>66</v>
      </c>
      <c r="D124" s="54"/>
      <c r="E124" s="55">
        <f>C124/C123</f>
        <v>0.13095238095238096</v>
      </c>
      <c r="F124" s="148"/>
    </row>
    <row r="125" spans="2:6" x14ac:dyDescent="0.25">
      <c r="B125" s="53" t="s">
        <v>1251</v>
      </c>
      <c r="C125" s="67">
        <v>5</v>
      </c>
      <c r="D125" s="107">
        <f>C124-C125</f>
        <v>61</v>
      </c>
      <c r="E125" s="55">
        <f>D125/C123</f>
        <v>0.12103174603174603</v>
      </c>
      <c r="F125" s="148"/>
    </row>
    <row r="126" spans="2:6" x14ac:dyDescent="0.25">
      <c r="B126" s="53" t="s">
        <v>1252</v>
      </c>
      <c r="C126" s="67">
        <v>6</v>
      </c>
      <c r="D126" s="107">
        <f>D125-C126</f>
        <v>55</v>
      </c>
      <c r="E126" s="55">
        <f>D126/C123</f>
        <v>0.10912698412698413</v>
      </c>
      <c r="F126" s="148"/>
    </row>
    <row r="127" spans="2:6" x14ac:dyDescent="0.25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7.7380952380952384E-2</v>
      </c>
      <c r="F127" s="148"/>
    </row>
    <row r="128" spans="2:6" ht="15.75" thickBot="1" x14ac:dyDescent="0.3">
      <c r="B128" s="56" t="s">
        <v>1473</v>
      </c>
      <c r="C128" s="135">
        <v>9</v>
      </c>
      <c r="D128" s="108">
        <f>D127-C128</f>
        <v>30</v>
      </c>
      <c r="E128" s="74">
        <f>D128/C123</f>
        <v>5.9523809523809521E-2</v>
      </c>
      <c r="F128" s="148"/>
    </row>
    <row r="129" spans="2:6" ht="16.5" thickTop="1" thickBot="1" x14ac:dyDescent="0.3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6.5" thickTop="1" thickBot="1" x14ac:dyDescent="0.3">
      <c r="B130" s="102" t="s">
        <v>1069</v>
      </c>
      <c r="C130" s="103">
        <f>BONOMOcam</f>
        <v>271</v>
      </c>
      <c r="D130" s="119">
        <f>Hoja1!Q3</f>
        <v>35</v>
      </c>
      <c r="E130" s="109">
        <f>D130/C130</f>
        <v>0.12915129151291513</v>
      </c>
      <c r="F130" s="148"/>
    </row>
    <row r="131" spans="2:6" ht="15.75" thickBot="1" x14ac:dyDescent="0.3">
      <c r="B131" s="116" t="s">
        <v>1070</v>
      </c>
      <c r="C131" s="117">
        <f>COSEIDIcam</f>
        <v>233</v>
      </c>
      <c r="D131" s="117">
        <f>Hoja1!Q5</f>
        <v>31</v>
      </c>
      <c r="E131" s="118">
        <v>0.11</v>
      </c>
      <c r="F131" s="149"/>
    </row>
    <row r="132" spans="2:6" ht="16.5" thickTop="1" thickBot="1" x14ac:dyDescent="0.3"/>
    <row r="133" spans="2:6" ht="16.5" thickTop="1" thickBot="1" x14ac:dyDescent="0.3">
      <c r="C133" s="111" t="s">
        <v>918</v>
      </c>
      <c r="D133" s="112" t="s">
        <v>1474</v>
      </c>
      <c r="E133" s="113" t="s">
        <v>919</v>
      </c>
    </row>
    <row r="134" spans="2:6" ht="15.75" thickTop="1" x14ac:dyDescent="0.25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25">
      <c r="B135" s="53" t="s">
        <v>6</v>
      </c>
      <c r="C135" s="66">
        <f>'RESUMEN TOTAL'!X3</f>
        <v>78</v>
      </c>
      <c r="D135" s="54"/>
      <c r="E135" s="55">
        <f>C135/C134</f>
        <v>0.15476190476190477</v>
      </c>
      <c r="F135" s="148"/>
    </row>
    <row r="136" spans="2:6" x14ac:dyDescent="0.25">
      <c r="B136" s="53" t="s">
        <v>1251</v>
      </c>
      <c r="C136" s="67">
        <v>4</v>
      </c>
      <c r="D136" s="107">
        <f>C135-C136</f>
        <v>74</v>
      </c>
      <c r="E136" s="55">
        <f>D136/C134</f>
        <v>0.14682539682539683</v>
      </c>
      <c r="F136" s="148"/>
    </row>
    <row r="137" spans="2:6" x14ac:dyDescent="0.25">
      <c r="B137" s="53" t="s">
        <v>1252</v>
      </c>
      <c r="C137" s="67">
        <v>6</v>
      </c>
      <c r="D137" s="107">
        <f>D136-C137</f>
        <v>68</v>
      </c>
      <c r="E137" s="55">
        <f>D137/C134</f>
        <v>0.13492063492063491</v>
      </c>
      <c r="F137" s="148"/>
    </row>
    <row r="138" spans="2:6" x14ac:dyDescent="0.25">
      <c r="B138" s="53" t="s">
        <v>16</v>
      </c>
      <c r="C138" s="98">
        <v>17</v>
      </c>
      <c r="D138" s="107">
        <f>D137-C138</f>
        <v>51</v>
      </c>
      <c r="E138" s="55">
        <f>D138/C134</f>
        <v>0.10119047619047619</v>
      </c>
      <c r="F138" s="148"/>
    </row>
    <row r="139" spans="2:6" ht="15.75" thickBot="1" x14ac:dyDescent="0.3">
      <c r="B139" s="56" t="s">
        <v>1473</v>
      </c>
      <c r="C139" s="135">
        <v>9</v>
      </c>
      <c r="D139" s="108">
        <v>42</v>
      </c>
      <c r="E139" s="74">
        <f>D139/C134</f>
        <v>8.3333333333333329E-2</v>
      </c>
      <c r="F139" s="148"/>
    </row>
    <row r="140" spans="2:6" ht="16.5" thickTop="1" thickBot="1" x14ac:dyDescent="0.3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6.5" thickTop="1" thickBot="1" x14ac:dyDescent="0.3">
      <c r="B141" s="102" t="s">
        <v>1069</v>
      </c>
      <c r="C141" s="103">
        <f>BONOMOcam</f>
        <v>271</v>
      </c>
      <c r="D141" s="119">
        <v>46</v>
      </c>
      <c r="E141" s="109">
        <f>D141/C141</f>
        <v>0.16974169741697417</v>
      </c>
      <c r="F141" s="148"/>
    </row>
    <row r="142" spans="2:6" ht="15.75" thickBot="1" x14ac:dyDescent="0.3">
      <c r="B142" s="116" t="s">
        <v>1070</v>
      </c>
      <c r="C142" s="117">
        <f>COSEIDIcam</f>
        <v>233</v>
      </c>
      <c r="D142" s="117">
        <v>32</v>
      </c>
      <c r="E142" s="118">
        <f>D142/C142</f>
        <v>0.13733905579399142</v>
      </c>
      <c r="F142" s="149"/>
    </row>
    <row r="143" spans="2:6" ht="16.5" thickTop="1" thickBot="1" x14ac:dyDescent="0.3"/>
    <row r="144" spans="2:6" ht="16.5" thickTop="1" thickBot="1" x14ac:dyDescent="0.3">
      <c r="C144" s="111" t="s">
        <v>918</v>
      </c>
      <c r="D144" s="112" t="s">
        <v>1474</v>
      </c>
      <c r="E144" s="113" t="s">
        <v>919</v>
      </c>
    </row>
    <row r="145" spans="2:6" ht="15.75" thickTop="1" x14ac:dyDescent="0.25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25">
      <c r="B146" s="53" t="s">
        <v>6</v>
      </c>
      <c r="C146" s="66">
        <f>'RESUMEN TOTAL'!Y3</f>
        <v>105</v>
      </c>
      <c r="D146" s="54"/>
      <c r="E146" s="55">
        <f>C146/C145</f>
        <v>0.20833333333333334</v>
      </c>
      <c r="F146" s="148"/>
    </row>
    <row r="147" spans="2:6" x14ac:dyDescent="0.25">
      <c r="B147" s="53" t="s">
        <v>1251</v>
      </c>
      <c r="C147" s="67">
        <v>3</v>
      </c>
      <c r="D147" s="107">
        <f>C146-C147</f>
        <v>102</v>
      </c>
      <c r="E147" s="55">
        <f>D147/C145</f>
        <v>0.20238095238095238</v>
      </c>
      <c r="F147" s="148"/>
    </row>
    <row r="148" spans="2:6" x14ac:dyDescent="0.25">
      <c r="B148" s="53" t="s">
        <v>1252</v>
      </c>
      <c r="C148" s="67">
        <v>6</v>
      </c>
      <c r="D148" s="107">
        <f>D147-C148</f>
        <v>96</v>
      </c>
      <c r="E148" s="55">
        <f>D148/C145</f>
        <v>0.19047619047619047</v>
      </c>
      <c r="F148" s="148"/>
    </row>
    <row r="149" spans="2:6" x14ac:dyDescent="0.25">
      <c r="B149" s="53" t="s">
        <v>16</v>
      </c>
      <c r="C149" s="98">
        <f>'RESUMEN TOTAL'!Y5</f>
        <v>21</v>
      </c>
      <c r="D149" s="107">
        <f>D148-C149</f>
        <v>75</v>
      </c>
      <c r="E149" s="55">
        <f>D149/C145</f>
        <v>0.14880952380952381</v>
      </c>
      <c r="F149" s="148"/>
    </row>
    <row r="150" spans="2:6" ht="15.75" thickBot="1" x14ac:dyDescent="0.3">
      <c r="B150" s="56" t="s">
        <v>1473</v>
      </c>
      <c r="C150" s="135">
        <v>9</v>
      </c>
      <c r="D150" s="108">
        <f>D149-C150</f>
        <v>66</v>
      </c>
      <c r="E150" s="74">
        <f>D150/C145</f>
        <v>0.13095238095238096</v>
      </c>
      <c r="F150" s="148"/>
    </row>
    <row r="151" spans="2:6" ht="16.5" thickTop="1" thickBot="1" x14ac:dyDescent="0.3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6.5" thickTop="1" thickBot="1" x14ac:dyDescent="0.3">
      <c r="B152" s="102" t="s">
        <v>1069</v>
      </c>
      <c r="C152" s="103">
        <f>BONOMOcam</f>
        <v>271</v>
      </c>
      <c r="D152" s="119">
        <v>49</v>
      </c>
      <c r="E152" s="109">
        <f>D152/C152</f>
        <v>0.18081180811808117</v>
      </c>
      <c r="F152" s="148"/>
    </row>
    <row r="153" spans="2:6" ht="15.75" thickBot="1" x14ac:dyDescent="0.3">
      <c r="B153" s="116" t="s">
        <v>1070</v>
      </c>
      <c r="C153" s="117">
        <f>COSEIDIcam</f>
        <v>233</v>
      </c>
      <c r="D153" s="117">
        <v>56</v>
      </c>
      <c r="E153" s="118">
        <f>D153/C153</f>
        <v>0.24034334763948498</v>
      </c>
      <c r="F153" s="149"/>
    </row>
    <row r="154" spans="2:6" ht="15" customHeight="1" thickTop="1" thickBot="1" x14ac:dyDescent="0.3"/>
    <row r="155" spans="2:6" ht="16.5" thickTop="1" thickBot="1" x14ac:dyDescent="0.3">
      <c r="C155" s="111" t="s">
        <v>918</v>
      </c>
      <c r="D155" s="112" t="s">
        <v>1474</v>
      </c>
      <c r="E155" s="113" t="s">
        <v>919</v>
      </c>
    </row>
    <row r="156" spans="2:6" ht="15.75" thickTop="1" x14ac:dyDescent="0.25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25">
      <c r="B157" s="53" t="s">
        <v>6</v>
      </c>
      <c r="C157" s="66">
        <f>'RESUMEN TOTAL'!Z3</f>
        <v>77</v>
      </c>
      <c r="D157" s="54"/>
      <c r="E157" s="55">
        <f>C157/C156</f>
        <v>0.15277777777777779</v>
      </c>
      <c r="F157" s="148"/>
    </row>
    <row r="158" spans="2:6" x14ac:dyDescent="0.25">
      <c r="B158" s="53" t="s">
        <v>1251</v>
      </c>
      <c r="C158" s="67">
        <v>0</v>
      </c>
      <c r="D158" s="107">
        <f>C157-C158</f>
        <v>77</v>
      </c>
      <c r="E158" s="55">
        <f>D158/C156</f>
        <v>0.15277777777777779</v>
      </c>
      <c r="F158" s="148"/>
    </row>
    <row r="159" spans="2:6" x14ac:dyDescent="0.25">
      <c r="B159" s="53" t="s">
        <v>1252</v>
      </c>
      <c r="C159" s="67">
        <v>0</v>
      </c>
      <c r="D159" s="107">
        <f>D158-C159</f>
        <v>77</v>
      </c>
      <c r="E159" s="55">
        <f>D159/C156</f>
        <v>0.15277777777777779</v>
      </c>
      <c r="F159" s="148"/>
    </row>
    <row r="160" spans="2:6" x14ac:dyDescent="0.25">
      <c r="B160" s="53" t="s">
        <v>16</v>
      </c>
      <c r="C160" s="98">
        <f>'RESUMEN TOTAL'!Z5</f>
        <v>15</v>
      </c>
      <c r="D160" s="107">
        <f>D159-C160</f>
        <v>62</v>
      </c>
      <c r="E160" s="55">
        <f>D160/C156</f>
        <v>0.12301587301587301</v>
      </c>
      <c r="F160" s="148"/>
    </row>
    <row r="161" spans="2:6" ht="15.75" thickBot="1" x14ac:dyDescent="0.3">
      <c r="B161" s="56" t="s">
        <v>1473</v>
      </c>
      <c r="C161" s="135">
        <v>0</v>
      </c>
      <c r="D161" s="108">
        <f>D160-C161</f>
        <v>62</v>
      </c>
      <c r="E161" s="74">
        <f>D161/C156</f>
        <v>0.12301587301587301</v>
      </c>
      <c r="F161" s="148"/>
    </row>
    <row r="162" spans="2:6" ht="16.5" thickTop="1" thickBot="1" x14ac:dyDescent="0.3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6.5" thickTop="1" thickBot="1" x14ac:dyDescent="0.3">
      <c r="B163" s="102" t="s">
        <v>1069</v>
      </c>
      <c r="C163" s="103">
        <f>BONOMOcam</f>
        <v>271</v>
      </c>
      <c r="D163" s="119">
        <f>Hoja1!T3</f>
        <v>47</v>
      </c>
      <c r="E163" s="109">
        <f>D163/C163</f>
        <v>0.17343173431734318</v>
      </c>
      <c r="F163" s="148"/>
    </row>
    <row r="164" spans="2:6" ht="15.75" thickBot="1" x14ac:dyDescent="0.3">
      <c r="B164" s="116" t="s">
        <v>1070</v>
      </c>
      <c r="C164" s="117">
        <f>COSEIDIcam</f>
        <v>233</v>
      </c>
      <c r="D164" s="117">
        <f>Hoja1!T5</f>
        <v>30</v>
      </c>
      <c r="E164" s="118">
        <f>D164/C164</f>
        <v>0.12875536480686695</v>
      </c>
      <c r="F164" s="149"/>
    </row>
    <row r="165" spans="2:6" ht="16.5" thickTop="1" thickBot="1" x14ac:dyDescent="0.3"/>
    <row r="166" spans="2:6" ht="16.5" thickTop="1" thickBot="1" x14ac:dyDescent="0.3">
      <c r="C166" s="111" t="s">
        <v>918</v>
      </c>
      <c r="D166" s="112" t="s">
        <v>1474</v>
      </c>
      <c r="E166" s="113" t="s">
        <v>919</v>
      </c>
    </row>
    <row r="167" spans="2:6" ht="15.75" thickTop="1" x14ac:dyDescent="0.25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48"/>
    </row>
    <row r="169" spans="2:6" x14ac:dyDescent="0.25">
      <c r="B169" s="53" t="s">
        <v>1251</v>
      </c>
      <c r="C169" s="67">
        <v>0</v>
      </c>
      <c r="D169" s="107">
        <f>C168-C169</f>
        <v>0</v>
      </c>
      <c r="E169" s="55">
        <f>D169/C167</f>
        <v>0</v>
      </c>
      <c r="F169" s="148"/>
    </row>
    <row r="170" spans="2:6" x14ac:dyDescent="0.25">
      <c r="B170" s="53" t="s">
        <v>1252</v>
      </c>
      <c r="C170" s="67">
        <v>0</v>
      </c>
      <c r="D170" s="107">
        <f>D169-C170</f>
        <v>0</v>
      </c>
      <c r="E170" s="55">
        <f>D170/C167</f>
        <v>0</v>
      </c>
      <c r="F170" s="148"/>
    </row>
    <row r="171" spans="2:6" x14ac:dyDescent="0.25">
      <c r="B171" s="53" t="s">
        <v>16</v>
      </c>
      <c r="C171" s="98">
        <f>'RESUMEN TOTAL'!AA5</f>
        <v>0</v>
      </c>
      <c r="D171" s="107">
        <f>D170-C171</f>
        <v>0</v>
      </c>
      <c r="E171" s="55">
        <f>D171/C167</f>
        <v>0</v>
      </c>
      <c r="F171" s="148"/>
    </row>
    <row r="172" spans="2:6" ht="15.75" thickBot="1" x14ac:dyDescent="0.3">
      <c r="B172" s="56" t="s">
        <v>1473</v>
      </c>
      <c r="C172" s="135"/>
      <c r="D172" s="108">
        <f>D171-C172</f>
        <v>0</v>
      </c>
      <c r="E172" s="74">
        <f>D172/C167</f>
        <v>0</v>
      </c>
      <c r="F172" s="148"/>
    </row>
    <row r="173" spans="2:6" ht="16.5" thickTop="1" thickBot="1" x14ac:dyDescent="0.3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6.5" thickTop="1" thickBot="1" x14ac:dyDescent="0.3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.75" thickBot="1" x14ac:dyDescent="0.3">
      <c r="B175" s="116" t="s">
        <v>1070</v>
      </c>
      <c r="C175" s="117">
        <f>COSEIDIcam</f>
        <v>233</v>
      </c>
      <c r="D175" s="117">
        <f>Hoja1!U5</f>
        <v>0</v>
      </c>
      <c r="E175" s="118">
        <f>D175/C175</f>
        <v>0</v>
      </c>
      <c r="F175" s="149"/>
    </row>
    <row r="176" spans="2:6" ht="16.5" thickTop="1" thickBot="1" x14ac:dyDescent="0.3"/>
    <row r="177" spans="2:6" ht="16.5" thickTop="1" thickBot="1" x14ac:dyDescent="0.3">
      <c r="C177" s="111" t="s">
        <v>918</v>
      </c>
      <c r="D177" s="112" t="s">
        <v>1474</v>
      </c>
      <c r="E177" s="113" t="s">
        <v>919</v>
      </c>
    </row>
    <row r="178" spans="2:6" ht="15.75" thickTop="1" x14ac:dyDescent="0.25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48"/>
    </row>
    <row r="180" spans="2:6" x14ac:dyDescent="0.25">
      <c r="B180" s="53" t="s">
        <v>1251</v>
      </c>
      <c r="C180" s="67">
        <v>0</v>
      </c>
      <c r="D180" s="107">
        <f>C179-C180</f>
        <v>0</v>
      </c>
      <c r="E180" s="55">
        <f>D180/C178</f>
        <v>0</v>
      </c>
      <c r="F180" s="148"/>
    </row>
    <row r="181" spans="2:6" x14ac:dyDescent="0.25">
      <c r="B181" s="53" t="s">
        <v>1252</v>
      </c>
      <c r="C181" s="67">
        <v>0</v>
      </c>
      <c r="D181" s="107">
        <f>D180-C181</f>
        <v>0</v>
      </c>
      <c r="E181" s="55">
        <f>D181/C178</f>
        <v>0</v>
      </c>
      <c r="F181" s="148"/>
    </row>
    <row r="182" spans="2:6" x14ac:dyDescent="0.25">
      <c r="B182" s="53" t="s">
        <v>16</v>
      </c>
      <c r="C182" s="98">
        <v>0</v>
      </c>
      <c r="D182" s="107">
        <f>D181-C182</f>
        <v>0</v>
      </c>
      <c r="E182" s="55">
        <f>D182/C178</f>
        <v>0</v>
      </c>
      <c r="F182" s="148"/>
    </row>
    <row r="183" spans="2:6" ht="15.75" thickBot="1" x14ac:dyDescent="0.3">
      <c r="B183" s="56" t="s">
        <v>1473</v>
      </c>
      <c r="C183" s="135">
        <v>0</v>
      </c>
      <c r="D183" s="108">
        <f>D182-C183</f>
        <v>0</v>
      </c>
      <c r="E183" s="74">
        <f>D183/C178</f>
        <v>0</v>
      </c>
      <c r="F183" s="148"/>
    </row>
    <row r="184" spans="2:6" ht="16.5" thickTop="1" thickBot="1" x14ac:dyDescent="0.3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6.5" thickTop="1" thickBot="1" x14ac:dyDescent="0.3">
      <c r="B185" s="102" t="s">
        <v>1069</v>
      </c>
      <c r="C185" s="103">
        <f>BONOMOcam</f>
        <v>271</v>
      </c>
      <c r="D185" s="119">
        <f>Hoja1!V3</f>
        <v>0</v>
      </c>
      <c r="E185" s="109">
        <v>0</v>
      </c>
      <c r="F185" s="148"/>
    </row>
    <row r="186" spans="2:6" ht="15.75" thickBot="1" x14ac:dyDescent="0.3">
      <c r="B186" s="116" t="s">
        <v>1070</v>
      </c>
      <c r="C186" s="117">
        <f>COSEIDIcam</f>
        <v>233</v>
      </c>
      <c r="D186" s="117">
        <f>Hoja1!V5</f>
        <v>0</v>
      </c>
      <c r="E186" s="118">
        <v>0</v>
      </c>
      <c r="F186" s="149"/>
    </row>
    <row r="187" spans="2:6" ht="16.5" thickTop="1" thickBot="1" x14ac:dyDescent="0.3"/>
    <row r="188" spans="2:6" ht="16.5" thickTop="1" thickBot="1" x14ac:dyDescent="0.3">
      <c r="C188" s="111" t="s">
        <v>918</v>
      </c>
      <c r="D188" s="112" t="s">
        <v>1474</v>
      </c>
      <c r="E188" s="113" t="s">
        <v>919</v>
      </c>
    </row>
    <row r="189" spans="2:6" ht="15.75" thickTop="1" x14ac:dyDescent="0.25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48"/>
    </row>
    <row r="191" spans="2:6" x14ac:dyDescent="0.25">
      <c r="B191" s="53" t="s">
        <v>1251</v>
      </c>
      <c r="C191" s="67">
        <v>0</v>
      </c>
      <c r="D191" s="107">
        <f>C190-C191</f>
        <v>0</v>
      </c>
      <c r="E191" s="55">
        <f>D191/C189</f>
        <v>0</v>
      </c>
      <c r="F191" s="148"/>
    </row>
    <row r="192" spans="2:6" x14ac:dyDescent="0.25">
      <c r="B192" s="53" t="s">
        <v>1252</v>
      </c>
      <c r="C192" s="67">
        <v>0</v>
      </c>
      <c r="D192" s="107">
        <f>D191-C192</f>
        <v>0</v>
      </c>
      <c r="E192" s="55">
        <f>D192/C189</f>
        <v>0</v>
      </c>
      <c r="F192" s="148"/>
    </row>
    <row r="193" spans="2:6" x14ac:dyDescent="0.25">
      <c r="B193" s="53" t="s">
        <v>16</v>
      </c>
      <c r="C193" s="98">
        <v>0</v>
      </c>
      <c r="D193" s="107">
        <f>D192-C193</f>
        <v>0</v>
      </c>
      <c r="E193" s="55">
        <f>D193/C189</f>
        <v>0</v>
      </c>
      <c r="F193" s="148"/>
    </row>
    <row r="194" spans="2:6" ht="15.75" thickBot="1" x14ac:dyDescent="0.3">
      <c r="B194" s="56" t="s">
        <v>1473</v>
      </c>
      <c r="C194" s="135">
        <v>0</v>
      </c>
      <c r="D194" s="108">
        <f>D193-C194</f>
        <v>0</v>
      </c>
      <c r="E194" s="74">
        <f>D194/C189</f>
        <v>0</v>
      </c>
      <c r="F194" s="148"/>
    </row>
    <row r="195" spans="2:6" ht="16.5" thickTop="1" thickBot="1" x14ac:dyDescent="0.3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6.5" thickTop="1" thickBot="1" x14ac:dyDescent="0.3">
      <c r="B196" s="102" t="s">
        <v>1069</v>
      </c>
      <c r="C196" s="103">
        <f>BONOMOcam</f>
        <v>271</v>
      </c>
      <c r="D196" s="119">
        <v>0</v>
      </c>
      <c r="E196" s="109">
        <f>D196/C196</f>
        <v>0</v>
      </c>
      <c r="F196" s="148"/>
    </row>
    <row r="197" spans="2:6" ht="15.75" thickBot="1" x14ac:dyDescent="0.3">
      <c r="B197" s="116" t="s">
        <v>1070</v>
      </c>
      <c r="C197" s="117">
        <f>COSEIDIcam</f>
        <v>233</v>
      </c>
      <c r="D197" s="117">
        <v>0</v>
      </c>
      <c r="E197" s="118">
        <f>D197/C197</f>
        <v>0</v>
      </c>
      <c r="F197" s="149"/>
    </row>
    <row r="198" spans="2:6" ht="16.5" thickTop="1" thickBot="1" x14ac:dyDescent="0.3"/>
    <row r="199" spans="2:6" ht="16.5" thickTop="1" thickBot="1" x14ac:dyDescent="0.3">
      <c r="C199" s="111" t="s">
        <v>918</v>
      </c>
      <c r="D199" s="112" t="s">
        <v>1474</v>
      </c>
      <c r="E199" s="113" t="s">
        <v>919</v>
      </c>
    </row>
    <row r="200" spans="2:6" ht="15.75" thickTop="1" x14ac:dyDescent="0.25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48"/>
    </row>
    <row r="202" spans="2:6" x14ac:dyDescent="0.25">
      <c r="B202" s="53" t="s">
        <v>1251</v>
      </c>
      <c r="C202" s="67">
        <v>0</v>
      </c>
      <c r="D202" s="107">
        <f>C201-C202</f>
        <v>0</v>
      </c>
      <c r="E202" s="55">
        <f>D202/C200</f>
        <v>0</v>
      </c>
      <c r="F202" s="148"/>
    </row>
    <row r="203" spans="2:6" x14ac:dyDescent="0.25">
      <c r="B203" s="53" t="s">
        <v>1252</v>
      </c>
      <c r="C203" s="67">
        <v>0</v>
      </c>
      <c r="D203" s="107">
        <f>D202-C203</f>
        <v>0</v>
      </c>
      <c r="E203" s="55">
        <f>D203/C200</f>
        <v>0</v>
      </c>
      <c r="F203" s="148"/>
    </row>
    <row r="204" spans="2:6" x14ac:dyDescent="0.25">
      <c r="B204" s="53" t="s">
        <v>16</v>
      </c>
      <c r="C204" s="98">
        <f>'RESUMEN TOTAL'!AC5</f>
        <v>0</v>
      </c>
      <c r="D204" s="107">
        <f>D203-C204</f>
        <v>0</v>
      </c>
      <c r="E204" s="55">
        <f>D204/C200</f>
        <v>0</v>
      </c>
      <c r="F204" s="148"/>
    </row>
    <row r="205" spans="2:6" ht="15.75" thickBot="1" x14ac:dyDescent="0.3">
      <c r="B205" s="56" t="s">
        <v>1473</v>
      </c>
      <c r="C205" s="135">
        <v>0</v>
      </c>
      <c r="D205" s="108">
        <f>D204-C205</f>
        <v>0</v>
      </c>
      <c r="E205" s="74">
        <f>D205/C200</f>
        <v>0</v>
      </c>
      <c r="F205" s="148"/>
    </row>
    <row r="206" spans="2:6" ht="16.5" thickTop="1" thickBot="1" x14ac:dyDescent="0.3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6.5" thickTop="1" thickBot="1" x14ac:dyDescent="0.3">
      <c r="B207" s="102" t="s">
        <v>1069</v>
      </c>
      <c r="C207" s="103">
        <f>BONOMOcam</f>
        <v>271</v>
      </c>
      <c r="D207" s="119">
        <v>0</v>
      </c>
      <c r="E207" s="109">
        <f>D207/C207</f>
        <v>0</v>
      </c>
      <c r="F207" s="148"/>
    </row>
    <row r="208" spans="2:6" ht="15.75" thickBot="1" x14ac:dyDescent="0.3">
      <c r="B208" s="116" t="s">
        <v>1070</v>
      </c>
      <c r="C208" s="117">
        <f>COSEIDIcam</f>
        <v>233</v>
      </c>
      <c r="D208" s="117">
        <v>0</v>
      </c>
      <c r="E208" s="118">
        <f>D208/C208</f>
        <v>0</v>
      </c>
      <c r="F208" s="149"/>
    </row>
    <row r="209" spans="2:6" ht="16.5" thickTop="1" thickBot="1" x14ac:dyDescent="0.3"/>
    <row r="210" spans="2:6" ht="16.5" thickTop="1" thickBot="1" x14ac:dyDescent="0.3">
      <c r="C210" s="111" t="s">
        <v>918</v>
      </c>
      <c r="D210" s="112" t="s">
        <v>1474</v>
      </c>
      <c r="E210" s="113" t="s">
        <v>919</v>
      </c>
    </row>
    <row r="211" spans="2:6" ht="15.75" thickTop="1" x14ac:dyDescent="0.25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48"/>
    </row>
    <row r="213" spans="2:6" x14ac:dyDescent="0.25">
      <c r="B213" s="53" t="s">
        <v>1251</v>
      </c>
      <c r="C213" s="67">
        <v>0</v>
      </c>
      <c r="D213" s="107">
        <f>C212-C213</f>
        <v>0</v>
      </c>
      <c r="E213" s="55">
        <f>D213/C211</f>
        <v>0</v>
      </c>
      <c r="F213" s="148"/>
    </row>
    <row r="214" spans="2:6" x14ac:dyDescent="0.25">
      <c r="B214" s="53" t="s">
        <v>1252</v>
      </c>
      <c r="C214" s="67">
        <v>0</v>
      </c>
      <c r="D214" s="107">
        <f>D213-C214</f>
        <v>0</v>
      </c>
      <c r="E214" s="55">
        <f>D214/C211</f>
        <v>0</v>
      </c>
      <c r="F214" s="148"/>
    </row>
    <row r="215" spans="2:6" x14ac:dyDescent="0.25">
      <c r="B215" s="53" t="s">
        <v>16</v>
      </c>
      <c r="C215" s="98">
        <v>0</v>
      </c>
      <c r="D215" s="107">
        <f>D214-C215</f>
        <v>0</v>
      </c>
      <c r="E215" s="55">
        <f>D215/C211</f>
        <v>0</v>
      </c>
      <c r="F215" s="148"/>
    </row>
    <row r="216" spans="2:6" ht="15.75" thickBot="1" x14ac:dyDescent="0.3">
      <c r="B216" s="56" t="s">
        <v>1473</v>
      </c>
      <c r="C216" s="135">
        <v>0</v>
      </c>
      <c r="D216" s="108">
        <f>D215-C216</f>
        <v>0</v>
      </c>
      <c r="E216" s="74">
        <f>D216/C211</f>
        <v>0</v>
      </c>
      <c r="F216" s="148"/>
    </row>
    <row r="217" spans="2:6" ht="16.5" thickTop="1" thickBot="1" x14ac:dyDescent="0.3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6.5" thickTop="1" thickBot="1" x14ac:dyDescent="0.3">
      <c r="B218" s="102" t="s">
        <v>1069</v>
      </c>
      <c r="C218" s="103">
        <f>BONOMOcam</f>
        <v>271</v>
      </c>
      <c r="D218" s="119">
        <v>0</v>
      </c>
      <c r="E218" s="109">
        <f>D218/C218</f>
        <v>0</v>
      </c>
      <c r="F218" s="148"/>
    </row>
    <row r="219" spans="2:6" ht="15.75" thickBot="1" x14ac:dyDescent="0.3">
      <c r="B219" s="116" t="s">
        <v>1070</v>
      </c>
      <c r="C219" s="117">
        <f>COSEIDIcam</f>
        <v>233</v>
      </c>
      <c r="D219" s="117">
        <v>0</v>
      </c>
      <c r="E219" s="118">
        <f>D219/C219</f>
        <v>0</v>
      </c>
      <c r="F219" s="149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1" t="s">
        <v>918</v>
      </c>
      <c r="D222" s="112" t="s">
        <v>1474</v>
      </c>
      <c r="E222" s="113" t="s">
        <v>919</v>
      </c>
    </row>
    <row r="223" spans="2:6" ht="15.75" thickTop="1" x14ac:dyDescent="0.25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25">
      <c r="B224" s="53" t="s">
        <v>6</v>
      </c>
      <c r="C224" s="66">
        <v>0</v>
      </c>
      <c r="D224" s="54"/>
      <c r="E224" s="55">
        <f>C224/C223</f>
        <v>0</v>
      </c>
      <c r="F224" s="148"/>
    </row>
    <row r="225" spans="2:6" x14ac:dyDescent="0.25">
      <c r="B225" s="53" t="s">
        <v>1251</v>
      </c>
      <c r="C225" s="67">
        <v>0</v>
      </c>
      <c r="D225" s="107">
        <f>C224-C225</f>
        <v>0</v>
      </c>
      <c r="E225" s="55">
        <f>D225/C223</f>
        <v>0</v>
      </c>
      <c r="F225" s="148"/>
    </row>
    <row r="226" spans="2:6" x14ac:dyDescent="0.25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25">
      <c r="B227" s="53" t="s">
        <v>16</v>
      </c>
      <c r="C227" s="98">
        <v>0</v>
      </c>
      <c r="D227" s="107">
        <v>0</v>
      </c>
      <c r="E227" s="55">
        <f>D227/C223</f>
        <v>0</v>
      </c>
      <c r="F227" s="148"/>
    </row>
    <row r="228" spans="2:6" ht="15.75" thickBot="1" x14ac:dyDescent="0.3">
      <c r="B228" s="56" t="s">
        <v>1473</v>
      </c>
      <c r="C228" s="135">
        <v>0</v>
      </c>
      <c r="D228" s="108">
        <v>0</v>
      </c>
      <c r="E228" s="74">
        <v>0</v>
      </c>
      <c r="F228" s="148"/>
    </row>
    <row r="229" spans="2:6" ht="16.5" thickTop="1" thickBot="1" x14ac:dyDescent="0.3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6.5" thickTop="1" thickBot="1" x14ac:dyDescent="0.3">
      <c r="B230" s="102" t="s">
        <v>1069</v>
      </c>
      <c r="C230" s="103">
        <f>BONOMOcam</f>
        <v>271</v>
      </c>
      <c r="D230" s="119">
        <v>0</v>
      </c>
      <c r="E230" s="109">
        <f>D230/C230</f>
        <v>0</v>
      </c>
      <c r="F230" s="148"/>
    </row>
    <row r="231" spans="2:6" ht="15.75" thickBot="1" x14ac:dyDescent="0.3">
      <c r="B231" s="116" t="s">
        <v>1070</v>
      </c>
      <c r="C231" s="117">
        <f>COSEIDIcam</f>
        <v>233</v>
      </c>
      <c r="D231" s="117">
        <v>0</v>
      </c>
      <c r="E231" s="118">
        <f>D231/C231</f>
        <v>0</v>
      </c>
      <c r="F231" s="149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1" t="s">
        <v>918</v>
      </c>
      <c r="D234" s="112" t="s">
        <v>1474</v>
      </c>
      <c r="E234" s="113" t="s">
        <v>919</v>
      </c>
    </row>
    <row r="235" spans="2:6" ht="15.75" thickTop="1" x14ac:dyDescent="0.25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25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25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25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.75" thickBot="1" x14ac:dyDescent="0.3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6.5" thickTop="1" thickBot="1" x14ac:dyDescent="0.3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6.5" thickTop="1" thickBot="1" x14ac:dyDescent="0.3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.75" thickBot="1" x14ac:dyDescent="0.3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1" t="s">
        <v>918</v>
      </c>
      <c r="D246" s="112" t="s">
        <v>1474</v>
      </c>
      <c r="E246" s="113" t="s">
        <v>919</v>
      </c>
    </row>
    <row r="247" spans="2:6" ht="15.75" thickTop="1" x14ac:dyDescent="0.25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25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25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25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.75" thickBot="1" x14ac:dyDescent="0.3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6.5" thickTop="1" thickBot="1" x14ac:dyDescent="0.3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6.5" thickTop="1" thickBot="1" x14ac:dyDescent="0.3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.75" thickBot="1" x14ac:dyDescent="0.3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1" t="s">
        <v>918</v>
      </c>
      <c r="D258" s="112" t="s">
        <v>1474</v>
      </c>
      <c r="E258" s="113" t="s">
        <v>919</v>
      </c>
    </row>
    <row r="259" spans="2:6" ht="15.75" thickTop="1" x14ac:dyDescent="0.25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25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25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25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.75" thickBot="1" x14ac:dyDescent="0.3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6.5" thickTop="1" thickBot="1" x14ac:dyDescent="0.3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6.5" thickTop="1" thickBot="1" x14ac:dyDescent="0.3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.75" thickBot="1" x14ac:dyDescent="0.3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6.5" thickTop="1" thickBot="1" x14ac:dyDescent="0.3"/>
    <row r="269" spans="2:6" ht="16.5" thickTop="1" thickBot="1" x14ac:dyDescent="0.3">
      <c r="C269" s="111" t="s">
        <v>918</v>
      </c>
      <c r="D269" s="112" t="s">
        <v>1474</v>
      </c>
      <c r="E269" s="113" t="s">
        <v>919</v>
      </c>
    </row>
    <row r="270" spans="2:6" ht="15.75" thickTop="1" x14ac:dyDescent="0.25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25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25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25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.75" thickBot="1" x14ac:dyDescent="0.3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6.5" thickTop="1" thickBot="1" x14ac:dyDescent="0.3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6.5" thickTop="1" thickBot="1" x14ac:dyDescent="0.3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.75" thickBot="1" x14ac:dyDescent="0.3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6.5" thickTop="1" thickBot="1" x14ac:dyDescent="0.3"/>
    <row r="280" spans="2:6" ht="16.5" thickTop="1" thickBot="1" x14ac:dyDescent="0.3">
      <c r="C280" s="111" t="s">
        <v>918</v>
      </c>
      <c r="D280" s="112" t="s">
        <v>1474</v>
      </c>
      <c r="E280" s="113" t="s">
        <v>919</v>
      </c>
    </row>
    <row r="281" spans="2:6" ht="15.75" thickTop="1" x14ac:dyDescent="0.25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25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25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25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.75" thickBot="1" x14ac:dyDescent="0.3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6.5" thickTop="1" thickBot="1" x14ac:dyDescent="0.3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6.5" thickTop="1" thickBot="1" x14ac:dyDescent="0.3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.75" thickBot="1" x14ac:dyDescent="0.3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6.5" thickTop="1" thickBot="1" x14ac:dyDescent="0.3"/>
    <row r="291" spans="2:6" ht="16.5" thickTop="1" thickBot="1" x14ac:dyDescent="0.3">
      <c r="C291" s="111" t="s">
        <v>918</v>
      </c>
      <c r="D291" s="112" t="s">
        <v>1474</v>
      </c>
      <c r="E291" s="113" t="s">
        <v>919</v>
      </c>
    </row>
    <row r="292" spans="2:6" ht="15.75" thickTop="1" x14ac:dyDescent="0.25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25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25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25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.75" thickBot="1" x14ac:dyDescent="0.3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6.5" thickTop="1" thickBot="1" x14ac:dyDescent="0.3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6.5" thickTop="1" thickBot="1" x14ac:dyDescent="0.3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.75" thickBot="1" x14ac:dyDescent="0.3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6.5" thickTop="1" thickBot="1" x14ac:dyDescent="0.3"/>
    <row r="302" spans="2:6" ht="16.5" thickTop="1" thickBot="1" x14ac:dyDescent="0.3">
      <c r="C302" s="111" t="s">
        <v>918</v>
      </c>
      <c r="D302" s="112" t="s">
        <v>1474</v>
      </c>
      <c r="E302" s="113" t="s">
        <v>919</v>
      </c>
    </row>
    <row r="303" spans="2:6" ht="15.75" thickTop="1" x14ac:dyDescent="0.25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25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25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25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.75" thickBot="1" x14ac:dyDescent="0.3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6.5" thickTop="1" thickBot="1" x14ac:dyDescent="0.3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6.5" thickTop="1" thickBot="1" x14ac:dyDescent="0.3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.75" thickBot="1" x14ac:dyDescent="0.3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6.5" thickTop="1" thickBot="1" x14ac:dyDescent="0.3"/>
    <row r="313" spans="2:6" ht="16.5" thickTop="1" thickBot="1" x14ac:dyDescent="0.3">
      <c r="C313" s="111" t="s">
        <v>918</v>
      </c>
      <c r="D313" s="112" t="s">
        <v>1474</v>
      </c>
      <c r="E313" s="113" t="s">
        <v>919</v>
      </c>
    </row>
    <row r="314" spans="2:6" ht="15.75" thickTop="1" x14ac:dyDescent="0.25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25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25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25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.75" thickBot="1" x14ac:dyDescent="0.3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6.5" thickTop="1" thickBot="1" x14ac:dyDescent="0.3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6.5" thickTop="1" thickBot="1" x14ac:dyDescent="0.3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.75" thickBot="1" x14ac:dyDescent="0.3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6.5" thickTop="1" thickBot="1" x14ac:dyDescent="0.3"/>
    <row r="324" spans="2:6" ht="16.5" thickTop="1" thickBot="1" x14ac:dyDescent="0.3">
      <c r="C324" s="111" t="s">
        <v>918</v>
      </c>
      <c r="D324" s="112" t="s">
        <v>1474</v>
      </c>
      <c r="E324" s="113" t="s">
        <v>919</v>
      </c>
    </row>
    <row r="325" spans="2:6" ht="15.75" thickTop="1" x14ac:dyDescent="0.25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25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25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25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.75" thickBot="1" x14ac:dyDescent="0.3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6.5" thickTop="1" thickBot="1" x14ac:dyDescent="0.3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6.5" thickTop="1" thickBot="1" x14ac:dyDescent="0.3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.75" thickBot="1" x14ac:dyDescent="0.3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6.5" thickTop="1" thickBot="1" x14ac:dyDescent="0.3"/>
    <row r="335" spans="2:6" ht="16.5" thickTop="1" thickBot="1" x14ac:dyDescent="0.3">
      <c r="C335" s="111" t="s">
        <v>918</v>
      </c>
      <c r="D335" s="112" t="s">
        <v>1474</v>
      </c>
      <c r="E335" s="113" t="s">
        <v>919</v>
      </c>
    </row>
    <row r="336" spans="2:6" ht="15.75" thickTop="1" x14ac:dyDescent="0.25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25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25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25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25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.75" thickBot="1" x14ac:dyDescent="0.3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6.5" thickTop="1" thickBot="1" x14ac:dyDescent="0.3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6.5" thickTop="1" thickBot="1" x14ac:dyDescent="0.3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.75" thickBot="1" x14ac:dyDescent="0.3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.75" thickTop="1" x14ac:dyDescent="0.25"/>
  </sheetData>
  <sheetProtection selectLockedCells="1"/>
  <mergeCells count="31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35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75" thickBot="1" x14ac:dyDescent="0.4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25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25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>
        <f>'RESUMEN TOTAL'!AB21</f>
        <v>0</v>
      </c>
      <c r="W17" s="70">
        <f>'RESUMEN TOTAL'!AC21</f>
        <v>0</v>
      </c>
      <c r="X17" s="70">
        <f>'RESUMEN TOTAL'!AD21</f>
        <v>0</v>
      </c>
      <c r="Y17" s="70">
        <f>'RESUMEN TOTAL'!AE21</f>
        <v>0</v>
      </c>
      <c r="Z17" s="70">
        <f>'RESUMEN TOTAL'!AF21</f>
        <v>0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25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25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 t="str">
        <f>'RESUMEN TOTAL'!Y23</f>
        <v>APAGADO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>
        <f>'RESUMEN TOTAL'!AF23</f>
        <v>0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25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 t="str">
        <f>'RESUMEN TOTAL'!Y24</f>
        <v>APAGADO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>
        <f>'RESUMEN TOTAL'!AF24</f>
        <v>0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25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 t="str">
        <f>'RESUMEN TOTAL'!Y25</f>
        <v>APAGADO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>
        <f>'RESUMEN TOTAL'!AF25</f>
        <v>0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25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 t="str">
        <f>'RESUMEN TOTAL'!Y26</f>
        <v>APAGADO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>
        <f>'RESUMEN TOTAL'!AF26</f>
        <v>0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25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 t="str">
        <f>'RESUMEN TOTAL'!Y27</f>
        <v>APAGADO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25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 t="str">
        <f>'RESUMEN TOTAL'!Y28</f>
        <v>APAGADO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25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25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25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25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25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 t="str">
        <f>'RESUMEN TOTAL'!R39</f>
        <v>APAGADO</v>
      </c>
      <c r="M29" s="70" t="str">
        <f>'RESUMEN TOTAL'!S39</f>
        <v>APAGADO</v>
      </c>
      <c r="N29" s="70" t="str">
        <f>'RESUMEN TOTAL'!T39</f>
        <v>APAGADO</v>
      </c>
      <c r="O29" s="70" t="str">
        <f>'RESUMEN TOTAL'!U39</f>
        <v>APAGADO</v>
      </c>
      <c r="P29" s="70" t="str">
        <f>'RESUMEN TOTAL'!V39</f>
        <v>APAGADO</v>
      </c>
      <c r="Q29" s="70" t="str">
        <f>'RESUMEN TOTAL'!W39</f>
        <v>APAGADO</v>
      </c>
      <c r="R29" s="70" t="str">
        <f>'RESUMEN TOTAL'!X39</f>
        <v>APAGADO</v>
      </c>
      <c r="S29" s="70" t="str">
        <f>'RESUMEN TOTAL'!Y39</f>
        <v>APAGADO</v>
      </c>
      <c r="T29" s="70" t="str">
        <f>'RESUMEN TOTAL'!Z39</f>
        <v>APAGADO</v>
      </c>
      <c r="U29" s="70">
        <f>'RESUMEN TOTAL'!AA39</f>
        <v>0</v>
      </c>
      <c r="V29" s="70">
        <f>'RESUMEN TOTAL'!AB39</f>
        <v>0</v>
      </c>
      <c r="W29" s="70">
        <f>'RESUMEN TOTAL'!AC39</f>
        <v>0</v>
      </c>
      <c r="X29" s="70">
        <f>'RESUMEN TOTAL'!AD39</f>
        <v>0</v>
      </c>
      <c r="Y29" s="70">
        <f>'RESUMEN TOTAL'!AE39</f>
        <v>0</v>
      </c>
      <c r="Z29" s="70">
        <f>'RESUMEN TOTAL'!AF39</f>
        <v>0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25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 t="str">
        <f>'RESUMEN TOTAL'!Z40</f>
        <v>APAGADO</v>
      </c>
      <c r="U30" s="70">
        <f>'RESUMEN TOTAL'!AA40</f>
        <v>0</v>
      </c>
      <c r="V30" s="70">
        <f>'RESUMEN TOTAL'!AB40</f>
        <v>0</v>
      </c>
      <c r="W30" s="70">
        <f>'RESUMEN TOTAL'!AC40</f>
        <v>0</v>
      </c>
      <c r="X30" s="70">
        <f>'RESUMEN TOTAL'!AD40</f>
        <v>0</v>
      </c>
      <c r="Y30" s="70">
        <f>'RESUMEN TOTAL'!AE40</f>
        <v>0</v>
      </c>
      <c r="Z30" s="70">
        <f>'RESUMEN TOTAL'!AF40</f>
        <v>0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25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25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25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25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25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25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25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25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25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25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25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25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25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25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 t="str">
        <f>'RESUMEN TOTAL'!Y54</f>
        <v>APAGADO</v>
      </c>
      <c r="T44" s="70" t="str">
        <f>'RESUMEN TOTAL'!Z54</f>
        <v>APAGADO</v>
      </c>
      <c r="U44" s="70">
        <f>'RESUMEN TOTAL'!AA54</f>
        <v>0</v>
      </c>
      <c r="V44" s="70">
        <f>'RESUMEN TOTAL'!AB54</f>
        <v>0</v>
      </c>
      <c r="W44" s="70">
        <f>'RESUMEN TOTAL'!AC54</f>
        <v>0</v>
      </c>
      <c r="X44" s="70">
        <f>'RESUMEN TOTAL'!AD54</f>
        <v>0</v>
      </c>
      <c r="Y44" s="70">
        <f>'RESUMEN TOTAL'!AE54</f>
        <v>0</v>
      </c>
      <c r="Z44" s="70">
        <f>'RESUMEN TOTAL'!AF54</f>
        <v>0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25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 t="str">
        <f>'RESUMEN TOTAL'!Z55</f>
        <v>APAGADO</v>
      </c>
      <c r="U45" s="70">
        <f>'RESUMEN TOTAL'!AA55</f>
        <v>0</v>
      </c>
      <c r="V45" s="70">
        <f>'RESUMEN TOTAL'!AB55</f>
        <v>0</v>
      </c>
      <c r="W45" s="70">
        <f>'RESUMEN TOTAL'!AC55</f>
        <v>0</v>
      </c>
      <c r="X45" s="70">
        <f>'RESUMEN TOTAL'!AD55</f>
        <v>0</v>
      </c>
      <c r="Y45" s="70">
        <f>'RESUMEN TOTAL'!AE55</f>
        <v>0</v>
      </c>
      <c r="Z45" s="70">
        <f>'RESUMEN TOTAL'!AF55</f>
        <v>0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25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 t="str">
        <f>'RESUMEN TOTAL'!R56</f>
        <v>APAGADO</v>
      </c>
      <c r="M46" s="70" t="str">
        <f>'RESUMEN TOTAL'!S56</f>
        <v>APAGADO</v>
      </c>
      <c r="N46" s="70" t="str">
        <f>'RESUMEN TOTAL'!T56</f>
        <v>APAGADO</v>
      </c>
      <c r="O46" s="70" t="str">
        <f>'RESUMEN TOTAL'!U56</f>
        <v>APAGADO</v>
      </c>
      <c r="P46" s="70" t="str">
        <f>'RESUMEN TOTAL'!V56</f>
        <v>APAGADO</v>
      </c>
      <c r="Q46" s="70" t="str">
        <f>'RESUMEN TOTAL'!W56</f>
        <v>APAGADO</v>
      </c>
      <c r="R46" s="70" t="str">
        <f>'RESUMEN TOTAL'!X56</f>
        <v>APAGADO</v>
      </c>
      <c r="S46" s="70" t="str">
        <f>'RESUMEN TOTAL'!Y56</f>
        <v>APAGADO</v>
      </c>
      <c r="T46" s="70" t="str">
        <f>'RESUMEN TOTAL'!Z56</f>
        <v>APAGADO</v>
      </c>
      <c r="U46" s="70">
        <f>'RESUMEN TOTAL'!AA56</f>
        <v>0</v>
      </c>
      <c r="V46" s="70">
        <f>'RESUMEN TOTAL'!AB56</f>
        <v>0</v>
      </c>
      <c r="W46" s="70">
        <f>'RESUMEN TOTAL'!AC56</f>
        <v>0</v>
      </c>
      <c r="X46" s="70">
        <f>'RESUMEN TOTAL'!AD56</f>
        <v>0</v>
      </c>
      <c r="Y46" s="70">
        <f>'RESUMEN TOTAL'!AE56</f>
        <v>0</v>
      </c>
      <c r="Z46" s="70">
        <f>'RESUMEN TOTAL'!AF56</f>
        <v>0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25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25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 t="str">
        <f>'RESUMEN TOTAL'!R58</f>
        <v>APAGADO</v>
      </c>
      <c r="M48" s="70" t="str">
        <f>'RESUMEN TOTAL'!S58</f>
        <v>APAGADO</v>
      </c>
      <c r="N48" s="70" t="str">
        <f>'RESUMEN TOTAL'!T58</f>
        <v>APAGADO</v>
      </c>
      <c r="O48" s="70" t="str">
        <f>'RESUMEN TOTAL'!U58</f>
        <v>APAGADO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 t="str">
        <f>'RESUMEN TOTAL'!Z58</f>
        <v>APAGADO</v>
      </c>
      <c r="U48" s="70">
        <f>'RESUMEN TOTAL'!AA58</f>
        <v>0</v>
      </c>
      <c r="V48" s="70">
        <f>'RESUMEN TOTAL'!AB58</f>
        <v>0</v>
      </c>
      <c r="W48" s="70">
        <f>'RESUMEN TOTAL'!AC58</f>
        <v>0</v>
      </c>
      <c r="X48" s="70">
        <f>'RESUMEN TOTAL'!AD58</f>
        <v>0</v>
      </c>
      <c r="Y48" s="70">
        <f>'RESUMEN TOTAL'!AE58</f>
        <v>0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25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25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25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25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25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25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25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25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25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25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25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25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25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25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>
        <f>'RESUMEN TOTAL'!AD72</f>
        <v>0</v>
      </c>
      <c r="Y62" s="70">
        <f>'RESUMEN TOTAL'!AE72</f>
        <v>0</v>
      </c>
      <c r="Z62" s="70">
        <f>'RESUMEN TOTAL'!AF72</f>
        <v>0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25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25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25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25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25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>
        <f>'RESUMEN TOTAL'!AB77</f>
        <v>0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25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25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25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25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25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25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25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25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 t="str">
        <f>'RESUMEN TOTAL'!X85</f>
        <v>APAGADO</v>
      </c>
      <c r="S75" s="70" t="str">
        <f>'RESUMEN TOTAL'!Y85</f>
        <v>APAGADO</v>
      </c>
      <c r="T75" s="70" t="str">
        <f>'RESUMEN TOTAL'!Z85</f>
        <v>APAGADO</v>
      </c>
      <c r="U75" s="70">
        <f>'RESUMEN TOTAL'!AA85</f>
        <v>0</v>
      </c>
      <c r="V75" s="70">
        <f>'RESUMEN TOTAL'!AB85</f>
        <v>0</v>
      </c>
      <c r="W75" s="70">
        <f>'RESUMEN TOTAL'!AC85</f>
        <v>0</v>
      </c>
      <c r="X75" s="70">
        <f>'RESUMEN TOTAL'!AD85</f>
        <v>0</v>
      </c>
      <c r="Y75" s="70">
        <f>'RESUMEN TOTAL'!AE85</f>
        <v>0</v>
      </c>
      <c r="Z75" s="70">
        <f>'RESUMEN TOTAL'!AF85</f>
        <v>0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25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25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25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25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25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 t="str">
        <f>'RESUMEN TOTAL'!R90</f>
        <v>APAGADO</v>
      </c>
      <c r="M80" s="70" t="str">
        <f>'RESUMEN TOTAL'!S90</f>
        <v>APAGADO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25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25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25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25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 t="str">
        <f>'RESUMEN TOTAL'!X94</f>
        <v>APAGADO</v>
      </c>
      <c r="S84" s="70" t="str">
        <f>'RESUMEN TOTAL'!Y94</f>
        <v>APAGADO</v>
      </c>
      <c r="T84" s="70" t="str">
        <f>'RESUMEN TOTAL'!Z94</f>
        <v>APAGADO</v>
      </c>
      <c r="U84" s="70">
        <f>'RESUMEN TOTAL'!AA94</f>
        <v>0</v>
      </c>
      <c r="V84" s="70">
        <f>'RESUMEN TOTAL'!AB94</f>
        <v>0</v>
      </c>
      <c r="W84" s="70">
        <f>'RESUMEN TOTAL'!AC94</f>
        <v>0</v>
      </c>
      <c r="X84" s="70">
        <f>'RESUMEN TOTAL'!AD94</f>
        <v>0</v>
      </c>
      <c r="Y84" s="70">
        <f>'RESUMEN TOTAL'!AE94</f>
        <v>0</v>
      </c>
      <c r="Z84" s="70">
        <f>'RESUMEN TOTAL'!AF94</f>
        <v>0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25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 t="str">
        <f>'RESUMEN TOTAL'!S95</f>
        <v>APAGADO</v>
      </c>
      <c r="N85" s="70" t="str">
        <f>'RESUMEN TOTAL'!T95</f>
        <v>APAGADO</v>
      </c>
      <c r="O85" s="70" t="str">
        <f>'RESUMEN TOTAL'!U95</f>
        <v>APAGADO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25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25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25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25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25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25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25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25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25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25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 t="str">
        <f>'RESUMEN TOTAL'!Y105</f>
        <v>APAGADO</v>
      </c>
      <c r="T95" s="70" t="str">
        <f>'RESUMEN TOTAL'!Z105</f>
        <v>APAGADO</v>
      </c>
      <c r="U95" s="70">
        <f>'RESUMEN TOTAL'!AA105</f>
        <v>0</v>
      </c>
      <c r="V95" s="70">
        <f>'RESUMEN TOTAL'!AB105</f>
        <v>0</v>
      </c>
      <c r="W95" s="70">
        <f>'RESUMEN TOTAL'!AC105</f>
        <v>0</v>
      </c>
      <c r="X95" s="70">
        <f>'RESUMEN TOTAL'!AD105</f>
        <v>0</v>
      </c>
      <c r="Y95" s="70">
        <f>'RESUMEN TOTAL'!AE105</f>
        <v>0</v>
      </c>
      <c r="Z95" s="70">
        <f>'RESUMEN TOTAL'!AF105</f>
        <v>0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25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 t="str">
        <f>'RESUMEN TOTAL'!Y106</f>
        <v>APAGADO</v>
      </c>
      <c r="T96" s="70" t="str">
        <f>'RESUMEN TOTAL'!Z106</f>
        <v>APAGADO</v>
      </c>
      <c r="U96" s="70">
        <f>'RESUMEN TOTAL'!AA106</f>
        <v>0</v>
      </c>
      <c r="V96" s="70">
        <f>'RESUMEN TOTAL'!AB106</f>
        <v>0</v>
      </c>
      <c r="W96" s="70">
        <f>'RESUMEN TOTAL'!AC106</f>
        <v>0</v>
      </c>
      <c r="X96" s="70">
        <f>'RESUMEN TOTAL'!AD106</f>
        <v>0</v>
      </c>
      <c r="Y96" s="70">
        <f>'RESUMEN TOTAL'!AE106</f>
        <v>0</v>
      </c>
      <c r="Z96" s="70">
        <f>'RESUMEN TOTAL'!AF106</f>
        <v>0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25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 t="str">
        <f>'RESUMEN TOTAL'!X107</f>
        <v>APAGADO</v>
      </c>
      <c r="S97" s="70" t="str">
        <f>'RESUMEN TOTAL'!Y107</f>
        <v>APAGADO</v>
      </c>
      <c r="T97" s="70" t="str">
        <f>'RESUMEN TOTAL'!Z107</f>
        <v>APAGADO</v>
      </c>
      <c r="U97" s="70">
        <f>'RESUMEN TOTAL'!AA107</f>
        <v>0</v>
      </c>
      <c r="V97" s="70">
        <f>'RESUMEN TOTAL'!AB107</f>
        <v>0</v>
      </c>
      <c r="W97" s="70">
        <f>'RESUMEN TOTAL'!AC107</f>
        <v>0</v>
      </c>
      <c r="X97" s="70">
        <f>'RESUMEN TOTAL'!AD107</f>
        <v>0</v>
      </c>
      <c r="Y97" s="70">
        <f>'RESUMEN TOTAL'!AE107</f>
        <v>0</v>
      </c>
      <c r="Z97" s="70">
        <f>'RESUMEN TOTAL'!AF107</f>
        <v>0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25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 t="str">
        <f>'RESUMEN TOTAL'!R108</f>
        <v>APAGADO</v>
      </c>
      <c r="M98" s="70" t="str">
        <f>'RESUMEN TOTAL'!S108</f>
        <v>APAGADO</v>
      </c>
      <c r="N98" s="70" t="str">
        <f>'RESUMEN TOTAL'!T108</f>
        <v>APAGADO</v>
      </c>
      <c r="O98" s="70" t="str">
        <f>'RESUMEN TOTAL'!U108</f>
        <v>APAGADO</v>
      </c>
      <c r="P98" s="70" t="str">
        <f>'RESUMEN TOTAL'!V108</f>
        <v>APAGADO</v>
      </c>
      <c r="Q98" s="70" t="str">
        <f>'RESUMEN TOTAL'!W108</f>
        <v>APAGADO</v>
      </c>
      <c r="R98" s="70" t="str">
        <f>'RESUMEN TOTAL'!X108</f>
        <v>APAGADO</v>
      </c>
      <c r="S98" s="70" t="str">
        <f>'RESUMEN TOTAL'!Y108</f>
        <v>APAGADO</v>
      </c>
      <c r="T98" s="70" t="str">
        <f>'RESUMEN TOTAL'!Z108</f>
        <v>APAGADO</v>
      </c>
      <c r="U98" s="70">
        <f>'RESUMEN TOTAL'!AA108</f>
        <v>0</v>
      </c>
      <c r="V98" s="70">
        <f>'RESUMEN TOTAL'!AB108</f>
        <v>0</v>
      </c>
      <c r="W98" s="70">
        <f>'RESUMEN TOTAL'!AC108</f>
        <v>0</v>
      </c>
      <c r="X98" s="70">
        <f>'RESUMEN TOTAL'!AD108</f>
        <v>0</v>
      </c>
      <c r="Y98" s="70">
        <f>'RESUMEN TOTAL'!AE108</f>
        <v>0</v>
      </c>
      <c r="Z98" s="70">
        <f>'RESUMEN TOTAL'!AF108</f>
        <v>0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25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 t="str">
        <f>'RESUMEN TOTAL'!W109</f>
        <v>APAGADO</v>
      </c>
      <c r="R99" s="70">
        <f>'RESUMEN TOTAL'!X109</f>
        <v>0</v>
      </c>
      <c r="S99" s="70" t="str">
        <f>'RESUMEN TOTAL'!Y109</f>
        <v>APAGADO</v>
      </c>
      <c r="T99" s="70" t="str">
        <f>'RESUMEN TOTAL'!Z109</f>
        <v>APAGADO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25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25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25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25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>
        <f>'RESUMEN TOTAL'!AD113</f>
        <v>0</v>
      </c>
      <c r="Y103" s="70">
        <f>'RESUMEN TOTAL'!AE113</f>
        <v>0</v>
      </c>
      <c r="Z103" s="70">
        <f>'RESUMEN TOTAL'!AF113</f>
        <v>0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25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>
        <f>'RESUMEN TOTAL'!AD114</f>
        <v>0</v>
      </c>
      <c r="Y104" s="70">
        <f>'RESUMEN TOTAL'!AE114</f>
        <v>0</v>
      </c>
      <c r="Z104" s="70">
        <f>'RESUMEN TOTAL'!AF114</f>
        <v>0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25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25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25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25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25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25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25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25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 t="str">
        <f>'RESUMEN TOTAL'!U129</f>
        <v>APAGADO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 t="str">
        <f>'RESUMEN TOTAL'!Z129</f>
        <v>APAGADO</v>
      </c>
      <c r="U112" s="70">
        <f>'RESUMEN TOTAL'!AA129</f>
        <v>0</v>
      </c>
      <c r="V112" s="70">
        <f>'RESUMEN TOTAL'!AB129</f>
        <v>0</v>
      </c>
      <c r="W112" s="70">
        <f>'RESUMEN TOTAL'!AC129</f>
        <v>0</v>
      </c>
      <c r="X112" s="70">
        <f>'RESUMEN TOTAL'!AD129</f>
        <v>0</v>
      </c>
      <c r="Y112" s="70">
        <f>'RESUMEN TOTAL'!AE129</f>
        <v>0</v>
      </c>
      <c r="Z112" s="70">
        <f>'RESUMEN TOTAL'!AF129</f>
        <v>0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25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25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 t="str">
        <f>'RESUMEN TOTAL'!X131</f>
        <v>APAGADO</v>
      </c>
      <c r="S114" s="70" t="str">
        <f>'RESUMEN TOTAL'!Y131</f>
        <v>APAGADO</v>
      </c>
      <c r="T114" s="70" t="str">
        <f>'RESUMEN TOTAL'!Z131</f>
        <v>APAGADO</v>
      </c>
      <c r="U114" s="70">
        <f>'RESUMEN TOTAL'!AA131</f>
        <v>0</v>
      </c>
      <c r="V114" s="70">
        <f>'RESUMEN TOTAL'!AB131</f>
        <v>0</v>
      </c>
      <c r="W114" s="70">
        <f>'RESUMEN TOTAL'!AC131</f>
        <v>0</v>
      </c>
      <c r="X114" s="70">
        <f>'RESUMEN TOTAL'!AD131</f>
        <v>0</v>
      </c>
      <c r="Y114" s="70">
        <f>'RESUMEN TOTAL'!AE131</f>
        <v>0</v>
      </c>
      <c r="Z114" s="70">
        <f>'RESUMEN TOTAL'!AF131</f>
        <v>0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25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25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 t="str">
        <f>'RESUMEN TOTAL'!V133</f>
        <v>APAGADO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25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25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25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 t="str">
        <f>'RESUMEN TOTAL'!Z136</f>
        <v>APAGADO</v>
      </c>
      <c r="U119" s="70">
        <f>'RESUMEN TOTAL'!AA136</f>
        <v>0</v>
      </c>
      <c r="V119" s="70">
        <f>'RESUMEN TOTAL'!AB136</f>
        <v>0</v>
      </c>
      <c r="W119" s="70">
        <f>'RESUMEN TOTAL'!AC136</f>
        <v>0</v>
      </c>
      <c r="X119" s="70">
        <f>'RESUMEN TOTAL'!AD136</f>
        <v>0</v>
      </c>
      <c r="Y119" s="70">
        <f>'RESUMEN TOTAL'!AE136</f>
        <v>0</v>
      </c>
      <c r="Z119" s="70">
        <f>'RESUMEN TOTAL'!AF136</f>
        <v>0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25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25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25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 t="str">
        <f>'RESUMEN TOTAL'!Z139</f>
        <v>APAGADO</v>
      </c>
      <c r="U122" s="70">
        <f>'RESUMEN TOTAL'!AA139</f>
        <v>0</v>
      </c>
      <c r="V122" s="70">
        <f>'RESUMEN TOTAL'!AB139</f>
        <v>0</v>
      </c>
      <c r="W122" s="70">
        <f>'RESUMEN TOTAL'!AC139</f>
        <v>0</v>
      </c>
      <c r="X122" s="70">
        <f>'RESUMEN TOTAL'!AD139</f>
        <v>0</v>
      </c>
      <c r="Y122" s="70">
        <f>'RESUMEN TOTAL'!AE139</f>
        <v>0</v>
      </c>
      <c r="Z122" s="70">
        <f>'RESUMEN TOTAL'!AF139</f>
        <v>0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25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 t="str">
        <f>'RESUMEN TOTAL'!Z140</f>
        <v>APAGADO</v>
      </c>
      <c r="U123" s="70">
        <f>'RESUMEN TOTAL'!AA140</f>
        <v>0</v>
      </c>
      <c r="V123" s="70">
        <f>'RESUMEN TOTAL'!AB140</f>
        <v>0</v>
      </c>
      <c r="W123" s="70">
        <f>'RESUMEN TOTAL'!AC140</f>
        <v>0</v>
      </c>
      <c r="X123" s="70">
        <f>'RESUMEN TOTAL'!AD140</f>
        <v>0</v>
      </c>
      <c r="Y123" s="70">
        <f>'RESUMEN TOTAL'!AE140</f>
        <v>0</v>
      </c>
      <c r="Z123" s="70">
        <f>'RESUMEN TOTAL'!AF140</f>
        <v>0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25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25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25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 t="str">
        <f>'RESUMEN TOTAL'!S145</f>
        <v>APAGADO</v>
      </c>
      <c r="N126" s="70" t="str">
        <f>'RESUMEN TOTAL'!T145</f>
        <v>APAGADO</v>
      </c>
      <c r="O126" s="70" t="str">
        <f>'RESUMEN TOTAL'!U145</f>
        <v>APAGADO</v>
      </c>
      <c r="P126" s="70" t="str">
        <f>'RESUMEN TOTAL'!V145</f>
        <v>APAGADO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>
        <f>'RESUMEN TOTAL'!AA145</f>
        <v>0</v>
      </c>
      <c r="V126" s="70">
        <f>'RESUMEN TOTAL'!AB145</f>
        <v>0</v>
      </c>
      <c r="W126" s="70">
        <f>'RESUMEN TOTAL'!AC145</f>
        <v>0</v>
      </c>
      <c r="X126" s="70">
        <f>'RESUMEN TOTAL'!AD145</f>
        <v>0</v>
      </c>
      <c r="Y126" s="70">
        <f>'RESUMEN TOTAL'!AE145</f>
        <v>0</v>
      </c>
      <c r="Z126" s="70">
        <f>'RESUMEN TOTAL'!AF145</f>
        <v>0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25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 t="str">
        <f>'RESUMEN TOTAL'!S146</f>
        <v>APAGADO</v>
      </c>
      <c r="N127" s="70" t="str">
        <f>'RESUMEN TOTAL'!T146</f>
        <v>APAGADO</v>
      </c>
      <c r="O127" s="70" t="str">
        <f>'RESUMEN TOTAL'!U146</f>
        <v>APAGADO</v>
      </c>
      <c r="P127" s="70" t="str">
        <f>'RESUMEN TOTAL'!V146</f>
        <v>APAGADO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>
        <f>'RESUMEN TOTAL'!AA146</f>
        <v>0</v>
      </c>
      <c r="V127" s="70">
        <f>'RESUMEN TOTAL'!AB146</f>
        <v>0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25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>
        <f>'RESUMEN TOTAL'!AA147</f>
        <v>0</v>
      </c>
      <c r="V128" s="70">
        <f>'RESUMEN TOTAL'!AB147</f>
        <v>0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25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 t="str">
        <f>'RESUMEN TOTAL'!S148</f>
        <v>APAGADO</v>
      </c>
      <c r="N129" s="70" t="str">
        <f>'RESUMEN TOTAL'!T148</f>
        <v>APAGADO</v>
      </c>
      <c r="O129" s="70" t="str">
        <f>'RESUMEN TOTAL'!U148</f>
        <v>APAGADO</v>
      </c>
      <c r="P129" s="70" t="str">
        <f>'RESUMEN TOTAL'!V148</f>
        <v>APAGADO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>
        <f>'RESUMEN TOTAL'!AA148</f>
        <v>0</v>
      </c>
      <c r="V129" s="70">
        <f>'RESUMEN TOTAL'!AB148</f>
        <v>0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25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25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 t="str">
        <f>'RESUMEN TOTAL'!U152</f>
        <v>APAGADO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>
        <f>'RESUMEN TOTAL'!AE152</f>
        <v>0</v>
      </c>
      <c r="Z131" s="70">
        <f>'RESUMEN TOTAL'!AF152</f>
        <v>0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25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>
        <f>'RESUMEN TOTAL'!AE153</f>
        <v>0</v>
      </c>
      <c r="Z132" s="70">
        <f>'RESUMEN TOTAL'!AF153</f>
        <v>0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25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25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25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25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>
        <f>'RESUMEN TOTAL'!AE157</f>
        <v>0</v>
      </c>
      <c r="Z136" s="70">
        <f>'RESUMEN TOTAL'!AF157</f>
        <v>0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25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25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25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25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>
        <f>'RESUMEN TOTAL'!AE161</f>
        <v>0</v>
      </c>
      <c r="Z140" s="70">
        <f>'RESUMEN TOTAL'!AF161</f>
        <v>0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25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>
        <f>'RESUMEN TOTAL'!AE162</f>
        <v>0</v>
      </c>
      <c r="Z141" s="70">
        <f>'RESUMEN TOTAL'!AF162</f>
        <v>0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25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>
        <f>'RESUMEN TOTAL'!AE163</f>
        <v>0</v>
      </c>
      <c r="Z142" s="70">
        <f>'RESUMEN TOTAL'!AF163</f>
        <v>0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25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>
        <f>'RESUMEN TOTAL'!AE164</f>
        <v>0</v>
      </c>
      <c r="Z143" s="70">
        <f>'RESUMEN TOTAL'!AF164</f>
        <v>0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25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25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25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25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25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 t="str">
        <f>'RESUMEN TOTAL'!R171</f>
        <v>APAGADO</v>
      </c>
      <c r="M148" s="70" t="str">
        <f>'RESUMEN TOTAL'!S171</f>
        <v>APAGADO</v>
      </c>
      <c r="N148" s="70" t="str">
        <f>'RESUMEN TOTAL'!T171</f>
        <v>APAGADO</v>
      </c>
      <c r="O148" s="70" t="str">
        <f>'RESUMEN TOTAL'!U171</f>
        <v>APAGADO</v>
      </c>
      <c r="P148" s="70" t="str">
        <f>'RESUMEN TOTAL'!V171</f>
        <v>APAGADO</v>
      </c>
      <c r="Q148" s="70" t="str">
        <f>'RESUMEN TOTAL'!W171</f>
        <v>APAGADO</v>
      </c>
      <c r="R148" s="70" t="str">
        <f>'RESUMEN TOTAL'!X171</f>
        <v>APAGADO</v>
      </c>
      <c r="S148" s="70" t="str">
        <f>'RESUMEN TOTAL'!Y171</f>
        <v>APAGADO</v>
      </c>
      <c r="T148" s="70" t="str">
        <f>'RESUMEN TOTAL'!Z171</f>
        <v>APAGADO</v>
      </c>
      <c r="U148" s="70">
        <f>'RESUMEN TOTAL'!AA171</f>
        <v>0</v>
      </c>
      <c r="V148" s="70">
        <f>'RESUMEN TOTAL'!AB171</f>
        <v>0</v>
      </c>
      <c r="W148" s="70">
        <f>'RESUMEN TOTAL'!AC171</f>
        <v>0</v>
      </c>
      <c r="X148" s="70">
        <f>'RESUMEN TOTAL'!AD171</f>
        <v>0</v>
      </c>
      <c r="Y148" s="70">
        <f>'RESUMEN TOTAL'!AE171</f>
        <v>0</v>
      </c>
      <c r="Z148" s="70">
        <f>'RESUMEN TOTAL'!AF171</f>
        <v>0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25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25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25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25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 t="str">
        <f>'RESUMEN TOTAL'!S175</f>
        <v>APAGADO</v>
      </c>
      <c r="N152" s="70" t="str">
        <f>'RESUMEN TOTAL'!T175</f>
        <v>APAGADO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>
        <f>'RESUMEN TOTAL'!AB175</f>
        <v>0</v>
      </c>
      <c r="W152" s="70">
        <f>'RESUMEN TOTAL'!AC175</f>
        <v>0</v>
      </c>
      <c r="X152" s="70">
        <f>'RESUMEN TOTAL'!AD175</f>
        <v>0</v>
      </c>
      <c r="Y152" s="70">
        <f>'RESUMEN TOTAL'!AE175</f>
        <v>0</v>
      </c>
      <c r="Z152" s="70">
        <f>'RESUMEN TOTAL'!AF175</f>
        <v>0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25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 t="str">
        <f>'RESUMEN TOTAL'!S176</f>
        <v>APAGADO</v>
      </c>
      <c r="N153" s="70" t="str">
        <f>'RESUMEN TOTAL'!T176</f>
        <v>APAGADO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>
        <f>'RESUMEN TOTAL'!AC176</f>
        <v>0</v>
      </c>
      <c r="X153" s="70">
        <f>'RESUMEN TOTAL'!AD176</f>
        <v>0</v>
      </c>
      <c r="Y153" s="70">
        <f>'RESUMEN TOTAL'!AE176</f>
        <v>0</v>
      </c>
      <c r="Z153" s="70">
        <f>'RESUMEN TOTAL'!AF176</f>
        <v>0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25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 t="str">
        <f>'RESUMEN TOTAL'!R177</f>
        <v>APAGADO</v>
      </c>
      <c r="M154" s="70" t="str">
        <f>'RESUMEN TOTAL'!S177</f>
        <v>APAGADO</v>
      </c>
      <c r="N154" s="70" t="str">
        <f>'RESUMEN TOTAL'!T177</f>
        <v>APAGADO</v>
      </c>
      <c r="O154" s="70" t="str">
        <f>'RESUMEN TOTAL'!U177</f>
        <v>APAGADO</v>
      </c>
      <c r="P154" s="70" t="str">
        <f>'RESUMEN TOTAL'!V177</f>
        <v>APAGADO</v>
      </c>
      <c r="Q154" s="70" t="str">
        <f>'RESUMEN TOTAL'!W177</f>
        <v>APAGADO</v>
      </c>
      <c r="R154" s="70" t="str">
        <f>'RESUMEN TOTAL'!X177</f>
        <v>APAGADO</v>
      </c>
      <c r="S154" s="70" t="str">
        <f>'RESUMEN TOTAL'!Y177</f>
        <v>APAGADO</v>
      </c>
      <c r="T154" s="70" t="str">
        <f>'RESUMEN TOTAL'!Z177</f>
        <v>APAGADO</v>
      </c>
      <c r="U154" s="70">
        <f>'RESUMEN TOTAL'!AA177</f>
        <v>0</v>
      </c>
      <c r="V154" s="70">
        <f>'RESUMEN TOTAL'!AB177</f>
        <v>0</v>
      </c>
      <c r="W154" s="70">
        <f>'RESUMEN TOTAL'!AC177</f>
        <v>0</v>
      </c>
      <c r="X154" s="70">
        <f>'RESUMEN TOTAL'!AD177</f>
        <v>0</v>
      </c>
      <c r="Y154" s="70">
        <f>'RESUMEN TOTAL'!AE177</f>
        <v>0</v>
      </c>
      <c r="Z154" s="70">
        <f>'RESUMEN TOTAL'!AF177</f>
        <v>0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25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 t="str">
        <f>'RESUMEN TOTAL'!R178</f>
        <v>APAGADO</v>
      </c>
      <c r="M155" s="70" t="str">
        <f>'RESUMEN TOTAL'!S178</f>
        <v>APAGADO</v>
      </c>
      <c r="N155" s="70" t="str">
        <f>'RESUMEN TOTAL'!T178</f>
        <v>APAGADO</v>
      </c>
      <c r="O155" s="70" t="str">
        <f>'RESUMEN TOTAL'!U178</f>
        <v>APAGADO</v>
      </c>
      <c r="P155" s="70" t="str">
        <f>'RESUMEN TOTAL'!V178</f>
        <v>APAGADO</v>
      </c>
      <c r="Q155" s="70" t="str">
        <f>'RESUMEN TOTAL'!W178</f>
        <v>APAGADO</v>
      </c>
      <c r="R155" s="70" t="str">
        <f>'RESUMEN TOTAL'!X178</f>
        <v>APAGADO</v>
      </c>
      <c r="S155" s="70" t="str">
        <f>'RESUMEN TOTAL'!Y178</f>
        <v>APAGADO</v>
      </c>
      <c r="T155" s="70" t="str">
        <f>'RESUMEN TOTAL'!Z178</f>
        <v>APAGADO</v>
      </c>
      <c r="U155" s="70">
        <f>'RESUMEN TOTAL'!AA178</f>
        <v>0</v>
      </c>
      <c r="V155" s="70">
        <f>'RESUMEN TOTAL'!AB178</f>
        <v>0</v>
      </c>
      <c r="W155" s="70">
        <f>'RESUMEN TOTAL'!AC178</f>
        <v>0</v>
      </c>
      <c r="X155" s="70">
        <f>'RESUMEN TOTAL'!AD178</f>
        <v>0</v>
      </c>
      <c r="Y155" s="70">
        <f>'RESUMEN TOTAL'!AE178</f>
        <v>0</v>
      </c>
      <c r="Z155" s="70">
        <f>'RESUMEN TOTAL'!AF178</f>
        <v>0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25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25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25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25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25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25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25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25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25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25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25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25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 t="str">
        <f>'RESUMEN TOTAL'!X190</f>
        <v>APAGADO</v>
      </c>
      <c r="S167" s="70" t="str">
        <f>'RESUMEN TOTAL'!Y190</f>
        <v>APAGADO</v>
      </c>
      <c r="T167" s="70" t="str">
        <f>'RESUMEN TOTAL'!Z190</f>
        <v>APAGADO</v>
      </c>
      <c r="U167" s="70">
        <f>'RESUMEN TOTAL'!AA190</f>
        <v>0</v>
      </c>
      <c r="V167" s="70">
        <f>'RESUMEN TOTAL'!AB190</f>
        <v>0</v>
      </c>
      <c r="W167" s="70">
        <f>'RESUMEN TOTAL'!AC190</f>
        <v>0</v>
      </c>
      <c r="X167" s="70">
        <f>'RESUMEN TOTAL'!AD190</f>
        <v>0</v>
      </c>
      <c r="Y167" s="70">
        <f>'RESUMEN TOTAL'!AE190</f>
        <v>0</v>
      </c>
      <c r="Z167" s="70">
        <f>'RESUMEN TOTAL'!AF190</f>
        <v>0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25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25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25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25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25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25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25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25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25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25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25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25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25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25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25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25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25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25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25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25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25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25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25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25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25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25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25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 t="str">
        <f>'RESUMEN TOTAL'!R220</f>
        <v>APAGADO</v>
      </c>
      <c r="M194" s="70" t="str">
        <f>'RESUMEN TOTAL'!S220</f>
        <v>APAGADO</v>
      </c>
      <c r="N194" s="70" t="str">
        <f>'RESUMEN TOTAL'!T220</f>
        <v>APAGADO</v>
      </c>
      <c r="O194" s="70" t="str">
        <f>'RESUMEN TOTAL'!U220</f>
        <v>APAGADO</v>
      </c>
      <c r="P194" s="70" t="str">
        <f>'RESUMEN TOTAL'!V220</f>
        <v>APAGADO</v>
      </c>
      <c r="Q194" s="70" t="str">
        <f>'RESUMEN TOTAL'!W220</f>
        <v>APAGADO</v>
      </c>
      <c r="R194" s="70" t="str">
        <f>'RESUMEN TOTAL'!X220</f>
        <v>APAGADO</v>
      </c>
      <c r="S194" s="70" t="str">
        <f>'RESUMEN TOTAL'!Y220</f>
        <v>APAGADO</v>
      </c>
      <c r="T194" s="70" t="str">
        <f>'RESUMEN TOTAL'!Z220</f>
        <v>APAGADO</v>
      </c>
      <c r="U194" s="70">
        <f>'RESUMEN TOTAL'!AA220</f>
        <v>0</v>
      </c>
      <c r="V194" s="70">
        <f>'RESUMEN TOTAL'!AB220</f>
        <v>0</v>
      </c>
      <c r="W194" s="70">
        <f>'RESUMEN TOTAL'!AC220</f>
        <v>0</v>
      </c>
      <c r="X194" s="70">
        <f>'RESUMEN TOTAL'!AD220</f>
        <v>0</v>
      </c>
      <c r="Y194" s="70">
        <f>'RESUMEN TOTAL'!AE220</f>
        <v>0</v>
      </c>
      <c r="Z194" s="70">
        <f>'RESUMEN TOTAL'!AF220</f>
        <v>0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25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 t="str">
        <f>'RESUMEN TOTAL'!S221</f>
        <v>APAGADO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>
        <f>'RESUMEN TOTAL'!AB221</f>
        <v>0</v>
      </c>
      <c r="W195" s="70">
        <f>'RESUMEN TOTAL'!AC221</f>
        <v>0</v>
      </c>
      <c r="X195" s="70">
        <f>'RESUMEN TOTAL'!AD221</f>
        <v>0</v>
      </c>
      <c r="Y195" s="70">
        <f>'RESUMEN TOTAL'!AE221</f>
        <v>0</v>
      </c>
      <c r="Z195" s="70">
        <f>'RESUMEN TOTAL'!AF221</f>
        <v>0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25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 t="str">
        <f>'RESUMEN TOTAL'!S222</f>
        <v>APAGADO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>
        <f>'RESUMEN TOTAL'!AA222</f>
        <v>0</v>
      </c>
      <c r="V196" s="70">
        <f>'RESUMEN TOTAL'!AB222</f>
        <v>0</v>
      </c>
      <c r="W196" s="70">
        <f>'RESUMEN TOTAL'!AC222</f>
        <v>0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25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 t="str">
        <f>'RESUMEN TOTAL'!Y223</f>
        <v>APAGADO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25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 t="str">
        <f>'RESUMEN TOTAL'!Y224</f>
        <v>APAGADO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25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 t="str">
        <f>'RESUMEN TOTAL'!Y225</f>
        <v>APAGADO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25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25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25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 t="str">
        <f>'RESUMEN TOTAL'!R228</f>
        <v>APAGADO</v>
      </c>
      <c r="M202" s="70" t="str">
        <f>'RESUMEN TOTAL'!S228</f>
        <v>APAGADO</v>
      </c>
      <c r="N202" s="70" t="str">
        <f>'RESUMEN TOTAL'!T228</f>
        <v>APAGADO</v>
      </c>
      <c r="O202" s="70" t="str">
        <f>'RESUMEN TOTAL'!U228</f>
        <v>APAGADO</v>
      </c>
      <c r="P202" s="70" t="str">
        <f>'RESUMEN TOTAL'!V228</f>
        <v>APAGADO</v>
      </c>
      <c r="Q202" s="70" t="str">
        <f>'RESUMEN TOTAL'!W228</f>
        <v>APAGADO</v>
      </c>
      <c r="R202" s="70" t="str">
        <f>'RESUMEN TOTAL'!X228</f>
        <v>APAGADO</v>
      </c>
      <c r="S202" s="70" t="str">
        <f>'RESUMEN TOTAL'!Y228</f>
        <v>APAGADO</v>
      </c>
      <c r="T202" s="70" t="str">
        <f>'RESUMEN TOTAL'!Z228</f>
        <v>APAGADO</v>
      </c>
      <c r="U202" s="70">
        <f>'RESUMEN TOTAL'!AA228</f>
        <v>0</v>
      </c>
      <c r="V202" s="70">
        <f>'RESUMEN TOTAL'!AB228</f>
        <v>0</v>
      </c>
      <c r="W202" s="70">
        <f>'RESUMEN TOTAL'!AC228</f>
        <v>0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25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25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>
        <f>'RESUMEN TOTAL'!AD230</f>
        <v>0</v>
      </c>
      <c r="Y204" s="70">
        <f>'RESUMEN TOTAL'!AE230</f>
        <v>0</v>
      </c>
      <c r="Z204" s="70">
        <f>'RESUMEN TOTAL'!AF230</f>
        <v>0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25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 t="str">
        <f>'RESUMEN TOTAL'!R231</f>
        <v>APAGADO</v>
      </c>
      <c r="M205" s="70" t="str">
        <f>'RESUMEN TOTAL'!S231</f>
        <v>APAGADO</v>
      </c>
      <c r="N205" s="70" t="str">
        <f>'RESUMEN TOTAL'!T231</f>
        <v>APAGADO</v>
      </c>
      <c r="O205" s="70" t="str">
        <f>'RESUMEN TOTAL'!U231</f>
        <v>APAGADO</v>
      </c>
      <c r="P205" s="70">
        <f>'RESUMEN TOTAL'!V231</f>
        <v>0</v>
      </c>
      <c r="Q205" s="70" t="str">
        <f>'RESUMEN TOTAL'!W231</f>
        <v>APAGADO</v>
      </c>
      <c r="R205" s="70" t="str">
        <f>'RESUMEN TOTAL'!X231</f>
        <v>APAGADO</v>
      </c>
      <c r="S205" s="70" t="str">
        <f>'RESUMEN TOTAL'!Y231</f>
        <v>APAGADO</v>
      </c>
      <c r="T205" s="70" t="str">
        <f>'RESUMEN TOTAL'!Z231</f>
        <v>APAGADO</v>
      </c>
      <c r="U205" s="70">
        <f>'RESUMEN TOTAL'!AA231</f>
        <v>0</v>
      </c>
      <c r="V205" s="70">
        <f>'RESUMEN TOTAL'!AB231</f>
        <v>0</v>
      </c>
      <c r="W205" s="70">
        <f>'RESUMEN TOTAL'!AC231</f>
        <v>0</v>
      </c>
      <c r="X205" s="70">
        <f>'RESUMEN TOTAL'!AD231</f>
        <v>0</v>
      </c>
      <c r="Y205" s="70">
        <f>'RESUMEN TOTAL'!AE231</f>
        <v>0</v>
      </c>
      <c r="Z205" s="70">
        <f>'RESUMEN TOTAL'!AF231</f>
        <v>0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25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 t="str">
        <f>'RESUMEN TOTAL'!R232</f>
        <v>APAGADO</v>
      </c>
      <c r="M206" s="70" t="str">
        <f>'RESUMEN TOTAL'!S232</f>
        <v>APAGADO</v>
      </c>
      <c r="N206" s="70" t="str">
        <f>'RESUMEN TOTAL'!T232</f>
        <v>APAGADO</v>
      </c>
      <c r="O206" s="70" t="str">
        <f>'RESUMEN TOTAL'!U232</f>
        <v>APAGADO</v>
      </c>
      <c r="P206" s="70" t="str">
        <f>'RESUMEN TOTAL'!V232</f>
        <v>APAGADO</v>
      </c>
      <c r="Q206" s="70" t="str">
        <f>'RESUMEN TOTAL'!W232</f>
        <v>APAGADO</v>
      </c>
      <c r="R206" s="70" t="str">
        <f>'RESUMEN TOTAL'!X232</f>
        <v>APAGADO</v>
      </c>
      <c r="S206" s="70" t="str">
        <f>'RESUMEN TOTAL'!Y232</f>
        <v>APAGADO</v>
      </c>
      <c r="T206" s="70" t="str">
        <f>'RESUMEN TOTAL'!Z232</f>
        <v>APAGADO</v>
      </c>
      <c r="U206" s="70">
        <f>'RESUMEN TOTAL'!AA232</f>
        <v>0</v>
      </c>
      <c r="V206" s="70">
        <f>'RESUMEN TOTAL'!AB232</f>
        <v>0</v>
      </c>
      <c r="W206" s="70">
        <f>'RESUMEN TOTAL'!AC232</f>
        <v>0</v>
      </c>
      <c r="X206" s="70">
        <f>'RESUMEN TOTAL'!AD232</f>
        <v>0</v>
      </c>
      <c r="Y206" s="70">
        <f>'RESUMEN TOTAL'!AE232</f>
        <v>0</v>
      </c>
      <c r="Z206" s="70">
        <f>'RESUMEN TOTAL'!AF232</f>
        <v>0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25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25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25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25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25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25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25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25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25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>
        <f>'RESUMEN TOTAL'!AD241</f>
        <v>0</v>
      </c>
      <c r="Y215" s="70">
        <f>'RESUMEN TOTAL'!AE241</f>
        <v>0</v>
      </c>
      <c r="Z215" s="70">
        <f>'RESUMEN TOTAL'!AF241</f>
        <v>0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25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25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25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>
        <f>'RESUMEN TOTAL'!AC246</f>
        <v>0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25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25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25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 t="str">
        <f>'RESUMEN TOTAL'!R249</f>
        <v>APAGADO</v>
      </c>
      <c r="M221" s="70" t="str">
        <f>'RESUMEN TOTAL'!S249</f>
        <v>APAGADO</v>
      </c>
      <c r="N221" s="70" t="str">
        <f>'RESUMEN TOTAL'!T249</f>
        <v>APAGADO</v>
      </c>
      <c r="O221" s="70" t="str">
        <f>'RESUMEN TOTAL'!U249</f>
        <v>APAGADO</v>
      </c>
      <c r="P221" s="70" t="str">
        <f>'RESUMEN TOTAL'!V249</f>
        <v>APAGADO</v>
      </c>
      <c r="Q221" s="70" t="str">
        <f>'RESUMEN TOTAL'!W249</f>
        <v>APAGADO</v>
      </c>
      <c r="R221" s="70" t="str">
        <f>'RESUMEN TOTAL'!X249</f>
        <v>APAGADO</v>
      </c>
      <c r="S221" s="70" t="str">
        <f>'RESUMEN TOTAL'!Y249</f>
        <v>APAGADO</v>
      </c>
      <c r="T221" s="70" t="str">
        <f>'RESUMEN TOTAL'!Z249</f>
        <v>APAGADO</v>
      </c>
      <c r="U221" s="70">
        <f>'RESUMEN TOTAL'!AA249</f>
        <v>0</v>
      </c>
      <c r="V221" s="70">
        <f>'RESUMEN TOTAL'!AB249</f>
        <v>0</v>
      </c>
      <c r="W221" s="70">
        <f>'RESUMEN TOTAL'!AC249</f>
        <v>0</v>
      </c>
      <c r="X221" s="70">
        <f>'RESUMEN TOTAL'!AD249</f>
        <v>0</v>
      </c>
      <c r="Y221" s="70">
        <f>'RESUMEN TOTAL'!AE249</f>
        <v>0</v>
      </c>
      <c r="Z221" s="70">
        <f>'RESUMEN TOTAL'!AF249</f>
        <v>0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25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>
        <f>'RESUMEN TOTAL'!AE250</f>
        <v>0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25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25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25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25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>
        <f>'RESUMEN TOTAL'!AA254</f>
        <v>0</v>
      </c>
      <c r="V226" s="70">
        <f>'RESUMEN TOTAL'!AB254</f>
        <v>0</v>
      </c>
      <c r="W226" s="70">
        <f>'RESUMEN TOTAL'!AC254</f>
        <v>0</v>
      </c>
      <c r="X226" s="70">
        <f>'RESUMEN TOTAL'!AD254</f>
        <v>0</v>
      </c>
      <c r="Y226" s="70">
        <f>'RESUMEN TOTAL'!AE254</f>
        <v>0</v>
      </c>
      <c r="Z226" s="70">
        <f>'RESUMEN TOTAL'!AF254</f>
        <v>0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25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25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25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25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25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25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25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25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25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 t="str">
        <f>'RESUMEN TOTAL'!R265</f>
        <v>APAGADO</v>
      </c>
      <c r="M235" s="70" t="str">
        <f>'RESUMEN TOTAL'!S265</f>
        <v>APAGADO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>
        <f>'RESUMEN TOTAL'!AA265</f>
        <v>0</v>
      </c>
      <c r="V235" s="70">
        <f>'RESUMEN TOTAL'!AB265</f>
        <v>0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25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25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 t="str">
        <f>'RESUMEN TOTAL'!R267</f>
        <v>APAGADO</v>
      </c>
      <c r="M237" s="70" t="str">
        <f>'RESUMEN TOTAL'!S267</f>
        <v>APAGADO</v>
      </c>
      <c r="N237" s="70" t="str">
        <f>'RESUMEN TOTAL'!T267</f>
        <v>APAGADO</v>
      </c>
      <c r="O237" s="70" t="str">
        <f>'RESUMEN TOTAL'!U267</f>
        <v>APAGADO</v>
      </c>
      <c r="P237" s="70" t="str">
        <f>'RESUMEN TOTAL'!V267</f>
        <v>APAGADO</v>
      </c>
      <c r="Q237" s="70" t="str">
        <f>'RESUMEN TOTAL'!W267</f>
        <v>APAGADO</v>
      </c>
      <c r="R237" s="70" t="str">
        <f>'RESUMEN TOTAL'!X267</f>
        <v>APAGADO</v>
      </c>
      <c r="S237" s="70" t="str">
        <f>'RESUMEN TOTAL'!Y267</f>
        <v>APAGADO</v>
      </c>
      <c r="T237" s="70" t="str">
        <f>'RESUMEN TOTAL'!Z267</f>
        <v>APAGADO</v>
      </c>
      <c r="U237" s="70">
        <f>'RESUMEN TOTAL'!AA267</f>
        <v>0</v>
      </c>
      <c r="V237" s="70">
        <f>'RESUMEN TOTAL'!AB267</f>
        <v>0</v>
      </c>
      <c r="W237" s="70">
        <f>'RESUMEN TOTAL'!AC267</f>
        <v>0</v>
      </c>
      <c r="X237" s="70">
        <f>'RESUMEN TOTAL'!AD267</f>
        <v>0</v>
      </c>
      <c r="Y237" s="70">
        <f>'RESUMEN TOTAL'!AE267</f>
        <v>0</v>
      </c>
      <c r="Z237" s="70">
        <f>'RESUMEN TOTAL'!AF267</f>
        <v>0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25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 t="str">
        <f>'RESUMEN TOTAL'!R268</f>
        <v>APAGADO</v>
      </c>
      <c r="M238" s="70" t="str">
        <f>'RESUMEN TOTAL'!S268</f>
        <v>APAGADO</v>
      </c>
      <c r="N238" s="70" t="str">
        <f>'RESUMEN TOTAL'!T268</f>
        <v>APAGADO</v>
      </c>
      <c r="O238" s="70" t="str">
        <f>'RESUMEN TOTAL'!U268</f>
        <v>APAGADO</v>
      </c>
      <c r="P238" s="70" t="str">
        <f>'RESUMEN TOTAL'!V268</f>
        <v>APAGADO</v>
      </c>
      <c r="Q238" s="70" t="str">
        <f>'RESUMEN TOTAL'!W268</f>
        <v>APAGADO</v>
      </c>
      <c r="R238" s="70" t="str">
        <f>'RESUMEN TOTAL'!X268</f>
        <v>APAGADO</v>
      </c>
      <c r="S238" s="70" t="str">
        <f>'RESUMEN TOTAL'!Y268</f>
        <v>APAGADO</v>
      </c>
      <c r="T238" s="70" t="str">
        <f>'RESUMEN TOTAL'!Z268</f>
        <v>APAGADO</v>
      </c>
      <c r="U238" s="70">
        <f>'RESUMEN TOTAL'!AA268</f>
        <v>0</v>
      </c>
      <c r="V238" s="70">
        <f>'RESUMEN TOTAL'!AB268</f>
        <v>0</v>
      </c>
      <c r="W238" s="70">
        <f>'RESUMEN TOTAL'!AC268</f>
        <v>0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25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>
        <f>'RESUMEN TOTAL'!AA269</f>
        <v>0</v>
      </c>
      <c r="V239" s="70">
        <f>'RESUMEN TOTAL'!AB269</f>
        <v>0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25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25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 t="str">
        <f>'RESUMEN TOTAL'!S271</f>
        <v>APAGADO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>
        <f>'RESUMEN TOTAL'!AA271</f>
        <v>0</v>
      </c>
      <c r="V241" s="70">
        <f>'RESUMEN TOTAL'!AB271</f>
        <v>0</v>
      </c>
      <c r="W241" s="70">
        <f>'RESUMEN TOTAL'!AC271</f>
        <v>0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25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 t="str">
        <f>'RESUMEN TOTAL'!S272</f>
        <v>APAGADO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>
        <f>'RESUMEN TOTAL'!AA272</f>
        <v>0</v>
      </c>
      <c r="V242" s="70">
        <f>'RESUMEN TOTAL'!AB272</f>
        <v>0</v>
      </c>
      <c r="W242" s="70">
        <f>'RESUMEN TOTAL'!AC272</f>
        <v>0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25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 t="str">
        <f>'RESUMEN TOTAL'!S273</f>
        <v>APAGADO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>
        <f>'RESUMEN TOTAL'!AA273</f>
        <v>0</v>
      </c>
      <c r="V243" s="70">
        <f>'RESUMEN TOTAL'!AB273</f>
        <v>0</v>
      </c>
      <c r="W243" s="70">
        <f>'RESUMEN TOTAL'!AC273</f>
        <v>0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25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25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25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25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25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 t="str">
        <f>'RESUMEN TOTAL'!Y278</f>
        <v>APAGADO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25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 t="str">
        <f>'RESUMEN TOTAL'!R279</f>
        <v>APAGADO</v>
      </c>
      <c r="M249" s="70" t="str">
        <f>'RESUMEN TOTAL'!S279</f>
        <v>APAGADO</v>
      </c>
      <c r="N249" s="70" t="str">
        <f>'RESUMEN TOTAL'!T279</f>
        <v>APAGADO</v>
      </c>
      <c r="O249" s="70" t="str">
        <f>'RESUMEN TOTAL'!U279</f>
        <v>APAGADO</v>
      </c>
      <c r="P249" s="70" t="str">
        <f>'RESUMEN TOTAL'!V279</f>
        <v>APAGADO</v>
      </c>
      <c r="Q249" s="70" t="str">
        <f>'RESUMEN TOTAL'!W279</f>
        <v>APAGADO</v>
      </c>
      <c r="R249" s="70" t="str">
        <f>'RESUMEN TOTAL'!X279</f>
        <v>APAGADO</v>
      </c>
      <c r="S249" s="70" t="str">
        <f>'RESUMEN TOTAL'!Y279</f>
        <v>APAGADO</v>
      </c>
      <c r="T249" s="70" t="str">
        <f>'RESUMEN TOTAL'!Z279</f>
        <v>APAGADO</v>
      </c>
      <c r="U249" s="70">
        <f>'RESUMEN TOTAL'!AA279</f>
        <v>0</v>
      </c>
      <c r="V249" s="70">
        <f>'RESUMEN TOTAL'!AB279</f>
        <v>0</v>
      </c>
      <c r="W249" s="70">
        <f>'RESUMEN TOTAL'!AC279</f>
        <v>0</v>
      </c>
      <c r="X249" s="70">
        <f>'RESUMEN TOTAL'!AD279</f>
        <v>0</v>
      </c>
      <c r="Y249" s="70">
        <f>'RESUMEN TOTAL'!AE279</f>
        <v>0</v>
      </c>
      <c r="Z249" s="70">
        <f>'RESUMEN TOTAL'!AF279</f>
        <v>0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25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 t="str">
        <f>'RESUMEN TOTAL'!Y280</f>
        <v>APAGADO</v>
      </c>
      <c r="T250" s="70" t="str">
        <f>'RESUMEN TOTAL'!Z280</f>
        <v>APAGADO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25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>
        <f>'RESUMEN TOTAL'!AA281</f>
        <v>0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25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>
        <f>'RESUMEN TOTAL'!AA282</f>
        <v>0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25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>
        <f>'RESUMEN TOTAL'!AA283</f>
        <v>0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25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 t="str">
        <f>'RESUMEN TOTAL'!R284</f>
        <v>APAGADO</v>
      </c>
      <c r="M254" s="70" t="str">
        <f>'RESUMEN TOTAL'!S284</f>
        <v>APAGADO</v>
      </c>
      <c r="N254" s="70" t="str">
        <f>'RESUMEN TOTAL'!T284</f>
        <v>APAGADO</v>
      </c>
      <c r="O254" s="70" t="str">
        <f>'RESUMEN TOTAL'!U284</f>
        <v>APAGADO</v>
      </c>
      <c r="P254" s="70" t="str">
        <f>'RESUMEN TOTAL'!V284</f>
        <v>APAGADO</v>
      </c>
      <c r="Q254" s="70" t="str">
        <f>'RESUMEN TOTAL'!W284</f>
        <v>APAGADO</v>
      </c>
      <c r="R254" s="70" t="str">
        <f>'RESUMEN TOTAL'!X284</f>
        <v>APAGADO</v>
      </c>
      <c r="S254" s="70">
        <f>'RESUMEN TOTAL'!Y284</f>
        <v>0</v>
      </c>
      <c r="T254" s="70" t="str">
        <f>'RESUMEN TOTAL'!Z284</f>
        <v>APAGADO</v>
      </c>
      <c r="U254" s="70">
        <f>'RESUMEN TOTAL'!AA284</f>
        <v>0</v>
      </c>
      <c r="V254" s="70">
        <f>'RESUMEN TOTAL'!AB284</f>
        <v>0</v>
      </c>
      <c r="W254" s="70">
        <f>'RESUMEN TOTAL'!AC284</f>
        <v>0</v>
      </c>
      <c r="X254" s="70">
        <f>'RESUMEN TOTAL'!AD284</f>
        <v>0</v>
      </c>
      <c r="Y254" s="70">
        <f>'RESUMEN TOTAL'!AE284</f>
        <v>0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25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25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25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25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25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25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 t="str">
        <f>'RESUMEN TOTAL'!Y290</f>
        <v>APAGADO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25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 t="str">
        <f>'RESUMEN TOTAL'!Y291</f>
        <v>APAGADO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25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 t="str">
        <f>'RESUMEN TOTAL'!Y292</f>
        <v>APAGADO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25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 t="str">
        <f>'RESUMEN TOTAL'!Y293</f>
        <v>APAGADO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25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 t="str">
        <f>'RESUMEN TOTAL'!Y294</f>
        <v>APAGADO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25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 t="str">
        <f>'RESUMEN TOTAL'!Y295</f>
        <v>APAGADO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25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 t="str">
        <f>'RESUMEN TOTAL'!Y300</f>
        <v>APAGADO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25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 t="str">
        <f>'RESUMEN TOTAL'!R301</f>
        <v>APAGADO</v>
      </c>
      <c r="M267" s="70" t="str">
        <f>'RESUMEN TOTAL'!S301</f>
        <v>APAGADO</v>
      </c>
      <c r="N267" s="70" t="str">
        <f>'RESUMEN TOTAL'!T301</f>
        <v>APAGADO</v>
      </c>
      <c r="O267" s="70" t="str">
        <f>'RESUMEN TOTAL'!U301</f>
        <v>APAGADO</v>
      </c>
      <c r="P267" s="70" t="str">
        <f>'RESUMEN TOTAL'!V301</f>
        <v>APAGADO</v>
      </c>
      <c r="Q267" s="70" t="str">
        <f>'RESUMEN TOTAL'!W301</f>
        <v>APAGADO</v>
      </c>
      <c r="R267" s="70" t="str">
        <f>'RESUMEN TOTAL'!X301</f>
        <v>APAGADO</v>
      </c>
      <c r="S267" s="70" t="str">
        <f>'RESUMEN TOTAL'!Y301</f>
        <v>APAGADO</v>
      </c>
      <c r="T267" s="70" t="str">
        <f>'RESUMEN TOTAL'!Z301</f>
        <v>APAGADO</v>
      </c>
      <c r="U267" s="70">
        <f>'RESUMEN TOTAL'!AA301</f>
        <v>0</v>
      </c>
      <c r="V267" s="70">
        <f>'RESUMEN TOTAL'!AB301</f>
        <v>0</v>
      </c>
      <c r="W267" s="70">
        <f>'RESUMEN TOTAL'!AC301</f>
        <v>0</v>
      </c>
      <c r="X267" s="70">
        <f>'RESUMEN TOTAL'!AD301</f>
        <v>0</v>
      </c>
      <c r="Y267" s="70">
        <f>'RESUMEN TOTAL'!AE301</f>
        <v>0</v>
      </c>
      <c r="Z267" s="70">
        <f>'RESUMEN TOTAL'!AF301</f>
        <v>0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25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 t="str">
        <f>'RESUMEN TOTAL'!Y302</f>
        <v>APAGADO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25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 t="str">
        <f>'RESUMEN TOTAL'!Y303</f>
        <v>APAGADO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25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 t="str">
        <f>'RESUMEN TOTAL'!Y304</f>
        <v>APAGADO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25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 t="str">
        <f>'RESUMEN TOTAL'!Y305</f>
        <v>APAGADO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25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 t="str">
        <f>'RESUMEN TOTAL'!Y306</f>
        <v>APAGADO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25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 t="str">
        <f>'RESUMEN TOTAL'!R307</f>
        <v>APAGADO</v>
      </c>
      <c r="M273" s="70" t="str">
        <f>'RESUMEN TOTAL'!S307</f>
        <v>APAGADO</v>
      </c>
      <c r="N273" s="70" t="str">
        <f>'RESUMEN TOTAL'!T307</f>
        <v>APAGADO</v>
      </c>
      <c r="O273" s="70" t="str">
        <f>'RESUMEN TOTAL'!U307</f>
        <v>APAGADO</v>
      </c>
      <c r="P273" s="70" t="str">
        <f>'RESUMEN TOTAL'!V307</f>
        <v>APAGADO</v>
      </c>
      <c r="Q273" s="70" t="str">
        <f>'RESUMEN TOTAL'!W307</f>
        <v>APAGADO</v>
      </c>
      <c r="R273" s="70" t="str">
        <f>'RESUMEN TOTAL'!X307</f>
        <v>APAGADO</v>
      </c>
      <c r="S273" s="70" t="str">
        <f>'RESUMEN TOTAL'!Y307</f>
        <v>APAGADO</v>
      </c>
      <c r="T273" s="70" t="str">
        <f>'RESUMEN TOTAL'!Z307</f>
        <v>APAGADO</v>
      </c>
      <c r="U273" s="70">
        <f>'RESUMEN TOTAL'!AA307</f>
        <v>0</v>
      </c>
      <c r="V273" s="70">
        <f>'RESUMEN TOTAL'!AB308</f>
        <v>0</v>
      </c>
      <c r="W273" s="70">
        <f>'RESUMEN TOTAL'!AC307</f>
        <v>0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25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 t="str">
        <f>'RESUMEN TOTAL'!Y308</f>
        <v>APAGADO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25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 t="str">
        <f>'RESUMEN TOTAL'!Y309</f>
        <v>APAGADO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25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 t="str">
        <f>'RESUMEN TOTAL'!Y310</f>
        <v>APAGADO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25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 t="str">
        <f>'RESUMEN TOTAL'!Y311</f>
        <v>APAGADO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25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 t="str">
        <f>'RESUMEN TOTAL'!Y312</f>
        <v>APAGADO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25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25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25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25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 t="str">
        <f>'RESUMEN TOTAL'!S319</f>
        <v>APAGADO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 t="str">
        <f>'RESUMEN TOTAL'!X319</f>
        <v>APAGADO</v>
      </c>
      <c r="S282" s="70" t="str">
        <f>'RESUMEN TOTAL'!Y319</f>
        <v>APAGADO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25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 t="str">
        <f>'RESUMEN TOTAL'!S320</f>
        <v>APAGADO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 t="str">
        <f>'RESUMEN TOTAL'!X320</f>
        <v>APAGADO</v>
      </c>
      <c r="S283" s="70" t="str">
        <f>'RESUMEN TOTAL'!Y320</f>
        <v>APAGADO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25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25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 t="str">
        <f>'RESUMEN TOTAL'!U322</f>
        <v>APAGADO</v>
      </c>
      <c r="P285" s="70" t="str">
        <f>'RESUMEN TOTAL'!V322</f>
        <v>APAGADO</v>
      </c>
      <c r="Q285" s="70" t="str">
        <f>'RESUMEN TOTAL'!W322</f>
        <v>APAGADO</v>
      </c>
      <c r="R285" s="70" t="str">
        <f>'RESUMEN TOTAL'!X322</f>
        <v>APAGADO</v>
      </c>
      <c r="S285" s="70">
        <f>'RESUMEN TOTAL'!Y322</f>
        <v>0</v>
      </c>
      <c r="T285" s="70">
        <f>'RESUMEN TOTAL'!Z322</f>
        <v>0</v>
      </c>
      <c r="U285" s="70">
        <f>'RESUMEN TOTAL'!AA322</f>
        <v>0</v>
      </c>
      <c r="V285" s="70">
        <f>'RESUMEN TOTAL'!AB322</f>
        <v>0</v>
      </c>
      <c r="W285" s="70">
        <f>'RESUMEN TOTAL'!AC322</f>
        <v>0</v>
      </c>
      <c r="X285" s="70">
        <f>'RESUMEN TOTAL'!AD322</f>
        <v>0</v>
      </c>
      <c r="Y285" s="70">
        <f>'RESUMEN TOTAL'!AE322</f>
        <v>0</v>
      </c>
      <c r="Z285" s="70">
        <f>'RESUMEN TOTAL'!AF322</f>
        <v>0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25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25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25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25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25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>
        <f>'RESUMEN TOTAL'!AD327</f>
        <v>0</v>
      </c>
      <c r="Y290" s="70">
        <f>'RESUMEN TOTAL'!AE327</f>
        <v>0</v>
      </c>
      <c r="Z290" s="70">
        <f>'RESUMEN TOTAL'!AF327</f>
        <v>0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25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>
        <f>'RESUMEN TOTAL'!AD328</f>
        <v>0</v>
      </c>
      <c r="Y291" s="70">
        <f>'RESUMEN TOTAL'!AE328</f>
        <v>0</v>
      </c>
      <c r="Z291" s="70">
        <f>'RESUMEN TOTAL'!AF328</f>
        <v>0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25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25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25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25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25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25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25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25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25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25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 t="str">
        <f>'RESUMEN TOTAL'!R338</f>
        <v>APAGADO</v>
      </c>
      <c r="M301" s="70" t="str">
        <f>'RESUMEN TOTAL'!S338</f>
        <v>APAGADO</v>
      </c>
      <c r="N301" s="70" t="str">
        <f>'RESUMEN TOTAL'!T338</f>
        <v>APAGADO</v>
      </c>
      <c r="O301" s="70" t="str">
        <f>'RESUMEN TOTAL'!U338</f>
        <v>APAGADO</v>
      </c>
      <c r="P301" s="70" t="str">
        <f>'RESUMEN TOTAL'!V338</f>
        <v>APAGADO</v>
      </c>
      <c r="Q301" s="70" t="str">
        <f>'RESUMEN TOTAL'!W338</f>
        <v>APAGADO</v>
      </c>
      <c r="R301" s="70" t="str">
        <f>'RESUMEN TOTAL'!X338</f>
        <v>APAGADO</v>
      </c>
      <c r="S301" s="70" t="str">
        <f>'RESUMEN TOTAL'!Y338</f>
        <v>APAGADO</v>
      </c>
      <c r="T301" s="70" t="str">
        <f>'RESUMEN TOTAL'!Z338</f>
        <v>APAGADO</v>
      </c>
      <c r="U301" s="70">
        <f>'RESUMEN TOTAL'!AA338</f>
        <v>0</v>
      </c>
      <c r="V301" s="70">
        <f>'RESUMEN TOTAL'!AB338</f>
        <v>0</v>
      </c>
      <c r="W301" s="70">
        <f>'RESUMEN TOTAL'!AC338</f>
        <v>0</v>
      </c>
      <c r="X301" s="70">
        <f>'RESUMEN TOTAL'!AD338</f>
        <v>0</v>
      </c>
      <c r="Y301" s="70">
        <f>'RESUMEN TOTAL'!AE338</f>
        <v>0</v>
      </c>
      <c r="Z301" s="70">
        <f>'RESUMEN TOTAL'!AF338</f>
        <v>0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25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 t="str">
        <f>'RESUMEN TOTAL'!R339</f>
        <v>APAGADO</v>
      </c>
      <c r="M302" s="70" t="str">
        <f>'RESUMEN TOTAL'!S339</f>
        <v>APAGADO</v>
      </c>
      <c r="N302" s="70" t="str">
        <f>'RESUMEN TOTAL'!T339</f>
        <v>APAGADO</v>
      </c>
      <c r="O302" s="70" t="str">
        <f>'RESUMEN TOTAL'!U339</f>
        <v>APAGADO</v>
      </c>
      <c r="P302" s="70" t="str">
        <f>'RESUMEN TOTAL'!V339</f>
        <v>APAGADO</v>
      </c>
      <c r="Q302" s="70" t="str">
        <f>'RESUMEN TOTAL'!W339</f>
        <v>APAGADO</v>
      </c>
      <c r="R302" s="70" t="str">
        <f>'RESUMEN TOTAL'!X339</f>
        <v>APAGADO</v>
      </c>
      <c r="S302" s="70" t="str">
        <f>'RESUMEN TOTAL'!Y339</f>
        <v>APAGADO</v>
      </c>
      <c r="T302" s="70" t="str">
        <f>'RESUMEN TOTAL'!Z339</f>
        <v>APAGADO</v>
      </c>
      <c r="U302" s="70">
        <f>'RESUMEN TOTAL'!AA339</f>
        <v>0</v>
      </c>
      <c r="V302" s="70">
        <f>'RESUMEN TOTAL'!AB339</f>
        <v>0</v>
      </c>
      <c r="W302" s="70">
        <f>'RESUMEN TOTAL'!AC339</f>
        <v>0</v>
      </c>
      <c r="X302" s="70">
        <f>'RESUMEN TOTAL'!AD339</f>
        <v>0</v>
      </c>
      <c r="Y302" s="70">
        <f>'RESUMEN TOTAL'!AE339</f>
        <v>0</v>
      </c>
      <c r="Z302" s="70">
        <f>'RESUMEN TOTAL'!AF339</f>
        <v>0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25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25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 t="str">
        <f>'RESUMEN TOTAL'!R341</f>
        <v>APAGADO</v>
      </c>
      <c r="M304" s="70" t="str">
        <f>'RESUMEN TOTAL'!S341</f>
        <v>APAGADO</v>
      </c>
      <c r="N304" s="70" t="str">
        <f>'RESUMEN TOTAL'!T341</f>
        <v>APAGADO</v>
      </c>
      <c r="O304" s="70" t="str">
        <f>'RESUMEN TOTAL'!U341</f>
        <v>APAGADO</v>
      </c>
      <c r="P304" s="70" t="str">
        <f>'RESUMEN TOTAL'!V341</f>
        <v>APAGADO</v>
      </c>
      <c r="Q304" s="70" t="str">
        <f>'RESUMEN TOTAL'!W341</f>
        <v>APAGADO</v>
      </c>
      <c r="R304" s="70" t="str">
        <f>'RESUMEN TOTAL'!X341</f>
        <v>APAGADO</v>
      </c>
      <c r="S304" s="70" t="str">
        <f>'RESUMEN TOTAL'!Y341</f>
        <v>APAGADO</v>
      </c>
      <c r="T304" s="70" t="str">
        <f>'RESUMEN TOTAL'!Z341</f>
        <v>APAGADO</v>
      </c>
      <c r="U304" s="70">
        <f>'RESUMEN TOTAL'!AA341</f>
        <v>0</v>
      </c>
      <c r="V304" s="70">
        <f>'RESUMEN TOTAL'!AB341</f>
        <v>0</v>
      </c>
      <c r="W304" s="70">
        <f>'RESUMEN TOTAL'!AC341</f>
        <v>0</v>
      </c>
      <c r="X304" s="70">
        <f>'RESUMEN TOTAL'!AD341</f>
        <v>0</v>
      </c>
      <c r="Y304" s="70">
        <f>'RESUMEN TOTAL'!AE341</f>
        <v>0</v>
      </c>
      <c r="Z304" s="70">
        <f>'RESUMEN TOTAL'!AF341</f>
        <v>0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25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 t="str">
        <f>'RESUMEN TOTAL'!R342</f>
        <v>APAGADO</v>
      </c>
      <c r="M305" s="70" t="str">
        <f>'RESUMEN TOTAL'!S342</f>
        <v>APAGADO</v>
      </c>
      <c r="N305" s="70" t="str">
        <f>'RESUMEN TOTAL'!T342</f>
        <v>APAGADO</v>
      </c>
      <c r="O305" s="70" t="str">
        <f>'RESUMEN TOTAL'!U342</f>
        <v>APAGADO</v>
      </c>
      <c r="P305" s="70" t="str">
        <f>'RESUMEN TOTAL'!V342</f>
        <v>APAGADO</v>
      </c>
      <c r="Q305" s="70" t="str">
        <f>'RESUMEN TOTAL'!W342</f>
        <v>APAGADO</v>
      </c>
      <c r="R305" s="70" t="str">
        <f>'RESUMEN TOTAL'!X342</f>
        <v>APAGADO</v>
      </c>
      <c r="S305" s="70" t="str">
        <f>'RESUMEN TOTAL'!Y342</f>
        <v>APAGADO</v>
      </c>
      <c r="T305" s="70" t="str">
        <f>'RESUMEN TOTAL'!Z342</f>
        <v>APAGADO</v>
      </c>
      <c r="U305" s="70">
        <f>'RESUMEN TOTAL'!AA342</f>
        <v>0</v>
      </c>
      <c r="V305" s="70">
        <f>'RESUMEN TOTAL'!AB342</f>
        <v>0</v>
      </c>
      <c r="W305" s="70">
        <f>'RESUMEN TOTAL'!AC342</f>
        <v>0</v>
      </c>
      <c r="X305" s="70">
        <f>'RESUMEN TOTAL'!AD342</f>
        <v>0</v>
      </c>
      <c r="Y305" s="70">
        <f>'RESUMEN TOTAL'!AE342</f>
        <v>0</v>
      </c>
      <c r="Z305" s="70">
        <f>'RESUMEN TOTAL'!AF342</f>
        <v>0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25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 t="str">
        <f>'RESUMEN TOTAL'!R343</f>
        <v>APAGADO</v>
      </c>
      <c r="M306" s="70" t="str">
        <f>'RESUMEN TOTAL'!S343</f>
        <v>APAGADO</v>
      </c>
      <c r="N306" s="70" t="str">
        <f>'RESUMEN TOTAL'!T343</f>
        <v>APAGADO</v>
      </c>
      <c r="O306" s="70" t="str">
        <f>'RESUMEN TOTAL'!U343</f>
        <v>APAGADO</v>
      </c>
      <c r="P306" s="70" t="str">
        <f>'RESUMEN TOTAL'!V343</f>
        <v>APAGADO</v>
      </c>
      <c r="Q306" s="70" t="str">
        <f>'RESUMEN TOTAL'!W343</f>
        <v>APAGADO</v>
      </c>
      <c r="R306" s="70" t="str">
        <f>'RESUMEN TOTAL'!X343</f>
        <v>APAGADO</v>
      </c>
      <c r="S306" s="70" t="str">
        <f>'RESUMEN TOTAL'!Y343</f>
        <v>APAGADO</v>
      </c>
      <c r="T306" s="70" t="str">
        <f>'RESUMEN TOTAL'!Z343</f>
        <v>APAGADO</v>
      </c>
      <c r="U306" s="70">
        <f>'RESUMEN TOTAL'!AA343</f>
        <v>0</v>
      </c>
      <c r="V306" s="70">
        <f>'RESUMEN TOTAL'!AB343</f>
        <v>0</v>
      </c>
      <c r="W306" s="70">
        <f>'RESUMEN TOTAL'!AC343</f>
        <v>0</v>
      </c>
      <c r="X306" s="70">
        <f>'RESUMEN TOTAL'!AD343</f>
        <v>0</v>
      </c>
      <c r="Y306" s="70">
        <f>'RESUMEN TOTAL'!AE343</f>
        <v>0</v>
      </c>
      <c r="Z306" s="70">
        <f>'RESUMEN TOTAL'!AF343</f>
        <v>0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25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25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25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 t="str">
        <f>'RESUMEN TOTAL'!R346</f>
        <v>APAGADO</v>
      </c>
      <c r="M309" s="70" t="str">
        <f>'RESUMEN TOTAL'!S346</f>
        <v>APAGADO</v>
      </c>
      <c r="N309" s="70" t="str">
        <f>'RESUMEN TOTAL'!T346</f>
        <v>APAGADO</v>
      </c>
      <c r="O309" s="70" t="str">
        <f>'RESUMEN TOTAL'!U346</f>
        <v>APAGADO</v>
      </c>
      <c r="P309" s="70" t="str">
        <f>'RESUMEN TOTAL'!V346</f>
        <v>APAGADO</v>
      </c>
      <c r="Q309" s="70" t="str">
        <f>'RESUMEN TOTAL'!W346</f>
        <v>APAGADO</v>
      </c>
      <c r="R309" s="70" t="str">
        <f>'RESUMEN TOTAL'!X346</f>
        <v>APAGADO</v>
      </c>
      <c r="S309" s="70" t="str">
        <f>'RESUMEN TOTAL'!Y346</f>
        <v>APAGADO</v>
      </c>
      <c r="T309" s="70" t="str">
        <f>'RESUMEN TOTAL'!Z346</f>
        <v>APAGADO</v>
      </c>
      <c r="U309" s="70">
        <f>'RESUMEN TOTAL'!AA346</f>
        <v>0</v>
      </c>
      <c r="V309" s="70">
        <f>'RESUMEN TOTAL'!AB346</f>
        <v>0</v>
      </c>
      <c r="W309" s="70">
        <f>'RESUMEN TOTAL'!AC346</f>
        <v>0</v>
      </c>
      <c r="X309" s="70">
        <f>'RESUMEN TOTAL'!AD346</f>
        <v>0</v>
      </c>
      <c r="Y309" s="70">
        <f>'RESUMEN TOTAL'!AE346</f>
        <v>0</v>
      </c>
      <c r="Z309" s="70">
        <f>'RESUMEN TOTAL'!AF346</f>
        <v>0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25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 t="str">
        <f>'RESUMEN TOTAL'!R347</f>
        <v>APAGADO</v>
      </c>
      <c r="M310" s="70" t="str">
        <f>'RESUMEN TOTAL'!S347</f>
        <v>APAGADO</v>
      </c>
      <c r="N310" s="70" t="str">
        <f>'RESUMEN TOTAL'!T347</f>
        <v>APAGADO</v>
      </c>
      <c r="O310" s="70" t="str">
        <f>'RESUMEN TOTAL'!U347</f>
        <v>APAGADO</v>
      </c>
      <c r="P310" s="70" t="str">
        <f>'RESUMEN TOTAL'!V347</f>
        <v>APAGADO</v>
      </c>
      <c r="Q310" s="70" t="str">
        <f>'RESUMEN TOTAL'!W347</f>
        <v>APAGADO</v>
      </c>
      <c r="R310" s="70" t="str">
        <f>'RESUMEN TOTAL'!X347</f>
        <v>APAGADO</v>
      </c>
      <c r="S310" s="70" t="str">
        <f>'RESUMEN TOTAL'!Y347</f>
        <v>APAGADO</v>
      </c>
      <c r="T310" s="70" t="str">
        <f>'RESUMEN TOTAL'!Z347</f>
        <v>APAGADO</v>
      </c>
      <c r="U310" s="70">
        <f>'RESUMEN TOTAL'!AA347</f>
        <v>0</v>
      </c>
      <c r="V310" s="70">
        <f>'RESUMEN TOTAL'!AB347</f>
        <v>0</v>
      </c>
      <c r="W310" s="70">
        <f>'RESUMEN TOTAL'!AC347</f>
        <v>0</v>
      </c>
      <c r="X310" s="70">
        <f>'RESUMEN TOTAL'!AD347</f>
        <v>0</v>
      </c>
      <c r="Y310" s="70">
        <f>'RESUMEN TOTAL'!AE347</f>
        <v>0</v>
      </c>
      <c r="Z310" s="70">
        <f>'RESUMEN TOTAL'!AF347</f>
        <v>0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25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 t="str">
        <f>'RESUMEN TOTAL'!R348</f>
        <v>APAGADO</v>
      </c>
      <c r="M311" s="70" t="str">
        <f>'RESUMEN TOTAL'!S348</f>
        <v>APAGADO</v>
      </c>
      <c r="N311" s="70" t="str">
        <f>'RESUMEN TOTAL'!T348</f>
        <v>APAGADO</v>
      </c>
      <c r="O311" s="70" t="str">
        <f>'RESUMEN TOTAL'!U348</f>
        <v>APAGADO</v>
      </c>
      <c r="P311" s="70" t="str">
        <f>'RESUMEN TOTAL'!V348</f>
        <v>APAGADO</v>
      </c>
      <c r="Q311" s="70" t="str">
        <f>'RESUMEN TOTAL'!W348</f>
        <v>APAGADO</v>
      </c>
      <c r="R311" s="70" t="str">
        <f>'RESUMEN TOTAL'!X348</f>
        <v>APAGADO</v>
      </c>
      <c r="S311" s="70" t="str">
        <f>'RESUMEN TOTAL'!Y348</f>
        <v>APAGADO</v>
      </c>
      <c r="T311" s="70" t="str">
        <f>'RESUMEN TOTAL'!Z348</f>
        <v>APAGADO</v>
      </c>
      <c r="U311" s="70">
        <f>'RESUMEN TOTAL'!AA348</f>
        <v>0</v>
      </c>
      <c r="V311" s="70">
        <f>'RESUMEN TOTAL'!AB348</f>
        <v>0</v>
      </c>
      <c r="W311" s="70">
        <f>'RESUMEN TOTAL'!AC348</f>
        <v>0</v>
      </c>
      <c r="X311" s="70">
        <f>'RESUMEN TOTAL'!AD348</f>
        <v>0</v>
      </c>
      <c r="Y311" s="70">
        <f>'RESUMEN TOTAL'!AE348</f>
        <v>0</v>
      </c>
      <c r="Z311" s="70">
        <f>'RESUMEN TOTAL'!AF348</f>
        <v>0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25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 t="str">
        <f>'RESUMEN TOTAL'!R349</f>
        <v>APAGADO</v>
      </c>
      <c r="M312" s="70" t="str">
        <f>'RESUMEN TOTAL'!S349</f>
        <v>APAGADO</v>
      </c>
      <c r="N312" s="70" t="str">
        <f>'RESUMEN TOTAL'!T349</f>
        <v>APAGADO</v>
      </c>
      <c r="O312" s="70" t="str">
        <f>'RESUMEN TOTAL'!U349</f>
        <v>APAGADO</v>
      </c>
      <c r="P312" s="70" t="str">
        <f>'RESUMEN TOTAL'!V349</f>
        <v>APAGADO</v>
      </c>
      <c r="Q312" s="70" t="str">
        <f>'RESUMEN TOTAL'!W349</f>
        <v>APAGADO</v>
      </c>
      <c r="R312" s="70" t="str">
        <f>'RESUMEN TOTAL'!X349</f>
        <v>APAGADO</v>
      </c>
      <c r="S312" s="70" t="str">
        <f>'RESUMEN TOTAL'!Y349</f>
        <v>APAGADO</v>
      </c>
      <c r="T312" s="70" t="str">
        <f>'RESUMEN TOTAL'!Z349</f>
        <v>APAGADO</v>
      </c>
      <c r="U312" s="70">
        <f>'RESUMEN TOTAL'!AA349</f>
        <v>0</v>
      </c>
      <c r="V312" s="70">
        <f>'RESUMEN TOTAL'!AB349</f>
        <v>0</v>
      </c>
      <c r="W312" s="70">
        <f>'RESUMEN TOTAL'!AC349</f>
        <v>0</v>
      </c>
      <c r="X312" s="70">
        <f>'RESUMEN TOTAL'!AD349</f>
        <v>0</v>
      </c>
      <c r="Y312" s="70">
        <f>'RESUMEN TOTAL'!AE349</f>
        <v>0</v>
      </c>
      <c r="Z312" s="70">
        <f>'RESUMEN TOTAL'!AF349</f>
        <v>0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25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25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 t="str">
        <f>'RESUMEN TOTAL'!R351</f>
        <v>APAGADO</v>
      </c>
      <c r="M314" s="70" t="str">
        <f>'RESUMEN TOTAL'!S351</f>
        <v>APAGADO</v>
      </c>
      <c r="N314" s="70" t="str">
        <f>'RESUMEN TOTAL'!T351</f>
        <v>APAGADO</v>
      </c>
      <c r="O314" s="70" t="str">
        <f>'RESUMEN TOTAL'!U351</f>
        <v>APAGADO</v>
      </c>
      <c r="P314" s="70" t="str">
        <f>'RESUMEN TOTAL'!V351</f>
        <v>APAGADO</v>
      </c>
      <c r="Q314" s="70" t="str">
        <f>'RESUMEN TOTAL'!W351</f>
        <v>APAGADO</v>
      </c>
      <c r="R314" s="70" t="str">
        <f>'RESUMEN TOTAL'!X351</f>
        <v>APAGADO</v>
      </c>
      <c r="S314" s="70" t="str">
        <f>'RESUMEN TOTAL'!Y351</f>
        <v>APAGADO</v>
      </c>
      <c r="T314" s="70" t="str">
        <f>'RESUMEN TOTAL'!Z351</f>
        <v>APAGADO</v>
      </c>
      <c r="U314" s="70">
        <f>'RESUMEN TOTAL'!AA351</f>
        <v>0</v>
      </c>
      <c r="V314" s="70">
        <f>'RESUMEN TOTAL'!AB351</f>
        <v>0</v>
      </c>
      <c r="W314" s="70">
        <f>'RESUMEN TOTAL'!AC351</f>
        <v>0</v>
      </c>
      <c r="X314" s="70">
        <f>'RESUMEN TOTAL'!AD351</f>
        <v>0</v>
      </c>
      <c r="Y314" s="70">
        <f>'RESUMEN TOTAL'!AE351</f>
        <v>0</v>
      </c>
      <c r="Z314" s="70">
        <f>'RESUMEN TOTAL'!AF351</f>
        <v>0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25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25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 t="str">
        <f>'RESUMEN TOTAL'!S356</f>
        <v>APAGADO</v>
      </c>
      <c r="N316" s="70" t="str">
        <f>'RESUMEN TOTAL'!T356</f>
        <v>APAGADO</v>
      </c>
      <c r="O316" s="70" t="str">
        <f>'RESUMEN TOTAL'!U356</f>
        <v>APAGADO</v>
      </c>
      <c r="P316" s="70" t="str">
        <f>'RESUMEN TOTAL'!V356</f>
        <v>APAGADO</v>
      </c>
      <c r="Q316" s="70" t="str">
        <f>'RESUMEN TOTAL'!W356</f>
        <v>APAGADO</v>
      </c>
      <c r="R316" s="70" t="str">
        <f>'RESUMEN TOTAL'!X356</f>
        <v>APAGADO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25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25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25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25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25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25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 t="str">
        <f>'RESUMEN TOTAL'!V362</f>
        <v>APAGADO</v>
      </c>
      <c r="Q322" s="70" t="str">
        <f>'RESUMEN TOTAL'!W362</f>
        <v>APAGADO</v>
      </c>
      <c r="R322" s="70" t="str">
        <f>'RESUMEN TOTAL'!X362</f>
        <v>APAGADO</v>
      </c>
      <c r="S322" s="70" t="str">
        <f>'RESUMEN TOTAL'!Y362</f>
        <v>APAGADO</v>
      </c>
      <c r="T322" s="70" t="str">
        <f>'RESUMEN TOTAL'!Z362</f>
        <v>APAGADO</v>
      </c>
      <c r="U322" s="70">
        <f>'RESUMEN TOTAL'!AA362</f>
        <v>0</v>
      </c>
      <c r="V322" s="70">
        <f>'RESUMEN TOTAL'!AB362</f>
        <v>0</v>
      </c>
      <c r="W322" s="70">
        <f>'RESUMEN TOTAL'!AC362</f>
        <v>0</v>
      </c>
      <c r="X322" s="70">
        <f>'RESUMEN TOTAL'!AD362</f>
        <v>0</v>
      </c>
      <c r="Y322" s="70">
        <f>'RESUMEN TOTAL'!AE362</f>
        <v>0</v>
      </c>
      <c r="Z322" s="70">
        <f>'RESUMEN TOTAL'!AF362</f>
        <v>0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25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 t="str">
        <f>'RESUMEN TOTAL'!V363</f>
        <v>APAGADO</v>
      </c>
      <c r="Q323" s="70" t="str">
        <f>'RESUMEN TOTAL'!W363</f>
        <v>APAGADO</v>
      </c>
      <c r="R323" s="70" t="str">
        <f>'RESUMEN TOTAL'!X363</f>
        <v>APAGADO</v>
      </c>
      <c r="S323" s="70" t="str">
        <f>'RESUMEN TOTAL'!Y363</f>
        <v>APAGADO</v>
      </c>
      <c r="T323" s="70" t="str">
        <f>'RESUMEN TOTAL'!Z363</f>
        <v>APAGADO</v>
      </c>
      <c r="U323" s="70">
        <f>'RESUMEN TOTAL'!AA363</f>
        <v>0</v>
      </c>
      <c r="V323" s="70">
        <f>'RESUMEN TOTAL'!AB363</f>
        <v>0</v>
      </c>
      <c r="W323" s="70">
        <f>'RESUMEN TOTAL'!AC363</f>
        <v>0</v>
      </c>
      <c r="X323" s="70">
        <f>'RESUMEN TOTAL'!AD363</f>
        <v>0</v>
      </c>
      <c r="Y323" s="70">
        <f>'RESUMEN TOTAL'!AE363</f>
        <v>0</v>
      </c>
      <c r="Z323" s="70">
        <f>'RESUMEN TOTAL'!AF363</f>
        <v>0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25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25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25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 t="str">
        <f>'RESUMEN TOTAL'!R368</f>
        <v>APAGADO</v>
      </c>
      <c r="M326" s="70" t="str">
        <f>'RESUMEN TOTAL'!S368</f>
        <v>APAGADO</v>
      </c>
      <c r="N326" s="70" t="str">
        <f>'RESUMEN TOTAL'!T368</f>
        <v>APAGADO</v>
      </c>
      <c r="O326" s="70" t="str">
        <f>'RESUMEN TOTAL'!U368</f>
        <v>APAGADO</v>
      </c>
      <c r="P326" s="70" t="str">
        <f>'RESUMEN TOTAL'!V368</f>
        <v>APAGADO</v>
      </c>
      <c r="Q326" s="70" t="str">
        <f>'RESUMEN TOTAL'!W368</f>
        <v>APAGADO</v>
      </c>
      <c r="R326" s="70" t="str">
        <f>'RESUMEN TOTAL'!X368</f>
        <v>APAGADO</v>
      </c>
      <c r="S326" s="70" t="str">
        <f>'RESUMEN TOTAL'!Y368</f>
        <v>APAGADO</v>
      </c>
      <c r="T326" s="70" t="str">
        <f>'RESUMEN TOTAL'!Z368</f>
        <v>APAGADO</v>
      </c>
      <c r="U326" s="70">
        <f>'RESUMEN TOTAL'!AA368</f>
        <v>0</v>
      </c>
      <c r="V326" s="70">
        <f>'RESUMEN TOTAL'!AB368</f>
        <v>0</v>
      </c>
      <c r="W326" s="70">
        <f>'RESUMEN TOTAL'!AC368</f>
        <v>0</v>
      </c>
      <c r="X326" s="70">
        <f>'RESUMEN TOTAL'!AD368</f>
        <v>0</v>
      </c>
      <c r="Y326" s="70">
        <f>'RESUMEN TOTAL'!AE368</f>
        <v>0</v>
      </c>
      <c r="Z326" s="70">
        <f>'RESUMEN TOTAL'!AF368</f>
        <v>0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25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25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25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 t="str">
        <f>'RESUMEN TOTAL'!R373</f>
        <v>APAGADO</v>
      </c>
      <c r="M329" s="70" t="str">
        <f>'RESUMEN TOTAL'!S373</f>
        <v>APAGADO</v>
      </c>
      <c r="N329" s="70" t="str">
        <f>'RESUMEN TOTAL'!T373</f>
        <v>APAGADO</v>
      </c>
      <c r="O329" s="70" t="str">
        <f>'RESUMEN TOTAL'!U373</f>
        <v>APAGADO</v>
      </c>
      <c r="P329" s="70" t="str">
        <f>'RESUMEN TOTAL'!V373</f>
        <v>APAGADO</v>
      </c>
      <c r="Q329" s="70" t="str">
        <f>'RESUMEN TOTAL'!W373</f>
        <v>APAGADO</v>
      </c>
      <c r="R329" s="70" t="str">
        <f>'RESUMEN TOTAL'!X373</f>
        <v>APAGADO</v>
      </c>
      <c r="S329" s="70" t="str">
        <f>'RESUMEN TOTAL'!Y373</f>
        <v>APAGADO</v>
      </c>
      <c r="T329" s="70" t="str">
        <f>'RESUMEN TOTAL'!Z373</f>
        <v>APAGADO</v>
      </c>
      <c r="U329" s="70">
        <f>'RESUMEN TOTAL'!AA373</f>
        <v>0</v>
      </c>
      <c r="V329" s="70">
        <f>'RESUMEN TOTAL'!AB373</f>
        <v>0</v>
      </c>
      <c r="W329" s="70">
        <f>'RESUMEN TOTAL'!AC373</f>
        <v>0</v>
      </c>
      <c r="X329" s="70">
        <f>'RESUMEN TOTAL'!AD373</f>
        <v>0</v>
      </c>
      <c r="Y329" s="70">
        <f>'RESUMEN TOTAL'!AE373</f>
        <v>0</v>
      </c>
      <c r="Z329" s="70">
        <f>'RESUMEN TOTAL'!AF373</f>
        <v>0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25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25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25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 t="str">
        <f>'RESUMEN TOTAL'!R376</f>
        <v>APAGADO</v>
      </c>
      <c r="M332" s="70" t="str">
        <f>'RESUMEN TOTAL'!S376</f>
        <v>APAGADO</v>
      </c>
      <c r="N332" s="70" t="str">
        <f>'RESUMEN TOTAL'!T376</f>
        <v>APAGADO</v>
      </c>
      <c r="O332" s="70" t="str">
        <f>'RESUMEN TOTAL'!U376</f>
        <v>APAGADO</v>
      </c>
      <c r="P332" s="70" t="str">
        <f>'RESUMEN TOTAL'!V376</f>
        <v>APAGADO</v>
      </c>
      <c r="Q332" s="70" t="str">
        <f>'RESUMEN TOTAL'!W376</f>
        <v>APAGADO</v>
      </c>
      <c r="R332" s="70" t="str">
        <f>'RESUMEN TOTAL'!X376</f>
        <v>APAGADO</v>
      </c>
      <c r="S332" s="70" t="str">
        <f>'RESUMEN TOTAL'!Y376</f>
        <v>APAGADO</v>
      </c>
      <c r="T332" s="70" t="str">
        <f>'RESUMEN TOTAL'!Z376</f>
        <v>APAGADO</v>
      </c>
      <c r="U332" s="70">
        <f>'RESUMEN TOTAL'!AA376</f>
        <v>0</v>
      </c>
      <c r="V332" s="70">
        <f>'RESUMEN TOTAL'!AB376</f>
        <v>0</v>
      </c>
      <c r="W332" s="70">
        <f>'RESUMEN TOTAL'!AC376</f>
        <v>0</v>
      </c>
      <c r="X332" s="70">
        <f>'RESUMEN TOTAL'!AD376</f>
        <v>0</v>
      </c>
      <c r="Y332" s="70">
        <f>'RESUMEN TOTAL'!AE376</f>
        <v>0</v>
      </c>
      <c r="Z332" s="70">
        <f>'RESUMEN TOTAL'!AF376</f>
        <v>0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25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25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25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25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 t="str">
        <f>'RESUMEN TOTAL'!X380</f>
        <v>APAGADO</v>
      </c>
      <c r="S336" s="70" t="str">
        <f>'RESUMEN TOTAL'!Y380</f>
        <v>APAGADO</v>
      </c>
      <c r="T336" s="70" t="str">
        <f>'RESUMEN TOTAL'!Z380</f>
        <v>APAGADO</v>
      </c>
      <c r="U336" s="70">
        <f>'RESUMEN TOTAL'!AA380</f>
        <v>0</v>
      </c>
      <c r="V336" s="70">
        <f>'RESUMEN TOTAL'!AB380</f>
        <v>0</v>
      </c>
      <c r="W336" s="70">
        <f>'RESUMEN TOTAL'!AC380</f>
        <v>0</v>
      </c>
      <c r="X336" s="70">
        <f>'RESUMEN TOTAL'!AD380</f>
        <v>0</v>
      </c>
      <c r="Y336" s="70">
        <f>'RESUMEN TOTAL'!AE380</f>
        <v>0</v>
      </c>
      <c r="Z336" s="70">
        <f>'RESUMEN TOTAL'!AF380</f>
        <v>0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25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 t="str">
        <f>'RESUMEN TOTAL'!X381</f>
        <v>APAGADO</v>
      </c>
      <c r="S337" s="70" t="str">
        <f>'RESUMEN TOTAL'!Y381</f>
        <v>APAGADO</v>
      </c>
      <c r="T337" s="70" t="str">
        <f>'RESUMEN TOTAL'!Z381</f>
        <v>APAGADO</v>
      </c>
      <c r="U337" s="70">
        <f>'RESUMEN TOTAL'!AA381</f>
        <v>0</v>
      </c>
      <c r="V337" s="70">
        <f>'RESUMEN TOTAL'!AB381</f>
        <v>0</v>
      </c>
      <c r="W337" s="70">
        <f>'RESUMEN TOTAL'!AC381</f>
        <v>0</v>
      </c>
      <c r="X337" s="70">
        <f>'RESUMEN TOTAL'!AD381</f>
        <v>0</v>
      </c>
      <c r="Y337" s="70">
        <f>'RESUMEN TOTAL'!AE381</f>
        <v>0</v>
      </c>
      <c r="Z337" s="70">
        <f>'RESUMEN TOTAL'!AF381</f>
        <v>0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25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 t="str">
        <f>'RESUMEN TOTAL'!X382</f>
        <v>APAGADO</v>
      </c>
      <c r="S338" s="70" t="str">
        <f>'RESUMEN TOTAL'!Y382</f>
        <v>APAGADO</v>
      </c>
      <c r="T338" s="70" t="str">
        <f>'RESUMEN TOTAL'!Z382</f>
        <v>APAGADO</v>
      </c>
      <c r="U338" s="70">
        <f>'RESUMEN TOTAL'!AA382</f>
        <v>0</v>
      </c>
      <c r="V338" s="70">
        <f>'RESUMEN TOTAL'!AB382</f>
        <v>0</v>
      </c>
      <c r="W338" s="70">
        <f>'RESUMEN TOTAL'!AC382</f>
        <v>0</v>
      </c>
      <c r="X338" s="70">
        <f>'RESUMEN TOTAL'!AD382</f>
        <v>0</v>
      </c>
      <c r="Y338" s="70">
        <f>'RESUMEN TOTAL'!AE382</f>
        <v>0</v>
      </c>
      <c r="Z338" s="70">
        <f>'RESUMEN TOTAL'!AF382</f>
        <v>0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25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 t="str">
        <f>'RESUMEN TOTAL'!X383</f>
        <v>APAGADO</v>
      </c>
      <c r="S339" s="70" t="str">
        <f>'RESUMEN TOTAL'!Y383</f>
        <v>APAGADO</v>
      </c>
      <c r="T339" s="70" t="str">
        <f>'RESUMEN TOTAL'!Z383</f>
        <v>APAGADO</v>
      </c>
      <c r="U339" s="70">
        <f>'RESUMEN TOTAL'!AA383</f>
        <v>0</v>
      </c>
      <c r="V339" s="70">
        <f>'RESUMEN TOTAL'!AB383</f>
        <v>0</v>
      </c>
      <c r="W339" s="70">
        <f>'RESUMEN TOTAL'!AC383</f>
        <v>0</v>
      </c>
      <c r="X339" s="70">
        <f>'RESUMEN TOTAL'!AD383</f>
        <v>0</v>
      </c>
      <c r="Y339" s="70">
        <f>'RESUMEN TOTAL'!AE383</f>
        <v>0</v>
      </c>
      <c r="Z339" s="70">
        <f>'RESUMEN TOTAL'!AF383</f>
        <v>0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25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 t="str">
        <f>'RESUMEN TOTAL'!V384</f>
        <v>APAGADO</v>
      </c>
      <c r="Q340" s="70" t="str">
        <f>'RESUMEN TOTAL'!W384</f>
        <v>APAGADO</v>
      </c>
      <c r="R340" s="70" t="str">
        <f>'RESUMEN TOTAL'!X384</f>
        <v>APAGADO</v>
      </c>
      <c r="S340" s="70" t="str">
        <f>'RESUMEN TOTAL'!Y384</f>
        <v>APAGADO</v>
      </c>
      <c r="T340" s="70" t="str">
        <f>'RESUMEN TOTAL'!Z384</f>
        <v>APAGADO</v>
      </c>
      <c r="U340" s="70">
        <f>'RESUMEN TOTAL'!AA384</f>
        <v>0</v>
      </c>
      <c r="V340" s="70">
        <f>'RESUMEN TOTAL'!AB384</f>
        <v>0</v>
      </c>
      <c r="W340" s="70">
        <f>'RESUMEN TOTAL'!AC384</f>
        <v>0</v>
      </c>
      <c r="X340" s="70">
        <f>'RESUMEN TOTAL'!AD384</f>
        <v>0</v>
      </c>
      <c r="Y340" s="70">
        <f>'RESUMEN TOTAL'!AE384</f>
        <v>0</v>
      </c>
      <c r="Z340" s="70">
        <f>'RESUMEN TOTAL'!AF384</f>
        <v>0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25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25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25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>
        <f>'RESUMEN TOTAL'!AD387</f>
        <v>0</v>
      </c>
      <c r="Y343" s="70">
        <f>'RESUMEN TOTAL'!AE387</f>
        <v>0</v>
      </c>
      <c r="Z343" s="70">
        <f>'RESUMEN TOTAL'!AF387</f>
        <v>0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25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25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>
        <f>'RESUMEN TOTAL'!AE389</f>
        <v>0</v>
      </c>
      <c r="Z345" s="70">
        <f>'RESUMEN TOTAL'!AF389</f>
        <v>0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25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>
        <f>'RESUMEN TOTAL'!AE390</f>
        <v>0</v>
      </c>
      <c r="Z346" s="70">
        <f>'RESUMEN TOTAL'!AF390</f>
        <v>0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25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>
        <f>'RESUMEN TOTAL'!AE391</f>
        <v>0</v>
      </c>
      <c r="Z347" s="70">
        <f>'RESUMEN TOTAL'!AF391</f>
        <v>0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25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 t="str">
        <f>'RESUMEN TOTAL'!R392</f>
        <v>APAGADO</v>
      </c>
      <c r="M348" s="70" t="str">
        <f>'RESUMEN TOTAL'!S392</f>
        <v>APAGADO</v>
      </c>
      <c r="N348" s="70" t="str">
        <f>'RESUMEN TOTAL'!T392</f>
        <v>APAGADO</v>
      </c>
      <c r="O348" s="70" t="str">
        <f>'RESUMEN TOTAL'!U392</f>
        <v>APAGADO</v>
      </c>
      <c r="P348" s="70" t="str">
        <f>'RESUMEN TOTAL'!V392</f>
        <v>APAGADO</v>
      </c>
      <c r="Q348" s="70" t="str">
        <f>'RESUMEN TOTAL'!W392</f>
        <v>APAGADO</v>
      </c>
      <c r="R348" s="70" t="str">
        <f>'RESUMEN TOTAL'!X392</f>
        <v>APAGADO</v>
      </c>
      <c r="S348" s="70" t="str">
        <f>'RESUMEN TOTAL'!Y392</f>
        <v>APAGADO</v>
      </c>
      <c r="T348" s="70" t="str">
        <f>'RESUMEN TOTAL'!Z392</f>
        <v>APAGADO</v>
      </c>
      <c r="U348" s="70">
        <f>'RESUMEN TOTAL'!AA392</f>
        <v>0</v>
      </c>
      <c r="V348" s="70">
        <f>'RESUMEN TOTAL'!AB392</f>
        <v>0</v>
      </c>
      <c r="W348" s="70">
        <f>'RESUMEN TOTAL'!AC392</f>
        <v>0</v>
      </c>
      <c r="X348" s="70">
        <f>'RESUMEN TOTAL'!AD392</f>
        <v>0</v>
      </c>
      <c r="Y348" s="70">
        <f>'RESUMEN TOTAL'!AE392</f>
        <v>0</v>
      </c>
      <c r="Z348" s="70">
        <f>'RESUMEN TOTAL'!AF392</f>
        <v>0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25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 t="str">
        <f>'RESUMEN TOTAL'!R393</f>
        <v>APAGADO</v>
      </c>
      <c r="M349" s="70" t="str">
        <f>'RESUMEN TOTAL'!S393</f>
        <v>APAGADO</v>
      </c>
      <c r="N349" s="70" t="str">
        <f>'RESUMEN TOTAL'!T393</f>
        <v>APAGADO</v>
      </c>
      <c r="O349" s="70" t="str">
        <f>'RESUMEN TOTAL'!U393</f>
        <v>APAGADO</v>
      </c>
      <c r="P349" s="70" t="str">
        <f>'RESUMEN TOTAL'!V393</f>
        <v>APAGADO</v>
      </c>
      <c r="Q349" s="70" t="str">
        <f>'RESUMEN TOTAL'!W393</f>
        <v>APAGADO</v>
      </c>
      <c r="R349" s="70" t="str">
        <f>'RESUMEN TOTAL'!X393</f>
        <v>APAGADO</v>
      </c>
      <c r="S349" s="70" t="str">
        <f>'RESUMEN TOTAL'!Y393</f>
        <v>APAGADO</v>
      </c>
      <c r="T349" s="70" t="str">
        <f>'RESUMEN TOTAL'!Z393</f>
        <v>APAGADO</v>
      </c>
      <c r="U349" s="70">
        <f>'RESUMEN TOTAL'!AA393</f>
        <v>0</v>
      </c>
      <c r="V349" s="70">
        <f>'RESUMEN TOTAL'!AB393</f>
        <v>0</v>
      </c>
      <c r="W349" s="70">
        <f>'RESUMEN TOTAL'!AC393</f>
        <v>0</v>
      </c>
      <c r="X349" s="70">
        <f>'RESUMEN TOTAL'!AD393</f>
        <v>0</v>
      </c>
      <c r="Y349" s="70">
        <f>'RESUMEN TOTAL'!AE393</f>
        <v>0</v>
      </c>
      <c r="Z349" s="70">
        <f>'RESUMEN TOTAL'!AF393</f>
        <v>0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25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25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25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25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 t="str">
        <f>'RESUMEN TOTAL'!W397</f>
        <v>APAGADO</v>
      </c>
      <c r="R353" s="70" t="str">
        <f>'RESUMEN TOTAL'!X397</f>
        <v>APAGADO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25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 t="str">
        <f>'RESUMEN TOTAL'!R398</f>
        <v>APAGADO</v>
      </c>
      <c r="M354" s="70" t="str">
        <f>'RESUMEN TOTAL'!S398</f>
        <v>APAGADO</v>
      </c>
      <c r="N354" s="70" t="str">
        <f>'RESUMEN TOTAL'!T398</f>
        <v>APAGADO</v>
      </c>
      <c r="O354" s="70" t="str">
        <f>'RESUMEN TOTAL'!U398</f>
        <v>APAGADO</v>
      </c>
      <c r="P354" s="70" t="str">
        <f>'RESUMEN TOTAL'!V398</f>
        <v>APAGADO</v>
      </c>
      <c r="Q354" s="70" t="str">
        <f>'RESUMEN TOTAL'!W398</f>
        <v>APAGADO</v>
      </c>
      <c r="R354" s="70" t="str">
        <f>'RESUMEN TOTAL'!X398</f>
        <v>APAGADO</v>
      </c>
      <c r="S354" s="70" t="str">
        <f>'RESUMEN TOTAL'!Y398</f>
        <v>APAGADO</v>
      </c>
      <c r="T354" s="70" t="str">
        <f>'RESUMEN TOTAL'!Z398</f>
        <v>APAGADO</v>
      </c>
      <c r="U354" s="70">
        <f>'RESUMEN TOTAL'!AA398</f>
        <v>0</v>
      </c>
      <c r="V354" s="70">
        <f>'RESUMEN TOTAL'!AB398</f>
        <v>0</v>
      </c>
      <c r="W354" s="70">
        <f>'RESUMEN TOTAL'!AC398</f>
        <v>0</v>
      </c>
      <c r="X354" s="70">
        <f>'RESUMEN TOTAL'!AD398</f>
        <v>0</v>
      </c>
      <c r="Y354" s="70">
        <f>'RESUMEN TOTAL'!AE398</f>
        <v>0</v>
      </c>
      <c r="Z354" s="70">
        <f>'RESUMEN TOTAL'!AF398</f>
        <v>0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25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>
        <f>'RESUMEN TOTAL'!AD399</f>
        <v>0</v>
      </c>
      <c r="Y355" s="70">
        <f>'RESUMEN TOTAL'!AE399</f>
        <v>0</v>
      </c>
      <c r="Z355" s="70">
        <f>'RESUMEN TOTAL'!AF399</f>
        <v>0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25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>
        <f>'RESUMEN TOTAL'!AD400</f>
        <v>0</v>
      </c>
      <c r="Y356" s="70">
        <f>'RESUMEN TOTAL'!AE400</f>
        <v>0</v>
      </c>
      <c r="Z356" s="70">
        <f>'RESUMEN TOTAL'!AF400</f>
        <v>0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25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25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25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>
        <f>'RESUMEN TOTAL'!AE403</f>
        <v>0</v>
      </c>
      <c r="Z359" s="70">
        <f>'RESUMEN TOTAL'!AF403</f>
        <v>0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25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 t="str">
        <f>'RESUMEN TOTAL'!R404</f>
        <v>APAGADO</v>
      </c>
      <c r="M360" s="70">
        <f>'RESUMEN TOTAL'!S404</f>
        <v>0</v>
      </c>
      <c r="N360" s="70" t="str">
        <f>'RESUMEN TOTAL'!T404</f>
        <v>APAGADO</v>
      </c>
      <c r="O360" s="70" t="str">
        <f>'RESUMEN TOTAL'!U404</f>
        <v>APAGADO</v>
      </c>
      <c r="P360" s="70" t="str">
        <f>'RESUMEN TOTAL'!V404</f>
        <v>APAGADO</v>
      </c>
      <c r="Q360" s="70" t="str">
        <f>'RESUMEN TOTAL'!W404</f>
        <v>APAGADO</v>
      </c>
      <c r="R360" s="70" t="str">
        <f>'RESUMEN TOTAL'!X404</f>
        <v>APAGADO</v>
      </c>
      <c r="S360" s="70" t="str">
        <f>'RESUMEN TOTAL'!Y404</f>
        <v>APAGADO</v>
      </c>
      <c r="T360" s="70" t="str">
        <f>'RESUMEN TOTAL'!Z404</f>
        <v>APAGADO</v>
      </c>
      <c r="U360" s="70">
        <f>'RESUMEN TOTAL'!AA404</f>
        <v>0</v>
      </c>
      <c r="V360" s="70">
        <f>'RESUMEN TOTAL'!AB404</f>
        <v>0</v>
      </c>
      <c r="W360" s="70">
        <f>'RESUMEN TOTAL'!AC404</f>
        <v>0</v>
      </c>
      <c r="X360" s="70">
        <f>'RESUMEN TOTAL'!AD404</f>
        <v>0</v>
      </c>
      <c r="Y360" s="70">
        <f>'RESUMEN TOTAL'!AE404</f>
        <v>0</v>
      </c>
      <c r="Z360" s="70">
        <f>'RESUMEN TOTAL'!AF404</f>
        <v>0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25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25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25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 t="str">
        <f>'RESUMEN TOTAL'!R407</f>
        <v>APAGADO</v>
      </c>
      <c r="M363" s="70" t="str">
        <f>'RESUMEN TOTAL'!S407</f>
        <v>APAGADO</v>
      </c>
      <c r="N363" s="70" t="str">
        <f>'RESUMEN TOTAL'!T407</f>
        <v>APAGADO</v>
      </c>
      <c r="O363" s="70" t="str">
        <f>'RESUMEN TOTAL'!U407</f>
        <v>APAGADO</v>
      </c>
      <c r="P363" s="70" t="str">
        <f>'RESUMEN TOTAL'!V407</f>
        <v>APAGADO</v>
      </c>
      <c r="Q363" s="70" t="str">
        <f>'RESUMEN TOTAL'!W407</f>
        <v>APAGADO</v>
      </c>
      <c r="R363" s="70" t="str">
        <f>'RESUMEN TOTAL'!X407</f>
        <v>APAGADO</v>
      </c>
      <c r="S363" s="70" t="str">
        <f>'RESUMEN TOTAL'!Y407</f>
        <v>APAGADO</v>
      </c>
      <c r="T363" s="70" t="str">
        <f>'RESUMEN TOTAL'!Z407</f>
        <v>APAGADO</v>
      </c>
      <c r="U363" s="70">
        <f>'RESUMEN TOTAL'!AA407</f>
        <v>0</v>
      </c>
      <c r="V363" s="70">
        <f>'RESUMEN TOTAL'!AB407</f>
        <v>0</v>
      </c>
      <c r="W363" s="70">
        <f>'RESUMEN TOTAL'!AC407</f>
        <v>0</v>
      </c>
      <c r="X363" s="70">
        <f>'RESUMEN TOTAL'!AD407</f>
        <v>0</v>
      </c>
      <c r="Y363" s="70">
        <f>'RESUMEN TOTAL'!AE407</f>
        <v>0</v>
      </c>
      <c r="Z363" s="70">
        <f>'RESUMEN TOTAL'!AF407</f>
        <v>0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25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25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 t="str">
        <f>'RESUMEN TOTAL'!T409</f>
        <v>APAGADO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25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25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25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25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25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25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25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25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 t="str">
        <f>'RESUMEN TOTAL'!R417</f>
        <v>APAGADO</v>
      </c>
      <c r="M373" s="70" t="str">
        <f>'RESUMEN TOTAL'!S417</f>
        <v>APAGADO</v>
      </c>
      <c r="N373" s="70" t="str">
        <f>'RESUMEN TOTAL'!T417</f>
        <v>APAGADO</v>
      </c>
      <c r="O373" s="70" t="str">
        <f>'RESUMEN TOTAL'!U417</f>
        <v>APAGADO</v>
      </c>
      <c r="P373" s="70" t="str">
        <f>'RESUMEN TOTAL'!V417</f>
        <v>APAGADO</v>
      </c>
      <c r="Q373" s="70" t="str">
        <f>'RESUMEN TOTAL'!W417</f>
        <v>APAGADO</v>
      </c>
      <c r="R373" s="70" t="str">
        <f>'RESUMEN TOTAL'!X417</f>
        <v>APAGADO</v>
      </c>
      <c r="S373" s="70" t="str">
        <f>'RESUMEN TOTAL'!Y417</f>
        <v>APAGADO</v>
      </c>
      <c r="T373" s="70" t="str">
        <f>'RESUMEN TOTAL'!Z417</f>
        <v>APAGADO</v>
      </c>
      <c r="U373" s="70">
        <f>'RESUMEN TOTAL'!AA417</f>
        <v>0</v>
      </c>
      <c r="V373" s="70">
        <f>'RESUMEN TOTAL'!AB417</f>
        <v>0</v>
      </c>
      <c r="W373" s="70">
        <f>'RESUMEN TOTAL'!AC417</f>
        <v>0</v>
      </c>
      <c r="X373" s="70">
        <f>'RESUMEN TOTAL'!AD417</f>
        <v>0</v>
      </c>
      <c r="Y373" s="70">
        <f>'RESUMEN TOTAL'!AE417</f>
        <v>0</v>
      </c>
      <c r="Z373" s="70">
        <f>'RESUMEN TOTAL'!AF417</f>
        <v>0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25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 t="str">
        <f>'RESUMEN TOTAL'!R418</f>
        <v>APAGADO</v>
      </c>
      <c r="M374" s="70" t="str">
        <f>'RESUMEN TOTAL'!S418</f>
        <v>APAGADO</v>
      </c>
      <c r="N374" s="70" t="str">
        <f>'RESUMEN TOTAL'!T418</f>
        <v>APAGADO</v>
      </c>
      <c r="O374" s="70" t="str">
        <f>'RESUMEN TOTAL'!U418</f>
        <v>APAGADO</v>
      </c>
      <c r="P374" s="70" t="str">
        <f>'RESUMEN TOTAL'!V418</f>
        <v>APAGADO</v>
      </c>
      <c r="Q374" s="70" t="str">
        <f>'RESUMEN TOTAL'!W418</f>
        <v>APAGADO</v>
      </c>
      <c r="R374" s="70" t="str">
        <f>'RESUMEN TOTAL'!X418</f>
        <v>APAGADO</v>
      </c>
      <c r="S374" s="70" t="str">
        <f>'RESUMEN TOTAL'!Y418</f>
        <v>APAGADO</v>
      </c>
      <c r="T374" s="70" t="str">
        <f>'RESUMEN TOTAL'!Z418</f>
        <v>APAGADO</v>
      </c>
      <c r="U374" s="70">
        <f>'RESUMEN TOTAL'!AA418</f>
        <v>0</v>
      </c>
      <c r="V374" s="70">
        <f>'RESUMEN TOTAL'!AB418</f>
        <v>0</v>
      </c>
      <c r="W374" s="70">
        <f>'RESUMEN TOTAL'!AC418</f>
        <v>0</v>
      </c>
      <c r="X374" s="70">
        <f>'RESUMEN TOTAL'!AD418</f>
        <v>0</v>
      </c>
      <c r="Y374" s="70">
        <f>'RESUMEN TOTAL'!AE418</f>
        <v>0</v>
      </c>
      <c r="Z374" s="70">
        <f>'RESUMEN TOTAL'!AF418</f>
        <v>0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25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25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25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25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25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25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25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25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>
        <f>'RESUMEN TOTAL'!AE428</f>
        <v>0</v>
      </c>
      <c r="Z382" s="70">
        <f>'RESUMEN TOTAL'!AF428</f>
        <v>0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25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 t="str">
        <f>'RESUMEN TOTAL'!S429</f>
        <v>APAGADO</v>
      </c>
      <c r="N383" s="70" t="str">
        <f>'RESUMEN TOTAL'!T429</f>
        <v>APAGADO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>
        <f>'RESUMEN TOTAL'!AA429</f>
        <v>0</v>
      </c>
      <c r="V383" s="70">
        <f>'RESUMEN TOTAL'!AB429</f>
        <v>0</v>
      </c>
      <c r="W383" s="70">
        <f>'RESUMEN TOTAL'!AC429</f>
        <v>0</v>
      </c>
      <c r="X383" s="70">
        <f>'RESUMEN TOTAL'!AD429</f>
        <v>0</v>
      </c>
      <c r="Y383" s="70">
        <f>'RESUMEN TOTAL'!AE429</f>
        <v>0</v>
      </c>
      <c r="Z383" s="70">
        <f>'RESUMEN TOTAL'!AF429</f>
        <v>0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25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25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25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>
        <f>'RESUMEN TOTAL'!AE432</f>
        <v>0</v>
      </c>
      <c r="Z386" s="70">
        <f>'RESUMEN TOTAL'!AF432</f>
        <v>0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25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>
        <f>'RESUMEN TOTAL'!AE433</f>
        <v>0</v>
      </c>
      <c r="Z387" s="70">
        <f>'RESUMEN TOTAL'!AF433</f>
        <v>0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25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>
        <f>'RESUMEN TOTAL'!AE434</f>
        <v>0</v>
      </c>
      <c r="Z388" s="70">
        <f>'RESUMEN TOTAL'!AF434</f>
        <v>0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25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>
        <f>'RESUMEN TOTAL'!AE435</f>
        <v>0</v>
      </c>
      <c r="Z389" s="70">
        <f>'RESUMEN TOTAL'!AF435</f>
        <v>0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25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25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25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25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25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25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25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25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25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25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25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25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25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 t="str">
        <f>'RESUMEN TOTAL'!R448</f>
        <v>APAGADO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25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25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25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25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25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25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25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25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25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25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25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25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25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25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25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 t="str">
        <f>'RESUMEN TOTAL'!R463</f>
        <v>APAGADO</v>
      </c>
      <c r="M417" s="70" t="str">
        <f>'RESUMEN TOTAL'!S463</f>
        <v>APAGADO</v>
      </c>
      <c r="N417" s="70" t="str">
        <f>'RESUMEN TOTAL'!T463</f>
        <v>APAGADO</v>
      </c>
      <c r="O417" s="70" t="str">
        <f>'RESUMEN TOTAL'!U463</f>
        <v>APAGADO</v>
      </c>
      <c r="P417" s="70" t="str">
        <f>'RESUMEN TOTAL'!V463</f>
        <v>APAGADO</v>
      </c>
      <c r="Q417" s="70" t="str">
        <f>'RESUMEN TOTAL'!W463</f>
        <v>APAGADO</v>
      </c>
      <c r="R417" s="70" t="str">
        <f>'RESUMEN TOTAL'!X463</f>
        <v>APAGADO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25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25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25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 t="str">
        <f>'RESUMEN TOTAL'!R467</f>
        <v>APAGADO</v>
      </c>
      <c r="M420" s="70" t="str">
        <f>'RESUMEN TOTAL'!S467</f>
        <v>APAGADO</v>
      </c>
      <c r="N420" s="70" t="str">
        <f>'RESUMEN TOTAL'!T467</f>
        <v>APAGADO</v>
      </c>
      <c r="O420" s="70" t="str">
        <f>'RESUMEN TOTAL'!U467</f>
        <v>APAGADO</v>
      </c>
      <c r="P420" s="70" t="str">
        <f>'RESUMEN TOTAL'!V467</f>
        <v>APAGADO</v>
      </c>
      <c r="Q420" s="70" t="str">
        <f>'RESUMEN TOTAL'!W467</f>
        <v>APAGADO</v>
      </c>
      <c r="R420" s="70" t="str">
        <f>'RESUMEN TOTAL'!X467</f>
        <v>APAGADO</v>
      </c>
      <c r="S420" s="70" t="str">
        <f>'RESUMEN TOTAL'!Y467</f>
        <v>APAGADO</v>
      </c>
      <c r="T420" s="70" t="str">
        <f>'RESUMEN TOTAL'!Z467</f>
        <v>APAGADO</v>
      </c>
      <c r="U420" s="70">
        <f>'RESUMEN TOTAL'!AA467</f>
        <v>0</v>
      </c>
      <c r="V420" s="70">
        <f>'RESUMEN TOTAL'!AB467</f>
        <v>0</v>
      </c>
      <c r="W420" s="70">
        <f>'RESUMEN TOTAL'!AC467</f>
        <v>0</v>
      </c>
      <c r="X420" s="70">
        <f>'RESUMEN TOTAL'!AD467</f>
        <v>0</v>
      </c>
      <c r="Y420" s="70">
        <f>'RESUMEN TOTAL'!AE467</f>
        <v>0</v>
      </c>
      <c r="Z420" s="70">
        <f>'RESUMEN TOTAL'!AF467</f>
        <v>0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25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 t="str">
        <f>'RESUMEN TOTAL'!R468</f>
        <v>APAGADO</v>
      </c>
      <c r="M421" s="70" t="str">
        <f>'RESUMEN TOTAL'!S468</f>
        <v>APAGADO</v>
      </c>
      <c r="N421" s="70" t="str">
        <f>'RESUMEN TOTAL'!T468</f>
        <v>APAGADO</v>
      </c>
      <c r="O421" s="70" t="str">
        <f>'RESUMEN TOTAL'!U468</f>
        <v>APAGADO</v>
      </c>
      <c r="P421" s="70" t="str">
        <f>'RESUMEN TOTAL'!V468</f>
        <v>APAGADO</v>
      </c>
      <c r="Q421" s="70" t="str">
        <f>'RESUMEN TOTAL'!W468</f>
        <v>APAGADO</v>
      </c>
      <c r="R421" s="70" t="str">
        <f>'RESUMEN TOTAL'!X468</f>
        <v>APAGADO</v>
      </c>
      <c r="S421" s="70" t="str">
        <f>'RESUMEN TOTAL'!Y468</f>
        <v>APAGADO</v>
      </c>
      <c r="T421" s="70" t="str">
        <f>'RESUMEN TOTAL'!Z468</f>
        <v>APAGADO</v>
      </c>
      <c r="U421" s="70">
        <f>'RESUMEN TOTAL'!AA468</f>
        <v>0</v>
      </c>
      <c r="V421" s="70">
        <f>'RESUMEN TOTAL'!AB468</f>
        <v>0</v>
      </c>
      <c r="W421" s="70">
        <f>'RESUMEN TOTAL'!AC468</f>
        <v>0</v>
      </c>
      <c r="X421" s="70">
        <f>'RESUMEN TOTAL'!AD468</f>
        <v>0</v>
      </c>
      <c r="Y421" s="70">
        <f>'RESUMEN TOTAL'!AE468</f>
        <v>0</v>
      </c>
      <c r="Z421" s="70">
        <f>'RESUMEN TOTAL'!AF468</f>
        <v>0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25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25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25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25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25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25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25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 t="str">
        <f>'RESUMEN TOTAL'!X476</f>
        <v>APAGADO</v>
      </c>
      <c r="S428" s="70" t="str">
        <f>'RESUMEN TOTAL'!Y476</f>
        <v>APAGADO</v>
      </c>
      <c r="T428" s="70" t="str">
        <f>'RESUMEN TOTAL'!Z476</f>
        <v>APAGADO</v>
      </c>
      <c r="U428" s="70">
        <f>'RESUMEN TOTAL'!AA476</f>
        <v>0</v>
      </c>
      <c r="V428" s="70">
        <f>'RESUMEN TOTAL'!AB476</f>
        <v>0</v>
      </c>
      <c r="W428" s="70">
        <f>'RESUMEN TOTAL'!AC476</f>
        <v>0</v>
      </c>
      <c r="X428" s="70">
        <f>'RESUMEN TOTAL'!AD476</f>
        <v>0</v>
      </c>
      <c r="Y428" s="70">
        <f>'RESUMEN TOTAL'!AE476</f>
        <v>0</v>
      </c>
      <c r="Z428" s="70">
        <f>'RESUMEN TOTAL'!AF476</f>
        <v>0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25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25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 t="str">
        <f>'RESUMEN TOTAL'!X478</f>
        <v>APAGADO</v>
      </c>
      <c r="S430" s="70" t="str">
        <f>'RESUMEN TOTAL'!Y478</f>
        <v>APAGADO</v>
      </c>
      <c r="T430" s="70" t="str">
        <f>'RESUMEN TOTAL'!Z478</f>
        <v>APAGADO</v>
      </c>
      <c r="U430" s="70">
        <f>'RESUMEN TOTAL'!AA478</f>
        <v>0</v>
      </c>
      <c r="V430" s="70">
        <f>'RESUMEN TOTAL'!AB478</f>
        <v>0</v>
      </c>
      <c r="W430" s="70">
        <f>'RESUMEN TOTAL'!AC478</f>
        <v>0</v>
      </c>
      <c r="X430" s="70">
        <f>'RESUMEN TOTAL'!AD478</f>
        <v>0</v>
      </c>
      <c r="Y430" s="70">
        <f>'RESUMEN TOTAL'!AE478</f>
        <v>0</v>
      </c>
      <c r="Z430" s="70">
        <f>'RESUMEN TOTAL'!AF478</f>
        <v>0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25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25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25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25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25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25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 t="str">
        <f>'RESUMEN TOTAL'!R484</f>
        <v>APAGADO</v>
      </c>
      <c r="M436" s="70" t="str">
        <f>'RESUMEN TOTAL'!S484</f>
        <v>APAGADO</v>
      </c>
      <c r="N436" s="70" t="str">
        <f>'RESUMEN TOTAL'!T484</f>
        <v>APAGADO</v>
      </c>
      <c r="O436" s="70" t="str">
        <f>'RESUMEN TOTAL'!U484</f>
        <v>APAGADO</v>
      </c>
      <c r="P436" s="70" t="str">
        <f>'RESUMEN TOTAL'!V484</f>
        <v>APAGADO</v>
      </c>
      <c r="Q436" s="70" t="str">
        <f>'RESUMEN TOTAL'!W484</f>
        <v>APAGADO</v>
      </c>
      <c r="R436" s="70" t="str">
        <f>'RESUMEN TOTAL'!X484</f>
        <v>APAGADO</v>
      </c>
      <c r="S436" s="70" t="str">
        <f>'RESUMEN TOTAL'!Y484</f>
        <v>APAGADO</v>
      </c>
      <c r="T436" s="70" t="str">
        <f>'RESUMEN TOTAL'!Z484</f>
        <v>APAGADO</v>
      </c>
      <c r="U436" s="70">
        <f>'RESUMEN TOTAL'!AA484</f>
        <v>0</v>
      </c>
      <c r="V436" s="70">
        <f>'RESUMEN TOTAL'!AB484</f>
        <v>0</v>
      </c>
      <c r="W436" s="70">
        <f>'RESUMEN TOTAL'!AC484</f>
        <v>0</v>
      </c>
      <c r="X436" s="70">
        <f>'RESUMEN TOTAL'!AD484</f>
        <v>0</v>
      </c>
      <c r="Y436" s="70">
        <f>'RESUMEN TOTAL'!AE484</f>
        <v>0</v>
      </c>
      <c r="Z436" s="70">
        <f>'RESUMEN TOTAL'!AF484</f>
        <v>0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25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25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 t="str">
        <f>'RESUMEN TOTAL'!R486</f>
        <v>APAGADO</v>
      </c>
      <c r="M438" s="70" t="str">
        <f>'RESUMEN TOTAL'!S486</f>
        <v>APAGADO</v>
      </c>
      <c r="N438" s="70" t="str">
        <f>'RESUMEN TOTAL'!T486</f>
        <v>APAGADO</v>
      </c>
      <c r="O438" s="70" t="str">
        <f>'RESUMEN TOTAL'!U486</f>
        <v>APAGADO</v>
      </c>
      <c r="P438" s="70" t="str">
        <f>'RESUMEN TOTAL'!V486</f>
        <v>APAGADO</v>
      </c>
      <c r="Q438" s="70" t="str">
        <f>'RESUMEN TOTAL'!W486</f>
        <v>APAGADO</v>
      </c>
      <c r="R438" s="70" t="str">
        <f>'RESUMEN TOTAL'!X486</f>
        <v>APAGADO</v>
      </c>
      <c r="S438" s="70" t="str">
        <f>'RESUMEN TOTAL'!Y486</f>
        <v>APAGADO</v>
      </c>
      <c r="T438" s="70" t="str">
        <f>'RESUMEN TOTAL'!Z486</f>
        <v>APAGADO</v>
      </c>
      <c r="U438" s="70">
        <f>'RESUMEN TOTAL'!AA486</f>
        <v>0</v>
      </c>
      <c r="V438" s="70">
        <f>'RESUMEN TOTAL'!AB486</f>
        <v>0</v>
      </c>
      <c r="W438" s="70">
        <f>'RESUMEN TOTAL'!AC486</f>
        <v>0</v>
      </c>
      <c r="X438" s="70">
        <f>'RESUMEN TOTAL'!AD486</f>
        <v>0</v>
      </c>
      <c r="Y438" s="70">
        <f>'RESUMEN TOTAL'!AE486</f>
        <v>0</v>
      </c>
      <c r="Z438" s="70">
        <f>'RESUMEN TOTAL'!AF486</f>
        <v>0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25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25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25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25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25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25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25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25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25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25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25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25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25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25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25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25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25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25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25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>
        <f>'RESUMEN TOTAL'!AC505</f>
        <v>0</v>
      </c>
      <c r="X457" s="70">
        <f>'RESUMEN TOTAL'!AD505</f>
        <v>0</v>
      </c>
      <c r="Y457" s="70">
        <f>'RESUMEN TOTAL'!AE505</f>
        <v>0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25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25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 t="str">
        <f>'RESUMEN TOTAL'!X507</f>
        <v>APAGADO</v>
      </c>
      <c r="S459" s="70" t="str">
        <f>'RESUMEN TOTAL'!Y507</f>
        <v>APAGADO</v>
      </c>
      <c r="T459" s="70" t="str">
        <f>'RESUMEN TOTAL'!Z507</f>
        <v>APAGADO</v>
      </c>
      <c r="U459" s="70">
        <f>'RESUMEN TOTAL'!AA507</f>
        <v>0</v>
      </c>
      <c r="V459" s="70">
        <f>'RESUMEN TOTAL'!AB507</f>
        <v>0</v>
      </c>
      <c r="W459" s="70">
        <f>'RESUMEN TOTAL'!AC507</f>
        <v>0</v>
      </c>
      <c r="X459" s="70">
        <f>'RESUMEN TOTAL'!AD507</f>
        <v>0</v>
      </c>
      <c r="Y459" s="70">
        <f>'RESUMEN TOTAL'!AE507</f>
        <v>0</v>
      </c>
      <c r="Z459" s="70">
        <f>'RESUMEN TOTAL'!AF507</f>
        <v>0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25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 t="str">
        <f>'RESUMEN TOTAL'!R508</f>
        <v>APAGADO</v>
      </c>
      <c r="M460" s="70" t="str">
        <f>'RESUMEN TOTAL'!S508</f>
        <v>APAGADO</v>
      </c>
      <c r="N460" s="70" t="str">
        <f>'RESUMEN TOTAL'!T508</f>
        <v>APAGADO</v>
      </c>
      <c r="O460" s="70" t="str">
        <f>'RESUMEN TOTAL'!U508</f>
        <v>APAGADO</v>
      </c>
      <c r="P460" s="70" t="str">
        <f>'RESUMEN TOTAL'!V508</f>
        <v>APAGADO</v>
      </c>
      <c r="Q460" s="70" t="str">
        <f>'RESUMEN TOTAL'!W508</f>
        <v>APAGADO</v>
      </c>
      <c r="R460" s="70" t="str">
        <f>'RESUMEN TOTAL'!X508</f>
        <v>APAGADO</v>
      </c>
      <c r="S460" s="70" t="str">
        <f>'RESUMEN TOTAL'!Y508</f>
        <v>APAGADO</v>
      </c>
      <c r="T460" s="70" t="str">
        <f>'RESUMEN TOTAL'!Z508</f>
        <v>APAGADO</v>
      </c>
      <c r="U460" s="70">
        <f>'RESUMEN TOTAL'!AA508</f>
        <v>0</v>
      </c>
      <c r="V460" s="70">
        <f>'RESUMEN TOTAL'!AB508</f>
        <v>0</v>
      </c>
      <c r="W460" s="70">
        <f>'RESUMEN TOTAL'!AC508</f>
        <v>0</v>
      </c>
      <c r="X460" s="70">
        <f>'RESUMEN TOTAL'!AD508</f>
        <v>0</v>
      </c>
      <c r="Y460" s="70">
        <f>'RESUMEN TOTAL'!AE508</f>
        <v>0</v>
      </c>
      <c r="Z460" s="70">
        <f>'RESUMEN TOTAL'!AF508</f>
        <v>0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25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25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25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25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25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25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25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25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25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25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25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25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25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25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25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25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25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25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25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25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25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25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25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25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25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25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25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25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25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25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25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25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25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25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25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25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25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25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25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C4" xr:uid="{63764665-4685-49DB-A4C6-35A3DDF9031B}"/>
  <conditionalFormatting sqref="D4:D642">
    <cfRule type="containsText" dxfId="47" priority="97" operator="containsText" text="fija">
      <formula>NOT(ISERROR(SEARCH("fija",D4)))</formula>
    </cfRule>
    <cfRule type="containsText" dxfId="46" priority="98" operator="containsText" text="domo">
      <formula>NOT(ISERROR(SEARCH("domo",D4)))</formula>
    </cfRule>
    <cfRule type="cellIs" dxfId="45" priority="924" operator="equal">
      <formula>$D$7</formula>
    </cfRule>
  </conditionalFormatting>
  <conditionalFormatting sqref="D439">
    <cfRule type="containsText" dxfId="44" priority="69" operator="containsText" text="Radio">
      <formula>NOT(ISERROR(SEARCH("Radio",D439)))</formula>
    </cfRule>
    <cfRule type="containsText" dxfId="43" priority="68" operator="containsText" text="domo">
      <formula>NOT(ISERROR(SEARCH("domo",D439)))</formula>
    </cfRule>
    <cfRule type="containsText" dxfId="42" priority="67" operator="containsText" text="fija">
      <formula>NOT(ISERROR(SEARCH("fija",D439)))</formula>
    </cfRule>
  </conditionalFormatting>
  <conditionalFormatting sqref="D439:D440">
    <cfRule type="containsText" dxfId="41" priority="65" operator="containsText" text="domo">
      <formula>NOT(ISERROR(SEARCH("domo",D439)))</formula>
    </cfRule>
    <cfRule type="containsText" dxfId="40" priority="64" operator="containsText" text="fija">
      <formula>NOT(ISERROR(SEARCH("fija",D439)))</formula>
    </cfRule>
  </conditionalFormatting>
  <conditionalFormatting sqref="D440">
    <cfRule type="containsText" dxfId="39" priority="66" operator="containsText" text="Radio">
      <formula>NOT(ISERROR(SEARCH("Radio",D440)))</formula>
    </cfRule>
    <cfRule type="containsText" dxfId="38" priority="63" operator="containsText" text="domo">
      <formula>NOT(ISERROR(SEARCH("domo",D440)))</formula>
    </cfRule>
    <cfRule type="containsText" dxfId="37" priority="62" operator="containsText" text="fija">
      <formula>NOT(ISERROR(SEARCH("fija",D440)))</formula>
    </cfRule>
  </conditionalFormatting>
  <conditionalFormatting sqref="D443">
    <cfRule type="containsText" dxfId="36" priority="59" operator="containsText" text="fija">
      <formula>NOT(ISERROR(SEARCH("fija",D443)))</formula>
    </cfRule>
    <cfRule type="containsText" dxfId="35" priority="61" operator="containsText" text="Radio">
      <formula>NOT(ISERROR(SEARCH("Radio",D443)))</formula>
    </cfRule>
    <cfRule type="containsText" dxfId="34" priority="60" operator="containsText" text="domo">
      <formula>NOT(ISERROR(SEARCH("domo",D443)))</formula>
    </cfRule>
  </conditionalFormatting>
  <conditionalFormatting sqref="D443:D444">
    <cfRule type="containsText" dxfId="33" priority="56" operator="containsText" text="fija">
      <formula>NOT(ISERROR(SEARCH("fija",D443)))</formula>
    </cfRule>
    <cfRule type="containsText" dxfId="32" priority="57" operator="containsText" text="domo">
      <formula>NOT(ISERROR(SEARCH("domo",D443)))</formula>
    </cfRule>
  </conditionalFormatting>
  <conditionalFormatting sqref="D444:D445">
    <cfRule type="containsText" dxfId="31" priority="54" operator="containsText" text="domo">
      <formula>NOT(ISERROR(SEARCH("domo",D444)))</formula>
    </cfRule>
    <cfRule type="containsText" dxfId="30" priority="53" operator="containsText" text="fija">
      <formula>NOT(ISERROR(SEARCH("fija",D444)))</formula>
    </cfRule>
  </conditionalFormatting>
  <conditionalFormatting sqref="D445">
    <cfRule type="containsText" dxfId="29" priority="55" operator="containsText" text="Radio">
      <formula>NOT(ISERROR(SEARCH("Radio",D445)))</formula>
    </cfRule>
  </conditionalFormatting>
  <conditionalFormatting sqref="D445:D446">
    <cfRule type="containsText" dxfId="28" priority="50" operator="containsText" text="fija">
      <formula>NOT(ISERROR(SEARCH("fija",D445)))</formula>
    </cfRule>
    <cfRule type="containsText" dxfId="27" priority="51" operator="containsText" text="domo">
      <formula>NOT(ISERROR(SEARCH("domo",D445)))</formula>
    </cfRule>
  </conditionalFormatting>
  <conditionalFormatting sqref="D446">
    <cfRule type="containsText" dxfId="26" priority="48" operator="containsText" text="fija">
      <formula>NOT(ISERROR(SEARCH("fija",D446)))</formula>
    </cfRule>
    <cfRule type="containsText" dxfId="25" priority="49" operator="containsText" text="domo">
      <formula>NOT(ISERROR(SEARCH("domo",D446)))</formula>
    </cfRule>
    <cfRule type="containsText" dxfId="24" priority="52" operator="containsText" text="Radio">
      <formula>NOT(ISERROR(SEARCH("Radio",D446)))</formula>
    </cfRule>
  </conditionalFormatting>
  <conditionalFormatting sqref="D448">
    <cfRule type="containsText" dxfId="23" priority="171" operator="containsText" text="fija">
      <formula>NOT(ISERROR(SEARCH("fija",D448)))</formula>
    </cfRule>
    <cfRule type="containsText" dxfId="22" priority="172" operator="containsText" text="domo">
      <formula>NOT(ISERROR(SEARCH("domo",D448)))</formula>
    </cfRule>
  </conditionalFormatting>
  <conditionalFormatting sqref="D451:D453">
    <cfRule type="containsText" dxfId="21" priority="70" operator="containsText" text="fija">
      <formula>NOT(ISERROR(SEARCH("fija",D451)))</formula>
    </cfRule>
    <cfRule type="containsText" dxfId="20" priority="71" operator="containsText" text="domo">
      <formula>NOT(ISERROR(SEARCH("domo",D451)))</formula>
    </cfRule>
  </conditionalFormatting>
  <conditionalFormatting sqref="D642">
    <cfRule type="containsText" dxfId="19" priority="1" operator="containsText" text="Radio">
      <formula>NOT(ISERROR(SEARCH("Radio",D642)))</formula>
    </cfRule>
  </conditionalFormatting>
  <conditionalFormatting sqref="D4:E641">
    <cfRule type="containsText" dxfId="18" priority="58" operator="containsText" text="Radio">
      <formula>NOT(ISERROR(SEARCH("Radio",D4)))</formula>
    </cfRule>
  </conditionalFormatting>
  <conditionalFormatting sqref="D448:E448 D458:E641">
    <cfRule type="containsText" dxfId="17" priority="193" operator="containsText" text="Radio">
      <formula>NOT(ISERROR(SEARCH("Radio",D448)))</formula>
    </cfRule>
  </conditionalFormatting>
  <conditionalFormatting sqref="E4:E665">
    <cfRule type="cellIs" dxfId="16" priority="169" operator="equal">
      <formula>"PTP A FO"</formula>
    </cfRule>
    <cfRule type="cellIs" dxfId="15" priority="927" operator="equal">
      <formula>$E$10</formula>
    </cfRule>
    <cfRule type="cellIs" dxfId="14" priority="928" operator="equal">
      <formula>"PTP A FO"</formula>
    </cfRule>
  </conditionalFormatting>
  <conditionalFormatting sqref="E438">
    <cfRule type="cellIs" dxfId="13" priority="11" operator="equal">
      <formula>"PTP A FO"</formula>
    </cfRule>
    <cfRule type="containsText" dxfId="12" priority="10" operator="containsText" text="Radio">
      <formula>NOT(ISERROR(SEARCH("Radio",E438)))</formula>
    </cfRule>
  </conditionalFormatting>
  <conditionalFormatting sqref="E642:E665">
    <cfRule type="containsText" dxfId="11" priority="3" operator="containsText" text="Radio">
      <formula>NOT(ISERROR(SEARCH("Radio",E642)))</formula>
    </cfRule>
  </conditionalFormatting>
  <conditionalFormatting sqref="F5:AJ643">
    <cfRule type="notContainsText" dxfId="10" priority="13" operator="notContains" text="Caida">
      <formula>ISERROR(SEARCH("Caida",F5))</formula>
    </cfRule>
    <cfRule type="cellIs" dxfId="9" priority="8" operator="equal">
      <formula>"apagado"</formula>
    </cfRule>
    <cfRule type="cellIs" dxfId="8" priority="16" operator="greaterThan">
      <formula>0.8</formula>
    </cfRule>
    <cfRule type="cellIs" dxfId="7" priority="12" operator="equal">
      <formula>"APAGADO"</formula>
    </cfRule>
    <cfRule type="cellIs" dxfId="6" priority="15" operator="lessThan">
      <formula>0.8</formula>
    </cfRule>
    <cfRule type="containsText" dxfId="5" priority="14" operator="containsText" text="Caida">
      <formula>NOT(ISERROR(SEARCH("Caida",F5)))</formula>
    </cfRule>
  </conditionalFormatting>
  <conditionalFormatting sqref="H4">
    <cfRule type="cellIs" dxfId="4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16" sqref="E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1077</v>
      </c>
    </row>
    <row r="2" spans="1:36" ht="16.5" thickTop="1" thickBot="1" x14ac:dyDescent="0.3">
      <c r="A2" s="49" t="s">
        <v>1069</v>
      </c>
      <c r="B2" s="41">
        <f>COUNTIFS('RESUMEN TOTAL'!C8:C511,"=BONOMO")</f>
        <v>271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6.5" thickTop="1" thickBot="1" x14ac:dyDescent="0.3">
      <c r="A3" s="42"/>
      <c r="B3" s="43"/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33</v>
      </c>
      <c r="M3" s="46">
        <f>COUNTIFS('RESUMEN TOTAL'!S8:S619,"=APAGADO",'RESUMEN TOTAL'!C8:C619,"=BONOMO")</f>
        <v>38</v>
      </c>
      <c r="N3" s="46">
        <f>COUNTIFS('RESUMEN TOTAL'!T8:T619,"=APAGADO",'RESUMEN TOTAL'!C8:C619,"=BONOMO")</f>
        <v>36</v>
      </c>
      <c r="O3" s="46">
        <f>COUNTIFS('RESUMEN TOTAL'!U8:U619,"=APAGADO",'RESUMEN TOTAL'!C8:C619,"=BONOMO")</f>
        <v>34</v>
      </c>
      <c r="P3" s="46">
        <f>COUNTIFS('RESUMEN TOTAL'!V8:V619,"=APAGADO",'RESUMEN TOTAL'!C8:C619,"=BONOMO")</f>
        <v>33</v>
      </c>
      <c r="Q3" s="46">
        <f>COUNTIFS('RESUMEN TOTAL'!W8:W619,"=APAGADO",'RESUMEN TOTAL'!C8:C619,"=BONOMO")</f>
        <v>35</v>
      </c>
      <c r="R3" s="46">
        <f>COUNTIFS('RESUMEN TOTAL'!X8:X619,"=APAGADO",'RESUMEN TOTAL'!C8:C619,"=BONOMO")</f>
        <v>46</v>
      </c>
      <c r="S3" s="46">
        <f>COUNTIFS('RESUMEN TOTAL'!Y8:Y619,"=APAGADO",'RESUMEN TOTAL'!C8:C619,"=BONOMO")</f>
        <v>49</v>
      </c>
      <c r="T3" s="46">
        <f>COUNTIFS('RESUMEN TOTAL'!Z8:Z619,"=APAGADO",'RESUMEN TOTAL'!C8:C619,"=BONOMO")</f>
        <v>47</v>
      </c>
      <c r="U3" s="46">
        <f>COUNTIFS('RESUMEN TOTAL'!AA8:AA619,"=APAGADO",'RESUMEN TOTAL'!C8:C619,"=BONOMO")</f>
        <v>0</v>
      </c>
      <c r="V3" s="46">
        <f>COUNTIFS('RESUMEN TOTAL'!AB8:AB619,"=APAGADO",'RESUMEN TOTAL'!C8:C619,"=BONOMO")</f>
        <v>0</v>
      </c>
      <c r="W3" s="46">
        <f>COUNTIFS('RESUMEN TOTAL'!AC8:AC619,"=APAGADO",'RESUMEN TOTAL'!C8:C619,"=BONOMO")</f>
        <v>0</v>
      </c>
      <c r="X3" s="46">
        <f>COUNTIFS('RESUMEN TOTAL'!AD8:AD619,"=APAGADO",'RESUMEN TOTAL'!C8:C619,"=BONOMO")</f>
        <v>0</v>
      </c>
      <c r="Y3" s="46">
        <f>COUNTIFS('RESUMEN TOTAL'!AE8:AE619,"=APAGADO",'RESUMEN TOTAL'!C8:C619,"=BONOMO")</f>
        <v>0</v>
      </c>
      <c r="Z3" s="46">
        <f>COUNTIFS('RESUMEN TOTAL'!AF8:AF619,"=APAGADO",'RESUMEN TOTAL'!C8:C619,"=BONOMO")</f>
        <v>0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1070</v>
      </c>
      <c r="B4" s="41">
        <f>COUNTIFS('RESUMEN TOTAL'!C8:C511,"=COSEIDI")</f>
        <v>233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0.12177121771217712</v>
      </c>
      <c r="M4" s="50">
        <f t="shared" si="0"/>
        <v>0.14022140221402213</v>
      </c>
      <c r="N4" s="50">
        <f t="shared" si="0"/>
        <v>0.13284132841328414</v>
      </c>
      <c r="O4" s="50">
        <f t="shared" si="0"/>
        <v>0.12546125461254612</v>
      </c>
      <c r="P4" s="50">
        <f t="shared" si="0"/>
        <v>0.12177121771217712</v>
      </c>
      <c r="Q4" s="50">
        <f t="shared" si="0"/>
        <v>0.12915129151291513</v>
      </c>
      <c r="R4" s="50">
        <f t="shared" si="0"/>
        <v>0.16974169741697417</v>
      </c>
      <c r="S4" s="50">
        <f t="shared" si="0"/>
        <v>0.18081180811808117</v>
      </c>
      <c r="T4" s="50">
        <f t="shared" si="0"/>
        <v>0.17343173431734318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28</v>
      </c>
      <c r="M5" s="46">
        <f>COUNTIFS('RESUMEN TOTAL'!S10:S621,"=APAGADO",'RESUMEN TOTAL'!C10:C621,"=COSEIDI")</f>
        <v>35</v>
      </c>
      <c r="N5" s="46">
        <f>COUNTIFS('RESUMEN TOTAL'!T10:T621,"=APAGADO",'RESUMEN TOTAL'!C10:C621,"=COSEIDI")</f>
        <v>31</v>
      </c>
      <c r="O5" s="46">
        <f>COUNTIFS('RESUMEN TOTAL'!U10:U621,"=APAGADO",'RESUMEN TOTAL'!C10:C621,"=COSEIDI")</f>
        <v>35</v>
      </c>
      <c r="P5" s="46">
        <f>COUNTIFS('RESUMEN TOTAL'!V10:V621,"=APAGADO",'RESUMEN TOTAL'!C10:C621,"=COSEIDI")</f>
        <v>38</v>
      </c>
      <c r="Q5" s="46">
        <f>COUNTIFS('RESUMEN TOTAL'!W10:W621,"=APAGADO",'RESUMEN TOTAL'!C10:C621,"=COSEIDI")</f>
        <v>31</v>
      </c>
      <c r="R5" s="46">
        <f>COUNTIFS('RESUMEN TOTAL'!X10:X621,"=APAGADO",'RESUMEN TOTAL'!C10:C621,"=COSEIDI")</f>
        <v>32</v>
      </c>
      <c r="S5" s="46">
        <f>COUNTIFS('RESUMEN TOTAL'!Y10:Y621,"=APAGADO",'RESUMEN TOTAL'!C10:C621,"=COSEIDI")</f>
        <v>56</v>
      </c>
      <c r="T5" s="46">
        <f>COUNTIFS('RESUMEN TOTAL'!Z10:Z621,"=APAGADO",'RESUMEN TOTAL'!C10:C621,"=COSEIDI")</f>
        <v>30</v>
      </c>
      <c r="U5" s="46">
        <f>COUNTIFS('RESUMEN TOTAL'!AA10:AA621,"=APAGADO",'RESUMEN TOTAL'!C10:C621,"=COSEIDI")</f>
        <v>0</v>
      </c>
      <c r="V5" s="46">
        <f>COUNTIFS('RESUMEN TOTAL'!AB10:AB621,"=APAGADO",'RESUMEN TOTAL'!C10:C621,"=COSEIDI")</f>
        <v>0</v>
      </c>
      <c r="W5" s="46">
        <f>COUNTIFS('RESUMEN TOTAL'!AC10:AC621,"=APAGADO",'RESUMEN TOTAL'!C10:C621,"=COSEIDI")</f>
        <v>0</v>
      </c>
      <c r="X5" s="46">
        <f>COUNTIFS('RESUMEN TOTAL'!AD10:AD621,"=APAGADO",'RESUMEN TOTAL'!C10:C621,"=COSEIDI")</f>
        <v>0</v>
      </c>
      <c r="Y5" s="46">
        <f>COUNTIFS('RESUMEN TOTAL'!AE10:AE621,"=APAGADO",'RESUMEN TOTAL'!C10:C621,"=COSEIDI")</f>
        <v>0</v>
      </c>
      <c r="Z5" s="46">
        <f>COUNTIFS('RESUMEN TOTAL'!AF10:AF621,"=APAGADO",'RESUMEN TOTAL'!C10:C621,"=COSEIDI")</f>
        <v>0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6.5" thickTop="1" thickBot="1" x14ac:dyDescent="0.3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0.12017167381974249</v>
      </c>
      <c r="M6" s="50">
        <f t="shared" si="1"/>
        <v>0.15021459227467812</v>
      </c>
      <c r="N6" s="50">
        <f t="shared" si="1"/>
        <v>0.13304721030042918</v>
      </c>
      <c r="O6" s="50">
        <f t="shared" si="1"/>
        <v>0.15021459227467812</v>
      </c>
      <c r="P6" s="50">
        <f t="shared" si="1"/>
        <v>0.1630901287553648</v>
      </c>
      <c r="Q6" s="50">
        <f t="shared" si="1"/>
        <v>0.13304721030042918</v>
      </c>
      <c r="R6" s="50">
        <f t="shared" si="1"/>
        <v>0.13733905579399142</v>
      </c>
      <c r="S6" s="50">
        <f t="shared" si="1"/>
        <v>0.24034334763948498</v>
      </c>
      <c r="T6" s="50">
        <f t="shared" si="1"/>
        <v>0.12875536480686695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2025-08-18T10:58:10Z</dcterms:modified>
</cp:coreProperties>
</file>