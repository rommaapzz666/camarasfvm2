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D2E4816D-4B35-4077-858A-AC3B5EE26A5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TOTAL'!$A$7:$AV$598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E219" i="24"/>
  <c r="E208" i="24"/>
  <c r="D186" i="24"/>
  <c r="E186" i="24" s="1"/>
  <c r="D299" i="24"/>
  <c r="E299" i="24" s="1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<sst xmlns="http://schemas.openxmlformats.org/spreadsheetml/2006/main" count="7304" uniqueCount="2480">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</sst>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21" borderId="0" xfId="0" applyFill="1"/>
    <xf numFmtId="0" fontId="0" fillId="4" borderId="0" xfId="0" applyFill="1"/>
  </cellXfs>
  <cellStyles count="2">
    <cellStyle name="Normal" xfId="0" builtinId="0"/>
    <cellStyle name="Porcentaje" xfId="1" builtinId="5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8"/>
  <sheetViews>
    <sheetView tabSelected="1" zoomScale="110" zoomScaleNormal="110" zoomScaleSheetLayoutView="100" workbookViewId="0">
      <pane xSplit="18" ySplit="7" topLeftCell="S560" activePane="bottomRight" state="frozen"/>
      <selection activeCell="G1" sqref="G1"/>
      <selection pane="topRight" activeCell="S1" sqref="S1"/>
      <selection pane="bottomLeft" activeCell="G8" sqref="G8"/>
      <selection pane="bottomRight" activeCell="I564" sqref="I564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1.42578125" style="30" customWidth="1"/>
    <col min="8" max="8" width="16.28515625" style="30" customWidth="1"/>
    <col min="9" max="9" width="21.85546875" customWidth="1"/>
    <col min="10" max="10" width="21.85546875" style="61" customWidth="1"/>
    <col min="11" max="11" width="17.5703125" style="65" customWidth="1"/>
    <col min="12" max="12" width="21.85546875" style="65" hidden="1" customWidth="1"/>
    <col min="13" max="13" width="1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44</v>
      </c>
      <c r="W4" s="10">
        <f>COUNTIFS(W8:W706, "=APAGADO",K8:K706,"=Fibra Optica")</f>
        <v>43</v>
      </c>
      <c r="X4" s="10">
        <f>COUNTIFS(X8:X706, "=APAGADO",K8:K706,"=Fibra Optica")</f>
        <v>44</v>
      </c>
      <c r="Y4" s="10">
        <f>COUNTIFS(Y8:Y706, "=APAGADO",K8:K706,"=Fibra Optica")</f>
        <v>51</v>
      </c>
      <c r="Z4" s="10">
        <f>COUNTIFS(Z8:Z706, "=APAGADO",K8:K706,"=Fibra Optica")</f>
        <v>43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47</v>
      </c>
      <c r="AD4" s="10">
        <f>COUNTIFS(AD8:AD706, "=APAGADO",K8:K706,"=Fibra Optica")</f>
        <v>42</v>
      </c>
      <c r="AE4" s="10">
        <f>COUNTIFS(AE8:AE706, "=APAGADO",K8:K706,"=Fibra Optica")</f>
        <v>48</v>
      </c>
      <c r="AF4" s="10">
        <f>COUNTIFS(AF8:AF706, "=APAGADO",K8:K706,"=Fibra Optica")</f>
        <v>46</v>
      </c>
      <c r="AG4" s="10">
        <f>COUNTIFS(AG8:AG706, "=APAGADO",K8:K706,"=Fibra Optica")</f>
        <v>50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42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0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0</v>
      </c>
      <c r="AS4" s="10">
        <f>COUNTIFS(AS8:AS706, "=APAGADO",K8:K706,"=Fibra Optica")</f>
        <v>0</v>
      </c>
      <c r="AT4" s="10">
        <f>COUNTIFS(AT8:AT706, "=APAGADO",K8:K706,"=Fibra Optica")</f>
        <v>0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0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0</v>
      </c>
      <c r="AS5" s="127">
        <f>COUNTIFS(AS8:AS706, "=APAGADO",K8:K706,"=RADIO")</f>
        <v>0</v>
      </c>
      <c r="AT5" s="127">
        <f>COUNTIFS(AT8:AT706, "=APAGADO",K8:K706,"=RADIO")</f>
        <v>0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0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0</v>
      </c>
      <c r="AS6" s="10">
        <f>COUNTIFS(AS8:AS706, "=APAGADO",K8:K706,"=PTO A FO")</f>
        <v>0</v>
      </c>
      <c r="AT6" s="10">
        <f>COUNTIFS(AT8:AT706, "=APAGADO",K8:K706,"=PTO A FO")</f>
        <v>0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25</v>
      </c>
      <c r="P30" s="136" t="s">
        <v>1644</v>
      </c>
      <c r="Q30" s="31">
        <f t="shared" ref="Q30:Q61" si="8">COUNTIF(S30:AT30,"APAGADO")</f>
        <v>3</v>
      </c>
      <c r="R30" s="32">
        <f t="shared" ref="R30:R61" si="9">(O30)/(Q30+O30)</f>
        <v>0.8928571428571429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 t="s">
        <v>2222</v>
      </c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25</v>
      </c>
      <c r="P31" s="136" t="s">
        <v>1645</v>
      </c>
      <c r="Q31" s="31">
        <f t="shared" si="8"/>
        <v>3</v>
      </c>
      <c r="R31" s="32">
        <f t="shared" si="9"/>
        <v>0.8928571428571429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 t="s">
        <v>2222</v>
      </c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14</v>
      </c>
      <c r="P32" s="136" t="s">
        <v>1646</v>
      </c>
      <c r="Q32" s="31">
        <f t="shared" si="8"/>
        <v>14</v>
      </c>
      <c r="R32" s="32">
        <f t="shared" si="9"/>
        <v>0.5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 t="s">
        <v>2222</v>
      </c>
      <c r="AM32" s="70" t="s">
        <v>2222</v>
      </c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25</v>
      </c>
      <c r="P33" s="136" t="s">
        <v>1647</v>
      </c>
      <c r="Q33" s="31">
        <f t="shared" si="8"/>
        <v>3</v>
      </c>
      <c r="R33" s="32">
        <f t="shared" si="9"/>
        <v>0.8928571428571429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 t="s">
        <v>2222</v>
      </c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 t="s">
        <v>2222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14</v>
      </c>
      <c r="P51" s="136" t="s">
        <v>1704</v>
      </c>
      <c r="Q51" s="131">
        <f t="shared" si="8"/>
        <v>14</v>
      </c>
      <c r="R51" s="132">
        <f t="shared" si="9"/>
        <v>0.5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 t="s">
        <v>2222</v>
      </c>
      <c r="AM51" s="70" t="s">
        <v>2222</v>
      </c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19</v>
      </c>
      <c r="P75" s="136" t="s">
        <v>1656</v>
      </c>
      <c r="Q75" s="31">
        <f t="shared" si="11"/>
        <v>9</v>
      </c>
      <c r="R75" s="32">
        <f t="shared" si="12"/>
        <v>0.6785714285714286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 t="s">
        <v>2222</v>
      </c>
      <c r="AM75" s="70" t="s">
        <v>2222</v>
      </c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17</v>
      </c>
      <c r="P77" s="136" t="s">
        <v>2434</v>
      </c>
      <c r="Q77" s="31">
        <f t="shared" si="11"/>
        <v>11</v>
      </c>
      <c r="R77" s="32">
        <f t="shared" si="12"/>
        <v>0.6071428571428571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 t="s">
        <v>2222</v>
      </c>
      <c r="AM77" s="70" t="s">
        <v>2222</v>
      </c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14</v>
      </c>
      <c r="P92" s="136" t="s">
        <v>1673</v>
      </c>
      <c r="Q92" s="131">
        <f t="shared" si="11"/>
        <v>14</v>
      </c>
      <c r="R92" s="132">
        <f t="shared" si="12"/>
        <v>0.5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 t="s">
        <v>2222</v>
      </c>
      <c r="AM92" s="70" t="s">
        <v>2222</v>
      </c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2222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19</v>
      </c>
      <c r="P110" s="136" t="s">
        <v>1691</v>
      </c>
      <c r="Q110" s="31">
        <f t="shared" si="14"/>
        <v>9</v>
      </c>
      <c r="R110" s="32">
        <f t="shared" si="15"/>
        <v>0.6785714285714286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 t="s">
        <v>2222</v>
      </c>
      <c r="AM110" s="70" t="s">
        <v>2222</v>
      </c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 t="s">
        <v>2222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14</v>
      </c>
      <c r="P118" s="136" t="s">
        <v>1699</v>
      </c>
      <c r="Q118" s="31">
        <f t="shared" si="14"/>
        <v>14</v>
      </c>
      <c r="R118" s="32">
        <f t="shared" si="15"/>
        <v>0.5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 t="s">
        <v>2222</v>
      </c>
      <c r="AM118" s="70" t="s">
        <v>2222</v>
      </c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14</v>
      </c>
      <c r="P129" s="136" t="s">
        <v>1723</v>
      </c>
      <c r="Q129" s="31">
        <f t="shared" si="17"/>
        <v>14</v>
      </c>
      <c r="R129" s="32">
        <f t="shared" si="18"/>
        <v>0.5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 t="s">
        <v>2222</v>
      </c>
      <c r="AM129" s="70" t="s">
        <v>2222</v>
      </c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14</v>
      </c>
      <c r="P131" s="136" t="s">
        <v>1736</v>
      </c>
      <c r="Q131" s="131">
        <f t="shared" si="17"/>
        <v>14</v>
      </c>
      <c r="R131" s="132">
        <f t="shared" si="18"/>
        <v>0.5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 t="s">
        <v>2222</v>
      </c>
      <c r="AM131" s="70" t="s">
        <v>2222</v>
      </c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14</v>
      </c>
      <c r="P143" s="136" t="s">
        <v>2200</v>
      </c>
      <c r="Q143" s="131">
        <f t="shared" si="17"/>
        <v>14</v>
      </c>
      <c r="R143" s="132">
        <f t="shared" si="18"/>
        <v>0.5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 t="s">
        <v>2222</v>
      </c>
      <c r="AM143" s="70" t="s">
        <v>2222</v>
      </c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16</v>
      </c>
      <c r="P149" s="136" t="s">
        <v>1749</v>
      </c>
      <c r="Q149" s="31">
        <f t="shared" si="17"/>
        <v>12</v>
      </c>
      <c r="R149" s="32">
        <f t="shared" si="18"/>
        <v>0.5714285714285714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 t="s">
        <v>2222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 t="s">
        <v>2222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14</v>
      </c>
      <c r="P166" s="136" t="s">
        <v>1757</v>
      </c>
      <c r="Q166" s="31">
        <f t="shared" si="20"/>
        <v>14</v>
      </c>
      <c r="R166" s="32">
        <f t="shared" si="21"/>
        <v>0.5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 t="s">
        <v>2222</v>
      </c>
      <c r="AM166" s="70" t="s">
        <v>2222</v>
      </c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14</v>
      </c>
      <c r="P171" s="140" t="s">
        <v>1762</v>
      </c>
      <c r="Q171" s="139">
        <f t="shared" si="20"/>
        <v>14</v>
      </c>
      <c r="R171" s="141">
        <f t="shared" si="21"/>
        <v>0.5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 t="s">
        <v>2222</v>
      </c>
      <c r="AM171" s="70" t="s">
        <v>2222</v>
      </c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14</v>
      </c>
      <c r="P175" s="136" t="s">
        <v>1775</v>
      </c>
      <c r="Q175" s="31">
        <f t="shared" si="20"/>
        <v>14</v>
      </c>
      <c r="R175" s="32">
        <f t="shared" si="21"/>
        <v>0.5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 t="s">
        <v>2222</v>
      </c>
      <c r="AM175" s="70" t="s">
        <v>2222</v>
      </c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14</v>
      </c>
      <c r="P176" s="136" t="s">
        <v>1776</v>
      </c>
      <c r="Q176" s="31">
        <f t="shared" si="20"/>
        <v>14</v>
      </c>
      <c r="R176" s="32">
        <f t="shared" si="21"/>
        <v>0.5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 t="s">
        <v>2222</v>
      </c>
      <c r="AM176" s="70" t="s">
        <v>2222</v>
      </c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24</v>
      </c>
      <c r="P177" s="136" t="s">
        <v>2377</v>
      </c>
      <c r="Q177" s="31">
        <f t="shared" si="20"/>
        <v>4</v>
      </c>
      <c r="R177" s="32">
        <f t="shared" si="21"/>
        <v>0.8571428571428571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 t="s">
        <v>2222</v>
      </c>
      <c r="AM177" s="70" t="s">
        <v>2222</v>
      </c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2222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14</v>
      </c>
      <c r="P196" s="140"/>
      <c r="Q196" s="139">
        <f t="shared" si="23"/>
        <v>14</v>
      </c>
      <c r="R196" s="141">
        <f t="shared" si="24"/>
        <v>0.5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 t="s">
        <v>2222</v>
      </c>
      <c r="AM196" s="70" t="s">
        <v>2222</v>
      </c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2222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14</v>
      </c>
      <c r="P205" s="136" t="s">
        <v>1796</v>
      </c>
      <c r="Q205" s="131">
        <f t="shared" si="23"/>
        <v>14</v>
      </c>
      <c r="R205" s="132">
        <f t="shared" si="24"/>
        <v>0.5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 t="s">
        <v>2222</v>
      </c>
      <c r="AM205" s="70" t="s">
        <v>2222</v>
      </c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 t="s">
        <v>2222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14</v>
      </c>
      <c r="P250" s="136" t="s">
        <v>1824</v>
      </c>
      <c r="Q250" s="31">
        <f t="shared" si="29"/>
        <v>14</v>
      </c>
      <c r="R250" s="32">
        <f t="shared" si="30"/>
        <v>0.5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 t="s">
        <v>2222</v>
      </c>
      <c r="AM250" s="70" t="s">
        <v>2222</v>
      </c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22</v>
      </c>
      <c r="P251" s="136" t="s">
        <v>1825</v>
      </c>
      <c r="Q251" s="31">
        <f t="shared" si="29"/>
        <v>6</v>
      </c>
      <c r="R251" s="32">
        <f t="shared" si="30"/>
        <v>0.7857142857142857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14</v>
      </c>
      <c r="P254" s="140" t="s">
        <v>1826</v>
      </c>
      <c r="Q254" s="139">
        <f t="shared" si="29"/>
        <v>14</v>
      </c>
      <c r="R254" s="141">
        <f t="shared" si="30"/>
        <v>0.5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 t="s">
        <v>2222</v>
      </c>
      <c r="AM254" s="70" t="s">
        <v>2222</v>
      </c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14</v>
      </c>
      <c r="P255" s="140" t="s">
        <v>2236</v>
      </c>
      <c r="Q255" s="139">
        <f t="shared" si="29"/>
        <v>14</v>
      </c>
      <c r="R255" s="141">
        <f t="shared" si="30"/>
        <v>0.5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 t="s">
        <v>2222</v>
      </c>
      <c r="AM255" s="70" t="s">
        <v>2222</v>
      </c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19</v>
      </c>
      <c r="P260" s="136" t="s">
        <v>2396</v>
      </c>
      <c r="Q260" s="31">
        <f t="shared" si="29"/>
        <v>9</v>
      </c>
      <c r="R260" s="32">
        <f t="shared" si="30"/>
        <v>0.6785714285714286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 t="s">
        <v>2222</v>
      </c>
      <c r="AM260" s="70" t="s">
        <v>2222</v>
      </c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14</v>
      </c>
      <c r="P270" s="136" t="s">
        <v>1833</v>
      </c>
      <c r="Q270" s="31">
        <f t="shared" si="32"/>
        <v>14</v>
      </c>
      <c r="R270" s="32">
        <f t="shared" si="33"/>
        <v>0.5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 t="s">
        <v>2222</v>
      </c>
      <c r="AM270" s="70" t="s">
        <v>2222</v>
      </c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2222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15</v>
      </c>
      <c r="P275" s="136" t="s">
        <v>1840</v>
      </c>
      <c r="Q275" s="31">
        <f t="shared" si="32"/>
        <v>13</v>
      </c>
      <c r="R275" s="32">
        <f t="shared" si="33"/>
        <v>0.5357142857142857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 t="s">
        <v>2222</v>
      </c>
      <c r="AM275" s="70" t="s">
        <v>2222</v>
      </c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2222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 t="s">
        <v>2222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 t="s">
        <v>2222</v>
      </c>
      <c r="AM294" s="70" t="s">
        <v>2222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14</v>
      </c>
      <c r="P298" s="136" t="s">
        <v>2114</v>
      </c>
      <c r="Q298" s="131">
        <f t="shared" si="32"/>
        <v>14</v>
      </c>
      <c r="R298" s="132">
        <f t="shared" si="33"/>
        <v>0.5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 t="s">
        <v>2222</v>
      </c>
      <c r="AM298" s="70" t="s">
        <v>2222</v>
      </c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14</v>
      </c>
      <c r="P299" s="136" t="s">
        <v>2108</v>
      </c>
      <c r="Q299" s="131">
        <f t="shared" si="32"/>
        <v>14</v>
      </c>
      <c r="R299" s="132">
        <f t="shared" si="33"/>
        <v>0.5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 t="s">
        <v>2222</v>
      </c>
      <c r="AM299" s="70" t="s">
        <v>2222</v>
      </c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14</v>
      </c>
      <c r="P308" s="140" t="s">
        <v>1866</v>
      </c>
      <c r="Q308" s="139">
        <f t="shared" si="32"/>
        <v>14</v>
      </c>
      <c r="R308" s="141">
        <f t="shared" si="33"/>
        <v>0.5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 t="s">
        <v>2222</v>
      </c>
      <c r="AM308" s="70" t="s">
        <v>2222</v>
      </c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14</v>
      </c>
      <c r="P317" s="136" t="s">
        <v>1877</v>
      </c>
      <c r="Q317" s="131">
        <f t="shared" si="32"/>
        <v>14</v>
      </c>
      <c r="R317" s="132">
        <f t="shared" si="33"/>
        <v>0.5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 t="s">
        <v>2222</v>
      </c>
      <c r="AM317" s="70" t="s">
        <v>2222</v>
      </c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14</v>
      </c>
      <c r="P319" s="136" t="s">
        <v>2147</v>
      </c>
      <c r="Q319" s="131">
        <f t="shared" si="32"/>
        <v>14</v>
      </c>
      <c r="R319" s="132">
        <f t="shared" si="33"/>
        <v>0.5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 t="s">
        <v>2222</v>
      </c>
      <c r="AM319" s="70" t="s">
        <v>2222</v>
      </c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20</v>
      </c>
      <c r="P320" s="136" t="s">
        <v>1881</v>
      </c>
      <c r="Q320" s="31">
        <f t="shared" si="32"/>
        <v>8</v>
      </c>
      <c r="R320" s="32">
        <f t="shared" si="33"/>
        <v>0.7142857142857143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 t="s">
        <v>2222</v>
      </c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 t="s">
        <v>2222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14</v>
      </c>
      <c r="P326" s="136" t="s">
        <v>1878</v>
      </c>
      <c r="Q326" s="31">
        <f t="shared" si="32"/>
        <v>14</v>
      </c>
      <c r="R326" s="32">
        <f t="shared" si="33"/>
        <v>0.5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 t="s">
        <v>2222</v>
      </c>
      <c r="AM326" s="70" t="s">
        <v>2222</v>
      </c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14</v>
      </c>
      <c r="P327" s="136" t="s">
        <v>1879</v>
      </c>
      <c r="Q327" s="131">
        <f t="shared" si="32"/>
        <v>14</v>
      </c>
      <c r="R327" s="132">
        <f t="shared" si="33"/>
        <v>0.5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 t="s">
        <v>2222</v>
      </c>
      <c r="AM327" s="70" t="s">
        <v>2222</v>
      </c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14</v>
      </c>
      <c r="P328" s="136" t="s">
        <v>1880</v>
      </c>
      <c r="Q328" s="131">
        <f t="shared" si="32"/>
        <v>14</v>
      </c>
      <c r="R328" s="132">
        <f t="shared" si="33"/>
        <v>0.5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 t="s">
        <v>2222</v>
      </c>
      <c r="AM328" s="70" t="s">
        <v>2222</v>
      </c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 t="s">
        <v>2222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14</v>
      </c>
      <c r="P339" s="136" t="s">
        <v>1893</v>
      </c>
      <c r="Q339" s="31">
        <f t="shared" si="35"/>
        <v>14</v>
      </c>
      <c r="R339" s="32">
        <f t="shared" si="36"/>
        <v>0.5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 t="s">
        <v>2222</v>
      </c>
      <c r="AM339" s="70" t="s">
        <v>2222</v>
      </c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26</v>
      </c>
      <c r="P346" s="136" t="s">
        <v>1902</v>
      </c>
      <c r="Q346" s="31">
        <f t="shared" si="35"/>
        <v>2</v>
      </c>
      <c r="R346" s="32">
        <f t="shared" si="36"/>
        <v>0.9285714285714286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14</v>
      </c>
      <c r="P354" s="136"/>
      <c r="Q354" s="31">
        <f t="shared" si="35"/>
        <v>14</v>
      </c>
      <c r="R354" s="32">
        <f t="shared" si="36"/>
        <v>0.5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 t="s">
        <v>2222</v>
      </c>
      <c r="AM354" s="70" t="s">
        <v>2222</v>
      </c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14</v>
      </c>
      <c r="P355" s="136"/>
      <c r="Q355" s="31">
        <f t="shared" si="35"/>
        <v>14</v>
      </c>
      <c r="R355" s="32">
        <f t="shared" si="36"/>
        <v>0.5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 t="s">
        <v>2222</v>
      </c>
      <c r="AM355" s="70" t="s">
        <v>2222</v>
      </c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14</v>
      </c>
      <c r="P356" s="136" t="s">
        <v>1910</v>
      </c>
      <c r="Q356" s="31">
        <f t="shared" si="35"/>
        <v>14</v>
      </c>
      <c r="R356" s="32">
        <f t="shared" si="36"/>
        <v>0.5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 t="s">
        <v>2222</v>
      </c>
      <c r="AM356" s="70" t="s">
        <v>2222</v>
      </c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14</v>
      </c>
      <c r="P359" s="136" t="s">
        <v>1899</v>
      </c>
      <c r="Q359" s="31">
        <f t="shared" si="35"/>
        <v>14</v>
      </c>
      <c r="R359" s="32">
        <f t="shared" si="36"/>
        <v>0.5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 t="s">
        <v>2222</v>
      </c>
      <c r="AM359" s="70" t="s">
        <v>2222</v>
      </c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14</v>
      </c>
      <c r="P360" s="136" t="s">
        <v>1900</v>
      </c>
      <c r="Q360" s="31">
        <f t="shared" si="35"/>
        <v>14</v>
      </c>
      <c r="R360" s="32">
        <f t="shared" si="36"/>
        <v>0.5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 t="s">
        <v>2222</v>
      </c>
      <c r="AM360" s="70" t="s">
        <v>2222</v>
      </c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14</v>
      </c>
      <c r="P374" s="136" t="s">
        <v>1923</v>
      </c>
      <c r="Q374" s="31">
        <f t="shared" si="35"/>
        <v>14</v>
      </c>
      <c r="R374" s="32">
        <f t="shared" si="36"/>
        <v>0.5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 t="s">
        <v>2222</v>
      </c>
      <c r="AM374" s="70" t="s">
        <v>2222</v>
      </c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14</v>
      </c>
      <c r="P392" s="140" t="s">
        <v>1942</v>
      </c>
      <c r="Q392" s="139">
        <f t="shared" si="35"/>
        <v>14</v>
      </c>
      <c r="R392" s="141">
        <f t="shared" si="36"/>
        <v>0.5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 t="s">
        <v>2222</v>
      </c>
      <c r="AM392" s="70" t="s">
        <v>2222</v>
      </c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14</v>
      </c>
      <c r="P393" s="140" t="s">
        <v>1943</v>
      </c>
      <c r="Q393" s="139">
        <f t="shared" ref="Q393:Q456" si="38">COUNTIF(S393:AT393,"APAGADO")</f>
        <v>14</v>
      </c>
      <c r="R393" s="141">
        <f t="shared" ref="R393:R456" si="39">(O393)/(Q393+O393)</f>
        <v>0.5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 t="s">
        <v>2222</v>
      </c>
      <c r="AM393" s="70" t="s">
        <v>2222</v>
      </c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14</v>
      </c>
      <c r="P400" s="136"/>
      <c r="Q400" s="31">
        <f t="shared" si="38"/>
        <v>14</v>
      </c>
      <c r="R400" s="32">
        <f t="shared" si="39"/>
        <v>0.5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 t="s">
        <v>2222</v>
      </c>
      <c r="AM400" s="70" t="s">
        <v>2222</v>
      </c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15</v>
      </c>
      <c r="P401" s="140" t="s">
        <v>1936</v>
      </c>
      <c r="Q401" s="139">
        <f t="shared" si="38"/>
        <v>13</v>
      </c>
      <c r="R401" s="141">
        <f t="shared" si="39"/>
        <v>0.5357142857142857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70" t="s">
        <v>2222</v>
      </c>
      <c r="AL401" s="70" t="s">
        <v>2222</v>
      </c>
      <c r="AM401" s="70" t="s">
        <v>2222</v>
      </c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15</v>
      </c>
      <c r="P402" s="140" t="s">
        <v>1937</v>
      </c>
      <c r="Q402" s="139">
        <f t="shared" si="38"/>
        <v>13</v>
      </c>
      <c r="R402" s="141">
        <f t="shared" si="39"/>
        <v>0.5357142857142857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70" t="s">
        <v>2222</v>
      </c>
      <c r="AL402" s="70" t="s">
        <v>2222</v>
      </c>
      <c r="AM402" s="70" t="s">
        <v>2222</v>
      </c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14</v>
      </c>
      <c r="P407" s="140"/>
      <c r="Q407" s="139">
        <f t="shared" si="38"/>
        <v>14</v>
      </c>
      <c r="R407" s="141">
        <f t="shared" si="39"/>
        <v>0.5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 t="s">
        <v>2222</v>
      </c>
      <c r="AM407" s="70" t="s">
        <v>2222</v>
      </c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 t="s">
        <v>2222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14</v>
      </c>
      <c r="P413" s="136" t="s">
        <v>1950</v>
      </c>
      <c r="Q413" s="31">
        <f t="shared" si="38"/>
        <v>14</v>
      </c>
      <c r="R413" s="32">
        <f t="shared" si="39"/>
        <v>0.5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 t="s">
        <v>2222</v>
      </c>
      <c r="AM413" s="70" t="s">
        <v>2222</v>
      </c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14</v>
      </c>
      <c r="P414" s="136" t="s">
        <v>1951</v>
      </c>
      <c r="Q414" s="31">
        <f t="shared" si="38"/>
        <v>14</v>
      </c>
      <c r="R414" s="32">
        <f t="shared" si="39"/>
        <v>0.5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 t="s">
        <v>2222</v>
      </c>
      <c r="AM414" s="70" t="s">
        <v>2222</v>
      </c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26</v>
      </c>
      <c r="P420" s="136" t="s">
        <v>2103</v>
      </c>
      <c r="Q420" s="131">
        <f t="shared" si="38"/>
        <v>2</v>
      </c>
      <c r="R420" s="132">
        <f t="shared" si="39"/>
        <v>0.9285714285714286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2222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14</v>
      </c>
      <c r="P425" s="136"/>
      <c r="Q425" s="31">
        <f t="shared" si="38"/>
        <v>14</v>
      </c>
      <c r="R425" s="32">
        <f t="shared" si="39"/>
        <v>0.5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0" t="s">
        <v>2222</v>
      </c>
      <c r="AM425" s="70" t="s">
        <v>2222</v>
      </c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17</v>
      </c>
      <c r="P428" s="136" t="s">
        <v>1960</v>
      </c>
      <c r="Q428" s="131">
        <f t="shared" si="38"/>
        <v>11</v>
      </c>
      <c r="R428" s="132">
        <f t="shared" si="39"/>
        <v>0.6071428571428571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 t="s">
        <v>2222</v>
      </c>
      <c r="AM428" s="70" t="s">
        <v>2222</v>
      </c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14</v>
      </c>
      <c r="P432" s="136" t="s">
        <v>1957</v>
      </c>
      <c r="Q432" s="131">
        <f t="shared" si="38"/>
        <v>14</v>
      </c>
      <c r="R432" s="132">
        <f t="shared" si="39"/>
        <v>0.5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 t="s">
        <v>2222</v>
      </c>
      <c r="AM432" s="70" t="s">
        <v>2222</v>
      </c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14</v>
      </c>
      <c r="P442" s="136" t="s">
        <v>1972</v>
      </c>
      <c r="Q442" s="131">
        <f t="shared" si="38"/>
        <v>14</v>
      </c>
      <c r="R442" s="132">
        <f t="shared" si="39"/>
        <v>0.5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 t="s">
        <v>2222</v>
      </c>
      <c r="AM442" s="70" t="s">
        <v>2222</v>
      </c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14</v>
      </c>
      <c r="P444" s="140"/>
      <c r="Q444" s="139">
        <f t="shared" si="38"/>
        <v>14</v>
      </c>
      <c r="R444" s="141">
        <f t="shared" si="39"/>
        <v>0.5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 t="s">
        <v>2222</v>
      </c>
      <c r="AM444" s="70" t="s">
        <v>2222</v>
      </c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 t="s">
        <v>2222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 t="s">
        <v>2222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 t="s">
        <v>2222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 t="s">
        <v>2222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 t="s">
        <v>2222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 t="s">
        <v>2222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14</v>
      </c>
      <c r="P456" s="140"/>
      <c r="Q456" s="139">
        <f t="shared" si="38"/>
        <v>14</v>
      </c>
      <c r="R456" s="141">
        <f t="shared" si="39"/>
        <v>0.5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 t="s">
        <v>2222</v>
      </c>
      <c r="AM456" s="70" t="s">
        <v>2222</v>
      </c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 t="s">
        <v>2222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 t="s">
        <v>2222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24</v>
      </c>
      <c r="P468" s="136" t="s">
        <v>2426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 t="s">
        <v>2222</v>
      </c>
      <c r="AM468" s="70" t="s">
        <v>2222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14</v>
      </c>
      <c r="P469" s="136" t="s">
        <v>1985</v>
      </c>
      <c r="Q469" s="131">
        <f t="shared" si="41"/>
        <v>14</v>
      </c>
      <c r="R469" s="132">
        <f t="shared" si="42"/>
        <v>0.5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 t="s">
        <v>2222</v>
      </c>
      <c r="AM469" s="70" t="s">
        <v>2222</v>
      </c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14</v>
      </c>
      <c r="P470" s="136" t="s">
        <v>1986</v>
      </c>
      <c r="Q470" s="131">
        <f t="shared" si="41"/>
        <v>14</v>
      </c>
      <c r="R470" s="132">
        <f t="shared" si="42"/>
        <v>0.5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 t="s">
        <v>2222</v>
      </c>
      <c r="AM470" s="70" t="s">
        <v>2222</v>
      </c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14</v>
      </c>
      <c r="P471" s="136"/>
      <c r="Q471" s="131">
        <f t="shared" si="41"/>
        <v>14</v>
      </c>
      <c r="R471" s="132">
        <f t="shared" si="42"/>
        <v>0.5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 t="s">
        <v>2222</v>
      </c>
      <c r="AM471" s="70" t="s">
        <v>2222</v>
      </c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14</v>
      </c>
      <c r="P473" s="136"/>
      <c r="Q473" s="131">
        <f t="shared" si="41"/>
        <v>14</v>
      </c>
      <c r="R473" s="132">
        <f t="shared" si="42"/>
        <v>0.5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 t="s">
        <v>2222</v>
      </c>
      <c r="AM473" s="70" t="s">
        <v>2222</v>
      </c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2118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70" t="s">
        <v>2222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19</v>
      </c>
      <c r="P493" s="136" t="s">
        <v>2255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70" t="s">
        <v>2222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16</v>
      </c>
      <c r="P509" s="136" t="s">
        <v>2024</v>
      </c>
      <c r="Q509" s="31">
        <f t="shared" si="41"/>
        <v>12</v>
      </c>
      <c r="R509" s="32">
        <f t="shared" si="42"/>
        <v>0.5714285714285714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 t="s">
        <v>2222</v>
      </c>
      <c r="AM509" s="70" t="s">
        <v>2222</v>
      </c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 t="s">
        <v>2222</v>
      </c>
      <c r="AM512" s="70" t="s">
        <v>2222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16</v>
      </c>
      <c r="P516" s="136" t="s">
        <v>2034</v>
      </c>
      <c r="Q516" s="31">
        <f t="shared" si="41"/>
        <v>12</v>
      </c>
      <c r="R516" s="32">
        <f t="shared" si="42"/>
        <v>0.5714285714285714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 t="s">
        <v>2222</v>
      </c>
      <c r="AM516" s="70" t="s">
        <v>2222</v>
      </c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16</v>
      </c>
      <c r="P517" s="136" t="s">
        <v>2035</v>
      </c>
      <c r="Q517" s="31">
        <f t="shared" si="41"/>
        <v>12</v>
      </c>
      <c r="R517" s="32">
        <f t="shared" si="42"/>
        <v>0.5714285714285714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 t="s">
        <v>2222</v>
      </c>
      <c r="AM517" s="70" t="s">
        <v>2222</v>
      </c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16</v>
      </c>
      <c r="P519" s="136" t="s">
        <v>2037</v>
      </c>
      <c r="Q519" s="131">
        <f t="shared" si="41"/>
        <v>12</v>
      </c>
      <c r="R519" s="132">
        <f t="shared" si="42"/>
        <v>0.5714285714285714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 t="s">
        <v>2222</v>
      </c>
      <c r="AM519" s="70" t="s">
        <v>2222</v>
      </c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 t="s">
        <v>2222</v>
      </c>
      <c r="AM521" s="70" t="s">
        <v>2222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 t="s">
        <v>2222</v>
      </c>
      <c r="AM522" s="70" t="s">
        <v>2222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 t="s">
        <v>2222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16</v>
      </c>
      <c r="P530" s="136" t="s">
        <v>2021</v>
      </c>
      <c r="Q530" s="31">
        <f t="shared" si="44"/>
        <v>12</v>
      </c>
      <c r="R530" s="32">
        <f t="shared" si="45"/>
        <v>0.5714285714285714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 t="s">
        <v>2222</v>
      </c>
      <c r="AM530" s="70" t="s">
        <v>2222</v>
      </c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28</v>
      </c>
      <c r="P531" s="136" t="s">
        <v>2022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2222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14</v>
      </c>
      <c r="P542" s="136"/>
      <c r="Q542" s="31">
        <f t="shared" si="44"/>
        <v>14</v>
      </c>
      <c r="R542" s="32">
        <f t="shared" si="45"/>
        <v>0.5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 t="s">
        <v>2222</v>
      </c>
      <c r="AM542" s="70" t="s">
        <v>2222</v>
      </c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14</v>
      </c>
      <c r="P551" s="136" t="s">
        <v>2049</v>
      </c>
      <c r="Q551" s="131">
        <f t="shared" si="44"/>
        <v>14</v>
      </c>
      <c r="R551" s="132">
        <f t="shared" si="45"/>
        <v>0.5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 t="s">
        <v>2222</v>
      </c>
      <c r="AM551" s="70" t="s">
        <v>2222</v>
      </c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14</v>
      </c>
      <c r="P553" s="136" t="s">
        <v>2051</v>
      </c>
      <c r="Q553" s="31">
        <f t="shared" si="44"/>
        <v>14</v>
      </c>
      <c r="R553" s="32">
        <f t="shared" si="45"/>
        <v>0.5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 t="s">
        <v>2222</v>
      </c>
      <c r="AM553" s="70" t="s">
        <v>2222</v>
      </c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14</v>
      </c>
      <c r="P555" s="136" t="s">
        <v>2149</v>
      </c>
      <c r="Q555" s="31">
        <f t="shared" si="44"/>
        <v>14</v>
      </c>
      <c r="R555" s="32">
        <f t="shared" si="45"/>
        <v>0.5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 t="s">
        <v>2222</v>
      </c>
      <c r="AM555" s="70" t="s">
        <v>2222</v>
      </c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25</v>
      </c>
      <c r="P557" s="136" t="s">
        <v>2096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 t="s">
        <v>2222</v>
      </c>
      <c r="AM557" s="70" t="s">
        <v>2222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14</v>
      </c>
      <c r="P563" s="136"/>
      <c r="Q563" s="131">
        <f t="shared" si="44"/>
        <v>14</v>
      </c>
      <c r="R563" s="132">
        <f t="shared" si="45"/>
        <v>0.5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 t="s">
        <v>2222</v>
      </c>
      <c r="AM563" s="70" t="s">
        <v>2222</v>
      </c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s="73"/>
      <c r="G565" s="73" t="s">
        <v>2476</v>
      </c>
      <c r="H565" s="73" t="s">
        <v>1042</v>
      </c>
      <c r="I565" s="73" t="s">
        <v>2477</v>
      </c>
      <c r="J565" s="84" t="s">
        <v>14</v>
      </c>
      <c r="K565" s="84" t="s">
        <v>1278</v>
      </c>
      <c r="L565" s="84"/>
      <c r="M565" s="84" t="s">
        <v>2478</v>
      </c>
      <c r="N565" s="84"/>
      <c r="O565" s="131"/>
      <c r="P565" s="136" t="s">
        <v>2479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 t="s">
        <v>2469</v>
      </c>
      <c r="B566" t="s">
        <v>73</v>
      </c>
      <c r="C566" t="s">
        <v>2470</v>
      </c>
      <c r="D566" t="s">
        <v>610</v>
      </c>
      <c r="E566" s="159" t="s">
        <v>2471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14</v>
      </c>
      <c r="P566" s="136" t="s">
        <v>2135</v>
      </c>
      <c r="Q566" s="31">
        <f t="shared" si="44"/>
        <v>14</v>
      </c>
      <c r="R566" s="32">
        <f t="shared" si="45"/>
        <v>0.5</v>
      </c>
      <c r="S566" s="70"/>
      <c r="T566" s="70"/>
      <c r="U566" s="70"/>
      <c r="V566" s="70" t="s">
        <v>2222</v>
      </c>
      <c r="W566" s="70" t="s">
        <v>2222</v>
      </c>
      <c r="X566" s="70" t="s">
        <v>2222</v>
      </c>
      <c r="Y566" s="70" t="s">
        <v>2222</v>
      </c>
      <c r="Z566" s="70" t="s">
        <v>2222</v>
      </c>
      <c r="AA566" s="70"/>
      <c r="AB566" s="70"/>
      <c r="AC566" s="70" t="s">
        <v>2222</v>
      </c>
      <c r="AD566" s="70" t="s">
        <v>2222</v>
      </c>
      <c r="AE566" s="70" t="s">
        <v>2222</v>
      </c>
      <c r="AF566" s="70" t="s">
        <v>2222</v>
      </c>
      <c r="AG566" s="70" t="s">
        <v>2222</v>
      </c>
      <c r="AH566" s="70"/>
      <c r="AI566" s="70"/>
      <c r="AJ566" s="70" t="s">
        <v>2222</v>
      </c>
      <c r="AK566" s="70" t="s">
        <v>2222</v>
      </c>
      <c r="AL566" s="70" t="s">
        <v>2222</v>
      </c>
      <c r="AM566" s="70" t="s">
        <v>2222</v>
      </c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ht="15.75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2472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2368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thickBot="1" x14ac:dyDescent="0.3">
      <c r="A568" t="s">
        <v>126</v>
      </c>
      <c r="B568" t="s">
        <v>127</v>
      </c>
      <c r="C568" t="s">
        <v>2470</v>
      </c>
      <c r="D568" t="s">
        <v>643</v>
      </c>
      <c r="E568" t="s">
        <v>2472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15</v>
      </c>
      <c r="P568" s="136" t="s">
        <v>2136</v>
      </c>
      <c r="Q568" s="31">
        <f t="shared" si="44"/>
        <v>13</v>
      </c>
      <c r="R568" s="32">
        <f t="shared" si="45"/>
        <v>0.5357142857142857</v>
      </c>
      <c r="S568" s="70"/>
      <c r="T568" s="70"/>
      <c r="U568" s="70"/>
      <c r="V568" s="70" t="s">
        <v>2222</v>
      </c>
      <c r="W568" s="70" t="s">
        <v>2222</v>
      </c>
      <c r="X568" s="70" t="s">
        <v>2222</v>
      </c>
      <c r="Y568" s="70" t="s">
        <v>2222</v>
      </c>
      <c r="Z568" s="70" t="s">
        <v>2222</v>
      </c>
      <c r="AA568" s="70"/>
      <c r="AB568" s="70"/>
      <c r="AC568" s="70" t="s">
        <v>2222</v>
      </c>
      <c r="AD568" s="70" t="s">
        <v>2222</v>
      </c>
      <c r="AE568" s="70" t="s">
        <v>2222</v>
      </c>
      <c r="AF568" s="70" t="s">
        <v>2222</v>
      </c>
      <c r="AG568" s="70" t="s">
        <v>2222</v>
      </c>
      <c r="AH568" s="70"/>
      <c r="AI568" s="70"/>
      <c r="AJ568" s="70"/>
      <c r="AK568" s="70" t="s">
        <v>2222</v>
      </c>
      <c r="AL568" s="70" t="s">
        <v>2222</v>
      </c>
      <c r="AM568" s="70" t="s">
        <v>2222</v>
      </c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s="73" customFormat="1" ht="15.75" thickBot="1" x14ac:dyDescent="0.3">
      <c r="A569" t="s">
        <v>137</v>
      </c>
      <c r="B569" t="s">
        <v>138</v>
      </c>
      <c r="C569" t="s">
        <v>2470</v>
      </c>
      <c r="D569" t="s">
        <v>1432</v>
      </c>
      <c r="E569" s="126" t="s">
        <v>2473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2368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2472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 t="s">
        <v>153</v>
      </c>
      <c r="B571" t="s">
        <v>154</v>
      </c>
      <c r="C571" t="s">
        <v>2470</v>
      </c>
      <c r="D571" t="s">
        <v>667</v>
      </c>
      <c r="E571" s="160" t="s">
        <v>2474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2137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2472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2197</v>
      </c>
      <c r="B573" t="s">
        <v>2198</v>
      </c>
      <c r="C573" t="s">
        <v>2470</v>
      </c>
      <c r="D573" t="s">
        <v>2199</v>
      </c>
      <c r="E573" s="160" t="s">
        <v>2474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2472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60" t="s">
        <v>2474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14</v>
      </c>
      <c r="P575" s="136" t="s">
        <v>2063</v>
      </c>
      <c r="Q575" s="31">
        <f t="shared" si="44"/>
        <v>14</v>
      </c>
      <c r="R575" s="32">
        <f t="shared" si="45"/>
        <v>0.5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 t="s">
        <v>2222</v>
      </c>
      <c r="AL575" s="70" t="s">
        <v>2222</v>
      </c>
      <c r="AM575" s="70" t="s">
        <v>2222</v>
      </c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270</v>
      </c>
      <c r="B576" t="s">
        <v>271</v>
      </c>
      <c r="C576" t="s">
        <v>2470</v>
      </c>
      <c r="D576" t="s">
        <v>711</v>
      </c>
      <c r="E576" s="160" t="s">
        <v>2474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27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 t="s">
        <v>1293</v>
      </c>
      <c r="B577" t="s">
        <v>1296</v>
      </c>
      <c r="C577" t="s">
        <v>2470</v>
      </c>
      <c r="D577" t="s">
        <v>1308</v>
      </c>
      <c r="E577" s="160" t="s">
        <v>2474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27</v>
      </c>
      <c r="L577" s="30"/>
      <c r="M577" s="30" t="s">
        <v>873</v>
      </c>
      <c r="N577" s="30"/>
      <c r="O577" s="31">
        <f t="shared" si="43"/>
        <v>17</v>
      </c>
      <c r="P577" s="136" t="s">
        <v>2066</v>
      </c>
      <c r="Q577" s="31">
        <f t="shared" si="44"/>
        <v>11</v>
      </c>
      <c r="R577" s="32">
        <f t="shared" si="45"/>
        <v>0.6071428571428571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2472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27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2472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27</v>
      </c>
      <c r="L579" s="30"/>
      <c r="M579" s="30" t="s">
        <v>874</v>
      </c>
      <c r="N579" s="30"/>
      <c r="O579" s="31">
        <f t="shared" si="43"/>
        <v>17</v>
      </c>
      <c r="P579" s="136" t="s">
        <v>2067</v>
      </c>
      <c r="Q579" s="31">
        <f t="shared" si="44"/>
        <v>11</v>
      </c>
      <c r="R579" s="32">
        <f t="shared" si="45"/>
        <v>0.6071428571428571</v>
      </c>
      <c r="S579" s="70"/>
      <c r="T579" s="70"/>
      <c r="U579" s="70"/>
      <c r="V579" s="70" t="s">
        <v>2222</v>
      </c>
      <c r="W579" s="70" t="s">
        <v>2222</v>
      </c>
      <c r="X579" s="70" t="s">
        <v>2222</v>
      </c>
      <c r="Y579" s="70" t="s">
        <v>2222</v>
      </c>
      <c r="Z579" s="70" t="s">
        <v>2222</v>
      </c>
      <c r="AA579" s="70"/>
      <c r="AB579" s="70"/>
      <c r="AC579" s="70" t="s">
        <v>2222</v>
      </c>
      <c r="AD579" s="70" t="s">
        <v>2222</v>
      </c>
      <c r="AE579" s="70" t="s">
        <v>2222</v>
      </c>
      <c r="AF579" s="70" t="s">
        <v>2222</v>
      </c>
      <c r="AG579" s="70" t="s">
        <v>2222</v>
      </c>
      <c r="AH579" s="70"/>
      <c r="AI579" s="70"/>
      <c r="AJ579" s="70" t="s">
        <v>2222</v>
      </c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thickBot="1" x14ac:dyDescent="0.3">
      <c r="A580" t="s">
        <v>312</v>
      </c>
      <c r="B580" t="s">
        <v>313</v>
      </c>
      <c r="C580" t="s">
        <v>2470</v>
      </c>
      <c r="D580" t="s">
        <v>725</v>
      </c>
      <c r="E580" t="s">
        <v>2472</v>
      </c>
      <c r="F580" t="s">
        <v>573</v>
      </c>
      <c r="G580" t="s">
        <v>2465</v>
      </c>
      <c r="H580" t="s">
        <v>1042</v>
      </c>
      <c r="I580" t="s">
        <v>2466</v>
      </c>
      <c r="J580" s="30" t="s">
        <v>14</v>
      </c>
      <c r="K580" s="30" t="s">
        <v>1278</v>
      </c>
      <c r="L580" s="30"/>
      <c r="M580" s="30" t="s">
        <v>2467</v>
      </c>
      <c r="N580" s="155"/>
      <c r="O580" s="153">
        <f t="shared" si="43"/>
        <v>28</v>
      </c>
      <c r="P580" s="154" t="s">
        <v>2468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2472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1312</v>
      </c>
      <c r="B582" t="s">
        <v>1313</v>
      </c>
      <c r="C582" t="s">
        <v>2470</v>
      </c>
      <c r="D582" t="s">
        <v>1323</v>
      </c>
      <c r="E582" s="160" t="s">
        <v>2474</v>
      </c>
      <c r="F582" s="73" t="s">
        <v>578</v>
      </c>
      <c r="G582" s="73" t="s">
        <v>2201</v>
      </c>
      <c r="H582" s="73" t="s">
        <v>1042</v>
      </c>
      <c r="I582" s="73" t="s">
        <v>2202</v>
      </c>
      <c r="J582" s="84" t="s">
        <v>14</v>
      </c>
      <c r="K582" s="84" t="s">
        <v>1278</v>
      </c>
      <c r="L582" s="84"/>
      <c r="M582" s="84" t="s">
        <v>2203</v>
      </c>
      <c r="N582" s="84"/>
      <c r="O582" s="131">
        <f t="shared" si="43"/>
        <v>28</v>
      </c>
      <c r="P582" s="136" t="s">
        <v>2204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60" t="s">
        <v>2474</v>
      </c>
      <c r="F583" s="73" t="s">
        <v>578</v>
      </c>
      <c r="G583" s="73" t="s">
        <v>2214</v>
      </c>
      <c r="H583" s="73" t="s">
        <v>1042</v>
      </c>
      <c r="I583" s="73" t="s">
        <v>2215</v>
      </c>
      <c r="J583" s="84" t="s">
        <v>14</v>
      </c>
      <c r="K583" s="84" t="s">
        <v>1278</v>
      </c>
      <c r="L583" s="84"/>
      <c r="M583" s="84" t="s">
        <v>2298</v>
      </c>
      <c r="N583" s="84"/>
      <c r="O583" s="131">
        <f t="shared" si="43"/>
        <v>28</v>
      </c>
      <c r="P583" s="136" t="s">
        <v>2433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2472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2154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s="69" t="s">
        <v>397</v>
      </c>
      <c r="B585" s="69" t="s">
        <v>398</v>
      </c>
      <c r="C585" s="69" t="s">
        <v>2470</v>
      </c>
      <c r="D585" s="69" t="s">
        <v>774</v>
      </c>
      <c r="E585" s="69" t="s">
        <v>2472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2155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thickBot="1" x14ac:dyDescent="0.3">
      <c r="A586" s="69" t="s">
        <v>399</v>
      </c>
      <c r="B586" s="69" t="s">
        <v>398</v>
      </c>
      <c r="C586" s="69" t="s">
        <v>2470</v>
      </c>
      <c r="D586" s="69" t="s">
        <v>775</v>
      </c>
      <c r="E586" s="69" t="s">
        <v>2472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thickBot="1" x14ac:dyDescent="0.3">
      <c r="A587" s="69" t="s">
        <v>883</v>
      </c>
      <c r="B587" s="69" t="s">
        <v>884</v>
      </c>
      <c r="C587" s="69" t="s">
        <v>2470</v>
      </c>
      <c r="D587" s="69" t="s">
        <v>891</v>
      </c>
      <c r="E587" s="69" t="s">
        <v>2472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885</v>
      </c>
      <c r="B588" s="69" t="s">
        <v>886</v>
      </c>
      <c r="C588" s="69" t="s">
        <v>2470</v>
      </c>
      <c r="D588" s="69" t="s">
        <v>892</v>
      </c>
      <c r="E588" s="69" t="s">
        <v>2472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17</v>
      </c>
      <c r="P588" s="136" t="s">
        <v>2070</v>
      </c>
      <c r="Q588" s="31">
        <f t="shared" si="47"/>
        <v>11</v>
      </c>
      <c r="R588" s="32">
        <f t="shared" si="48"/>
        <v>0.6071428571428571</v>
      </c>
      <c r="S588" s="70"/>
      <c r="T588" s="70"/>
      <c r="U588" s="70"/>
      <c r="V588" s="70"/>
      <c r="W588" s="70"/>
      <c r="X588" s="70"/>
      <c r="Y588" s="70" t="s">
        <v>2222</v>
      </c>
      <c r="Z588" s="70" t="s">
        <v>2222</v>
      </c>
      <c r="AA588" s="70"/>
      <c r="AB588" s="70"/>
      <c r="AC588" s="70" t="s">
        <v>2222</v>
      </c>
      <c r="AD588" s="70" t="s">
        <v>2222</v>
      </c>
      <c r="AE588" s="70" t="s">
        <v>2222</v>
      </c>
      <c r="AF588" s="70" t="s">
        <v>2222</v>
      </c>
      <c r="AG588" s="70" t="s">
        <v>2222</v>
      </c>
      <c r="AH588" s="70"/>
      <c r="AI588" s="70"/>
      <c r="AJ588" s="70" t="s">
        <v>2222</v>
      </c>
      <c r="AK588" s="70" t="s">
        <v>2222</v>
      </c>
      <c r="AL588" s="70" t="s">
        <v>2222</v>
      </c>
      <c r="AM588" s="70" t="s">
        <v>2222</v>
      </c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thickBot="1" x14ac:dyDescent="0.3">
      <c r="A589" t="s">
        <v>2221</v>
      </c>
      <c r="B589" t="s">
        <v>2240</v>
      </c>
      <c r="C589" t="s">
        <v>2475</v>
      </c>
      <c r="D589" t="s">
        <v>2300</v>
      </c>
      <c r="E589" t="s">
        <v>2472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2153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60" t="s">
        <v>2474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9" t="s">
        <v>2471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thickBot="1" x14ac:dyDescent="0.3">
      <c r="A592" t="s">
        <v>1289</v>
      </c>
      <c r="B592" t="s">
        <v>2148</v>
      </c>
      <c r="C592" t="s">
        <v>1278</v>
      </c>
      <c r="D592" t="s">
        <v>2295</v>
      </c>
      <c r="E592" s="160" t="s">
        <v>2474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 s="151" t="s">
        <v>2461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2299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2227</v>
      </c>
      <c r="H595" s="73" t="s">
        <v>1041</v>
      </c>
      <c r="I595" s="73" t="s">
        <v>2228</v>
      </c>
      <c r="J595" s="84" t="s">
        <v>14</v>
      </c>
      <c r="K595" s="84" t="s">
        <v>1278</v>
      </c>
      <c r="L595" s="84"/>
      <c r="M595" s="84" t="s">
        <v>2229</v>
      </c>
      <c r="N595" s="84"/>
      <c r="O595" s="131">
        <f t="shared" si="46"/>
        <v>28</v>
      </c>
      <c r="P595" s="136" t="s">
        <v>2230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1" t="s">
        <v>2461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customHeight="1" x14ac:dyDescent="0.25">
      <c r="A599">
        <v>6</v>
      </c>
      <c r="B599">
        <v>12</v>
      </c>
      <c r="C599"/>
      <c r="D599"/>
      <c r="E599" t="s">
        <v>2335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x14ac:dyDescent="0.25">
      <c r="A600">
        <v>6</v>
      </c>
      <c r="B600">
        <v>12</v>
      </c>
      <c r="C600"/>
      <c r="D600"/>
      <c r="E600" t="s">
        <v>2335</v>
      </c>
      <c r="P600" s="136"/>
    </row>
    <row r="601" spans="1:49" x14ac:dyDescent="0.25">
      <c r="A601">
        <v>6</v>
      </c>
      <c r="B601">
        <v>12</v>
      </c>
      <c r="C601"/>
      <c r="D601"/>
      <c r="E601" t="s">
        <v>2335</v>
      </c>
      <c r="P601" s="136"/>
    </row>
    <row r="602" spans="1:49" x14ac:dyDescent="0.25">
      <c r="A602">
        <v>6</v>
      </c>
      <c r="B602">
        <v>12</v>
      </c>
      <c r="C602"/>
      <c r="D602"/>
      <c r="E602" t="s">
        <v>2335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2335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2335</v>
      </c>
      <c r="P604" s="136"/>
      <c r="S604"/>
    </row>
    <row r="605" spans="1:49" x14ac:dyDescent="0.25">
      <c r="A605">
        <v>6</v>
      </c>
      <c r="B605">
        <v>12</v>
      </c>
      <c r="C605"/>
      <c r="D605"/>
      <c r="E605" t="s">
        <v>2335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2335</v>
      </c>
      <c r="P606" s="136"/>
    </row>
    <row r="607" spans="1:49" x14ac:dyDescent="0.25">
      <c r="A607"/>
      <c r="B607"/>
      <c r="E607" s="151" t="s">
        <v>2464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2333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2333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2333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598" xr:uid="{00000000-0001-0000-0000-000000000000}"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266" priority="3006" operator="equal">
      <formula>$H$281</formula>
    </cfRule>
  </conditionalFormatting>
  <conditionalFormatting sqref="H1:H599">
    <cfRule type="cellIs" dxfId="265" priority="339" operator="equal">
      <formula>"IPCOMS"</formula>
    </cfRule>
  </conditionalFormatting>
  <conditionalFormatting sqref="H280:H599">
    <cfRule type="cellIs" dxfId="264" priority="342" operator="equal">
      <formula>$H$300</formula>
    </cfRule>
  </conditionalFormatting>
  <conditionalFormatting sqref="H580:H599">
    <cfRule type="cellIs" dxfId="263" priority="343" operator="equal">
      <formula>$H$281</formula>
    </cfRule>
  </conditionalFormatting>
  <conditionalFormatting sqref="I20:I21 I164:I165 I224:I225 I260 I284:I287 I297:I299 I403:I407 I419:I421 I424:I425 H681:H1048576">
    <cfRule type="cellIs" dxfId="262" priority="2551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261" priority="3005" operator="equal">
      <formula>$H$300</formula>
    </cfRule>
  </conditionalFormatting>
  <conditionalFormatting sqref="J1:J569 J585:J599 J681:J1048576">
    <cfRule type="containsText" dxfId="260" priority="3011" operator="containsText" text="fija">
      <formula>NOT(ISERROR(SEARCH("fija",J1)))</formula>
    </cfRule>
    <cfRule type="containsText" dxfId="259" priority="3012" operator="containsText" text="domo">
      <formula>NOT(ISERROR(SEARCH("domo",J1)))</formula>
    </cfRule>
  </conditionalFormatting>
  <conditionalFormatting sqref="J34:J35 J162:N232 J236:N401">
    <cfRule type="containsText" dxfId="258" priority="2479" operator="containsText" text="Radio">
      <formula>NOT(ISERROR(SEARCH("Radio",J34)))</formula>
    </cfRule>
  </conditionalFormatting>
  <conditionalFormatting sqref="J135:J148 L148:N148">
    <cfRule type="containsText" dxfId="257" priority="2493" operator="containsText" text="Radio">
      <formula>NOT(ISERROR(SEARCH("Radio",J135)))</formula>
    </cfRule>
  </conditionalFormatting>
  <conditionalFormatting sqref="J403:J407">
    <cfRule type="containsText" dxfId="256" priority="2512" operator="containsText" text="Radio">
      <formula>NOT(ISERROR(SEARCH("Radio",J403)))</formula>
    </cfRule>
  </conditionalFormatting>
  <conditionalFormatting sqref="J571">
    <cfRule type="containsText" dxfId="255" priority="2952" operator="containsText" text="fija">
      <formula>NOT(ISERROR(SEARCH("fija",J571)))</formula>
    </cfRule>
    <cfRule type="containsText" dxfId="254" priority="2953" operator="containsText" text="domo">
      <formula>NOT(ISERROR(SEARCH("domo",J571)))</formula>
    </cfRule>
    <cfRule type="containsText" dxfId="253" priority="2954" operator="containsText" text="Radio">
      <formula>NOT(ISERROR(SEARCH("Radio",J571)))</formula>
    </cfRule>
  </conditionalFormatting>
  <conditionalFormatting sqref="J571:J572">
    <cfRule type="containsText" dxfId="252" priority="2947" operator="containsText" text="fija">
      <formula>NOT(ISERROR(SEARCH("fija",J571)))</formula>
    </cfRule>
    <cfRule type="containsText" dxfId="251" priority="2948" operator="containsText" text="domo">
      <formula>NOT(ISERROR(SEARCH("domo",J571)))</formula>
    </cfRule>
  </conditionalFormatting>
  <conditionalFormatting sqref="J572">
    <cfRule type="containsText" dxfId="250" priority="2945" operator="containsText" text="fija">
      <formula>NOT(ISERROR(SEARCH("fija",J572)))</formula>
    </cfRule>
    <cfRule type="containsText" dxfId="249" priority="2946" operator="containsText" text="domo">
      <formula>NOT(ISERROR(SEARCH("domo",J572)))</formula>
    </cfRule>
    <cfRule type="containsText" dxfId="248" priority="2949" operator="containsText" text="Radio">
      <formula>NOT(ISERROR(SEARCH("Radio",J572)))</formula>
    </cfRule>
  </conditionalFormatting>
  <conditionalFormatting sqref="J575">
    <cfRule type="containsText" dxfId="247" priority="2942" operator="containsText" text="fija">
      <formula>NOT(ISERROR(SEARCH("fija",J575)))</formula>
    </cfRule>
    <cfRule type="containsText" dxfId="246" priority="2943" operator="containsText" text="domo">
      <formula>NOT(ISERROR(SEARCH("domo",J575)))</formula>
    </cfRule>
    <cfRule type="containsText" dxfId="245" priority="2944" operator="containsText" text="Radio">
      <formula>NOT(ISERROR(SEARCH("Radio",J575)))</formula>
    </cfRule>
  </conditionalFormatting>
  <conditionalFormatting sqref="J575:J576">
    <cfRule type="containsText" dxfId="244" priority="2937" operator="containsText" text="fija">
      <formula>NOT(ISERROR(SEARCH("fija",J575)))</formula>
    </cfRule>
    <cfRule type="containsText" dxfId="243" priority="2938" operator="containsText" text="domo">
      <formula>NOT(ISERROR(SEARCH("domo",J575)))</formula>
    </cfRule>
  </conditionalFormatting>
  <conditionalFormatting sqref="J576 J48:N134 K135:K136 J234:K235 J402:K402 K403:K407 J408:N423 J424:K425 J426:N569 J681:N1048576 J585:N599 M402:N402 L402:L407">
    <cfRule type="containsText" dxfId="242" priority="2939" operator="containsText" text="Radio">
      <formula>NOT(ISERROR(SEARCH("Radio",J48)))</formula>
    </cfRule>
  </conditionalFormatting>
  <conditionalFormatting sqref="J576:J577">
    <cfRule type="containsText" dxfId="241" priority="2932" operator="containsText" text="fija">
      <formula>NOT(ISERROR(SEARCH("fija",J576)))</formula>
    </cfRule>
    <cfRule type="containsText" dxfId="240" priority="2933" operator="containsText" text="domo">
      <formula>NOT(ISERROR(SEARCH("domo",J576)))</formula>
    </cfRule>
  </conditionalFormatting>
  <conditionalFormatting sqref="J577">
    <cfRule type="containsText" dxfId="239" priority="2934" operator="containsText" text="Radio">
      <formula>NOT(ISERROR(SEARCH("Radio",J577)))</formula>
    </cfRule>
  </conditionalFormatting>
  <conditionalFormatting sqref="J577:J578">
    <cfRule type="containsText" dxfId="238" priority="2927" operator="containsText" text="fija">
      <formula>NOT(ISERROR(SEARCH("fija",J577)))</formula>
    </cfRule>
    <cfRule type="containsText" dxfId="237" priority="2928" operator="containsText" text="domo">
      <formula>NOT(ISERROR(SEARCH("domo",J577)))</formula>
    </cfRule>
  </conditionalFormatting>
  <conditionalFormatting sqref="J578">
    <cfRule type="containsText" dxfId="236" priority="2925" operator="containsText" text="fija">
      <formula>NOT(ISERROR(SEARCH("fija",J578)))</formula>
    </cfRule>
    <cfRule type="containsText" dxfId="235" priority="2926" operator="containsText" text="domo">
      <formula>NOT(ISERROR(SEARCH("domo",J578)))</formula>
    </cfRule>
    <cfRule type="containsText" dxfId="234" priority="2929" operator="containsText" text="Radio">
      <formula>NOT(ISERROR(SEARCH("Radio",J578)))</formula>
    </cfRule>
  </conditionalFormatting>
  <conditionalFormatting sqref="J580">
    <cfRule type="cellIs" dxfId="233" priority="344" operator="equal">
      <formula>$J$10</formula>
    </cfRule>
  </conditionalFormatting>
  <conditionalFormatting sqref="J581:J599 J1:J579 J681:J1048576">
    <cfRule type="cellIs" dxfId="232" priority="3007" operator="equal">
      <formula>$J$10</formula>
    </cfRule>
  </conditionalFormatting>
  <conditionalFormatting sqref="J583">
    <cfRule type="containsText" dxfId="231" priority="3223" operator="containsText" text="fija">
      <formula>NOT(ISERROR(SEARCH("fija",J583)))</formula>
    </cfRule>
    <cfRule type="containsText" dxfId="230" priority="3224" operator="containsText" text="domo">
      <formula>NOT(ISERROR(SEARCH("domo",J583)))</formula>
    </cfRule>
  </conditionalFormatting>
  <conditionalFormatting sqref="J586:J589">
    <cfRule type="containsText" dxfId="229" priority="2955" operator="containsText" text="fija">
      <formula>NOT(ISERROR(SEARCH("fija",J586)))</formula>
    </cfRule>
    <cfRule type="containsText" dxfId="228" priority="2956" operator="containsText" text="domo">
      <formula>NOT(ISERROR(SEARCH("domo",J586)))</formula>
    </cfRule>
  </conditionalFormatting>
  <conditionalFormatting sqref="J233:K233">
    <cfRule type="containsText" dxfId="227" priority="2514" operator="containsText" text="Radio">
      <formula>NOT(ISERROR(SEARCH("Radio",J233)))</formula>
    </cfRule>
  </conditionalFormatting>
  <conditionalFormatting sqref="J37:L47">
    <cfRule type="containsText" dxfId="226" priority="2484" operator="containsText" text="Radio">
      <formula>NOT(ISERROR(SEARCH("Radio",J37)))</formula>
    </cfRule>
  </conditionalFormatting>
  <conditionalFormatting sqref="J1:N36">
    <cfRule type="containsText" dxfId="225" priority="2549" operator="containsText" text="Radio">
      <formula>NOT(ISERROR(SEARCH("Radio",J1)))</formula>
    </cfRule>
  </conditionalFormatting>
  <conditionalFormatting sqref="J149:N161">
    <cfRule type="containsText" dxfId="224" priority="2487" operator="containsText" text="Radio">
      <formula>NOT(ISERROR(SEARCH("Radio",J149)))</formula>
    </cfRule>
  </conditionalFormatting>
  <conditionalFormatting sqref="J583:N583 K584">
    <cfRule type="containsText" dxfId="223" priority="3480" operator="containsText" text="Radio">
      <formula>NOT(ISERROR(SEARCH("Radio",J583)))</formula>
    </cfRule>
  </conditionalFormatting>
  <conditionalFormatting sqref="K1:K136 K162:K579 K681:K1048576">
    <cfRule type="cellIs" dxfId="222" priority="2552" operator="equal">
      <formula>"GPON"</formula>
    </cfRule>
    <cfRule type="cellIs" dxfId="221" priority="2553" operator="equal">
      <formula>"GPON"</formula>
    </cfRule>
  </conditionalFormatting>
  <conditionalFormatting sqref="K139">
    <cfRule type="cellIs" dxfId="220" priority="2540" operator="equal">
      <formula>"GPON"</formula>
    </cfRule>
    <cfRule type="cellIs" dxfId="219" priority="2541" operator="equal">
      <formula>"GPON"</formula>
    </cfRule>
    <cfRule type="containsText" dxfId="218" priority="2542" operator="containsText" text="Radio">
      <formula>NOT(ISERROR(SEARCH("Radio",K139)))</formula>
    </cfRule>
    <cfRule type="cellIs" dxfId="217" priority="2543" operator="equal">
      <formula>$K$13</formula>
    </cfRule>
    <cfRule type="cellIs" dxfId="216" priority="2544" operator="equal">
      <formula>"PTP A FO"</formula>
    </cfRule>
    <cfRule type="cellIs" dxfId="215" priority="2545" operator="equal">
      <formula>"PTP A FO"</formula>
    </cfRule>
  </conditionalFormatting>
  <conditionalFormatting sqref="K142:K149">
    <cfRule type="containsText" dxfId="214" priority="2517" operator="containsText" text="Radio">
      <formula>NOT(ISERROR(SEARCH("Radio",K142)))</formula>
    </cfRule>
    <cfRule type="cellIs" dxfId="213" priority="2518" operator="equal">
      <formula>$K$13</formula>
    </cfRule>
    <cfRule type="cellIs" dxfId="212" priority="2519" operator="equal">
      <formula>"PTP A FO"</formula>
    </cfRule>
    <cfRule type="cellIs" dxfId="211" priority="2520" operator="equal">
      <formula>"PTP A FO"</formula>
    </cfRule>
  </conditionalFormatting>
  <conditionalFormatting sqref="K142:K161">
    <cfRule type="cellIs" dxfId="210" priority="2485" operator="equal">
      <formula>"GPON"</formula>
    </cfRule>
    <cfRule type="cellIs" dxfId="209" priority="2486" operator="equal">
      <formula>"GPON"</formula>
    </cfRule>
  </conditionalFormatting>
  <conditionalFormatting sqref="K146:K147">
    <cfRule type="containsText" dxfId="208" priority="2480" operator="containsText" text="Radio">
      <formula>NOT(ISERROR(SEARCH("Radio",K146)))</formula>
    </cfRule>
    <cfRule type="cellIs" dxfId="207" priority="2481" operator="equal">
      <formula>$K$13</formula>
    </cfRule>
    <cfRule type="cellIs" dxfId="206" priority="2482" operator="equal">
      <formula>"PTP A FO"</formula>
    </cfRule>
    <cfRule type="cellIs" dxfId="205" priority="2483" operator="equal">
      <formula>"PTP A FO"</formula>
    </cfRule>
  </conditionalFormatting>
  <conditionalFormatting sqref="K233:K235">
    <cfRule type="cellIs" dxfId="204" priority="2531" operator="equal">
      <formula>$K$13</formula>
    </cfRule>
    <cfRule type="cellIs" dxfId="203" priority="2532" operator="equal">
      <formula>"PTP A FO"</formula>
    </cfRule>
    <cfRule type="cellIs" dxfId="202" priority="2533" operator="equal">
      <formula>"PTP A FO"</formula>
    </cfRule>
  </conditionalFormatting>
  <conditionalFormatting sqref="K234:K235">
    <cfRule type="cellIs" dxfId="201" priority="2527" operator="equal">
      <formula>$K$13</formula>
    </cfRule>
    <cfRule type="cellIs" dxfId="200" priority="2528" operator="equal">
      <formula>"PTP A FO"</formula>
    </cfRule>
    <cfRule type="cellIs" dxfId="199" priority="2529" operator="equal">
      <formula>"PTP A FO"</formula>
    </cfRule>
  </conditionalFormatting>
  <conditionalFormatting sqref="K424:K425">
    <cfRule type="containsText" dxfId="198" priority="2536" operator="containsText" text="Radio">
      <formula>NOT(ISERROR(SEARCH("Radio",K424)))</formula>
    </cfRule>
    <cfRule type="cellIs" dxfId="197" priority="2537" operator="equal">
      <formula>$K$13</formula>
    </cfRule>
    <cfRule type="cellIs" dxfId="196" priority="2538" operator="equal">
      <formula>"PTP A FO"</formula>
    </cfRule>
    <cfRule type="cellIs" dxfId="195" priority="2539" operator="equal">
      <formula>"PTP A FO"</formula>
    </cfRule>
  </conditionalFormatting>
  <conditionalFormatting sqref="K570">
    <cfRule type="containsText" dxfId="194" priority="2602" operator="containsText" text="Radio">
      <formula>NOT(ISERROR(SEARCH("Radio",K570)))</formula>
    </cfRule>
    <cfRule type="cellIs" dxfId="193" priority="2603" operator="equal">
      <formula>"PTP A FO"</formula>
    </cfRule>
  </conditionalFormatting>
  <conditionalFormatting sqref="K580:K599">
    <cfRule type="cellIs" dxfId="192" priority="340" operator="equal">
      <formula>"GPON"</formula>
    </cfRule>
    <cfRule type="cellIs" dxfId="191" priority="341" operator="equal">
      <formula>"GPON"</formula>
    </cfRule>
  </conditionalFormatting>
  <conditionalFormatting sqref="K1:L134 K135:K136 K162:L232 K236:L423 K424:K425 K426:L569 K583:L583 K584 K585:L599 K681:L1048576">
    <cfRule type="cellIs" dxfId="190" priority="3204" operator="equal">
      <formula>"PTP A FO"</formula>
    </cfRule>
  </conditionalFormatting>
  <conditionalFormatting sqref="K1:L134 K135:K136 K162:L232 K236:L423 K424:K425 K426:L579 K581:L599 K681:L1048576">
    <cfRule type="cellIs" dxfId="189" priority="3009" operator="equal">
      <formula>"PTP A FO"</formula>
    </cfRule>
  </conditionalFormatting>
  <conditionalFormatting sqref="K1:L134 K135:K136 K236:L423 K424:K425 K426:L579 K581:L599 K681:L1048576 K162:L232">
    <cfRule type="cellIs" dxfId="188" priority="3008" operator="equal">
      <formula>$K$13</formula>
    </cfRule>
  </conditionalFormatting>
  <conditionalFormatting sqref="K149:L161">
    <cfRule type="cellIs" dxfId="187" priority="2488" operator="equal">
      <formula>$K$13</formula>
    </cfRule>
    <cfRule type="cellIs" dxfId="186" priority="2489" operator="equal">
      <formula>"PTP A FO"</formula>
    </cfRule>
    <cfRule type="cellIs" dxfId="185" priority="2490" operator="equal">
      <formula>"PTP A FO"</formula>
    </cfRule>
  </conditionalFormatting>
  <conditionalFormatting sqref="K580:L580">
    <cfRule type="cellIs" dxfId="184" priority="345" operator="equal">
      <formula>$K$13</formula>
    </cfRule>
    <cfRule type="cellIs" dxfId="183" priority="346" operator="equal">
      <formula>"PTP A FO"</formula>
    </cfRule>
  </conditionalFormatting>
  <conditionalFormatting sqref="L148">
    <cfRule type="cellIs" dxfId="182" priority="2494" operator="equal">
      <formula>$K$13</formula>
    </cfRule>
    <cfRule type="cellIs" dxfId="181" priority="2495" operator="equal">
      <formula>"PTP A FO"</formula>
    </cfRule>
    <cfRule type="cellIs" dxfId="180" priority="2496" operator="equal">
      <formula>"PTP A FO"</formula>
    </cfRule>
  </conditionalFormatting>
  <conditionalFormatting sqref="R7:R397 R399:R599">
    <cfRule type="cellIs" dxfId="179" priority="3439" operator="lessThan">
      <formula>0.8</formula>
    </cfRule>
    <cfRule type="cellIs" dxfId="178" priority="3440" operator="greaterThan">
      <formula>0.8</formula>
    </cfRule>
  </conditionalFormatting>
  <conditionalFormatting sqref="S37:W38">
    <cfRule type="cellIs" dxfId="177" priority="1298" operator="equal">
      <formula>"APAGADO"</formula>
    </cfRule>
  </conditionalFormatting>
  <conditionalFormatting sqref="S426:W426 Y426:AV426">
    <cfRule type="cellIs" dxfId="176" priority="1237" operator="equal">
      <formula>"APAGADO"</formula>
    </cfRule>
  </conditionalFormatting>
  <conditionalFormatting sqref="S326:Z328">
    <cfRule type="cellIs" dxfId="175" priority="842" operator="equal">
      <formula>"APAGADO"</formula>
    </cfRule>
  </conditionalFormatting>
  <conditionalFormatting sqref="S121:AA121">
    <cfRule type="cellIs" dxfId="174" priority="1330" operator="equal">
      <formula>"APAGADO"</formula>
    </cfRule>
  </conditionalFormatting>
  <conditionalFormatting sqref="S329:AI329">
    <cfRule type="cellIs" dxfId="173" priority="347" operator="equal">
      <formula>"APAGADO"</formula>
    </cfRule>
  </conditionalFormatting>
  <conditionalFormatting sqref="S39:AT50 S76:AT76 S75:AL75 AN75:AT75 S78:AT91 S77:AL77 AN77:AT77 S93:AT94 S92:AL92 AN92:AT92 S52:AT74 S51:AL51 AN51:AT51">
    <cfRule type="cellIs" dxfId="172" priority="162" operator="equal">
      <formula>"APAGADO"</formula>
    </cfRule>
  </conditionalFormatting>
  <conditionalFormatting sqref="S96:AT109 S111:AT117 S110:AL110 AN110:AT110 S119:AT120 S118:AL118 AN118:AT118">
    <cfRule type="cellIs" dxfId="171" priority="164" operator="equal">
      <formula>"APAGADO"</formula>
    </cfRule>
  </conditionalFormatting>
  <conditionalFormatting sqref="S236:AT249 S251:AT253 S250:AL250 AN250:AT250 S256:AT259 S254:AL255 AN254:AT255 S261:AT269 S260:AL260 AN260:AT260 S271:AT273 S270:AL270 AN270:AT270 S276:AT291 S274:AL275 AN274:AT275 S295:AT297 S294:AL294 AN294:AT294 S293:AT293 S292:AL292 AN292:AT292 S300:AT307 S298:AL299 AN298:AT299 S309:AT316 S308:AL308 AN308:AT308 S318:AT318 S317:AL317 AN317:AT317 S320:AT325 S319:AL319 AN319:AT319">
    <cfRule type="cellIs" dxfId="170" priority="75" operator="equal">
      <formula>"APAGADO"</formula>
    </cfRule>
  </conditionalFormatting>
  <conditionalFormatting sqref="S330:AT338 S340:AT351 S339:AL339 AN339:AT339">
    <cfRule type="cellIs" dxfId="169" priority="139" operator="equal">
      <formula>"APAGADO"</formula>
    </cfRule>
  </conditionalFormatting>
  <conditionalFormatting sqref="S353:AT353 S361:AT373 S359:AL360 AN359:AT360 S357:AT358 S354:AL356 AN354:AT356 S375:AT391 S374:AL374 AN374:AT374 S394:AT397 S392:AL393 AN392:AT393">
    <cfRule type="cellIs" dxfId="168" priority="128" operator="equal">
      <formula>"APAGADO"</formula>
    </cfRule>
  </conditionalFormatting>
  <conditionalFormatting sqref="S399:AT399 S400:AL402 AN400:AT402">
    <cfRule type="cellIs" dxfId="167" priority="130" operator="equal">
      <formula>"APAGADO"</formula>
    </cfRule>
  </conditionalFormatting>
  <conditionalFormatting sqref="S8:AV36">
    <cfRule type="cellIs" dxfId="166" priority="1584" operator="equal">
      <formula>"APAGADO"</formula>
    </cfRule>
  </conditionalFormatting>
  <conditionalFormatting sqref="S122:AV128 S130:AV130 S129:AL129 AN129:AV129 S132:AV142 S131:AL131 AN131:AV131 S144:AV165 S143:AL143 AN143:AV143 S167:AV170 S166:AL166 AN166:AV166 S171:AL171 AN171:AV171 S172:AV232">
    <cfRule type="cellIs" dxfId="165" priority="150" operator="equal">
      <formula>"APAGADO"</formula>
    </cfRule>
  </conditionalFormatting>
  <conditionalFormatting sqref="S409:AV412 S415:AV416 S413:AL414 AN413:AV414">
    <cfRule type="cellIs" dxfId="164" priority="124" operator="equal">
      <formula>"APAGADO"</formula>
    </cfRule>
  </conditionalFormatting>
  <conditionalFormatting sqref="S427:AV427 S433:AV441 S432:AL432 AN432:AV432 S429:AV431 S428:AL428 AN428:AV428 S443:AV443 S442:AL442 AN442:AV442 S457:AV467 S456:AL456 AN456:AV456 S445:AV455 S444:AL444 AN444:AV444 S472:AV472 S468:AL471 AN468:AV471 S474:AV508 S473:AL473 AN473:AV473 S523:AV529 S521:AL522 AN521:AV522 S531:AV534 S530:AL530 AN530:AV530 S536:AV541 S535:AL535 AN535:AV535 S510:AV511 S509:AL509 AN509:AV509 S513:AV515 S512:AL512 AN512:AV512 S518:AV518 S516:AL517 AN516:AV517 S520:AV520 S519:AL519 AN519:AV519 S543:AV550 S542:AL542 AN542:AV542 S552:AV552 S551:AL551 AN551:AV551 S554:AV554 S553:AL553 AN553:AV553 S556:AV556 S555:AL555 AN555:AV555 S558:AV562 S557:AL557 AN557:AV557 S564:AV565 S563:AL563 AN563:AV563 S567:AV567 S566:AL566 AN566:AV566 S569:AV574 S568:AL568 AN568:AV568 S576:AV587 S575:AL575 AN575:AV575 S589:AV599 S588:AL588 AN588:AV588">
    <cfRule type="cellIs" dxfId="163" priority="84" operator="equal">
      <formula>"APAGADO"</formula>
    </cfRule>
  </conditionalFormatting>
  <conditionalFormatting sqref="S681:AV757 AC681:AN1048576">
    <cfRule type="cellIs" dxfId="162" priority="2586" operator="equal">
      <formula>"apagado"</formula>
    </cfRule>
  </conditionalFormatting>
  <conditionalFormatting sqref="S681:AV1048576">
    <cfRule type="containsText" dxfId="161" priority="3136" operator="containsText" text="Caida">
      <formula>NOT(ISERROR(SEARCH("Caida",S681)))</formula>
    </cfRule>
    <cfRule type="notContainsText" dxfId="160" priority="3469" operator="notContains" text="Caida">
      <formula>ISERROR(SEARCH("Caida",S681))</formula>
    </cfRule>
  </conditionalFormatting>
  <conditionalFormatting sqref="U681:U1200">
    <cfRule type="notContainsText" dxfId="159" priority="2765" operator="notContains" text="Caida">
      <formula>ISERROR(SEARCH("Caida",U681))</formula>
    </cfRule>
    <cfRule type="containsText" dxfId="158" priority="2766" operator="containsText" text="Caida">
      <formula>NOT(ISERROR(SEARCH("Caida",U681)))</formula>
    </cfRule>
    <cfRule type="cellIs" dxfId="157" priority="2767" operator="lessThan">
      <formula>0.8</formula>
    </cfRule>
    <cfRule type="cellIs" dxfId="156" priority="2768" operator="greaterThan">
      <formula>0.8</formula>
    </cfRule>
    <cfRule type="cellIs" dxfId="155" priority="2791" operator="greaterThan">
      <formula>0.8</formula>
    </cfRule>
    <cfRule type="cellIs" dxfId="154" priority="2895" operator="equal">
      <formula>"APAGADO"</formula>
    </cfRule>
  </conditionalFormatting>
  <conditionalFormatting sqref="U681:U1048576">
    <cfRule type="cellIs" dxfId="153" priority="2785" operator="equal">
      <formula>$U$16</formula>
    </cfRule>
  </conditionalFormatting>
  <conditionalFormatting sqref="U417:AV421 U423:AV423 U422:AL422 AN422:AV422">
    <cfRule type="cellIs" dxfId="152" priority="591" operator="equal">
      <formula>"APAGADO"</formula>
    </cfRule>
  </conditionalFormatting>
  <conditionalFormatting sqref="V234:W234">
    <cfRule type="cellIs" dxfId="151" priority="1310" operator="equal">
      <formula>"APAGADO"</formula>
    </cfRule>
  </conditionalFormatting>
  <conditionalFormatting sqref="V408:AG408">
    <cfRule type="cellIs" dxfId="150" priority="1278" operator="equal">
      <formula>"APAGADO"</formula>
    </cfRule>
  </conditionalFormatting>
  <conditionalFormatting sqref="X425:X426">
    <cfRule type="cellIs" dxfId="149" priority="1166" operator="equal">
      <formula>"APAGADO"</formula>
    </cfRule>
  </conditionalFormatting>
  <conditionalFormatting sqref="X406:Z407">
    <cfRule type="cellIs" dxfId="148" priority="885" operator="equal">
      <formula>"APAGADO"</formula>
    </cfRule>
  </conditionalFormatting>
  <conditionalFormatting sqref="X37:AJ37 S95:AM95 AO95:AT95 AF233:AF235 AA328 S352:AH352 AJ352:AT352 T403:U403 S403:S408 T404:T407 U404:U408 S408:T408 AQ408:AR408 S417:T425 AO681:AV1048576">
    <cfRule type="cellIs" dxfId="147" priority="2585" operator="equal">
      <formula>"APAGADO"</formula>
    </cfRule>
  </conditionalFormatting>
  <conditionalFormatting sqref="X38:AK38">
    <cfRule type="cellIs" dxfId="146" priority="2362" operator="equal">
      <formula>"APAGADO"</formula>
    </cfRule>
  </conditionalFormatting>
  <conditionalFormatting sqref="Y425:Z425">
    <cfRule type="cellIs" dxfId="145" priority="879" operator="equal">
      <formula>"APAGADO"</formula>
    </cfRule>
  </conditionalFormatting>
  <conditionalFormatting sqref="Y398:AT398">
    <cfRule type="cellIs" dxfId="144" priority="886" operator="equal">
      <formula>"APAGADO"</formula>
    </cfRule>
  </conditionalFormatting>
  <conditionalFormatting sqref="AA326:AB327">
    <cfRule type="cellIs" dxfId="143" priority="1229" operator="equal">
      <formula>"APAGADO"</formula>
    </cfRule>
  </conditionalFormatting>
  <conditionalFormatting sqref="AC407:AG407">
    <cfRule type="cellIs" dxfId="142" priority="399" operator="equal">
      <formula>"APAGADO"</formula>
    </cfRule>
  </conditionalFormatting>
  <conditionalFormatting sqref="AC425:AG425">
    <cfRule type="cellIs" dxfId="141" priority="398" operator="equal">
      <formula>"APAGADO"</formula>
    </cfRule>
  </conditionalFormatting>
  <conditionalFormatting sqref="AC326:AI328">
    <cfRule type="cellIs" dxfId="140" priority="349" operator="equal">
      <formula>"APAGADO"</formula>
    </cfRule>
  </conditionalFormatting>
  <conditionalFormatting sqref="AC121:AV121">
    <cfRule type="cellIs" dxfId="139" priority="1498" operator="equal">
      <formula>"APAGADO"</formula>
    </cfRule>
  </conditionalFormatting>
  <conditionalFormatting sqref="AD406:AG406">
    <cfRule type="cellIs" dxfId="138" priority="698" operator="equal">
      <formula>"APAGADO"</formula>
    </cfRule>
  </conditionalFormatting>
  <conditionalFormatting sqref="AH234:AI234">
    <cfRule type="cellIs" dxfId="137" priority="2367" operator="equal">
      <formula>"APAGADO"</formula>
    </cfRule>
  </conditionalFormatting>
  <conditionalFormatting sqref="AH406:AI408">
    <cfRule type="cellIs" dxfId="136" priority="2331" operator="equal">
      <formula>"APAGADO"</formula>
    </cfRule>
  </conditionalFormatting>
  <conditionalFormatting sqref="AJ425:AL425">
    <cfRule type="cellIs" dxfId="135" priority="123" operator="equal">
      <formula>"APAGADO"</formula>
    </cfRule>
  </conditionalFormatting>
  <conditionalFormatting sqref="AJ408:AP408 AJ407:AL407 AN407:AP407">
    <cfRule type="cellIs" dxfId="134" priority="126" operator="equal">
      <formula>"APAGADO"</formula>
    </cfRule>
  </conditionalFormatting>
  <conditionalFormatting sqref="AJ329:AT329 AJ326:AL328 AN326:AT328">
    <cfRule type="cellIs" dxfId="133" priority="78" operator="equal">
      <formula>"APAGADO"</formula>
    </cfRule>
  </conditionalFormatting>
  <conditionalFormatting sqref="AL234:AP234">
    <cfRule type="cellIs" dxfId="132" priority="1908" operator="equal">
      <formula>"APAGADO"</formula>
    </cfRule>
  </conditionalFormatting>
  <conditionalFormatting sqref="AL406:AP406">
    <cfRule type="cellIs" dxfId="131" priority="1889" operator="equal">
      <formula>"APAGADO"</formula>
    </cfRule>
  </conditionalFormatting>
  <conditionalFormatting sqref="AL37:AV38">
    <cfRule type="cellIs" dxfId="130" priority="1505" operator="equal">
      <formula>"APAGADO"</formula>
    </cfRule>
  </conditionalFormatting>
  <conditionalFormatting sqref="AR234:AV234">
    <cfRule type="cellIs" dxfId="129" priority="1479" operator="equal">
      <formula>"APAGADO"</formula>
    </cfRule>
  </conditionalFormatting>
  <conditionalFormatting sqref="AS407:AS408">
    <cfRule type="cellIs" dxfId="128" priority="1751" operator="equal">
      <formula>"APAGADO"</formula>
    </cfRule>
  </conditionalFormatting>
  <conditionalFormatting sqref="AT408:AU408">
    <cfRule type="cellIs" dxfId="127" priority="1637" operator="equal">
      <formula>"APAGADO"</formula>
    </cfRule>
  </conditionalFormatting>
  <conditionalFormatting sqref="AU39:AV120">
    <cfRule type="cellIs" dxfId="126" priority="1499" operator="equal">
      <formula>"APAGADO"</formula>
    </cfRule>
  </conditionalFormatting>
  <conditionalFormatting sqref="AU236:AV402">
    <cfRule type="cellIs" dxfId="125" priority="1428" operator="equal">
      <formula>"APAGADO"</formula>
    </cfRule>
  </conditionalFormatting>
  <conditionalFormatting sqref="AV406:AV408">
    <cfRule type="cellIs" dxfId="124" priority="1447" operator="equal">
      <formula>"APAGADO"</formula>
    </cfRule>
  </conditionalFormatting>
  <conditionalFormatting sqref="AM75">
    <cfRule type="cellIs" dxfId="123" priority="74" operator="equal">
      <formula>"APAGADO"</formula>
    </cfRule>
  </conditionalFormatting>
  <conditionalFormatting sqref="AM77">
    <cfRule type="cellIs" dxfId="122" priority="73" operator="equal">
      <formula>"APAGADO"</formula>
    </cfRule>
  </conditionalFormatting>
  <conditionalFormatting sqref="AM92">
    <cfRule type="cellIs" dxfId="121" priority="72" operator="equal">
      <formula>"APAGADO"</formula>
    </cfRule>
  </conditionalFormatting>
  <conditionalFormatting sqref="AM110">
    <cfRule type="cellIs" dxfId="120" priority="71" operator="equal">
      <formula>"APAGADO"</formula>
    </cfRule>
  </conditionalFormatting>
  <conditionalFormatting sqref="AM118">
    <cfRule type="cellIs" dxfId="119" priority="70" operator="equal">
      <formula>"APAGADO"</formula>
    </cfRule>
  </conditionalFormatting>
  <conditionalFormatting sqref="AM51">
    <cfRule type="cellIs" dxfId="118" priority="69" operator="equal">
      <formula>"APAGADO"</formula>
    </cfRule>
  </conditionalFormatting>
  <conditionalFormatting sqref="AM129">
    <cfRule type="cellIs" dxfId="117" priority="68" operator="equal">
      <formula>"APAGADO"</formula>
    </cfRule>
  </conditionalFormatting>
  <conditionalFormatting sqref="AM131">
    <cfRule type="cellIs" dxfId="116" priority="67" operator="equal">
      <formula>"APAGADO"</formula>
    </cfRule>
  </conditionalFormatting>
  <conditionalFormatting sqref="AM143">
    <cfRule type="cellIs" dxfId="115" priority="66" operator="equal">
      <formula>"APAGADO"</formula>
    </cfRule>
  </conditionalFormatting>
  <conditionalFormatting sqref="AM166">
    <cfRule type="cellIs" dxfId="114" priority="65" operator="equal">
      <formula>"APAGADO"</formula>
    </cfRule>
  </conditionalFormatting>
  <conditionalFormatting sqref="AM171">
    <cfRule type="cellIs" dxfId="113" priority="64" operator="equal">
      <formula>"APAGADO"</formula>
    </cfRule>
  </conditionalFormatting>
  <conditionalFormatting sqref="AM250">
    <cfRule type="cellIs" dxfId="112" priority="63" operator="equal">
      <formula>"APAGADO"</formula>
    </cfRule>
  </conditionalFormatting>
  <conditionalFormatting sqref="AM254">
    <cfRule type="cellIs" dxfId="111" priority="62" operator="equal">
      <formula>"APAGADO"</formula>
    </cfRule>
  </conditionalFormatting>
  <conditionalFormatting sqref="AM255">
    <cfRule type="cellIs" dxfId="110" priority="61" operator="equal">
      <formula>"APAGADO"</formula>
    </cfRule>
  </conditionalFormatting>
  <conditionalFormatting sqref="AM260">
    <cfRule type="cellIs" dxfId="109" priority="60" operator="equal">
      <formula>"APAGADO"</formula>
    </cfRule>
  </conditionalFormatting>
  <conditionalFormatting sqref="AM270">
    <cfRule type="cellIs" dxfId="108" priority="59" operator="equal">
      <formula>"APAGADO"</formula>
    </cfRule>
  </conditionalFormatting>
  <conditionalFormatting sqref="AM275">
    <cfRule type="cellIs" dxfId="107" priority="58" operator="equal">
      <formula>"APAGADO"</formula>
    </cfRule>
  </conditionalFormatting>
  <conditionalFormatting sqref="AM274">
    <cfRule type="cellIs" dxfId="106" priority="57" operator="equal">
      <formula>"APAGADO"</formula>
    </cfRule>
  </conditionalFormatting>
  <conditionalFormatting sqref="AM294">
    <cfRule type="cellIs" dxfId="105" priority="56" operator="equal">
      <formula>"APAGADO"</formula>
    </cfRule>
  </conditionalFormatting>
  <conditionalFormatting sqref="AM292">
    <cfRule type="cellIs" dxfId="104" priority="55" operator="equal">
      <formula>"APAGADO"</formula>
    </cfRule>
  </conditionalFormatting>
  <conditionalFormatting sqref="AM298">
    <cfRule type="cellIs" dxfId="103" priority="54" operator="equal">
      <formula>"APAGADO"</formula>
    </cfRule>
  </conditionalFormatting>
  <conditionalFormatting sqref="AM299">
    <cfRule type="cellIs" dxfId="102" priority="53" operator="equal">
      <formula>"APAGADO"</formula>
    </cfRule>
  </conditionalFormatting>
  <conditionalFormatting sqref="AM339">
    <cfRule type="cellIs" dxfId="101" priority="52" operator="equal">
      <formula>"APAGADO"</formula>
    </cfRule>
  </conditionalFormatting>
  <conditionalFormatting sqref="AM359">
    <cfRule type="cellIs" dxfId="100" priority="51" operator="equal">
      <formula>"APAGADO"</formula>
    </cfRule>
  </conditionalFormatting>
  <conditionalFormatting sqref="AM360">
    <cfRule type="cellIs" dxfId="99" priority="50" operator="equal">
      <formula>"APAGADO"</formula>
    </cfRule>
  </conditionalFormatting>
  <conditionalFormatting sqref="AM354">
    <cfRule type="cellIs" dxfId="98" priority="49" operator="equal">
      <formula>"APAGADO"</formula>
    </cfRule>
  </conditionalFormatting>
  <conditionalFormatting sqref="AM355">
    <cfRule type="cellIs" dxfId="97" priority="48" operator="equal">
      <formula>"APAGADO"</formula>
    </cfRule>
  </conditionalFormatting>
  <conditionalFormatting sqref="AM356">
    <cfRule type="cellIs" dxfId="96" priority="47" operator="equal">
      <formula>"APAGADO"</formula>
    </cfRule>
  </conditionalFormatting>
  <conditionalFormatting sqref="AM374">
    <cfRule type="cellIs" dxfId="95" priority="46" operator="equal">
      <formula>"APAGADO"</formula>
    </cfRule>
  </conditionalFormatting>
  <conditionalFormatting sqref="AM400">
    <cfRule type="cellIs" dxfId="94" priority="45" operator="equal">
      <formula>"APAGADO"</formula>
    </cfRule>
  </conditionalFormatting>
  <conditionalFormatting sqref="AM401">
    <cfRule type="cellIs" dxfId="93" priority="44" operator="equal">
      <formula>"APAGADO"</formula>
    </cfRule>
  </conditionalFormatting>
  <conditionalFormatting sqref="AM402">
    <cfRule type="cellIs" dxfId="92" priority="43" operator="equal">
      <formula>"APAGADO"</formula>
    </cfRule>
  </conditionalFormatting>
  <conditionalFormatting sqref="AM392">
    <cfRule type="cellIs" dxfId="91" priority="42" operator="equal">
      <formula>"APAGADO"</formula>
    </cfRule>
  </conditionalFormatting>
  <conditionalFormatting sqref="AM393">
    <cfRule type="cellIs" dxfId="90" priority="41" operator="equal">
      <formula>"APAGADO"</formula>
    </cfRule>
  </conditionalFormatting>
  <conditionalFormatting sqref="AM407">
    <cfRule type="cellIs" dxfId="89" priority="40" operator="equal">
      <formula>"APAGADO"</formula>
    </cfRule>
  </conditionalFormatting>
  <conditionalFormatting sqref="AM413">
    <cfRule type="cellIs" dxfId="88" priority="39" operator="equal">
      <formula>"APAGADO"</formula>
    </cfRule>
  </conditionalFormatting>
  <conditionalFormatting sqref="AM414">
    <cfRule type="cellIs" dxfId="87" priority="38" operator="equal">
      <formula>"APAGADO"</formula>
    </cfRule>
  </conditionalFormatting>
  <conditionalFormatting sqref="AM422">
    <cfRule type="cellIs" dxfId="86" priority="37" operator="equal">
      <formula>"APAGADO"</formula>
    </cfRule>
  </conditionalFormatting>
  <conditionalFormatting sqref="AM432">
    <cfRule type="cellIs" dxfId="85" priority="36" operator="equal">
      <formula>"APAGADO"</formula>
    </cfRule>
  </conditionalFormatting>
  <conditionalFormatting sqref="AM425">
    <cfRule type="cellIs" dxfId="84" priority="35" operator="equal">
      <formula>"APAGADO"</formula>
    </cfRule>
  </conditionalFormatting>
  <conditionalFormatting sqref="AM428">
    <cfRule type="cellIs" dxfId="83" priority="34" operator="equal">
      <formula>"APAGADO"</formula>
    </cfRule>
  </conditionalFormatting>
  <conditionalFormatting sqref="AM442">
    <cfRule type="cellIs" dxfId="82" priority="33" operator="equal">
      <formula>"APAGADO"</formula>
    </cfRule>
  </conditionalFormatting>
  <conditionalFormatting sqref="AM456">
    <cfRule type="cellIs" dxfId="81" priority="32" operator="equal">
      <formula>"APAGADO"</formula>
    </cfRule>
  </conditionalFormatting>
  <conditionalFormatting sqref="AM444">
    <cfRule type="cellIs" dxfId="80" priority="31" operator="equal">
      <formula>"APAGADO"</formula>
    </cfRule>
  </conditionalFormatting>
  <conditionalFormatting sqref="AM469">
    <cfRule type="cellIs" dxfId="79" priority="30" operator="equal">
      <formula>"APAGADO"</formula>
    </cfRule>
  </conditionalFormatting>
  <conditionalFormatting sqref="AM470">
    <cfRule type="cellIs" dxfId="78" priority="29" operator="equal">
      <formula>"APAGADO"</formula>
    </cfRule>
  </conditionalFormatting>
  <conditionalFormatting sqref="AM468">
    <cfRule type="cellIs" dxfId="77" priority="28" operator="equal">
      <formula>"APAGADO"</formula>
    </cfRule>
  </conditionalFormatting>
  <conditionalFormatting sqref="AM471">
    <cfRule type="cellIs" dxfId="76" priority="27" operator="equal">
      <formula>"APAGADO"</formula>
    </cfRule>
  </conditionalFormatting>
  <conditionalFormatting sqref="AM473">
    <cfRule type="cellIs" dxfId="75" priority="26" operator="equal">
      <formula>"APAGADO"</formula>
    </cfRule>
  </conditionalFormatting>
  <conditionalFormatting sqref="AM521">
    <cfRule type="cellIs" dxfId="74" priority="25" operator="equal">
      <formula>"APAGADO"</formula>
    </cfRule>
  </conditionalFormatting>
  <conditionalFormatting sqref="AM522">
    <cfRule type="cellIs" dxfId="73" priority="24" operator="equal">
      <formula>"APAGADO"</formula>
    </cfRule>
  </conditionalFormatting>
  <conditionalFormatting sqref="AM530">
    <cfRule type="cellIs" dxfId="72" priority="23" operator="equal">
      <formula>"APAGADO"</formula>
    </cfRule>
  </conditionalFormatting>
  <conditionalFormatting sqref="AM535">
    <cfRule type="cellIs" dxfId="71" priority="22" operator="equal">
      <formula>"APAGADO"</formula>
    </cfRule>
  </conditionalFormatting>
  <conditionalFormatting sqref="AM509">
    <cfRule type="cellIs" dxfId="70" priority="21" operator="equal">
      <formula>"APAGADO"</formula>
    </cfRule>
  </conditionalFormatting>
  <conditionalFormatting sqref="AM512">
    <cfRule type="cellIs" dxfId="69" priority="20" operator="equal">
      <formula>"APAGADO"</formula>
    </cfRule>
  </conditionalFormatting>
  <conditionalFormatting sqref="AM516">
    <cfRule type="cellIs" dxfId="68" priority="19" operator="equal">
      <formula>"APAGADO"</formula>
    </cfRule>
  </conditionalFormatting>
  <conditionalFormatting sqref="AM517">
    <cfRule type="cellIs" dxfId="67" priority="18" operator="equal">
      <formula>"APAGADO"</formula>
    </cfRule>
  </conditionalFormatting>
  <conditionalFormatting sqref="AM519">
    <cfRule type="cellIs" dxfId="66" priority="17" operator="equal">
      <formula>"APAGADO"</formula>
    </cfRule>
  </conditionalFormatting>
  <conditionalFormatting sqref="AM542">
    <cfRule type="cellIs" dxfId="65" priority="16" operator="equal">
      <formula>"APAGADO"</formula>
    </cfRule>
  </conditionalFormatting>
  <conditionalFormatting sqref="AM551">
    <cfRule type="cellIs" dxfId="64" priority="15" operator="equal">
      <formula>"APAGADO"</formula>
    </cfRule>
  </conditionalFormatting>
  <conditionalFormatting sqref="AM553">
    <cfRule type="cellIs" dxfId="63" priority="14" operator="equal">
      <formula>"APAGADO"</formula>
    </cfRule>
  </conditionalFormatting>
  <conditionalFormatting sqref="AM555">
    <cfRule type="cellIs" dxfId="62" priority="13" operator="equal">
      <formula>"APAGADO"</formula>
    </cfRule>
  </conditionalFormatting>
  <conditionalFormatting sqref="AM557">
    <cfRule type="cellIs" dxfId="61" priority="12" operator="equal">
      <formula>"APAGADO"</formula>
    </cfRule>
  </conditionalFormatting>
  <conditionalFormatting sqref="AM563">
    <cfRule type="cellIs" dxfId="60" priority="11" operator="equal">
      <formula>"APAGADO"</formula>
    </cfRule>
  </conditionalFormatting>
  <conditionalFormatting sqref="AM566">
    <cfRule type="cellIs" dxfId="59" priority="10" operator="equal">
      <formula>"APAGADO"</formula>
    </cfRule>
  </conditionalFormatting>
  <conditionalFormatting sqref="AM568">
    <cfRule type="cellIs" dxfId="58" priority="9" operator="equal">
      <formula>"APAGADO"</formula>
    </cfRule>
  </conditionalFormatting>
  <conditionalFormatting sqref="AM575">
    <cfRule type="cellIs" dxfId="57" priority="8" operator="equal">
      <formula>"APAGADO"</formula>
    </cfRule>
  </conditionalFormatting>
  <conditionalFormatting sqref="AM588">
    <cfRule type="cellIs" dxfId="56" priority="7" operator="equal">
      <formula>"APAGADO"</formula>
    </cfRule>
  </conditionalFormatting>
  <conditionalFormatting sqref="AM308">
    <cfRule type="cellIs" dxfId="55" priority="6" operator="equal">
      <formula>"APAGADO"</formula>
    </cfRule>
  </conditionalFormatting>
  <conditionalFormatting sqref="AM317">
    <cfRule type="cellIs" dxfId="54" priority="5" operator="equal">
      <formula>"APAGADO"</formula>
    </cfRule>
  </conditionalFormatting>
  <conditionalFormatting sqref="AM326">
    <cfRule type="cellIs" dxfId="53" priority="4" operator="equal">
      <formula>"APAGADO"</formula>
    </cfRule>
  </conditionalFormatting>
  <conditionalFormatting sqref="AM319">
    <cfRule type="cellIs" dxfId="52" priority="3" operator="equal">
      <formula>"APAGADO"</formula>
    </cfRule>
  </conditionalFormatting>
  <conditionalFormatting sqref="AM327">
    <cfRule type="cellIs" dxfId="51" priority="2" operator="equal">
      <formula>"APAGADO"</formula>
    </cfRule>
  </conditionalFormatting>
  <conditionalFormatting sqref="AM328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>
        <f>'RESUMEN TOTAL'!AN566</f>
        <v>0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>
        <f>'RESUMEN TOTAL'!AR566</f>
        <v>0</v>
      </c>
      <c r="AF438" s="70">
        <f>'RESUMEN TOTAL'!AS566</f>
        <v>0</v>
      </c>
      <c r="AG438" s="70">
        <f>'RESUMEN TOTAL'!AT566</f>
        <v>0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>
        <f>'RESUMEN TOTAL'!AN568</f>
        <v>0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>
        <f>'RESUMEN TOTAL'!AR568</f>
        <v>0</v>
      </c>
      <c r="AF440" s="70">
        <f>'RESUMEN TOTAL'!AS568</f>
        <v>0</v>
      </c>
      <c r="AG440" s="70">
        <f>'RESUMEN TOTAL'!AT568</f>
        <v>0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>
        <f>'RESUMEN TOTAL'!AN575</f>
        <v>0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>
        <f>'RESUMEN TOTAL'!AR575</f>
        <v>0</v>
      </c>
      <c r="AF446" s="70">
        <f>'RESUMEN TOTAL'!AS575</f>
        <v>0</v>
      </c>
      <c r="AG446" s="70">
        <f>'RESUMEN TOTAL'!AT575</f>
        <v>0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Fibra Optica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Fibra Optica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>
        <f>'RESUMEN TOTAL'!AR577</f>
        <v>0</v>
      </c>
      <c r="AF448" s="70">
        <f>'RESUMEN TOTAL'!AS577</f>
        <v>0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Fibra Optica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Fibra Optica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>
        <f>'RESUMEN TOTAL'!AR579</f>
        <v>0</v>
      </c>
      <c r="AF450" s="70">
        <f>'RESUMEN TOTAL'!AS579</f>
        <v>0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>
        <f>'RESUMEN TOTAL'!AN588</f>
        <v>0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>
        <f>'RESUMEN TOTAL'!AR588</f>
        <v>0</v>
      </c>
      <c r="AF456" s="70">
        <f>'RESUMEN TOTAL'!AS588</f>
        <v>0</v>
      </c>
      <c r="AG456" s="70">
        <f>'RESUMEN TOTAL'!AT588</f>
        <v>0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14" zoomScaleNormal="100" workbookViewId="0">
      <selection activeCell="D232" sqref="D2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6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7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57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57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57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7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7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7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5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6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57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57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57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57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7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7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7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5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6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7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57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57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57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7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7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7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58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6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57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57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57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57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7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7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7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58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6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57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57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57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57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7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7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7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58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6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57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57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57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57"/>
    </row>
    <row r="62" spans="1:6" ht="15.75" thickBot="1" x14ac:dyDescent="0.3">
      <c r="B62" s="56"/>
      <c r="C62" s="128"/>
      <c r="D62" s="101"/>
      <c r="E62" s="74">
        <f>D62/C57</f>
        <v>0</v>
      </c>
      <c r="F62" s="157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7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7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58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6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57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57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57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57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7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7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7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58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6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57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57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57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57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7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7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7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58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6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7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57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57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57"/>
    </row>
    <row r="95" spans="1:6" ht="15.75" thickBot="1" x14ac:dyDescent="0.3">
      <c r="B95" s="56"/>
      <c r="C95" s="128"/>
      <c r="D95" s="101"/>
      <c r="E95" s="74">
        <f>D95/C90</f>
        <v>0</v>
      </c>
      <c r="F95" s="157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7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7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58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6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57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57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57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57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7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7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7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58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6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57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57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57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57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7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7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7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58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6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57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57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57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57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7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7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7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58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6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57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57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57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57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7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7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7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58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6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57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57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57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57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7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7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7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58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6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57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57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57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57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7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7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7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58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6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7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57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57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57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57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7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7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58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6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7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57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57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57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7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7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7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58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6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57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57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57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57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7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7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7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58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6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57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57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57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57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7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7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7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58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6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57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57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57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57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7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7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57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5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6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57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57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57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57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7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7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57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5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6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0.16582064297800339</v>
      </c>
      <c r="F236" s="157"/>
    </row>
    <row r="237" spans="2:6" x14ac:dyDescent="0.25">
      <c r="B237" s="53" t="s">
        <v>1220</v>
      </c>
      <c r="C237" s="67">
        <v>14</v>
      </c>
      <c r="D237" s="100">
        <f>C236-C237</f>
        <v>84</v>
      </c>
      <c r="E237" s="55">
        <f>D237/C235</f>
        <v>0.14213197969543148</v>
      </c>
      <c r="F237" s="157"/>
    </row>
    <row r="238" spans="2:6" x14ac:dyDescent="0.25">
      <c r="B238" s="53" t="s">
        <v>1221</v>
      </c>
      <c r="C238" s="67">
        <v>12</v>
      </c>
      <c r="D238" s="100">
        <f>D237-C238</f>
        <v>72</v>
      </c>
      <c r="E238" s="55">
        <f>D238/C235</f>
        <v>0.12182741116751269</v>
      </c>
      <c r="F238" s="157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0.11336717428087986</v>
      </c>
      <c r="F239" s="157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7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7"/>
    </row>
    <row r="242" spans="2:6" ht="16.5" thickTop="1" thickBot="1" x14ac:dyDescent="0.3">
      <c r="B242" s="95" t="s">
        <v>1041</v>
      </c>
      <c r="C242" s="96">
        <v>307</v>
      </c>
      <c r="D242" s="112">
        <v>57</v>
      </c>
      <c r="E242" s="102">
        <f>D242/C242</f>
        <v>0.18566775244299674</v>
      </c>
      <c r="F242" s="157"/>
    </row>
    <row r="243" spans="2:6" ht="15.75" thickBot="1" x14ac:dyDescent="0.3">
      <c r="B243" s="109" t="s">
        <v>1042</v>
      </c>
      <c r="C243" s="110">
        <f>COSEIDIcam</f>
        <v>283</v>
      </c>
      <c r="D243" s="110">
        <v>41</v>
      </c>
      <c r="E243" s="111">
        <f>D243/C243</f>
        <v>0.14487632508833923</v>
      </c>
      <c r="F243" s="15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6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57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57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57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57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7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7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7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5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6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57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57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57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57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7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7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7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58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6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7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57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57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57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7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7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7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58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6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7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7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-1.6920473773265651E-2</v>
      </c>
      <c r="F284" s="157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-2.3688663282571912E-2</v>
      </c>
      <c r="F285" s="157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7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7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7"/>
    </row>
    <row r="289" spans="2:6" ht="15.75" thickBot="1" x14ac:dyDescent="0.3">
      <c r="B289" s="109" t="s">
        <v>1042</v>
      </c>
      <c r="C289" s="110">
        <f>COSEIDIcam</f>
        <v>283</v>
      </c>
      <c r="D289" s="110">
        <f>Hoja1!AE5</f>
        <v>0</v>
      </c>
      <c r="E289" s="111">
        <f>D289/C289</f>
        <v>0</v>
      </c>
      <c r="F289" s="158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6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7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-1.5228426395939087E-2</v>
      </c>
      <c r="F294" s="157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-3.553299492385787E-2</v>
      </c>
      <c r="F295" s="157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-4.5685279187817257E-2</v>
      </c>
      <c r="F296" s="157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7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7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7"/>
    </row>
    <row r="300" spans="2:6" ht="15.75" thickBot="1" x14ac:dyDescent="0.3">
      <c r="B300" s="109" t="s">
        <v>1042</v>
      </c>
      <c r="C300" s="110">
        <f>COSEIDIcam</f>
        <v>283</v>
      </c>
      <c r="D300" s="110">
        <f>Hoja1!AF5</f>
        <v>0</v>
      </c>
      <c r="E300" s="111">
        <f>D300/C300</f>
        <v>0</v>
      </c>
      <c r="F300" s="158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6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0.20642978003384094</v>
      </c>
      <c r="F304" s="157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0.19120135363790186</v>
      </c>
      <c r="F305" s="157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0.17089678510998307</v>
      </c>
      <c r="F306" s="157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0.16243654822335024</v>
      </c>
      <c r="F307" s="157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7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7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7"/>
    </row>
    <row r="311" spans="2:6" ht="15.75" thickBot="1" x14ac:dyDescent="0.3">
      <c r="B311" s="109" t="s">
        <v>1042</v>
      </c>
      <c r="C311" s="110">
        <f>COSEIDIcam</f>
        <v>283</v>
      </c>
      <c r="D311" s="110">
        <v>69</v>
      </c>
      <c r="E311" s="111">
        <f>D311/C311</f>
        <v>0.24381625441696114</v>
      </c>
      <c r="F311" s="158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6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0.19627749576988154</v>
      </c>
      <c r="F315" s="157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0.18274111675126903</v>
      </c>
      <c r="F316" s="157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0.17428087986463622</v>
      </c>
      <c r="F317" s="157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0.16582064297800339</v>
      </c>
      <c r="F318" s="157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7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7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7"/>
    </row>
    <row r="322" spans="2:6" ht="15.75" thickBot="1" x14ac:dyDescent="0.3">
      <c r="B322" s="109" t="s">
        <v>1042</v>
      </c>
      <c r="C322" s="110">
        <f>COSEIDIcam</f>
        <v>283</v>
      </c>
      <c r="D322" s="110">
        <v>67</v>
      </c>
      <c r="E322" s="102">
        <f>D322/C322</f>
        <v>0.23674911660777384</v>
      </c>
      <c r="F322" s="158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6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7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57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57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57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7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7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7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5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7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7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7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7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7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7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7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58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2026-05-21T15:27:55Z</dcterms:modified>
</cp:coreProperties>
</file>