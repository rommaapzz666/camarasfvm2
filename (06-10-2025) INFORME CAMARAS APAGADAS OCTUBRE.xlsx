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9E7445DE-F758-4C71-8DFE-5A482530C337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G6" i="25" l="1"/>
  <c r="AB6" i="25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<sst xmlns="http://schemas.openxmlformats.org/spreadsheetml/2006/main" count="5094" uniqueCount="2136">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</sst>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zoomScale="55" zoomScaleNormal="55" workbookViewId="0">
      <pane xSplit="12" ySplit="7" topLeftCell="R285" activePane="bottomRight" state="frozen"/>
      <selection pane="topRight" activeCell="M1" sqref="M1"/>
      <selection pane="bottomLeft" activeCell="A5" sqref="A5"/>
      <selection pane="bottomRight" activeCell="E304" sqref="E30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9.212730318257957E-2</v>
      </c>
      <c r="R1" s="3">
        <f t="shared" si="0"/>
        <v>0.10561056105610561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28</v>
      </c>
      <c r="R4" s="10">
        <f>COUNTIFS(R8:R657, "=APAGADO",F8:F657,"=Fibra Optica")</f>
        <v>32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11</v>
      </c>
      <c r="R5" s="130">
        <f>COUNTIFS(R8:R657, "=APAGADO",F8:F657,"=RADIO")</f>
        <v>12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6</v>
      </c>
      <c r="R6" s="10">
        <f>COUNTIFS(R8:R657, "=APAGADO",F8:F657,"=PTO A FO")</f>
        <v>10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23</v>
      </c>
      <c r="J19" s="148" t="s">
        <v>1685</v>
      </c>
      <c r="K19" s="31">
        <f t="shared" si="6"/>
        <v>5</v>
      </c>
      <c r="L19" s="32">
        <f t="shared" si="7"/>
        <v>0.8214285714285714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24</v>
      </c>
      <c r="J34" s="148" t="s">
        <v>1697</v>
      </c>
      <c r="K34" s="134">
        <f t="shared" si="6"/>
        <v>4</v>
      </c>
      <c r="L34" s="135">
        <f t="shared" si="7"/>
        <v>0.8571428571428571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23</v>
      </c>
      <c r="J35" s="87"/>
      <c r="K35" s="143">
        <f t="shared" si="6"/>
        <v>5</v>
      </c>
      <c r="L35" s="144">
        <f t="shared" si="7"/>
        <v>0.8214285714285714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27</v>
      </c>
      <c r="J62" s="148" t="s">
        <v>1718</v>
      </c>
      <c r="K62" s="143">
        <f t="shared" si="6"/>
        <v>1</v>
      </c>
      <c r="L62" s="144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27</v>
      </c>
      <c r="J93" s="148" t="s">
        <v>1748</v>
      </c>
      <c r="K93" s="143">
        <f t="shared" si="9"/>
        <v>1</v>
      </c>
      <c r="L93" s="144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26</v>
      </c>
      <c r="J101" s="148" t="s">
        <v>1756</v>
      </c>
      <c r="K101" s="143">
        <f t="shared" si="9"/>
        <v>2</v>
      </c>
      <c r="L101" s="144">
        <f t="shared" si="10"/>
        <v>0.9285714285714286</v>
      </c>
      <c r="M101" s="70"/>
      <c r="N101" s="70"/>
      <c r="O101" s="70"/>
      <c r="P101" s="70"/>
      <c r="Q101" s="70" t="s">
        <v>2130</v>
      </c>
      <c r="R101" s="70" t="s">
        <v>2130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8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8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22</v>
      </c>
      <c r="J147" s="87"/>
      <c r="K147" s="141">
        <f t="shared" si="9"/>
        <v>6</v>
      </c>
      <c r="L147" s="142">
        <f t="shared" si="10"/>
        <v>0.7857142857142857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22</v>
      </c>
      <c r="J150" s="87"/>
      <c r="K150" s="31">
        <f t="shared" si="9"/>
        <v>6</v>
      </c>
      <c r="L150" s="32">
        <f t="shared" si="10"/>
        <v>0.7857142857142857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22</v>
      </c>
      <c r="J151" s="87"/>
      <c r="K151" s="31">
        <f t="shared" si="9"/>
        <v>6</v>
      </c>
      <c r="L151" s="32">
        <f t="shared" si="10"/>
        <v>0.7857142857142857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22</v>
      </c>
      <c r="J157" s="148" t="s">
        <v>1805</v>
      </c>
      <c r="K157" s="31">
        <f t="shared" si="12"/>
        <v>6</v>
      </c>
      <c r="L157" s="32">
        <f t="shared" si="13"/>
        <v>0.7857142857142857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 t="s">
        <v>2130</v>
      </c>
      <c r="R157" s="70" t="s">
        <v>2130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22</v>
      </c>
      <c r="J158" s="148" t="s">
        <v>1806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26</v>
      </c>
      <c r="J159" s="148" t="s">
        <v>1807</v>
      </c>
      <c r="K159" s="31">
        <f t="shared" si="12"/>
        <v>2</v>
      </c>
      <c r="L159" s="32">
        <f t="shared" si="13"/>
        <v>0.9285714285714286</v>
      </c>
      <c r="M159" s="70"/>
      <c r="N159" s="70"/>
      <c r="O159" s="70"/>
      <c r="P159" s="70"/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22</v>
      </c>
      <c r="J160" s="148" t="s">
        <v>1808</v>
      </c>
      <c r="K160" s="31">
        <f t="shared" si="12"/>
        <v>6</v>
      </c>
      <c r="L160" s="32">
        <f t="shared" si="13"/>
        <v>0.7857142857142857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27</v>
      </c>
      <c r="J161" s="148" t="s">
        <v>1809</v>
      </c>
      <c r="K161" s="31">
        <f t="shared" si="12"/>
        <v>1</v>
      </c>
      <c r="L161" s="32">
        <f t="shared" si="13"/>
        <v>0.9642857142857143</v>
      </c>
      <c r="M161" s="70"/>
      <c r="N161" s="70"/>
      <c r="O161" s="70"/>
      <c r="P161" s="70"/>
      <c r="Q161" s="70"/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26</v>
      </c>
      <c r="J162" s="148" t="s">
        <v>1810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2130</v>
      </c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22</v>
      </c>
      <c r="J177" s="148" t="s">
        <v>1824</v>
      </c>
      <c r="K177" s="31">
        <f t="shared" si="12"/>
        <v>6</v>
      </c>
      <c r="L177" s="32">
        <f t="shared" si="13"/>
        <v>0.7857142857142857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 t="s">
        <v>2130</v>
      </c>
      <c r="R177" s="70" t="s">
        <v>2130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22</v>
      </c>
      <c r="J178" s="148" t="s">
        <v>1825</v>
      </c>
      <c r="K178" s="31">
        <f t="shared" si="12"/>
        <v>6</v>
      </c>
      <c r="L178" s="32">
        <f t="shared" si="13"/>
        <v>0.7857142857142857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24</v>
      </c>
      <c r="J182" s="148" t="s">
        <v>1828</v>
      </c>
      <c r="K182" s="31">
        <f t="shared" si="12"/>
        <v>4</v>
      </c>
      <c r="L182" s="32">
        <f t="shared" si="13"/>
        <v>0.8571428571428571</v>
      </c>
      <c r="M182" s="70"/>
      <c r="N182" s="70" t="s">
        <v>2130</v>
      </c>
      <c r="O182" s="70" t="s">
        <v>2130</v>
      </c>
      <c r="P182" s="70"/>
      <c r="Q182" s="70" t="s">
        <v>2130</v>
      </c>
      <c r="R182" s="70" t="s">
        <v>2130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24</v>
      </c>
      <c r="J183" s="148" t="s">
        <v>1829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22</v>
      </c>
      <c r="J184" s="87"/>
      <c r="K184" s="138">
        <f t="shared" si="12"/>
        <v>6</v>
      </c>
      <c r="L184" s="139">
        <f t="shared" si="13"/>
        <v>0.7857142857142857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 t="s">
        <v>2130</v>
      </c>
      <c r="R184" s="140" t="s">
        <v>2130</v>
      </c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26</v>
      </c>
      <c r="J189" s="148" t="s">
        <v>1834</v>
      </c>
      <c r="K189" s="31">
        <f t="shared" si="12"/>
        <v>2</v>
      </c>
      <c r="L189" s="32">
        <f t="shared" si="13"/>
        <v>0.9285714285714286</v>
      </c>
      <c r="M189" s="70"/>
      <c r="N189" s="70"/>
      <c r="O189" s="70"/>
      <c r="P189" s="70"/>
      <c r="Q189" s="70" t="s">
        <v>2130</v>
      </c>
      <c r="R189" s="70" t="s">
        <v>2130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22</v>
      </c>
      <c r="J190" s="87"/>
      <c r="K190" s="31">
        <f t="shared" si="12"/>
        <v>6</v>
      </c>
      <c r="L190" s="32">
        <f t="shared" si="13"/>
        <v>0.7857142857142857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 t="s">
        <v>2130</v>
      </c>
      <c r="R190" s="70" t="s">
        <v>2130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22</v>
      </c>
      <c r="J192" s="148" t="s">
        <v>1836</v>
      </c>
      <c r="K192" s="31">
        <f t="shared" si="12"/>
        <v>6</v>
      </c>
      <c r="L192" s="32">
        <f t="shared" si="13"/>
        <v>0.7857142857142857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 t="s">
        <v>2130</v>
      </c>
      <c r="R192" s="70" t="s">
        <v>2130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27</v>
      </c>
      <c r="J204" s="148" t="s">
        <v>1847</v>
      </c>
      <c r="K204" s="31">
        <f t="shared" si="12"/>
        <v>1</v>
      </c>
      <c r="L204" s="32">
        <f t="shared" si="13"/>
        <v>0.9642857142857143</v>
      </c>
      <c r="M204" s="70"/>
      <c r="N204" s="70"/>
      <c r="O204" s="70"/>
      <c r="P204" s="70"/>
      <c r="Q204" s="70"/>
      <c r="R204" s="70" t="s">
        <v>2130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24</v>
      </c>
      <c r="J208" s="87"/>
      <c r="K208" s="31">
        <f t="shared" si="12"/>
        <v>4</v>
      </c>
      <c r="L208" s="32">
        <f t="shared" si="13"/>
        <v>0.8571428571428571</v>
      </c>
      <c r="M208" s="70" t="s">
        <v>2130</v>
      </c>
      <c r="N208" s="70"/>
      <c r="O208" s="70"/>
      <c r="P208" s="70" t="s">
        <v>2130</v>
      </c>
      <c r="Q208" s="70" t="s">
        <v>2130</v>
      </c>
      <c r="R208" s="70" t="s">
        <v>2130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22</v>
      </c>
      <c r="J235" s="87"/>
      <c r="K235" s="31">
        <f t="shared" si="15"/>
        <v>6</v>
      </c>
      <c r="L235" s="32">
        <f t="shared" si="16"/>
        <v>0.7857142857142857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 t="s">
        <v>2130</v>
      </c>
      <c r="R235" s="70" t="s">
        <v>2130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28</v>
      </c>
      <c r="J237" s="148" t="s">
        <v>1875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27</v>
      </c>
      <c r="J238" s="87"/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 t="s">
        <v>2130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22</v>
      </c>
      <c r="J263" s="148" t="s">
        <v>1898</v>
      </c>
      <c r="K263" s="31">
        <f t="shared" si="15"/>
        <v>6</v>
      </c>
      <c r="L263" s="32">
        <f t="shared" si="16"/>
        <v>0.7857142857142857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 t="s">
        <v>2130</v>
      </c>
      <c r="R263" s="70" t="s">
        <v>2130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23</v>
      </c>
      <c r="J264" s="148" t="s">
        <v>1899</v>
      </c>
      <c r="K264" s="143">
        <f t="shared" si="15"/>
        <v>5</v>
      </c>
      <c r="L264" s="144">
        <f t="shared" si="16"/>
        <v>0.8214285714285714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27</v>
      </c>
      <c r="J267" s="148" t="s">
        <v>1901</v>
      </c>
      <c r="K267" s="31">
        <f t="shared" si="15"/>
        <v>1</v>
      </c>
      <c r="L267" s="32">
        <f t="shared" si="16"/>
        <v>0.9642857142857143</v>
      </c>
      <c r="M267" s="70"/>
      <c r="N267" s="70"/>
      <c r="O267" s="70"/>
      <c r="P267" s="70"/>
      <c r="Q267" s="70" t="s">
        <v>2130</v>
      </c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28</v>
      </c>
      <c r="J268" s="148" t="s">
        <v>1902</v>
      </c>
      <c r="K268" s="143">
        <f t="shared" si="15"/>
        <v>0</v>
      </c>
      <c r="L268" s="144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27</v>
      </c>
      <c r="J270" s="148" t="s">
        <v>1904</v>
      </c>
      <c r="K270" s="143">
        <f t="shared" si="15"/>
        <v>1</v>
      </c>
      <c r="L270" s="144">
        <f t="shared" si="16"/>
        <v>0.9642857142857143</v>
      </c>
      <c r="M270" s="70"/>
      <c r="N270" s="70"/>
      <c r="O270" s="70"/>
      <c r="P270" s="70"/>
      <c r="Q270" s="70" t="s">
        <v>2130</v>
      </c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26</v>
      </c>
      <c r="J281" s="148" t="s">
        <v>1914</v>
      </c>
      <c r="K281" s="31">
        <f t="shared" si="15"/>
        <v>2</v>
      </c>
      <c r="L281" s="32">
        <f t="shared" si="16"/>
        <v>0.9285714285714286</v>
      </c>
      <c r="M281" s="70"/>
      <c r="N281" s="70"/>
      <c r="O281" s="70"/>
      <c r="P281" s="70" t="s">
        <v>2130</v>
      </c>
      <c r="Q281" s="70" t="s">
        <v>2130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22</v>
      </c>
      <c r="J282" s="148" t="s">
        <v>1915</v>
      </c>
      <c r="K282" s="31">
        <f t="shared" si="15"/>
        <v>6</v>
      </c>
      <c r="L282" s="32">
        <f t="shared" si="16"/>
        <v>0.7857142857142857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 t="s">
        <v>2130</v>
      </c>
      <c r="R282" s="70" t="s">
        <v>2130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22</v>
      </c>
      <c r="J283" s="148" t="s">
        <v>1916</v>
      </c>
      <c r="K283" s="31">
        <f t="shared" si="15"/>
        <v>6</v>
      </c>
      <c r="L283" s="32">
        <f t="shared" si="16"/>
        <v>0.7857142857142857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25</v>
      </c>
      <c r="J284" s="148" t="s">
        <v>1917</v>
      </c>
      <c r="K284" s="31">
        <f t="shared" si="15"/>
        <v>3</v>
      </c>
      <c r="L284" s="32">
        <f t="shared" si="16"/>
        <v>0.8928571428571429</v>
      </c>
      <c r="M284" s="70"/>
      <c r="N284" s="70"/>
      <c r="O284" s="70"/>
      <c r="P284" s="70" t="s">
        <v>2130</v>
      </c>
      <c r="Q284" s="70" t="s">
        <v>2130</v>
      </c>
      <c r="R284" s="70" t="s">
        <v>2130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25</v>
      </c>
      <c r="J285" s="148" t="s">
        <v>1918</v>
      </c>
      <c r="K285" s="31">
        <f t="shared" si="15"/>
        <v>3</v>
      </c>
      <c r="L285" s="32">
        <f t="shared" si="16"/>
        <v>0.8928571428571429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22</v>
      </c>
      <c r="J294" s="148" t="s">
        <v>1926</v>
      </c>
      <c r="K294" s="143">
        <f t="shared" si="15"/>
        <v>6</v>
      </c>
      <c r="L294" s="144">
        <f t="shared" si="16"/>
        <v>0.7857142857142857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 t="s">
        <v>2130</v>
      </c>
      <c r="R294" s="70" t="s">
        <v>2130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22</v>
      </c>
      <c r="J296" s="148" t="s">
        <v>1928</v>
      </c>
      <c r="K296" s="31">
        <f t="shared" ref="K296:K363" si="18">COUNTIF(M296:AN296,"APAGADO")</f>
        <v>6</v>
      </c>
      <c r="L296" s="32">
        <f t="shared" ref="L296:L363" si="19">(I296)/(K296+I296)</f>
        <v>0.7857142857142857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 t="s">
        <v>2130</v>
      </c>
      <c r="R296" s="70" t="s">
        <v>2130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24</v>
      </c>
      <c r="J300" s="148" t="s">
        <v>1931</v>
      </c>
      <c r="K300" s="31">
        <f t="shared" si="18"/>
        <v>4</v>
      </c>
      <c r="L300" s="32">
        <f t="shared" si="19"/>
        <v>0.8571428571428571</v>
      </c>
      <c r="M300" s="70"/>
      <c r="N300" s="70" t="s">
        <v>2130</v>
      </c>
      <c r="O300" s="70"/>
      <c r="P300" s="70" t="s">
        <v>2130</v>
      </c>
      <c r="Q300" s="70" t="s">
        <v>2130</v>
      </c>
      <c r="R300" s="70" t="s">
        <v>2130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26</v>
      </c>
      <c r="J314" s="148" t="s">
        <v>1945</v>
      </c>
      <c r="K314" s="31">
        <f t="shared" si="18"/>
        <v>2</v>
      </c>
      <c r="L314" s="32">
        <f t="shared" si="19"/>
        <v>0.9285714285714286</v>
      </c>
      <c r="M314" s="70"/>
      <c r="N314" s="70"/>
      <c r="O314" s="70"/>
      <c r="P314" s="70"/>
      <c r="Q314" s="70" t="s">
        <v>2130</v>
      </c>
      <c r="R314" s="70" t="s">
        <v>2130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27</v>
      </c>
      <c r="J329" s="87"/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 t="s">
        <v>2130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27</v>
      </c>
      <c r="J330" s="87"/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 t="s">
        <v>2130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28</v>
      </c>
      <c r="J357" s="148" t="s">
        <v>1981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22</v>
      </c>
      <c r="J358" s="73"/>
      <c r="K358" s="31">
        <f t="shared" si="18"/>
        <v>6</v>
      </c>
      <c r="L358" s="32">
        <f t="shared" si="19"/>
        <v>0.7857142857142857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 t="s">
        <v>2130</v>
      </c>
      <c r="R358" s="70" t="s">
        <v>2130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24</v>
      </c>
      <c r="J377" s="87"/>
      <c r="K377" s="31">
        <f t="shared" si="21"/>
        <v>4</v>
      </c>
      <c r="L377" s="32">
        <f t="shared" si="22"/>
        <v>0.8571428571428571</v>
      </c>
      <c r="M377" s="70" t="s">
        <v>2130</v>
      </c>
      <c r="N377" s="70"/>
      <c r="O377" s="70"/>
      <c r="P377" s="70" t="s">
        <v>2130</v>
      </c>
      <c r="Q377" s="70" t="s">
        <v>2130</v>
      </c>
      <c r="R377" s="70" t="s">
        <v>2130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22</v>
      </c>
      <c r="J383" s="148" t="s">
        <v>2001</v>
      </c>
      <c r="K383" s="31">
        <f t="shared" si="21"/>
        <v>6</v>
      </c>
      <c r="L383" s="32">
        <f t="shared" si="22"/>
        <v>0.7857142857142857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 t="s">
        <v>2130</v>
      </c>
      <c r="R383" s="70" t="s">
        <v>2130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22</v>
      </c>
      <c r="J384" s="148" t="s">
        <v>2002</v>
      </c>
      <c r="K384" s="31">
        <f t="shared" si="21"/>
        <v>6</v>
      </c>
      <c r="L384" s="32">
        <f t="shared" si="22"/>
        <v>0.7857142857142857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22</v>
      </c>
      <c r="J390" s="87"/>
      <c r="K390" s="31">
        <f t="shared" si="21"/>
        <v>6</v>
      </c>
      <c r="L390" s="32">
        <f t="shared" si="22"/>
        <v>0.7857142857142857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 t="s">
        <v>2130</v>
      </c>
      <c r="R390" s="70" t="s">
        <v>2130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22</v>
      </c>
      <c r="J395" s="87"/>
      <c r="K395" s="31">
        <f t="shared" si="21"/>
        <v>6</v>
      </c>
      <c r="L395" s="32">
        <f t="shared" si="22"/>
        <v>0.7857142857142857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 t="s">
        <v>2130</v>
      </c>
      <c r="R395" s="70" t="s">
        <v>2130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27</v>
      </c>
      <c r="J404" s="148" t="s">
        <v>2016</v>
      </c>
      <c r="K404" s="31">
        <f t="shared" si="21"/>
        <v>1</v>
      </c>
      <c r="L404" s="32">
        <f t="shared" si="22"/>
        <v>0.9642857142857143</v>
      </c>
      <c r="M404" s="70"/>
      <c r="N404" s="70"/>
      <c r="O404" s="70"/>
      <c r="P404" s="70"/>
      <c r="Q404" s="70"/>
      <c r="R404" s="70" t="s">
        <v>2130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27</v>
      </c>
      <c r="J405" s="148" t="s">
        <v>2017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27</v>
      </c>
      <c r="J406" s="148" t="s">
        <v>2018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27</v>
      </c>
      <c r="J407" s="148" t="s">
        <v>2019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22</v>
      </c>
      <c r="J416" s="87"/>
      <c r="K416" s="31">
        <f t="shared" si="21"/>
        <v>6</v>
      </c>
      <c r="L416" s="32">
        <f t="shared" si="22"/>
        <v>0.7857142857142857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 t="s">
        <v>2130</v>
      </c>
      <c r="R416" s="70" t="s">
        <v>2130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26</v>
      </c>
      <c r="J421" s="148" t="s">
        <v>2028</v>
      </c>
      <c r="K421" s="31">
        <f t="shared" si="21"/>
        <v>2</v>
      </c>
      <c r="L421" s="32">
        <f t="shared" si="22"/>
        <v>0.9285714285714286</v>
      </c>
      <c r="M421" s="70"/>
      <c r="N421" s="70" t="s">
        <v>2130</v>
      </c>
      <c r="O421" s="70" t="s">
        <v>2130</v>
      </c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22</v>
      </c>
      <c r="J428" s="148" t="s">
        <v>2035</v>
      </c>
      <c r="K428" s="31">
        <f t="shared" si="21"/>
        <v>6</v>
      </c>
      <c r="L428" s="32">
        <f t="shared" si="22"/>
        <v>0.7857142857142857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 t="s">
        <v>2130</v>
      </c>
      <c r="R428" s="70" t="s">
        <v>2130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23</v>
      </c>
      <c r="J436" s="87"/>
      <c r="K436" s="143">
        <f t="shared" si="21"/>
        <v>5</v>
      </c>
      <c r="L436" s="144">
        <f t="shared" si="22"/>
        <v>0.8214285714285714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 t="s">
        <v>2130</v>
      </c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26</v>
      </c>
      <c r="J437" s="148" t="s">
        <v>2038</v>
      </c>
      <c r="K437" s="31">
        <f t="shared" si="21"/>
        <v>2</v>
      </c>
      <c r="L437" s="32">
        <f t="shared" si="22"/>
        <v>0.9285714285714286</v>
      </c>
      <c r="M437" s="70"/>
      <c r="N437" s="70"/>
      <c r="O437" s="70"/>
      <c r="P437" s="70"/>
      <c r="Q437" s="70" t="s">
        <v>2130</v>
      </c>
      <c r="R437" s="70" t="s">
        <v>2130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26</v>
      </c>
      <c r="J438" s="148" t="s">
        <v>2039</v>
      </c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/>
      <c r="Q438" s="70" t="s">
        <v>2130</v>
      </c>
      <c r="R438" s="70" t="s">
        <v>2130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26</v>
      </c>
      <c r="J481" s="148" t="s">
        <v>2073</v>
      </c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 t="s">
        <v>2130</v>
      </c>
      <c r="R481" s="70" t="s">
        <v>2130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27</v>
      </c>
      <c r="J516" s="148" t="s">
        <v>2106</v>
      </c>
      <c r="K516" s="143">
        <f t="shared" si="27"/>
        <v>1</v>
      </c>
      <c r="L516" s="144">
        <f t="shared" si="28"/>
        <v>0.9642857142857143</v>
      </c>
      <c r="M516" s="70"/>
      <c r="N516" s="70"/>
      <c r="O516" s="70"/>
      <c r="P516" s="70"/>
      <c r="Q516" s="70"/>
      <c r="R516" s="70" t="s">
        <v>2130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22</v>
      </c>
      <c r="J521" s="87"/>
      <c r="K521" s="31">
        <f t="shared" si="27"/>
        <v>6</v>
      </c>
      <c r="L521" s="32">
        <f t="shared" si="28"/>
        <v>0.7857142857142857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 t="s">
        <v>2130</v>
      </c>
      <c r="R521" s="70" t="s">
        <v>2130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22</v>
      </c>
      <c r="J523" s="87"/>
      <c r="K523" s="31">
        <f t="shared" si="27"/>
        <v>6</v>
      </c>
      <c r="L523" s="32">
        <f t="shared" si="28"/>
        <v>0.7857142857142857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22</v>
      </c>
      <c r="J530" s="148" t="s">
        <v>2115</v>
      </c>
      <c r="K530" s="31">
        <f t="shared" si="27"/>
        <v>6</v>
      </c>
      <c r="L530" s="32">
        <f t="shared" si="28"/>
        <v>0.7857142857142857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 t="s">
        <v>2130</v>
      </c>
      <c r="R530" s="70" t="s">
        <v>2130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28</v>
      </c>
      <c r="J535" s="87"/>
      <c r="K535" s="143">
        <f t="shared" si="27"/>
        <v>0</v>
      </c>
      <c r="L535" s="144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22</v>
      </c>
      <c r="J539" s="148" t="s">
        <v>2121</v>
      </c>
      <c r="K539" s="31">
        <f t="shared" si="27"/>
        <v>6</v>
      </c>
      <c r="L539" s="32">
        <f t="shared" si="28"/>
        <v>0.7857142857142857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 t="s">
        <v>2130</v>
      </c>
      <c r="R539" s="70" t="s">
        <v>2130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22</v>
      </c>
      <c r="J540" s="148" t="s">
        <v>2120</v>
      </c>
      <c r="K540" s="31">
        <f t="shared" si="27"/>
        <v>6</v>
      </c>
      <c r="L540" s="32">
        <f t="shared" si="28"/>
        <v>0.7857142857142857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 t="s">
        <v>2130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22</v>
      </c>
      <c r="J541" s="148" t="s">
        <v>2122</v>
      </c>
      <c r="K541" s="31">
        <f t="shared" si="27"/>
        <v>6</v>
      </c>
      <c r="L541" s="32">
        <f t="shared" si="28"/>
        <v>0.7857142857142857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27</v>
      </c>
      <c r="J545" s="148" t="s">
        <v>2126</v>
      </c>
      <c r="K545" s="143">
        <f t="shared" si="27"/>
        <v>1</v>
      </c>
      <c r="L545" s="144">
        <f t="shared" si="28"/>
        <v>0.9642857142857143</v>
      </c>
      <c r="M545" s="70"/>
      <c r="N545" s="70"/>
      <c r="O545" s="70"/>
      <c r="P545" s="70"/>
      <c r="Q545" s="70"/>
      <c r="R545" s="70" t="s">
        <v>2130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52" zoomScale="90" zoomScaleNormal="90" workbookViewId="0">
      <selection activeCell="C59" sqref="C5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0.1014760147601476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0.11808118081180811</v>
      </c>
      <c r="F58" s="155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9.9630996309963096E-2</v>
      </c>
      <c r="F59" s="155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8.8560885608856083E-2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12</v>
      </c>
      <c r="D61" s="103">
        <v>36</v>
      </c>
      <c r="E61" s="55">
        <f>D61/C57</f>
        <v>6.6420664206642069E-2</v>
      </c>
      <c r="F61" s="155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4.9815498154981548E-2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24</v>
      </c>
      <c r="E64" s="105">
        <f>D64/C64</f>
        <v>8.2758620689655171E-2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40</v>
      </c>
      <c r="E65" s="114">
        <f>D65/C65</f>
        <v>0.15936254980079681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 t="str">
        <f>'RESUMEN TOTAL'!Q158</f>
        <v>APAGADO</v>
      </c>
      <c r="K127" s="70" t="str">
        <f>'RESUMEN TOTAL'!R158</f>
        <v>APAGADO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 t="str">
        <f>'RESUMEN TOTAL'!Q159</f>
        <v>APAGADO</v>
      </c>
      <c r="K128" s="70" t="str">
        <f>'RESUMEN TOTAL'!R159</f>
        <v>APAGADO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 t="str">
        <f>'RESUMEN TOTAL'!Q177</f>
        <v>APAGADO</v>
      </c>
      <c r="K144" s="70" t="str">
        <f>'RESUMEN TOTAL'!R177</f>
        <v>APAGADO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 t="str">
        <f>'RESUMEN TOTAL'!Q178</f>
        <v>APAGADO</v>
      </c>
      <c r="K145" s="70" t="str">
        <f>'RESUMEN TOTAL'!R178</f>
        <v>APAGADO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 t="str">
        <f>'RESUMEN TOTAL'!Q182</f>
        <v>APAGADO</v>
      </c>
      <c r="K146" s="70" t="str">
        <f>'RESUMEN TOTAL'!R182</f>
        <v>APAGADO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 t="str">
        <f>'RESUMEN TOTAL'!Q183</f>
        <v>APAGADO</v>
      </c>
      <c r="K147" s="70" t="str">
        <f>'RESUMEN TOTAL'!R183</f>
        <v>APAGADO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 t="str">
        <f>'RESUMEN TOTAL'!Q189</f>
        <v>APAGADO</v>
      </c>
      <c r="K153" s="70" t="str">
        <f>'RESUMEN TOTAL'!R189</f>
        <v>APAGADO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 t="str">
        <f>'RESUMEN TOTAL'!Q192</f>
        <v>APAGADO</v>
      </c>
      <c r="K156" s="70" t="str">
        <f>'RESUMEN TOTAL'!R192</f>
        <v>APAGADO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 t="str">
        <f>'RESUMEN TOTAL'!R204</f>
        <v>APAGADO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 t="str">
        <f>'RESUMEN TOTAL'!Q208</f>
        <v>APAGADO</v>
      </c>
      <c r="K170" s="70" t="str">
        <f>'RESUMEN TOTAL'!R208</f>
        <v>APAGADO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 t="str">
        <f>'RESUMEN TOTAL'!Q209</f>
        <v>APAGADO</v>
      </c>
      <c r="K171" s="70" t="str">
        <f>'RESUMEN TOTAL'!R209</f>
        <v>APAGADO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 t="str">
        <f>'RESUMEN TOTAL'!R238</f>
        <v>APAGADO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 t="str">
        <f>'RESUMEN TOTAL'!Q263</f>
        <v>APAGADO</v>
      </c>
      <c r="K220" s="70" t="str">
        <f>'RESUMEN TOTAL'!R263</f>
        <v>APAGADO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 t="str">
        <f>'RESUMEN TOTAL'!Q267</f>
        <v>APAGADO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 t="str">
        <f>'RESUMEN TOTAL'!Q281</f>
        <v>APAGADO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 t="str">
        <f>'RESUMEN TOTAL'!Q282</f>
        <v>APAGADO</v>
      </c>
      <c r="K236" s="70" t="str">
        <f>'RESUMEN TOTAL'!R282</f>
        <v>APAGADO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 t="str">
        <f>'RESUMEN TOTAL'!Q284</f>
        <v>APAGADO</v>
      </c>
      <c r="K238" s="70" t="str">
        <f>'RESUMEN TOTAL'!R284</f>
        <v>APAGADO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 t="str">
        <f>'RESUMEN TOTAL'!Q285</f>
        <v>APAGADO</v>
      </c>
      <c r="K239" s="70" t="str">
        <f>'RESUMEN TOTAL'!R285</f>
        <v>APAGADO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 t="str">
        <f>'RESUMEN TOTAL'!Q294</f>
        <v>APAGADO</v>
      </c>
      <c r="K248" s="70" t="str">
        <f>'RESUMEN TOTAL'!R294</f>
        <v>APAGADO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 t="str">
        <f>'RESUMEN TOTAL'!Q296</f>
        <v>APAGADO</v>
      </c>
      <c r="K250" s="70" t="str">
        <f>'RESUMEN TOTAL'!R296</f>
        <v>APAGADO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 t="str">
        <f>'RESUMEN TOTAL'!Q300</f>
        <v>APAGADO</v>
      </c>
      <c r="K254" s="70" t="str">
        <f>'RESUMEN TOTAL'!R300</f>
        <v>APAGADO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 t="str">
        <f>'RESUMEN TOTAL'!Q377</f>
        <v>APAGADO</v>
      </c>
      <c r="K316" s="70" t="str">
        <f>'RESUMEN TOTAL'!R377</f>
        <v>APAGADO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 t="str">
        <f>'RESUMEN TOTAL'!R404</f>
        <v>APAGADO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 t="str">
        <f>'RESUMEN TOTAL'!R405</f>
        <v>APAGADO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 t="str">
        <f>'RESUMEN TOTAL'!R406</f>
        <v>APAGADO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 t="str">
        <f>'RESUMEN TOTAL'!R407</f>
        <v>APAGADO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 t="str">
        <f>'RESUMEN TOTAL'!Q437</f>
        <v>APAGADO</v>
      </c>
      <c r="K364" s="70" t="str">
        <f>'RESUMEN TOTAL'!R437</f>
        <v>APAGADO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 t="str">
        <f>'RESUMEN TOTAL'!Q438</f>
        <v>APAGADO</v>
      </c>
      <c r="K365" s="70" t="str">
        <f>'RESUMEN TOTAL'!R438</f>
        <v>APAGADO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 t="str">
        <f>'RESUMEN TOTAL'!Q481</f>
        <v>APAGADO</v>
      </c>
      <c r="K402" s="70" t="str">
        <f>'RESUMEN TOTAL'!R481</f>
        <v>APAGADO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 t="str">
        <f>'RESUMEN TOTAL'!R516</f>
        <v>APAGADO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 t="str">
        <f>'RESUMEN TOTAL'!Q521</f>
        <v>APAGADO</v>
      </c>
      <c r="K436" s="70" t="str">
        <f>'RESUMEN TOTAL'!R521</f>
        <v>APAGADO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 t="str">
        <f>'RESUMEN TOTAL'!Q523</f>
        <v>APAGADO</v>
      </c>
      <c r="K438" s="70" t="str">
        <f>'RESUMEN TOTAL'!R523</f>
        <v>APAGADO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 t="str">
        <f>'RESUMEN TOTAL'!Q530</f>
        <v>APAGADO</v>
      </c>
      <c r="K445" s="70" t="str">
        <f>'RESUMEN TOTAL'!R530</f>
        <v>APAGADO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 t="str">
        <f>'RESUMEN TOTAL'!Q539</f>
        <v>APAGADO</v>
      </c>
      <c r="K454" s="70" t="str">
        <f>'RESUMEN TOTAL'!R539</f>
        <v>APAGADO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 t="str">
        <f>'RESUMEN TOTAL'!Q540</f>
        <v>APAGADO</v>
      </c>
      <c r="K455" s="70" t="str">
        <f>'RESUMEN TOTAL'!R540</f>
        <v>APAGADO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 t="str">
        <f>'RESUMEN TOTAL'!Q541</f>
        <v>APAGADO</v>
      </c>
      <c r="K456" s="70" t="str">
        <f>'RESUMEN TOTAL'!R541</f>
        <v>APAGADO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 t="str">
        <f>'RESUMEN TOTAL'!R545</f>
        <v>APAGADO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16</v>
      </c>
      <c r="K3" s="46">
        <f>COUNTIFS('RESUMEN TOTAL'!R8:R657,"=APAGADO",'RESUMEN TOTAL'!C8:C657,"=BONOMO")</f>
        <v>24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8.2758620689655171E-2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39</v>
      </c>
      <c r="K5" s="46">
        <f>COUNTIFS('RESUMEN TOTAL'!R10:R659,"=APAGADO",'RESUMEN TOTAL'!C10:C659,"=COSEIDI")</f>
        <v>40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0.15936254980079681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2025-10-06T11:08:08Z</dcterms:modified>
</cp:coreProperties>
</file>