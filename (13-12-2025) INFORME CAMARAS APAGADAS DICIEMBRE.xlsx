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516FC4D3-BAF0-4DB7-BF27-F628C62AAA9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410" i="2" l="1"/>
  <c r="L218" i="2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<sst xmlns="http://schemas.openxmlformats.org/spreadsheetml/2006/main" count="6174" uniqueCount="2278">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</sst>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7.3089700996677748E-2</c:v>
                      </c:pt>
                      <c:pt idx="12">
                        <c:v>7.6411960132890366E-2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0.2574626865671642</c:v>
                      </c:pt>
                      <c:pt idx="12">
                        <c:v>0.22388059701492538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7.3089700996677748E-2</c:v>
                </c:pt>
                <c:pt idx="12">
                  <c:v>7.6411960132890366E-2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0.2574626865671642</c:v>
                </c:pt>
                <c:pt idx="12">
                  <c:v>0.22388059701492538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7.3089700996677748E-2</c:v>
                      </c:pt>
                      <c:pt idx="12">
                        <c:v>7.6411960132890366E-2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0.2574626865671642</c:v>
                      </c:pt>
                      <c:pt idx="12">
                        <c:v>0.22388059701492538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7.3089700996677748E-2</c:v>
                </c:pt>
                <c:pt idx="12">
                  <c:v>7.6411960132890366E-2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0.2574626865671642</c:v>
                </c:pt>
                <c:pt idx="12">
                  <c:v>0.22388059701492538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tabSelected="1" zoomScale="56" zoomScaleNormal="56" workbookViewId="0">
      <pane xSplit="12" ySplit="7" topLeftCell="X297" activePane="bottomRight" state="frozen"/>
      <selection pane="topRight" activeCell="M1" sqref="M1"/>
      <selection pane="bottomLeft" activeCell="A5" sqref="A5"/>
      <selection pane="bottomRight" activeCell="Y315" sqref="Y315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0.14285714285714285</v>
      </c>
      <c r="U1" s="3">
        <f t="shared" si="0"/>
        <v>0.13242009132420091</v>
      </c>
      <c r="V1" s="3">
        <f t="shared" si="0"/>
        <v>0.12037037037037036</v>
      </c>
      <c r="W1" s="3">
        <f t="shared" si="0"/>
        <v>0.13505311077389984</v>
      </c>
      <c r="X1" s="3">
        <f t="shared" si="0"/>
        <v>0.13767019667170954</v>
      </c>
      <c r="Y1" s="3">
        <f t="shared" si="0"/>
        <v>0.12710566615620214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COUNTIF(M7:M731,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33</v>
      </c>
      <c r="U4" s="10">
        <f>COUNTIFS(U8:U685, "=APAGADO",F8:F685,"=Fibra Optica")</f>
        <v>27</v>
      </c>
      <c r="V4" s="10">
        <f>COUNTIFS(V8:V685, "=APAGADO",F8:F685,"=Fibra Optica")</f>
        <v>26</v>
      </c>
      <c r="W4" s="10">
        <f>COUNTIFS(W8:W685, "=APAGADO",F8:F685,"=Fibra Optica")</f>
        <v>35</v>
      </c>
      <c r="X4" s="10">
        <f>COUNTIFS(X8:X685, "=APAGADO",F8:F685,"=Fibra Optica")</f>
        <v>37</v>
      </c>
      <c r="Y4" s="10">
        <f>COUNTIFS(Y8:Y685, "=APAGADO",F8:F685,"=Fibra Optica")</f>
        <v>33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15</v>
      </c>
      <c r="U5" s="130">
        <f>COUNTIFS(U8:U685, "=APAGADO",F8:F685,"=RADIO")</f>
        <v>15</v>
      </c>
      <c r="V5" s="130">
        <f>COUNTIFS(V8:V685, "=APAGADO",F8:F685,"=RADIO")</f>
        <v>8</v>
      </c>
      <c r="W5" s="130">
        <f>COUNTIFS(W8:W685, "=APAGADO",F8:F685,"=RADIO")</f>
        <v>3</v>
      </c>
      <c r="X5" s="130">
        <f>COUNTIFS(X8:X685, "=APAGADO",F8:F685,"=RADIO")</f>
        <v>5</v>
      </c>
      <c r="Y5" s="130">
        <f>COUNTIFS(Y8:Y685, "=APAGADO",F8:F685,"=RADIO")</f>
        <v>2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7</v>
      </c>
      <c r="U6" s="10">
        <f>COUNTIFS(U8:U685, "=APAGADO",F8:F685,"=PTO A FO")</f>
        <v>5</v>
      </c>
      <c r="V6" s="10">
        <f>COUNTIFS(V8:V685, "=APAGADO",F8:F685,"=PTO A FO")</f>
        <v>5</v>
      </c>
      <c r="W6" s="10">
        <f>COUNTIFS(W8:W685, "=APAGADO",F8:F685,"=PTO A FO")</f>
        <v>8</v>
      </c>
      <c r="X6" s="10">
        <f>COUNTIFS(X8:X685, "=APAGADO",F8:F685,"=PTO A FO")</f>
        <v>8</v>
      </c>
      <c r="Y6" s="10">
        <f>COUNTIFS(Y8:Y685, "=APAGADO",F8:F685,"=PTO A FO")</f>
        <v>6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15</v>
      </c>
      <c r="J17" s="150" t="s">
        <v>1676</v>
      </c>
      <c r="K17" s="142">
        <f t="shared" si="6"/>
        <v>13</v>
      </c>
      <c r="L17" s="143">
        <f t="shared" si="7"/>
        <v>0.5357142857142857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15</v>
      </c>
      <c r="J19" s="147" t="s">
        <v>1677</v>
      </c>
      <c r="K19" s="31">
        <f t="shared" si="6"/>
        <v>13</v>
      </c>
      <c r="L19" s="32">
        <f t="shared" si="7"/>
        <v>0.5357142857142857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15</v>
      </c>
      <c r="J20" s="147" t="s">
        <v>1678</v>
      </c>
      <c r="K20" s="31">
        <f t="shared" si="6"/>
        <v>13</v>
      </c>
      <c r="L20" s="32">
        <f t="shared" si="7"/>
        <v>0.5357142857142857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15</v>
      </c>
      <c r="J34" s="147" t="s">
        <v>1689</v>
      </c>
      <c r="K34" s="134">
        <f t="shared" si="6"/>
        <v>13</v>
      </c>
      <c r="L34" s="135">
        <f t="shared" si="7"/>
        <v>0.5357142857142857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18</v>
      </c>
      <c r="J35" s="87" t="s">
        <v>2163</v>
      </c>
      <c r="K35" s="142">
        <f t="shared" si="6"/>
        <v>10</v>
      </c>
      <c r="L35" s="143">
        <f t="shared" si="7"/>
        <v>0.6428571428571429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15</v>
      </c>
      <c r="J36" s="87" t="s">
        <v>2157</v>
      </c>
      <c r="K36" s="142">
        <f t="shared" si="6"/>
        <v>13</v>
      </c>
      <c r="L36" s="143">
        <f t="shared" si="7"/>
        <v>0.5357142857142857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27</v>
      </c>
      <c r="J43" s="87" t="s">
        <v>2192</v>
      </c>
      <c r="K43" s="31">
        <f t="shared" si="6"/>
        <v>1</v>
      </c>
      <c r="L43" s="32">
        <f t="shared" si="7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26</v>
      </c>
      <c r="J81" s="147" t="s">
        <v>1725</v>
      </c>
      <c r="K81" s="31">
        <f t="shared" si="6"/>
        <v>2</v>
      </c>
      <c r="L81" s="32">
        <f t="shared" si="7"/>
        <v>0.9285714285714286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27</v>
      </c>
      <c r="J88" s="147" t="s">
        <v>1732</v>
      </c>
      <c r="K88" s="31">
        <f t="shared" si="9"/>
        <v>1</v>
      </c>
      <c r="L88" s="32">
        <f t="shared" si="10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16</v>
      </c>
      <c r="J89" s="147" t="s">
        <v>1733</v>
      </c>
      <c r="K89" s="31">
        <f t="shared" si="9"/>
        <v>12</v>
      </c>
      <c r="L89" s="32">
        <f t="shared" si="10"/>
        <v>0.5714285714285714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26</v>
      </c>
      <c r="J92" s="147" t="s">
        <v>1736</v>
      </c>
      <c r="K92" s="31">
        <f t="shared" si="9"/>
        <v>2</v>
      </c>
      <c r="L92" s="32">
        <f t="shared" si="10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15</v>
      </c>
      <c r="J99" s="147" t="s">
        <v>1743</v>
      </c>
      <c r="K99" s="142">
        <f t="shared" si="9"/>
        <v>13</v>
      </c>
      <c r="L99" s="143">
        <f t="shared" si="10"/>
        <v>0.5357142857142857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26</v>
      </c>
      <c r="J127" s="148" t="s">
        <v>1770</v>
      </c>
      <c r="K127" s="142">
        <f t="shared" si="9"/>
        <v>2</v>
      </c>
      <c r="L127" s="143">
        <f t="shared" si="10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22</v>
      </c>
      <c r="J130" s="147" t="s">
        <v>1773</v>
      </c>
      <c r="K130" s="31">
        <f t="shared" si="9"/>
        <v>6</v>
      </c>
      <c r="L130" s="32">
        <f t="shared" si="10"/>
        <v>0.7857142857142857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1">COUNTIF(M163:AN163,"")</f>
        <v>28</v>
      </c>
      <c r="J163" s="147" t="s">
        <v>1796</v>
      </c>
      <c r="K163" s="142">
        <f t="shared" ref="K163:K238" si="12">COUNTIF(M163:AN163,"APAGADO")</f>
        <v>0</v>
      </c>
      <c r="L163" s="143">
        <f t="shared" ref="L163:L238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15</v>
      </c>
      <c r="J168" s="147" t="s">
        <v>1801</v>
      </c>
      <c r="K168" s="31">
        <f t="shared" si="12"/>
        <v>13</v>
      </c>
      <c r="L168" s="32">
        <f t="shared" si="13"/>
        <v>0.5357142857142857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15</v>
      </c>
      <c r="J193" s="87"/>
      <c r="K193" s="138">
        <f t="shared" si="12"/>
        <v>13</v>
      </c>
      <c r="L193" s="139">
        <f t="shared" si="13"/>
        <v>0.5357142857142857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25</v>
      </c>
      <c r="J194" s="147" t="s">
        <v>1822</v>
      </c>
      <c r="K194" s="142">
        <f t="shared" si="12"/>
        <v>3</v>
      </c>
      <c r="L194" s="143">
        <f t="shared" si="13"/>
        <v>0.8928571428571429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21</v>
      </c>
      <c r="J195" s="147" t="s">
        <v>1823</v>
      </c>
      <c r="K195" s="142">
        <f t="shared" si="12"/>
        <v>7</v>
      </c>
      <c r="L195" s="143">
        <f t="shared" si="13"/>
        <v>0.75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24</v>
      </c>
      <c r="J200" s="147" t="s">
        <v>1827</v>
      </c>
      <c r="K200" s="142">
        <f t="shared" si="12"/>
        <v>4</v>
      </c>
      <c r="L200" s="143">
        <f t="shared" si="13"/>
        <v>0.8571428571428571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15</v>
      </c>
      <c r="J201" s="147" t="s">
        <v>1828</v>
      </c>
      <c r="K201" s="31">
        <f t="shared" si="12"/>
        <v>13</v>
      </c>
      <c r="L201" s="32">
        <f t="shared" si="13"/>
        <v>0.5357142857142857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25</v>
      </c>
      <c r="J211" s="147" t="s">
        <v>1837</v>
      </c>
      <c r="K211" s="142">
        <f t="shared" si="12"/>
        <v>3</v>
      </c>
      <c r="L211" s="143">
        <f t="shared" si="13"/>
        <v>0.8928571428571429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15</v>
      </c>
      <c r="J217" s="147" t="s">
        <v>1842</v>
      </c>
      <c r="K217" s="142">
        <f t="shared" si="12"/>
        <v>13</v>
      </c>
      <c r="L217" s="143">
        <f t="shared" si="13"/>
        <v>0.5357142857142857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18</v>
      </c>
      <c r="J219" s="87"/>
      <c r="K219" s="31">
        <f t="shared" si="12"/>
        <v>10</v>
      </c>
      <c r="L219" s="32">
        <f t="shared" si="13"/>
        <v>0.6428571428571429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18</v>
      </c>
      <c r="J220" s="87"/>
      <c r="K220" s="31">
        <f t="shared" si="12"/>
        <v>10</v>
      </c>
      <c r="L220" s="32">
        <f t="shared" si="13"/>
        <v>0.6428571428571429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1"/>
        <v>23</v>
      </c>
      <c r="J231" s="147" t="s">
        <v>1852</v>
      </c>
      <c r="K231" s="31">
        <f t="shared" si="12"/>
        <v>5</v>
      </c>
      <c r="L231" s="32">
        <f t="shared" si="13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1"/>
        <v>28</v>
      </c>
      <c r="J232" s="147" t="s">
        <v>1853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1"/>
        <v>15</v>
      </c>
      <c r="J233" s="147" t="s">
        <v>1854</v>
      </c>
      <c r="K233" s="31">
        <f t="shared" si="12"/>
        <v>13</v>
      </c>
      <c r="L233" s="32">
        <f t="shared" si="13"/>
        <v>0.5357142857142857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 t="s">
        <v>2213</v>
      </c>
      <c r="U233" s="70" t="s">
        <v>2213</v>
      </c>
      <c r="V233" s="70" t="s">
        <v>2213</v>
      </c>
      <c r="W233" s="70" t="s">
        <v>2213</v>
      </c>
      <c r="X233" s="70" t="s">
        <v>2213</v>
      </c>
      <c r="Y233" s="70" t="s">
        <v>2213</v>
      </c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1"/>
        <v>28</v>
      </c>
      <c r="J234" s="147" t="s">
        <v>1855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1"/>
        <v>28</v>
      </c>
      <c r="J235" s="147" t="s">
        <v>1856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1"/>
        <v>28</v>
      </c>
      <c r="J236" s="147" t="s">
        <v>1857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1"/>
        <v>28</v>
      </c>
      <c r="J237" s="147" t="s">
        <v>1858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1"/>
        <v>28</v>
      </c>
      <c r="J238" s="147" t="s">
        <v>1859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4">COUNTIF(M239:AN239,"")</f>
        <v>28</v>
      </c>
      <c r="J239" s="147" t="s">
        <v>1860</v>
      </c>
      <c r="K239" s="31">
        <f t="shared" ref="K239:K308" si="15">COUNTIF(M239:AN239,"APAGADO")</f>
        <v>0</v>
      </c>
      <c r="L239" s="32">
        <f t="shared" ref="L239:L308" si="16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4"/>
        <v>28</v>
      </c>
      <c r="J240" s="147" t="s">
        <v>1861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4"/>
        <v>28</v>
      </c>
      <c r="J241" s="147" t="s">
        <v>1862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4"/>
        <v>28</v>
      </c>
      <c r="J242" s="147" t="s">
        <v>1863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4"/>
        <v>26</v>
      </c>
      <c r="J243" s="147" t="s">
        <v>1864</v>
      </c>
      <c r="K243" s="31">
        <f t="shared" si="15"/>
        <v>2</v>
      </c>
      <c r="L243" s="32">
        <f t="shared" si="16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4"/>
        <v>28</v>
      </c>
      <c r="J244" s="147" t="s">
        <v>1865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4"/>
        <v>28</v>
      </c>
      <c r="J245" s="147" t="s">
        <v>1866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4"/>
        <v>23</v>
      </c>
      <c r="J246" s="87"/>
      <c r="K246" s="31">
        <f t="shared" si="15"/>
        <v>5</v>
      </c>
      <c r="L246" s="32">
        <f t="shared" si="16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4"/>
        <v>27</v>
      </c>
      <c r="J247" s="147" t="s">
        <v>1822</v>
      </c>
      <c r="K247" s="31">
        <f t="shared" si="15"/>
        <v>1</v>
      </c>
      <c r="L247" s="32">
        <f t="shared" si="16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4"/>
        <v>28</v>
      </c>
      <c r="J248" s="147" t="s">
        <v>1867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4"/>
        <v>28</v>
      </c>
      <c r="J250" s="147" t="s">
        <v>1868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4"/>
        <v>28</v>
      </c>
      <c r="J251" s="147" t="s">
        <v>1869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4"/>
        <v>28</v>
      </c>
      <c r="J252" s="147" t="s">
        <v>1870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4"/>
        <v>28</v>
      </c>
      <c r="J253" s="147" t="s">
        <v>1871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4"/>
        <v>28</v>
      </c>
      <c r="J254" s="147" t="s">
        <v>1872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4"/>
        <v>26</v>
      </c>
      <c r="J256" s="147" t="s">
        <v>1873</v>
      </c>
      <c r="K256" s="31">
        <f t="shared" si="15"/>
        <v>2</v>
      </c>
      <c r="L256" s="32">
        <f t="shared" si="16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4"/>
        <v>18</v>
      </c>
      <c r="J257" s="147" t="s">
        <v>1874</v>
      </c>
      <c r="K257" s="31">
        <f t="shared" si="15"/>
        <v>10</v>
      </c>
      <c r="L257" s="32">
        <f t="shared" si="16"/>
        <v>0.6428571428571429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 t="s">
        <v>2213</v>
      </c>
      <c r="U257" s="70" t="s">
        <v>2213</v>
      </c>
      <c r="V257" s="70" t="s">
        <v>2213</v>
      </c>
      <c r="W257" s="70" t="s">
        <v>2213</v>
      </c>
      <c r="X257" s="70" t="s">
        <v>2213</v>
      </c>
      <c r="Y257" s="70" t="s">
        <v>2213</v>
      </c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4"/>
        <v>28</v>
      </c>
      <c r="J258" s="147" t="s">
        <v>1875</v>
      </c>
      <c r="K258" s="142">
        <f t="shared" si="15"/>
        <v>0</v>
      </c>
      <c r="L258" s="143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4"/>
        <v>27</v>
      </c>
      <c r="J259" s="147" t="s">
        <v>1876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4"/>
        <v>28</v>
      </c>
      <c r="J260" s="147" t="s">
        <v>1877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4"/>
        <v>27</v>
      </c>
      <c r="J261" s="147" t="s">
        <v>1864</v>
      </c>
      <c r="K261" s="31">
        <f t="shared" si="15"/>
        <v>1</v>
      </c>
      <c r="L261" s="32">
        <f t="shared" si="16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4"/>
        <v>28</v>
      </c>
      <c r="J262" s="147" t="s">
        <v>1878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4"/>
        <v>28</v>
      </c>
      <c r="J263" s="147" t="s">
        <v>1879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4"/>
        <v>28</v>
      </c>
      <c r="J264" s="147" t="s">
        <v>1880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4"/>
        <v>28</v>
      </c>
      <c r="J265" s="147" t="s">
        <v>1881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4"/>
        <v>28</v>
      </c>
      <c r="J266" s="147" t="s">
        <v>1882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4"/>
        <v>28</v>
      </c>
      <c r="J267" s="150" t="s">
        <v>1883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4"/>
        <v>28</v>
      </c>
      <c r="J268" s="147" t="s">
        <v>1884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4"/>
        <v>28</v>
      </c>
      <c r="J269" s="147" t="s">
        <v>1885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4"/>
        <v>28</v>
      </c>
      <c r="J270" s="147" t="s">
        <v>1886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4"/>
        <v>28</v>
      </c>
      <c r="J271" s="147" t="s">
        <v>1887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4"/>
        <v>28</v>
      </c>
      <c r="J272" s="147" t="s">
        <v>2218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4"/>
        <v>28</v>
      </c>
      <c r="J273" s="147" t="s">
        <v>2222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4"/>
        <v>28</v>
      </c>
      <c r="J274" s="147" t="s">
        <v>1888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4"/>
        <v>28</v>
      </c>
      <c r="J275" s="147" t="s">
        <v>1889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4"/>
        <v>28</v>
      </c>
      <c r="J276" s="147" t="s">
        <v>1890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4"/>
        <v>28</v>
      </c>
      <c r="J277" s="147" t="s">
        <v>1891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4"/>
        <v>28</v>
      </c>
      <c r="J278" s="147" t="s">
        <v>1892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4"/>
        <v>28</v>
      </c>
      <c r="J279" s="147" t="s">
        <v>1694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4"/>
        <v>15</v>
      </c>
      <c r="J280" s="147" t="s">
        <v>1893</v>
      </c>
      <c r="K280" s="31">
        <f t="shared" si="15"/>
        <v>13</v>
      </c>
      <c r="L280" s="32">
        <f t="shared" si="16"/>
        <v>0.5357142857142857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 t="s">
        <v>2213</v>
      </c>
      <c r="U280" s="70" t="s">
        <v>2213</v>
      </c>
      <c r="V280" s="70" t="s">
        <v>2213</v>
      </c>
      <c r="W280" s="70" t="s">
        <v>2213</v>
      </c>
      <c r="X280" s="70" t="s">
        <v>2213</v>
      </c>
      <c r="Y280" s="70" t="s">
        <v>2213</v>
      </c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4"/>
        <v>28</v>
      </c>
      <c r="J281" s="147" t="s">
        <v>1894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4"/>
        <v>27</v>
      </c>
      <c r="J282" s="147" t="s">
        <v>1895</v>
      </c>
      <c r="K282" s="142">
        <f t="shared" si="15"/>
        <v>1</v>
      </c>
      <c r="L282" s="143">
        <f t="shared" si="16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4"/>
        <v>28</v>
      </c>
      <c r="J283" s="147" t="s">
        <v>1896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4"/>
        <v>28</v>
      </c>
      <c r="J284" s="147" t="s">
        <v>1897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4"/>
        <v>28</v>
      </c>
      <c r="J285" s="87" t="s">
        <v>2196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4"/>
        <v>28</v>
      </c>
      <c r="J286" s="147" t="s">
        <v>1898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4"/>
        <v>28</v>
      </c>
      <c r="J287" s="147" t="s">
        <v>1899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4"/>
        <v>28</v>
      </c>
      <c r="J288" s="147" t="s">
        <v>1900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4"/>
        <v>25</v>
      </c>
      <c r="J289" s="147" t="s">
        <v>1901</v>
      </c>
      <c r="K289" s="31">
        <f t="shared" si="15"/>
        <v>3</v>
      </c>
      <c r="L289" s="32">
        <f t="shared" si="16"/>
        <v>0.8928571428571429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 t="s">
        <v>2213</v>
      </c>
      <c r="X289" s="70" t="s">
        <v>2213</v>
      </c>
      <c r="Y289" s="70" t="s">
        <v>2213</v>
      </c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4"/>
        <v>25</v>
      </c>
      <c r="J290" s="147" t="s">
        <v>1902</v>
      </c>
      <c r="K290" s="31">
        <f t="shared" si="15"/>
        <v>3</v>
      </c>
      <c r="L290" s="32">
        <f t="shared" si="16"/>
        <v>0.8928571428571429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4"/>
        <v>28</v>
      </c>
      <c r="J291" s="147" t="s">
        <v>1903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4"/>
        <v>28</v>
      </c>
      <c r="J292" s="147" t="s">
        <v>1904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4"/>
        <v>28</v>
      </c>
      <c r="J293" s="147" t="s">
        <v>1905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4"/>
        <v>28</v>
      </c>
      <c r="J294" s="147" t="s">
        <v>1906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4"/>
        <v>15</v>
      </c>
      <c r="J295" s="147" t="s">
        <v>1907</v>
      </c>
      <c r="K295" s="31">
        <f t="shared" si="15"/>
        <v>13</v>
      </c>
      <c r="L295" s="32">
        <f t="shared" si="16"/>
        <v>0.5357142857142857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 t="s">
        <v>2213</v>
      </c>
      <c r="V295" s="70" t="s">
        <v>2213</v>
      </c>
      <c r="W295" s="70" t="s">
        <v>2213</v>
      </c>
      <c r="X295" s="70" t="s">
        <v>2213</v>
      </c>
      <c r="Y295" s="70" t="s">
        <v>2213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4"/>
        <v>19</v>
      </c>
      <c r="J296" s="147" t="s">
        <v>1908</v>
      </c>
      <c r="K296" s="31">
        <f t="shared" si="15"/>
        <v>9</v>
      </c>
      <c r="L296" s="32">
        <f t="shared" si="16"/>
        <v>0.6785714285714286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4"/>
        <v>27</v>
      </c>
      <c r="J297" s="147" t="s">
        <v>1909</v>
      </c>
      <c r="K297" s="31">
        <f t="shared" si="15"/>
        <v>1</v>
      </c>
      <c r="L297" s="32">
        <f t="shared" si="16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4"/>
        <v>28</v>
      </c>
      <c r="J298" s="147" t="s">
        <v>1910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4"/>
        <v>28</v>
      </c>
      <c r="J299" s="147" t="s">
        <v>1911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4"/>
        <v>28</v>
      </c>
      <c r="J300" s="147" t="s">
        <v>1912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4"/>
        <v>28</v>
      </c>
      <c r="J301" s="147" t="s">
        <v>1913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4"/>
        <v>28</v>
      </c>
      <c r="J302" s="147" t="s">
        <v>1914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4"/>
        <v>28</v>
      </c>
      <c r="J303" s="147" t="s">
        <v>1915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4"/>
        <v>28</v>
      </c>
      <c r="J304" s="147" t="s">
        <v>1916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4"/>
        <v>28</v>
      </c>
      <c r="J305" s="147" t="s">
        <v>1917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4"/>
        <v>28</v>
      </c>
      <c r="J306" s="87"/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4"/>
        <v>15</v>
      </c>
      <c r="J307" s="147" t="s">
        <v>1918</v>
      </c>
      <c r="K307" s="142">
        <f t="shared" si="15"/>
        <v>13</v>
      </c>
      <c r="L307" s="143">
        <f t="shared" si="16"/>
        <v>0.5357142857142857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 t="s">
        <v>2213</v>
      </c>
      <c r="U307" s="70" t="s">
        <v>2213</v>
      </c>
      <c r="V307" s="70" t="s">
        <v>2213</v>
      </c>
      <c r="W307" s="70" t="s">
        <v>2213</v>
      </c>
      <c r="X307" s="70" t="s">
        <v>2213</v>
      </c>
      <c r="Y307" s="70" t="s">
        <v>2213</v>
      </c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4"/>
        <v>28</v>
      </c>
      <c r="J308" s="147" t="s">
        <v>2153</v>
      </c>
      <c r="K308" s="142">
        <f t="shared" si="15"/>
        <v>0</v>
      </c>
      <c r="L308" s="143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7">COUNTIF(M309:AN309,"")</f>
        <v>15</v>
      </c>
      <c r="J309" s="147" t="s">
        <v>1919</v>
      </c>
      <c r="K309" s="31">
        <f t="shared" ref="K309:K379" si="18">COUNTIF(M309:AN309,"APAGADO")</f>
        <v>13</v>
      </c>
      <c r="L309" s="32">
        <f t="shared" ref="L309:L379" si="19">(I309)/(K309+I309)</f>
        <v>0.5357142857142857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 t="s">
        <v>2213</v>
      </c>
      <c r="U309" s="70" t="s">
        <v>2213</v>
      </c>
      <c r="V309" s="70" t="s">
        <v>2213</v>
      </c>
      <c r="W309" s="70" t="s">
        <v>2213</v>
      </c>
      <c r="X309" s="70" t="s">
        <v>2213</v>
      </c>
      <c r="Y309" s="70" t="s">
        <v>2213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7"/>
        <v>15</v>
      </c>
      <c r="J310" s="147" t="s">
        <v>1920</v>
      </c>
      <c r="K310" s="142">
        <f t="shared" si="18"/>
        <v>13</v>
      </c>
      <c r="L310" s="143">
        <f t="shared" si="19"/>
        <v>0.5357142857142857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7"/>
        <v>15</v>
      </c>
      <c r="J311" s="87" t="s">
        <v>2197</v>
      </c>
      <c r="K311" s="142">
        <f t="shared" si="18"/>
        <v>13</v>
      </c>
      <c r="L311" s="143">
        <f t="shared" si="19"/>
        <v>0.5357142857142857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7"/>
        <v>15</v>
      </c>
      <c r="J312" s="147" t="s">
        <v>1921</v>
      </c>
      <c r="K312" s="142">
        <f t="shared" si="18"/>
        <v>13</v>
      </c>
      <c r="L312" s="143">
        <f t="shared" si="19"/>
        <v>0.5357142857142857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7"/>
        <v>16</v>
      </c>
      <c r="J313" s="147" t="s">
        <v>1922</v>
      </c>
      <c r="K313" s="31">
        <f t="shared" si="18"/>
        <v>12</v>
      </c>
      <c r="L313" s="32">
        <f t="shared" si="19"/>
        <v>0.5714285714285714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7"/>
        <v>21</v>
      </c>
      <c r="J314" s="147" t="s">
        <v>1923</v>
      </c>
      <c r="K314" s="31">
        <f t="shared" si="18"/>
        <v>7</v>
      </c>
      <c r="L314" s="32">
        <f t="shared" si="19"/>
        <v>0.75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 t="s">
        <v>2213</v>
      </c>
      <c r="U314" s="70"/>
      <c r="V314" s="70"/>
      <c r="W314" s="70" t="s">
        <v>2213</v>
      </c>
      <c r="X314" s="70" t="s">
        <v>2213</v>
      </c>
      <c r="Y314" s="70" t="s">
        <v>2213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7"/>
        <v>27</v>
      </c>
      <c r="J315" s="147" t="s">
        <v>1924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7"/>
        <v>27</v>
      </c>
      <c r="J316" s="147" t="s">
        <v>1925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7"/>
        <v>27</v>
      </c>
      <c r="J317" s="147" t="s">
        <v>1926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7"/>
        <v>27</v>
      </c>
      <c r="J318" s="147" t="s">
        <v>1927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7"/>
        <v>28</v>
      </c>
      <c r="J319" s="147" t="s">
        <v>1928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7"/>
        <v>28</v>
      </c>
      <c r="J320" s="147" t="s">
        <v>1929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7"/>
        <v>28</v>
      </c>
      <c r="J321" s="147" t="s">
        <v>1930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7"/>
        <v>28</v>
      </c>
      <c r="J322" s="147" t="s">
        <v>1931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7"/>
        <v>28</v>
      </c>
      <c r="J323" s="147" t="s">
        <v>1932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7"/>
        <v>28</v>
      </c>
      <c r="J324" s="147" t="s">
        <v>1933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7"/>
        <v>28</v>
      </c>
      <c r="J325" s="147" t="s">
        <v>1934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7"/>
        <v>28</v>
      </c>
      <c r="J326" s="147" t="s">
        <v>1935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7"/>
        <v>28</v>
      </c>
      <c r="J327" s="147" t="s">
        <v>1936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7"/>
        <v>28</v>
      </c>
      <c r="J328" s="147" t="s">
        <v>1937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7"/>
        <v>28</v>
      </c>
      <c r="J329" s="153" t="s">
        <v>2241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7"/>
        <v>28</v>
      </c>
      <c r="J330" s="147" t="s">
        <v>2245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7"/>
        <v>28</v>
      </c>
      <c r="J331" s="147" t="s">
        <v>1938</v>
      </c>
      <c r="K331" s="87">
        <f t="shared" si="18"/>
        <v>0</v>
      </c>
      <c r="L331" s="88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7"/>
        <v>27</v>
      </c>
      <c r="J332" s="147" t="s">
        <v>1939</v>
      </c>
      <c r="K332" s="31">
        <f t="shared" si="18"/>
        <v>1</v>
      </c>
      <c r="L332" s="32">
        <f t="shared" si="19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7"/>
        <v>28</v>
      </c>
      <c r="J333" s="147" t="s">
        <v>1940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7"/>
        <v>28</v>
      </c>
      <c r="J334" s="147" t="s">
        <v>1941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7"/>
        <v>28</v>
      </c>
      <c r="J335" s="147" t="s">
        <v>1942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7"/>
        <v>28</v>
      </c>
      <c r="J336" s="147" t="s">
        <v>1943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7"/>
        <v>28</v>
      </c>
      <c r="J337" s="147" t="s">
        <v>1944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7"/>
        <v>28</v>
      </c>
      <c r="J338" s="147" t="s">
        <v>1945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7"/>
        <v>28</v>
      </c>
      <c r="J339" s="147" t="s">
        <v>1946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7"/>
        <v>28</v>
      </c>
      <c r="J340" s="147" t="s">
        <v>1947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7"/>
        <v>28</v>
      </c>
      <c r="J341" s="147" t="s">
        <v>1948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7"/>
        <v>28</v>
      </c>
      <c r="J342" s="147" t="s">
        <v>1949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7"/>
        <v>28</v>
      </c>
      <c r="J343" s="147" t="s">
        <v>1950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7"/>
        <v>28</v>
      </c>
      <c r="J344" s="87"/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7"/>
        <v>28</v>
      </c>
      <c r="J346" s="147" t="s">
        <v>1951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7"/>
        <v>18</v>
      </c>
      <c r="J347" s="87"/>
      <c r="K347" s="142">
        <f t="shared" si="18"/>
        <v>10</v>
      </c>
      <c r="L347" s="143">
        <f t="shared" si="19"/>
        <v>0.6428571428571429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 t="s">
        <v>2213</v>
      </c>
      <c r="U347" s="70" t="s">
        <v>2213</v>
      </c>
      <c r="V347" s="70" t="s">
        <v>2213</v>
      </c>
      <c r="W347" s="70" t="s">
        <v>2213</v>
      </c>
      <c r="X347" s="70" t="s">
        <v>2213</v>
      </c>
      <c r="Y347" s="70" t="s">
        <v>2213</v>
      </c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7"/>
        <v>18</v>
      </c>
      <c r="J348" s="87"/>
      <c r="K348" s="142">
        <f t="shared" si="18"/>
        <v>10</v>
      </c>
      <c r="L348" s="143">
        <f t="shared" si="19"/>
        <v>0.6428571428571429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7"/>
        <v>28</v>
      </c>
      <c r="J349" s="147" t="s">
        <v>1952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7"/>
        <v>15</v>
      </c>
      <c r="J350" s="147" t="s">
        <v>1953</v>
      </c>
      <c r="K350" s="142">
        <f t="shared" si="18"/>
        <v>13</v>
      </c>
      <c r="L350" s="143">
        <f t="shared" si="19"/>
        <v>0.5357142857142857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 t="s">
        <v>2213</v>
      </c>
      <c r="U350" s="70" t="s">
        <v>2213</v>
      </c>
      <c r="V350" s="70" t="s">
        <v>2213</v>
      </c>
      <c r="W350" s="70" t="s">
        <v>2213</v>
      </c>
      <c r="X350" s="70" t="s">
        <v>2213</v>
      </c>
      <c r="Y350" s="70" t="s">
        <v>2213</v>
      </c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7"/>
        <v>15</v>
      </c>
      <c r="J351" s="147" t="s">
        <v>1954</v>
      </c>
      <c r="K351" s="142">
        <f t="shared" si="18"/>
        <v>13</v>
      </c>
      <c r="L351" s="143">
        <f t="shared" si="19"/>
        <v>0.5357142857142857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7"/>
        <v>28</v>
      </c>
      <c r="J352" s="147" t="s">
        <v>1955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7"/>
        <v>28</v>
      </c>
      <c r="J353" s="147" t="s">
        <v>1956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7"/>
        <v>28</v>
      </c>
      <c r="J354" s="147" t="s">
        <v>1957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7"/>
        <v>28</v>
      </c>
      <c r="J355" s="147" t="s">
        <v>1958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7"/>
        <v>28</v>
      </c>
      <c r="J356" s="147" t="s">
        <v>1959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7"/>
        <v>28</v>
      </c>
      <c r="J357" s="147" t="s">
        <v>1960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7"/>
        <v>28</v>
      </c>
      <c r="J358" s="147" t="s">
        <v>1961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7"/>
        <v>28</v>
      </c>
      <c r="J359" s="147" t="s">
        <v>1962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7"/>
        <v>28</v>
      </c>
      <c r="J360" s="147" t="s">
        <v>1963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7"/>
        <v>28</v>
      </c>
      <c r="J361" s="147" t="s">
        <v>1964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7"/>
        <v>28</v>
      </c>
      <c r="J362" s="147" t="s">
        <v>1965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7"/>
        <v>28</v>
      </c>
      <c r="J363" s="147" t="s">
        <v>2147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7"/>
        <v>28</v>
      </c>
      <c r="J364" s="147" t="s">
        <v>1966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7"/>
        <v>28</v>
      </c>
      <c r="J365" s="147" t="s">
        <v>1967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7"/>
        <v>28</v>
      </c>
      <c r="J366" s="87"/>
      <c r="K366" s="142">
        <f t="shared" si="18"/>
        <v>0</v>
      </c>
      <c r="L366" s="143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7"/>
        <v>28</v>
      </c>
      <c r="J367" s="153" t="s">
        <v>2180</v>
      </c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7"/>
        <v>27</v>
      </c>
      <c r="J368" s="147" t="s">
        <v>1968</v>
      </c>
      <c r="K368" s="31">
        <f t="shared" si="18"/>
        <v>1</v>
      </c>
      <c r="L368" s="32">
        <f t="shared" si="19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7"/>
        <v>28</v>
      </c>
      <c r="J369" s="87"/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7"/>
        <v>25</v>
      </c>
      <c r="J370" s="147" t="s">
        <v>1969</v>
      </c>
      <c r="K370" s="31">
        <f t="shared" si="18"/>
        <v>3</v>
      </c>
      <c r="L370" s="32">
        <f t="shared" si="19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7"/>
        <v>25</v>
      </c>
      <c r="J371" s="147" t="s">
        <v>1970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7"/>
        <v>27</v>
      </c>
      <c r="J372" s="147" t="s">
        <v>1971</v>
      </c>
      <c r="K372" s="31">
        <f t="shared" si="18"/>
        <v>1</v>
      </c>
      <c r="L372" s="32">
        <f t="shared" si="19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7"/>
        <v>27</v>
      </c>
      <c r="J373" s="147" t="s">
        <v>1972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7"/>
        <v>16</v>
      </c>
      <c r="J374" s="73"/>
      <c r="K374" s="31">
        <f t="shared" si="18"/>
        <v>12</v>
      </c>
      <c r="L374" s="32">
        <f t="shared" si="19"/>
        <v>0.5714285714285714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 t="s">
        <v>2213</v>
      </c>
      <c r="U374" s="70" t="s">
        <v>2213</v>
      </c>
      <c r="V374" s="70" t="s">
        <v>2213</v>
      </c>
      <c r="W374" s="70" t="s">
        <v>2213</v>
      </c>
      <c r="X374" s="70" t="s">
        <v>2213</v>
      </c>
      <c r="Y374" s="70" t="s">
        <v>2213</v>
      </c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7"/>
        <v>27</v>
      </c>
      <c r="J375" s="147" t="s">
        <v>1973</v>
      </c>
      <c r="K375" s="142">
        <f t="shared" si="18"/>
        <v>1</v>
      </c>
      <c r="L375" s="143">
        <f t="shared" si="19"/>
        <v>0.9642857142857143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2213</v>
      </c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7"/>
        <v>28</v>
      </c>
      <c r="J376" s="147" t="s">
        <v>1974</v>
      </c>
      <c r="K376" s="87">
        <f t="shared" si="18"/>
        <v>0</v>
      </c>
      <c r="L376" s="88">
        <f t="shared" si="19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7"/>
        <v>25</v>
      </c>
      <c r="J377" s="147" t="s">
        <v>1975</v>
      </c>
      <c r="K377" s="31">
        <f t="shared" si="18"/>
        <v>3</v>
      </c>
      <c r="L377" s="32">
        <f t="shared" si="19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7"/>
        <v>25</v>
      </c>
      <c r="J378" s="147" t="s">
        <v>1976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7"/>
        <v>25</v>
      </c>
      <c r="J379" s="147" t="s">
        <v>1977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20">COUNTIF(M380:AN380,"")</f>
        <v>25</v>
      </c>
      <c r="J380" s="147" t="s">
        <v>1978</v>
      </c>
      <c r="K380" s="31">
        <f t="shared" ref="K380:K459" si="21">COUNTIF(M380:AN380,"APAGADO")</f>
        <v>3</v>
      </c>
      <c r="L380" s="32">
        <f t="shared" ref="L380:L459" si="22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20"/>
        <v>25</v>
      </c>
      <c r="J381" s="147" t="s">
        <v>1979</v>
      </c>
      <c r="K381" s="31">
        <f t="shared" si="21"/>
        <v>3</v>
      </c>
      <c r="L381" s="32">
        <f t="shared" si="22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20"/>
        <v>24</v>
      </c>
      <c r="J382" s="147" t="s">
        <v>1980</v>
      </c>
      <c r="K382" s="31">
        <f t="shared" si="21"/>
        <v>4</v>
      </c>
      <c r="L382" s="32">
        <f t="shared" si="22"/>
        <v>0.8571428571428571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 t="s">
        <v>2213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20"/>
        <v>24</v>
      </c>
      <c r="J383" s="147" t="s">
        <v>1981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20"/>
        <v>25</v>
      </c>
      <c r="J384" s="147" t="s">
        <v>1982</v>
      </c>
      <c r="K384" s="31">
        <f t="shared" si="21"/>
        <v>3</v>
      </c>
      <c r="L384" s="32">
        <f t="shared" si="22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20"/>
        <v>25</v>
      </c>
      <c r="J385" s="147" t="s">
        <v>1983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20"/>
        <v>25</v>
      </c>
      <c r="J386" s="147" t="s">
        <v>1984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20"/>
        <v>15</v>
      </c>
      <c r="J387" s="147" t="s">
        <v>1985</v>
      </c>
      <c r="K387" s="31">
        <f t="shared" si="21"/>
        <v>13</v>
      </c>
      <c r="L387" s="32">
        <f t="shared" si="22"/>
        <v>0.5357142857142857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 t="s">
        <v>2213</v>
      </c>
      <c r="U387" s="70" t="s">
        <v>2213</v>
      </c>
      <c r="V387" s="70" t="s">
        <v>2213</v>
      </c>
      <c r="W387" s="70" t="s">
        <v>2213</v>
      </c>
      <c r="X387" s="70" t="s">
        <v>2213</v>
      </c>
      <c r="Y387" s="70" t="s">
        <v>2213</v>
      </c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20"/>
        <v>15</v>
      </c>
      <c r="J388" s="147" t="s">
        <v>1986</v>
      </c>
      <c r="K388" s="31">
        <f t="shared" si="21"/>
        <v>13</v>
      </c>
      <c r="L388" s="32">
        <f t="shared" si="22"/>
        <v>0.5357142857142857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20"/>
        <v>28</v>
      </c>
      <c r="J389" s="147" t="s">
        <v>1987</v>
      </c>
      <c r="K389" s="142">
        <f t="shared" si="21"/>
        <v>0</v>
      </c>
      <c r="L389" s="143">
        <f t="shared" si="22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20"/>
        <v>28</v>
      </c>
      <c r="J390" s="147" t="s">
        <v>1988</v>
      </c>
      <c r="K390" s="31">
        <f t="shared" si="21"/>
        <v>0</v>
      </c>
      <c r="L390" s="32">
        <f t="shared" si="22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20"/>
        <v>28</v>
      </c>
      <c r="J391" s="147" t="s">
        <v>1989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20"/>
        <v>15</v>
      </c>
      <c r="J392" s="87"/>
      <c r="K392" s="31">
        <f t="shared" si="21"/>
        <v>13</v>
      </c>
      <c r="L392" s="32">
        <f t="shared" si="22"/>
        <v>0.5357142857142857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 t="s">
        <v>2213</v>
      </c>
      <c r="U392" s="84" t="s">
        <v>2213</v>
      </c>
      <c r="V392" s="84" t="s">
        <v>2213</v>
      </c>
      <c r="W392" s="84" t="s">
        <v>2213</v>
      </c>
      <c r="X392" s="84" t="s">
        <v>2213</v>
      </c>
      <c r="Y392" s="84" t="s">
        <v>2213</v>
      </c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20"/>
        <v>20</v>
      </c>
      <c r="J393" s="87"/>
      <c r="K393" s="31">
        <f t="shared" si="21"/>
        <v>8</v>
      </c>
      <c r="L393" s="32">
        <f t="shared" si="22"/>
        <v>0.7142857142857143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 t="s">
        <v>2213</v>
      </c>
      <c r="U393" s="70" t="s">
        <v>2213</v>
      </c>
      <c r="V393" s="70"/>
      <c r="W393" s="70"/>
      <c r="X393" s="70" t="s">
        <v>2213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20"/>
        <v>28</v>
      </c>
      <c r="J394" s="147" t="s">
        <v>1990</v>
      </c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20"/>
        <v>21</v>
      </c>
      <c r="J395" s="87"/>
      <c r="K395" s="31">
        <f t="shared" si="21"/>
        <v>7</v>
      </c>
      <c r="L395" s="32">
        <f t="shared" si="22"/>
        <v>0.75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 t="s">
        <v>2213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20"/>
        <v>22</v>
      </c>
      <c r="J396" s="87"/>
      <c r="K396" s="31">
        <f t="shared" si="21"/>
        <v>6</v>
      </c>
      <c r="L396" s="32">
        <f t="shared" si="22"/>
        <v>0.7857142857142857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 t="s">
        <v>2213</v>
      </c>
      <c r="U396" s="70" t="s">
        <v>2213</v>
      </c>
      <c r="V396" s="70" t="s">
        <v>2213</v>
      </c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20"/>
        <v>15</v>
      </c>
      <c r="J397" s="147" t="s">
        <v>1991</v>
      </c>
      <c r="K397" s="87">
        <f t="shared" si="21"/>
        <v>13</v>
      </c>
      <c r="L397" s="88">
        <f t="shared" si="22"/>
        <v>0.5357142857142857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 t="s">
        <v>2213</v>
      </c>
      <c r="U397" s="89" t="s">
        <v>2213</v>
      </c>
      <c r="V397" s="89" t="s">
        <v>2213</v>
      </c>
      <c r="W397" s="89" t="s">
        <v>2213</v>
      </c>
      <c r="X397" s="89" t="s">
        <v>2213</v>
      </c>
      <c r="Y397" s="89" t="s">
        <v>2213</v>
      </c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20"/>
        <v>19</v>
      </c>
      <c r="J398" s="87"/>
      <c r="K398" s="31">
        <f t="shared" si="21"/>
        <v>9</v>
      </c>
      <c r="L398" s="32">
        <f t="shared" si="22"/>
        <v>0.6785714285714286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20"/>
        <v>15</v>
      </c>
      <c r="J399" s="147" t="s">
        <v>1992</v>
      </c>
      <c r="K399" s="31">
        <f t="shared" si="21"/>
        <v>13</v>
      </c>
      <c r="L399" s="32">
        <f t="shared" si="22"/>
        <v>0.5357142857142857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 t="s">
        <v>2213</v>
      </c>
      <c r="U399" s="70" t="s">
        <v>2213</v>
      </c>
      <c r="V399" s="70" t="s">
        <v>2213</v>
      </c>
      <c r="W399" s="70" t="s">
        <v>2213</v>
      </c>
      <c r="X399" s="70" t="s">
        <v>2213</v>
      </c>
      <c r="Y399" s="70" t="s">
        <v>2213</v>
      </c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20"/>
        <v>15</v>
      </c>
      <c r="J400" s="147" t="s">
        <v>1993</v>
      </c>
      <c r="K400" s="31">
        <f t="shared" si="21"/>
        <v>13</v>
      </c>
      <c r="L400" s="32">
        <f t="shared" si="22"/>
        <v>0.5357142857142857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 t="s">
        <v>2213</v>
      </c>
      <c r="W400" s="70" t="s">
        <v>2213</v>
      </c>
      <c r="X400" s="70" t="s">
        <v>2213</v>
      </c>
      <c r="Y400" s="70" t="s">
        <v>2213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20"/>
        <v>28</v>
      </c>
      <c r="J401" s="147" t="s">
        <v>1994</v>
      </c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20"/>
        <v>28</v>
      </c>
      <c r="J402" s="147" t="s">
        <v>1995</v>
      </c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20"/>
        <v>28</v>
      </c>
      <c r="J403" s="87"/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20"/>
        <v>28</v>
      </c>
      <c r="J404" s="87"/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20"/>
        <v>22</v>
      </c>
      <c r="J405" s="87" t="s">
        <v>2152</v>
      </c>
      <c r="K405" s="142">
        <f t="shared" si="21"/>
        <v>6</v>
      </c>
      <c r="L405" s="143">
        <f t="shared" si="22"/>
        <v>0.7857142857142857</v>
      </c>
      <c r="M405" s="70"/>
      <c r="N405" s="70"/>
      <c r="O405" s="70"/>
      <c r="P405" s="70"/>
      <c r="Q405" s="70"/>
      <c r="R405" s="70"/>
      <c r="S405" s="70"/>
      <c r="T405" s="70" t="s">
        <v>2213</v>
      </c>
      <c r="U405" s="70" t="s">
        <v>2213</v>
      </c>
      <c r="V405" s="70" t="s">
        <v>2213</v>
      </c>
      <c r="W405" s="70" t="s">
        <v>2213</v>
      </c>
      <c r="X405" s="70" t="s">
        <v>2213</v>
      </c>
      <c r="Y405" s="70" t="s">
        <v>2213</v>
      </c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20"/>
        <v>28</v>
      </c>
      <c r="J406" s="87" t="s">
        <v>2151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20"/>
        <v>28</v>
      </c>
      <c r="J407" s="87" t="s">
        <v>2202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20"/>
        <v>28</v>
      </c>
      <c r="J408" s="147" t="s">
        <v>1996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20"/>
        <v>28</v>
      </c>
      <c r="J409" s="147" t="s">
        <v>1997</v>
      </c>
      <c r="K409" s="142">
        <f t="shared" si="21"/>
        <v>0</v>
      </c>
      <c r="L409" s="143">
        <f t="shared" si="22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20"/>
        <v>28</v>
      </c>
      <c r="J410" s="147" t="s">
        <v>2272</v>
      </c>
      <c r="K410" s="142">
        <f t="shared" si="21"/>
        <v>0</v>
      </c>
      <c r="L410" s="143">
        <f t="shared" si="22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20"/>
        <v>18</v>
      </c>
      <c r="J411" s="147" t="s">
        <v>1998</v>
      </c>
      <c r="K411" s="142">
        <f t="shared" si="21"/>
        <v>10</v>
      </c>
      <c r="L411" s="143">
        <f t="shared" si="22"/>
        <v>0.6428571428571429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 t="s">
        <v>2213</v>
      </c>
      <c r="U411" s="70" t="s">
        <v>2213</v>
      </c>
      <c r="V411" s="70" t="s">
        <v>2213</v>
      </c>
      <c r="W411" s="70" t="s">
        <v>2213</v>
      </c>
      <c r="X411" s="70" t="s">
        <v>2213</v>
      </c>
      <c r="Y411" s="70" t="s">
        <v>2213</v>
      </c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20"/>
        <v>18</v>
      </c>
      <c r="J412" s="147" t="s">
        <v>1999</v>
      </c>
      <c r="K412" s="142">
        <f t="shared" si="21"/>
        <v>10</v>
      </c>
      <c r="L412" s="143">
        <f t="shared" si="22"/>
        <v>0.6428571428571429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 t="s">
        <v>2213</v>
      </c>
      <c r="U412" s="70" t="s">
        <v>2213</v>
      </c>
      <c r="V412" s="70" t="s">
        <v>2213</v>
      </c>
      <c r="W412" s="70" t="s">
        <v>2213</v>
      </c>
      <c r="X412" s="70" t="s">
        <v>2213</v>
      </c>
      <c r="Y412" s="70" t="s">
        <v>2213</v>
      </c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20"/>
        <v>15</v>
      </c>
      <c r="J413" s="87"/>
      <c r="K413" s="31">
        <f t="shared" si="21"/>
        <v>13</v>
      </c>
      <c r="L413" s="32">
        <f t="shared" si="22"/>
        <v>0.5357142857142857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20"/>
        <v>20</v>
      </c>
      <c r="J414" s="147" t="s">
        <v>2000</v>
      </c>
      <c r="K414" s="142">
        <f t="shared" si="21"/>
        <v>8</v>
      </c>
      <c r="L414" s="143">
        <f t="shared" si="22"/>
        <v>0.7142857142857143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/>
      <c r="W414" s="70" t="s">
        <v>2213</v>
      </c>
      <c r="X414" s="70" t="s">
        <v>2213</v>
      </c>
      <c r="Y414" s="70" t="s">
        <v>2213</v>
      </c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20"/>
        <v>28</v>
      </c>
      <c r="J415" s="147" t="s">
        <v>2001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20"/>
        <v>18</v>
      </c>
      <c r="J416" s="87"/>
      <c r="K416" s="31">
        <f t="shared" si="21"/>
        <v>10</v>
      </c>
      <c r="L416" s="32">
        <f t="shared" si="22"/>
        <v>0.6428571428571429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 t="s">
        <v>2213</v>
      </c>
      <c r="W416" s="70" t="s">
        <v>2213</v>
      </c>
      <c r="X416" s="70" t="s">
        <v>2213</v>
      </c>
      <c r="Y416" s="70" t="s">
        <v>2213</v>
      </c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20"/>
        <v>18</v>
      </c>
      <c r="J417" s="73" t="s">
        <v>2002</v>
      </c>
      <c r="K417" s="142">
        <f t="shared" si="21"/>
        <v>10</v>
      </c>
      <c r="L417" s="143">
        <f t="shared" si="22"/>
        <v>0.6428571428571429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 t="s">
        <v>2213</v>
      </c>
      <c r="U417" s="70" t="s">
        <v>2213</v>
      </c>
      <c r="V417" s="70" t="s">
        <v>2213</v>
      </c>
      <c r="W417" s="70" t="s">
        <v>2213</v>
      </c>
      <c r="X417" s="70" t="s">
        <v>2213</v>
      </c>
      <c r="Y417" s="70" t="s">
        <v>2213</v>
      </c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20"/>
        <v>17</v>
      </c>
      <c r="J418" s="147" t="s">
        <v>2003</v>
      </c>
      <c r="K418" s="31">
        <f t="shared" si="21"/>
        <v>11</v>
      </c>
      <c r="L418" s="32">
        <f t="shared" si="22"/>
        <v>0.6071428571428571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20"/>
        <v>17</v>
      </c>
      <c r="J419" s="147" t="s">
        <v>2004</v>
      </c>
      <c r="K419" s="31">
        <f t="shared" si="21"/>
        <v>11</v>
      </c>
      <c r="L419" s="32">
        <f t="shared" si="22"/>
        <v>0.6071428571428571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20"/>
        <v>19</v>
      </c>
      <c r="J420" s="147" t="s">
        <v>2005</v>
      </c>
      <c r="K420" s="31">
        <f t="shared" si="21"/>
        <v>9</v>
      </c>
      <c r="L420" s="32">
        <f t="shared" si="22"/>
        <v>0.6785714285714286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20"/>
        <v>19</v>
      </c>
      <c r="J421" s="147" t="s">
        <v>2006</v>
      </c>
      <c r="K421" s="31">
        <f t="shared" si="21"/>
        <v>9</v>
      </c>
      <c r="L421" s="32">
        <f t="shared" si="22"/>
        <v>0.6785714285714286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20"/>
        <v>18</v>
      </c>
      <c r="J422" s="147"/>
      <c r="K422" s="31">
        <f t="shared" si="21"/>
        <v>10</v>
      </c>
      <c r="L422" s="32">
        <f t="shared" si="22"/>
        <v>0.6428571428571429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20"/>
        <v>28</v>
      </c>
      <c r="J423" s="147" t="s">
        <v>2007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20"/>
        <v>28</v>
      </c>
      <c r="J424" s="147" t="s">
        <v>2008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20"/>
        <v>27</v>
      </c>
      <c r="J425" s="147" t="s">
        <v>2009</v>
      </c>
      <c r="K425" s="31">
        <f t="shared" si="21"/>
        <v>1</v>
      </c>
      <c r="L425" s="32">
        <f t="shared" si="22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20"/>
        <v>27</v>
      </c>
      <c r="J426" s="147" t="s">
        <v>2010</v>
      </c>
      <c r="K426" s="31">
        <f t="shared" si="21"/>
        <v>1</v>
      </c>
      <c r="L426" s="32">
        <f t="shared" si="22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20"/>
        <v>23</v>
      </c>
      <c r="J427" s="147" t="s">
        <v>2011</v>
      </c>
      <c r="K427" s="31">
        <f t="shared" si="21"/>
        <v>5</v>
      </c>
      <c r="L427" s="32">
        <f t="shared" si="22"/>
        <v>0.8214285714285714</v>
      </c>
      <c r="M427" s="70"/>
      <c r="N427" s="70"/>
      <c r="O427" s="70"/>
      <c r="P427" s="70" t="s">
        <v>2213</v>
      </c>
      <c r="Q427" s="70"/>
      <c r="R427" s="70"/>
      <c r="S427" s="70"/>
      <c r="T427" s="70" t="s">
        <v>2213</v>
      </c>
      <c r="U427" s="70"/>
      <c r="V427" s="70"/>
      <c r="W427" s="70" t="s">
        <v>2213</v>
      </c>
      <c r="X427" s="70" t="s">
        <v>2213</v>
      </c>
      <c r="Y427" s="70" t="s">
        <v>2213</v>
      </c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20"/>
        <v>20</v>
      </c>
      <c r="J428" s="147" t="s">
        <v>2012</v>
      </c>
      <c r="K428" s="31">
        <f t="shared" si="21"/>
        <v>8</v>
      </c>
      <c r="L428" s="32">
        <f t="shared" si="22"/>
        <v>0.7142857142857143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 t="s">
        <v>2213</v>
      </c>
      <c r="U428" s="70" t="s">
        <v>2213</v>
      </c>
      <c r="V428" s="70" t="s">
        <v>2213</v>
      </c>
      <c r="W428" s="70" t="s">
        <v>2213</v>
      </c>
      <c r="X428" s="70" t="s">
        <v>2213</v>
      </c>
      <c r="Y428" s="70" t="s">
        <v>2213</v>
      </c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20"/>
        <v>28</v>
      </c>
      <c r="J429" s="147" t="s">
        <v>2013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20"/>
        <v>28</v>
      </c>
      <c r="J430" s="147" t="s">
        <v>2014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20"/>
        <v>15</v>
      </c>
      <c r="J432" s="147" t="s">
        <v>2015</v>
      </c>
      <c r="K432" s="31">
        <f t="shared" si="21"/>
        <v>13</v>
      </c>
      <c r="L432" s="32">
        <f t="shared" si="22"/>
        <v>0.5357142857142857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 t="s">
        <v>2213</v>
      </c>
      <c r="U432" s="70" t="s">
        <v>2213</v>
      </c>
      <c r="V432" s="70" t="s">
        <v>2213</v>
      </c>
      <c r="W432" s="70" t="s">
        <v>2213</v>
      </c>
      <c r="X432" s="70" t="s">
        <v>2213</v>
      </c>
      <c r="Y432" s="70" t="s">
        <v>2213</v>
      </c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20"/>
        <v>28</v>
      </c>
      <c r="J433" s="147" t="s">
        <v>2016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20"/>
        <v>15</v>
      </c>
      <c r="J434" s="147" t="s">
        <v>2017</v>
      </c>
      <c r="K434" s="31">
        <f t="shared" si="21"/>
        <v>13</v>
      </c>
      <c r="L434" s="32">
        <f t="shared" si="22"/>
        <v>0.5357142857142857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20"/>
        <v>24</v>
      </c>
      <c r="J435" s="87"/>
      <c r="K435" s="31">
        <f t="shared" si="21"/>
        <v>4</v>
      </c>
      <c r="L435" s="32">
        <f t="shared" si="22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20"/>
        <v>27</v>
      </c>
      <c r="J436" s="87"/>
      <c r="K436" s="31">
        <f t="shared" si="21"/>
        <v>1</v>
      </c>
      <c r="L436" s="32">
        <f t="shared" si="22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18</v>
      </c>
      <c r="J438" s="87"/>
      <c r="K438" s="31">
        <f t="shared" si="21"/>
        <v>10</v>
      </c>
      <c r="L438" s="32">
        <f t="shared" si="22"/>
        <v>0.6428571428571429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 t="s">
        <v>2213</v>
      </c>
      <c r="V438" s="70" t="s">
        <v>2213</v>
      </c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20"/>
        <v>20</v>
      </c>
      <c r="J439" s="147" t="s">
        <v>2018</v>
      </c>
      <c r="K439" s="31">
        <f t="shared" si="21"/>
        <v>8</v>
      </c>
      <c r="L439" s="32">
        <f t="shared" si="22"/>
        <v>0.7142857142857143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 t="s">
        <v>2213</v>
      </c>
      <c r="U439" s="70"/>
      <c r="V439" s="70"/>
      <c r="W439" s="70" t="s">
        <v>2213</v>
      </c>
      <c r="X439" s="70" t="s">
        <v>2213</v>
      </c>
      <c r="Y439" s="70" t="s">
        <v>2213</v>
      </c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20"/>
        <v>15</v>
      </c>
      <c r="J440" s="147" t="s">
        <v>2019</v>
      </c>
      <c r="K440" s="31">
        <f t="shared" si="21"/>
        <v>13</v>
      </c>
      <c r="L440" s="32">
        <f t="shared" si="22"/>
        <v>0.5357142857142857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 t="s">
        <v>2213</v>
      </c>
      <c r="X440" s="70" t="s">
        <v>2213</v>
      </c>
      <c r="Y440" s="70" t="s">
        <v>2213</v>
      </c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20"/>
        <v>28</v>
      </c>
      <c r="J441" s="147" t="s">
        <v>2020</v>
      </c>
      <c r="K441" s="142">
        <f t="shared" si="21"/>
        <v>0</v>
      </c>
      <c r="L441" s="143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20"/>
        <v>28</v>
      </c>
      <c r="J442" s="147" t="s">
        <v>2021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20"/>
        <v>28</v>
      </c>
      <c r="J443" s="147" t="s">
        <v>2022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20"/>
        <v>23</v>
      </c>
      <c r="J444" s="147" t="s">
        <v>2023</v>
      </c>
      <c r="K444" s="31">
        <f t="shared" si="21"/>
        <v>5</v>
      </c>
      <c r="L444" s="32">
        <f t="shared" si="22"/>
        <v>0.8214285714285714</v>
      </c>
      <c r="M444" s="70"/>
      <c r="N444" s="70"/>
      <c r="O444" s="70"/>
      <c r="P444" s="70" t="s">
        <v>2213</v>
      </c>
      <c r="Q444" s="70"/>
      <c r="R444" s="70"/>
      <c r="S444" s="70"/>
      <c r="T444" s="70" t="s">
        <v>2213</v>
      </c>
      <c r="U444" s="70"/>
      <c r="V444" s="70"/>
      <c r="W444" s="70" t="s">
        <v>2213</v>
      </c>
      <c r="X444" s="70" t="s">
        <v>2213</v>
      </c>
      <c r="Y444" s="70" t="s">
        <v>2213</v>
      </c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20"/>
        <v>23</v>
      </c>
      <c r="J445" s="147" t="s">
        <v>2024</v>
      </c>
      <c r="K445" s="31">
        <f t="shared" si="21"/>
        <v>5</v>
      </c>
      <c r="L445" s="32">
        <f t="shared" si="22"/>
        <v>0.8214285714285714</v>
      </c>
      <c r="M445" s="70"/>
      <c r="N445" s="70"/>
      <c r="O445" s="70"/>
      <c r="P445" s="70" t="s">
        <v>2213</v>
      </c>
      <c r="Q445" s="70"/>
      <c r="R445" s="70"/>
      <c r="S445" s="70"/>
      <c r="T445" s="70" t="s">
        <v>2213</v>
      </c>
      <c r="U445" s="70"/>
      <c r="V445" s="70"/>
      <c r="W445" s="70" t="s">
        <v>2213</v>
      </c>
      <c r="X445" s="70" t="s">
        <v>2213</v>
      </c>
      <c r="Y445" s="70" t="s">
        <v>2213</v>
      </c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20"/>
        <v>15</v>
      </c>
      <c r="J446" s="147" t="s">
        <v>2025</v>
      </c>
      <c r="K446" s="31">
        <f t="shared" si="21"/>
        <v>13</v>
      </c>
      <c r="L446" s="32">
        <f t="shared" si="22"/>
        <v>0.5357142857142857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 t="s">
        <v>2213</v>
      </c>
      <c r="U446" s="70" t="s">
        <v>2213</v>
      </c>
      <c r="V446" s="70" t="s">
        <v>2213</v>
      </c>
      <c r="W446" s="70" t="s">
        <v>2213</v>
      </c>
      <c r="X446" s="70" t="s">
        <v>2213</v>
      </c>
      <c r="Y446" s="70" t="s">
        <v>2213</v>
      </c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20"/>
        <v>15</v>
      </c>
      <c r="J447" s="147" t="s">
        <v>2026</v>
      </c>
      <c r="K447" s="31">
        <f t="shared" si="21"/>
        <v>13</v>
      </c>
      <c r="L447" s="32">
        <f t="shared" si="22"/>
        <v>0.5357142857142857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 t="s">
        <v>2213</v>
      </c>
      <c r="U447" s="70" t="s">
        <v>2213</v>
      </c>
      <c r="V447" s="70" t="s">
        <v>2213</v>
      </c>
      <c r="W447" s="70" t="s">
        <v>2213</v>
      </c>
      <c r="X447" s="70" t="s">
        <v>2213</v>
      </c>
      <c r="Y447" s="70" t="s">
        <v>2213</v>
      </c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20"/>
        <v>28</v>
      </c>
      <c r="J453" s="153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20"/>
        <v>15</v>
      </c>
      <c r="J454" s="147" t="s">
        <v>2027</v>
      </c>
      <c r="K454" s="142">
        <f t="shared" si="21"/>
        <v>13</v>
      </c>
      <c r="L454" s="143">
        <f t="shared" si="22"/>
        <v>0.5357142857142857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 t="s">
        <v>2213</v>
      </c>
      <c r="U454" s="70" t="s">
        <v>2213</v>
      </c>
      <c r="V454" s="70" t="s">
        <v>2213</v>
      </c>
      <c r="W454" s="70" t="s">
        <v>2213</v>
      </c>
      <c r="X454" s="70" t="s">
        <v>2213</v>
      </c>
      <c r="Y454" s="70" t="s">
        <v>2213</v>
      </c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20"/>
        <v>15</v>
      </c>
      <c r="J455" s="147" t="s">
        <v>2028</v>
      </c>
      <c r="K455" s="142">
        <f t="shared" si="21"/>
        <v>13</v>
      </c>
      <c r="L455" s="143">
        <f t="shared" si="22"/>
        <v>0.5357142857142857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 t="s">
        <v>2213</v>
      </c>
      <c r="U455" s="70" t="s">
        <v>2213</v>
      </c>
      <c r="V455" s="70" t="s">
        <v>2213</v>
      </c>
      <c r="W455" s="70" t="s">
        <v>2213</v>
      </c>
      <c r="X455" s="70" t="s">
        <v>2213</v>
      </c>
      <c r="Y455" s="70" t="s">
        <v>2213</v>
      </c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20"/>
        <v>15</v>
      </c>
      <c r="J456" s="87"/>
      <c r="K456" s="142">
        <f t="shared" si="21"/>
        <v>13</v>
      </c>
      <c r="L456" s="143">
        <f t="shared" si="22"/>
        <v>0.5357142857142857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20"/>
        <v>28</v>
      </c>
      <c r="J457" s="153" t="s">
        <v>2146</v>
      </c>
      <c r="K457" s="142">
        <f t="shared" si="21"/>
        <v>0</v>
      </c>
      <c r="L457" s="143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20"/>
        <v>27</v>
      </c>
      <c r="J458" s="147" t="s">
        <v>2029</v>
      </c>
      <c r="K458" s="31">
        <f t="shared" si="21"/>
        <v>1</v>
      </c>
      <c r="L458" s="32">
        <f t="shared" si="22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20"/>
        <v>27</v>
      </c>
      <c r="J459" s="147" t="s">
        <v>2030</v>
      </c>
      <c r="K459" s="31">
        <f t="shared" si="21"/>
        <v>1</v>
      </c>
      <c r="L459" s="32">
        <f t="shared" si="22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3">COUNTIF(M460:AN460,"")</f>
        <v>28</v>
      </c>
      <c r="J460" s="147" t="s">
        <v>2031</v>
      </c>
      <c r="K460" s="31">
        <f t="shared" ref="K460:K532" si="24">COUNTIF(M460:AN460,"APAGADO")</f>
        <v>0</v>
      </c>
      <c r="L460" s="32">
        <f t="shared" ref="L460:L532" si="25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3"/>
        <v>28</v>
      </c>
      <c r="J461" s="147" t="s">
        <v>2032</v>
      </c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3"/>
        <v>28</v>
      </c>
      <c r="J462" s="147" t="s">
        <v>2033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3"/>
        <v>28</v>
      </c>
      <c r="J463" s="147" t="s">
        <v>2034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3"/>
        <v>28</v>
      </c>
      <c r="J464" s="147" t="s">
        <v>2035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3"/>
        <v>28</v>
      </c>
      <c r="J465" s="147" t="s">
        <v>2036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3"/>
        <v>28</v>
      </c>
      <c r="J466" s="147" t="s">
        <v>2037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3"/>
        <v>28</v>
      </c>
      <c r="J467" s="147" t="s">
        <v>2038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3"/>
        <v>28</v>
      </c>
      <c r="J468" s="147" t="s">
        <v>2039</v>
      </c>
      <c r="K468" s="87">
        <f t="shared" si="24"/>
        <v>0</v>
      </c>
      <c r="L468" s="88">
        <f t="shared" si="25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3"/>
        <v>28</v>
      </c>
      <c r="J469" s="147" t="s">
        <v>2040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3"/>
        <v>28</v>
      </c>
      <c r="J470" s="147" t="s">
        <v>2041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3"/>
        <v>28</v>
      </c>
      <c r="J471" s="147" t="s">
        <v>2042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3"/>
        <v>28</v>
      </c>
      <c r="J472" s="147" t="s">
        <v>2043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3"/>
        <v>28</v>
      </c>
      <c r="J473" s="87" t="s">
        <v>2166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3"/>
        <v>28</v>
      </c>
      <c r="J474" s="87" t="s">
        <v>2167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3"/>
        <v>28</v>
      </c>
      <c r="J475" s="87" t="s">
        <v>2168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3"/>
        <v>28</v>
      </c>
      <c r="J476" s="87" t="s">
        <v>2169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3"/>
        <v>28</v>
      </c>
      <c r="J477" s="147" t="s">
        <v>2044</v>
      </c>
      <c r="K477" s="142">
        <f t="shared" si="24"/>
        <v>0</v>
      </c>
      <c r="L477" s="143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3"/>
        <v>18</v>
      </c>
      <c r="J478" s="87"/>
      <c r="K478" s="31">
        <f t="shared" si="24"/>
        <v>10</v>
      </c>
      <c r="L478" s="32">
        <f t="shared" si="25"/>
        <v>0.6428571428571429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 t="s">
        <v>2213</v>
      </c>
      <c r="U478" s="70" t="s">
        <v>2213</v>
      </c>
      <c r="V478" s="70" t="s">
        <v>2213</v>
      </c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3"/>
        <v>22</v>
      </c>
      <c r="J479" s="87"/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 t="s">
        <v>2213</v>
      </c>
      <c r="U479" s="70" t="s">
        <v>2213</v>
      </c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3"/>
        <v>22</v>
      </c>
      <c r="J480" s="87"/>
      <c r="K480" s="31">
        <f t="shared" si="24"/>
        <v>6</v>
      </c>
      <c r="L480" s="32">
        <f t="shared" si="25"/>
        <v>0.7857142857142857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3"/>
        <v>22</v>
      </c>
      <c r="J481" s="87"/>
      <c r="K481" s="31">
        <f t="shared" si="24"/>
        <v>6</v>
      </c>
      <c r="L481" s="32">
        <f t="shared" si="25"/>
        <v>0.7857142857142857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3"/>
        <v>22</v>
      </c>
      <c r="J482" s="87"/>
      <c r="K482" s="31">
        <f t="shared" si="24"/>
        <v>6</v>
      </c>
      <c r="L482" s="32">
        <f t="shared" si="25"/>
        <v>0.7857142857142857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3"/>
        <v>27</v>
      </c>
      <c r="J483" s="147" t="s">
        <v>2045</v>
      </c>
      <c r="K483" s="31">
        <f t="shared" si="24"/>
        <v>1</v>
      </c>
      <c r="L483" s="32">
        <f t="shared" si="25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3"/>
        <v>28</v>
      </c>
      <c r="J484" s="147" t="s">
        <v>2046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3"/>
        <v>28</v>
      </c>
      <c r="J485" s="147" t="s">
        <v>2047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3"/>
        <v>28</v>
      </c>
      <c r="J486" s="147" t="s">
        <v>2048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3"/>
        <v>28</v>
      </c>
      <c r="J487" s="147" t="s">
        <v>2049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3"/>
        <v>26</v>
      </c>
      <c r="J488" s="147" t="s">
        <v>2050</v>
      </c>
      <c r="K488" s="31">
        <f t="shared" si="24"/>
        <v>2</v>
      </c>
      <c r="L488" s="32">
        <f t="shared" si="25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3"/>
        <v>28</v>
      </c>
      <c r="J489" s="147" t="s">
        <v>2051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3"/>
        <v>27</v>
      </c>
      <c r="J490" s="147" t="s">
        <v>2052</v>
      </c>
      <c r="K490" s="31">
        <f t="shared" si="24"/>
        <v>1</v>
      </c>
      <c r="L490" s="32">
        <f t="shared" si="25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3"/>
        <v>28</v>
      </c>
      <c r="J491" s="147" t="s">
        <v>2053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3"/>
        <v>28</v>
      </c>
      <c r="J492" s="147" t="s">
        <v>2054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3"/>
        <v>26</v>
      </c>
      <c r="J493" s="147" t="s">
        <v>2055</v>
      </c>
      <c r="K493" s="31">
        <f t="shared" si="24"/>
        <v>2</v>
      </c>
      <c r="L493" s="32">
        <f t="shared" si="25"/>
        <v>0.9285714285714286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 t="s">
        <v>2213</v>
      </c>
      <c r="X493" s="70" t="s">
        <v>2213</v>
      </c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3"/>
        <v>28</v>
      </c>
      <c r="J494" s="147" t="s">
        <v>2056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3"/>
        <v>28</v>
      </c>
      <c r="J495" s="147" t="s">
        <v>2057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3"/>
        <v>28</v>
      </c>
      <c r="J496" s="147" t="s">
        <v>2058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3"/>
        <v>28</v>
      </c>
      <c r="J497" s="147" t="s">
        <v>2059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3"/>
        <v>28</v>
      </c>
      <c r="J498" s="147" t="s">
        <v>2060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3"/>
        <v>28</v>
      </c>
      <c r="J499" s="147" t="s">
        <v>2061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3"/>
        <v>26</v>
      </c>
      <c r="J500" s="147" t="s">
        <v>2062</v>
      </c>
      <c r="K500" s="31">
        <f t="shared" si="24"/>
        <v>2</v>
      </c>
      <c r="L500" s="32">
        <f t="shared" si="25"/>
        <v>0.9285714285714286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 t="s">
        <v>2213</v>
      </c>
      <c r="X500" s="70" t="s">
        <v>2213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3"/>
        <v>28</v>
      </c>
      <c r="J501" s="147" t="s">
        <v>2063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3"/>
        <v>18</v>
      </c>
      <c r="J502" s="147" t="s">
        <v>2064</v>
      </c>
      <c r="K502" s="31">
        <f t="shared" si="24"/>
        <v>10</v>
      </c>
      <c r="L502" s="32">
        <f t="shared" si="25"/>
        <v>0.6428571428571429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 t="s">
        <v>2213</v>
      </c>
      <c r="U502" s="70" t="s">
        <v>2213</v>
      </c>
      <c r="V502" s="70" t="s">
        <v>2213</v>
      </c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3"/>
        <v>28</v>
      </c>
      <c r="J503" s="147" t="s">
        <v>2065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3"/>
        <v>28</v>
      </c>
      <c r="J504" s="147" t="s">
        <v>2066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3"/>
        <v>26</v>
      </c>
      <c r="J505" s="147" t="s">
        <v>2067</v>
      </c>
      <c r="K505" s="31">
        <f t="shared" si="24"/>
        <v>2</v>
      </c>
      <c r="L505" s="32">
        <f t="shared" si="25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 t="s">
        <v>2213</v>
      </c>
      <c r="X505" s="70" t="s">
        <v>2213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3"/>
        <v>28</v>
      </c>
      <c r="J506" s="147" t="s">
        <v>2068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3"/>
        <v>15</v>
      </c>
      <c r="J507" s="147" t="s">
        <v>2069</v>
      </c>
      <c r="K507" s="31">
        <f t="shared" si="24"/>
        <v>13</v>
      </c>
      <c r="L507" s="32">
        <f t="shared" si="25"/>
        <v>0.5357142857142857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 t="s">
        <v>2213</v>
      </c>
      <c r="U507" s="70" t="s">
        <v>2213</v>
      </c>
      <c r="V507" s="70" t="s">
        <v>2213</v>
      </c>
      <c r="W507" s="70" t="s">
        <v>2213</v>
      </c>
      <c r="X507" s="70" t="s">
        <v>2213</v>
      </c>
      <c r="Y507" s="70" t="s">
        <v>2213</v>
      </c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3"/>
        <v>26</v>
      </c>
      <c r="J508" s="147" t="s">
        <v>2070</v>
      </c>
      <c r="K508" s="31">
        <f t="shared" si="24"/>
        <v>2</v>
      </c>
      <c r="L508" s="32">
        <f t="shared" si="25"/>
        <v>0.9285714285714286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3"/>
        <v>28</v>
      </c>
      <c r="J509" s="73"/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3"/>
        <v>28</v>
      </c>
      <c r="J510" s="147" t="s">
        <v>2071</v>
      </c>
      <c r="K510" s="142">
        <f t="shared" si="24"/>
        <v>0</v>
      </c>
      <c r="L510" s="143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3"/>
        <v>26</v>
      </c>
      <c r="J511" s="147" t="s">
        <v>2072</v>
      </c>
      <c r="K511" s="31">
        <f t="shared" si="24"/>
        <v>2</v>
      </c>
      <c r="L511" s="32">
        <f t="shared" si="25"/>
        <v>0.9285714285714286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3"/>
        <v>26</v>
      </c>
      <c r="J512" s="147" t="s">
        <v>2073</v>
      </c>
      <c r="K512" s="31">
        <f t="shared" si="24"/>
        <v>2</v>
      </c>
      <c r="L512" s="32">
        <f t="shared" si="25"/>
        <v>0.9285714285714286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 t="s">
        <v>2213</v>
      </c>
      <c r="X512" s="70" t="s">
        <v>2213</v>
      </c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3"/>
        <v>28</v>
      </c>
      <c r="J513" s="147" t="s">
        <v>2074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3"/>
        <v>28</v>
      </c>
      <c r="J514" s="147" t="s">
        <v>2075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3"/>
        <v>28</v>
      </c>
      <c r="J515" s="147" t="s">
        <v>2076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3"/>
        <v>28</v>
      </c>
      <c r="J516" s="147" t="s">
        <v>2077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3"/>
        <v>15</v>
      </c>
      <c r="J517" s="147" t="s">
        <v>2078</v>
      </c>
      <c r="K517" s="142">
        <f t="shared" si="24"/>
        <v>13</v>
      </c>
      <c r="L517" s="143">
        <f t="shared" si="25"/>
        <v>0.5357142857142857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 t="s">
        <v>2213</v>
      </c>
      <c r="U517" s="70" t="s">
        <v>2213</v>
      </c>
      <c r="V517" s="70" t="s">
        <v>2213</v>
      </c>
      <c r="W517" s="70" t="s">
        <v>2213</v>
      </c>
      <c r="X517" s="70" t="s">
        <v>2213</v>
      </c>
      <c r="Y517" s="70" t="s">
        <v>2213</v>
      </c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3"/>
        <v>28</v>
      </c>
      <c r="J518" s="147" t="s">
        <v>2079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3"/>
        <v>28</v>
      </c>
      <c r="J519" s="147" t="s">
        <v>2080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3"/>
        <v>26</v>
      </c>
      <c r="J520" s="147" t="s">
        <v>2081</v>
      </c>
      <c r="K520" s="142">
        <f t="shared" si="24"/>
        <v>2</v>
      </c>
      <c r="L520" s="143">
        <f t="shared" si="25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3"/>
        <v>28</v>
      </c>
      <c r="J521" s="147" t="s">
        <v>2230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3"/>
        <v>25</v>
      </c>
      <c r="J522" s="147" t="s">
        <v>2234</v>
      </c>
      <c r="K522" s="142">
        <f t="shared" si="24"/>
        <v>3</v>
      </c>
      <c r="L522" s="143">
        <f t="shared" si="25"/>
        <v>0.8928571428571429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 t="s">
        <v>2213</v>
      </c>
      <c r="X522" s="70" t="s">
        <v>2213</v>
      </c>
      <c r="Y522" s="70" t="s">
        <v>2213</v>
      </c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3"/>
        <v>25</v>
      </c>
      <c r="J523" s="147" t="s">
        <v>2082</v>
      </c>
      <c r="K523" s="31">
        <f t="shared" si="24"/>
        <v>3</v>
      </c>
      <c r="L523" s="32">
        <f t="shared" si="25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3"/>
        <v>25</v>
      </c>
      <c r="J524" s="147" t="s">
        <v>2083</v>
      </c>
      <c r="K524" s="31">
        <f t="shared" si="24"/>
        <v>3</v>
      </c>
      <c r="L524" s="32">
        <f t="shared" si="25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3"/>
        <v>28</v>
      </c>
      <c r="J525" s="147" t="s">
        <v>2084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3"/>
        <v>24</v>
      </c>
      <c r="J527" s="147" t="s">
        <v>2086</v>
      </c>
      <c r="K527" s="31">
        <f t="shared" si="24"/>
        <v>4</v>
      </c>
      <c r="L527" s="32">
        <f t="shared" si="25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3"/>
        <v>24</v>
      </c>
      <c r="J528" s="147" t="s">
        <v>2087</v>
      </c>
      <c r="K528" s="31">
        <f t="shared" si="24"/>
        <v>4</v>
      </c>
      <c r="L528" s="32">
        <f t="shared" si="25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3"/>
        <v>25</v>
      </c>
      <c r="J529" s="73"/>
      <c r="K529" s="31">
        <f t="shared" si="24"/>
        <v>3</v>
      </c>
      <c r="L529" s="32">
        <f t="shared" si="25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3"/>
        <v>24</v>
      </c>
      <c r="J530" s="147" t="s">
        <v>2088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3"/>
        <v>28</v>
      </c>
      <c r="J531" s="147" t="s">
        <v>2089</v>
      </c>
      <c r="K531" s="142">
        <f t="shared" si="24"/>
        <v>0</v>
      </c>
      <c r="L531" s="143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3"/>
        <v>28</v>
      </c>
      <c r="J532" s="147" t="s">
        <v>2090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6">COUNTIF(M533:AN533,"")</f>
        <v>28</v>
      </c>
      <c r="J533" s="147" t="s">
        <v>2091</v>
      </c>
      <c r="K533" s="142">
        <f t="shared" ref="K533:K577" si="27">COUNTIF(M533:AN533,"APAGADO")</f>
        <v>0</v>
      </c>
      <c r="L533" s="143">
        <f t="shared" ref="L533:L577" si="28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6"/>
        <v>28</v>
      </c>
      <c r="J534" s="147" t="s">
        <v>2092</v>
      </c>
      <c r="K534" s="142">
        <f t="shared" si="27"/>
        <v>0</v>
      </c>
      <c r="L534" s="143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6"/>
        <v>27</v>
      </c>
      <c r="J535" s="147" t="s">
        <v>2093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6"/>
        <v>15</v>
      </c>
      <c r="J536" s="147" t="s">
        <v>2094</v>
      </c>
      <c r="K536" s="142">
        <f t="shared" si="27"/>
        <v>13</v>
      </c>
      <c r="L536" s="143">
        <f t="shared" si="28"/>
        <v>0.5357142857142857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 t="s">
        <v>2213</v>
      </c>
      <c r="U536" s="70" t="s">
        <v>2213</v>
      </c>
      <c r="V536" s="70" t="s">
        <v>2213</v>
      </c>
      <c r="W536" s="70" t="s">
        <v>2213</v>
      </c>
      <c r="X536" s="70" t="s">
        <v>2213</v>
      </c>
      <c r="Y536" s="70" t="s">
        <v>2213</v>
      </c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6"/>
        <v>28</v>
      </c>
      <c r="J537" s="147" t="s">
        <v>2200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6"/>
        <v>28</v>
      </c>
      <c r="J538" s="147" t="s">
        <v>2137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6"/>
        <v>18</v>
      </c>
      <c r="J539" s="147" t="s">
        <v>2095</v>
      </c>
      <c r="K539" s="142">
        <f t="shared" si="27"/>
        <v>10</v>
      </c>
      <c r="L539" s="143">
        <f t="shared" si="28"/>
        <v>0.6428571428571429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6"/>
        <v>18</v>
      </c>
      <c r="J540" s="147" t="s">
        <v>2096</v>
      </c>
      <c r="K540" s="142">
        <f t="shared" si="27"/>
        <v>10</v>
      </c>
      <c r="L540" s="143">
        <f t="shared" si="28"/>
        <v>0.6428571428571429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 t="s">
        <v>2213</v>
      </c>
      <c r="U540" s="70" t="s">
        <v>2213</v>
      </c>
      <c r="V540" s="70" t="s">
        <v>2213</v>
      </c>
      <c r="W540" s="70" t="s">
        <v>2213</v>
      </c>
      <c r="X540" s="70" t="s">
        <v>2213</v>
      </c>
      <c r="Y540" s="70" t="s">
        <v>2213</v>
      </c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6"/>
        <v>18</v>
      </c>
      <c r="J541" s="147" t="s">
        <v>2097</v>
      </c>
      <c r="K541" s="142">
        <f t="shared" si="27"/>
        <v>10</v>
      </c>
      <c r="L541" s="143">
        <f t="shared" si="28"/>
        <v>0.6428571428571429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 t="s">
        <v>2213</v>
      </c>
      <c r="Y541" s="70" t="s">
        <v>2213</v>
      </c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6"/>
        <v>18</v>
      </c>
      <c r="J542" s="147" t="s">
        <v>2098</v>
      </c>
      <c r="K542" s="142">
        <f t="shared" si="27"/>
        <v>10</v>
      </c>
      <c r="L542" s="143">
        <f t="shared" si="28"/>
        <v>0.6428571428571429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6"/>
        <v>28</v>
      </c>
      <c r="J543" s="87" t="s">
        <v>2188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6"/>
        <v>28</v>
      </c>
      <c r="J544" s="87"/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6"/>
        <v>15</v>
      </c>
      <c r="J545" s="87" t="s">
        <v>2189</v>
      </c>
      <c r="K545" s="142">
        <f t="shared" si="27"/>
        <v>13</v>
      </c>
      <c r="L545" s="143">
        <f t="shared" si="28"/>
        <v>0.5357142857142857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6"/>
        <v>18</v>
      </c>
      <c r="J546" s="87" t="s">
        <v>2185</v>
      </c>
      <c r="K546" s="31">
        <f t="shared" si="27"/>
        <v>10</v>
      </c>
      <c r="L546" s="32">
        <f t="shared" si="28"/>
        <v>0.6428571428571429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 t="s">
        <v>2213</v>
      </c>
      <c r="U546" s="70" t="s">
        <v>2213</v>
      </c>
      <c r="V546" s="70" t="s">
        <v>2213</v>
      </c>
      <c r="W546" s="70" t="s">
        <v>2213</v>
      </c>
      <c r="X546" s="70" t="s">
        <v>2213</v>
      </c>
      <c r="Y546" s="70" t="s">
        <v>2213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6"/>
        <v>18</v>
      </c>
      <c r="J547" s="147" t="s">
        <v>2099</v>
      </c>
      <c r="K547" s="31">
        <f t="shared" si="27"/>
        <v>10</v>
      </c>
      <c r="L547" s="32">
        <f t="shared" si="28"/>
        <v>0.6428571428571429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 t="s">
        <v>2213</v>
      </c>
      <c r="Y547" s="70" t="s">
        <v>2213</v>
      </c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6"/>
        <v>18</v>
      </c>
      <c r="J548" s="87" t="s">
        <v>2186</v>
      </c>
      <c r="K548" s="31">
        <f t="shared" si="27"/>
        <v>10</v>
      </c>
      <c r="L548" s="32">
        <f t="shared" si="28"/>
        <v>0.6428571428571429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6"/>
        <v>18</v>
      </c>
      <c r="J549" s="147" t="s">
        <v>2100</v>
      </c>
      <c r="K549" s="31">
        <f t="shared" si="27"/>
        <v>10</v>
      </c>
      <c r="L549" s="32">
        <f t="shared" si="28"/>
        <v>0.6428571428571429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6"/>
        <v>18</v>
      </c>
      <c r="J550" s="147" t="s">
        <v>2101</v>
      </c>
      <c r="K550" s="142">
        <f t="shared" si="27"/>
        <v>10</v>
      </c>
      <c r="L550" s="143">
        <f t="shared" si="28"/>
        <v>0.6428571428571429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6"/>
        <v>28</v>
      </c>
      <c r="J551" s="151" t="s">
        <v>2142</v>
      </c>
      <c r="K551" s="142">
        <f t="shared" si="27"/>
        <v>0</v>
      </c>
      <c r="L551" s="143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6"/>
        <v>27</v>
      </c>
      <c r="J552" s="87" t="s">
        <v>2187</v>
      </c>
      <c r="K552" s="31">
        <f t="shared" si="27"/>
        <v>1</v>
      </c>
      <c r="L552" s="32">
        <f t="shared" si="28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 t="s">
        <v>2213</v>
      </c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6"/>
        <v>28</v>
      </c>
      <c r="J553" s="147" t="s">
        <v>2102</v>
      </c>
      <c r="K553" s="31">
        <f t="shared" si="27"/>
        <v>0</v>
      </c>
      <c r="L553" s="3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6"/>
        <v>28</v>
      </c>
      <c r="J554" s="147" t="s">
        <v>2103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6"/>
        <v>28</v>
      </c>
      <c r="J555" s="147" t="s">
        <v>2104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6"/>
        <v>15</v>
      </c>
      <c r="J556" s="147" t="s">
        <v>2105</v>
      </c>
      <c r="K556" s="31">
        <f t="shared" si="27"/>
        <v>13</v>
      </c>
      <c r="L556" s="32">
        <f t="shared" si="28"/>
        <v>0.5357142857142857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 t="s">
        <v>2213</v>
      </c>
      <c r="U556" s="70" t="s">
        <v>2213</v>
      </c>
      <c r="V556" s="70" t="s">
        <v>2213</v>
      </c>
      <c r="W556" s="70" t="s">
        <v>2213</v>
      </c>
      <c r="X556" s="70" t="s">
        <v>2213</v>
      </c>
      <c r="Y556" s="70" t="s">
        <v>2213</v>
      </c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6"/>
        <v>28</v>
      </c>
      <c r="J557" s="147" t="s">
        <v>2106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6"/>
        <v>28</v>
      </c>
      <c r="J558" s="147" t="s">
        <v>2107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6"/>
        <v>27</v>
      </c>
      <c r="J559" s="147" t="s">
        <v>2108</v>
      </c>
      <c r="K559" s="31">
        <f t="shared" si="27"/>
        <v>1</v>
      </c>
      <c r="L559" s="32">
        <f t="shared" si="28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6"/>
        <v>27</v>
      </c>
      <c r="J560" s="147" t="s">
        <v>2109</v>
      </c>
      <c r="K560" s="31">
        <f t="shared" si="27"/>
        <v>1</v>
      </c>
      <c r="L560" s="32">
        <f t="shared" si="28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6"/>
        <v>17</v>
      </c>
      <c r="J561" s="87" t="s">
        <v>2203</v>
      </c>
      <c r="K561" s="142">
        <f t="shared" si="27"/>
        <v>11</v>
      </c>
      <c r="L561" s="143">
        <f t="shared" si="28"/>
        <v>0.6071428571428571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 t="s">
        <v>2213</v>
      </c>
      <c r="U561" s="70" t="s">
        <v>2213</v>
      </c>
      <c r="V561" s="70" t="s">
        <v>2213</v>
      </c>
      <c r="W561" s="70" t="s">
        <v>2213</v>
      </c>
      <c r="X561" s="70" t="s">
        <v>2213</v>
      </c>
      <c r="Y561" s="70" t="s">
        <v>2213</v>
      </c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6"/>
        <v>28</v>
      </c>
      <c r="J562" s="87" t="s">
        <v>2268</v>
      </c>
      <c r="K562" s="142">
        <f t="shared" si="27"/>
        <v>0</v>
      </c>
      <c r="L562" s="143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6"/>
        <v>28</v>
      </c>
      <c r="J563" s="87" t="s">
        <v>2204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6"/>
        <v>28</v>
      </c>
      <c r="J564" s="87" t="s">
        <v>2205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6"/>
        <v>28</v>
      </c>
      <c r="J565" s="87" t="s">
        <v>2206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6"/>
        <v>28</v>
      </c>
      <c r="J566" s="147" t="s">
        <v>2111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6"/>
        <v>28</v>
      </c>
      <c r="J567" s="147" t="s">
        <v>2110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6"/>
        <v>28</v>
      </c>
      <c r="J568" s="147" t="s">
        <v>2112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6"/>
        <v>28</v>
      </c>
      <c r="J569" s="147" t="s">
        <v>2184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6"/>
        <v>28</v>
      </c>
      <c r="J570" s="147" t="s">
        <v>2113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6"/>
        <v>28</v>
      </c>
      <c r="J571" s="147" t="s">
        <v>2114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6"/>
        <v>28</v>
      </c>
      <c r="J572" s="147" t="s">
        <v>2115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6"/>
        <v>15</v>
      </c>
      <c r="J573" s="147" t="s">
        <v>2116</v>
      </c>
      <c r="K573" s="142">
        <f t="shared" si="27"/>
        <v>13</v>
      </c>
      <c r="L573" s="143">
        <f t="shared" si="28"/>
        <v>0.5357142857142857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 t="s">
        <v>2213</v>
      </c>
      <c r="U573" s="70" t="s">
        <v>2213</v>
      </c>
      <c r="V573" s="70" t="s">
        <v>2213</v>
      </c>
      <c r="W573" s="70" t="s">
        <v>2213</v>
      </c>
      <c r="X573" s="70" t="s">
        <v>2213</v>
      </c>
      <c r="Y573" s="70" t="s">
        <v>2213</v>
      </c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6"/>
        <v>28</v>
      </c>
      <c r="J574" s="147" t="s">
        <v>2117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6"/>
        <v>28</v>
      </c>
      <c r="J575" s="147" t="s">
        <v>2118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6"/>
        <v>28</v>
      </c>
      <c r="J576" s="147" t="s">
        <v>2119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6"/>
        <v>28</v>
      </c>
      <c r="J577" s="151" t="s">
        <v>2123</v>
      </c>
      <c r="K577" s="142">
        <f t="shared" si="27"/>
        <v>0</v>
      </c>
      <c r="L577" s="143">
        <f t="shared" si="28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5" operator="containsText" text="Radio">
      <formula>NOT(ISERROR(SEARCH("Radio",E553)))</formula>
    </cfRule>
    <cfRule type="containsText" dxfId="132" priority="474" operator="containsText" text="domo">
      <formula>NOT(ISERROR(SEARCH("domo",E553)))</formula>
    </cfRule>
    <cfRule type="containsText" dxfId="131" priority="473" operator="containsText" text="fija">
      <formula>NOT(ISERROR(SEARCH("fija",E553)))</formula>
    </cfRule>
  </conditionalFormatting>
  <conditionalFormatting sqref="E553:E554">
    <cfRule type="containsText" dxfId="130" priority="469" operator="containsText" text="domo">
      <formula>NOT(ISERROR(SEARCH("domo",E553)))</formula>
    </cfRule>
    <cfRule type="containsText" dxfId="129" priority="468" operator="containsText" text="fija">
      <formula>NOT(ISERROR(SEARCH("fija",E553)))</formula>
    </cfRule>
  </conditionalFormatting>
  <conditionalFormatting sqref="E554">
    <cfRule type="containsText" dxfId="128" priority="467" operator="containsText" text="domo">
      <formula>NOT(ISERROR(SEARCH("domo",E554)))</formula>
    </cfRule>
    <cfRule type="containsText" dxfId="127" priority="466" operator="containsText" text="fija">
      <formula>NOT(ISERROR(SEARCH("fija",E554)))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5" operator="containsText" text="Radio">
      <formula>NOT(ISERROR(SEARCH("Radio",E557)))</formula>
    </cfRule>
    <cfRule type="containsText" dxfId="124" priority="464" operator="containsText" text="domo">
      <formula>NOT(ISERROR(SEARCH("domo",E557)))</formula>
    </cfRule>
    <cfRule type="containsText" dxfId="123" priority="463" operator="containsText" text="fija">
      <formula>NOT(ISERROR(SEARCH("fija",E557)))</formula>
    </cfRule>
  </conditionalFormatting>
  <conditionalFormatting sqref="E557:E558">
    <cfRule type="containsText" dxfId="122" priority="459" operator="containsText" text="domo">
      <formula>NOT(ISERROR(SEARCH("domo",E557)))</formula>
    </cfRule>
    <cfRule type="containsText" dxfId="121" priority="458" operator="containsText" text="fija">
      <formula>NOT(ISERROR(SEARCH("fija",E557)))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4" operator="containsText" text="domo">
      <formula>NOT(ISERROR(SEARCH("domo",E558)))</formula>
    </cfRule>
    <cfRule type="containsText" dxfId="118" priority="453" operator="containsText" text="fija">
      <formula>NOT(ISERROR(SEARCH("fija",E558)))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9" operator="containsText" text="domo">
      <formula>NOT(ISERROR(SEARCH("domo",E559)))</formula>
    </cfRule>
    <cfRule type="containsText" dxfId="115" priority="448" operator="containsText" text="fija">
      <formula>NOT(ISERROR(SEARCH("fija",E559)))</formula>
    </cfRule>
  </conditionalFormatting>
  <conditionalFormatting sqref="E560">
    <cfRule type="containsText" dxfId="114" priority="450" operator="containsText" text="Radio">
      <formula>NOT(ISERROR(SEARCH("Radio",E560)))</formula>
    </cfRule>
    <cfRule type="containsText" dxfId="113" priority="447" operator="containsText" text="domo">
      <formula>NOT(ISERROR(SEARCH("domo",E560)))</formula>
    </cfRule>
    <cfRule type="containsText" dxfId="112" priority="446" operator="containsText" text="fija">
      <formula>NOT(ISERROR(SEARCH("fija",E560)))</formula>
    </cfRule>
  </conditionalFormatting>
  <conditionalFormatting sqref="E563">
    <cfRule type="containsText" dxfId="111" priority="745" operator="containsText" text="domo">
      <formula>NOT(ISERROR(SEARCH("domo",E563)))</formula>
    </cfRule>
    <cfRule type="containsText" dxfId="110" priority="744" operator="containsText" text="fija">
      <formula>NOT(ISERROR(SEARCH("fija",E563)))</formula>
    </cfRule>
  </conditionalFormatting>
  <conditionalFormatting sqref="E566:E569">
    <cfRule type="containsText" dxfId="109" priority="477" operator="containsText" text="domo">
      <formula>NOT(ISERROR(SEARCH("domo",E566)))</formula>
    </cfRule>
    <cfRule type="containsText" dxfId="108" priority="476" operator="containsText" text="fija">
      <formula>NOT(ISERROR(SEARCH("fija",E566)))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09:F410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NOT(ISERROR(SEARCH("Radio",F409)))</formula>
    </cfRule>
  </conditionalFormatting>
  <conditionalFormatting sqref="F552">
    <cfRule type="cellIs" dxfId="74" priority="124" operator="equal">
      <formula>"PTP A FO"</formula>
    </cfRule>
    <cfRule type="containsText" dxfId="73" priority="123" operator="containsText" text="Radio">
      <formula>NOT(ISERROR(SEARCH("Radio",F552)))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NOT(ISERROR(SEARCH("Caida",O660)))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ISERROR(SEARCH("Caida",O660))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03" zoomScaleNormal="100" workbookViewId="0">
      <selection activeCell="B111" sqref="B11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0.15263157894736842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0.15087719298245614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0.14561403508771931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0.11929824561403508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20</v>
      </c>
      <c r="E97" s="105">
        <f>D97/C97</f>
        <v>6.6445182724252497E-2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0.1368421052631579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0.12982456140350876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0.12456140350877193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0.11052631578947368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20</v>
      </c>
      <c r="E108" s="105">
        <f>D108/C108</f>
        <v>6.6445182724252497E-2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58</v>
      </c>
      <c r="E109" s="114">
        <f>D109/C109</f>
        <v>0.21641791044776118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0.156140350877193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0.15087719298245614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0.14561403508771931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0.14035087719298245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22</v>
      </c>
      <c r="E119" s="105">
        <f>D119/C119</f>
        <v>7.3089700996677748E-2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0.15964912280701754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0.15087719298245614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0.14561403508771931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0.13508771929824562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0.13508771929824562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22</v>
      </c>
      <c r="E130" s="105">
        <f>D130/C130</f>
        <v>7.3089700996677748E-2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0.14561403508771931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0.1368421052631579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0.13157894736842105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0.10877192982456141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 t="str">
        <f>'RESUMEN TOTAL'!T233</f>
        <v>APAGADO</v>
      </c>
      <c r="N181" s="70" t="str">
        <f>'RESUMEN TOTAL'!U233</f>
        <v>APAGADO</v>
      </c>
      <c r="O181" s="70" t="str">
        <f>'RESUMEN TOTAL'!V233</f>
        <v>APAGADO</v>
      </c>
      <c r="P181" s="70" t="str">
        <f>'RESUMEN TOTAL'!W233</f>
        <v>APAGADO</v>
      </c>
      <c r="Q181" s="70" t="str">
        <f>'RESUMEN TOTAL'!X233</f>
        <v>APAGADO</v>
      </c>
      <c r="R181" s="70" t="str">
        <f>'RESUMEN TOTAL'!Y233</f>
        <v>APAGADO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 t="str">
        <f>'RESUMEN TOTAL'!T257</f>
        <v>APAGADO</v>
      </c>
      <c r="N205" s="70" t="str">
        <f>'RESUMEN TOTAL'!U257</f>
        <v>APAGADO</v>
      </c>
      <c r="O205" s="70" t="str">
        <f>'RESUMEN TOTAL'!V257</f>
        <v>APAGADO</v>
      </c>
      <c r="P205" s="70" t="str">
        <f>'RESUMEN TOTAL'!W257</f>
        <v>APAGADO</v>
      </c>
      <c r="Q205" s="70" t="str">
        <f>'RESUMEN TOTAL'!X257</f>
        <v>APAGADO</v>
      </c>
      <c r="R205" s="70" t="str">
        <f>'RESUMEN TOTAL'!Y257</f>
        <v>APAGADO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 t="str">
        <f>'RESUMEN TOTAL'!T280</f>
        <v>APAGADO</v>
      </c>
      <c r="N224" s="70" t="str">
        <f>'RESUMEN TOTAL'!U280</f>
        <v>APAGADO</v>
      </c>
      <c r="O224" s="70" t="str">
        <f>'RESUMEN TOTAL'!V280</f>
        <v>APAGADO</v>
      </c>
      <c r="P224" s="70" t="str">
        <f>'RESUMEN TOTAL'!W280</f>
        <v>APAGADO</v>
      </c>
      <c r="Q224" s="70" t="str">
        <f>'RESUMEN TOTAL'!X280</f>
        <v>APAGADO</v>
      </c>
      <c r="R224" s="70" t="str">
        <f>'RESUMEN TOTAL'!Y280</f>
        <v>APAGADO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 t="str">
        <f>'RESUMEN TOTAL'!W289</f>
        <v>APAGADO</v>
      </c>
      <c r="Q230" s="70" t="str">
        <f>'RESUMEN TOTAL'!X289</f>
        <v>APAGADO</v>
      </c>
      <c r="R230" s="70" t="str">
        <f>'RESUMEN TOTAL'!Y289</f>
        <v>APAGADO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 t="str">
        <f>'RESUMEN TOTAL'!W290</f>
        <v>APAGADO</v>
      </c>
      <c r="Q231" s="70" t="str">
        <f>'RESUMEN TOTAL'!X290</f>
        <v>APAGADO</v>
      </c>
      <c r="R231" s="70" t="str">
        <f>'RESUMEN TOTAL'!Y290</f>
        <v>APAGADO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 t="str">
        <f>'RESUMEN TOTAL'!T295</f>
        <v>APAGADO</v>
      </c>
      <c r="N236" s="70" t="str">
        <f>'RESUMEN TOTAL'!U295</f>
        <v>APAGADO</v>
      </c>
      <c r="O236" s="70" t="str">
        <f>'RESUMEN TOTAL'!V295</f>
        <v>APAGADO</v>
      </c>
      <c r="P236" s="70" t="str">
        <f>'RESUMEN TOTAL'!W295</f>
        <v>APAGADO</v>
      </c>
      <c r="Q236" s="70" t="str">
        <f>'RESUMEN TOTAL'!X295</f>
        <v>APAGADO</v>
      </c>
      <c r="R236" s="70" t="str">
        <f>'RESUMEN TOTAL'!Y295</f>
        <v>APAGADO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 t="str">
        <f>'RESUMEN TOTAL'!T296</f>
        <v>APAGADO</v>
      </c>
      <c r="N237" s="70" t="str">
        <f>'RESUMEN TOTAL'!U296</f>
        <v>APAGADO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 t="str">
        <f>'RESUMEN TOTAL'!T307</f>
        <v>APAGADO</v>
      </c>
      <c r="N248" s="70" t="str">
        <f>'RESUMEN TOTAL'!U307</f>
        <v>APAGADO</v>
      </c>
      <c r="O248" s="70" t="str">
        <f>'RESUMEN TOTAL'!V307</f>
        <v>APAGADO</v>
      </c>
      <c r="P248" s="70" t="str">
        <f>'RESUMEN TOTAL'!W307</f>
        <v>APAGADO</v>
      </c>
      <c r="Q248" s="70" t="str">
        <f>'RESUMEN TOTAL'!X307</f>
        <v>APAGADO</v>
      </c>
      <c r="R248" s="70" t="str">
        <f>'RESUMEN TOTAL'!Y307</f>
        <v>APAGADO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 t="str">
        <f>'RESUMEN TOTAL'!T309</f>
        <v>APAGADO</v>
      </c>
      <c r="N250" s="70" t="str">
        <f>'RESUMEN TOTAL'!U309</f>
        <v>APAGADO</v>
      </c>
      <c r="O250" s="70" t="str">
        <f>'RESUMEN TOTAL'!V309</f>
        <v>APAGADO</v>
      </c>
      <c r="P250" s="70" t="str">
        <f>'RESUMEN TOTAL'!W309</f>
        <v>APAGADO</v>
      </c>
      <c r="Q250" s="70" t="str">
        <f>'RESUMEN TOTAL'!X309</f>
        <v>APAGADO</v>
      </c>
      <c r="R250" s="70" t="str">
        <f>'RESUMEN TOTAL'!Y309</f>
        <v>APAGADO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 t="str">
        <f>'RESUMEN TOTAL'!T310</f>
        <v>APAGADO</v>
      </c>
      <c r="N251" s="70" t="str">
        <f>'RESUMEN TOTAL'!U310</f>
        <v>APAGADO</v>
      </c>
      <c r="O251" s="70" t="str">
        <f>'RESUMEN TOTAL'!V310</f>
        <v>APAGADO</v>
      </c>
      <c r="P251" s="70" t="str">
        <f>'RESUMEN TOTAL'!W310</f>
        <v>APAGADO</v>
      </c>
      <c r="Q251" s="70" t="str">
        <f>'RESUMEN TOTAL'!X310</f>
        <v>APAGADO</v>
      </c>
      <c r="R251" s="70" t="str">
        <f>'RESUMEN TOTAL'!Y310</f>
        <v>APAGADO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 t="str">
        <f>'RESUMEN TOTAL'!T311</f>
        <v>APAGADO</v>
      </c>
      <c r="N252" s="70" t="str">
        <f>'RESUMEN TOTAL'!U311</f>
        <v>APAGADO</v>
      </c>
      <c r="O252" s="70" t="str">
        <f>'RESUMEN TOTAL'!V311</f>
        <v>APAGADO</v>
      </c>
      <c r="P252" s="70" t="str">
        <f>'RESUMEN TOTAL'!W311</f>
        <v>APAGADO</v>
      </c>
      <c r="Q252" s="70" t="str">
        <f>'RESUMEN TOTAL'!X311</f>
        <v>APAGADO</v>
      </c>
      <c r="R252" s="70" t="str">
        <f>'RESUMEN TOTAL'!Y311</f>
        <v>APAGADO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 t="str">
        <f>'RESUMEN TOTAL'!T312</f>
        <v>APAGADO</v>
      </c>
      <c r="N253" s="70" t="str">
        <f>'RESUMEN TOTAL'!U312</f>
        <v>APAGADO</v>
      </c>
      <c r="O253" s="70" t="str">
        <f>'RESUMEN TOTAL'!V312</f>
        <v>APAGADO</v>
      </c>
      <c r="P253" s="70" t="str">
        <f>'RESUMEN TOTAL'!W312</f>
        <v>APAGADO</v>
      </c>
      <c r="Q253" s="70" t="str">
        <f>'RESUMEN TOTAL'!X312</f>
        <v>APAGADO</v>
      </c>
      <c r="R253" s="70" t="str">
        <f>'RESUMEN TOTAL'!Y312</f>
        <v>APAGADO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 t="str">
        <f>'RESUMEN TOTAL'!T313</f>
        <v>APAGADO</v>
      </c>
      <c r="N254" s="70" t="str">
        <f>'RESUMEN TOTAL'!U313</f>
        <v>APAGADO</v>
      </c>
      <c r="O254" s="70" t="str">
        <f>'RESUMEN TOTAL'!V313</f>
        <v>APAGADO</v>
      </c>
      <c r="P254" s="70" t="str">
        <f>'RESUMEN TOTAL'!W313</f>
        <v>APAGADO</v>
      </c>
      <c r="Q254" s="70" t="str">
        <f>'RESUMEN TOTAL'!X313</f>
        <v>APAGADO</v>
      </c>
      <c r="R254" s="70" t="str">
        <f>'RESUMEN TOTAL'!Y313</f>
        <v>APAGADO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 t="str">
        <f>'RESUMEN TOTAL'!T314</f>
        <v>APAGADO</v>
      </c>
      <c r="N255" s="70">
        <f>'RESUMEN TOTAL'!U314</f>
        <v>0</v>
      </c>
      <c r="O255" s="70">
        <f>'RESUMEN TOTAL'!V314</f>
        <v>0</v>
      </c>
      <c r="P255" s="70" t="str">
        <f>'RESUMEN TOTAL'!W314</f>
        <v>APAGADO</v>
      </c>
      <c r="Q255" s="70" t="str">
        <f>'RESUMEN TOTAL'!X314</f>
        <v>APAGADO</v>
      </c>
      <c r="R255" s="70" t="str">
        <f>'RESUMEN TOTAL'!Y314</f>
        <v>APAGADO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 t="str">
        <f>'RESUMEN TOTAL'!T347</f>
        <v>APAGADO</v>
      </c>
      <c r="N279" s="70" t="str">
        <f>'RESUMEN TOTAL'!U347</f>
        <v>APAGADO</v>
      </c>
      <c r="O279" s="70" t="str">
        <f>'RESUMEN TOTAL'!V347</f>
        <v>APAGADO</v>
      </c>
      <c r="P279" s="70" t="str">
        <f>'RESUMEN TOTAL'!W347</f>
        <v>APAGADO</v>
      </c>
      <c r="Q279" s="70" t="str">
        <f>'RESUMEN TOTAL'!X347</f>
        <v>APAGADO</v>
      </c>
      <c r="R279" s="70" t="str">
        <f>'RESUMEN TOTAL'!Y347</f>
        <v>APAGADO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 t="str">
        <f>'RESUMEN TOTAL'!T348</f>
        <v>APAGADO</v>
      </c>
      <c r="N280" s="70" t="str">
        <f>'RESUMEN TOTAL'!U348</f>
        <v>APAGADO</v>
      </c>
      <c r="O280" s="70" t="str">
        <f>'RESUMEN TOTAL'!V348</f>
        <v>APAGADO</v>
      </c>
      <c r="P280" s="70" t="str">
        <f>'RESUMEN TOTAL'!W348</f>
        <v>APAGADO</v>
      </c>
      <c r="Q280" s="70" t="str">
        <f>'RESUMEN TOTAL'!X348</f>
        <v>APAGADO</v>
      </c>
      <c r="R280" s="70" t="str">
        <f>'RESUMEN TOTAL'!Y348</f>
        <v>APAGADO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 t="str">
        <f>'RESUMEN TOTAL'!T350</f>
        <v>APAGADO</v>
      </c>
      <c r="N282" s="70" t="str">
        <f>'RESUMEN TOTAL'!U350</f>
        <v>APAGADO</v>
      </c>
      <c r="O282" s="70" t="str">
        <f>'RESUMEN TOTAL'!V350</f>
        <v>APAGADO</v>
      </c>
      <c r="P282" s="70" t="str">
        <f>'RESUMEN TOTAL'!W350</f>
        <v>APAGADO</v>
      </c>
      <c r="Q282" s="70" t="str">
        <f>'RESUMEN TOTAL'!X350</f>
        <v>APAGADO</v>
      </c>
      <c r="R282" s="70" t="str">
        <f>'RESUMEN TOTAL'!Y350</f>
        <v>APAGADO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 t="str">
        <f>'RESUMEN TOTAL'!T351</f>
        <v>APAGADO</v>
      </c>
      <c r="N283" s="70" t="str">
        <f>'RESUMEN TOTAL'!U351</f>
        <v>APAGADO</v>
      </c>
      <c r="O283" s="70" t="str">
        <f>'RESUMEN TOTAL'!V351</f>
        <v>APAGADO</v>
      </c>
      <c r="P283" s="70" t="str">
        <f>'RESUMEN TOTAL'!W351</f>
        <v>APAGADO</v>
      </c>
      <c r="Q283" s="70" t="str">
        <f>'RESUMEN TOTAL'!X351</f>
        <v>APAGADO</v>
      </c>
      <c r="R283" s="70" t="str">
        <f>'RESUMEN TOTAL'!Y351</f>
        <v>APAGADO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 t="str">
        <f>'RESUMEN TOTAL'!T374</f>
        <v>APAGADO</v>
      </c>
      <c r="N301" s="70" t="str">
        <f>'RESUMEN TOTAL'!U374</f>
        <v>APAGADO</v>
      </c>
      <c r="O301" s="70" t="str">
        <f>'RESUMEN TOTAL'!V374</f>
        <v>APAGADO</v>
      </c>
      <c r="P301" s="70" t="str">
        <f>'RESUMEN TOTAL'!W374</f>
        <v>APAGADO</v>
      </c>
      <c r="Q301" s="70" t="str">
        <f>'RESUMEN TOTAL'!X374</f>
        <v>APAGADO</v>
      </c>
      <c r="R301" s="70" t="str">
        <f>'RESUMEN TOTAL'!Y374</f>
        <v>APAGADO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 t="str">
        <f>'RESUMEN TOTAL'!V375</f>
        <v>APAGADO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 t="str">
        <f>'RESUMEN TOTAL'!T382</f>
        <v>APAGADO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 t="str">
        <f>'RESUMEN TOTAL'!T383</f>
        <v>APAGADO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 t="str">
        <f>'RESUMEN TOTAL'!T387</f>
        <v>APAGADO</v>
      </c>
      <c r="N314" s="70" t="str">
        <f>'RESUMEN TOTAL'!U387</f>
        <v>APAGADO</v>
      </c>
      <c r="O314" s="70" t="str">
        <f>'RESUMEN TOTAL'!V387</f>
        <v>APAGADO</v>
      </c>
      <c r="P314" s="70" t="str">
        <f>'RESUMEN TOTAL'!W387</f>
        <v>APAGADO</v>
      </c>
      <c r="Q314" s="70" t="str">
        <f>'RESUMEN TOTAL'!X387</f>
        <v>APAGADO</v>
      </c>
      <c r="R314" s="70" t="str">
        <f>'RESUMEN TOTAL'!Y387</f>
        <v>APAGADO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 t="str">
        <f>'RESUMEN TOTAL'!T388</f>
        <v>APAGADO</v>
      </c>
      <c r="N315" s="70" t="str">
        <f>'RESUMEN TOTAL'!U388</f>
        <v>APAGADO</v>
      </c>
      <c r="O315" s="70" t="str">
        <f>'RESUMEN TOTAL'!V388</f>
        <v>APAGADO</v>
      </c>
      <c r="P315" s="70" t="str">
        <f>'RESUMEN TOTAL'!W388</f>
        <v>APAGADO</v>
      </c>
      <c r="Q315" s="70" t="str">
        <f>'RESUMEN TOTAL'!X388</f>
        <v>APAGADO</v>
      </c>
      <c r="R315" s="70" t="str">
        <f>'RESUMEN TOTAL'!Y388</f>
        <v>APAGADO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 t="str">
        <f>'RESUMEN TOTAL'!T393</f>
        <v>APAGADO</v>
      </c>
      <c r="N316" s="70" t="str">
        <f>'RESUMEN TOTAL'!U393</f>
        <v>APAGADO</v>
      </c>
      <c r="O316" s="70">
        <f>'RESUMEN TOTAL'!V393</f>
        <v>0</v>
      </c>
      <c r="P316" s="70">
        <f>'RESUMEN TOTAL'!W393</f>
        <v>0</v>
      </c>
      <c r="Q316" s="70" t="str">
        <f>'RESUMEN TOTAL'!X393</f>
        <v>APAGADO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 t="str">
        <f>'RESUMEN TOTAL'!T395</f>
        <v>APAGADO</v>
      </c>
      <c r="N318" s="70" t="str">
        <f>'RESUMEN TOTAL'!U395</f>
        <v>APAGADO</v>
      </c>
      <c r="O318" s="70" t="str">
        <f>'RESUMEN TOTAL'!V395</f>
        <v>APAGADO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 t="str">
        <f>'RESUMEN TOTAL'!T396</f>
        <v>APAGADO</v>
      </c>
      <c r="N319" s="70" t="str">
        <f>'RESUMEN TOTAL'!U396</f>
        <v>APAGADO</v>
      </c>
      <c r="O319" s="70" t="str">
        <f>'RESUMEN TOTAL'!V396</f>
        <v>APAGADO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 t="str">
        <f>'RESUMEN TOTAL'!T397</f>
        <v>APAGADO</v>
      </c>
      <c r="N320" s="70" t="str">
        <f>'RESUMEN TOTAL'!U397</f>
        <v>APAGADO</v>
      </c>
      <c r="O320" s="70" t="str">
        <f>'RESUMEN TOTAL'!V397</f>
        <v>APAGADO</v>
      </c>
      <c r="P320" s="70" t="str">
        <f>'RESUMEN TOTAL'!W397</f>
        <v>APAGADO</v>
      </c>
      <c r="Q320" s="70" t="str">
        <f>'RESUMEN TOTAL'!X397</f>
        <v>APAGADO</v>
      </c>
      <c r="R320" s="70" t="str">
        <f>'RESUMEN TOTAL'!Y397</f>
        <v>APAGADO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 t="str">
        <f>'RESUMEN TOTAL'!T398</f>
        <v>APAGADO</v>
      </c>
      <c r="N321" s="70" t="str">
        <f>'RESUMEN TOTAL'!U398</f>
        <v>APAGADO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 t="str">
        <f>'RESUMEN TOTAL'!T399</f>
        <v>APAGADO</v>
      </c>
      <c r="N322" s="70" t="str">
        <f>'RESUMEN TOTAL'!U399</f>
        <v>APAGADO</v>
      </c>
      <c r="O322" s="70" t="str">
        <f>'RESUMEN TOTAL'!V399</f>
        <v>APAGADO</v>
      </c>
      <c r="P322" s="70" t="str">
        <f>'RESUMEN TOTAL'!W399</f>
        <v>APAGADO</v>
      </c>
      <c r="Q322" s="70" t="str">
        <f>'RESUMEN TOTAL'!X399</f>
        <v>APAGADO</v>
      </c>
      <c r="R322" s="70" t="str">
        <f>'RESUMEN TOTAL'!Y399</f>
        <v>APAGADO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 t="str">
        <f>'RESUMEN TOTAL'!T400</f>
        <v>APAGADO</v>
      </c>
      <c r="N323" s="70" t="str">
        <f>'RESUMEN TOTAL'!U400</f>
        <v>APAGADO</v>
      </c>
      <c r="O323" s="70" t="str">
        <f>'RESUMEN TOTAL'!V400</f>
        <v>APAGADO</v>
      </c>
      <c r="P323" s="70" t="str">
        <f>'RESUMEN TOTAL'!W400</f>
        <v>APAGADO</v>
      </c>
      <c r="Q323" s="70" t="str">
        <f>'RESUMEN TOTAL'!X400</f>
        <v>APAGADO</v>
      </c>
      <c r="R323" s="70" t="str">
        <f>'RESUMEN TOTAL'!Y400</f>
        <v>APAGADO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 t="str">
        <f>'RESUMEN TOTAL'!T411</f>
        <v>APAGADO</v>
      </c>
      <c r="N327" s="70" t="str">
        <f>'RESUMEN TOTAL'!U411</f>
        <v>APAGADO</v>
      </c>
      <c r="O327" s="70" t="str">
        <f>'RESUMEN TOTAL'!V411</f>
        <v>APAGADO</v>
      </c>
      <c r="P327" s="70" t="str">
        <f>'RESUMEN TOTAL'!W411</f>
        <v>APAGADO</v>
      </c>
      <c r="Q327" s="70" t="str">
        <f>'RESUMEN TOTAL'!X411</f>
        <v>APAGADO</v>
      </c>
      <c r="R327" s="70" t="str">
        <f>'RESUMEN TOTAL'!Y411</f>
        <v>APAGADO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 t="str">
        <f>'RESUMEN TOTAL'!T412</f>
        <v>APAGADO</v>
      </c>
      <c r="N328" s="70" t="str">
        <f>'RESUMEN TOTAL'!U412</f>
        <v>APAGADO</v>
      </c>
      <c r="O328" s="70" t="str">
        <f>'RESUMEN TOTAL'!V412</f>
        <v>APAGADO</v>
      </c>
      <c r="P328" s="70" t="str">
        <f>'RESUMEN TOTAL'!W412</f>
        <v>APAGADO</v>
      </c>
      <c r="Q328" s="70" t="str">
        <f>'RESUMEN TOTAL'!X412</f>
        <v>APAGADO</v>
      </c>
      <c r="R328" s="70" t="str">
        <f>'RESUMEN TOTAL'!Y412</f>
        <v>APAGADO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 t="str">
        <f>'RESUMEN TOTAL'!T413</f>
        <v>APAGADO</v>
      </c>
      <c r="N329" s="70" t="str">
        <f>'RESUMEN TOTAL'!U413</f>
        <v>APAGADO</v>
      </c>
      <c r="O329" s="70" t="str">
        <f>'RESUMEN TOTAL'!V413</f>
        <v>APAGADO</v>
      </c>
      <c r="P329" s="70" t="str">
        <f>'RESUMEN TOTAL'!W413</f>
        <v>APAGADO</v>
      </c>
      <c r="Q329" s="70" t="str">
        <f>'RESUMEN TOTAL'!X413</f>
        <v>APAGADO</v>
      </c>
      <c r="R329" s="70" t="str">
        <f>'RESUMEN TOTAL'!Y413</f>
        <v>APAGADO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 t="str">
        <f>'RESUMEN TOTAL'!T414</f>
        <v>APAGADO</v>
      </c>
      <c r="N330" s="70" t="str">
        <f>'RESUMEN TOTAL'!U414</f>
        <v>APAGADO</v>
      </c>
      <c r="O330" s="70">
        <f>'RESUMEN TOTAL'!V414</f>
        <v>0</v>
      </c>
      <c r="P330" s="70" t="str">
        <f>'RESUMEN TOTAL'!W414</f>
        <v>APAGADO</v>
      </c>
      <c r="Q330" s="70" t="str">
        <f>'RESUMEN TOTAL'!X414</f>
        <v>APAGADO</v>
      </c>
      <c r="R330" s="70" t="str">
        <f>'RESUMEN TOTAL'!Y414</f>
        <v>APAGADO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 t="str">
        <f>'RESUMEN TOTAL'!T416</f>
        <v>APAGADO</v>
      </c>
      <c r="N332" s="70" t="str">
        <f>'RESUMEN TOTAL'!U416</f>
        <v>APAGADO</v>
      </c>
      <c r="O332" s="70" t="str">
        <f>'RESUMEN TOTAL'!V416</f>
        <v>APAGADO</v>
      </c>
      <c r="P332" s="70" t="str">
        <f>'RESUMEN TOTAL'!W416</f>
        <v>APAGADO</v>
      </c>
      <c r="Q332" s="70" t="str">
        <f>'RESUMEN TOTAL'!X416</f>
        <v>APAGADO</v>
      </c>
      <c r="R332" s="70" t="str">
        <f>'RESUMEN TOTAL'!Y416</f>
        <v>APAGADO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 t="str">
        <f>'RESUMEN TOTAL'!T417</f>
        <v>APAGADO</v>
      </c>
      <c r="N333" s="70" t="str">
        <f>'RESUMEN TOTAL'!U417</f>
        <v>APAGADO</v>
      </c>
      <c r="O333" s="70" t="str">
        <f>'RESUMEN TOTAL'!V417</f>
        <v>APAGADO</v>
      </c>
      <c r="P333" s="70" t="str">
        <f>'RESUMEN TOTAL'!W417</f>
        <v>APAGADO</v>
      </c>
      <c r="Q333" s="70" t="str">
        <f>'RESUMEN TOTAL'!X417</f>
        <v>APAGADO</v>
      </c>
      <c r="R333" s="70" t="str">
        <f>'RESUMEN TOTAL'!Y417</f>
        <v>APAGADO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 t="str">
        <f>'RESUMEN TOTAL'!T418</f>
        <v>APAGADO</v>
      </c>
      <c r="N334" s="70" t="str">
        <f>'RESUMEN TOTAL'!U418</f>
        <v>APAGADO</v>
      </c>
      <c r="O334" s="70" t="str">
        <f>'RESUMEN TOTAL'!V418</f>
        <v>APAGADO</v>
      </c>
      <c r="P334" s="70" t="str">
        <f>'RESUMEN TOTAL'!W418</f>
        <v>APAGADO</v>
      </c>
      <c r="Q334" s="70" t="str">
        <f>'RESUMEN TOTAL'!X418</f>
        <v>APAGADO</v>
      </c>
      <c r="R334" s="70" t="str">
        <f>'RESUMEN TOTAL'!Y418</f>
        <v>APAGADO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 t="str">
        <f>'RESUMEN TOTAL'!T419</f>
        <v>APAGADO</v>
      </c>
      <c r="N335" s="70" t="str">
        <f>'RESUMEN TOTAL'!U419</f>
        <v>APAGADO</v>
      </c>
      <c r="O335" s="70" t="str">
        <f>'RESUMEN TOTAL'!V419</f>
        <v>APAGADO</v>
      </c>
      <c r="P335" s="70" t="str">
        <f>'RESUMEN TOTAL'!W419</f>
        <v>APAGADO</v>
      </c>
      <c r="Q335" s="70" t="str">
        <f>'RESUMEN TOTAL'!X419</f>
        <v>APAGADO</v>
      </c>
      <c r="R335" s="70" t="str">
        <f>'RESUMEN TOTAL'!Y419</f>
        <v>APAGADO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 t="str">
        <f>'RESUMEN TOTAL'!T427</f>
        <v>APAGADO</v>
      </c>
      <c r="N340" s="70">
        <f>'RESUMEN TOTAL'!U427</f>
        <v>0</v>
      </c>
      <c r="O340" s="70">
        <f>'RESUMEN TOTAL'!V427</f>
        <v>0</v>
      </c>
      <c r="P340" s="70" t="str">
        <f>'RESUMEN TOTAL'!W427</f>
        <v>APAGADO</v>
      </c>
      <c r="Q340" s="70" t="str">
        <f>'RESUMEN TOTAL'!X427</f>
        <v>APAGADO</v>
      </c>
      <c r="R340" s="70" t="str">
        <f>'RESUMEN TOTAL'!Y427</f>
        <v>APAGADO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 t="str">
        <f>'RESUMEN TOTAL'!T428</f>
        <v>APAGADO</v>
      </c>
      <c r="N341" s="70" t="str">
        <f>'RESUMEN TOTAL'!U428</f>
        <v>APAGADO</v>
      </c>
      <c r="O341" s="70" t="str">
        <f>'RESUMEN TOTAL'!V428</f>
        <v>APAGADO</v>
      </c>
      <c r="P341" s="70" t="str">
        <f>'RESUMEN TOTAL'!W428</f>
        <v>APAGADO</v>
      </c>
      <c r="Q341" s="70" t="str">
        <f>'RESUMEN TOTAL'!X428</f>
        <v>APAGADO</v>
      </c>
      <c r="R341" s="70" t="str">
        <f>'RESUMEN TOTAL'!Y428</f>
        <v>APAGADO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 t="str">
        <f>'RESUMEN TOTAL'!T432</f>
        <v>APAGADO</v>
      </c>
      <c r="N345" s="70" t="str">
        <f>'RESUMEN TOTAL'!U432</f>
        <v>APAGADO</v>
      </c>
      <c r="O345" s="70" t="str">
        <f>'RESUMEN TOTAL'!V432</f>
        <v>APAGADO</v>
      </c>
      <c r="P345" s="70" t="str">
        <f>'RESUMEN TOTAL'!W432</f>
        <v>APAGADO</v>
      </c>
      <c r="Q345" s="70" t="str">
        <f>'RESUMEN TOTAL'!X432</f>
        <v>APAGADO</v>
      </c>
      <c r="R345" s="70" t="str">
        <f>'RESUMEN TOTAL'!Y432</f>
        <v>APAGADO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 t="str">
        <f>'RESUMEN TOTAL'!T434</f>
        <v>APAGADO</v>
      </c>
      <c r="N347" s="70" t="str">
        <f>'RESUMEN TOTAL'!U434</f>
        <v>APAGADO</v>
      </c>
      <c r="O347" s="70" t="str">
        <f>'RESUMEN TOTAL'!V434</f>
        <v>APAGADO</v>
      </c>
      <c r="P347" s="70" t="str">
        <f>'RESUMEN TOTAL'!W434</f>
        <v>APAGADO</v>
      </c>
      <c r="Q347" s="70" t="str">
        <f>'RESUMEN TOTAL'!X434</f>
        <v>APAGADO</v>
      </c>
      <c r="R347" s="70" t="str">
        <f>'RESUMEN TOTAL'!Y434</f>
        <v>APAGADO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 t="str">
        <f>'RESUMEN TOTAL'!T438</f>
        <v>APAGADO</v>
      </c>
      <c r="N351" s="70" t="str">
        <f>'RESUMEN TOTAL'!U438</f>
        <v>APAGADO</v>
      </c>
      <c r="O351" s="70" t="str">
        <f>'RESUMEN TOTAL'!V438</f>
        <v>APAGADO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 t="str">
        <f>'RESUMEN TOTAL'!T439</f>
        <v>APAGADO</v>
      </c>
      <c r="N352" s="70">
        <f>'RESUMEN TOTAL'!U439</f>
        <v>0</v>
      </c>
      <c r="O352" s="70">
        <f>'RESUMEN TOTAL'!V439</f>
        <v>0</v>
      </c>
      <c r="P352" s="70" t="str">
        <f>'RESUMEN TOTAL'!W439</f>
        <v>APAGADO</v>
      </c>
      <c r="Q352" s="70" t="str">
        <f>'RESUMEN TOTAL'!X439</f>
        <v>APAGADO</v>
      </c>
      <c r="R352" s="70" t="str">
        <f>'RESUMEN TOTAL'!Y439</f>
        <v>APAGADO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 t="str">
        <f>'RESUMEN TOTAL'!T440</f>
        <v>APAGADO</v>
      </c>
      <c r="N353" s="70" t="str">
        <f>'RESUMEN TOTAL'!U440</f>
        <v>APAGADO</v>
      </c>
      <c r="O353" s="70" t="str">
        <f>'RESUMEN TOTAL'!V440</f>
        <v>APAGADO</v>
      </c>
      <c r="P353" s="70" t="str">
        <f>'RESUMEN TOTAL'!W440</f>
        <v>APAGADO</v>
      </c>
      <c r="Q353" s="70" t="str">
        <f>'RESUMEN TOTAL'!X440</f>
        <v>APAGADO</v>
      </c>
      <c r="R353" s="70" t="str">
        <f>'RESUMEN TOTAL'!Y440</f>
        <v>APAGADO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 t="str">
        <f>'RESUMEN TOTAL'!T444</f>
        <v>APAGADO</v>
      </c>
      <c r="N357" s="70">
        <f>'RESUMEN TOTAL'!U444</f>
        <v>0</v>
      </c>
      <c r="O357" s="70">
        <f>'RESUMEN TOTAL'!V444</f>
        <v>0</v>
      </c>
      <c r="P357" s="70" t="str">
        <f>'RESUMEN TOTAL'!W444</f>
        <v>APAGADO</v>
      </c>
      <c r="Q357" s="70" t="str">
        <f>'RESUMEN TOTAL'!X444</f>
        <v>APAGADO</v>
      </c>
      <c r="R357" s="70" t="str">
        <f>'RESUMEN TOTAL'!Y444</f>
        <v>APAGADO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 t="str">
        <f>'RESUMEN TOTAL'!T445</f>
        <v>APAGADO</v>
      </c>
      <c r="N358" s="70">
        <f>'RESUMEN TOTAL'!U445</f>
        <v>0</v>
      </c>
      <c r="O358" s="70">
        <f>'RESUMEN TOTAL'!V445</f>
        <v>0</v>
      </c>
      <c r="P358" s="70" t="str">
        <f>'RESUMEN TOTAL'!W445</f>
        <v>APAGADO</v>
      </c>
      <c r="Q358" s="70" t="str">
        <f>'RESUMEN TOTAL'!X445</f>
        <v>APAGADO</v>
      </c>
      <c r="R358" s="70" t="str">
        <f>'RESUMEN TOTAL'!Y445</f>
        <v>APAGADO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 t="str">
        <f>'RESUMEN TOTAL'!T446</f>
        <v>APAGADO</v>
      </c>
      <c r="N359" s="70" t="str">
        <f>'RESUMEN TOTAL'!U446</f>
        <v>APAGADO</v>
      </c>
      <c r="O359" s="70" t="str">
        <f>'RESUMEN TOTAL'!V446</f>
        <v>APAGADO</v>
      </c>
      <c r="P359" s="70" t="str">
        <f>'RESUMEN TOTAL'!W446</f>
        <v>APAGADO</v>
      </c>
      <c r="Q359" s="70" t="str">
        <f>'RESUMEN TOTAL'!X446</f>
        <v>APAGADO</v>
      </c>
      <c r="R359" s="70" t="str">
        <f>'RESUMEN TOTAL'!Y446</f>
        <v>APAGADO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 t="str">
        <f>'RESUMEN TOTAL'!T447</f>
        <v>APAGADO</v>
      </c>
      <c r="N360" s="70" t="str">
        <f>'RESUMEN TOTAL'!U447</f>
        <v>APAGADO</v>
      </c>
      <c r="O360" s="70" t="str">
        <f>'RESUMEN TOTAL'!V447</f>
        <v>APAGADO</v>
      </c>
      <c r="P360" s="70" t="str">
        <f>'RESUMEN TOTAL'!W447</f>
        <v>APAGADO</v>
      </c>
      <c r="Q360" s="70" t="str">
        <f>'RESUMEN TOTAL'!X447</f>
        <v>APAGADO</v>
      </c>
      <c r="R360" s="70" t="str">
        <f>'RESUMEN TOTAL'!Y447</f>
        <v>APAGADO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 t="str">
        <f>'RESUMEN TOTAL'!T454</f>
        <v>APAGADO</v>
      </c>
      <c r="N361" s="70" t="str">
        <f>'RESUMEN TOTAL'!U454</f>
        <v>APAGADO</v>
      </c>
      <c r="O361" s="70" t="str">
        <f>'RESUMEN TOTAL'!V454</f>
        <v>APAGADO</v>
      </c>
      <c r="P361" s="70" t="str">
        <f>'RESUMEN TOTAL'!W454</f>
        <v>APAGADO</v>
      </c>
      <c r="Q361" s="70" t="str">
        <f>'RESUMEN TOTAL'!X454</f>
        <v>APAGADO</v>
      </c>
      <c r="R361" s="70" t="str">
        <f>'RESUMEN TOTAL'!Y454</f>
        <v>APAGADO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 t="str">
        <f>'RESUMEN TOTAL'!T455</f>
        <v>APAGADO</v>
      </c>
      <c r="N362" s="70" t="str">
        <f>'RESUMEN TOTAL'!U455</f>
        <v>APAGADO</v>
      </c>
      <c r="O362" s="70" t="str">
        <f>'RESUMEN TOTAL'!V455</f>
        <v>APAGADO</v>
      </c>
      <c r="P362" s="70" t="str">
        <f>'RESUMEN TOTAL'!W455</f>
        <v>APAGADO</v>
      </c>
      <c r="Q362" s="70" t="str">
        <f>'RESUMEN TOTAL'!X455</f>
        <v>APAGADO</v>
      </c>
      <c r="R362" s="70" t="str">
        <f>'RESUMEN TOTAL'!Y455</f>
        <v>APAGADO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 t="str">
        <f>'RESUMEN TOTAL'!T456</f>
        <v>APAGADO</v>
      </c>
      <c r="N363" s="70" t="str">
        <f>'RESUMEN TOTAL'!U456</f>
        <v>APAGADO</v>
      </c>
      <c r="O363" s="70" t="str">
        <f>'RESUMEN TOTAL'!V456</f>
        <v>APAGADO</v>
      </c>
      <c r="P363" s="70" t="str">
        <f>'RESUMEN TOTAL'!W456</f>
        <v>APAGADO</v>
      </c>
      <c r="Q363" s="70" t="str">
        <f>'RESUMEN TOTAL'!X456</f>
        <v>APAGADO</v>
      </c>
      <c r="R363" s="70" t="str">
        <f>'RESUMEN TOTAL'!Y456</f>
        <v>APAGADO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 t="str">
        <f>'RESUMEN TOTAL'!T478</f>
        <v>APAGADO</v>
      </c>
      <c r="N378" s="70" t="str">
        <f>'RESUMEN TOTAL'!U478</f>
        <v>APAGADO</v>
      </c>
      <c r="O378" s="70" t="str">
        <f>'RESUMEN TOTAL'!V478</f>
        <v>APAGADO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 t="str">
        <f>'RESUMEN TOTAL'!T479</f>
        <v>APAGADO</v>
      </c>
      <c r="N379" s="70" t="str">
        <f>'RESUMEN TOTAL'!U479</f>
        <v>APAGADO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 t="str">
        <f>'RESUMEN TOTAL'!T480</f>
        <v>APAGADO</v>
      </c>
      <c r="N380" s="70" t="str">
        <f>'RESUMEN TOTAL'!U480</f>
        <v>APAGADO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 t="str">
        <f>'RESUMEN TOTAL'!T481</f>
        <v>APAGADO</v>
      </c>
      <c r="N381" s="70" t="str">
        <f>'RESUMEN TOTAL'!U481</f>
        <v>APAGADO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 t="str">
        <f>'RESUMEN TOTAL'!T482</f>
        <v>APAGADO</v>
      </c>
      <c r="N382" s="70" t="str">
        <f>'RESUMEN TOTAL'!U482</f>
        <v>APAGADO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 t="str">
        <f>'RESUMEN TOTAL'!W493</f>
        <v>APAGADO</v>
      </c>
      <c r="Q393" s="70" t="str">
        <f>'RESUMEN TOTAL'!X493</f>
        <v>APAGADO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 t="str">
        <f>'RESUMEN TOTAL'!W500</f>
        <v>APAGADO</v>
      </c>
      <c r="Q400" s="70" t="str">
        <f>'RESUMEN TOTAL'!X500</f>
        <v>APAGADO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 t="str">
        <f>'RESUMEN TOTAL'!T502</f>
        <v>APAGADO</v>
      </c>
      <c r="N402" s="70" t="str">
        <f>'RESUMEN TOTAL'!U502</f>
        <v>APAGADO</v>
      </c>
      <c r="O402" s="70" t="str">
        <f>'RESUMEN TOTAL'!V502</f>
        <v>APAGADO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 t="str">
        <f>'RESUMEN TOTAL'!W505</f>
        <v>APAGADO</v>
      </c>
      <c r="Q405" s="70" t="str">
        <f>'RESUMEN TOTAL'!X505</f>
        <v>APAGADO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 t="str">
        <f>'RESUMEN TOTAL'!T507</f>
        <v>APAGADO</v>
      </c>
      <c r="N407" s="70" t="str">
        <f>'RESUMEN TOTAL'!U507</f>
        <v>APAGADO</v>
      </c>
      <c r="O407" s="70" t="str">
        <f>'RESUMEN TOTAL'!V507</f>
        <v>APAGADO</v>
      </c>
      <c r="P407" s="70" t="str">
        <f>'RESUMEN TOTAL'!W507</f>
        <v>APAGADO</v>
      </c>
      <c r="Q407" s="70" t="str">
        <f>'RESUMEN TOTAL'!X507</f>
        <v>APAGADO</v>
      </c>
      <c r="R407" s="70" t="str">
        <f>'RESUMEN TOTAL'!Y507</f>
        <v>APAGADO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 t="str">
        <f>'RESUMEN TOTAL'!W508</f>
        <v>APAGADO</v>
      </c>
      <c r="Q408" s="70" t="str">
        <f>'RESUMEN TOTAL'!X508</f>
        <v>APAGADO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 t="str">
        <f>'RESUMEN TOTAL'!W511</f>
        <v>APAGADO</v>
      </c>
      <c r="Q411" s="70" t="str">
        <f>'RESUMEN TOTAL'!X511</f>
        <v>APAGADO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 t="str">
        <f>'RESUMEN TOTAL'!W512</f>
        <v>APAGADO</v>
      </c>
      <c r="Q412" s="70" t="str">
        <f>'RESUMEN TOTAL'!X512</f>
        <v>APAGADO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 t="str">
        <f>'RESUMEN TOTAL'!T517</f>
        <v>APAGADO</v>
      </c>
      <c r="N417" s="70" t="str">
        <f>'RESUMEN TOTAL'!U517</f>
        <v>APAGADO</v>
      </c>
      <c r="O417" s="70" t="str">
        <f>'RESUMEN TOTAL'!V517</f>
        <v>APAGADO</v>
      </c>
      <c r="P417" s="70" t="str">
        <f>'RESUMEN TOTAL'!W517</f>
        <v>APAGADO</v>
      </c>
      <c r="Q417" s="70" t="str">
        <f>'RESUMEN TOTAL'!X517</f>
        <v>APAGADO</v>
      </c>
      <c r="R417" s="70" t="str">
        <f>'RESUMEN TOTAL'!Y517</f>
        <v>APAGADO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 t="str">
        <f>'RESUMEN TOTAL'!T536</f>
        <v>APAGADO</v>
      </c>
      <c r="N430" s="70" t="str">
        <f>'RESUMEN TOTAL'!U536</f>
        <v>APAGADO</v>
      </c>
      <c r="O430" s="70" t="str">
        <f>'RESUMEN TOTAL'!V536</f>
        <v>APAGADO</v>
      </c>
      <c r="P430" s="70" t="str">
        <f>'RESUMEN TOTAL'!W536</f>
        <v>APAGADO</v>
      </c>
      <c r="Q430" s="70" t="str">
        <f>'RESUMEN TOTAL'!X536</f>
        <v>APAGADO</v>
      </c>
      <c r="R430" s="70" t="str">
        <f>'RESUMEN TOTAL'!Y536</f>
        <v>APAGADO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 t="str">
        <f>'RESUMEN TOTAL'!T539</f>
        <v>APAGADO</v>
      </c>
      <c r="N432" s="70" t="str">
        <f>'RESUMEN TOTAL'!U539</f>
        <v>APAGADO</v>
      </c>
      <c r="O432" s="70" t="str">
        <f>'RESUMEN TOTAL'!V539</f>
        <v>APAGADO</v>
      </c>
      <c r="P432" s="70" t="str">
        <f>'RESUMEN TOTAL'!W539</f>
        <v>APAGADO</v>
      </c>
      <c r="Q432" s="70" t="str">
        <f>'RESUMEN TOTAL'!X539</f>
        <v>APAGADO</v>
      </c>
      <c r="R432" s="70" t="str">
        <f>'RESUMEN TOTAL'!Y539</f>
        <v>APAGADO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 t="str">
        <f>'RESUMEN TOTAL'!T540</f>
        <v>APAGADO</v>
      </c>
      <c r="N433" s="70" t="str">
        <f>'RESUMEN TOTAL'!U540</f>
        <v>APAGADO</v>
      </c>
      <c r="O433" s="70" t="str">
        <f>'RESUMEN TOTAL'!V540</f>
        <v>APAGADO</v>
      </c>
      <c r="P433" s="70" t="str">
        <f>'RESUMEN TOTAL'!W540</f>
        <v>APAGADO</v>
      </c>
      <c r="Q433" s="70" t="str">
        <f>'RESUMEN TOTAL'!X540</f>
        <v>APAGADO</v>
      </c>
      <c r="R433" s="70" t="str">
        <f>'RESUMEN TOTAL'!Y540</f>
        <v>APAGADO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 t="str">
        <f>'RESUMEN TOTAL'!T541</f>
        <v>APAGADO</v>
      </c>
      <c r="N434" s="70" t="str">
        <f>'RESUMEN TOTAL'!U541</f>
        <v>APAGADO</v>
      </c>
      <c r="O434" s="70" t="str">
        <f>'RESUMEN TOTAL'!V541</f>
        <v>APAGADO</v>
      </c>
      <c r="P434" s="70" t="str">
        <f>'RESUMEN TOTAL'!W541</f>
        <v>APAGADO</v>
      </c>
      <c r="Q434" s="70" t="str">
        <f>'RESUMEN TOTAL'!X541</f>
        <v>APAGADO</v>
      </c>
      <c r="R434" s="70" t="str">
        <f>'RESUMEN TOTAL'!Y541</f>
        <v>APAGADO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 t="str">
        <f>'RESUMEN TOTAL'!T542</f>
        <v>APAGADO</v>
      </c>
      <c r="N435" s="70" t="str">
        <f>'RESUMEN TOTAL'!U542</f>
        <v>APAGADO</v>
      </c>
      <c r="O435" s="70" t="str">
        <f>'RESUMEN TOTAL'!V542</f>
        <v>APAGADO</v>
      </c>
      <c r="P435" s="70" t="str">
        <f>'RESUMEN TOTAL'!W542</f>
        <v>APAGADO</v>
      </c>
      <c r="Q435" s="70" t="str">
        <f>'RESUMEN TOTAL'!X542</f>
        <v>APAGADO</v>
      </c>
      <c r="R435" s="70" t="str">
        <f>'RESUMEN TOTAL'!Y542</f>
        <v>APAGADO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 t="str">
        <f>'RESUMEN TOTAL'!T546</f>
        <v>APAGADO</v>
      </c>
      <c r="N436" s="70" t="str">
        <f>'RESUMEN TOTAL'!U546</f>
        <v>APAGADO</v>
      </c>
      <c r="O436" s="70" t="str">
        <f>'RESUMEN TOTAL'!V546</f>
        <v>APAGADO</v>
      </c>
      <c r="P436" s="70" t="str">
        <f>'RESUMEN TOTAL'!W546</f>
        <v>APAGADO</v>
      </c>
      <c r="Q436" s="70" t="str">
        <f>'RESUMEN TOTAL'!X546</f>
        <v>APAGADO</v>
      </c>
      <c r="R436" s="70" t="str">
        <f>'RESUMEN TOTAL'!Y546</f>
        <v>APAGADO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 t="str">
        <f>'RESUMEN TOTAL'!T547</f>
        <v>APAGADO</v>
      </c>
      <c r="N437" s="70" t="str">
        <f>'RESUMEN TOTAL'!U547</f>
        <v>APAGADO</v>
      </c>
      <c r="O437" s="70" t="str">
        <f>'RESUMEN TOTAL'!V547</f>
        <v>APAGADO</v>
      </c>
      <c r="P437" s="70" t="str">
        <f>'RESUMEN TOTAL'!W547</f>
        <v>APAGADO</v>
      </c>
      <c r="Q437" s="70" t="str">
        <f>'RESUMEN TOTAL'!X547</f>
        <v>APAGADO</v>
      </c>
      <c r="R437" s="70" t="str">
        <f>'RESUMEN TOTAL'!Y547</f>
        <v>APAGADO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 t="str">
        <f>'RESUMEN TOTAL'!T548</f>
        <v>APAGADO</v>
      </c>
      <c r="N438" s="70" t="str">
        <f>'RESUMEN TOTAL'!U548</f>
        <v>APAGADO</v>
      </c>
      <c r="O438" s="70" t="str">
        <f>'RESUMEN TOTAL'!V548</f>
        <v>APAGADO</v>
      </c>
      <c r="P438" s="70" t="str">
        <f>'RESUMEN TOTAL'!W548</f>
        <v>APAGADO</v>
      </c>
      <c r="Q438" s="70" t="str">
        <f>'RESUMEN TOTAL'!X548</f>
        <v>APAGADO</v>
      </c>
      <c r="R438" s="70" t="str">
        <f>'RESUMEN TOTAL'!Y548</f>
        <v>APAGADO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 t="str">
        <f>'RESUMEN TOTAL'!T549</f>
        <v>APAGADO</v>
      </c>
      <c r="N439" s="70" t="str">
        <f>'RESUMEN TOTAL'!U549</f>
        <v>APAGADO</v>
      </c>
      <c r="O439" s="70" t="str">
        <f>'RESUMEN TOTAL'!V549</f>
        <v>APAGADO</v>
      </c>
      <c r="P439" s="70" t="str">
        <f>'RESUMEN TOTAL'!W549</f>
        <v>APAGADO</v>
      </c>
      <c r="Q439" s="70" t="str">
        <f>'RESUMEN TOTAL'!X549</f>
        <v>APAGADO</v>
      </c>
      <c r="R439" s="70" t="str">
        <f>'RESUMEN TOTAL'!Y549</f>
        <v>APAGADO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 t="str">
        <f>'RESUMEN TOTAL'!T550</f>
        <v>APAGADO</v>
      </c>
      <c r="N440" s="70" t="str">
        <f>'RESUMEN TOTAL'!U550</f>
        <v>APAGADO</v>
      </c>
      <c r="O440" s="70" t="str">
        <f>'RESUMEN TOTAL'!V550</f>
        <v>APAGADO</v>
      </c>
      <c r="P440" s="70" t="str">
        <f>'RESUMEN TOTAL'!W550</f>
        <v>APAGADO</v>
      </c>
      <c r="Q440" s="70" t="str">
        <f>'RESUMEN TOTAL'!X550</f>
        <v>APAGADO</v>
      </c>
      <c r="R440" s="70" t="str">
        <f>'RESUMEN TOTAL'!Y550</f>
        <v>APAGADO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 t="str">
        <f>'RESUMEN TOTAL'!V552</f>
        <v>APAGADO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 t="str">
        <f>'RESUMEN TOTAL'!T556</f>
        <v>APAGADO</v>
      </c>
      <c r="N445" s="70" t="str">
        <f>'RESUMEN TOTAL'!U556</f>
        <v>APAGADO</v>
      </c>
      <c r="O445" s="70" t="str">
        <f>'RESUMEN TOTAL'!V556</f>
        <v>APAGADO</v>
      </c>
      <c r="P445" s="70" t="str">
        <f>'RESUMEN TOTAL'!W556</f>
        <v>APAGADO</v>
      </c>
      <c r="Q445" s="70" t="str">
        <f>'RESUMEN TOTAL'!X556</f>
        <v>APAGADO</v>
      </c>
      <c r="R445" s="70" t="str">
        <f>'RESUMEN TOTAL'!Y556</f>
        <v>APAGADO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 t="str">
        <f>'RESUMEN TOTAL'!T561</f>
        <v>APAGADO</v>
      </c>
      <c r="N450" s="70" t="str">
        <f>'RESUMEN TOTAL'!U561</f>
        <v>APAGADO</v>
      </c>
      <c r="O450" s="70" t="str">
        <f>'RESUMEN TOTAL'!V561</f>
        <v>APAGADO</v>
      </c>
      <c r="P450" s="70" t="str">
        <f>'RESUMEN TOTAL'!W561</f>
        <v>APAGADO</v>
      </c>
      <c r="Q450" s="70" t="str">
        <f>'RESUMEN TOTAL'!X561</f>
        <v>APAGADO</v>
      </c>
      <c r="R450" s="70" t="str">
        <f>'RESUMEN TOTAL'!Y561</f>
        <v>APAGADO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 t="str">
        <f>'RESUMEN TOTAL'!T573</f>
        <v>APAGADO</v>
      </c>
      <c r="N460" s="70" t="str">
        <f>'RESUMEN TOTAL'!U573</f>
        <v>APAGADO</v>
      </c>
      <c r="O460" s="70" t="str">
        <f>'RESUMEN TOTAL'!V573</f>
        <v>APAGADO</v>
      </c>
      <c r="P460" s="70" t="str">
        <f>'RESUMEN TOTAL'!W573</f>
        <v>APAGADO</v>
      </c>
      <c r="Q460" s="70" t="str">
        <f>'RESUMEN TOTAL'!X573</f>
        <v>APAGADO</v>
      </c>
      <c r="R460" s="70" t="str">
        <f>'RESUMEN TOTAL'!Y573</f>
        <v>APAGADO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A19" sqref="A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20</v>
      </c>
      <c r="O3" s="46">
        <f>COUNTIFS('RESUMEN TOTAL'!V8:V685,"=APAGADO",'RESUMEN TOTAL'!C8:C685,"=BONOMO")</f>
        <v>20</v>
      </c>
      <c r="P3" s="46">
        <f>COUNTIFS('RESUMEN TOTAL'!W8:W685,"=APAGADO",'RESUMEN TOTAL'!C8:C685,"=BONOMO")</f>
        <v>22</v>
      </c>
      <c r="Q3" s="46">
        <f>COUNTIFS('RESUMEN TOTAL'!X8:X685,"=APAGADO",'RESUMEN TOTAL'!C8:C685,"=BONOMO")</f>
        <v>22</v>
      </c>
      <c r="R3" s="46">
        <f>COUNTIFS('RESUMEN TOTAL'!Y8:Y685,"=APAGADO",'RESUMEN TOTAL'!C8:C685,"=BONOMO")</f>
        <v>23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6.6445182724252497E-2</v>
      </c>
      <c r="O4" s="50">
        <f t="shared" si="0"/>
        <v>6.6445182724252497E-2</v>
      </c>
      <c r="P4" s="50">
        <f t="shared" si="0"/>
        <v>7.3089700996677748E-2</v>
      </c>
      <c r="Q4" s="50">
        <f t="shared" si="0"/>
        <v>7.3089700996677748E-2</v>
      </c>
      <c r="R4" s="50">
        <f t="shared" si="0"/>
        <v>7.6411960132890366E-2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67</v>
      </c>
      <c r="O5" s="46">
        <v>58</v>
      </c>
      <c r="P5" s="46">
        <f>COUNTIFS('RESUMEN TOTAL'!W10:W687,"=APAGADO",'RESUMEN TOTAL'!C10:C687,"=COSEIDI")</f>
        <v>67</v>
      </c>
      <c r="Q5" s="46">
        <f>COUNTIFS('RESUMEN TOTAL'!X10:X687,"=APAGADO",'RESUMEN TOTAL'!C10:C687,"=COSEIDI")</f>
        <v>69</v>
      </c>
      <c r="R5" s="46">
        <f>COUNTIFS('RESUMEN TOTAL'!Y10:Y687,"=APAGADO",'RESUMEN TOTAL'!C10:C687,"=COSEIDI")</f>
        <v>60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0.25</v>
      </c>
      <c r="O6" s="50">
        <f t="shared" si="1"/>
        <v>0.21641791044776118</v>
      </c>
      <c r="P6" s="50">
        <v>0.25</v>
      </c>
      <c r="Q6" s="50">
        <f t="shared" si="1"/>
        <v>0.2574626865671642</v>
      </c>
      <c r="R6" s="50">
        <f t="shared" si="1"/>
        <v>0.22388059701492538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2025-12-15T10:27:31Z</dcterms:modified>
</cp:coreProperties>
</file>