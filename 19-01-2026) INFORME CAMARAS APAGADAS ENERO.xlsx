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F5ADA34A-DE90-4D49-A387-9F44A3A18151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<sst xmlns="http://schemas.openxmlformats.org/spreadsheetml/2006/main" count="6831" uniqueCount="2289">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</sst>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AE208" activePane="bottomRight" state="frozen"/>
      <selection pane="topRight" activeCell="M1" sqref="M1"/>
      <selection pane="bottomLeft" activeCell="A5" sqref="A5"/>
      <selection pane="bottomRight" activeCell="H215" sqref="H215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0.16204379562043797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111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59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1465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4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15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1060</v>
      </c>
      <c r="D7" s="35" t="s">
        <v>9</v>
      </c>
      <c r="E7" s="117" t="s">
        <v>10</v>
      </c>
      <c r="F7" s="117" t="s">
        <v>11</v>
      </c>
      <c r="G7" s="117" t="s">
        <v>1247</v>
      </c>
      <c r="H7" s="117"/>
      <c r="I7" s="19" t="s">
        <v>2</v>
      </c>
      <c r="J7" s="19" t="s">
        <v>1664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10</v>
      </c>
      <c r="J8" s="147" t="s">
        <v>1665</v>
      </c>
      <c r="K8" s="31">
        <f t="shared" ref="K8:K85" si="6">COUNTIF(M8:AN8,"APAGADO")</f>
        <v>18</v>
      </c>
      <c r="L8" s="32">
        <f t="shared" ref="L8:L85" si="7">(I8)/(K8+I8)</f>
        <v>0.35714285714285715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10</v>
      </c>
      <c r="J9" s="147" t="s">
        <v>1666</v>
      </c>
      <c r="K9" s="31">
        <f t="shared" si="6"/>
        <v>18</v>
      </c>
      <c r="L9" s="32">
        <f t="shared" si="7"/>
        <v>0.35714285714285715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2">
        <f t="shared" si="5"/>
        <v>28</v>
      </c>
      <c r="J10" s="147" t="s">
        <v>1667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2">
        <f t="shared" si="5"/>
        <v>28</v>
      </c>
      <c r="J11" s="147" t="s">
        <v>1668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2">
        <f t="shared" si="5"/>
        <v>28</v>
      </c>
      <c r="J12" s="149" t="s">
        <v>1669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2">
        <f t="shared" si="5"/>
        <v>28</v>
      </c>
      <c r="J13" s="147" t="s">
        <v>1670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10</v>
      </c>
      <c r="J14" s="147" t="s">
        <v>1671</v>
      </c>
      <c r="K14" s="31">
        <f t="shared" si="6"/>
        <v>18</v>
      </c>
      <c r="L14" s="32">
        <f t="shared" si="7"/>
        <v>0.35714285714285715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2">
        <f t="shared" si="5"/>
        <v>26</v>
      </c>
      <c r="J17" s="150" t="s">
        <v>1674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11</v>
      </c>
      <c r="J19" s="147" t="s">
        <v>1675</v>
      </c>
      <c r="K19" s="31">
        <f t="shared" si="6"/>
        <v>17</v>
      </c>
      <c r="L19" s="32">
        <f t="shared" si="7"/>
        <v>0.39285714285714285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11</v>
      </c>
      <c r="J20" s="147" t="s">
        <v>1676</v>
      </c>
      <c r="K20" s="31">
        <f t="shared" si="6"/>
        <v>17</v>
      </c>
      <c r="L20" s="32">
        <f t="shared" si="7"/>
        <v>0.39285714285714285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7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7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27</v>
      </c>
      <c r="J24" s="147" t="s">
        <v>1680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27</v>
      </c>
      <c r="J25" s="147" t="s">
        <v>1681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27</v>
      </c>
      <c r="J26" s="147" t="s">
        <v>1682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27</v>
      </c>
      <c r="J27" s="147" t="s">
        <v>1683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7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7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2">
        <f t="shared" si="5"/>
        <v>26</v>
      </c>
      <c r="J30" s="147" t="s">
        <v>1686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2">
        <f t="shared" si="5"/>
        <v>24</v>
      </c>
      <c r="J31" s="87" t="s">
        <v>2158</v>
      </c>
      <c r="K31" s="142">
        <f t="shared" si="6"/>
        <v>4</v>
      </c>
      <c r="L31" s="143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2">
        <f t="shared" si="5"/>
        <v>24</v>
      </c>
      <c r="J32" s="87" t="s">
        <v>2159</v>
      </c>
      <c r="K32" s="142">
        <f t="shared" si="6"/>
        <v>4</v>
      </c>
      <c r="L32" s="143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2">
        <f t="shared" si="5"/>
        <v>24</v>
      </c>
      <c r="J33" s="87" t="s">
        <v>2160</v>
      </c>
      <c r="K33" s="142">
        <f t="shared" si="6"/>
        <v>4</v>
      </c>
      <c r="L33" s="143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2156</v>
      </c>
      <c r="B34" s="133" t="s">
        <v>1348</v>
      </c>
      <c r="C34" s="132" t="s">
        <v>1062</v>
      </c>
      <c r="D34" s="132" t="s">
        <v>1349</v>
      </c>
      <c r="E34" s="133" t="s">
        <v>19</v>
      </c>
      <c r="F34" s="133" t="s">
        <v>28</v>
      </c>
      <c r="G34" s="133"/>
      <c r="H34" s="133" t="s">
        <v>1445</v>
      </c>
      <c r="I34" s="134">
        <f t="shared" si="5"/>
        <v>10</v>
      </c>
      <c r="J34" s="147" t="s">
        <v>1687</v>
      </c>
      <c r="K34" s="134">
        <f t="shared" si="6"/>
        <v>18</v>
      </c>
      <c r="L34" s="135">
        <f t="shared" si="7"/>
        <v>0.35714285714285715</v>
      </c>
      <c r="M34" s="136" t="s">
        <v>2286</v>
      </c>
      <c r="N34" s="136" t="s">
        <v>2286</v>
      </c>
      <c r="O34" s="136" t="s">
        <v>2286</v>
      </c>
      <c r="P34" s="136" t="s">
        <v>2286</v>
      </c>
      <c r="Q34" s="136" t="s">
        <v>2286</v>
      </c>
      <c r="R34" s="136" t="s">
        <v>2286</v>
      </c>
      <c r="S34" s="136" t="s">
        <v>2286</v>
      </c>
      <c r="T34" s="136" t="s">
        <v>2286</v>
      </c>
      <c r="U34" s="136" t="s">
        <v>2286</v>
      </c>
      <c r="V34" s="136" t="s">
        <v>2286</v>
      </c>
      <c r="W34" s="136"/>
      <c r="X34" s="136" t="s">
        <v>2286</v>
      </c>
      <c r="Y34" s="136" t="s">
        <v>2286</v>
      </c>
      <c r="Z34" s="136" t="s">
        <v>2286</v>
      </c>
      <c r="AA34" s="136" t="s">
        <v>2286</v>
      </c>
      <c r="AB34" s="136" t="s">
        <v>2286</v>
      </c>
      <c r="AC34" s="136" t="s">
        <v>2286</v>
      </c>
      <c r="AD34" s="136" t="s">
        <v>2286</v>
      </c>
      <c r="AE34" s="70" t="s">
        <v>2286</v>
      </c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2">
        <f t="shared" si="5"/>
        <v>25</v>
      </c>
      <c r="J35" s="87" t="s">
        <v>2161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2">
        <f t="shared" si="5"/>
        <v>12</v>
      </c>
      <c r="J36" s="87" t="s">
        <v>2155</v>
      </c>
      <c r="K36" s="142">
        <f t="shared" si="6"/>
        <v>16</v>
      </c>
      <c r="L36" s="143">
        <f t="shared" si="7"/>
        <v>0.42857142857142855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2">
        <f t="shared" si="5"/>
        <v>28</v>
      </c>
      <c r="J37" s="87" t="s">
        <v>2162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7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7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28</v>
      </c>
      <c r="J44" s="153" t="s">
        <v>2245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28</v>
      </c>
      <c r="J45" s="153" t="s">
        <v>2250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2">
        <f t="shared" si="5"/>
        <v>28</v>
      </c>
      <c r="J58" s="147" t="s">
        <v>1701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2">
        <f t="shared" si="5"/>
        <v>28</v>
      </c>
      <c r="J60" s="147" t="s">
        <v>1703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7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2">
        <f t="shared" si="5"/>
        <v>28</v>
      </c>
      <c r="J65" s="147" t="s">
        <v>1708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1061</v>
      </c>
      <c r="D66" s="91" t="s">
        <v>105</v>
      </c>
      <c r="E66" s="92" t="s">
        <v>73</v>
      </c>
      <c r="F66" s="85" t="s">
        <v>1300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2">
        <f t="shared" si="5"/>
        <v>28</v>
      </c>
      <c r="J67" s="147" t="s">
        <v>1709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7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7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7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1716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2">
        <f t="shared" si="8"/>
        <v>28</v>
      </c>
      <c r="J87" s="147" t="s">
        <v>1729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11</v>
      </c>
      <c r="J89" s="147" t="s">
        <v>1731</v>
      </c>
      <c r="K89" s="31">
        <f t="shared" si="9"/>
        <v>17</v>
      </c>
      <c r="L89" s="32">
        <f t="shared" si="10"/>
        <v>0.39285714285714285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2">
        <f t="shared" si="8"/>
        <v>28</v>
      </c>
      <c r="J93" s="147" t="s">
        <v>1735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50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2">
        <f t="shared" si="8"/>
        <v>25</v>
      </c>
      <c r="J95" s="147" t="s">
        <v>1737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2">
        <f t="shared" si="8"/>
        <v>28</v>
      </c>
      <c r="J96" s="147" t="s">
        <v>1738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2">
        <f t="shared" si="8"/>
        <v>28</v>
      </c>
      <c r="J97" s="147" t="s">
        <v>1739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2">
        <f t="shared" si="8"/>
        <v>22</v>
      </c>
      <c r="J98" s="147" t="s">
        <v>1740</v>
      </c>
      <c r="K98" s="142">
        <f t="shared" si="9"/>
        <v>6</v>
      </c>
      <c r="L98" s="143">
        <f t="shared" si="10"/>
        <v>0.7857142857142857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2">
        <f t="shared" si="8"/>
        <v>11</v>
      </c>
      <c r="J99" s="147" t="s">
        <v>1741</v>
      </c>
      <c r="K99" s="142">
        <f t="shared" si="9"/>
        <v>17</v>
      </c>
      <c r="L99" s="143">
        <f t="shared" si="10"/>
        <v>0.39285714285714285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2">
        <f t="shared" si="8"/>
        <v>28</v>
      </c>
      <c r="J100" s="147" t="s">
        <v>1742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2">
        <f t="shared" si="8"/>
        <v>28</v>
      </c>
      <c r="J101" s="147" t="s">
        <v>1743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2">
        <f t="shared" si="8"/>
        <v>28</v>
      </c>
      <c r="J102" s="147" t="s">
        <v>1744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2">
        <f t="shared" si="8"/>
        <v>28</v>
      </c>
      <c r="J104" s="147" t="s">
        <v>1746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28</v>
      </c>
      <c r="J105" s="147" t="s">
        <v>1747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2">
        <f t="shared" si="8"/>
        <v>28</v>
      </c>
      <c r="J106" s="147" t="s">
        <v>1748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7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2">
        <f t="shared" si="8"/>
        <v>28</v>
      </c>
      <c r="J110" s="147" t="s">
        <v>1752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2">
        <f t="shared" si="8"/>
        <v>28</v>
      </c>
      <c r="J111" s="147" t="s">
        <v>1752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2">
        <f t="shared" si="8"/>
        <v>14</v>
      </c>
      <c r="J112" s="147" t="s">
        <v>1754</v>
      </c>
      <c r="K112" s="142">
        <f t="shared" si="9"/>
        <v>14</v>
      </c>
      <c r="L112" s="143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2">
        <f t="shared" si="8"/>
        <v>14</v>
      </c>
      <c r="J113" s="147" t="s">
        <v>1753</v>
      </c>
      <c r="K113" s="142">
        <f t="shared" si="9"/>
        <v>14</v>
      </c>
      <c r="L113" s="143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2">
        <f t="shared" si="8"/>
        <v>28</v>
      </c>
      <c r="J116" s="147" t="s">
        <v>1757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2">
        <f t="shared" si="8"/>
        <v>10</v>
      </c>
      <c r="J120" s="147" t="s">
        <v>1761</v>
      </c>
      <c r="K120" s="142">
        <f t="shared" si="9"/>
        <v>18</v>
      </c>
      <c r="L120" s="143">
        <f t="shared" si="10"/>
        <v>0.35714285714285715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7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7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7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7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7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28</v>
      </c>
      <c r="J126" s="147" t="s">
        <v>1767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2">
        <f t="shared" si="8"/>
        <v>23</v>
      </c>
      <c r="J127" s="148" t="s">
        <v>1768</v>
      </c>
      <c r="K127" s="142">
        <f t="shared" si="9"/>
        <v>5</v>
      </c>
      <c r="L127" s="143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2">
        <f t="shared" si="8"/>
        <v>28</v>
      </c>
      <c r="J128" s="147" t="s">
        <v>1769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2">
        <f t="shared" si="8"/>
        <v>28</v>
      </c>
      <c r="J129" s="147" t="s">
        <v>1770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18</v>
      </c>
      <c r="J130" s="147" t="s">
        <v>1771</v>
      </c>
      <c r="K130" s="31">
        <f t="shared" si="9"/>
        <v>10</v>
      </c>
      <c r="L130" s="32">
        <f t="shared" si="10"/>
        <v>0.6428571428571429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7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2">
        <f t="shared" si="8"/>
        <v>28</v>
      </c>
      <c r="J132" s="147" t="s">
        <v>1773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2">
        <f t="shared" si="8"/>
        <v>28</v>
      </c>
      <c r="J133" s="147" t="s">
        <v>1774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2">
        <f t="shared" si="8"/>
        <v>28</v>
      </c>
      <c r="J134" s="147" t="s">
        <v>1775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2">
        <f t="shared" si="8"/>
        <v>27</v>
      </c>
      <c r="J135" s="147" t="s">
        <v>1776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2">
        <f t="shared" si="8"/>
        <v>27</v>
      </c>
      <c r="J136" s="147" t="s">
        <v>1777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2">
        <f t="shared" si="8"/>
        <v>28</v>
      </c>
      <c r="J137" s="147" t="s">
        <v>1778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2">
        <f t="shared" si="8"/>
        <v>27</v>
      </c>
      <c r="J138" s="147" t="s">
        <v>1779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2">
        <f t="shared" si="8"/>
        <v>28</v>
      </c>
      <c r="J139" s="87" t="s">
        <v>2191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2">
        <f t="shared" si="8"/>
        <v>27</v>
      </c>
      <c r="J140" s="147" t="s">
        <v>1780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2">
        <f t="shared" si="8"/>
        <v>28</v>
      </c>
      <c r="J141" s="147" t="s">
        <v>1781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2">
        <f t="shared" si="8"/>
        <v>28</v>
      </c>
      <c r="J142" s="147" t="s">
        <v>2193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2">
        <f t="shared" si="8"/>
        <v>27</v>
      </c>
      <c r="J143" s="147" t="s">
        <v>2223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2">
        <f t="shared" si="8"/>
        <v>28</v>
      </c>
      <c r="J144" s="147" t="s">
        <v>2261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7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7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26</v>
      </c>
      <c r="J150" s="147" t="s">
        <v>1786</v>
      </c>
      <c r="K150" s="31">
        <f t="shared" si="9"/>
        <v>2</v>
      </c>
      <c r="L150" s="32">
        <f t="shared" si="10"/>
        <v>0.9285714285714286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28</v>
      </c>
      <c r="J152" s="147" t="s">
        <v>1787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1061</v>
      </c>
      <c r="D153" s="73" t="s">
        <v>183</v>
      </c>
      <c r="E153" s="92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7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7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939</v>
      </c>
      <c r="C156" s="91" t="s">
        <v>1061</v>
      </c>
      <c r="D156" s="73" t="s">
        <v>940</v>
      </c>
      <c r="E156" s="92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11</v>
      </c>
      <c r="J156" s="87"/>
      <c r="K156" s="31">
        <f t="shared" si="9"/>
        <v>17</v>
      </c>
      <c r="L156" s="32">
        <f t="shared" si="10"/>
        <v>0.39285714285714285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3" t="s">
        <v>2286</v>
      </c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941</v>
      </c>
      <c r="C157" s="91" t="s">
        <v>1061</v>
      </c>
      <c r="D157" s="73" t="s">
        <v>940</v>
      </c>
      <c r="E157" s="92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11</v>
      </c>
      <c r="J157" s="87"/>
      <c r="K157" s="31">
        <f t="shared" si="9"/>
        <v>17</v>
      </c>
      <c r="L157" s="32">
        <f t="shared" si="10"/>
        <v>0.39285714285714285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3" t="s">
        <v>2286</v>
      </c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7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7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7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2">
        <f t="shared" si="8"/>
        <v>28</v>
      </c>
      <c r="J162" s="147" t="s">
        <v>1793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2">
        <f t="shared" ref="I163:I239" si="11">COUNTIF(M163:AN163,"")</f>
        <v>28</v>
      </c>
      <c r="J163" s="147" t="s">
        <v>1794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1795</v>
      </c>
      <c r="K164" s="31">
        <f t="shared" si="12"/>
        <v>6</v>
      </c>
      <c r="L164" s="32">
        <f t="shared" si="13"/>
        <v>0.7857142857142857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1796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27</v>
      </c>
      <c r="J166" s="147" t="s">
        <v>1797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1798</v>
      </c>
      <c r="K167" s="31">
        <f t="shared" si="12"/>
        <v>4</v>
      </c>
      <c r="L167" s="32">
        <f t="shared" si="13"/>
        <v>0.8571428571428571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12</v>
      </c>
      <c r="J168" s="147" t="s">
        <v>1799</v>
      </c>
      <c r="K168" s="31">
        <f t="shared" si="12"/>
        <v>16</v>
      </c>
      <c r="L168" s="32">
        <f t="shared" si="13"/>
        <v>0.42857142857142855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10</v>
      </c>
      <c r="J169" s="147" t="s">
        <v>1800</v>
      </c>
      <c r="K169" s="31">
        <f t="shared" si="12"/>
        <v>18</v>
      </c>
      <c r="L169" s="32">
        <f t="shared" si="13"/>
        <v>0.35714285714285715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7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7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7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2">
        <f t="shared" si="11"/>
        <v>24</v>
      </c>
      <c r="J175" s="147" t="s">
        <v>1806</v>
      </c>
      <c r="K175" s="142">
        <f t="shared" si="12"/>
        <v>4</v>
      </c>
      <c r="L175" s="143">
        <f t="shared" si="13"/>
        <v>0.8571428571428571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7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22</v>
      </c>
      <c r="J182" s="147" t="s">
        <v>1812</v>
      </c>
      <c r="K182" s="31">
        <f t="shared" si="12"/>
        <v>6</v>
      </c>
      <c r="L182" s="32">
        <f t="shared" si="13"/>
        <v>0.7857142857142857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7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7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7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10</v>
      </c>
      <c r="J187" s="147" t="s">
        <v>1816</v>
      </c>
      <c r="K187" s="31">
        <f t="shared" si="12"/>
        <v>18</v>
      </c>
      <c r="L187" s="32">
        <f t="shared" si="13"/>
        <v>0.35714285714285715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7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7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23</v>
      </c>
      <c r="J190" s="147" t="s">
        <v>1817</v>
      </c>
      <c r="K190" s="31">
        <f t="shared" si="12"/>
        <v>5</v>
      </c>
      <c r="L190" s="32">
        <f t="shared" si="13"/>
        <v>0.8214285714285714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1819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950</v>
      </c>
      <c r="C193" s="137" t="s">
        <v>1062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10</v>
      </c>
      <c r="J193" s="87"/>
      <c r="K193" s="138">
        <f t="shared" si="12"/>
        <v>18</v>
      </c>
      <c r="L193" s="139">
        <f t="shared" si="13"/>
        <v>0.35714285714285715</v>
      </c>
      <c r="M193" s="140" t="s">
        <v>2286</v>
      </c>
      <c r="N193" s="140" t="s">
        <v>2286</v>
      </c>
      <c r="O193" s="140" t="s">
        <v>2286</v>
      </c>
      <c r="P193" s="140" t="s">
        <v>2286</v>
      </c>
      <c r="Q193" s="140" t="s">
        <v>2286</v>
      </c>
      <c r="R193" s="140" t="s">
        <v>2286</v>
      </c>
      <c r="S193" s="140" t="s">
        <v>2286</v>
      </c>
      <c r="T193" s="140" t="s">
        <v>2286</v>
      </c>
      <c r="U193" s="140" t="s">
        <v>2286</v>
      </c>
      <c r="V193" s="140" t="s">
        <v>2286</v>
      </c>
      <c r="W193" s="140"/>
      <c r="X193" s="140" t="s">
        <v>2286</v>
      </c>
      <c r="Y193" s="140" t="s">
        <v>2286</v>
      </c>
      <c r="Z193" s="140" t="s">
        <v>2286</v>
      </c>
      <c r="AA193" s="140" t="s">
        <v>2286</v>
      </c>
      <c r="AB193" s="140" t="s">
        <v>2286</v>
      </c>
      <c r="AC193" s="140" t="s">
        <v>2286</v>
      </c>
      <c r="AD193" s="140" t="s">
        <v>2286</v>
      </c>
      <c r="AE193" s="140" t="s">
        <v>2286</v>
      </c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2">
        <f t="shared" si="11"/>
        <v>10</v>
      </c>
      <c r="J194" s="147" t="s">
        <v>1820</v>
      </c>
      <c r="K194" s="142">
        <f t="shared" si="12"/>
        <v>18</v>
      </c>
      <c r="L194" s="143">
        <f t="shared" si="13"/>
        <v>0.35714285714285715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2">
        <f t="shared" si="11"/>
        <v>17</v>
      </c>
      <c r="J195" s="147" t="s">
        <v>1821</v>
      </c>
      <c r="K195" s="142">
        <f t="shared" si="12"/>
        <v>11</v>
      </c>
      <c r="L195" s="143">
        <f t="shared" si="13"/>
        <v>0.6071428571428571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7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7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7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1061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24</v>
      </c>
      <c r="J199" s="87"/>
      <c r="K199" s="31">
        <f t="shared" si="12"/>
        <v>4</v>
      </c>
      <c r="L199" s="32">
        <f t="shared" si="13"/>
        <v>0.8571428571428571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3" t="s">
        <v>2286</v>
      </c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2">
        <f t="shared" si="11"/>
        <v>15</v>
      </c>
      <c r="J200" s="147" t="s">
        <v>1825</v>
      </c>
      <c r="K200" s="142">
        <f t="shared" si="12"/>
        <v>13</v>
      </c>
      <c r="L200" s="143">
        <f t="shared" si="13"/>
        <v>0.5357142857142857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7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7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2">
        <f t="shared" si="11"/>
        <v>28</v>
      </c>
      <c r="J203" s="147" t="s">
        <v>1828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7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7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7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7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7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7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2">
        <f t="shared" si="11"/>
        <v>17</v>
      </c>
      <c r="J211" s="147" t="s">
        <v>1835</v>
      </c>
      <c r="K211" s="142">
        <f t="shared" si="12"/>
        <v>11</v>
      </c>
      <c r="L211" s="143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2">
        <f t="shared" si="11"/>
        <v>28</v>
      </c>
      <c r="J212" s="147" t="s">
        <v>1836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2">
        <f t="shared" si="11"/>
        <v>28</v>
      </c>
      <c r="J213" s="147" t="s">
        <v>2208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7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2">
        <f t="shared" si="11"/>
        <v>28</v>
      </c>
      <c r="J215" s="147" t="s">
        <v>1838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2">
        <f t="shared" si="11"/>
        <v>28</v>
      </c>
      <c r="J216" s="147" t="s">
        <v>1839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2">
        <f t="shared" si="11"/>
        <v>28</v>
      </c>
      <c r="J217" s="147" t="s">
        <v>1840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2">
        <f t="shared" si="11"/>
        <v>13</v>
      </c>
      <c r="J218" s="151" t="s">
        <v>2274</v>
      </c>
      <c r="K218" s="142">
        <f t="shared" si="12"/>
        <v>15</v>
      </c>
      <c r="L218" s="143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7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2">
        <f t="shared" si="11"/>
        <v>28</v>
      </c>
      <c r="J222" s="147" t="s">
        <v>1842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7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2">
        <f t="shared" si="11"/>
        <v>28</v>
      </c>
      <c r="J225" s="147" t="s">
        <v>1845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2">
        <f t="shared" si="11"/>
        <v>28</v>
      </c>
      <c r="J226" s="147" t="s">
        <v>1846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958</v>
      </c>
      <c r="C228" s="73" t="s">
        <v>1062</v>
      </c>
      <c r="D228" s="73" t="s">
        <v>259</v>
      </c>
      <c r="E228" s="85" t="s">
        <v>15</v>
      </c>
      <c r="F228" s="85" t="s">
        <v>1300</v>
      </c>
      <c r="G228" s="85"/>
      <c r="H228" s="85" t="s">
        <v>715</v>
      </c>
      <c r="I228" s="142">
        <f t="shared" si="11"/>
        <v>28</v>
      </c>
      <c r="J228" s="147" t="s">
        <v>1847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1062</v>
      </c>
      <c r="D229" s="73" t="s">
        <v>261</v>
      </c>
      <c r="E229" s="85" t="s">
        <v>73</v>
      </c>
      <c r="F229" s="85" t="s">
        <v>1300</v>
      </c>
      <c r="G229" s="85"/>
      <c r="H229" s="85" t="s">
        <v>716</v>
      </c>
      <c r="I229" s="142">
        <f t="shared" si="11"/>
        <v>28</v>
      </c>
      <c r="J229" s="147" t="s">
        <v>1848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717</v>
      </c>
      <c r="I230" s="142">
        <f t="shared" si="11"/>
        <v>28</v>
      </c>
      <c r="J230" s="147" t="s">
        <v>1849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2281</v>
      </c>
      <c r="C231" s="73" t="s">
        <v>1062</v>
      </c>
      <c r="D231" s="73" t="s">
        <v>2282</v>
      </c>
      <c r="E231" s="85" t="s">
        <v>15</v>
      </c>
      <c r="F231" s="85" t="s">
        <v>1300</v>
      </c>
      <c r="G231" s="85"/>
      <c r="H231" s="85" t="s">
        <v>2283</v>
      </c>
      <c r="I231" s="142">
        <f t="shared" si="11"/>
        <v>28</v>
      </c>
      <c r="J231" s="147" t="s">
        <v>2284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959</v>
      </c>
      <c r="C232" t="s">
        <v>1061</v>
      </c>
      <c r="D232" t="s">
        <v>272</v>
      </c>
      <c r="E232" s="30" t="s">
        <v>73</v>
      </c>
      <c r="F232" s="30" t="s">
        <v>28</v>
      </c>
      <c r="G232" s="30"/>
      <c r="H232" s="30" t="s">
        <v>722</v>
      </c>
      <c r="I232" s="31">
        <f t="shared" si="11"/>
        <v>11</v>
      </c>
      <c r="J232" s="147" t="s">
        <v>1850</v>
      </c>
      <c r="K232" s="31">
        <f t="shared" si="12"/>
        <v>17</v>
      </c>
      <c r="L232" s="32">
        <f t="shared" si="13"/>
        <v>0.39285714285714285</v>
      </c>
      <c r="M232" s="70" t="s">
        <v>2286</v>
      </c>
      <c r="N232" s="70" t="s">
        <v>2286</v>
      </c>
      <c r="O232" s="70" t="s">
        <v>2286</v>
      </c>
      <c r="P232" s="70" t="s">
        <v>2286</v>
      </c>
      <c r="Q232" s="70" t="s">
        <v>2286</v>
      </c>
      <c r="R232" s="70" t="s">
        <v>2286</v>
      </c>
      <c r="S232" s="70" t="s">
        <v>2286</v>
      </c>
      <c r="T232" s="70" t="s">
        <v>2286</v>
      </c>
      <c r="U232" s="70" t="s">
        <v>2286</v>
      </c>
      <c r="V232" s="70" t="s">
        <v>2286</v>
      </c>
      <c r="W232" s="70"/>
      <c r="X232" s="70" t="s">
        <v>2286</v>
      </c>
      <c r="Y232" s="70" t="s">
        <v>2286</v>
      </c>
      <c r="Z232" s="70" t="s">
        <v>2286</v>
      </c>
      <c r="AA232" s="70" t="s">
        <v>2286</v>
      </c>
      <c r="AB232" s="70" t="s">
        <v>2286</v>
      </c>
      <c r="AC232" s="70" t="s">
        <v>2286</v>
      </c>
      <c r="AD232" s="70" t="s">
        <v>2286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960</v>
      </c>
      <c r="C233" t="s">
        <v>1061</v>
      </c>
      <c r="D233" t="s">
        <v>1086</v>
      </c>
      <c r="E233" s="30" t="s">
        <v>19</v>
      </c>
      <c r="F233" s="30" t="s">
        <v>28</v>
      </c>
      <c r="G233" s="30"/>
      <c r="H233" s="30" t="s">
        <v>724</v>
      </c>
      <c r="I233" s="31">
        <f t="shared" si="11"/>
        <v>22</v>
      </c>
      <c r="J233" s="147" t="s">
        <v>1851</v>
      </c>
      <c r="K233" s="31">
        <f t="shared" si="12"/>
        <v>6</v>
      </c>
      <c r="L233" s="32">
        <f t="shared" si="13"/>
        <v>0.7857142857142857</v>
      </c>
      <c r="M233" s="70"/>
      <c r="N233" s="70"/>
      <c r="O233" s="70"/>
      <c r="P233" s="70"/>
      <c r="Q233" s="70"/>
      <c r="R233" s="70" t="s">
        <v>2286</v>
      </c>
      <c r="S233" s="70" t="s">
        <v>2286</v>
      </c>
      <c r="T233" s="70" t="s">
        <v>2286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2286</v>
      </c>
      <c r="AD233" s="70" t="s">
        <v>2286</v>
      </c>
      <c r="AE233" s="70" t="s">
        <v>2286</v>
      </c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961</v>
      </c>
      <c r="C234" t="s">
        <v>1061</v>
      </c>
      <c r="D234" t="s">
        <v>279</v>
      </c>
      <c r="E234" s="30" t="s">
        <v>19</v>
      </c>
      <c r="F234" s="30" t="s">
        <v>28</v>
      </c>
      <c r="G234" s="30"/>
      <c r="H234" s="30" t="s">
        <v>1482</v>
      </c>
      <c r="I234" s="31">
        <f t="shared" si="11"/>
        <v>12</v>
      </c>
      <c r="J234" s="147" t="s">
        <v>1852</v>
      </c>
      <c r="K234" s="31">
        <f t="shared" si="12"/>
        <v>16</v>
      </c>
      <c r="L234" s="32">
        <f t="shared" si="13"/>
        <v>0.42857142857142855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/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/>
      <c r="AE234" s="70" t="s">
        <v>2286</v>
      </c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962</v>
      </c>
      <c r="C235" t="s">
        <v>1061</v>
      </c>
      <c r="D235" t="s">
        <v>282</v>
      </c>
      <c r="E235" s="30" t="s">
        <v>73</v>
      </c>
      <c r="F235" s="30" t="s">
        <v>28</v>
      </c>
      <c r="G235" s="30"/>
      <c r="H235" s="30" t="s">
        <v>726</v>
      </c>
      <c r="I235" s="31">
        <f t="shared" si="11"/>
        <v>22</v>
      </c>
      <c r="J235" s="147" t="s">
        <v>1853</v>
      </c>
      <c r="K235" s="31">
        <f t="shared" si="12"/>
        <v>6</v>
      </c>
      <c r="L235" s="32">
        <f t="shared" si="13"/>
        <v>0.7857142857142857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963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727</v>
      </c>
      <c r="I236" s="31">
        <f t="shared" si="11"/>
        <v>22</v>
      </c>
      <c r="J236" s="147" t="s">
        <v>1854</v>
      </c>
      <c r="K236" s="31">
        <f t="shared" si="12"/>
        <v>6</v>
      </c>
      <c r="L236" s="32">
        <f t="shared" si="13"/>
        <v>0.7857142857142857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964</v>
      </c>
      <c r="C237" t="s">
        <v>1061</v>
      </c>
      <c r="D237" t="s">
        <v>263</v>
      </c>
      <c r="E237" s="30" t="s">
        <v>46</v>
      </c>
      <c r="F237" s="30" t="s">
        <v>28</v>
      </c>
      <c r="G237" s="30"/>
      <c r="H237" s="30" t="s">
        <v>718</v>
      </c>
      <c r="I237" s="31">
        <f t="shared" si="11"/>
        <v>25</v>
      </c>
      <c r="J237" s="147" t="s">
        <v>1855</v>
      </c>
      <c r="K237" s="31">
        <f t="shared" si="12"/>
        <v>3</v>
      </c>
      <c r="L237" s="32">
        <f t="shared" si="13"/>
        <v>0.8928571428571429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1061</v>
      </c>
      <c r="D238" t="s">
        <v>266</v>
      </c>
      <c r="E238" s="30" t="s">
        <v>19</v>
      </c>
      <c r="F238" s="30" t="s">
        <v>28</v>
      </c>
      <c r="G238" s="30"/>
      <c r="H238" s="30" t="s">
        <v>719</v>
      </c>
      <c r="I238" s="31">
        <f t="shared" si="11"/>
        <v>25</v>
      </c>
      <c r="J238" s="147" t="s">
        <v>1856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1061</v>
      </c>
      <c r="D239" t="s">
        <v>269</v>
      </c>
      <c r="E239" s="30" t="s">
        <v>73</v>
      </c>
      <c r="F239" s="30" t="s">
        <v>28</v>
      </c>
      <c r="G239" s="30"/>
      <c r="H239" s="30" t="s">
        <v>720</v>
      </c>
      <c r="I239" s="31">
        <f t="shared" si="11"/>
        <v>25</v>
      </c>
      <c r="J239" s="147" t="s">
        <v>1857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1061</v>
      </c>
      <c r="D240" t="s">
        <v>271</v>
      </c>
      <c r="E240" s="30" t="s">
        <v>46</v>
      </c>
      <c r="F240" s="30" t="s">
        <v>28</v>
      </c>
      <c r="G240" s="30"/>
      <c r="H240" s="30" t="s">
        <v>721</v>
      </c>
      <c r="I240" s="31">
        <f t="shared" ref="I240:I309" si="14">COUNTIF(M240:AN240,"")</f>
        <v>25</v>
      </c>
      <c r="J240" s="147" t="s">
        <v>1858</v>
      </c>
      <c r="K240" s="31">
        <f t="shared" ref="K240:K309" si="15">COUNTIF(M240:AN240,"APAGADO")</f>
        <v>3</v>
      </c>
      <c r="L240" s="32">
        <f t="shared" ref="L240:L309" si="16">(I240)/(K240+I240)</f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1061</v>
      </c>
      <c r="D241" t="s">
        <v>274</v>
      </c>
      <c r="E241" s="30" t="s">
        <v>19</v>
      </c>
      <c r="F241" s="30" t="s">
        <v>28</v>
      </c>
      <c r="G241" s="30"/>
      <c r="H241" s="30" t="s">
        <v>723</v>
      </c>
      <c r="I241" s="31">
        <f t="shared" si="14"/>
        <v>14</v>
      </c>
      <c r="J241" s="147" t="s">
        <v>1859</v>
      </c>
      <c r="K241" s="31">
        <f t="shared" si="15"/>
        <v>14</v>
      </c>
      <c r="L241" s="32">
        <f t="shared" si="16"/>
        <v>0.5</v>
      </c>
      <c r="M241" s="70"/>
      <c r="N241" s="70" t="s">
        <v>2286</v>
      </c>
      <c r="O241" s="70" t="s">
        <v>2286</v>
      </c>
      <c r="P241" s="70" t="s">
        <v>2286</v>
      </c>
      <c r="Q241" s="70"/>
      <c r="R241" s="70" t="s">
        <v>2286</v>
      </c>
      <c r="S241" s="70" t="s">
        <v>2286</v>
      </c>
      <c r="T241" s="70" t="s">
        <v>2286</v>
      </c>
      <c r="U241" s="70" t="s">
        <v>2286</v>
      </c>
      <c r="V241" s="70" t="s">
        <v>2286</v>
      </c>
      <c r="W241" s="70"/>
      <c r="X241" s="70"/>
      <c r="Y241" s="70" t="s">
        <v>2286</v>
      </c>
      <c r="Z241" s="70" t="s">
        <v>2286</v>
      </c>
      <c r="AA241" s="70" t="s">
        <v>2286</v>
      </c>
      <c r="AB241" s="70"/>
      <c r="AC241" s="70" t="s">
        <v>2286</v>
      </c>
      <c r="AD241" s="70" t="s">
        <v>2286</v>
      </c>
      <c r="AE241" s="70" t="s">
        <v>2286</v>
      </c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1061</v>
      </c>
      <c r="D242" t="s">
        <v>276</v>
      </c>
      <c r="E242" s="30" t="s">
        <v>19</v>
      </c>
      <c r="F242" s="30" t="s">
        <v>28</v>
      </c>
      <c r="G242" s="30"/>
      <c r="H242" s="30"/>
      <c r="I242" s="31">
        <f t="shared" si="14"/>
        <v>22</v>
      </c>
      <c r="J242" s="147" t="s">
        <v>1860</v>
      </c>
      <c r="K242" s="31">
        <f t="shared" si="15"/>
        <v>6</v>
      </c>
      <c r="L242" s="32">
        <f t="shared" si="16"/>
        <v>0.7857142857142857</v>
      </c>
      <c r="M242" s="70"/>
      <c r="N242" s="70"/>
      <c r="O242" s="70"/>
      <c r="P242" s="70"/>
      <c r="Q242" s="70"/>
      <c r="R242" s="70" t="s">
        <v>2286</v>
      </c>
      <c r="S242" s="70" t="s">
        <v>2286</v>
      </c>
      <c r="T242" s="70" t="s">
        <v>2286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1061</v>
      </c>
      <c r="D243" t="s">
        <v>278</v>
      </c>
      <c r="E243" s="30" t="s">
        <v>19</v>
      </c>
      <c r="F243" s="30" t="s">
        <v>28</v>
      </c>
      <c r="G243" s="30"/>
      <c r="H243" s="30" t="s">
        <v>1442</v>
      </c>
      <c r="I243" s="31">
        <f t="shared" si="14"/>
        <v>22</v>
      </c>
      <c r="J243" s="147" t="s">
        <v>1861</v>
      </c>
      <c r="K243" s="31">
        <f t="shared" si="15"/>
        <v>6</v>
      </c>
      <c r="L243" s="32">
        <f t="shared" si="16"/>
        <v>0.7857142857142857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1061</v>
      </c>
      <c r="D244" t="s">
        <v>281</v>
      </c>
      <c r="E244" s="30" t="s">
        <v>19</v>
      </c>
      <c r="F244" s="30" t="s">
        <v>28</v>
      </c>
      <c r="G244" s="30"/>
      <c r="H244" s="30" t="s">
        <v>725</v>
      </c>
      <c r="I244" s="31">
        <f t="shared" si="14"/>
        <v>24</v>
      </c>
      <c r="J244" s="147" t="s">
        <v>1862</v>
      </c>
      <c r="K244" s="31">
        <f t="shared" si="15"/>
        <v>4</v>
      </c>
      <c r="L244" s="32">
        <f t="shared" si="16"/>
        <v>0.8571428571428571</v>
      </c>
      <c r="M244" s="70"/>
      <c r="N244" s="70"/>
      <c r="O244" s="70"/>
      <c r="P244" s="70"/>
      <c r="Q244" s="70"/>
      <c r="R244" s="70"/>
      <c r="S244" s="70" t="s">
        <v>2286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1061</v>
      </c>
      <c r="D245" t="s">
        <v>284</v>
      </c>
      <c r="E245" s="30" t="s">
        <v>15</v>
      </c>
      <c r="F245" s="30" t="s">
        <v>28</v>
      </c>
      <c r="G245" s="30"/>
      <c r="H245" s="30" t="s">
        <v>728</v>
      </c>
      <c r="I245" s="31">
        <f t="shared" si="14"/>
        <v>22</v>
      </c>
      <c r="J245" s="147" t="s">
        <v>1863</v>
      </c>
      <c r="K245" s="31">
        <f t="shared" si="15"/>
        <v>6</v>
      </c>
      <c r="L245" s="32">
        <f t="shared" si="16"/>
        <v>0.7857142857142857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1210</v>
      </c>
      <c r="C246" s="30" t="s">
        <v>1061</v>
      </c>
      <c r="D246" t="s">
        <v>1205</v>
      </c>
      <c r="E246" s="30" t="s">
        <v>15</v>
      </c>
      <c r="F246" s="30" t="s">
        <v>28</v>
      </c>
      <c r="G246" s="30"/>
      <c r="H246" s="30" t="s">
        <v>1206</v>
      </c>
      <c r="I246" s="31">
        <f t="shared" si="14"/>
        <v>13</v>
      </c>
      <c r="J246" s="147" t="s">
        <v>1864</v>
      </c>
      <c r="K246" s="31">
        <f t="shared" si="15"/>
        <v>15</v>
      </c>
      <c r="L246" s="32">
        <f t="shared" si="16"/>
        <v>0.4642857142857143</v>
      </c>
      <c r="M246" s="70"/>
      <c r="N246" s="70"/>
      <c r="O246" s="70" t="s">
        <v>2286</v>
      </c>
      <c r="P246" s="70" t="s">
        <v>2286</v>
      </c>
      <c r="Q246" s="70" t="s">
        <v>2286</v>
      </c>
      <c r="R246" s="70" t="s">
        <v>2286</v>
      </c>
      <c r="S246" s="70" t="s">
        <v>2286</v>
      </c>
      <c r="T246" s="70" t="s">
        <v>2286</v>
      </c>
      <c r="U246" s="70"/>
      <c r="V246" s="70" t="s">
        <v>2286</v>
      </c>
      <c r="W246" s="70"/>
      <c r="X246" s="70" t="s">
        <v>2286</v>
      </c>
      <c r="Y246" s="70" t="s">
        <v>2286</v>
      </c>
      <c r="Z246" s="70" t="s">
        <v>2286</v>
      </c>
      <c r="AA246" s="70" t="s">
        <v>2286</v>
      </c>
      <c r="AB246" s="70" t="s">
        <v>2286</v>
      </c>
      <c r="AC246" s="70" t="s">
        <v>2286</v>
      </c>
      <c r="AD246" s="70" t="s">
        <v>2286</v>
      </c>
      <c r="AE246" s="70" t="s">
        <v>2286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965</v>
      </c>
      <c r="C247" s="91" t="s">
        <v>1062</v>
      </c>
      <c r="D247" s="73" t="s">
        <v>1087</v>
      </c>
      <c r="E247" s="92" t="s">
        <v>19</v>
      </c>
      <c r="F247" s="85" t="s">
        <v>1300</v>
      </c>
      <c r="G247" s="85"/>
      <c r="H247" s="85" t="s">
        <v>2257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1062</v>
      </c>
      <c r="D248" t="s">
        <v>286</v>
      </c>
      <c r="E248" s="30" t="s">
        <v>15</v>
      </c>
      <c r="F248" s="30" t="s">
        <v>1055</v>
      </c>
      <c r="G248" s="30"/>
      <c r="H248" s="30" t="s">
        <v>1063</v>
      </c>
      <c r="I248" s="31">
        <f t="shared" si="14"/>
        <v>27</v>
      </c>
      <c r="J248" s="147" t="s">
        <v>1820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2286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1062</v>
      </c>
      <c r="D249" t="s">
        <v>289</v>
      </c>
      <c r="E249" s="30" t="s">
        <v>15</v>
      </c>
      <c r="F249" s="30" t="s">
        <v>28</v>
      </c>
      <c r="G249" s="30"/>
      <c r="H249" s="30" t="s">
        <v>729</v>
      </c>
      <c r="I249" s="31">
        <f t="shared" si="14"/>
        <v>22</v>
      </c>
      <c r="J249" s="147" t="s">
        <v>1865</v>
      </c>
      <c r="K249" s="31">
        <f t="shared" si="15"/>
        <v>6</v>
      </c>
      <c r="L249" s="32">
        <f t="shared" si="16"/>
        <v>0.7857142857142857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2286</v>
      </c>
      <c r="AA249" s="70" t="s">
        <v>2286</v>
      </c>
      <c r="AB249" s="70" t="s">
        <v>2286</v>
      </c>
      <c r="AC249" s="70" t="s">
        <v>2286</v>
      </c>
      <c r="AD249" s="70" t="s">
        <v>2286</v>
      </c>
      <c r="AE249" s="70" t="s">
        <v>2286</v>
      </c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1062</v>
      </c>
      <c r="D250" t="s">
        <v>14</v>
      </c>
      <c r="E250" s="30" t="s">
        <v>15</v>
      </c>
      <c r="F250" s="30" t="s">
        <v>1055</v>
      </c>
      <c r="G250" s="30"/>
      <c r="H250" s="30" t="s">
        <v>730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966</v>
      </c>
      <c r="C251" t="s">
        <v>1062</v>
      </c>
      <c r="D251" t="s">
        <v>967</v>
      </c>
      <c r="E251" s="30" t="s">
        <v>73</v>
      </c>
      <c r="F251" s="30" t="s">
        <v>28</v>
      </c>
      <c r="G251" s="30"/>
      <c r="H251" s="30" t="s">
        <v>1216</v>
      </c>
      <c r="I251" s="31">
        <f t="shared" si="14"/>
        <v>28</v>
      </c>
      <c r="J251" s="147" t="s">
        <v>1866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968</v>
      </c>
      <c r="B252" t="s">
        <v>969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1217</v>
      </c>
      <c r="I252" s="31">
        <f t="shared" si="14"/>
        <v>28</v>
      </c>
      <c r="J252" s="147" t="s">
        <v>1867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1062</v>
      </c>
      <c r="D253" s="73" t="s">
        <v>1088</v>
      </c>
      <c r="E253" s="85" t="s">
        <v>19</v>
      </c>
      <c r="F253" s="85" t="s">
        <v>1300</v>
      </c>
      <c r="G253" s="85"/>
      <c r="H253" s="85" t="s">
        <v>1377</v>
      </c>
      <c r="I253" s="142">
        <f t="shared" si="14"/>
        <v>28</v>
      </c>
      <c r="J253" s="147" t="s">
        <v>1868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1062</v>
      </c>
      <c r="D254" s="73" t="s">
        <v>22</v>
      </c>
      <c r="E254" s="85" t="s">
        <v>19</v>
      </c>
      <c r="F254" s="85" t="s">
        <v>1300</v>
      </c>
      <c r="G254" s="85"/>
      <c r="H254" s="85" t="s">
        <v>1378</v>
      </c>
      <c r="I254" s="142">
        <f t="shared" si="14"/>
        <v>28</v>
      </c>
      <c r="J254" s="147" t="s">
        <v>1869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1062</v>
      </c>
      <c r="D255" t="s">
        <v>609</v>
      </c>
      <c r="E255" s="30" t="s">
        <v>15</v>
      </c>
      <c r="F255" s="30" t="s">
        <v>1055</v>
      </c>
      <c r="G255" s="30" t="s">
        <v>1253</v>
      </c>
      <c r="H255" s="30" t="s">
        <v>731</v>
      </c>
      <c r="I255" s="31">
        <f t="shared" si="14"/>
        <v>28</v>
      </c>
      <c r="J255" s="147" t="s">
        <v>1870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1062</v>
      </c>
      <c r="D256" t="s">
        <v>25</v>
      </c>
      <c r="E256" s="30" t="s">
        <v>15</v>
      </c>
      <c r="F256" s="30" t="s">
        <v>20</v>
      </c>
      <c r="G256" s="30"/>
      <c r="H256" s="30" t="s">
        <v>732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1230</v>
      </c>
      <c r="C257" t="s">
        <v>1061</v>
      </c>
      <c r="D257" t="s">
        <v>1231</v>
      </c>
      <c r="E257" t="s">
        <v>19</v>
      </c>
      <c r="F257" t="s">
        <v>28</v>
      </c>
      <c r="G257"/>
      <c r="H257" s="30" t="s">
        <v>1271</v>
      </c>
      <c r="I257" s="31">
        <f t="shared" si="14"/>
        <v>26</v>
      </c>
      <c r="J257" s="147" t="s">
        <v>1871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2286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2286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1315</v>
      </c>
      <c r="C258" t="s">
        <v>1061</v>
      </c>
      <c r="D258" t="s">
        <v>1318</v>
      </c>
      <c r="E258" s="30" t="s">
        <v>15</v>
      </c>
      <c r="F258" s="30" t="s">
        <v>28</v>
      </c>
      <c r="G258"/>
      <c r="H258" s="30" t="s">
        <v>1330</v>
      </c>
      <c r="I258" s="31">
        <f t="shared" si="14"/>
        <v>27</v>
      </c>
      <c r="J258" s="147" t="s">
        <v>1872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970</v>
      </c>
      <c r="C259" s="73" t="s">
        <v>1061</v>
      </c>
      <c r="D259" s="73" t="s">
        <v>291</v>
      </c>
      <c r="E259" s="85" t="s">
        <v>73</v>
      </c>
      <c r="F259" s="85" t="s">
        <v>1300</v>
      </c>
      <c r="G259" s="85"/>
      <c r="H259" s="85" t="s">
        <v>733</v>
      </c>
      <c r="I259" s="142">
        <f t="shared" si="14"/>
        <v>28</v>
      </c>
      <c r="J259" s="147" t="s">
        <v>1873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1061</v>
      </c>
      <c r="D260" t="s">
        <v>293</v>
      </c>
      <c r="E260" s="30" t="s">
        <v>73</v>
      </c>
      <c r="F260" s="30" t="s">
        <v>28</v>
      </c>
      <c r="G260" s="30"/>
      <c r="H260" s="30" t="s">
        <v>1059</v>
      </c>
      <c r="I260" s="31">
        <f t="shared" si="14"/>
        <v>22</v>
      </c>
      <c r="J260" s="147" t="s">
        <v>1874</v>
      </c>
      <c r="K260" s="31">
        <f t="shared" si="15"/>
        <v>6</v>
      </c>
      <c r="L260" s="32">
        <f t="shared" si="16"/>
        <v>0.7857142857142857</v>
      </c>
      <c r="M260" s="70"/>
      <c r="N260" s="70"/>
      <c r="O260" s="70"/>
      <c r="P260" s="70"/>
      <c r="Q260" s="70"/>
      <c r="R260" s="70" t="s">
        <v>2286</v>
      </c>
      <c r="S260" s="70" t="s">
        <v>2286</v>
      </c>
      <c r="T260" s="70" t="s">
        <v>2286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2286</v>
      </c>
      <c r="AD260" s="70" t="s">
        <v>2286</v>
      </c>
      <c r="AE260" s="70" t="s">
        <v>2286</v>
      </c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971</v>
      </c>
      <c r="C261" t="s">
        <v>1061</v>
      </c>
      <c r="D261" t="s">
        <v>295</v>
      </c>
      <c r="E261" s="30" t="s">
        <v>19</v>
      </c>
      <c r="F261" s="30" t="s">
        <v>28</v>
      </c>
      <c r="G261" s="30"/>
      <c r="H261" s="30" t="s">
        <v>734</v>
      </c>
      <c r="I261" s="31">
        <f t="shared" si="14"/>
        <v>28</v>
      </c>
      <c r="J261" s="147" t="s">
        <v>1875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1061</v>
      </c>
      <c r="D262" t="s">
        <v>297</v>
      </c>
      <c r="E262" s="30" t="s">
        <v>19</v>
      </c>
      <c r="F262" s="30" t="s">
        <v>28</v>
      </c>
      <c r="G262" s="30"/>
      <c r="H262" s="30" t="s">
        <v>735</v>
      </c>
      <c r="I262" s="31">
        <f t="shared" si="14"/>
        <v>22</v>
      </c>
      <c r="J262" s="147" t="s">
        <v>1862</v>
      </c>
      <c r="K262" s="31">
        <f t="shared" si="15"/>
        <v>6</v>
      </c>
      <c r="L262" s="32">
        <f t="shared" si="16"/>
        <v>0.7857142857142857</v>
      </c>
      <c r="M262" s="70"/>
      <c r="N262" s="70"/>
      <c r="O262" s="70"/>
      <c r="P262" s="70"/>
      <c r="Q262" s="70"/>
      <c r="R262" s="70" t="s">
        <v>2286</v>
      </c>
      <c r="S262" s="70" t="s">
        <v>2286</v>
      </c>
      <c r="T262" s="70" t="s">
        <v>2286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 t="s">
        <v>2286</v>
      </c>
      <c r="AE262" s="70" t="s">
        <v>2286</v>
      </c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972</v>
      </c>
      <c r="C263" t="s">
        <v>1061</v>
      </c>
      <c r="D263" t="s">
        <v>298</v>
      </c>
      <c r="E263" s="30" t="s">
        <v>19</v>
      </c>
      <c r="F263" s="30" t="s">
        <v>28</v>
      </c>
      <c r="G263" s="30"/>
      <c r="H263" s="30" t="s">
        <v>736</v>
      </c>
      <c r="I263" s="31">
        <f t="shared" si="14"/>
        <v>27</v>
      </c>
      <c r="J263" s="147" t="s">
        <v>1876</v>
      </c>
      <c r="K263" s="31">
        <f t="shared" si="15"/>
        <v>1</v>
      </c>
      <c r="L263" s="32">
        <f t="shared" si="16"/>
        <v>0.9642857142857143</v>
      </c>
      <c r="M263" s="70"/>
      <c r="N263" s="70" t="s">
        <v>2286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1061</v>
      </c>
      <c r="D264" t="s">
        <v>300</v>
      </c>
      <c r="E264" s="30" t="s">
        <v>15</v>
      </c>
      <c r="F264" s="30" t="s">
        <v>1055</v>
      </c>
      <c r="G264" s="30"/>
      <c r="H264" s="30" t="s">
        <v>737</v>
      </c>
      <c r="I264" s="31">
        <f t="shared" si="14"/>
        <v>14</v>
      </c>
      <c r="J264" s="147" t="s">
        <v>1877</v>
      </c>
      <c r="K264" s="31">
        <f t="shared" si="15"/>
        <v>14</v>
      </c>
      <c r="L264" s="32">
        <f t="shared" si="16"/>
        <v>0.5</v>
      </c>
      <c r="M264" s="70" t="s">
        <v>2286</v>
      </c>
      <c r="N264" s="70" t="s">
        <v>2286</v>
      </c>
      <c r="O264" s="70" t="s">
        <v>2286</v>
      </c>
      <c r="P264" s="70" t="s">
        <v>2286</v>
      </c>
      <c r="Q264" s="70" t="s">
        <v>2286</v>
      </c>
      <c r="R264" s="70" t="s">
        <v>2286</v>
      </c>
      <c r="S264" s="70"/>
      <c r="T264" s="70"/>
      <c r="U264" s="70"/>
      <c r="V264" s="70"/>
      <c r="W264" s="70"/>
      <c r="X264" s="70" t="s">
        <v>2286</v>
      </c>
      <c r="Y264" s="70" t="s">
        <v>2286</v>
      </c>
      <c r="Z264" s="70" t="s">
        <v>2286</v>
      </c>
      <c r="AA264" s="70" t="s">
        <v>2286</v>
      </c>
      <c r="AB264" s="70" t="s">
        <v>2286</v>
      </c>
      <c r="AC264" s="70" t="s">
        <v>2286</v>
      </c>
      <c r="AD264" s="70" t="s">
        <v>2286</v>
      </c>
      <c r="AE264" s="70" t="s">
        <v>2286</v>
      </c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1244</v>
      </c>
      <c r="C265" s="73" t="s">
        <v>1061</v>
      </c>
      <c r="D265" s="73" t="s">
        <v>1245</v>
      </c>
      <c r="E265" s="85" t="s">
        <v>19</v>
      </c>
      <c r="F265" s="85" t="s">
        <v>1300</v>
      </c>
      <c r="G265" s="85"/>
      <c r="H265" s="85" t="s">
        <v>1246</v>
      </c>
      <c r="I265" s="142">
        <f t="shared" si="14"/>
        <v>28</v>
      </c>
      <c r="J265" s="147" t="s">
        <v>1878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1283</v>
      </c>
      <c r="C266" t="s">
        <v>1061</v>
      </c>
      <c r="D266" t="s">
        <v>1284</v>
      </c>
      <c r="E266" s="30" t="s">
        <v>19</v>
      </c>
      <c r="F266" s="30" t="s">
        <v>1055</v>
      </c>
      <c r="G266" s="30"/>
      <c r="H266" s="30" t="s">
        <v>1359</v>
      </c>
      <c r="I266" s="31">
        <f t="shared" si="14"/>
        <v>22</v>
      </c>
      <c r="J266" s="147" t="s">
        <v>1879</v>
      </c>
      <c r="K266" s="31">
        <f t="shared" si="15"/>
        <v>6</v>
      </c>
      <c r="L266" s="32">
        <f t="shared" si="16"/>
        <v>0.7857142857142857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1061</v>
      </c>
      <c r="D267" t="s">
        <v>303</v>
      </c>
      <c r="E267" s="30" t="s">
        <v>73</v>
      </c>
      <c r="F267" s="30" t="s">
        <v>28</v>
      </c>
      <c r="G267" s="30"/>
      <c r="H267" s="30" t="s">
        <v>738</v>
      </c>
      <c r="I267" s="31">
        <f t="shared" si="14"/>
        <v>28</v>
      </c>
      <c r="J267" s="147" t="s">
        <v>1880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1061</v>
      </c>
      <c r="D268" t="s">
        <v>305</v>
      </c>
      <c r="E268" s="30" t="s">
        <v>19</v>
      </c>
      <c r="F268" s="30" t="s">
        <v>28</v>
      </c>
      <c r="G268" s="30"/>
      <c r="H268" s="30" t="s">
        <v>739</v>
      </c>
      <c r="I268" s="31">
        <f t="shared" si="14"/>
        <v>27</v>
      </c>
      <c r="J268" s="150" t="s">
        <v>1881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2286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1061</v>
      </c>
      <c r="D269" t="s">
        <v>307</v>
      </c>
      <c r="E269" s="30" t="s">
        <v>19</v>
      </c>
      <c r="F269" s="30" t="s">
        <v>1055</v>
      </c>
      <c r="G269" s="30"/>
      <c r="H269" s="30" t="s">
        <v>1497</v>
      </c>
      <c r="I269" s="31">
        <f t="shared" si="14"/>
        <v>27</v>
      </c>
      <c r="J269" s="147" t="s">
        <v>1882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1061</v>
      </c>
      <c r="D270" s="73" t="s">
        <v>309</v>
      </c>
      <c r="E270" s="85" t="s">
        <v>19</v>
      </c>
      <c r="F270" s="85" t="s">
        <v>1300</v>
      </c>
      <c r="G270" s="85"/>
      <c r="H270" s="85" t="s">
        <v>1498</v>
      </c>
      <c r="I270" s="142">
        <f t="shared" si="14"/>
        <v>28</v>
      </c>
      <c r="J270" s="147" t="s">
        <v>1883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1492</v>
      </c>
      <c r="C271" t="s">
        <v>1061</v>
      </c>
      <c r="D271" t="s">
        <v>1491</v>
      </c>
      <c r="E271" s="30" t="s">
        <v>73</v>
      </c>
      <c r="F271" s="30" t="s">
        <v>28</v>
      </c>
      <c r="G271" s="30"/>
      <c r="H271" s="30" t="s">
        <v>1493</v>
      </c>
      <c r="I271" s="142">
        <f t="shared" si="14"/>
        <v>27</v>
      </c>
      <c r="J271" s="147" t="s">
        <v>1884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1494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1499</v>
      </c>
      <c r="I272" s="142">
        <f t="shared" si="14"/>
        <v>27</v>
      </c>
      <c r="J272" s="147" t="s">
        <v>1885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2211</v>
      </c>
      <c r="B273" t="s">
        <v>2212</v>
      </c>
      <c r="C273" t="s">
        <v>1062</v>
      </c>
      <c r="D273" t="s">
        <v>2213</v>
      </c>
      <c r="E273" s="30" t="s">
        <v>19</v>
      </c>
      <c r="F273" s="85" t="s">
        <v>1300</v>
      </c>
      <c r="G273" s="30"/>
      <c r="H273" s="30" t="s">
        <v>2214</v>
      </c>
      <c r="I273" s="142">
        <f t="shared" si="14"/>
        <v>28</v>
      </c>
      <c r="J273" s="147" t="s">
        <v>2215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2216</v>
      </c>
      <c r="C274" t="s">
        <v>1062</v>
      </c>
      <c r="D274" t="s">
        <v>2218</v>
      </c>
      <c r="E274" s="30" t="s">
        <v>19</v>
      </c>
      <c r="F274" s="85" t="s">
        <v>1300</v>
      </c>
      <c r="G274" s="30"/>
      <c r="H274" s="30" t="s">
        <v>2217</v>
      </c>
      <c r="I274" s="142">
        <f t="shared" si="14"/>
        <v>28</v>
      </c>
      <c r="J274" s="147" t="s">
        <v>2219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973</v>
      </c>
      <c r="C275" t="s">
        <v>1061</v>
      </c>
      <c r="D275" t="s">
        <v>313</v>
      </c>
      <c r="E275" s="30" t="s">
        <v>19</v>
      </c>
      <c r="F275" s="30" t="s">
        <v>28</v>
      </c>
      <c r="G275" s="30"/>
      <c r="H275" s="30" t="s">
        <v>740</v>
      </c>
      <c r="I275" s="31">
        <f t="shared" si="14"/>
        <v>27</v>
      </c>
      <c r="J275" s="147" t="s">
        <v>1886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2286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1061</v>
      </c>
      <c r="D276" s="73" t="s">
        <v>315</v>
      </c>
      <c r="E276" s="85" t="s">
        <v>19</v>
      </c>
      <c r="F276" s="85" t="s">
        <v>1300</v>
      </c>
      <c r="G276" s="85"/>
      <c r="H276" s="85" t="s">
        <v>1372</v>
      </c>
      <c r="I276" s="142">
        <f t="shared" si="14"/>
        <v>28</v>
      </c>
      <c r="J276" s="147" t="s">
        <v>1887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1061</v>
      </c>
      <c r="D277" t="s">
        <v>317</v>
      </c>
      <c r="E277" s="30" t="s">
        <v>19</v>
      </c>
      <c r="F277" s="30" t="s">
        <v>1055</v>
      </c>
      <c r="G277" s="30" t="s">
        <v>1254</v>
      </c>
      <c r="H277" s="30" t="s">
        <v>741</v>
      </c>
      <c r="I277" s="31">
        <f t="shared" si="14"/>
        <v>27</v>
      </c>
      <c r="J277" s="147" t="s">
        <v>1888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2286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1061</v>
      </c>
      <c r="D278" s="73" t="s">
        <v>319</v>
      </c>
      <c r="E278" s="85" t="s">
        <v>19</v>
      </c>
      <c r="F278" s="85" t="s">
        <v>1300</v>
      </c>
      <c r="G278" s="85"/>
      <c r="H278" s="85" t="s">
        <v>1362</v>
      </c>
      <c r="I278" s="142">
        <f t="shared" si="14"/>
        <v>28</v>
      </c>
      <c r="J278" s="147" t="s">
        <v>1889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1061</v>
      </c>
      <c r="D279" s="73" t="s">
        <v>322</v>
      </c>
      <c r="E279" s="85" t="s">
        <v>19</v>
      </c>
      <c r="F279" s="85" t="s">
        <v>1300</v>
      </c>
      <c r="G279" s="85"/>
      <c r="H279" s="145" t="s">
        <v>1363</v>
      </c>
      <c r="I279" s="142">
        <f t="shared" si="14"/>
        <v>28</v>
      </c>
      <c r="J279" s="147" t="s">
        <v>1890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1061</v>
      </c>
      <c r="D280" t="s">
        <v>324</v>
      </c>
      <c r="E280" s="30" t="s">
        <v>19</v>
      </c>
      <c r="F280" s="30" t="s">
        <v>28</v>
      </c>
      <c r="G280" s="30"/>
      <c r="H280" s="30" t="s">
        <v>742</v>
      </c>
      <c r="I280" s="31">
        <f t="shared" si="14"/>
        <v>27</v>
      </c>
      <c r="J280" s="147" t="s">
        <v>1692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2286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1061</v>
      </c>
      <c r="D281" t="s">
        <v>326</v>
      </c>
      <c r="E281" s="30" t="s">
        <v>19</v>
      </c>
      <c r="F281" s="30" t="s">
        <v>28</v>
      </c>
      <c r="G281" s="30"/>
      <c r="H281" s="30" t="s">
        <v>743</v>
      </c>
      <c r="I281" s="31">
        <f t="shared" si="14"/>
        <v>10</v>
      </c>
      <c r="J281" s="147" t="s">
        <v>1891</v>
      </c>
      <c r="K281" s="31">
        <f t="shared" si="15"/>
        <v>18</v>
      </c>
      <c r="L281" s="32">
        <f t="shared" si="16"/>
        <v>0.35714285714285715</v>
      </c>
      <c r="M281" s="70" t="s">
        <v>2286</v>
      </c>
      <c r="N281" s="70" t="s">
        <v>2286</v>
      </c>
      <c r="O281" s="70" t="s">
        <v>2286</v>
      </c>
      <c r="P281" s="70" t="s">
        <v>2286</v>
      </c>
      <c r="Q281" s="70" t="s">
        <v>2286</v>
      </c>
      <c r="R281" s="70" t="s">
        <v>2286</v>
      </c>
      <c r="S281" s="70" t="s">
        <v>2286</v>
      </c>
      <c r="T281" s="70" t="s">
        <v>2286</v>
      </c>
      <c r="U281" s="70" t="s">
        <v>2286</v>
      </c>
      <c r="V281" s="70" t="s">
        <v>2286</v>
      </c>
      <c r="W281" s="70"/>
      <c r="X281" s="70" t="s">
        <v>2286</v>
      </c>
      <c r="Y281" s="70" t="s">
        <v>2286</v>
      </c>
      <c r="Z281" s="70" t="s">
        <v>2286</v>
      </c>
      <c r="AA281" s="70" t="s">
        <v>2286</v>
      </c>
      <c r="AB281" s="70" t="s">
        <v>2286</v>
      </c>
      <c r="AC281" s="70" t="s">
        <v>2286</v>
      </c>
      <c r="AD281" s="70" t="s">
        <v>2286</v>
      </c>
      <c r="AE281" s="70" t="s">
        <v>2286</v>
      </c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1061</v>
      </c>
      <c r="D282" s="73" t="s">
        <v>312</v>
      </c>
      <c r="E282" s="85" t="s">
        <v>15</v>
      </c>
      <c r="F282" s="85" t="s">
        <v>1300</v>
      </c>
      <c r="G282" s="85"/>
      <c r="H282" s="85" t="s">
        <v>1371</v>
      </c>
      <c r="I282" s="142">
        <f t="shared" si="14"/>
        <v>28</v>
      </c>
      <c r="J282" s="147" t="s">
        <v>1892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1061</v>
      </c>
      <c r="D283" s="73" t="s">
        <v>328</v>
      </c>
      <c r="E283" s="85" t="s">
        <v>15</v>
      </c>
      <c r="F283" s="85" t="s">
        <v>1300</v>
      </c>
      <c r="G283" s="85"/>
      <c r="H283" s="85" t="s">
        <v>744</v>
      </c>
      <c r="I283" s="142">
        <f t="shared" si="14"/>
        <v>28</v>
      </c>
      <c r="J283" s="147" t="s">
        <v>1893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1341</v>
      </c>
      <c r="C284" s="73" t="s">
        <v>1061</v>
      </c>
      <c r="D284" s="73" t="s">
        <v>1342</v>
      </c>
      <c r="E284" s="85" t="s">
        <v>15</v>
      </c>
      <c r="F284" s="85" t="s">
        <v>1300</v>
      </c>
      <c r="G284" s="85"/>
      <c r="H284" s="85" t="s">
        <v>1357</v>
      </c>
      <c r="I284" s="142">
        <f t="shared" si="14"/>
        <v>21</v>
      </c>
      <c r="J284" s="147" t="s">
        <v>1894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2286</v>
      </c>
      <c r="S284" s="70" t="s">
        <v>2286</v>
      </c>
      <c r="T284" s="70" t="s">
        <v>2286</v>
      </c>
      <c r="U284" s="70" t="s">
        <v>2286</v>
      </c>
      <c r="V284" s="70" t="s">
        <v>2286</v>
      </c>
      <c r="W284" s="70"/>
      <c r="X284" s="70" t="s">
        <v>2286</v>
      </c>
      <c r="Y284" s="70"/>
      <c r="Z284" s="70"/>
      <c r="AA284" s="70"/>
      <c r="AB284" s="70" t="s">
        <v>2286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1538</v>
      </c>
      <c r="B285" s="73" t="s">
        <v>1537</v>
      </c>
      <c r="C285" s="73" t="s">
        <v>1061</v>
      </c>
      <c r="D285" s="73" t="s">
        <v>1539</v>
      </c>
      <c r="E285" s="85" t="s">
        <v>19</v>
      </c>
      <c r="F285" s="85" t="s">
        <v>1300</v>
      </c>
      <c r="G285" s="85"/>
      <c r="H285" s="85" t="s">
        <v>1540</v>
      </c>
      <c r="I285" s="142">
        <f t="shared" si="14"/>
        <v>27</v>
      </c>
      <c r="J285" s="147" t="s">
        <v>1895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1538</v>
      </c>
      <c r="B286" s="73" t="s">
        <v>1652</v>
      </c>
      <c r="C286" s="73" t="s">
        <v>1061</v>
      </c>
      <c r="D286" s="73" t="s">
        <v>1653</v>
      </c>
      <c r="E286" s="85" t="s">
        <v>19</v>
      </c>
      <c r="F286" s="85" t="s">
        <v>28</v>
      </c>
      <c r="G286" s="85"/>
      <c r="H286" s="85" t="s">
        <v>1654</v>
      </c>
      <c r="I286" s="142">
        <f t="shared" si="14"/>
        <v>28</v>
      </c>
      <c r="J286" s="87" t="s">
        <v>2194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1062</v>
      </c>
      <c r="D287" t="s">
        <v>330</v>
      </c>
      <c r="E287" s="30" t="s">
        <v>15</v>
      </c>
      <c r="F287" s="30" t="s">
        <v>28</v>
      </c>
      <c r="G287" s="30"/>
      <c r="H287" s="30" t="s">
        <v>745</v>
      </c>
      <c r="I287" s="31">
        <f t="shared" si="14"/>
        <v>28</v>
      </c>
      <c r="J287" s="147" t="s">
        <v>1896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1062</v>
      </c>
      <c r="D288" t="s">
        <v>333</v>
      </c>
      <c r="E288" s="30" t="s">
        <v>73</v>
      </c>
      <c r="F288" s="30" t="s">
        <v>28</v>
      </c>
      <c r="G288" s="30"/>
      <c r="H288" s="30" t="s">
        <v>746</v>
      </c>
      <c r="I288" s="31">
        <f t="shared" si="14"/>
        <v>28</v>
      </c>
      <c r="J288" s="147" t="s">
        <v>1897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747</v>
      </c>
      <c r="I289" s="31">
        <f t="shared" si="14"/>
        <v>28</v>
      </c>
      <c r="J289" s="147" t="s">
        <v>1898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1062</v>
      </c>
      <c r="D290" t="s">
        <v>336</v>
      </c>
      <c r="E290" s="30" t="s">
        <v>73</v>
      </c>
      <c r="F290" s="30" t="s">
        <v>28</v>
      </c>
      <c r="G290" s="30"/>
      <c r="H290" s="30" t="s">
        <v>748</v>
      </c>
      <c r="I290" s="31">
        <f t="shared" si="14"/>
        <v>28</v>
      </c>
      <c r="J290" s="147" t="s">
        <v>1899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749</v>
      </c>
      <c r="I291" s="31">
        <f t="shared" si="14"/>
        <v>28</v>
      </c>
      <c r="J291" s="147" t="s">
        <v>1900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1061</v>
      </c>
      <c r="D292" t="s">
        <v>340</v>
      </c>
      <c r="E292" s="30" t="s">
        <v>15</v>
      </c>
      <c r="F292" s="30" t="s">
        <v>28</v>
      </c>
      <c r="G292" s="30"/>
      <c r="H292" s="30" t="s">
        <v>752</v>
      </c>
      <c r="I292" s="31">
        <f t="shared" si="14"/>
        <v>28</v>
      </c>
      <c r="J292" s="147" t="s">
        <v>1901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1061</v>
      </c>
      <c r="D293" t="s">
        <v>340</v>
      </c>
      <c r="E293" s="30" t="s">
        <v>73</v>
      </c>
      <c r="F293" s="30" t="s">
        <v>28</v>
      </c>
      <c r="G293" s="30"/>
      <c r="H293" s="30" t="s">
        <v>753</v>
      </c>
      <c r="I293" s="31">
        <f t="shared" si="14"/>
        <v>28</v>
      </c>
      <c r="J293" s="147" t="s">
        <v>1902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975</v>
      </c>
      <c r="C294" t="s">
        <v>1061</v>
      </c>
      <c r="D294" t="s">
        <v>976</v>
      </c>
      <c r="E294" s="30" t="s">
        <v>73</v>
      </c>
      <c r="F294" s="30" t="s">
        <v>28</v>
      </c>
      <c r="G294" s="30"/>
      <c r="H294" s="30" t="s">
        <v>1272</v>
      </c>
      <c r="I294" s="31">
        <f t="shared" si="14"/>
        <v>28</v>
      </c>
      <c r="J294" s="147" t="s">
        <v>1903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1062</v>
      </c>
      <c r="D295" t="s">
        <v>343</v>
      </c>
      <c r="E295" s="30" t="s">
        <v>15</v>
      </c>
      <c r="F295" s="30" t="s">
        <v>28</v>
      </c>
      <c r="G295" s="30"/>
      <c r="H295" s="30" t="s">
        <v>754</v>
      </c>
      <c r="I295" s="31">
        <f t="shared" si="14"/>
        <v>28</v>
      </c>
      <c r="J295" s="147" t="s">
        <v>1904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1062</v>
      </c>
      <c r="D296" t="s">
        <v>343</v>
      </c>
      <c r="E296" s="30" t="s">
        <v>73</v>
      </c>
      <c r="F296" s="30" t="s">
        <v>28</v>
      </c>
      <c r="G296" s="30"/>
      <c r="H296" s="30" t="s">
        <v>755</v>
      </c>
      <c r="I296" s="31">
        <f t="shared" si="14"/>
        <v>10</v>
      </c>
      <c r="J296" s="147" t="s">
        <v>1905</v>
      </c>
      <c r="K296" s="31">
        <f t="shared" si="15"/>
        <v>18</v>
      </c>
      <c r="L296" s="32">
        <f t="shared" si="16"/>
        <v>0.35714285714285715</v>
      </c>
      <c r="M296" s="70" t="s">
        <v>2286</v>
      </c>
      <c r="N296" s="70" t="s">
        <v>2286</v>
      </c>
      <c r="O296" s="70" t="s">
        <v>2286</v>
      </c>
      <c r="P296" s="70" t="s">
        <v>2286</v>
      </c>
      <c r="Q296" s="70" t="s">
        <v>2286</v>
      </c>
      <c r="R296" s="70" t="s">
        <v>2286</v>
      </c>
      <c r="S296" s="70" t="s">
        <v>2286</v>
      </c>
      <c r="T296" s="70" t="s">
        <v>2286</v>
      </c>
      <c r="U296" s="70" t="s">
        <v>2286</v>
      </c>
      <c r="V296" s="70" t="s">
        <v>2286</v>
      </c>
      <c r="W296" s="70"/>
      <c r="X296" s="70" t="s">
        <v>2286</v>
      </c>
      <c r="Y296" s="70" t="s">
        <v>2286</v>
      </c>
      <c r="Z296" s="70" t="s">
        <v>2286</v>
      </c>
      <c r="AA296" s="70" t="s">
        <v>2286</v>
      </c>
      <c r="AB296" s="70" t="s">
        <v>2286</v>
      </c>
      <c r="AC296" s="70" t="s">
        <v>2286</v>
      </c>
      <c r="AD296" s="70" t="s">
        <v>2286</v>
      </c>
      <c r="AE296" s="70" t="s">
        <v>2286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1294</v>
      </c>
      <c r="C297" t="s">
        <v>1062</v>
      </c>
      <c r="D297" t="s">
        <v>977</v>
      </c>
      <c r="E297" s="30" t="s">
        <v>73</v>
      </c>
      <c r="F297" s="30" t="s">
        <v>28</v>
      </c>
      <c r="G297" s="30"/>
      <c r="H297" s="30" t="s">
        <v>1273</v>
      </c>
      <c r="I297" s="31">
        <f t="shared" si="14"/>
        <v>28</v>
      </c>
      <c r="J297" s="147" t="s">
        <v>1906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1062</v>
      </c>
      <c r="D298" t="s">
        <v>346</v>
      </c>
      <c r="E298" s="30" t="s">
        <v>15</v>
      </c>
      <c r="F298" s="30" t="s">
        <v>28</v>
      </c>
      <c r="G298" s="30"/>
      <c r="H298" s="30" t="s">
        <v>756</v>
      </c>
      <c r="I298" s="31">
        <f t="shared" si="14"/>
        <v>27</v>
      </c>
      <c r="J298" s="147" t="s">
        <v>1907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2286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1062</v>
      </c>
      <c r="D299" t="s">
        <v>346</v>
      </c>
      <c r="E299" s="30" t="s">
        <v>73</v>
      </c>
      <c r="F299" s="30" t="s">
        <v>28</v>
      </c>
      <c r="G299" s="30"/>
      <c r="H299" s="30" t="s">
        <v>757</v>
      </c>
      <c r="I299" s="31">
        <f t="shared" si="14"/>
        <v>27</v>
      </c>
      <c r="J299" s="147" t="s">
        <v>1908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1293</v>
      </c>
      <c r="C300" t="s">
        <v>1062</v>
      </c>
      <c r="D300" t="s">
        <v>978</v>
      </c>
      <c r="E300" s="30" t="s">
        <v>19</v>
      </c>
      <c r="F300" s="30" t="s">
        <v>28</v>
      </c>
      <c r="G300" s="30"/>
      <c r="H300" s="30" t="s">
        <v>1274</v>
      </c>
      <c r="I300" s="31">
        <f t="shared" si="14"/>
        <v>28</v>
      </c>
      <c r="J300" s="147" t="s">
        <v>1909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1062</v>
      </c>
      <c r="D301" t="s">
        <v>349</v>
      </c>
      <c r="E301" s="30" t="s">
        <v>73</v>
      </c>
      <c r="F301" s="30" t="s">
        <v>28</v>
      </c>
      <c r="G301" s="30"/>
      <c r="H301" s="30" t="s">
        <v>759</v>
      </c>
      <c r="I301" s="31">
        <f t="shared" si="14"/>
        <v>28</v>
      </c>
      <c r="J301" s="147" t="s">
        <v>1910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1062</v>
      </c>
      <c r="D302" t="s">
        <v>349</v>
      </c>
      <c r="E302" s="30" t="s">
        <v>15</v>
      </c>
      <c r="F302" s="30" t="s">
        <v>28</v>
      </c>
      <c r="G302" s="30"/>
      <c r="H302" s="30" t="s">
        <v>760</v>
      </c>
      <c r="I302" s="31">
        <f t="shared" si="14"/>
        <v>28</v>
      </c>
      <c r="J302" s="147" t="s">
        <v>1911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979</v>
      </c>
      <c r="C303" t="s">
        <v>1062</v>
      </c>
      <c r="D303" t="s">
        <v>980</v>
      </c>
      <c r="E303" s="30" t="s">
        <v>73</v>
      </c>
      <c r="F303" s="30" t="s">
        <v>28</v>
      </c>
      <c r="G303" s="30"/>
      <c r="H303" s="30" t="s">
        <v>1275</v>
      </c>
      <c r="I303" s="31">
        <f t="shared" si="14"/>
        <v>28</v>
      </c>
      <c r="J303" s="147" t="s">
        <v>1912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1062</v>
      </c>
      <c r="D304" t="s">
        <v>352</v>
      </c>
      <c r="E304" s="30" t="s">
        <v>15</v>
      </c>
      <c r="F304" s="30" t="s">
        <v>28</v>
      </c>
      <c r="G304" s="30"/>
      <c r="H304" s="30" t="s">
        <v>761</v>
      </c>
      <c r="I304" s="31">
        <f t="shared" si="14"/>
        <v>28</v>
      </c>
      <c r="J304" s="147" t="s">
        <v>1913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1062</v>
      </c>
      <c r="D305" t="s">
        <v>352</v>
      </c>
      <c r="E305" s="30" t="s">
        <v>73</v>
      </c>
      <c r="F305" s="30" t="s">
        <v>28</v>
      </c>
      <c r="G305" s="30"/>
      <c r="H305" s="30" t="s">
        <v>762</v>
      </c>
      <c r="I305" s="31">
        <f t="shared" si="14"/>
        <v>28</v>
      </c>
      <c r="J305" s="147" t="s">
        <v>1914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981</v>
      </c>
      <c r="C306" t="s">
        <v>1062</v>
      </c>
      <c r="D306" t="s">
        <v>352</v>
      </c>
      <c r="E306" s="30" t="s">
        <v>19</v>
      </c>
      <c r="F306" s="30" t="s">
        <v>28</v>
      </c>
      <c r="G306" s="30"/>
      <c r="H306" s="30" t="s">
        <v>1276</v>
      </c>
      <c r="I306" s="31">
        <f t="shared" si="14"/>
        <v>28</v>
      </c>
      <c r="J306" s="147" t="s">
        <v>1915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974</v>
      </c>
      <c r="C307" t="s">
        <v>1062</v>
      </c>
      <c r="D307" t="s">
        <v>355</v>
      </c>
      <c r="E307" s="30" t="s">
        <v>15</v>
      </c>
      <c r="F307" s="30" t="s">
        <v>28</v>
      </c>
      <c r="G307" s="30"/>
      <c r="H307" s="30" t="s">
        <v>767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1062</v>
      </c>
      <c r="D308" s="73" t="s">
        <v>357</v>
      </c>
      <c r="E308" s="85" t="s">
        <v>15</v>
      </c>
      <c r="F308" s="85" t="s">
        <v>1300</v>
      </c>
      <c r="G308" s="85"/>
      <c r="H308" s="85" t="s">
        <v>763</v>
      </c>
      <c r="I308" s="142">
        <f t="shared" si="14"/>
        <v>10</v>
      </c>
      <c r="J308" s="147" t="s">
        <v>1916</v>
      </c>
      <c r="K308" s="142">
        <f t="shared" si="15"/>
        <v>18</v>
      </c>
      <c r="L308" s="143">
        <f t="shared" si="16"/>
        <v>0.35714285714285715</v>
      </c>
      <c r="M308" s="70" t="s">
        <v>2286</v>
      </c>
      <c r="N308" s="70" t="s">
        <v>2286</v>
      </c>
      <c r="O308" s="70" t="s">
        <v>2286</v>
      </c>
      <c r="P308" s="70" t="s">
        <v>2286</v>
      </c>
      <c r="Q308" s="70" t="s">
        <v>2286</v>
      </c>
      <c r="R308" s="70" t="s">
        <v>2286</v>
      </c>
      <c r="S308" s="70" t="s">
        <v>2286</v>
      </c>
      <c r="T308" s="70" t="s">
        <v>2286</v>
      </c>
      <c r="U308" s="70" t="s">
        <v>2286</v>
      </c>
      <c r="V308" s="70" t="s">
        <v>2286</v>
      </c>
      <c r="W308" s="70"/>
      <c r="X308" s="70" t="s">
        <v>2286</v>
      </c>
      <c r="Y308" s="70" t="s">
        <v>2286</v>
      </c>
      <c r="Z308" s="70" t="s">
        <v>2286</v>
      </c>
      <c r="AA308" s="70" t="s">
        <v>2286</v>
      </c>
      <c r="AB308" s="70" t="s">
        <v>2286</v>
      </c>
      <c r="AC308" s="70" t="s">
        <v>2286</v>
      </c>
      <c r="AD308" s="70" t="s">
        <v>2286</v>
      </c>
      <c r="AE308" s="70" t="s">
        <v>2286</v>
      </c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1062</v>
      </c>
      <c r="D309" s="73" t="s">
        <v>357</v>
      </c>
      <c r="E309" s="85" t="s">
        <v>73</v>
      </c>
      <c r="F309" s="85" t="s">
        <v>1300</v>
      </c>
      <c r="G309" s="85"/>
      <c r="H309" s="85" t="s">
        <v>1630</v>
      </c>
      <c r="I309" s="142">
        <f t="shared" si="14"/>
        <v>28</v>
      </c>
      <c r="J309" s="147" t="s">
        <v>2151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982</v>
      </c>
      <c r="C310" s="73" t="s">
        <v>1062</v>
      </c>
      <c r="D310" s="73" t="s">
        <v>983</v>
      </c>
      <c r="E310" s="85" t="s">
        <v>73</v>
      </c>
      <c r="F310" s="85" t="s">
        <v>1300</v>
      </c>
      <c r="G310" s="85"/>
      <c r="H310" s="85" t="s">
        <v>1277</v>
      </c>
      <c r="I310" s="31">
        <f t="shared" ref="I310:I380" si="17">COUNTIF(M310:AN310,"")</f>
        <v>10</v>
      </c>
      <c r="J310" s="147" t="s">
        <v>1917</v>
      </c>
      <c r="K310" s="31">
        <f t="shared" ref="K310:K380" si="18">COUNTIF(M310:AN310,"APAGADO")</f>
        <v>18</v>
      </c>
      <c r="L310" s="32">
        <f t="shared" ref="L310:L380" si="19">(I310)/(K310+I310)</f>
        <v>0.35714285714285715</v>
      </c>
      <c r="M310" s="70" t="s">
        <v>2286</v>
      </c>
      <c r="N310" s="70" t="s">
        <v>2286</v>
      </c>
      <c r="O310" s="70" t="s">
        <v>2286</v>
      </c>
      <c r="P310" s="70" t="s">
        <v>2286</v>
      </c>
      <c r="Q310" s="70" t="s">
        <v>2286</v>
      </c>
      <c r="R310" s="70" t="s">
        <v>2286</v>
      </c>
      <c r="S310" s="70" t="s">
        <v>2286</v>
      </c>
      <c r="T310" s="70" t="s">
        <v>2286</v>
      </c>
      <c r="U310" s="70" t="s">
        <v>2286</v>
      </c>
      <c r="V310" s="70" t="s">
        <v>2286</v>
      </c>
      <c r="W310" s="70"/>
      <c r="X310" s="70" t="s">
        <v>2286</v>
      </c>
      <c r="Y310" s="70" t="s">
        <v>2286</v>
      </c>
      <c r="Z310" s="70" t="s">
        <v>2286</v>
      </c>
      <c r="AA310" s="70" t="s">
        <v>2286</v>
      </c>
      <c r="AB310" s="70" t="s">
        <v>2286</v>
      </c>
      <c r="AC310" s="70" t="s">
        <v>2286</v>
      </c>
      <c r="AD310" s="70" t="s">
        <v>2286</v>
      </c>
      <c r="AE310" s="70" t="s">
        <v>2286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1208</v>
      </c>
      <c r="C311" s="73" t="s">
        <v>1062</v>
      </c>
      <c r="D311" s="73" t="s">
        <v>1209</v>
      </c>
      <c r="E311" s="85" t="s">
        <v>15</v>
      </c>
      <c r="F311" s="85" t="s">
        <v>1300</v>
      </c>
      <c r="G311" s="85"/>
      <c r="H311" s="85" t="s">
        <v>768</v>
      </c>
      <c r="I311" s="142">
        <f t="shared" si="17"/>
        <v>13</v>
      </c>
      <c r="J311" s="147" t="s">
        <v>1918</v>
      </c>
      <c r="K311" s="142">
        <f t="shared" si="18"/>
        <v>15</v>
      </c>
      <c r="L311" s="143">
        <f t="shared" si="19"/>
        <v>0.4642857142857143</v>
      </c>
      <c r="M311" s="70"/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/>
      <c r="U311" s="70"/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1062</v>
      </c>
      <c r="D312" s="73" t="s">
        <v>1209</v>
      </c>
      <c r="E312" s="85" t="s">
        <v>73</v>
      </c>
      <c r="F312" s="85" t="s">
        <v>1300</v>
      </c>
      <c r="G312" s="85"/>
      <c r="H312" s="85" t="s">
        <v>769</v>
      </c>
      <c r="I312" s="142">
        <f t="shared" si="17"/>
        <v>13</v>
      </c>
      <c r="J312" s="87" t="s">
        <v>2195</v>
      </c>
      <c r="K312" s="142">
        <f t="shared" si="18"/>
        <v>15</v>
      </c>
      <c r="L312" s="143">
        <f t="shared" si="19"/>
        <v>0.4642857142857143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984</v>
      </c>
      <c r="C313" s="73" t="s">
        <v>1062</v>
      </c>
      <c r="D313" s="73" t="s">
        <v>985</v>
      </c>
      <c r="E313" s="85" t="s">
        <v>19</v>
      </c>
      <c r="F313" s="85" t="s">
        <v>1300</v>
      </c>
      <c r="G313" s="85"/>
      <c r="H313" s="85" t="s">
        <v>1278</v>
      </c>
      <c r="I313" s="142">
        <f t="shared" si="17"/>
        <v>13</v>
      </c>
      <c r="J313" s="147" t="s">
        <v>1919</v>
      </c>
      <c r="K313" s="142">
        <f t="shared" si="18"/>
        <v>15</v>
      </c>
      <c r="L313" s="143">
        <f t="shared" si="19"/>
        <v>0.4642857142857143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1062</v>
      </c>
      <c r="D314" t="s">
        <v>362</v>
      </c>
      <c r="E314" s="30" t="s">
        <v>15</v>
      </c>
      <c r="F314" s="30" t="s">
        <v>28</v>
      </c>
      <c r="G314" s="30"/>
      <c r="H314" s="30" t="s">
        <v>765</v>
      </c>
      <c r="I314" s="31">
        <f t="shared" si="17"/>
        <v>10</v>
      </c>
      <c r="J314" s="147" t="s">
        <v>1920</v>
      </c>
      <c r="K314" s="31">
        <f t="shared" si="18"/>
        <v>18</v>
      </c>
      <c r="L314" s="32">
        <f t="shared" si="19"/>
        <v>0.35714285714285715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1062</v>
      </c>
      <c r="D315" t="s">
        <v>362</v>
      </c>
      <c r="E315" s="30" t="s">
        <v>73</v>
      </c>
      <c r="F315" s="30" t="s">
        <v>28</v>
      </c>
      <c r="G315" s="30"/>
      <c r="H315" s="30" t="s">
        <v>764</v>
      </c>
      <c r="I315" s="31">
        <f t="shared" si="17"/>
        <v>13</v>
      </c>
      <c r="J315" s="147" t="s">
        <v>1921</v>
      </c>
      <c r="K315" s="31">
        <f t="shared" si="18"/>
        <v>15</v>
      </c>
      <c r="L315" s="32">
        <f t="shared" si="19"/>
        <v>0.4642857142857143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/>
      <c r="S315" s="70"/>
      <c r="T315" s="70" t="s">
        <v>2286</v>
      </c>
      <c r="U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986</v>
      </c>
      <c r="C316" t="s">
        <v>1062</v>
      </c>
      <c r="D316" t="s">
        <v>987</v>
      </c>
      <c r="E316" s="30" t="s">
        <v>73</v>
      </c>
      <c r="F316" s="30" t="s">
        <v>28</v>
      </c>
      <c r="G316" s="30"/>
      <c r="H316" s="30" t="s">
        <v>1279</v>
      </c>
      <c r="I316" s="31">
        <f t="shared" si="17"/>
        <v>13</v>
      </c>
      <c r="J316" s="147" t="s">
        <v>1922</v>
      </c>
      <c r="K316" s="31">
        <f t="shared" si="18"/>
        <v>15</v>
      </c>
      <c r="L316" s="32">
        <f t="shared" si="19"/>
        <v>0.4642857142857143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V316" s="70"/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1290</v>
      </c>
      <c r="C317" t="s">
        <v>1062</v>
      </c>
      <c r="D317" t="s">
        <v>989</v>
      </c>
      <c r="E317" s="30" t="s">
        <v>73</v>
      </c>
      <c r="F317" s="30" t="s">
        <v>28</v>
      </c>
      <c r="G317" s="30"/>
      <c r="H317" s="30" t="s">
        <v>766</v>
      </c>
      <c r="I317" s="31">
        <f t="shared" si="17"/>
        <v>28</v>
      </c>
      <c r="J317" s="147" t="s">
        <v>1923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1291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758</v>
      </c>
      <c r="I318" s="31">
        <f t="shared" si="17"/>
        <v>28</v>
      </c>
      <c r="J318" s="147" t="s">
        <v>1924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988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1292</v>
      </c>
      <c r="I319" s="31">
        <f t="shared" si="17"/>
        <v>28</v>
      </c>
      <c r="J319" s="147" t="s">
        <v>1925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1062</v>
      </c>
      <c r="D320" t="s">
        <v>367</v>
      </c>
      <c r="E320" s="30" t="s">
        <v>15</v>
      </c>
      <c r="F320" s="30" t="s">
        <v>28</v>
      </c>
      <c r="G320" s="30"/>
      <c r="H320" s="30" t="s">
        <v>770</v>
      </c>
      <c r="I320" s="31">
        <f t="shared" si="17"/>
        <v>27</v>
      </c>
      <c r="J320" s="147" t="s">
        <v>1926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2286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990</v>
      </c>
      <c r="C321" t="s">
        <v>1062</v>
      </c>
      <c r="D321" t="s">
        <v>368</v>
      </c>
      <c r="E321" s="30" t="s">
        <v>15</v>
      </c>
      <c r="F321" s="30" t="s">
        <v>28</v>
      </c>
      <c r="G321" s="30"/>
      <c r="H321" s="30" t="s">
        <v>771</v>
      </c>
      <c r="I321" s="31">
        <f t="shared" si="17"/>
        <v>28</v>
      </c>
      <c r="J321" s="147" t="s">
        <v>1927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1062</v>
      </c>
      <c r="D322" t="s">
        <v>370</v>
      </c>
      <c r="E322" s="30" t="s">
        <v>73</v>
      </c>
      <c r="F322" s="30" t="s">
        <v>28</v>
      </c>
      <c r="G322" s="30"/>
      <c r="H322" s="30" t="s">
        <v>772</v>
      </c>
      <c r="I322" s="31">
        <f t="shared" si="17"/>
        <v>28</v>
      </c>
      <c r="J322" s="147" t="s">
        <v>1928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773</v>
      </c>
      <c r="I323" s="31">
        <f t="shared" si="17"/>
        <v>28</v>
      </c>
      <c r="J323" s="147" t="s">
        <v>1929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1062</v>
      </c>
      <c r="D324" t="s">
        <v>373</v>
      </c>
      <c r="E324" s="30" t="s">
        <v>73</v>
      </c>
      <c r="F324" s="30" t="s">
        <v>28</v>
      </c>
      <c r="G324" s="30"/>
      <c r="H324" s="30" t="s">
        <v>774</v>
      </c>
      <c r="I324" s="31">
        <f t="shared" si="17"/>
        <v>28</v>
      </c>
      <c r="J324" s="147" t="s">
        <v>1930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1062</v>
      </c>
      <c r="D325" t="s">
        <v>373</v>
      </c>
      <c r="E325" s="30" t="s">
        <v>46</v>
      </c>
      <c r="F325" s="30" t="s">
        <v>28</v>
      </c>
      <c r="G325" s="30"/>
      <c r="H325" s="30" t="s">
        <v>775</v>
      </c>
      <c r="I325" s="31">
        <f t="shared" si="17"/>
        <v>28</v>
      </c>
      <c r="J325" s="147" t="s">
        <v>1931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1334</v>
      </c>
      <c r="C326" t="s">
        <v>1061</v>
      </c>
      <c r="D326" t="s">
        <v>1335</v>
      </c>
      <c r="E326" s="30"/>
      <c r="F326" s="30" t="s">
        <v>28</v>
      </c>
      <c r="G326" s="30"/>
      <c r="H326" s="30" t="s">
        <v>1345</v>
      </c>
      <c r="I326" s="31">
        <f t="shared" si="17"/>
        <v>28</v>
      </c>
      <c r="J326" s="147" t="s">
        <v>1932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1379</v>
      </c>
      <c r="C327" t="s">
        <v>1062</v>
      </c>
      <c r="D327" s="68" t="s">
        <v>1382</v>
      </c>
      <c r="E327" s="30" t="s">
        <v>19</v>
      </c>
      <c r="F327" s="30" t="s">
        <v>28</v>
      </c>
      <c r="G327" s="30"/>
      <c r="H327" s="30" t="s">
        <v>1394</v>
      </c>
      <c r="I327" s="31">
        <f t="shared" si="17"/>
        <v>28</v>
      </c>
      <c r="J327" s="147" t="s">
        <v>1933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1380</v>
      </c>
      <c r="C328" t="s">
        <v>1062</v>
      </c>
      <c r="D328" s="68" t="s">
        <v>1383</v>
      </c>
      <c r="E328" s="30" t="s">
        <v>73</v>
      </c>
      <c r="F328" s="30" t="s">
        <v>28</v>
      </c>
      <c r="G328" s="30"/>
      <c r="H328" s="30" t="s">
        <v>1395</v>
      </c>
      <c r="I328" s="31">
        <f t="shared" si="17"/>
        <v>28</v>
      </c>
      <c r="J328" s="147" t="s">
        <v>1934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1381</v>
      </c>
      <c r="C329" t="s">
        <v>1062</v>
      </c>
      <c r="D329" s="68" t="s">
        <v>1384</v>
      </c>
      <c r="E329" s="30" t="s">
        <v>73</v>
      </c>
      <c r="F329" s="30" t="s">
        <v>28</v>
      </c>
      <c r="G329" s="30"/>
      <c r="H329" s="30" t="s">
        <v>1396</v>
      </c>
      <c r="I329" s="31">
        <f t="shared" si="17"/>
        <v>28</v>
      </c>
      <c r="J329" s="147" t="s">
        <v>1935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2255</v>
      </c>
      <c r="C330" t="s">
        <v>1062</v>
      </c>
      <c r="D330" s="68" t="s">
        <v>2237</v>
      </c>
      <c r="E330" s="85" t="s">
        <v>15</v>
      </c>
      <c r="F330" s="30" t="s">
        <v>28</v>
      </c>
      <c r="G330" s="30"/>
      <c r="H330" s="30" t="s">
        <v>2256</v>
      </c>
      <c r="I330" s="31">
        <f t="shared" si="17"/>
        <v>28</v>
      </c>
      <c r="J330" s="153" t="s">
        <v>2238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2239</v>
      </c>
      <c r="C331" t="s">
        <v>1062</v>
      </c>
      <c r="D331" s="68" t="s">
        <v>2240</v>
      </c>
      <c r="E331" s="85" t="s">
        <v>15</v>
      </c>
      <c r="F331" s="30" t="s">
        <v>28</v>
      </c>
      <c r="G331" s="30"/>
      <c r="H331" s="30" t="s">
        <v>2241</v>
      </c>
      <c r="I331" s="31">
        <f t="shared" si="17"/>
        <v>23</v>
      </c>
      <c r="J331" s="147" t="s">
        <v>2242</v>
      </c>
      <c r="K331" s="31">
        <f t="shared" si="18"/>
        <v>5</v>
      </c>
      <c r="L331" s="32">
        <f t="shared" si="19"/>
        <v>0.8214285714285714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2286</v>
      </c>
      <c r="AB331" s="70" t="s">
        <v>2286</v>
      </c>
      <c r="AC331" s="70" t="s">
        <v>2286</v>
      </c>
      <c r="AD331" s="70" t="s">
        <v>2286</v>
      </c>
      <c r="AE331" s="70" t="s">
        <v>2286</v>
      </c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1000</v>
      </c>
      <c r="C332" s="73" t="s">
        <v>1062</v>
      </c>
      <c r="D332" s="73" t="s">
        <v>376</v>
      </c>
      <c r="E332" s="85" t="s">
        <v>15</v>
      </c>
      <c r="F332" s="85" t="s">
        <v>28</v>
      </c>
      <c r="G332" s="85"/>
      <c r="H332" s="85" t="s">
        <v>776</v>
      </c>
      <c r="I332" s="87">
        <f t="shared" si="17"/>
        <v>28</v>
      </c>
      <c r="J332" s="147" t="s">
        <v>1936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1001</v>
      </c>
      <c r="C333" t="s">
        <v>1062</v>
      </c>
      <c r="D333" t="s">
        <v>377</v>
      </c>
      <c r="E333" s="30" t="s">
        <v>15</v>
      </c>
      <c r="F333" s="30" t="s">
        <v>28</v>
      </c>
      <c r="G333" s="30"/>
      <c r="H333" s="30" t="s">
        <v>779</v>
      </c>
      <c r="I333" s="31">
        <f t="shared" si="17"/>
        <v>27</v>
      </c>
      <c r="J333" s="147" t="s">
        <v>1937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2286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1062</v>
      </c>
      <c r="D334" t="s">
        <v>379</v>
      </c>
      <c r="E334" s="30" t="s">
        <v>73</v>
      </c>
      <c r="F334" s="30" t="s">
        <v>28</v>
      </c>
      <c r="G334" s="30"/>
      <c r="H334" s="30" t="s">
        <v>777</v>
      </c>
      <c r="I334" s="31">
        <f t="shared" si="17"/>
        <v>28</v>
      </c>
      <c r="J334" s="147" t="s">
        <v>1938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778</v>
      </c>
      <c r="I335" s="31">
        <f t="shared" si="17"/>
        <v>28</v>
      </c>
      <c r="J335" s="147" t="s">
        <v>1939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991</v>
      </c>
      <c r="C336" t="s">
        <v>1062</v>
      </c>
      <c r="D336" t="s">
        <v>381</v>
      </c>
      <c r="E336" s="30" t="s">
        <v>15</v>
      </c>
      <c r="F336" s="30" t="s">
        <v>28</v>
      </c>
      <c r="G336" s="30"/>
      <c r="H336" s="30" t="s">
        <v>780</v>
      </c>
      <c r="I336" s="31">
        <f t="shared" si="17"/>
        <v>28</v>
      </c>
      <c r="J336" s="147" t="s">
        <v>1940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992</v>
      </c>
      <c r="C337" t="s">
        <v>1062</v>
      </c>
      <c r="D337" t="s">
        <v>993</v>
      </c>
      <c r="E337" s="30" t="s">
        <v>19</v>
      </c>
      <c r="F337" s="30" t="s">
        <v>28</v>
      </c>
      <c r="G337" s="30"/>
      <c r="H337" s="30" t="s">
        <v>905</v>
      </c>
      <c r="I337" s="31">
        <f t="shared" si="17"/>
        <v>28</v>
      </c>
      <c r="J337" s="147" t="s">
        <v>1941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994</v>
      </c>
      <c r="C338" t="s">
        <v>1062</v>
      </c>
      <c r="D338" t="s">
        <v>995</v>
      </c>
      <c r="E338" s="30" t="s">
        <v>19</v>
      </c>
      <c r="F338" s="30" t="s">
        <v>28</v>
      </c>
      <c r="G338" s="30"/>
      <c r="H338" s="30" t="s">
        <v>906</v>
      </c>
      <c r="I338" s="31">
        <f t="shared" si="17"/>
        <v>28</v>
      </c>
      <c r="J338" s="147" t="s">
        <v>1942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996</v>
      </c>
      <c r="C339" t="s">
        <v>1062</v>
      </c>
      <c r="D339" t="s">
        <v>997</v>
      </c>
      <c r="E339" s="30" t="s">
        <v>19</v>
      </c>
      <c r="F339" s="30" t="s">
        <v>28</v>
      </c>
      <c r="G339" s="30"/>
      <c r="H339" s="30" t="s">
        <v>907</v>
      </c>
      <c r="I339" s="31">
        <f t="shared" si="17"/>
        <v>28</v>
      </c>
      <c r="J339" s="147" t="s">
        <v>1943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998</v>
      </c>
      <c r="C340" t="s">
        <v>1062</v>
      </c>
      <c r="D340" t="s">
        <v>999</v>
      </c>
      <c r="E340" s="30" t="s">
        <v>19</v>
      </c>
      <c r="F340" s="30" t="s">
        <v>28</v>
      </c>
      <c r="G340" s="30"/>
      <c r="H340" s="30" t="s">
        <v>908</v>
      </c>
      <c r="I340" s="31">
        <f t="shared" si="17"/>
        <v>28</v>
      </c>
      <c r="J340" s="147" t="s">
        <v>1944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1173</v>
      </c>
      <c r="C341" t="s">
        <v>1062</v>
      </c>
      <c r="D341" t="s">
        <v>1156</v>
      </c>
      <c r="E341" s="30" t="s">
        <v>19</v>
      </c>
      <c r="F341" s="30" t="s">
        <v>28</v>
      </c>
      <c r="G341" s="30"/>
      <c r="H341" s="30" t="s">
        <v>1158</v>
      </c>
      <c r="I341" s="31">
        <f t="shared" si="17"/>
        <v>28</v>
      </c>
      <c r="J341" s="147" t="s">
        <v>1945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1174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1159</v>
      </c>
      <c r="I342" s="31">
        <f t="shared" si="17"/>
        <v>28</v>
      </c>
      <c r="J342" s="147" t="s">
        <v>1946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1192</v>
      </c>
      <c r="C343" t="s">
        <v>1062</v>
      </c>
      <c r="D343" t="s">
        <v>1155</v>
      </c>
      <c r="E343" s="30" t="s">
        <v>15</v>
      </c>
      <c r="F343" s="30" t="s">
        <v>28</v>
      </c>
      <c r="G343" s="30"/>
      <c r="H343" s="30" t="s">
        <v>1157</v>
      </c>
      <c r="I343" s="31">
        <f t="shared" si="17"/>
        <v>28</v>
      </c>
      <c r="J343" s="147" t="s">
        <v>1947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1295</v>
      </c>
      <c r="C344" t="s">
        <v>1062</v>
      </c>
      <c r="D344" t="s">
        <v>1296</v>
      </c>
      <c r="E344" s="30" t="s">
        <v>73</v>
      </c>
      <c r="F344" s="30" t="s">
        <v>28</v>
      </c>
      <c r="G344" s="30"/>
      <c r="H344" s="30" t="s">
        <v>1484</v>
      </c>
      <c r="I344" s="31">
        <f t="shared" si="17"/>
        <v>28</v>
      </c>
      <c r="J344" s="147" t="s">
        <v>1948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1385</v>
      </c>
      <c r="C345" t="s">
        <v>1062</v>
      </c>
      <c r="D345" s="68" t="s">
        <v>1388</v>
      </c>
      <c r="E345" s="30" t="s">
        <v>15</v>
      </c>
      <c r="F345" s="30" t="s">
        <v>1055</v>
      </c>
      <c r="G345" s="30"/>
      <c r="H345" s="30" t="s">
        <v>1392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1386</v>
      </c>
      <c r="C346" t="s">
        <v>1062</v>
      </c>
      <c r="D346" s="68" t="s">
        <v>1389</v>
      </c>
      <c r="E346" s="30" t="s">
        <v>73</v>
      </c>
      <c r="F346" s="30" t="s">
        <v>1055</v>
      </c>
      <c r="G346" s="30"/>
      <c r="H346" s="30" t="s">
        <v>1393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1387</v>
      </c>
      <c r="C347" t="s">
        <v>1062</v>
      </c>
      <c r="D347" s="68" t="s">
        <v>1390</v>
      </c>
      <c r="E347" s="30" t="s">
        <v>15</v>
      </c>
      <c r="F347" s="30" t="s">
        <v>28</v>
      </c>
      <c r="G347" s="30"/>
      <c r="H347" s="30" t="s">
        <v>1501</v>
      </c>
      <c r="I347" s="31">
        <f t="shared" si="17"/>
        <v>28</v>
      </c>
      <c r="J347" s="147" t="s">
        <v>1949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898</v>
      </c>
      <c r="B348" s="73" t="s">
        <v>1002</v>
      </c>
      <c r="C348" s="73" t="s">
        <v>1062</v>
      </c>
      <c r="D348" s="73" t="s">
        <v>1003</v>
      </c>
      <c r="E348" s="85" t="s">
        <v>1056</v>
      </c>
      <c r="F348" s="85" t="s">
        <v>1300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2286</v>
      </c>
      <c r="Y348" s="70" t="s">
        <v>2286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898</v>
      </c>
      <c r="B349" s="73" t="s">
        <v>897</v>
      </c>
      <c r="C349" s="73" t="s">
        <v>1062</v>
      </c>
      <c r="D349" s="73" t="s">
        <v>1003</v>
      </c>
      <c r="E349" s="85" t="s">
        <v>1057</v>
      </c>
      <c r="F349" s="85" t="s">
        <v>1300</v>
      </c>
      <c r="G349" s="85"/>
      <c r="H349" s="85" t="s">
        <v>899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1061</v>
      </c>
      <c r="D350" t="s">
        <v>383</v>
      </c>
      <c r="E350" s="30" t="s">
        <v>19</v>
      </c>
      <c r="F350" s="30" t="s">
        <v>28</v>
      </c>
      <c r="G350" s="30"/>
      <c r="H350" s="30" t="s">
        <v>781</v>
      </c>
      <c r="I350" s="31">
        <f t="shared" si="17"/>
        <v>22</v>
      </c>
      <c r="J350" s="147" t="s">
        <v>1950</v>
      </c>
      <c r="K350" s="31">
        <f t="shared" si="18"/>
        <v>6</v>
      </c>
      <c r="L350" s="32">
        <f t="shared" si="19"/>
        <v>0.7857142857142857</v>
      </c>
      <c r="M350" s="70"/>
      <c r="N350" s="70"/>
      <c r="O350" s="70"/>
      <c r="P350" s="70"/>
      <c r="Q350" s="70"/>
      <c r="R350" s="70" t="s">
        <v>2286</v>
      </c>
      <c r="S350" s="70" t="s">
        <v>2286</v>
      </c>
      <c r="T350" s="70" t="s">
        <v>2286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2286</v>
      </c>
      <c r="AD350" s="70" t="s">
        <v>2286</v>
      </c>
      <c r="AE350" s="70" t="s">
        <v>2286</v>
      </c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1004</v>
      </c>
      <c r="C351" s="73" t="s">
        <v>1061</v>
      </c>
      <c r="D351" s="73" t="s">
        <v>338</v>
      </c>
      <c r="E351" s="85" t="s">
        <v>73</v>
      </c>
      <c r="F351" s="85" t="s">
        <v>1300</v>
      </c>
      <c r="G351" s="85"/>
      <c r="H351" s="85" t="s">
        <v>750</v>
      </c>
      <c r="I351" s="142">
        <f t="shared" si="17"/>
        <v>28</v>
      </c>
      <c r="J351" s="147" t="s">
        <v>1951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1005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751</v>
      </c>
      <c r="I352" s="142">
        <f t="shared" si="17"/>
        <v>28</v>
      </c>
      <c r="J352" s="147" t="s">
        <v>1952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1006</v>
      </c>
      <c r="C353" t="s">
        <v>1061</v>
      </c>
      <c r="D353" t="s">
        <v>1007</v>
      </c>
      <c r="E353" s="30" t="s">
        <v>19</v>
      </c>
      <c r="F353" s="30" t="s">
        <v>28</v>
      </c>
      <c r="G353" s="30"/>
      <c r="H353" s="30" t="s">
        <v>2232</v>
      </c>
      <c r="I353" s="31">
        <f t="shared" si="17"/>
        <v>25</v>
      </c>
      <c r="J353" s="147" t="s">
        <v>1953</v>
      </c>
      <c r="K353" s="31">
        <f t="shared" si="18"/>
        <v>3</v>
      </c>
      <c r="L353" s="32">
        <f t="shared" si="19"/>
        <v>0.8928571428571429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2286</v>
      </c>
      <c r="AD353" s="70" t="s">
        <v>2286</v>
      </c>
      <c r="AE353" s="70" t="s">
        <v>2286</v>
      </c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1008</v>
      </c>
      <c r="C354" t="s">
        <v>1061</v>
      </c>
      <c r="D354" t="s">
        <v>1009</v>
      </c>
      <c r="E354" s="30" t="s">
        <v>19</v>
      </c>
      <c r="F354" s="30" t="s">
        <v>28</v>
      </c>
      <c r="G354" s="30"/>
      <c r="H354" s="30" t="s">
        <v>2233</v>
      </c>
      <c r="I354" s="31">
        <f t="shared" si="17"/>
        <v>25</v>
      </c>
      <c r="J354" s="147" t="s">
        <v>1954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1129</v>
      </c>
      <c r="C355" t="s">
        <v>1061</v>
      </c>
      <c r="D355" t="s">
        <v>1126</v>
      </c>
      <c r="E355" s="30" t="s">
        <v>73</v>
      </c>
      <c r="F355" s="30" t="s">
        <v>28</v>
      </c>
      <c r="G355" s="30"/>
      <c r="H355" s="30" t="s">
        <v>1135</v>
      </c>
      <c r="I355" s="31">
        <f t="shared" si="17"/>
        <v>25</v>
      </c>
      <c r="J355" s="147" t="s">
        <v>1955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1130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1136</v>
      </c>
      <c r="I356" s="31">
        <f t="shared" si="17"/>
        <v>25</v>
      </c>
      <c r="J356" s="147" t="s">
        <v>1956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1131</v>
      </c>
      <c r="C357" t="s">
        <v>1061</v>
      </c>
      <c r="D357" t="s">
        <v>1127</v>
      </c>
      <c r="E357" s="30" t="s">
        <v>73</v>
      </c>
      <c r="F357" s="30" t="s">
        <v>28</v>
      </c>
      <c r="G357" s="30"/>
      <c r="H357" s="30" t="s">
        <v>1137</v>
      </c>
      <c r="I357" s="31">
        <f t="shared" si="17"/>
        <v>25</v>
      </c>
      <c r="J357" s="147" t="s">
        <v>1957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1132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1138</v>
      </c>
      <c r="I358" s="31">
        <f t="shared" si="17"/>
        <v>25</v>
      </c>
      <c r="J358" s="147" t="s">
        <v>1958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1319</v>
      </c>
      <c r="B359" t="s">
        <v>1232</v>
      </c>
      <c r="C359" t="s">
        <v>1061</v>
      </c>
      <c r="D359" t="s">
        <v>1233</v>
      </c>
      <c r="E359" t="s">
        <v>19</v>
      </c>
      <c r="F359" t="s">
        <v>28</v>
      </c>
      <c r="G359"/>
      <c r="H359" s="30" t="s">
        <v>1239</v>
      </c>
      <c r="I359" s="31">
        <f t="shared" si="17"/>
        <v>27</v>
      </c>
      <c r="J359" s="147" t="s">
        <v>1959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1234</v>
      </c>
      <c r="C360" t="s">
        <v>1061</v>
      </c>
      <c r="D360" t="s">
        <v>1235</v>
      </c>
      <c r="E360" t="s">
        <v>19</v>
      </c>
      <c r="F360" t="s">
        <v>28</v>
      </c>
      <c r="G360"/>
      <c r="H360" s="30" t="s">
        <v>1240</v>
      </c>
      <c r="I360" s="31">
        <f t="shared" si="17"/>
        <v>27</v>
      </c>
      <c r="J360" s="147" t="s">
        <v>1960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1319</v>
      </c>
      <c r="B361" s="73" t="s">
        <v>1573</v>
      </c>
      <c r="C361" s="73" t="s">
        <v>1061</v>
      </c>
      <c r="D361" s="73" t="s">
        <v>1576</v>
      </c>
      <c r="E361" s="85" t="s">
        <v>73</v>
      </c>
      <c r="F361" s="85" t="s">
        <v>1300</v>
      </c>
      <c r="H361" s="85" t="s">
        <v>1577</v>
      </c>
      <c r="I361" s="31">
        <f t="shared" si="17"/>
        <v>28</v>
      </c>
      <c r="J361" s="147" t="s">
        <v>1961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1319</v>
      </c>
      <c r="B362" s="73" t="s">
        <v>1574</v>
      </c>
      <c r="C362" s="73" t="s">
        <v>1061</v>
      </c>
      <c r="D362" s="73" t="s">
        <v>1578</v>
      </c>
      <c r="E362" s="73" t="s">
        <v>73</v>
      </c>
      <c r="F362" s="85" t="s">
        <v>1300</v>
      </c>
      <c r="H362" s="85" t="s">
        <v>1579</v>
      </c>
      <c r="I362" s="31">
        <f t="shared" si="17"/>
        <v>28</v>
      </c>
      <c r="J362" s="147" t="s">
        <v>1962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1319</v>
      </c>
      <c r="B363" s="73" t="s">
        <v>1575</v>
      </c>
      <c r="C363" s="73" t="s">
        <v>1061</v>
      </c>
      <c r="D363" s="73" t="s">
        <v>1580</v>
      </c>
      <c r="E363" s="73" t="s">
        <v>73</v>
      </c>
      <c r="F363" s="85" t="s">
        <v>1300</v>
      </c>
      <c r="H363" s="85" t="s">
        <v>1581</v>
      </c>
      <c r="I363" s="31">
        <f t="shared" si="17"/>
        <v>28</v>
      </c>
      <c r="J363" s="147" t="s">
        <v>1963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1319</v>
      </c>
      <c r="B364" s="73" t="s">
        <v>1634</v>
      </c>
      <c r="C364" s="73" t="s">
        <v>1061</v>
      </c>
      <c r="D364" s="73" t="s">
        <v>1635</v>
      </c>
      <c r="E364" s="73" t="s">
        <v>19</v>
      </c>
      <c r="F364" s="85" t="s">
        <v>1300</v>
      </c>
      <c r="H364" s="85" t="s">
        <v>1636</v>
      </c>
      <c r="I364" s="31">
        <f t="shared" si="17"/>
        <v>28</v>
      </c>
      <c r="J364" s="147" t="s">
        <v>2145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1061</v>
      </c>
      <c r="D365" t="s">
        <v>386</v>
      </c>
      <c r="E365" s="30" t="s">
        <v>19</v>
      </c>
      <c r="F365" s="30" t="s">
        <v>28</v>
      </c>
      <c r="G365" s="30"/>
      <c r="H365" s="30" t="s">
        <v>782</v>
      </c>
      <c r="I365" s="31">
        <f t="shared" si="17"/>
        <v>28</v>
      </c>
      <c r="J365" s="147" t="s">
        <v>1964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1061</v>
      </c>
      <c r="D366" t="s">
        <v>388</v>
      </c>
      <c r="E366" s="30" t="s">
        <v>19</v>
      </c>
      <c r="F366" s="30" t="s">
        <v>28</v>
      </c>
      <c r="G366" s="30"/>
      <c r="H366" s="30" t="s">
        <v>783</v>
      </c>
      <c r="I366" s="31">
        <f t="shared" si="17"/>
        <v>28</v>
      </c>
      <c r="J366" s="147" t="s">
        <v>1965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1061</v>
      </c>
      <c r="D367" s="73" t="s">
        <v>391</v>
      </c>
      <c r="E367" s="85" t="s">
        <v>19</v>
      </c>
      <c r="F367" s="85" t="s">
        <v>1300</v>
      </c>
      <c r="G367" s="85"/>
      <c r="H367" s="85" t="s">
        <v>1483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2175</v>
      </c>
      <c r="C368" s="73" t="s">
        <v>1061</v>
      </c>
      <c r="D368" s="73" t="s">
        <v>2176</v>
      </c>
      <c r="E368" s="85" t="s">
        <v>73</v>
      </c>
      <c r="F368" s="30" t="s">
        <v>28</v>
      </c>
      <c r="G368" s="85"/>
      <c r="H368" s="85" t="s">
        <v>2177</v>
      </c>
      <c r="I368" s="142">
        <f t="shared" si="17"/>
        <v>28</v>
      </c>
      <c r="J368" s="153" t="s">
        <v>2178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1061</v>
      </c>
      <c r="D369" t="s">
        <v>393</v>
      </c>
      <c r="E369" s="30" t="s">
        <v>19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1966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1010</v>
      </c>
      <c r="C370" t="s">
        <v>1061</v>
      </c>
      <c r="D370" t="s">
        <v>394</v>
      </c>
      <c r="E370" s="30" t="s">
        <v>19</v>
      </c>
      <c r="F370" s="30" t="s">
        <v>28</v>
      </c>
      <c r="G370" s="30"/>
      <c r="H370" s="30" t="s">
        <v>787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1061</v>
      </c>
      <c r="D371" t="s">
        <v>396</v>
      </c>
      <c r="E371" s="30" t="s">
        <v>73</v>
      </c>
      <c r="F371" s="30" t="s">
        <v>28</v>
      </c>
      <c r="G371" s="30"/>
      <c r="H371" s="30" t="s">
        <v>784</v>
      </c>
      <c r="I371" s="31">
        <f t="shared" si="17"/>
        <v>28</v>
      </c>
      <c r="J371" s="147" t="s">
        <v>1967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785</v>
      </c>
      <c r="I372" s="31">
        <f t="shared" si="17"/>
        <v>28</v>
      </c>
      <c r="J372" s="147" t="s">
        <v>1968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1263</v>
      </c>
      <c r="C373" t="s">
        <v>1061</v>
      </c>
      <c r="D373" t="s">
        <v>1264</v>
      </c>
      <c r="E373" s="30" t="s">
        <v>15</v>
      </c>
      <c r="F373" s="30" t="s">
        <v>1055</v>
      </c>
      <c r="G373" s="30" t="s">
        <v>1266</v>
      </c>
      <c r="H373" s="30" t="s">
        <v>1265</v>
      </c>
      <c r="I373" s="31">
        <f t="shared" si="17"/>
        <v>28</v>
      </c>
      <c r="J373" s="147" t="s">
        <v>1969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1312</v>
      </c>
      <c r="C374" s="73" t="s">
        <v>1062</v>
      </c>
      <c r="D374" s="73" t="s">
        <v>1313</v>
      </c>
      <c r="E374" s="85" t="s">
        <v>15</v>
      </c>
      <c r="F374" s="85" t="s">
        <v>1300</v>
      </c>
      <c r="G374" s="85"/>
      <c r="H374" s="85" t="s">
        <v>1314</v>
      </c>
      <c r="I374" s="31">
        <f t="shared" si="17"/>
        <v>28</v>
      </c>
      <c r="J374" s="147" t="s">
        <v>1970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1061</v>
      </c>
      <c r="D375" s="91" t="s">
        <v>408</v>
      </c>
      <c r="E375" s="92" t="s">
        <v>15</v>
      </c>
      <c r="F375" s="92" t="s">
        <v>20</v>
      </c>
      <c r="G375" s="92"/>
      <c r="H375" s="92" t="s">
        <v>788</v>
      </c>
      <c r="I375" s="31">
        <f t="shared" si="17"/>
        <v>10</v>
      </c>
      <c r="J375" s="73"/>
      <c r="K375" s="31">
        <f t="shared" si="18"/>
        <v>18</v>
      </c>
      <c r="L375" s="32">
        <f t="shared" si="19"/>
        <v>0.35714285714285715</v>
      </c>
      <c r="M375" s="70" t="s">
        <v>2286</v>
      </c>
      <c r="N375" s="70" t="s">
        <v>2286</v>
      </c>
      <c r="O375" s="70" t="s">
        <v>2286</v>
      </c>
      <c r="P375" s="70" t="s">
        <v>2286</v>
      </c>
      <c r="Q375" s="70" t="s">
        <v>2286</v>
      </c>
      <c r="R375" s="70" t="s">
        <v>2286</v>
      </c>
      <c r="S375" s="70" t="s">
        <v>2286</v>
      </c>
      <c r="T375" s="70" t="s">
        <v>2286</v>
      </c>
      <c r="U375" s="70" t="s">
        <v>2286</v>
      </c>
      <c r="V375" s="70" t="s">
        <v>2286</v>
      </c>
      <c r="W375" s="70"/>
      <c r="X375" s="70" t="s">
        <v>2286</v>
      </c>
      <c r="Y375" s="70" t="s">
        <v>2286</v>
      </c>
      <c r="Z375" s="70" t="s">
        <v>2286</v>
      </c>
      <c r="AA375" s="70" t="s">
        <v>2286</v>
      </c>
      <c r="AB375" s="70" t="s">
        <v>2286</v>
      </c>
      <c r="AC375" s="70" t="s">
        <v>2286</v>
      </c>
      <c r="AD375" s="70" t="s">
        <v>2286</v>
      </c>
      <c r="AE375" s="93" t="s">
        <v>2286</v>
      </c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1061</v>
      </c>
      <c r="D376" s="73" t="s">
        <v>399</v>
      </c>
      <c r="E376" s="85" t="s">
        <v>19</v>
      </c>
      <c r="F376" s="85" t="s">
        <v>1300</v>
      </c>
      <c r="G376" s="85"/>
      <c r="H376" s="85" t="s">
        <v>2122</v>
      </c>
      <c r="I376" s="142">
        <f t="shared" si="17"/>
        <v>28</v>
      </c>
      <c r="J376" s="147" t="s">
        <v>1971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1061</v>
      </c>
      <c r="D377" s="73" t="s">
        <v>401</v>
      </c>
      <c r="E377" s="85" t="s">
        <v>15</v>
      </c>
      <c r="F377" s="85" t="s">
        <v>28</v>
      </c>
      <c r="G377" s="85"/>
      <c r="H377" s="85" t="s">
        <v>1516</v>
      </c>
      <c r="I377" s="87">
        <f t="shared" si="17"/>
        <v>27</v>
      </c>
      <c r="J377" s="147" t="s">
        <v>1972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2286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1061</v>
      </c>
      <c r="D378" t="s">
        <v>404</v>
      </c>
      <c r="E378" s="30" t="s">
        <v>19</v>
      </c>
      <c r="F378" s="30" t="s">
        <v>28</v>
      </c>
      <c r="G378" s="30"/>
      <c r="H378" s="30" t="s">
        <v>789</v>
      </c>
      <c r="I378" s="31">
        <f t="shared" si="17"/>
        <v>20</v>
      </c>
      <c r="J378" s="147" t="s">
        <v>1973</v>
      </c>
      <c r="K378" s="31">
        <f t="shared" si="18"/>
        <v>8</v>
      </c>
      <c r="L378" s="32">
        <f t="shared" si="19"/>
        <v>0.7142857142857143</v>
      </c>
      <c r="M378" s="70" t="s">
        <v>2286</v>
      </c>
      <c r="N378" s="70" t="s">
        <v>2286</v>
      </c>
      <c r="O378" s="70"/>
      <c r="P378" s="70"/>
      <c r="Q378" s="70"/>
      <c r="R378" s="70" t="s">
        <v>2286</v>
      </c>
      <c r="S378" s="70" t="s">
        <v>2286</v>
      </c>
      <c r="T378" s="70" t="s">
        <v>2286</v>
      </c>
      <c r="U378" s="70" t="s">
        <v>2286</v>
      </c>
      <c r="V378" s="70" t="s">
        <v>2286</v>
      </c>
      <c r="W378" s="70"/>
      <c r="X378" s="70" t="s">
        <v>2286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1061</v>
      </c>
      <c r="D379" t="s">
        <v>404</v>
      </c>
      <c r="E379" s="30" t="s">
        <v>73</v>
      </c>
      <c r="F379" s="30" t="s">
        <v>28</v>
      </c>
      <c r="G379" s="30"/>
      <c r="H379" s="30" t="s">
        <v>790</v>
      </c>
      <c r="I379" s="31">
        <f t="shared" si="17"/>
        <v>20</v>
      </c>
      <c r="J379" s="147" t="s">
        <v>1974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791</v>
      </c>
      <c r="I380" s="31">
        <f t="shared" si="17"/>
        <v>20</v>
      </c>
      <c r="J380" s="147" t="s">
        <v>1975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1061</v>
      </c>
      <c r="D381" t="s">
        <v>411</v>
      </c>
      <c r="E381" s="30" t="s">
        <v>73</v>
      </c>
      <c r="F381" s="30" t="s">
        <v>28</v>
      </c>
      <c r="G381" s="30"/>
      <c r="H381" s="30" t="s">
        <v>792</v>
      </c>
      <c r="I381" s="31">
        <f t="shared" ref="I381:I462" si="20">COUNTIF(M381:AN381,"")</f>
        <v>13</v>
      </c>
      <c r="J381" s="147" t="s">
        <v>1976</v>
      </c>
      <c r="K381" s="31">
        <f t="shared" ref="K381:K462" si="21">COUNTIF(M381:AN381,"APAGADO")</f>
        <v>15</v>
      </c>
      <c r="L381" s="32">
        <f t="shared" ref="L381:L462" si="22">(I381)/(K381+I381)</f>
        <v>0.4642857142857143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 t="s">
        <v>2286</v>
      </c>
      <c r="Z381" s="70" t="s">
        <v>2286</v>
      </c>
      <c r="AA381" s="70" t="s">
        <v>2286</v>
      </c>
      <c r="AB381" s="70" t="s">
        <v>2286</v>
      </c>
      <c r="AC381" s="70" t="s">
        <v>2286</v>
      </c>
      <c r="AD381" s="70" t="s">
        <v>2286</v>
      </c>
      <c r="AE381" s="70" t="s">
        <v>2286</v>
      </c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793</v>
      </c>
      <c r="I382" s="31">
        <f t="shared" si="20"/>
        <v>13</v>
      </c>
      <c r="J382" s="147" t="s">
        <v>1977</v>
      </c>
      <c r="K382" s="31">
        <f t="shared" si="21"/>
        <v>15</v>
      </c>
      <c r="L382" s="32">
        <f t="shared" si="22"/>
        <v>0.4642857142857143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1061</v>
      </c>
      <c r="D383" t="s">
        <v>414</v>
      </c>
      <c r="E383" s="30" t="s">
        <v>73</v>
      </c>
      <c r="F383" s="30" t="s">
        <v>28</v>
      </c>
      <c r="G383" s="30"/>
      <c r="H383" s="30" t="s">
        <v>794</v>
      </c>
      <c r="I383" s="31">
        <f t="shared" si="20"/>
        <v>20</v>
      </c>
      <c r="J383" s="147" t="s">
        <v>1978</v>
      </c>
      <c r="K383" s="31">
        <f t="shared" si="21"/>
        <v>8</v>
      </c>
      <c r="L383" s="32">
        <f t="shared" si="22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795</v>
      </c>
      <c r="I384" s="31">
        <f t="shared" si="20"/>
        <v>20</v>
      </c>
      <c r="J384" s="147" t="s">
        <v>1979</v>
      </c>
      <c r="K384" s="31">
        <f t="shared" si="21"/>
        <v>8</v>
      </c>
      <c r="L384" s="32">
        <f t="shared" si="22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1061</v>
      </c>
      <c r="D385" t="s">
        <v>417</v>
      </c>
      <c r="E385" s="30" t="s">
        <v>73</v>
      </c>
      <c r="F385" s="30" t="s">
        <v>28</v>
      </c>
      <c r="G385" s="30"/>
      <c r="H385" s="30" t="s">
        <v>796</v>
      </c>
      <c r="I385" s="31">
        <f t="shared" si="20"/>
        <v>20</v>
      </c>
      <c r="J385" s="147" t="s">
        <v>1980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797</v>
      </c>
      <c r="I386" s="31">
        <f t="shared" si="20"/>
        <v>20</v>
      </c>
      <c r="J386" s="147" t="s">
        <v>1981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901</v>
      </c>
      <c r="C387" t="s">
        <v>1061</v>
      </c>
      <c r="D387" t="s">
        <v>902</v>
      </c>
      <c r="E387" s="30" t="s">
        <v>19</v>
      </c>
      <c r="F387" s="30" t="s">
        <v>28</v>
      </c>
      <c r="G387" s="30"/>
      <c r="H387" s="30" t="s">
        <v>909</v>
      </c>
      <c r="I387" s="31">
        <f t="shared" si="20"/>
        <v>13</v>
      </c>
      <c r="J387" s="147" t="s">
        <v>1982</v>
      </c>
      <c r="K387" s="31">
        <f t="shared" si="21"/>
        <v>15</v>
      </c>
      <c r="L387" s="32">
        <f t="shared" si="22"/>
        <v>0.4642857142857143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903</v>
      </c>
      <c r="C388" t="s">
        <v>1061</v>
      </c>
      <c r="D388" t="s">
        <v>904</v>
      </c>
      <c r="E388" s="30" t="s">
        <v>19</v>
      </c>
      <c r="F388" s="30" t="s">
        <v>28</v>
      </c>
      <c r="G388" s="30"/>
      <c r="H388" s="30" t="s">
        <v>910</v>
      </c>
      <c r="I388" s="31">
        <f t="shared" si="20"/>
        <v>10</v>
      </c>
      <c r="J388" s="147" t="s">
        <v>1983</v>
      </c>
      <c r="K388" s="31">
        <f t="shared" si="21"/>
        <v>18</v>
      </c>
      <c r="L388" s="32">
        <f t="shared" si="22"/>
        <v>0.35714285714285715</v>
      </c>
      <c r="M388" s="70" t="s">
        <v>2286</v>
      </c>
      <c r="N388" s="70" t="s">
        <v>2286</v>
      </c>
      <c r="O388" s="70" t="s">
        <v>2286</v>
      </c>
      <c r="P388" s="70" t="s">
        <v>2286</v>
      </c>
      <c r="Q388" s="70" t="s">
        <v>2286</v>
      </c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1011</v>
      </c>
      <c r="C389" t="s">
        <v>1061</v>
      </c>
      <c r="D389" t="s">
        <v>1012</v>
      </c>
      <c r="E389" s="30" t="s">
        <v>19</v>
      </c>
      <c r="F389" s="30" t="s">
        <v>28</v>
      </c>
      <c r="G389" s="30"/>
      <c r="H389" s="30" t="s">
        <v>1218</v>
      </c>
      <c r="I389" s="31">
        <f t="shared" si="20"/>
        <v>10</v>
      </c>
      <c r="J389" s="147" t="s">
        <v>1984</v>
      </c>
      <c r="K389" s="31">
        <f t="shared" si="21"/>
        <v>18</v>
      </c>
      <c r="L389" s="32">
        <f t="shared" si="22"/>
        <v>0.35714285714285715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1436</v>
      </c>
      <c r="C390" s="73" t="s">
        <v>1061</v>
      </c>
      <c r="D390" s="73" t="s">
        <v>1439</v>
      </c>
      <c r="E390" s="30" t="s">
        <v>19</v>
      </c>
      <c r="F390" s="85" t="s">
        <v>1300</v>
      </c>
      <c r="G390" s="85"/>
      <c r="H390" s="85" t="s">
        <v>1440</v>
      </c>
      <c r="I390" s="142">
        <f t="shared" si="20"/>
        <v>28</v>
      </c>
      <c r="J390" s="147" t="s">
        <v>1985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1437</v>
      </c>
      <c r="C391" t="s">
        <v>1061</v>
      </c>
      <c r="D391" t="s">
        <v>1439</v>
      </c>
      <c r="E391" s="30" t="s">
        <v>73</v>
      </c>
      <c r="F391" s="30" t="s">
        <v>28</v>
      </c>
      <c r="G391" s="30"/>
      <c r="H391" s="85" t="s">
        <v>1502</v>
      </c>
      <c r="I391" s="31">
        <f t="shared" si="20"/>
        <v>28</v>
      </c>
      <c r="J391" s="147" t="s">
        <v>1986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1438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1500</v>
      </c>
      <c r="I392" s="31">
        <f t="shared" si="20"/>
        <v>28</v>
      </c>
      <c r="J392" s="147" t="s">
        <v>1987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1631</v>
      </c>
      <c r="C393" t="s">
        <v>1061</v>
      </c>
      <c r="D393" t="s">
        <v>1632</v>
      </c>
      <c r="E393" s="30" t="s">
        <v>19</v>
      </c>
      <c r="F393" s="30" t="s">
        <v>28</v>
      </c>
      <c r="G393" s="30"/>
      <c r="H393" s="85" t="s">
        <v>1633</v>
      </c>
      <c r="I393" s="31">
        <f t="shared" si="20"/>
        <v>11</v>
      </c>
      <c r="J393" s="87"/>
      <c r="K393" s="31">
        <f t="shared" si="21"/>
        <v>17</v>
      </c>
      <c r="L393" s="32">
        <f t="shared" si="22"/>
        <v>0.39285714285714285</v>
      </c>
      <c r="M393" s="70"/>
      <c r="N393" s="70" t="s">
        <v>2286</v>
      </c>
      <c r="O393" s="70" t="s">
        <v>2286</v>
      </c>
      <c r="P393" s="84" t="s">
        <v>2286</v>
      </c>
      <c r="Q393" s="84" t="s">
        <v>2286</v>
      </c>
      <c r="R393" s="84" t="s">
        <v>2286</v>
      </c>
      <c r="S393" s="84" t="s">
        <v>2286</v>
      </c>
      <c r="T393" s="84" t="s">
        <v>2286</v>
      </c>
      <c r="U393" s="84" t="s">
        <v>2286</v>
      </c>
      <c r="V393" s="84" t="s">
        <v>2286</v>
      </c>
      <c r="W393" s="84"/>
      <c r="X393" s="84" t="s">
        <v>2286</v>
      </c>
      <c r="Y393" s="84" t="s">
        <v>2286</v>
      </c>
      <c r="Z393" s="84" t="s">
        <v>2286</v>
      </c>
      <c r="AA393" s="84" t="s">
        <v>2286</v>
      </c>
      <c r="AB393" s="84" t="s">
        <v>2286</v>
      </c>
      <c r="AC393" s="84" t="s">
        <v>2286</v>
      </c>
      <c r="AD393" s="84" t="s">
        <v>2286</v>
      </c>
      <c r="AE393" s="84" t="s">
        <v>2286</v>
      </c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2278</v>
      </c>
      <c r="C394" t="s">
        <v>1061</v>
      </c>
      <c r="D394" t="s">
        <v>2279</v>
      </c>
      <c r="E394" s="30" t="s">
        <v>19</v>
      </c>
      <c r="F394" s="85" t="s">
        <v>1300</v>
      </c>
      <c r="G394" s="30"/>
      <c r="H394" s="85" t="s">
        <v>2280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1062</v>
      </c>
      <c r="D395" t="s">
        <v>420</v>
      </c>
      <c r="E395" s="30" t="s">
        <v>15</v>
      </c>
      <c r="F395" s="30" t="s">
        <v>20</v>
      </c>
      <c r="G395" s="30"/>
      <c r="H395" s="30" t="s">
        <v>799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2286</v>
      </c>
      <c r="N395" s="70" t="s">
        <v>2286</v>
      </c>
      <c r="O395" s="70"/>
      <c r="P395" s="70"/>
      <c r="Q395" s="70" t="s">
        <v>2286</v>
      </c>
      <c r="R395" s="70" t="s">
        <v>2286</v>
      </c>
      <c r="S395" s="70" t="s">
        <v>2286</v>
      </c>
      <c r="T395" s="70" t="s">
        <v>2286</v>
      </c>
      <c r="U395" s="70" t="s">
        <v>2286</v>
      </c>
      <c r="V395" s="70" t="s">
        <v>2286</v>
      </c>
      <c r="W395" s="70"/>
      <c r="X395" s="70" t="s">
        <v>2286</v>
      </c>
      <c r="Y395" s="70" t="s">
        <v>2286</v>
      </c>
      <c r="Z395" s="70" t="s">
        <v>2286</v>
      </c>
      <c r="AA395" s="70" t="s">
        <v>2286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1062</v>
      </c>
      <c r="D396" s="73" t="s">
        <v>422</v>
      </c>
      <c r="E396" s="85" t="s">
        <v>15</v>
      </c>
      <c r="F396" s="85" t="s">
        <v>1300</v>
      </c>
      <c r="G396" s="85"/>
      <c r="H396" s="85" t="s">
        <v>1430</v>
      </c>
      <c r="I396" s="142">
        <f t="shared" si="20"/>
        <v>24</v>
      </c>
      <c r="J396" s="147" t="s">
        <v>1988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2286</v>
      </c>
      <c r="Z396" s="70" t="s">
        <v>2286</v>
      </c>
      <c r="AA396" s="70" t="s">
        <v>2286</v>
      </c>
      <c r="AB396" s="70"/>
      <c r="AC396" s="70" t="s">
        <v>2286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1013</v>
      </c>
      <c r="C397" t="s">
        <v>1062</v>
      </c>
      <c r="D397" t="s">
        <v>1014</v>
      </c>
      <c r="E397" s="30" t="s">
        <v>73</v>
      </c>
      <c r="F397" s="30" t="s">
        <v>20</v>
      </c>
      <c r="G397" s="30"/>
      <c r="H397" s="30" t="s">
        <v>1280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2286</v>
      </c>
      <c r="S397" s="70" t="s">
        <v>2286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1015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1398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1062</v>
      </c>
      <c r="D399" s="73" t="s">
        <v>424</v>
      </c>
      <c r="E399" s="85" t="s">
        <v>19</v>
      </c>
      <c r="F399" s="30" t="s">
        <v>1055</v>
      </c>
      <c r="G399" s="85"/>
      <c r="H399" s="85" t="s">
        <v>1431</v>
      </c>
      <c r="I399" s="87">
        <f t="shared" si="20"/>
        <v>10</v>
      </c>
      <c r="J399" s="147" t="s">
        <v>1989</v>
      </c>
      <c r="K399" s="87">
        <f t="shared" si="21"/>
        <v>18</v>
      </c>
      <c r="L399" s="88">
        <f t="shared" si="22"/>
        <v>0.35714285714285715</v>
      </c>
      <c r="M399" s="89" t="s">
        <v>2286</v>
      </c>
      <c r="N399" s="89" t="s">
        <v>2286</v>
      </c>
      <c r="O399" s="89" t="s">
        <v>2286</v>
      </c>
      <c r="P399" s="89" t="s">
        <v>2286</v>
      </c>
      <c r="Q399" s="89" t="s">
        <v>2286</v>
      </c>
      <c r="R399" s="89" t="s">
        <v>2286</v>
      </c>
      <c r="S399" s="89" t="s">
        <v>2286</v>
      </c>
      <c r="T399" s="89" t="s">
        <v>2286</v>
      </c>
      <c r="U399" s="89" t="s">
        <v>2286</v>
      </c>
      <c r="V399" s="89" t="s">
        <v>2286</v>
      </c>
      <c r="W399" s="89"/>
      <c r="X399" s="89" t="s">
        <v>2286</v>
      </c>
      <c r="Y399" s="89" t="s">
        <v>2286</v>
      </c>
      <c r="Z399" s="89" t="s">
        <v>2286</v>
      </c>
      <c r="AA399" s="89" t="s">
        <v>2286</v>
      </c>
      <c r="AB399" s="89" t="s">
        <v>2286</v>
      </c>
      <c r="AC399" s="89" t="s">
        <v>2286</v>
      </c>
      <c r="AD399" s="89" t="s">
        <v>2286</v>
      </c>
      <c r="AE399" s="89" t="s">
        <v>2286</v>
      </c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1062</v>
      </c>
      <c r="D400" t="s">
        <v>426</v>
      </c>
      <c r="E400" s="30" t="s">
        <v>19</v>
      </c>
      <c r="F400" s="30" t="s">
        <v>20</v>
      </c>
      <c r="G400" s="30"/>
      <c r="H400" s="30" t="s">
        <v>798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2286</v>
      </c>
      <c r="P400" s="70"/>
      <c r="Q400" s="70"/>
      <c r="R400" s="70" t="s">
        <v>2286</v>
      </c>
      <c r="S400" s="70" t="s">
        <v>2286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1062</v>
      </c>
      <c r="D401" t="s">
        <v>428</v>
      </c>
      <c r="E401" s="30" t="s">
        <v>73</v>
      </c>
      <c r="F401" s="30" t="s">
        <v>28</v>
      </c>
      <c r="G401" s="30"/>
      <c r="H401" s="30" t="s">
        <v>801</v>
      </c>
      <c r="I401" s="31">
        <f t="shared" si="20"/>
        <v>10</v>
      </c>
      <c r="J401" s="147" t="s">
        <v>1990</v>
      </c>
      <c r="K401" s="31">
        <f t="shared" si="21"/>
        <v>18</v>
      </c>
      <c r="L401" s="32">
        <f t="shared" si="22"/>
        <v>0.35714285714285715</v>
      </c>
      <c r="M401" s="70" t="s">
        <v>2286</v>
      </c>
      <c r="N401" s="70" t="s">
        <v>2286</v>
      </c>
      <c r="O401" s="70" t="s">
        <v>2286</v>
      </c>
      <c r="P401" s="70" t="s">
        <v>2286</v>
      </c>
      <c r="Q401" s="70" t="s">
        <v>2286</v>
      </c>
      <c r="R401" s="70" t="s">
        <v>2286</v>
      </c>
      <c r="S401" s="70" t="s">
        <v>2286</v>
      </c>
      <c r="T401" s="70" t="s">
        <v>2286</v>
      </c>
      <c r="U401" s="70" t="s">
        <v>2286</v>
      </c>
      <c r="V401" s="70" t="s">
        <v>2286</v>
      </c>
      <c r="W401" s="70"/>
      <c r="X401" s="70" t="s">
        <v>2286</v>
      </c>
      <c r="Y401" s="70" t="s">
        <v>2286</v>
      </c>
      <c r="Z401" s="70" t="s">
        <v>2286</v>
      </c>
      <c r="AA401" s="70" t="s">
        <v>2286</v>
      </c>
      <c r="AB401" s="70" t="s">
        <v>2286</v>
      </c>
      <c r="AC401" s="70" t="s">
        <v>2286</v>
      </c>
      <c r="AD401" s="70" t="s">
        <v>2286</v>
      </c>
      <c r="AE401" s="70" t="s">
        <v>2286</v>
      </c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802</v>
      </c>
      <c r="I402" s="31">
        <f t="shared" si="20"/>
        <v>10</v>
      </c>
      <c r="J402" s="147" t="s">
        <v>1991</v>
      </c>
      <c r="K402" s="31">
        <f t="shared" si="21"/>
        <v>18</v>
      </c>
      <c r="L402" s="32">
        <f t="shared" si="22"/>
        <v>0.35714285714285715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1062</v>
      </c>
      <c r="D403" s="73" t="s">
        <v>431</v>
      </c>
      <c r="E403" s="85" t="s">
        <v>73</v>
      </c>
      <c r="F403" s="85" t="s">
        <v>1300</v>
      </c>
      <c r="G403" s="85"/>
      <c r="H403" s="85" t="s">
        <v>803</v>
      </c>
      <c r="I403" s="142">
        <f t="shared" si="20"/>
        <v>28</v>
      </c>
      <c r="J403" s="147" t="s">
        <v>1992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804</v>
      </c>
      <c r="I404" s="142">
        <f t="shared" si="20"/>
        <v>28</v>
      </c>
      <c r="J404" s="147" t="s">
        <v>1993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1544</v>
      </c>
      <c r="C405" s="73" t="s">
        <v>1062</v>
      </c>
      <c r="D405" s="73" t="s">
        <v>1545</v>
      </c>
      <c r="E405" s="85" t="s">
        <v>73</v>
      </c>
      <c r="F405" s="85" t="s">
        <v>1300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1546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1627</v>
      </c>
      <c r="C407" s="73" t="s">
        <v>1062</v>
      </c>
      <c r="D407" s="73" t="s">
        <v>1628</v>
      </c>
      <c r="E407" s="85" t="s">
        <v>73</v>
      </c>
      <c r="F407" s="85" t="s">
        <v>1300</v>
      </c>
      <c r="G407" s="85"/>
      <c r="H407" s="85" t="s">
        <v>1629</v>
      </c>
      <c r="I407" s="142">
        <f t="shared" si="20"/>
        <v>28</v>
      </c>
      <c r="J407" s="87" t="s">
        <v>2150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2146</v>
      </c>
      <c r="C408" s="73" t="s">
        <v>1062</v>
      </c>
      <c r="D408" s="73" t="s">
        <v>2147</v>
      </c>
      <c r="E408" s="92" t="s">
        <v>19</v>
      </c>
      <c r="F408" s="85" t="s">
        <v>1300</v>
      </c>
      <c r="G408" s="85"/>
      <c r="H408" s="85" t="s">
        <v>2148</v>
      </c>
      <c r="I408" s="142">
        <f t="shared" si="20"/>
        <v>28</v>
      </c>
      <c r="J408" s="87" t="s">
        <v>2149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2270</v>
      </c>
      <c r="B409" s="73" t="s">
        <v>434</v>
      </c>
      <c r="C409" s="91" t="s">
        <v>1062</v>
      </c>
      <c r="D409" s="73" t="s">
        <v>435</v>
      </c>
      <c r="E409" s="92" t="s">
        <v>19</v>
      </c>
      <c r="F409" s="85" t="s">
        <v>1300</v>
      </c>
      <c r="G409" s="85"/>
      <c r="H409" s="85" t="s">
        <v>2199</v>
      </c>
      <c r="I409" s="31">
        <f t="shared" si="20"/>
        <v>28</v>
      </c>
      <c r="J409" s="87" t="s">
        <v>2200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2270</v>
      </c>
      <c r="B410" s="73" t="s">
        <v>1352</v>
      </c>
      <c r="C410" s="73" t="s">
        <v>1062</v>
      </c>
      <c r="D410" s="73" t="s">
        <v>1353</v>
      </c>
      <c r="E410" s="92" t="s">
        <v>19</v>
      </c>
      <c r="F410" s="85" t="s">
        <v>1300</v>
      </c>
      <c r="G410" s="85"/>
      <c r="H410" s="85" t="s">
        <v>1414</v>
      </c>
      <c r="I410" s="142">
        <f t="shared" si="20"/>
        <v>28</v>
      </c>
      <c r="J410" s="147" t="s">
        <v>1994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2270</v>
      </c>
      <c r="B411" s="73" t="s">
        <v>1402</v>
      </c>
      <c r="C411" s="73" t="s">
        <v>1062</v>
      </c>
      <c r="D411" s="73" t="s">
        <v>1403</v>
      </c>
      <c r="E411" s="92" t="s">
        <v>19</v>
      </c>
      <c r="F411" s="85" t="s">
        <v>1300</v>
      </c>
      <c r="G411" s="85"/>
      <c r="H411" s="85" t="s">
        <v>1404</v>
      </c>
      <c r="I411" s="142">
        <f t="shared" si="20"/>
        <v>28</v>
      </c>
      <c r="J411" s="147" t="s">
        <v>1995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2270</v>
      </c>
      <c r="B412" s="73" t="s">
        <v>2266</v>
      </c>
      <c r="C412" s="73" t="s">
        <v>1062</v>
      </c>
      <c r="D412" s="73" t="s">
        <v>2267</v>
      </c>
      <c r="E412" s="92" t="s">
        <v>19</v>
      </c>
      <c r="F412" s="85" t="s">
        <v>1300</v>
      </c>
      <c r="G412" s="85"/>
      <c r="H412" s="85" t="s">
        <v>2268</v>
      </c>
      <c r="I412" s="142">
        <f t="shared" si="20"/>
        <v>28</v>
      </c>
      <c r="J412" s="147" t="s">
        <v>2269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1062</v>
      </c>
      <c r="D413" s="73" t="s">
        <v>446</v>
      </c>
      <c r="E413" s="85" t="s">
        <v>15</v>
      </c>
      <c r="F413" s="85" t="s">
        <v>1300</v>
      </c>
      <c r="G413" s="85"/>
      <c r="H413" s="85" t="s">
        <v>1373</v>
      </c>
      <c r="I413" s="142">
        <f t="shared" si="20"/>
        <v>23</v>
      </c>
      <c r="J413" s="147" t="s">
        <v>1996</v>
      </c>
      <c r="K413" s="142">
        <f t="shared" si="21"/>
        <v>5</v>
      </c>
      <c r="L413" s="143">
        <f t="shared" si="22"/>
        <v>0.8214285714285714</v>
      </c>
      <c r="M413" s="70" t="s">
        <v>2286</v>
      </c>
      <c r="N413" s="70" t="s">
        <v>2286</v>
      </c>
      <c r="O413" s="70" t="s">
        <v>2286</v>
      </c>
      <c r="P413" s="70" t="s">
        <v>2286</v>
      </c>
      <c r="Q413" s="70" t="s">
        <v>2286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1062</v>
      </c>
      <c r="D414" s="73" t="s">
        <v>448</v>
      </c>
      <c r="E414" s="85" t="s">
        <v>19</v>
      </c>
      <c r="F414" s="85" t="s">
        <v>1300</v>
      </c>
      <c r="G414" s="85"/>
      <c r="H414" s="85" t="s">
        <v>1423</v>
      </c>
      <c r="I414" s="142">
        <f t="shared" si="20"/>
        <v>28</v>
      </c>
      <c r="J414" s="147" t="s">
        <v>1997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1062</v>
      </c>
      <c r="D415" s="91" t="s">
        <v>437</v>
      </c>
      <c r="E415" s="92" t="s">
        <v>19</v>
      </c>
      <c r="F415" s="92" t="s">
        <v>20</v>
      </c>
      <c r="G415" s="92"/>
      <c r="H415" s="92" t="s">
        <v>805</v>
      </c>
      <c r="I415" s="31">
        <f t="shared" si="20"/>
        <v>10</v>
      </c>
      <c r="J415" s="87"/>
      <c r="K415" s="31">
        <f t="shared" si="21"/>
        <v>18</v>
      </c>
      <c r="L415" s="32">
        <f t="shared" si="22"/>
        <v>0.35714285714285715</v>
      </c>
      <c r="M415" s="70" t="s">
        <v>2286</v>
      </c>
      <c r="N415" s="70" t="s">
        <v>2286</v>
      </c>
      <c r="O415" s="70" t="s">
        <v>2286</v>
      </c>
      <c r="P415" s="70" t="s">
        <v>2286</v>
      </c>
      <c r="Q415" s="70" t="s">
        <v>2286</v>
      </c>
      <c r="R415" s="70" t="s">
        <v>2286</v>
      </c>
      <c r="S415" s="70" t="s">
        <v>2286</v>
      </c>
      <c r="T415" s="70" t="s">
        <v>2286</v>
      </c>
      <c r="U415" s="70" t="s">
        <v>2286</v>
      </c>
      <c r="V415" s="70" t="s">
        <v>2286</v>
      </c>
      <c r="W415" s="70"/>
      <c r="X415" s="70" t="s">
        <v>2286</v>
      </c>
      <c r="Y415" s="70" t="s">
        <v>2286</v>
      </c>
      <c r="Z415" s="70" t="s">
        <v>2286</v>
      </c>
      <c r="AA415" s="70" t="s">
        <v>2286</v>
      </c>
      <c r="AB415" s="70" t="s">
        <v>2286</v>
      </c>
      <c r="AC415" s="70" t="s">
        <v>2286</v>
      </c>
      <c r="AD415" s="70" t="s">
        <v>2286</v>
      </c>
      <c r="AE415" s="93" t="s">
        <v>2286</v>
      </c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1062</v>
      </c>
      <c r="D416" s="73" t="s">
        <v>440</v>
      </c>
      <c r="E416" s="85" t="s">
        <v>46</v>
      </c>
      <c r="F416" s="85" t="s">
        <v>1300</v>
      </c>
      <c r="G416" s="85"/>
      <c r="H416" s="85" t="s">
        <v>1374</v>
      </c>
      <c r="I416" s="142">
        <f t="shared" si="20"/>
        <v>23</v>
      </c>
      <c r="J416" s="147" t="s">
        <v>1998</v>
      </c>
      <c r="K416" s="142">
        <f t="shared" si="21"/>
        <v>5</v>
      </c>
      <c r="L416" s="143">
        <f t="shared" si="22"/>
        <v>0.8214285714285714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1062</v>
      </c>
      <c r="D417" t="s">
        <v>450</v>
      </c>
      <c r="E417" s="30" t="s">
        <v>15</v>
      </c>
      <c r="F417" s="30" t="s">
        <v>1055</v>
      </c>
      <c r="G417" s="30" t="s">
        <v>1255</v>
      </c>
      <c r="H417" s="30" t="s">
        <v>806</v>
      </c>
      <c r="I417" s="31">
        <f t="shared" si="20"/>
        <v>27</v>
      </c>
      <c r="J417" s="147" t="s">
        <v>1999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2286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1062</v>
      </c>
      <c r="D418" t="s">
        <v>442</v>
      </c>
      <c r="E418" s="30" t="s">
        <v>15</v>
      </c>
      <c r="F418" s="30" t="s">
        <v>28</v>
      </c>
      <c r="G418" s="30"/>
      <c r="H418" s="30" t="s">
        <v>807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1062</v>
      </c>
      <c r="D419" s="73" t="s">
        <v>444</v>
      </c>
      <c r="E419" s="85" t="s">
        <v>15</v>
      </c>
      <c r="F419" s="85" t="s">
        <v>1300</v>
      </c>
      <c r="G419" s="85"/>
      <c r="H419" s="85" t="s">
        <v>808</v>
      </c>
      <c r="I419" s="142">
        <f t="shared" si="20"/>
        <v>26</v>
      </c>
      <c r="J419" s="73" t="s">
        <v>2000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2286</v>
      </c>
      <c r="Y419" s="70" t="s">
        <v>2286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1123</v>
      </c>
      <c r="B420" t="s">
        <v>1124</v>
      </c>
      <c r="C420" t="s">
        <v>1062</v>
      </c>
      <c r="D420" t="s">
        <v>1125</v>
      </c>
      <c r="E420" s="30" t="s">
        <v>1113</v>
      </c>
      <c r="F420" s="30" t="s">
        <v>28</v>
      </c>
      <c r="G420" s="30"/>
      <c r="H420" s="30" t="s">
        <v>1139</v>
      </c>
      <c r="I420" s="31">
        <f t="shared" si="20"/>
        <v>23</v>
      </c>
      <c r="J420" s="147" t="s">
        <v>2001</v>
      </c>
      <c r="K420" s="31">
        <f t="shared" si="21"/>
        <v>5</v>
      </c>
      <c r="L420" s="32">
        <f t="shared" si="22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1123</v>
      </c>
      <c r="B421" t="s">
        <v>1143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1140</v>
      </c>
      <c r="I421" s="31">
        <f t="shared" si="20"/>
        <v>22</v>
      </c>
      <c r="J421" s="147" t="s">
        <v>2002</v>
      </c>
      <c r="K421" s="31">
        <f t="shared" si="21"/>
        <v>6</v>
      </c>
      <c r="L421" s="32">
        <f t="shared" si="22"/>
        <v>0.7857142857142857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1123</v>
      </c>
      <c r="B422" s="73" t="s">
        <v>1559</v>
      </c>
      <c r="C422" s="73" t="s">
        <v>1062</v>
      </c>
      <c r="D422" s="73" t="s">
        <v>1560</v>
      </c>
      <c r="E422" s="85" t="s">
        <v>1113</v>
      </c>
      <c r="F422" s="85" t="s">
        <v>1300</v>
      </c>
      <c r="G422" s="85"/>
      <c r="H422" s="85" t="s">
        <v>1562</v>
      </c>
      <c r="I422" s="31">
        <f t="shared" si="20"/>
        <v>25</v>
      </c>
      <c r="J422" s="147" t="s">
        <v>2003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2286</v>
      </c>
      <c r="Y422" s="70" t="s">
        <v>2286</v>
      </c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1123</v>
      </c>
      <c r="B423" s="73" t="s">
        <v>1558</v>
      </c>
      <c r="C423" s="73" t="s">
        <v>1062</v>
      </c>
      <c r="D423" s="73" t="s">
        <v>1561</v>
      </c>
      <c r="E423" s="85" t="s">
        <v>1113</v>
      </c>
      <c r="F423" s="85" t="s">
        <v>1300</v>
      </c>
      <c r="G423" s="85"/>
      <c r="H423" s="85" t="s">
        <v>1563</v>
      </c>
      <c r="I423" s="31">
        <f t="shared" si="20"/>
        <v>25</v>
      </c>
      <c r="J423" s="147" t="s">
        <v>2004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1123</v>
      </c>
      <c r="B424" s="73" t="s">
        <v>2251</v>
      </c>
      <c r="C424" s="73" t="s">
        <v>1062</v>
      </c>
      <c r="D424" s="73" t="s">
        <v>2252</v>
      </c>
      <c r="E424" s="85" t="s">
        <v>1113</v>
      </c>
      <c r="F424" s="85"/>
      <c r="G424" s="85"/>
      <c r="H424" s="85" t="s">
        <v>2253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1061</v>
      </c>
      <c r="D425" t="s">
        <v>452</v>
      </c>
      <c r="E425" s="30" t="s">
        <v>73</v>
      </c>
      <c r="F425" s="30" t="s">
        <v>28</v>
      </c>
      <c r="G425" s="30"/>
      <c r="H425" s="30" t="s">
        <v>809</v>
      </c>
      <c r="I425" s="31">
        <f t="shared" si="20"/>
        <v>28</v>
      </c>
      <c r="J425" s="147" t="s">
        <v>2005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810</v>
      </c>
      <c r="I426" s="31">
        <f t="shared" si="20"/>
        <v>28</v>
      </c>
      <c r="J426" s="147" t="s">
        <v>2006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1016</v>
      </c>
      <c r="C427" t="s">
        <v>1061</v>
      </c>
      <c r="D427" t="s">
        <v>454</v>
      </c>
      <c r="E427" s="30" t="s">
        <v>73</v>
      </c>
      <c r="F427" s="30" t="s">
        <v>28</v>
      </c>
      <c r="G427" s="30"/>
      <c r="H427" s="30" t="s">
        <v>811</v>
      </c>
      <c r="I427" s="31">
        <f t="shared" si="20"/>
        <v>28</v>
      </c>
      <c r="J427" s="147" t="s">
        <v>2007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1017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812</v>
      </c>
      <c r="I428" s="31">
        <f t="shared" si="20"/>
        <v>28</v>
      </c>
      <c r="J428" s="147" t="s">
        <v>2008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1062</v>
      </c>
      <c r="D429" t="s">
        <v>1024</v>
      </c>
      <c r="E429" s="30" t="s">
        <v>19</v>
      </c>
      <c r="F429" s="30" t="s">
        <v>1055</v>
      </c>
      <c r="G429" s="30"/>
      <c r="H429" s="30" t="s">
        <v>1410</v>
      </c>
      <c r="I429" s="31">
        <f t="shared" si="20"/>
        <v>16</v>
      </c>
      <c r="J429" s="147" t="s">
        <v>2009</v>
      </c>
      <c r="K429" s="31">
        <f t="shared" si="21"/>
        <v>12</v>
      </c>
      <c r="L429" s="32">
        <f t="shared" si="22"/>
        <v>0.5714285714285714</v>
      </c>
      <c r="M429" s="70" t="s">
        <v>2286</v>
      </c>
      <c r="N429" s="70" t="s">
        <v>2286</v>
      </c>
      <c r="O429" s="70" t="s">
        <v>2286</v>
      </c>
      <c r="P429" s="70" t="s">
        <v>2286</v>
      </c>
      <c r="Q429" s="70" t="s">
        <v>2286</v>
      </c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 t="s">
        <v>2286</v>
      </c>
      <c r="AA429" s="70"/>
      <c r="AB429" s="70" t="s">
        <v>2286</v>
      </c>
      <c r="AC429" s="70" t="s">
        <v>2286</v>
      </c>
      <c r="AD429" s="70" t="s">
        <v>2286</v>
      </c>
      <c r="AE429" s="70" t="s">
        <v>2286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1062</v>
      </c>
      <c r="D430" t="s">
        <v>1320</v>
      </c>
      <c r="E430" s="30" t="s">
        <v>19</v>
      </c>
      <c r="F430" s="30" t="s">
        <v>1055</v>
      </c>
      <c r="G430" s="30"/>
      <c r="H430" s="30" t="s">
        <v>1411</v>
      </c>
      <c r="I430" s="31">
        <f t="shared" si="20"/>
        <v>16</v>
      </c>
      <c r="J430" s="147" t="s">
        <v>2010</v>
      </c>
      <c r="K430" s="31">
        <f t="shared" si="21"/>
        <v>12</v>
      </c>
      <c r="L430" s="32">
        <f t="shared" si="22"/>
        <v>0.5714285714285714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1062</v>
      </c>
      <c r="D431" s="73" t="s">
        <v>467</v>
      </c>
      <c r="E431" s="85" t="s">
        <v>19</v>
      </c>
      <c r="F431" s="85" t="s">
        <v>1300</v>
      </c>
      <c r="G431" s="85"/>
      <c r="H431" s="85" t="s">
        <v>1422</v>
      </c>
      <c r="I431" s="142">
        <f t="shared" si="20"/>
        <v>28</v>
      </c>
      <c r="J431" s="147" t="s">
        <v>2011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1018</v>
      </c>
      <c r="C432" s="73" t="s">
        <v>1062</v>
      </c>
      <c r="D432" s="73" t="s">
        <v>468</v>
      </c>
      <c r="E432" s="85" t="s">
        <v>19</v>
      </c>
      <c r="F432" s="85" t="s">
        <v>1300</v>
      </c>
      <c r="G432" s="85"/>
      <c r="H432" s="85" t="s">
        <v>1327</v>
      </c>
      <c r="I432" s="142">
        <f t="shared" si="20"/>
        <v>28</v>
      </c>
      <c r="J432" s="147" t="s">
        <v>2012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1025</v>
      </c>
      <c r="C433" t="s">
        <v>1062</v>
      </c>
      <c r="D433" t="s">
        <v>456</v>
      </c>
      <c r="E433" s="30" t="s">
        <v>15</v>
      </c>
      <c r="F433" s="30" t="s">
        <v>20</v>
      </c>
      <c r="G433" s="30"/>
      <c r="H433" s="30" t="s">
        <v>815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1026</v>
      </c>
      <c r="C434" t="s">
        <v>1062</v>
      </c>
      <c r="D434" t="s">
        <v>457</v>
      </c>
      <c r="E434" s="30" t="s">
        <v>19</v>
      </c>
      <c r="F434" s="30" t="s">
        <v>28</v>
      </c>
      <c r="G434" s="30"/>
      <c r="H434" s="30" t="s">
        <v>816</v>
      </c>
      <c r="I434" s="31">
        <f t="shared" si="20"/>
        <v>20</v>
      </c>
      <c r="J434" s="147" t="s">
        <v>2013</v>
      </c>
      <c r="K434" s="31">
        <f t="shared" si="21"/>
        <v>8</v>
      </c>
      <c r="L434" s="32">
        <f t="shared" si="22"/>
        <v>0.7142857142857143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 t="s">
        <v>2286</v>
      </c>
      <c r="S434" s="70" t="s">
        <v>2286</v>
      </c>
      <c r="T434" s="70" t="s">
        <v>2286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1027</v>
      </c>
      <c r="C435" t="s">
        <v>1062</v>
      </c>
      <c r="D435" t="s">
        <v>458</v>
      </c>
      <c r="E435" s="30" t="s">
        <v>19</v>
      </c>
      <c r="F435" s="30" t="s">
        <v>28</v>
      </c>
      <c r="G435" s="30"/>
      <c r="H435" s="30" t="s">
        <v>817</v>
      </c>
      <c r="I435" s="31">
        <f t="shared" si="20"/>
        <v>28</v>
      </c>
      <c r="J435" s="147" t="s">
        <v>2014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1062</v>
      </c>
      <c r="D436" t="s">
        <v>460</v>
      </c>
      <c r="E436" s="30" t="s">
        <v>19</v>
      </c>
      <c r="F436" s="30" t="s">
        <v>28</v>
      </c>
      <c r="G436" s="30"/>
      <c r="H436" s="30" t="s">
        <v>818</v>
      </c>
      <c r="I436" s="31">
        <f t="shared" si="20"/>
        <v>10</v>
      </c>
      <c r="J436" s="147" t="s">
        <v>2015</v>
      </c>
      <c r="K436" s="31">
        <f t="shared" si="21"/>
        <v>18</v>
      </c>
      <c r="L436" s="32">
        <f t="shared" si="22"/>
        <v>0.35714285714285715</v>
      </c>
      <c r="M436" s="70" t="s">
        <v>2286</v>
      </c>
      <c r="N436" s="70" t="s">
        <v>2286</v>
      </c>
      <c r="O436" s="70" t="s">
        <v>2286</v>
      </c>
      <c r="P436" s="70" t="s">
        <v>2286</v>
      </c>
      <c r="Q436" s="70" t="s">
        <v>2286</v>
      </c>
      <c r="R436" s="70" t="s">
        <v>2286</v>
      </c>
      <c r="S436" s="70" t="s">
        <v>2286</v>
      </c>
      <c r="T436" s="70" t="s">
        <v>2286</v>
      </c>
      <c r="U436" s="70" t="s">
        <v>2286</v>
      </c>
      <c r="V436" s="70" t="s">
        <v>2286</v>
      </c>
      <c r="W436" s="70"/>
      <c r="X436" s="70" t="s">
        <v>2286</v>
      </c>
      <c r="Y436" s="70" t="s">
        <v>2286</v>
      </c>
      <c r="Z436" s="70" t="s">
        <v>2286</v>
      </c>
      <c r="AA436" s="70" t="s">
        <v>2286</v>
      </c>
      <c r="AB436" s="70" t="s">
        <v>2286</v>
      </c>
      <c r="AC436" s="70" t="s">
        <v>2286</v>
      </c>
      <c r="AD436" s="70" t="s">
        <v>2286</v>
      </c>
      <c r="AE436" s="70" t="s">
        <v>2286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1028</v>
      </c>
      <c r="C437" t="s">
        <v>1062</v>
      </c>
      <c r="D437" t="s">
        <v>461</v>
      </c>
      <c r="E437" s="30" t="s">
        <v>15</v>
      </c>
      <c r="F437" s="30" t="s">
        <v>20</v>
      </c>
      <c r="G437" s="30"/>
      <c r="H437" s="30" t="s">
        <v>800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1029</v>
      </c>
      <c r="C438" t="s">
        <v>1062</v>
      </c>
      <c r="D438" t="s">
        <v>462</v>
      </c>
      <c r="E438" s="30" t="s">
        <v>15</v>
      </c>
      <c r="F438" s="30" t="s">
        <v>20</v>
      </c>
      <c r="G438" s="30"/>
      <c r="H438" s="30" t="s">
        <v>819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1019</v>
      </c>
      <c r="C439" t="s">
        <v>1062</v>
      </c>
      <c r="D439" t="s">
        <v>469</v>
      </c>
      <c r="E439" s="30" t="s">
        <v>15</v>
      </c>
      <c r="F439" s="30" t="s">
        <v>20</v>
      </c>
      <c r="G439" s="30"/>
      <c r="H439" s="30" t="s">
        <v>813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1062</v>
      </c>
      <c r="D440" t="s">
        <v>471</v>
      </c>
      <c r="E440" s="30" t="s">
        <v>15</v>
      </c>
      <c r="F440" s="30" t="s">
        <v>20</v>
      </c>
      <c r="G440" s="30"/>
      <c r="H440" s="30" t="s">
        <v>814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1020</v>
      </c>
      <c r="C441" t="s">
        <v>1062</v>
      </c>
      <c r="D441" t="s">
        <v>472</v>
      </c>
      <c r="E441" s="30" t="s">
        <v>73</v>
      </c>
      <c r="F441" s="30" t="s">
        <v>1055</v>
      </c>
      <c r="G441" s="30"/>
      <c r="H441" s="30" t="s">
        <v>1412</v>
      </c>
      <c r="I441" s="31">
        <f t="shared" si="20"/>
        <v>13</v>
      </c>
      <c r="J441" s="147" t="s">
        <v>2016</v>
      </c>
      <c r="K441" s="31">
        <f t="shared" si="21"/>
        <v>15</v>
      </c>
      <c r="L441" s="32">
        <f t="shared" si="22"/>
        <v>0.4642857142857143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/>
      <c r="U441" s="70"/>
      <c r="V441" s="70"/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1021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1413</v>
      </c>
      <c r="I442" s="31">
        <f t="shared" si="20"/>
        <v>10</v>
      </c>
      <c r="J442" s="147" t="s">
        <v>2017</v>
      </c>
      <c r="K442" s="31">
        <f t="shared" si="21"/>
        <v>18</v>
      </c>
      <c r="L442" s="32">
        <f t="shared" si="22"/>
        <v>0.35714285714285715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 t="s">
        <v>2286</v>
      </c>
      <c r="U442" s="70" t="s">
        <v>2286</v>
      </c>
      <c r="V442" s="70" t="s">
        <v>2286</v>
      </c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1062</v>
      </c>
      <c r="D443" s="73" t="s">
        <v>474</v>
      </c>
      <c r="E443" s="85" t="s">
        <v>15</v>
      </c>
      <c r="F443" s="85" t="s">
        <v>1300</v>
      </c>
      <c r="G443" s="85"/>
      <c r="H443" s="85" t="s">
        <v>820</v>
      </c>
      <c r="I443" s="142">
        <f t="shared" si="20"/>
        <v>27</v>
      </c>
      <c r="J443" s="147" t="s">
        <v>2018</v>
      </c>
      <c r="K443" s="142">
        <f t="shared" si="21"/>
        <v>1</v>
      </c>
      <c r="L443" s="143">
        <f t="shared" si="22"/>
        <v>0.9642857142857143</v>
      </c>
      <c r="M443" s="70" t="s">
        <v>2286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1030</v>
      </c>
      <c r="C444" s="73" t="s">
        <v>1062</v>
      </c>
      <c r="D444" s="73" t="s">
        <v>463</v>
      </c>
      <c r="E444" s="85" t="s">
        <v>73</v>
      </c>
      <c r="F444" s="85" t="s">
        <v>1300</v>
      </c>
      <c r="G444" s="85"/>
      <c r="H444" s="85" t="s">
        <v>821</v>
      </c>
      <c r="I444" s="142">
        <f t="shared" si="20"/>
        <v>28</v>
      </c>
      <c r="J444" s="147" t="s">
        <v>2019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1031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822</v>
      </c>
      <c r="I445" s="142">
        <f t="shared" si="20"/>
        <v>28</v>
      </c>
      <c r="J445" s="147" t="s">
        <v>2020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1022</v>
      </c>
      <c r="C446" t="s">
        <v>1062</v>
      </c>
      <c r="D446" t="s">
        <v>475</v>
      </c>
      <c r="E446" s="30" t="s">
        <v>73</v>
      </c>
      <c r="F446" s="30" t="s">
        <v>28</v>
      </c>
      <c r="G446" s="30"/>
      <c r="H446" s="30" t="s">
        <v>823</v>
      </c>
      <c r="I446" s="31">
        <f t="shared" si="20"/>
        <v>15</v>
      </c>
      <c r="J446" s="147" t="s">
        <v>2021</v>
      </c>
      <c r="K446" s="31">
        <f t="shared" si="21"/>
        <v>13</v>
      </c>
      <c r="L446" s="32">
        <f t="shared" si="22"/>
        <v>0.5357142857142857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/>
      <c r="S446" s="70"/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1023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824</v>
      </c>
      <c r="I447" s="31">
        <f t="shared" si="20"/>
        <v>15</v>
      </c>
      <c r="J447" s="147" t="s">
        <v>2022</v>
      </c>
      <c r="K447" s="31">
        <f t="shared" si="21"/>
        <v>13</v>
      </c>
      <c r="L447" s="32">
        <f t="shared" si="22"/>
        <v>0.5357142857142857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1287</v>
      </c>
      <c r="C448" t="s">
        <v>1062</v>
      </c>
      <c r="D448" s="68" t="s">
        <v>1286</v>
      </c>
      <c r="E448" s="30" t="s">
        <v>73</v>
      </c>
      <c r="F448" s="30" t="s">
        <v>28</v>
      </c>
      <c r="G448" s="30"/>
      <c r="H448" s="30" t="s">
        <v>1288</v>
      </c>
      <c r="I448" s="31">
        <f t="shared" si="20"/>
        <v>20</v>
      </c>
      <c r="J448" s="147" t="s">
        <v>2023</v>
      </c>
      <c r="K448" s="31">
        <f t="shared" si="21"/>
        <v>8</v>
      </c>
      <c r="L448" s="32">
        <f t="shared" si="22"/>
        <v>0.7142857142857143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 t="s">
        <v>2286</v>
      </c>
      <c r="S448" s="70" t="s">
        <v>2286</v>
      </c>
      <c r="T448" s="70" t="s">
        <v>2286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1285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1289</v>
      </c>
      <c r="I449" s="31">
        <f t="shared" si="20"/>
        <v>28</v>
      </c>
      <c r="J449" s="147" t="s">
        <v>2024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1603</v>
      </c>
      <c r="B450" s="73" t="s">
        <v>1604</v>
      </c>
      <c r="C450" s="73" t="s">
        <v>1062</v>
      </c>
      <c r="D450" s="146" t="s">
        <v>1605</v>
      </c>
      <c r="E450" s="85" t="s">
        <v>15</v>
      </c>
      <c r="F450" s="85" t="s">
        <v>1300</v>
      </c>
      <c r="G450" s="85"/>
      <c r="H450" s="85" t="s">
        <v>1606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1603</v>
      </c>
      <c r="B451" s="73" t="s">
        <v>1615</v>
      </c>
      <c r="C451" s="73" t="s">
        <v>1062</v>
      </c>
      <c r="D451" s="146" t="s">
        <v>1616</v>
      </c>
      <c r="E451" s="85" t="s">
        <v>19</v>
      </c>
      <c r="F451" s="85" t="s">
        <v>1300</v>
      </c>
      <c r="G451" s="85"/>
      <c r="H451" s="85" t="s">
        <v>1617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2286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1609</v>
      </c>
      <c r="B452" s="73" t="s">
        <v>1608</v>
      </c>
      <c r="C452" s="73" t="s">
        <v>1062</v>
      </c>
      <c r="D452" s="146" t="s">
        <v>1610</v>
      </c>
      <c r="E452" s="85" t="s">
        <v>73</v>
      </c>
      <c r="F452" s="85" t="s">
        <v>1300</v>
      </c>
      <c r="G452" s="85"/>
      <c r="H452" s="85" t="s">
        <v>1611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1603</v>
      </c>
      <c r="B453" s="73" t="s">
        <v>1660</v>
      </c>
      <c r="C453" s="73" t="s">
        <v>1062</v>
      </c>
      <c r="D453" s="146" t="s">
        <v>1658</v>
      </c>
      <c r="E453" s="85" t="s">
        <v>73</v>
      </c>
      <c r="F453" s="85" t="s">
        <v>1300</v>
      </c>
      <c r="G453" s="85"/>
      <c r="H453" s="85" t="s">
        <v>1662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1603</v>
      </c>
      <c r="B454" s="73" t="s">
        <v>1661</v>
      </c>
      <c r="C454" s="73" t="s">
        <v>1062</v>
      </c>
      <c r="D454" s="146" t="s">
        <v>1659</v>
      </c>
      <c r="E454" s="85" t="s">
        <v>73</v>
      </c>
      <c r="F454" s="85" t="s">
        <v>1300</v>
      </c>
      <c r="G454" s="85"/>
      <c r="H454" s="85" t="s">
        <v>1663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1603</v>
      </c>
      <c r="B455" s="73" t="s">
        <v>2172</v>
      </c>
      <c r="C455" s="73" t="s">
        <v>1062</v>
      </c>
      <c r="D455" s="146" t="s">
        <v>2173</v>
      </c>
      <c r="E455" s="85"/>
      <c r="F455" s="85" t="s">
        <v>1300</v>
      </c>
      <c r="G455" s="85"/>
      <c r="H455" s="85" t="s">
        <v>2174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1062</v>
      </c>
      <c r="D456" s="73" t="s">
        <v>477</v>
      </c>
      <c r="E456" s="85" t="s">
        <v>73</v>
      </c>
      <c r="F456" s="85" t="s">
        <v>1300</v>
      </c>
      <c r="G456" s="85"/>
      <c r="H456" s="85" t="s">
        <v>825</v>
      </c>
      <c r="I456" s="142">
        <f t="shared" si="20"/>
        <v>10</v>
      </c>
      <c r="J456" s="147" t="s">
        <v>2025</v>
      </c>
      <c r="K456" s="142">
        <f t="shared" si="21"/>
        <v>18</v>
      </c>
      <c r="L456" s="143">
        <f t="shared" si="22"/>
        <v>0.35714285714285715</v>
      </c>
      <c r="M456" s="70" t="s">
        <v>2286</v>
      </c>
      <c r="N456" s="70" t="s">
        <v>2286</v>
      </c>
      <c r="O456" s="70" t="s">
        <v>2286</v>
      </c>
      <c r="P456" s="70" t="s">
        <v>2286</v>
      </c>
      <c r="Q456" s="70" t="s">
        <v>2286</v>
      </c>
      <c r="R456" s="70" t="s">
        <v>2286</v>
      </c>
      <c r="S456" s="70" t="s">
        <v>2286</v>
      </c>
      <c r="T456" s="70" t="s">
        <v>2286</v>
      </c>
      <c r="U456" s="70" t="s">
        <v>2286</v>
      </c>
      <c r="V456" s="70" t="s">
        <v>2286</v>
      </c>
      <c r="W456" s="70"/>
      <c r="X456" s="70" t="s">
        <v>2286</v>
      </c>
      <c r="Y456" s="70" t="s">
        <v>2286</v>
      </c>
      <c r="Z456" s="70" t="s">
        <v>2286</v>
      </c>
      <c r="AA456" s="70" t="s">
        <v>2286</v>
      </c>
      <c r="AB456" s="70" t="s">
        <v>2286</v>
      </c>
      <c r="AC456" s="70" t="s">
        <v>2286</v>
      </c>
      <c r="AD456" s="70" t="s">
        <v>2286</v>
      </c>
      <c r="AE456" s="70" t="s">
        <v>2286</v>
      </c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826</v>
      </c>
      <c r="I457" s="142">
        <f t="shared" si="20"/>
        <v>10</v>
      </c>
      <c r="J457" s="147" t="s">
        <v>2026</v>
      </c>
      <c r="K457" s="142">
        <f t="shared" si="21"/>
        <v>18</v>
      </c>
      <c r="L457" s="143">
        <f t="shared" si="22"/>
        <v>0.35714285714285715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1104</v>
      </c>
      <c r="C458" s="85" t="s">
        <v>1062</v>
      </c>
      <c r="D458" s="73" t="s">
        <v>1103</v>
      </c>
      <c r="E458" s="85" t="s">
        <v>15</v>
      </c>
      <c r="F458" s="85" t="s">
        <v>1300</v>
      </c>
      <c r="G458" s="85"/>
      <c r="H458" s="85" t="s">
        <v>1105</v>
      </c>
      <c r="I458" s="142">
        <f t="shared" si="20"/>
        <v>10</v>
      </c>
      <c r="J458" s="87"/>
      <c r="K458" s="142">
        <f t="shared" si="21"/>
        <v>18</v>
      </c>
      <c r="L458" s="143">
        <f t="shared" si="22"/>
        <v>0.35714285714285715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2141</v>
      </c>
      <c r="C459" t="s">
        <v>1061</v>
      </c>
      <c r="D459" s="73" t="s">
        <v>2142</v>
      </c>
      <c r="E459" s="85" t="s">
        <v>15</v>
      </c>
      <c r="F459" s="85" t="s">
        <v>1300</v>
      </c>
      <c r="G459" s="85"/>
      <c r="H459" s="85" t="s">
        <v>2143</v>
      </c>
      <c r="I459" s="142">
        <f t="shared" si="20"/>
        <v>18</v>
      </c>
      <c r="J459" s="153" t="s">
        <v>2144</v>
      </c>
      <c r="K459" s="142">
        <f t="shared" si="21"/>
        <v>10</v>
      </c>
      <c r="L459" s="143">
        <f t="shared" si="22"/>
        <v>0.6428571428571429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2285</v>
      </c>
      <c r="C460" t="s">
        <v>1061</v>
      </c>
      <c r="D460" s="73" t="s">
        <v>1542</v>
      </c>
      <c r="E460" s="85"/>
      <c r="F460" s="85"/>
      <c r="G460" s="85"/>
      <c r="H460" s="85"/>
      <c r="I460" s="142">
        <f t="shared" si="20"/>
        <v>10</v>
      </c>
      <c r="J460" s="153"/>
      <c r="K460" s="142">
        <f t="shared" si="21"/>
        <v>18</v>
      </c>
      <c r="L460" s="143">
        <f t="shared" si="22"/>
        <v>0.35714285714285715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1032</v>
      </c>
      <c r="C461" t="s">
        <v>1061</v>
      </c>
      <c r="D461" t="s">
        <v>496</v>
      </c>
      <c r="E461" s="30" t="s">
        <v>19</v>
      </c>
      <c r="F461" s="30" t="s">
        <v>1055</v>
      </c>
      <c r="G461" s="30" t="s">
        <v>1256</v>
      </c>
      <c r="H461" s="30" t="s">
        <v>835</v>
      </c>
      <c r="I461" s="31">
        <f t="shared" si="20"/>
        <v>22</v>
      </c>
      <c r="J461" s="147" t="s">
        <v>2027</v>
      </c>
      <c r="K461" s="31">
        <f t="shared" si="21"/>
        <v>6</v>
      </c>
      <c r="L461" s="32">
        <f t="shared" si="22"/>
        <v>0.7857142857142857</v>
      </c>
      <c r="M461" s="70"/>
      <c r="N461" s="70"/>
      <c r="O461" s="70"/>
      <c r="P461" s="70"/>
      <c r="Q461" s="70"/>
      <c r="R461" s="70" t="s">
        <v>2286</v>
      </c>
      <c r="S461" s="70" t="s">
        <v>2286</v>
      </c>
      <c r="T461" s="70" t="s">
        <v>2286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2286</v>
      </c>
      <c r="AD461" s="70" t="s">
        <v>2286</v>
      </c>
      <c r="AE461" s="70" t="s">
        <v>2286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1061</v>
      </c>
      <c r="D462" t="s">
        <v>1613</v>
      </c>
      <c r="E462" s="30" t="s">
        <v>19</v>
      </c>
      <c r="F462" s="30" t="s">
        <v>1055</v>
      </c>
      <c r="G462" s="30" t="s">
        <v>1256</v>
      </c>
      <c r="H462" s="30" t="s">
        <v>827</v>
      </c>
      <c r="I462" s="31">
        <f t="shared" si="20"/>
        <v>20</v>
      </c>
      <c r="J462" s="147" t="s">
        <v>2028</v>
      </c>
      <c r="K462" s="31">
        <f t="shared" si="21"/>
        <v>8</v>
      </c>
      <c r="L462" s="32">
        <f t="shared" si="22"/>
        <v>0.7142857142857143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1061</v>
      </c>
      <c r="D463" t="s">
        <v>482</v>
      </c>
      <c r="E463" s="30" t="s">
        <v>19</v>
      </c>
      <c r="F463" s="30" t="s">
        <v>28</v>
      </c>
      <c r="G463" s="30"/>
      <c r="H463" s="30" t="s">
        <v>828</v>
      </c>
      <c r="I463" s="31">
        <f t="shared" ref="I463:I535" si="23">COUNTIF(M463:AN463,"")</f>
        <v>28</v>
      </c>
      <c r="J463" s="147" t="s">
        <v>2029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1061</v>
      </c>
      <c r="D464" t="s">
        <v>485</v>
      </c>
      <c r="E464" s="30" t="s">
        <v>19</v>
      </c>
      <c r="F464" s="30" t="s">
        <v>28</v>
      </c>
      <c r="G464" s="30"/>
      <c r="H464" s="30" t="s">
        <v>829</v>
      </c>
      <c r="I464" s="31">
        <f t="shared" si="23"/>
        <v>28</v>
      </c>
      <c r="J464" s="147" t="s">
        <v>2030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1061</v>
      </c>
      <c r="D465" t="s">
        <v>487</v>
      </c>
      <c r="E465" s="30" t="s">
        <v>15</v>
      </c>
      <c r="F465" s="30" t="s">
        <v>28</v>
      </c>
      <c r="G465" s="30"/>
      <c r="H465" s="30" t="s">
        <v>830</v>
      </c>
      <c r="I465" s="31">
        <f t="shared" si="23"/>
        <v>28</v>
      </c>
      <c r="J465" s="147" t="s">
        <v>2031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1061</v>
      </c>
      <c r="D466" t="s">
        <v>489</v>
      </c>
      <c r="E466" s="30" t="s">
        <v>19</v>
      </c>
      <c r="F466" s="30" t="s">
        <v>28</v>
      </c>
      <c r="G466" s="30"/>
      <c r="H466" s="30" t="s">
        <v>831</v>
      </c>
      <c r="I466" s="31">
        <f t="shared" si="23"/>
        <v>28</v>
      </c>
      <c r="J466" s="147" t="s">
        <v>2032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1061</v>
      </c>
      <c r="D467" s="73" t="s">
        <v>491</v>
      </c>
      <c r="E467" s="85" t="s">
        <v>15</v>
      </c>
      <c r="F467" s="85" t="s">
        <v>1300</v>
      </c>
      <c r="G467" s="85"/>
      <c r="H467" s="85" t="s">
        <v>832</v>
      </c>
      <c r="I467" s="142">
        <f t="shared" si="23"/>
        <v>28</v>
      </c>
      <c r="J467" s="147" t="s">
        <v>2033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1061</v>
      </c>
      <c r="D468" s="73" t="s">
        <v>493</v>
      </c>
      <c r="E468" s="85" t="s">
        <v>19</v>
      </c>
      <c r="F468" s="85" t="s">
        <v>1300</v>
      </c>
      <c r="G468" s="85"/>
      <c r="H468" s="85" t="s">
        <v>833</v>
      </c>
      <c r="I468" s="31">
        <f t="shared" si="23"/>
        <v>28</v>
      </c>
      <c r="J468" s="147" t="s">
        <v>2034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1061</v>
      </c>
      <c r="D469" t="s">
        <v>495</v>
      </c>
      <c r="E469" s="30" t="s">
        <v>19</v>
      </c>
      <c r="F469" s="30" t="s">
        <v>1055</v>
      </c>
      <c r="G469" s="30" t="s">
        <v>1257</v>
      </c>
      <c r="H469" s="30" t="s">
        <v>834</v>
      </c>
      <c r="I469" s="31">
        <f t="shared" si="23"/>
        <v>28</v>
      </c>
      <c r="J469" s="147" t="s">
        <v>2035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1187</v>
      </c>
      <c r="C470" s="73" t="s">
        <v>1061</v>
      </c>
      <c r="D470" s="73" t="s">
        <v>1188</v>
      </c>
      <c r="E470" s="85" t="s">
        <v>1113</v>
      </c>
      <c r="F470" s="85" t="s">
        <v>1300</v>
      </c>
      <c r="G470" s="85"/>
      <c r="H470" s="85" t="s">
        <v>1189</v>
      </c>
      <c r="I470" s="142">
        <f t="shared" si="23"/>
        <v>28</v>
      </c>
      <c r="J470" s="147" t="s">
        <v>2036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1190</v>
      </c>
      <c r="C471" s="73" t="s">
        <v>1061</v>
      </c>
      <c r="D471" s="73" t="s">
        <v>1188</v>
      </c>
      <c r="E471" s="85" t="s">
        <v>1113</v>
      </c>
      <c r="F471" s="85" t="s">
        <v>28</v>
      </c>
      <c r="G471" s="85"/>
      <c r="H471" s="85" t="s">
        <v>1191</v>
      </c>
      <c r="I471" s="87">
        <f t="shared" si="23"/>
        <v>28</v>
      </c>
      <c r="J471" s="147" t="s">
        <v>2037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1220</v>
      </c>
      <c r="C472" t="s">
        <v>1061</v>
      </c>
      <c r="D472" t="s">
        <v>1236</v>
      </c>
      <c r="E472" t="s">
        <v>73</v>
      </c>
      <c r="F472" t="s">
        <v>28</v>
      </c>
      <c r="G472"/>
      <c r="H472" s="30" t="s">
        <v>1281</v>
      </c>
      <c r="I472" s="31">
        <f t="shared" si="23"/>
        <v>28</v>
      </c>
      <c r="J472" s="147" t="s">
        <v>2038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1221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1282</v>
      </c>
      <c r="I473" s="31">
        <f t="shared" si="23"/>
        <v>28</v>
      </c>
      <c r="J473" s="147" t="s">
        <v>2039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1339</v>
      </c>
      <c r="C474" t="s">
        <v>1061</v>
      </c>
      <c r="D474" s="68" t="s">
        <v>1340</v>
      </c>
      <c r="E474" t="s">
        <v>73</v>
      </c>
      <c r="F474"/>
      <c r="G474"/>
      <c r="H474" s="30" t="s">
        <v>1329</v>
      </c>
      <c r="I474" s="31">
        <f t="shared" si="23"/>
        <v>28</v>
      </c>
      <c r="J474" s="147" t="s">
        <v>2040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1351</v>
      </c>
      <c r="C475" s="73" t="s">
        <v>1061</v>
      </c>
      <c r="D475" s="146" t="s">
        <v>1358</v>
      </c>
      <c r="E475" s="73" t="s">
        <v>15</v>
      </c>
      <c r="F475" s="73" t="s">
        <v>1300</v>
      </c>
      <c r="H475" s="85" t="s">
        <v>1421</v>
      </c>
      <c r="I475" s="87">
        <f t="shared" si="23"/>
        <v>28</v>
      </c>
      <c r="J475" s="147" t="s">
        <v>2041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1607</v>
      </c>
      <c r="C476" s="73" t="s">
        <v>1061</v>
      </c>
      <c r="D476" s="146" t="s">
        <v>1612</v>
      </c>
      <c r="E476" s="73" t="s">
        <v>15</v>
      </c>
      <c r="F476" s="73" t="s">
        <v>1300</v>
      </c>
      <c r="H476" s="85" t="s">
        <v>1614</v>
      </c>
      <c r="I476" s="87">
        <f t="shared" si="23"/>
        <v>28</v>
      </c>
      <c r="J476" s="87" t="s">
        <v>2164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1625</v>
      </c>
      <c r="C477" s="73" t="s">
        <v>1061</v>
      </c>
      <c r="D477" s="146" t="s">
        <v>1618</v>
      </c>
      <c r="E477" s="73" t="s">
        <v>19</v>
      </c>
      <c r="F477" s="73" t="s">
        <v>1300</v>
      </c>
      <c r="H477" s="85" t="s">
        <v>1626</v>
      </c>
      <c r="I477" s="87">
        <f t="shared" si="23"/>
        <v>28</v>
      </c>
      <c r="J477" s="87" t="s">
        <v>2165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1620</v>
      </c>
      <c r="C478" s="73" t="s">
        <v>1061</v>
      </c>
      <c r="D478" s="146" t="s">
        <v>1619</v>
      </c>
      <c r="E478" s="73" t="s">
        <v>1113</v>
      </c>
      <c r="F478" s="73" t="s">
        <v>1300</v>
      </c>
      <c r="H478" s="85" t="s">
        <v>1624</v>
      </c>
      <c r="I478" s="87">
        <f t="shared" si="23"/>
        <v>28</v>
      </c>
      <c r="J478" s="87" t="s">
        <v>2166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1621</v>
      </c>
      <c r="C479" s="73" t="s">
        <v>1061</v>
      </c>
      <c r="D479" s="146" t="s">
        <v>1622</v>
      </c>
      <c r="E479" s="73" t="s">
        <v>1113</v>
      </c>
      <c r="F479" s="73" t="s">
        <v>1300</v>
      </c>
      <c r="H479" s="85" t="s">
        <v>1623</v>
      </c>
      <c r="I479" s="87">
        <f t="shared" si="23"/>
        <v>28</v>
      </c>
      <c r="J479" s="87" t="s">
        <v>2167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1062</v>
      </c>
      <c r="D480" s="73" t="s">
        <v>498</v>
      </c>
      <c r="E480" s="85" t="s">
        <v>19</v>
      </c>
      <c r="F480" s="85" t="s">
        <v>1300</v>
      </c>
      <c r="G480" s="85"/>
      <c r="H480" s="85" t="s">
        <v>836</v>
      </c>
      <c r="I480" s="142">
        <f t="shared" si="23"/>
        <v>28</v>
      </c>
      <c r="J480" s="147" t="s">
        <v>2042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1062</v>
      </c>
      <c r="D481" t="s">
        <v>500</v>
      </c>
      <c r="E481" s="30" t="s">
        <v>15</v>
      </c>
      <c r="F481" s="30" t="s">
        <v>20</v>
      </c>
      <c r="G481" s="30"/>
      <c r="H481" s="30" t="s">
        <v>837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2286</v>
      </c>
      <c r="S481" s="70" t="s">
        <v>2286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1062</v>
      </c>
      <c r="D482" t="s">
        <v>502</v>
      </c>
      <c r="E482" s="30" t="s">
        <v>73</v>
      </c>
      <c r="F482" s="30" t="s">
        <v>20</v>
      </c>
      <c r="G482" s="30"/>
      <c r="H482" s="30" t="s">
        <v>838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2286</v>
      </c>
      <c r="S482" s="70" t="s">
        <v>2286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1062</v>
      </c>
      <c r="D483" t="s">
        <v>502</v>
      </c>
      <c r="E483" s="30" t="s">
        <v>73</v>
      </c>
      <c r="F483" s="30" t="s">
        <v>20</v>
      </c>
      <c r="G483" s="30"/>
      <c r="H483" s="30" t="s">
        <v>839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 t="s">
        <v>2286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1062</v>
      </c>
      <c r="D484" t="s">
        <v>505</v>
      </c>
      <c r="E484" s="30" t="s">
        <v>73</v>
      </c>
      <c r="F484" s="30" t="s">
        <v>20</v>
      </c>
      <c r="G484" s="30"/>
      <c r="H484" s="30" t="s">
        <v>840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1062</v>
      </c>
      <c r="D485" t="s">
        <v>505</v>
      </c>
      <c r="E485" s="30" t="s">
        <v>73</v>
      </c>
      <c r="F485" s="30" t="s">
        <v>20</v>
      </c>
      <c r="G485" s="30"/>
      <c r="H485" s="30" t="s">
        <v>841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2286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1062</v>
      </c>
      <c r="D486" t="s">
        <v>508</v>
      </c>
      <c r="E486" s="30" t="s">
        <v>15</v>
      </c>
      <c r="F486" s="30" t="s">
        <v>28</v>
      </c>
      <c r="G486" s="30"/>
      <c r="H486" s="30" t="s">
        <v>842</v>
      </c>
      <c r="I486" s="31">
        <f t="shared" si="23"/>
        <v>28</v>
      </c>
      <c r="J486" s="147" t="s">
        <v>2043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1033</v>
      </c>
      <c r="C487" t="s">
        <v>1062</v>
      </c>
      <c r="D487" t="s">
        <v>509</v>
      </c>
      <c r="E487" s="30" t="s">
        <v>73</v>
      </c>
      <c r="F487" s="30" t="s">
        <v>28</v>
      </c>
      <c r="G487" s="30"/>
      <c r="H487" s="30" t="s">
        <v>843</v>
      </c>
      <c r="I487" s="31">
        <f t="shared" si="23"/>
        <v>28</v>
      </c>
      <c r="J487" s="147" t="s">
        <v>2044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1034</v>
      </c>
      <c r="C488" t="s">
        <v>1062</v>
      </c>
      <c r="D488" t="s">
        <v>509</v>
      </c>
      <c r="E488" s="30" t="s">
        <v>73</v>
      </c>
      <c r="F488" s="30" t="s">
        <v>28</v>
      </c>
      <c r="G488" s="30"/>
      <c r="H488" s="30" t="s">
        <v>844</v>
      </c>
      <c r="I488" s="31">
        <f t="shared" si="23"/>
        <v>28</v>
      </c>
      <c r="J488" s="147" t="s">
        <v>2045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1062</v>
      </c>
      <c r="D489" t="s">
        <v>511</v>
      </c>
      <c r="E489" s="30" t="s">
        <v>73</v>
      </c>
      <c r="F489" s="30" t="s">
        <v>28</v>
      </c>
      <c r="G489" s="30"/>
      <c r="H489" s="30" t="s">
        <v>845</v>
      </c>
      <c r="I489" s="31">
        <f t="shared" si="23"/>
        <v>28</v>
      </c>
      <c r="J489" s="147" t="s">
        <v>2046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1062</v>
      </c>
      <c r="D490" t="s">
        <v>511</v>
      </c>
      <c r="E490" s="30" t="s">
        <v>73</v>
      </c>
      <c r="F490" s="30" t="s">
        <v>28</v>
      </c>
      <c r="G490" s="30"/>
      <c r="H490" s="30" t="s">
        <v>846</v>
      </c>
      <c r="I490" s="31">
        <f t="shared" si="23"/>
        <v>28</v>
      </c>
      <c r="J490" s="147" t="s">
        <v>2047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1094</v>
      </c>
      <c r="C491" s="30" t="s">
        <v>1062</v>
      </c>
      <c r="D491" t="s">
        <v>1095</v>
      </c>
      <c r="E491" s="30" t="s">
        <v>19</v>
      </c>
      <c r="F491" s="30" t="s">
        <v>28</v>
      </c>
      <c r="G491" s="30"/>
      <c r="H491" s="30" t="s">
        <v>1096</v>
      </c>
      <c r="I491" s="31">
        <f t="shared" si="23"/>
        <v>28</v>
      </c>
      <c r="J491" s="147" t="s">
        <v>2048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1099</v>
      </c>
      <c r="C492" s="30" t="s">
        <v>1062</v>
      </c>
      <c r="D492" t="s">
        <v>1097</v>
      </c>
      <c r="E492" s="30" t="s">
        <v>19</v>
      </c>
      <c r="F492" s="30" t="s">
        <v>28</v>
      </c>
      <c r="G492" s="30"/>
      <c r="H492" s="30" t="s">
        <v>1098</v>
      </c>
      <c r="I492" s="31">
        <f t="shared" si="23"/>
        <v>28</v>
      </c>
      <c r="J492" s="147" t="s">
        <v>2049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1100</v>
      </c>
      <c r="C493" s="30" t="s">
        <v>1062</v>
      </c>
      <c r="D493" t="s">
        <v>1101</v>
      </c>
      <c r="E493" s="30" t="s">
        <v>19</v>
      </c>
      <c r="F493" s="30" t="s">
        <v>28</v>
      </c>
      <c r="G493" s="30"/>
      <c r="H493" s="30" t="s">
        <v>1102</v>
      </c>
      <c r="I493" s="31">
        <f t="shared" si="23"/>
        <v>28</v>
      </c>
      <c r="J493" s="147" t="s">
        <v>2050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1062</v>
      </c>
      <c r="D494" t="s">
        <v>2254</v>
      </c>
      <c r="E494" s="30" t="s">
        <v>19</v>
      </c>
      <c r="F494" s="30" t="s">
        <v>28</v>
      </c>
      <c r="G494" s="30"/>
      <c r="H494" s="30" t="s">
        <v>847</v>
      </c>
      <c r="I494" s="31">
        <f t="shared" si="23"/>
        <v>28</v>
      </c>
      <c r="J494" s="147" t="s">
        <v>2051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1062</v>
      </c>
      <c r="D495" t="s">
        <v>1090</v>
      </c>
      <c r="E495" s="30" t="s">
        <v>19</v>
      </c>
      <c r="F495" s="30" t="s">
        <v>28</v>
      </c>
      <c r="G495" s="30"/>
      <c r="H495" s="30" t="s">
        <v>848</v>
      </c>
      <c r="I495" s="31">
        <f t="shared" si="23"/>
        <v>27</v>
      </c>
      <c r="J495" s="147" t="s">
        <v>2052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2286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1062</v>
      </c>
      <c r="D496" t="s">
        <v>529</v>
      </c>
      <c r="E496" s="30" t="s">
        <v>19</v>
      </c>
      <c r="F496" s="30" t="s">
        <v>28</v>
      </c>
      <c r="G496" s="30"/>
      <c r="H496" s="30" t="s">
        <v>849</v>
      </c>
      <c r="I496" s="31">
        <f t="shared" si="23"/>
        <v>15</v>
      </c>
      <c r="J496" s="147" t="s">
        <v>2053</v>
      </c>
      <c r="K496" s="31">
        <f t="shared" si="24"/>
        <v>13</v>
      </c>
      <c r="L496" s="32">
        <f t="shared" si="25"/>
        <v>0.5357142857142857</v>
      </c>
      <c r="M496" s="70" t="s">
        <v>2286</v>
      </c>
      <c r="N496" s="70" t="s">
        <v>2286</v>
      </c>
      <c r="O496" s="70"/>
      <c r="P496" s="70"/>
      <c r="Q496" s="70" t="s">
        <v>2286</v>
      </c>
      <c r="R496" s="70" t="s">
        <v>2286</v>
      </c>
      <c r="S496" s="70" t="s">
        <v>2286</v>
      </c>
      <c r="T496" s="70" t="s">
        <v>2286</v>
      </c>
      <c r="U496" s="70"/>
      <c r="V496" s="70"/>
      <c r="W496" s="70"/>
      <c r="X496" s="70"/>
      <c r="Y496" s="70" t="s">
        <v>2286</v>
      </c>
      <c r="Z496" s="70" t="s">
        <v>2286</v>
      </c>
      <c r="AA496" s="70" t="s">
        <v>2286</v>
      </c>
      <c r="AB496" s="70" t="s">
        <v>2286</v>
      </c>
      <c r="AC496" s="70" t="s">
        <v>2286</v>
      </c>
      <c r="AD496" s="70" t="s">
        <v>2286</v>
      </c>
      <c r="AE496" s="70" t="s">
        <v>2286</v>
      </c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1062</v>
      </c>
      <c r="D497" s="73" t="s">
        <v>531</v>
      </c>
      <c r="E497" s="85" t="s">
        <v>19</v>
      </c>
      <c r="F497" s="85" t="s">
        <v>28</v>
      </c>
      <c r="G497" s="85"/>
      <c r="H497" s="85" t="s">
        <v>850</v>
      </c>
      <c r="I497" s="31">
        <f t="shared" si="23"/>
        <v>27</v>
      </c>
      <c r="J497" s="147" t="s">
        <v>2054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1062</v>
      </c>
      <c r="D498" s="73" t="s">
        <v>533</v>
      </c>
      <c r="E498" s="85" t="s">
        <v>19</v>
      </c>
      <c r="F498" s="85" t="s">
        <v>1300</v>
      </c>
      <c r="G498" s="85"/>
      <c r="H498" s="85" t="s">
        <v>1503</v>
      </c>
      <c r="I498" s="142">
        <f t="shared" si="23"/>
        <v>28</v>
      </c>
      <c r="J498" s="147" t="s">
        <v>2055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851</v>
      </c>
      <c r="I499" s="31">
        <f t="shared" si="23"/>
        <v>28</v>
      </c>
      <c r="J499" s="147" t="s">
        <v>2056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1061</v>
      </c>
      <c r="D500" t="s">
        <v>1067</v>
      </c>
      <c r="E500" s="30" t="s">
        <v>19</v>
      </c>
      <c r="F500" s="30" t="s">
        <v>28</v>
      </c>
      <c r="G500" s="30"/>
      <c r="H500" s="30" t="s">
        <v>852</v>
      </c>
      <c r="I500" s="31">
        <f t="shared" si="23"/>
        <v>28</v>
      </c>
      <c r="J500" s="147" t="s">
        <v>2057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1062</v>
      </c>
      <c r="D501" s="73" t="s">
        <v>537</v>
      </c>
      <c r="E501" s="85" t="s">
        <v>19</v>
      </c>
      <c r="F501" s="85" t="s">
        <v>1300</v>
      </c>
      <c r="G501" s="85"/>
      <c r="H501" s="85" t="s">
        <v>853</v>
      </c>
      <c r="I501" s="142">
        <f t="shared" si="23"/>
        <v>28</v>
      </c>
      <c r="J501" s="147" t="s">
        <v>2058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1062</v>
      </c>
      <c r="D502" t="s">
        <v>539</v>
      </c>
      <c r="E502" s="30" t="s">
        <v>19</v>
      </c>
      <c r="F502" s="30" t="s">
        <v>28</v>
      </c>
      <c r="G502" s="30"/>
      <c r="H502" s="30" t="s">
        <v>854</v>
      </c>
      <c r="I502" s="31">
        <f t="shared" si="23"/>
        <v>28</v>
      </c>
      <c r="J502" s="147" t="s">
        <v>2059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1035</v>
      </c>
      <c r="C503" t="s">
        <v>1062</v>
      </c>
      <c r="D503" t="s">
        <v>540</v>
      </c>
      <c r="E503" s="30" t="s">
        <v>19</v>
      </c>
      <c r="F503" s="30" t="s">
        <v>28</v>
      </c>
      <c r="G503" s="30"/>
      <c r="H503" s="30" t="s">
        <v>855</v>
      </c>
      <c r="I503" s="31">
        <f t="shared" si="23"/>
        <v>15</v>
      </c>
      <c r="J503" s="147" t="s">
        <v>2060</v>
      </c>
      <c r="K503" s="31">
        <f t="shared" si="24"/>
        <v>13</v>
      </c>
      <c r="L503" s="32">
        <f t="shared" si="25"/>
        <v>0.5357142857142857</v>
      </c>
      <c r="M503" s="70" t="s">
        <v>2286</v>
      </c>
      <c r="N503" s="70" t="s">
        <v>2286</v>
      </c>
      <c r="O503" s="70"/>
      <c r="P503" s="70"/>
      <c r="Q503" s="70" t="s">
        <v>2286</v>
      </c>
      <c r="R503" s="70" t="s">
        <v>2286</v>
      </c>
      <c r="S503" s="70" t="s">
        <v>2286</v>
      </c>
      <c r="T503" s="70" t="s">
        <v>2286</v>
      </c>
      <c r="U503" s="70"/>
      <c r="V503" s="70"/>
      <c r="W503" s="70"/>
      <c r="X503" s="70"/>
      <c r="Y503" s="70" t="s">
        <v>2286</v>
      </c>
      <c r="Z503" s="70" t="s">
        <v>2286</v>
      </c>
      <c r="AA503" s="70" t="s">
        <v>2286</v>
      </c>
      <c r="AB503" s="70" t="s">
        <v>2286</v>
      </c>
      <c r="AC503" s="70" t="s">
        <v>2286</v>
      </c>
      <c r="AD503" s="70" t="s">
        <v>2286</v>
      </c>
      <c r="AE503" s="70" t="s">
        <v>2286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1062</v>
      </c>
      <c r="D504" t="s">
        <v>542</v>
      </c>
      <c r="E504" s="30" t="s">
        <v>19</v>
      </c>
      <c r="F504" s="85" t="s">
        <v>1300</v>
      </c>
      <c r="G504" s="30"/>
      <c r="H504" s="30" t="s">
        <v>856</v>
      </c>
      <c r="I504" s="31">
        <f t="shared" si="23"/>
        <v>28</v>
      </c>
      <c r="J504" s="147" t="s">
        <v>2061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1039</v>
      </c>
      <c r="C505" t="s">
        <v>1062</v>
      </c>
      <c r="D505" t="s">
        <v>513</v>
      </c>
      <c r="E505" s="30" t="s">
        <v>15</v>
      </c>
      <c r="F505" s="30" t="s">
        <v>1055</v>
      </c>
      <c r="G505" s="30" t="s">
        <v>1258</v>
      </c>
      <c r="H505" s="30" t="s">
        <v>857</v>
      </c>
      <c r="I505" s="31">
        <f t="shared" si="23"/>
        <v>27</v>
      </c>
      <c r="J505" s="147" t="s">
        <v>2062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2286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1040</v>
      </c>
      <c r="C506" t="s">
        <v>1062</v>
      </c>
      <c r="D506" t="s">
        <v>515</v>
      </c>
      <c r="E506" s="30" t="s">
        <v>19</v>
      </c>
      <c r="F506" s="30" t="s">
        <v>28</v>
      </c>
      <c r="G506" s="30"/>
      <c r="H506" s="30" t="s">
        <v>858</v>
      </c>
      <c r="I506" s="31">
        <f t="shared" si="23"/>
        <v>27</v>
      </c>
      <c r="J506" s="147" t="s">
        <v>2063</v>
      </c>
      <c r="K506" s="31">
        <f t="shared" si="24"/>
        <v>1</v>
      </c>
      <c r="L506" s="32">
        <f t="shared" si="25"/>
        <v>0.9642857142857143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 t="s">
        <v>2286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1036</v>
      </c>
      <c r="C507" t="s">
        <v>1062</v>
      </c>
      <c r="D507" t="s">
        <v>543</v>
      </c>
      <c r="E507" s="30" t="s">
        <v>15</v>
      </c>
      <c r="F507" s="30" t="s">
        <v>28</v>
      </c>
      <c r="G507" s="30"/>
      <c r="H507" s="30" t="s">
        <v>859</v>
      </c>
      <c r="I507" s="31">
        <f t="shared" si="23"/>
        <v>28</v>
      </c>
      <c r="J507" s="147" t="s">
        <v>2064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1062</v>
      </c>
      <c r="D508" t="s">
        <v>517</v>
      </c>
      <c r="E508" s="30" t="s">
        <v>15</v>
      </c>
      <c r="F508" s="30" t="s">
        <v>1055</v>
      </c>
      <c r="G508" s="30" t="s">
        <v>1259</v>
      </c>
      <c r="H508" s="30" t="s">
        <v>860</v>
      </c>
      <c r="I508" s="31">
        <f t="shared" si="23"/>
        <v>15</v>
      </c>
      <c r="J508" s="147" t="s">
        <v>2065</v>
      </c>
      <c r="K508" s="31">
        <f t="shared" si="24"/>
        <v>13</v>
      </c>
      <c r="L508" s="32">
        <f t="shared" si="25"/>
        <v>0.5357142857142857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1062</v>
      </c>
      <c r="D509" t="s">
        <v>520</v>
      </c>
      <c r="E509" s="30" t="s">
        <v>15</v>
      </c>
      <c r="F509" s="30" t="s">
        <v>1055</v>
      </c>
      <c r="G509" s="30" t="s">
        <v>1255</v>
      </c>
      <c r="H509" s="30" t="s">
        <v>861</v>
      </c>
      <c r="I509" s="31">
        <f t="shared" si="23"/>
        <v>28</v>
      </c>
      <c r="J509" s="147" t="s">
        <v>2066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1062</v>
      </c>
      <c r="D510" t="s">
        <v>1089</v>
      </c>
      <c r="E510" s="30" t="s">
        <v>15</v>
      </c>
      <c r="F510" s="30" t="s">
        <v>1055</v>
      </c>
      <c r="G510" s="30" t="s">
        <v>1260</v>
      </c>
      <c r="H510" s="30" t="s">
        <v>862</v>
      </c>
      <c r="I510" s="31">
        <f t="shared" si="23"/>
        <v>10</v>
      </c>
      <c r="J510" s="147" t="s">
        <v>2067</v>
      </c>
      <c r="K510" s="31">
        <f t="shared" si="24"/>
        <v>18</v>
      </c>
      <c r="L510" s="32">
        <f t="shared" si="25"/>
        <v>0.35714285714285715</v>
      </c>
      <c r="M510" s="70" t="s">
        <v>2286</v>
      </c>
      <c r="N510" s="70" t="s">
        <v>2286</v>
      </c>
      <c r="O510" s="70" t="s">
        <v>2286</v>
      </c>
      <c r="P510" s="70" t="s">
        <v>2286</v>
      </c>
      <c r="Q510" s="70" t="s">
        <v>2286</v>
      </c>
      <c r="R510" s="70" t="s">
        <v>2286</v>
      </c>
      <c r="S510" s="70" t="s">
        <v>2286</v>
      </c>
      <c r="T510" s="70" t="s">
        <v>2286</v>
      </c>
      <c r="U510" s="70" t="s">
        <v>2286</v>
      </c>
      <c r="V510" s="70" t="s">
        <v>2286</v>
      </c>
      <c r="W510" s="70"/>
      <c r="X510" s="70" t="s">
        <v>2286</v>
      </c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1041</v>
      </c>
      <c r="C511" t="s">
        <v>1062</v>
      </c>
      <c r="D511" t="s">
        <v>522</v>
      </c>
      <c r="E511" s="30" t="s">
        <v>15</v>
      </c>
      <c r="F511" s="30" t="s">
        <v>1055</v>
      </c>
      <c r="G511" s="30" t="s">
        <v>1261</v>
      </c>
      <c r="H511" s="30" t="s">
        <v>863</v>
      </c>
      <c r="I511" s="31">
        <f t="shared" si="23"/>
        <v>15</v>
      </c>
      <c r="J511" s="147" t="s">
        <v>2068</v>
      </c>
      <c r="K511" s="31">
        <f t="shared" si="24"/>
        <v>13</v>
      </c>
      <c r="L511" s="32">
        <f t="shared" si="25"/>
        <v>0.5357142857142857</v>
      </c>
      <c r="M511" s="70" t="s">
        <v>2286</v>
      </c>
      <c r="N511" s="70" t="s">
        <v>2286</v>
      </c>
      <c r="O511" s="70"/>
      <c r="P511" s="70"/>
      <c r="Q511" s="70" t="s">
        <v>2286</v>
      </c>
      <c r="R511" s="70" t="s">
        <v>2286</v>
      </c>
      <c r="S511" s="70" t="s">
        <v>2286</v>
      </c>
      <c r="T511" s="70" t="s">
        <v>2286</v>
      </c>
      <c r="U511" s="70"/>
      <c r="V511" s="70"/>
      <c r="W511" s="70"/>
      <c r="X511" s="70"/>
      <c r="Y511" s="70" t="s">
        <v>2286</v>
      </c>
      <c r="Z511" s="70" t="s">
        <v>2286</v>
      </c>
      <c r="AA511" s="70" t="s">
        <v>2286</v>
      </c>
      <c r="AB511" s="70" t="s">
        <v>2286</v>
      </c>
      <c r="AC511" s="70" t="s">
        <v>2286</v>
      </c>
      <c r="AD511" s="70" t="s">
        <v>2286</v>
      </c>
      <c r="AE511" s="70" t="s">
        <v>2286</v>
      </c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1042</v>
      </c>
      <c r="C512" t="s">
        <v>1062</v>
      </c>
      <c r="D512" t="s">
        <v>523</v>
      </c>
      <c r="E512" s="30" t="s">
        <v>15</v>
      </c>
      <c r="F512" s="30" t="s">
        <v>20</v>
      </c>
      <c r="G512" s="30"/>
      <c r="H512" s="30" t="s">
        <v>864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1062</v>
      </c>
      <c r="D513" s="73" t="s">
        <v>525</v>
      </c>
      <c r="E513" s="85" t="s">
        <v>46</v>
      </c>
      <c r="F513" s="85" t="s">
        <v>1300</v>
      </c>
      <c r="G513" s="85"/>
      <c r="H513" s="85" t="s">
        <v>1366</v>
      </c>
      <c r="I513" s="142">
        <f t="shared" si="23"/>
        <v>28</v>
      </c>
      <c r="J513" s="147" t="s">
        <v>2069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1037</v>
      </c>
      <c r="C514" t="s">
        <v>1062</v>
      </c>
      <c r="D514" t="s">
        <v>544</v>
      </c>
      <c r="E514" s="30" t="s">
        <v>73</v>
      </c>
      <c r="F514" s="30" t="s">
        <v>28</v>
      </c>
      <c r="G514" s="30"/>
      <c r="H514" s="30" t="s">
        <v>865</v>
      </c>
      <c r="I514" s="31">
        <f t="shared" si="23"/>
        <v>15</v>
      </c>
      <c r="J514" s="147" t="s">
        <v>2070</v>
      </c>
      <c r="K514" s="31">
        <f t="shared" si="24"/>
        <v>13</v>
      </c>
      <c r="L514" s="32">
        <f t="shared" si="25"/>
        <v>0.5357142857142857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1038</v>
      </c>
      <c r="C515" t="s">
        <v>1062</v>
      </c>
      <c r="D515" t="s">
        <v>544</v>
      </c>
      <c r="E515" s="30" t="s">
        <v>73</v>
      </c>
      <c r="F515" s="30" t="s">
        <v>28</v>
      </c>
      <c r="G515" s="30"/>
      <c r="H515" s="30" t="s">
        <v>866</v>
      </c>
      <c r="I515" s="31">
        <f t="shared" si="23"/>
        <v>16</v>
      </c>
      <c r="J515" s="147" t="s">
        <v>2071</v>
      </c>
      <c r="K515" s="31">
        <f t="shared" si="24"/>
        <v>12</v>
      </c>
      <c r="L515" s="32">
        <f t="shared" si="25"/>
        <v>0.5714285714285714</v>
      </c>
      <c r="M515" s="70" t="s">
        <v>2286</v>
      </c>
      <c r="N515" s="70" t="s">
        <v>2286</v>
      </c>
      <c r="O515" s="70"/>
      <c r="P515" s="70"/>
      <c r="Q515" s="70"/>
      <c r="R515" s="70" t="s">
        <v>2286</v>
      </c>
      <c r="S515" s="70" t="s">
        <v>2286</v>
      </c>
      <c r="T515" s="70" t="s">
        <v>2286</v>
      </c>
      <c r="U515" s="70"/>
      <c r="V515" s="70"/>
      <c r="W515" s="70"/>
      <c r="X515" s="70"/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1061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1061</v>
      </c>
      <c r="D517" t="s">
        <v>546</v>
      </c>
      <c r="E517" s="30" t="s">
        <v>73</v>
      </c>
      <c r="F517" s="30" t="s">
        <v>28</v>
      </c>
      <c r="G517" s="30"/>
      <c r="H517" s="30" t="s">
        <v>867</v>
      </c>
      <c r="I517" s="31">
        <f t="shared" si="23"/>
        <v>28</v>
      </c>
      <c r="J517" s="147" t="s">
        <v>2073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1144</v>
      </c>
      <c r="C518" t="s">
        <v>1062</v>
      </c>
      <c r="D518" t="s">
        <v>1146</v>
      </c>
      <c r="E518" s="30" t="s">
        <v>73</v>
      </c>
      <c r="F518" s="30" t="s">
        <v>28</v>
      </c>
      <c r="G518" s="30"/>
      <c r="H518" s="30" t="s">
        <v>1147</v>
      </c>
      <c r="I518" s="31">
        <f t="shared" si="23"/>
        <v>28</v>
      </c>
      <c r="J518" s="147" t="s">
        <v>2074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1145</v>
      </c>
      <c r="C519" t="s">
        <v>1062</v>
      </c>
      <c r="D519" t="s">
        <v>1146</v>
      </c>
      <c r="E519" s="30" t="s">
        <v>1113</v>
      </c>
      <c r="F519" s="30" t="s">
        <v>28</v>
      </c>
      <c r="G519" s="30"/>
      <c r="H519" s="30" t="s">
        <v>1148</v>
      </c>
      <c r="I519" s="31">
        <f t="shared" si="23"/>
        <v>28</v>
      </c>
      <c r="J519" s="147" t="s">
        <v>2075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1207</v>
      </c>
      <c r="C520" s="85" t="s">
        <v>1062</v>
      </c>
      <c r="D520" s="73" t="s">
        <v>1203</v>
      </c>
      <c r="E520" s="85" t="s">
        <v>15</v>
      </c>
      <c r="F520" s="85" t="s">
        <v>1300</v>
      </c>
      <c r="G520" s="85"/>
      <c r="H520" s="85" t="s">
        <v>1204</v>
      </c>
      <c r="I520" s="142">
        <f t="shared" si="23"/>
        <v>10</v>
      </c>
      <c r="J520" s="147" t="s">
        <v>2076</v>
      </c>
      <c r="K520" s="142">
        <f t="shared" si="24"/>
        <v>18</v>
      </c>
      <c r="L520" s="143">
        <f t="shared" si="25"/>
        <v>0.35714285714285715</v>
      </c>
      <c r="M520" s="70" t="s">
        <v>2286</v>
      </c>
      <c r="N520" s="70" t="s">
        <v>2286</v>
      </c>
      <c r="O520" s="70" t="s">
        <v>2286</v>
      </c>
      <c r="P520" s="70" t="s">
        <v>2286</v>
      </c>
      <c r="Q520" s="70" t="s">
        <v>2286</v>
      </c>
      <c r="R520" s="70" t="s">
        <v>2286</v>
      </c>
      <c r="S520" s="70" t="s">
        <v>2286</v>
      </c>
      <c r="T520" s="70" t="s">
        <v>2286</v>
      </c>
      <c r="U520" s="70" t="s">
        <v>2286</v>
      </c>
      <c r="V520" s="70" t="s">
        <v>2286</v>
      </c>
      <c r="W520" s="70"/>
      <c r="X520" s="70" t="s">
        <v>2286</v>
      </c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1531</v>
      </c>
      <c r="C521" s="30" t="s">
        <v>1062</v>
      </c>
      <c r="D521" t="s">
        <v>1532</v>
      </c>
      <c r="E521" s="30" t="s">
        <v>1113</v>
      </c>
      <c r="F521" s="30" t="s">
        <v>28</v>
      </c>
      <c r="G521" s="30"/>
      <c r="H521" s="30" t="s">
        <v>1533</v>
      </c>
      <c r="I521" s="142">
        <f t="shared" si="23"/>
        <v>28</v>
      </c>
      <c r="J521" s="147" t="s">
        <v>2077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1582</v>
      </c>
      <c r="C522" s="85" t="s">
        <v>1062</v>
      </c>
      <c r="D522" s="73" t="s">
        <v>1583</v>
      </c>
      <c r="E522" s="85" t="s">
        <v>15</v>
      </c>
      <c r="F522" s="85" t="s">
        <v>1300</v>
      </c>
      <c r="G522" s="85"/>
      <c r="H522" s="85" t="s">
        <v>1584</v>
      </c>
      <c r="I522" s="142">
        <f t="shared" si="23"/>
        <v>28</v>
      </c>
      <c r="J522" s="147" t="s">
        <v>2078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1585</v>
      </c>
      <c r="C523" s="85" t="s">
        <v>1062</v>
      </c>
      <c r="D523" s="73" t="s">
        <v>1586</v>
      </c>
      <c r="E523" s="85" t="s">
        <v>15</v>
      </c>
      <c r="F523" s="85" t="s">
        <v>1300</v>
      </c>
      <c r="G523" s="85"/>
      <c r="H523" s="85" t="s">
        <v>1587</v>
      </c>
      <c r="I523" s="142">
        <f t="shared" si="23"/>
        <v>22</v>
      </c>
      <c r="J523" s="147" t="s">
        <v>2079</v>
      </c>
      <c r="K523" s="142">
        <f t="shared" si="24"/>
        <v>6</v>
      </c>
      <c r="L523" s="143">
        <f t="shared" si="25"/>
        <v>0.7857142857142857</v>
      </c>
      <c r="M523" s="70" t="s">
        <v>2286</v>
      </c>
      <c r="N523" s="70" t="s">
        <v>2286</v>
      </c>
      <c r="O523" s="70" t="s">
        <v>2286</v>
      </c>
      <c r="P523" s="70" t="s">
        <v>2286</v>
      </c>
      <c r="Q523" s="70" t="s">
        <v>2286</v>
      </c>
      <c r="R523" s="70" t="s">
        <v>2286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2224</v>
      </c>
      <c r="C524" s="85" t="s">
        <v>1062</v>
      </c>
      <c r="D524" s="73" t="s">
        <v>2225</v>
      </c>
      <c r="E524" s="30" t="s">
        <v>73</v>
      </c>
      <c r="F524" s="85" t="s">
        <v>1300</v>
      </c>
      <c r="G524" s="85"/>
      <c r="H524" s="85" t="s">
        <v>2226</v>
      </c>
      <c r="I524" s="142">
        <f t="shared" si="23"/>
        <v>28</v>
      </c>
      <c r="J524" s="147" t="s">
        <v>2227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2228</v>
      </c>
      <c r="C525" s="85" t="s">
        <v>1062</v>
      </c>
      <c r="D525" s="73" t="s">
        <v>2229</v>
      </c>
      <c r="E525" s="85" t="s">
        <v>15</v>
      </c>
      <c r="F525" s="85" t="s">
        <v>1300</v>
      </c>
      <c r="G525" s="85"/>
      <c r="H525" s="85" t="s">
        <v>2230</v>
      </c>
      <c r="I525" s="142">
        <f t="shared" si="23"/>
        <v>28</v>
      </c>
      <c r="J525" s="147" t="s">
        <v>2231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1043</v>
      </c>
      <c r="C526" t="s">
        <v>1061</v>
      </c>
      <c r="D526" t="s">
        <v>550</v>
      </c>
      <c r="E526" s="30" t="s">
        <v>19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2080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1044</v>
      </c>
      <c r="C527" t="s">
        <v>1061</v>
      </c>
      <c r="D527" t="s">
        <v>551</v>
      </c>
      <c r="E527" s="30" t="s">
        <v>19</v>
      </c>
      <c r="F527" s="30" t="s">
        <v>28</v>
      </c>
      <c r="G527" s="30"/>
      <c r="H527" s="30" t="s">
        <v>871</v>
      </c>
      <c r="I527" s="31">
        <f t="shared" si="23"/>
        <v>28</v>
      </c>
      <c r="J527" s="147" t="s">
        <v>2081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1061</v>
      </c>
      <c r="D528" t="s">
        <v>553</v>
      </c>
      <c r="E528" s="30" t="s">
        <v>73</v>
      </c>
      <c r="F528" s="30" t="s">
        <v>28</v>
      </c>
      <c r="G528" s="30"/>
      <c r="H528" s="30" t="s">
        <v>868</v>
      </c>
      <c r="I528" s="31">
        <f t="shared" si="23"/>
        <v>28</v>
      </c>
      <c r="J528" s="147" t="s">
        <v>2082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1061</v>
      </c>
      <c r="D529" t="s">
        <v>553</v>
      </c>
      <c r="E529" s="30" t="s">
        <v>73</v>
      </c>
      <c r="F529" s="30" t="s">
        <v>28</v>
      </c>
      <c r="G529" s="30"/>
      <c r="H529" s="30" t="s">
        <v>869</v>
      </c>
      <c r="I529" s="31">
        <f t="shared" si="23"/>
        <v>28</v>
      </c>
      <c r="J529" s="147" t="s">
        <v>2083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1061</v>
      </c>
      <c r="D530" t="s">
        <v>556</v>
      </c>
      <c r="E530" s="30" t="s">
        <v>73</v>
      </c>
      <c r="F530" s="30" t="s">
        <v>28</v>
      </c>
      <c r="G530" s="30"/>
      <c r="H530" s="30" t="s">
        <v>872</v>
      </c>
      <c r="I530" s="31">
        <f t="shared" si="23"/>
        <v>26</v>
      </c>
      <c r="J530" s="147" t="s">
        <v>2084</v>
      </c>
      <c r="K530" s="31">
        <f t="shared" si="24"/>
        <v>2</v>
      </c>
      <c r="L530" s="32">
        <f t="shared" si="25"/>
        <v>0.9285714285714286</v>
      </c>
      <c r="M530" s="70" t="s">
        <v>2286</v>
      </c>
      <c r="N530" s="70" t="s">
        <v>2286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1061</v>
      </c>
      <c r="D531" t="s">
        <v>556</v>
      </c>
      <c r="E531" s="30" t="s">
        <v>73</v>
      </c>
      <c r="F531" s="30" t="s">
        <v>28</v>
      </c>
      <c r="G531" s="30"/>
      <c r="H531" s="30" t="s">
        <v>873</v>
      </c>
      <c r="I531" s="31">
        <f t="shared" si="23"/>
        <v>26</v>
      </c>
      <c r="J531" s="147" t="s">
        <v>2085</v>
      </c>
      <c r="K531" s="31">
        <f t="shared" si="24"/>
        <v>2</v>
      </c>
      <c r="L531" s="32">
        <f t="shared" si="25"/>
        <v>0.9285714285714286</v>
      </c>
      <c r="M531" s="70" t="s">
        <v>2286</v>
      </c>
      <c r="N531" s="70" t="s">
        <v>2286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1061</v>
      </c>
      <c r="D532" s="73" t="s">
        <v>549</v>
      </c>
      <c r="E532" s="92" t="s">
        <v>19</v>
      </c>
      <c r="F532" s="85" t="s">
        <v>28</v>
      </c>
      <c r="G532" s="85"/>
      <c r="H532" s="85" t="s">
        <v>874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1061</v>
      </c>
      <c r="D533" s="73" t="s">
        <v>559</v>
      </c>
      <c r="E533" s="92" t="s">
        <v>15</v>
      </c>
      <c r="F533" s="85" t="s">
        <v>28</v>
      </c>
      <c r="G533" s="85"/>
      <c r="H533" s="85" t="s">
        <v>1505</v>
      </c>
      <c r="I533" s="31">
        <f t="shared" si="23"/>
        <v>26</v>
      </c>
      <c r="J533" s="147" t="s">
        <v>2086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1343</v>
      </c>
      <c r="C534" s="85" t="s">
        <v>1061</v>
      </c>
      <c r="D534" s="73" t="s">
        <v>1344</v>
      </c>
      <c r="E534" s="92" t="s">
        <v>15</v>
      </c>
      <c r="F534" s="85" t="s">
        <v>1300</v>
      </c>
      <c r="G534" s="85"/>
      <c r="H534" s="85" t="s">
        <v>1350</v>
      </c>
      <c r="I534" s="142">
        <f t="shared" si="23"/>
        <v>28</v>
      </c>
      <c r="J534" s="147" t="s">
        <v>2087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1061</v>
      </c>
      <c r="D535" t="s">
        <v>561</v>
      </c>
      <c r="E535" s="30" t="s">
        <v>19</v>
      </c>
      <c r="F535" s="30" t="s">
        <v>28</v>
      </c>
      <c r="G535" s="30"/>
      <c r="H535" s="30" t="s">
        <v>875</v>
      </c>
      <c r="I535" s="31">
        <f t="shared" si="23"/>
        <v>28</v>
      </c>
      <c r="J535" s="147" t="s">
        <v>2088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1061</v>
      </c>
      <c r="D536" s="73" t="s">
        <v>563</v>
      </c>
      <c r="E536" s="85" t="s">
        <v>19</v>
      </c>
      <c r="F536" s="85" t="s">
        <v>1300</v>
      </c>
      <c r="G536" s="85"/>
      <c r="H536" s="85" t="s">
        <v>1369</v>
      </c>
      <c r="I536" s="142">
        <f t="shared" ref="I536:I581" si="26">COUNTIF(M536:AN536,"")</f>
        <v>28</v>
      </c>
      <c r="J536" s="147" t="s">
        <v>2089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1061</v>
      </c>
      <c r="D537" s="73" t="s">
        <v>565</v>
      </c>
      <c r="E537" s="85" t="s">
        <v>19</v>
      </c>
      <c r="F537" s="85" t="s">
        <v>1300</v>
      </c>
      <c r="G537" s="85"/>
      <c r="H537" s="85" t="s">
        <v>1427</v>
      </c>
      <c r="I537" s="142">
        <f t="shared" si="26"/>
        <v>28</v>
      </c>
      <c r="J537" s="147" t="s">
        <v>2090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1061</v>
      </c>
      <c r="D538" t="s">
        <v>567</v>
      </c>
      <c r="E538" s="30" t="s">
        <v>19</v>
      </c>
      <c r="F538" s="30" t="s">
        <v>1055</v>
      </c>
      <c r="G538" s="30" t="s">
        <v>1262</v>
      </c>
      <c r="H538" s="30" t="s">
        <v>876</v>
      </c>
      <c r="I538" s="31">
        <f t="shared" si="26"/>
        <v>27</v>
      </c>
      <c r="J538" s="147" t="s">
        <v>2091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1360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1061</v>
      </c>
      <c r="D539" s="73" t="s">
        <v>569</v>
      </c>
      <c r="E539" s="85" t="s">
        <v>19</v>
      </c>
      <c r="F539" s="85" t="s">
        <v>1300</v>
      </c>
      <c r="G539" s="85"/>
      <c r="H539" s="85" t="s">
        <v>1504</v>
      </c>
      <c r="I539" s="142">
        <f t="shared" si="26"/>
        <v>27</v>
      </c>
      <c r="J539" s="147" t="s">
        <v>2092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2286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1311</v>
      </c>
      <c r="C540" t="s">
        <v>1061</v>
      </c>
      <c r="D540" t="s">
        <v>2196</v>
      </c>
      <c r="E540" s="85" t="s">
        <v>15</v>
      </c>
      <c r="F540" s="85" t="s">
        <v>1300</v>
      </c>
      <c r="G540" s="30"/>
      <c r="H540" s="30" t="s">
        <v>2197</v>
      </c>
      <c r="I540" s="31">
        <f t="shared" si="26"/>
        <v>13</v>
      </c>
      <c r="J540" s="147" t="s">
        <v>2198</v>
      </c>
      <c r="K540" s="31">
        <f t="shared" si="27"/>
        <v>15</v>
      </c>
      <c r="L540" s="32">
        <f t="shared" si="28"/>
        <v>0.4642857142857143</v>
      </c>
      <c r="M540" s="70" t="s">
        <v>2286</v>
      </c>
      <c r="N540" s="70" t="s">
        <v>2286</v>
      </c>
      <c r="O540" s="70" t="s">
        <v>2286</v>
      </c>
      <c r="P540" s="70" t="s">
        <v>2286</v>
      </c>
      <c r="Q540" s="70" t="s">
        <v>2286</v>
      </c>
      <c r="R540" s="70" t="s">
        <v>2286</v>
      </c>
      <c r="S540" s="70" t="s">
        <v>2286</v>
      </c>
      <c r="T540" s="70" t="s">
        <v>2286</v>
      </c>
      <c r="U540" s="70" t="s">
        <v>2286</v>
      </c>
      <c r="V540" s="70" t="s">
        <v>2286</v>
      </c>
      <c r="W540" s="70"/>
      <c r="X540" s="70" t="s">
        <v>2286</v>
      </c>
      <c r="Y540" s="70" t="s">
        <v>2286</v>
      </c>
      <c r="Z540" s="70" t="s">
        <v>2286</v>
      </c>
      <c r="AA540" s="70" t="s">
        <v>2286</v>
      </c>
      <c r="AB540" s="70" t="s">
        <v>2286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2132</v>
      </c>
      <c r="C541" t="s">
        <v>1061</v>
      </c>
      <c r="D541" s="73" t="s">
        <v>2133</v>
      </c>
      <c r="E541" s="85" t="s">
        <v>15</v>
      </c>
      <c r="F541" s="85" t="s">
        <v>1300</v>
      </c>
      <c r="G541" s="30"/>
      <c r="H541" s="30" t="s">
        <v>2134</v>
      </c>
      <c r="I541" s="31">
        <f t="shared" si="26"/>
        <v>28</v>
      </c>
      <c r="J541" s="147" t="s">
        <v>2135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1062</v>
      </c>
      <c r="D542" s="73" t="s">
        <v>572</v>
      </c>
      <c r="E542" s="85" t="s">
        <v>15</v>
      </c>
      <c r="F542" s="85" t="s">
        <v>1300</v>
      </c>
      <c r="G542" s="85"/>
      <c r="H542" s="85" t="s">
        <v>877</v>
      </c>
      <c r="I542" s="142">
        <f t="shared" si="26"/>
        <v>26</v>
      </c>
      <c r="J542" s="147" t="s">
        <v>2093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2286</v>
      </c>
      <c r="Y542" s="70" t="s">
        <v>2286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1462</v>
      </c>
      <c r="C543" s="73" t="s">
        <v>1062</v>
      </c>
      <c r="D543" s="73" t="s">
        <v>573</v>
      </c>
      <c r="E543" s="85" t="s">
        <v>15</v>
      </c>
      <c r="F543" s="85" t="s">
        <v>1300</v>
      </c>
      <c r="G543" s="85"/>
      <c r="H543" s="85" t="s">
        <v>878</v>
      </c>
      <c r="I543" s="142">
        <f t="shared" si="26"/>
        <v>26</v>
      </c>
      <c r="J543" s="147" t="s">
        <v>2094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2286</v>
      </c>
      <c r="Y543" s="70" t="s">
        <v>2286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1045</v>
      </c>
      <c r="C544" s="73" t="s">
        <v>1062</v>
      </c>
      <c r="D544" s="73" t="s">
        <v>574</v>
      </c>
      <c r="E544" s="85" t="s">
        <v>73</v>
      </c>
      <c r="F544" s="85" t="s">
        <v>1300</v>
      </c>
      <c r="G544" s="85"/>
      <c r="H544" s="85" t="s">
        <v>879</v>
      </c>
      <c r="I544" s="142">
        <f t="shared" si="26"/>
        <v>23</v>
      </c>
      <c r="J544" s="147" t="s">
        <v>2095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 t="s">
        <v>2286</v>
      </c>
      <c r="AA544" s="70" t="s">
        <v>2286</v>
      </c>
      <c r="AB544" s="70" t="s">
        <v>2286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1046</v>
      </c>
      <c r="C545" s="73" t="s">
        <v>1062</v>
      </c>
      <c r="D545" s="73" t="s">
        <v>574</v>
      </c>
      <c r="E545" s="85" t="s">
        <v>73</v>
      </c>
      <c r="F545" s="85" t="s">
        <v>1300</v>
      </c>
      <c r="G545" s="85"/>
      <c r="H545" s="85" t="s">
        <v>880</v>
      </c>
      <c r="I545" s="142">
        <f t="shared" si="26"/>
        <v>23</v>
      </c>
      <c r="J545" s="147" t="s">
        <v>2096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1642</v>
      </c>
      <c r="C546" s="73" t="s">
        <v>1062</v>
      </c>
      <c r="D546" s="73" t="s">
        <v>1649</v>
      </c>
      <c r="E546" s="85" t="s">
        <v>1113</v>
      </c>
      <c r="F546" s="85" t="s">
        <v>28</v>
      </c>
      <c r="G546" s="85"/>
      <c r="H546" s="85" t="s">
        <v>1644</v>
      </c>
      <c r="I546" s="142">
        <f t="shared" si="26"/>
        <v>26</v>
      </c>
      <c r="J546" s="87" t="s">
        <v>2186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2126</v>
      </c>
      <c r="C547" s="73" t="s">
        <v>1062</v>
      </c>
      <c r="D547" s="73" t="s">
        <v>2127</v>
      </c>
      <c r="E547" s="30" t="s">
        <v>15</v>
      </c>
      <c r="F547" s="85" t="s">
        <v>1300</v>
      </c>
      <c r="G547" s="85"/>
      <c r="H547" s="85" t="s">
        <v>2129</v>
      </c>
      <c r="I547" s="142">
        <f t="shared" si="26"/>
        <v>16</v>
      </c>
      <c r="J547" s="87"/>
      <c r="K547" s="142">
        <f t="shared" si="27"/>
        <v>12</v>
      </c>
      <c r="L547" s="143">
        <f t="shared" si="28"/>
        <v>0.5714285714285714</v>
      </c>
      <c r="M547" s="70" t="s">
        <v>2286</v>
      </c>
      <c r="N547" s="70" t="s">
        <v>2286</v>
      </c>
      <c r="O547" s="70" t="s">
        <v>2286</v>
      </c>
      <c r="P547" s="70" t="s">
        <v>2286</v>
      </c>
      <c r="Q547" s="70" t="s">
        <v>2286</v>
      </c>
      <c r="R547" s="70" t="s">
        <v>2286</v>
      </c>
      <c r="S547" s="70" t="s">
        <v>2286</v>
      </c>
      <c r="T547" s="70" t="s">
        <v>2286</v>
      </c>
      <c r="U547" s="70"/>
      <c r="V547" s="70"/>
      <c r="W547" s="70"/>
      <c r="X547" s="70"/>
      <c r="Y547" s="70" t="s">
        <v>2286</v>
      </c>
      <c r="Z547" s="70"/>
      <c r="AA547" s="70"/>
      <c r="AB547" s="70"/>
      <c r="AC547" s="70" t="s">
        <v>2286</v>
      </c>
      <c r="AD547" s="70" t="s">
        <v>2286</v>
      </c>
      <c r="AE547" s="70" t="s">
        <v>2286</v>
      </c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1655</v>
      </c>
      <c r="C548" s="73" t="s">
        <v>1062</v>
      </c>
      <c r="D548" s="73" t="s">
        <v>1656</v>
      </c>
      <c r="E548" s="85" t="s">
        <v>15</v>
      </c>
      <c r="F548" s="85" t="s">
        <v>1300</v>
      </c>
      <c r="G548" s="85"/>
      <c r="H548" s="85" t="s">
        <v>1657</v>
      </c>
      <c r="I548" s="142">
        <f t="shared" si="26"/>
        <v>10</v>
      </c>
      <c r="J548" s="87" t="s">
        <v>2187</v>
      </c>
      <c r="K548" s="142">
        <f t="shared" si="27"/>
        <v>18</v>
      </c>
      <c r="L548" s="143">
        <f t="shared" si="28"/>
        <v>0.35714285714285715</v>
      </c>
      <c r="M548" s="70" t="s">
        <v>2286</v>
      </c>
      <c r="N548" s="70" t="s">
        <v>2286</v>
      </c>
      <c r="O548" s="70" t="s">
        <v>2286</v>
      </c>
      <c r="P548" s="70" t="s">
        <v>2286</v>
      </c>
      <c r="Q548" s="70" t="s">
        <v>2286</v>
      </c>
      <c r="R548" s="70" t="s">
        <v>2286</v>
      </c>
      <c r="S548" s="70" t="s">
        <v>2286</v>
      </c>
      <c r="T548" s="70" t="s">
        <v>2286</v>
      </c>
      <c r="U548" s="70" t="s">
        <v>2286</v>
      </c>
      <c r="V548" s="70" t="s">
        <v>2286</v>
      </c>
      <c r="W548" s="70"/>
      <c r="X548" s="70" t="s">
        <v>2286</v>
      </c>
      <c r="Y548" s="70" t="s">
        <v>2286</v>
      </c>
      <c r="Z548" s="70" t="s">
        <v>2286</v>
      </c>
      <c r="AA548" s="70" t="s">
        <v>2286</v>
      </c>
      <c r="AB548" s="70" t="s">
        <v>2286</v>
      </c>
      <c r="AC548" s="70" t="s">
        <v>2286</v>
      </c>
      <c r="AD548" s="70" t="s">
        <v>2286</v>
      </c>
      <c r="AE548" s="70" t="s">
        <v>2286</v>
      </c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1047</v>
      </c>
      <c r="C549" t="s">
        <v>1062</v>
      </c>
      <c r="D549" t="s">
        <v>576</v>
      </c>
      <c r="E549" s="30" t="s">
        <v>73</v>
      </c>
      <c r="F549" s="85" t="s">
        <v>1300</v>
      </c>
      <c r="G549" s="30"/>
      <c r="H549" s="30" t="s">
        <v>881</v>
      </c>
      <c r="I549" s="31">
        <f t="shared" si="26"/>
        <v>14</v>
      </c>
      <c r="J549" s="87" t="s">
        <v>2183</v>
      </c>
      <c r="K549" s="31">
        <f t="shared" si="27"/>
        <v>14</v>
      </c>
      <c r="L549" s="32">
        <f t="shared" si="28"/>
        <v>0.5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 t="s">
        <v>2286</v>
      </c>
      <c r="AD549" s="70" t="s">
        <v>2286</v>
      </c>
      <c r="AE549" s="70" t="s">
        <v>2286</v>
      </c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1048</v>
      </c>
      <c r="C550" t="s">
        <v>1062</v>
      </c>
      <c r="D550" t="s">
        <v>577</v>
      </c>
      <c r="E550" s="30" t="s">
        <v>15</v>
      </c>
      <c r="F550" s="30" t="s">
        <v>28</v>
      </c>
      <c r="G550" s="30"/>
      <c r="H550" s="30" t="s">
        <v>882</v>
      </c>
      <c r="I550" s="31">
        <f t="shared" si="26"/>
        <v>23</v>
      </c>
      <c r="J550" s="147" t="s">
        <v>2097</v>
      </c>
      <c r="K550" s="31">
        <f t="shared" si="27"/>
        <v>5</v>
      </c>
      <c r="L550" s="32">
        <f t="shared" si="28"/>
        <v>0.8214285714285714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1062</v>
      </c>
      <c r="D551" t="s">
        <v>579</v>
      </c>
      <c r="E551" s="30" t="s">
        <v>73</v>
      </c>
      <c r="F551" s="85" t="s">
        <v>1300</v>
      </c>
      <c r="G551" s="30"/>
      <c r="H551" s="30" t="s">
        <v>883</v>
      </c>
      <c r="I551" s="31">
        <f t="shared" si="26"/>
        <v>11</v>
      </c>
      <c r="J551" s="87" t="s">
        <v>2184</v>
      </c>
      <c r="K551" s="31">
        <f t="shared" si="27"/>
        <v>17</v>
      </c>
      <c r="L551" s="32">
        <f t="shared" si="28"/>
        <v>0.39285714285714285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 t="s">
        <v>2286</v>
      </c>
      <c r="U551" s="70" t="s">
        <v>2286</v>
      </c>
      <c r="V551" s="70" t="s">
        <v>2286</v>
      </c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1062</v>
      </c>
      <c r="D552" t="s">
        <v>581</v>
      </c>
      <c r="E552" s="30" t="s">
        <v>15</v>
      </c>
      <c r="F552" s="30" t="s">
        <v>28</v>
      </c>
      <c r="G552" s="30"/>
      <c r="H552" s="30" t="s">
        <v>884</v>
      </c>
      <c r="I552" s="31">
        <f t="shared" si="26"/>
        <v>23</v>
      </c>
      <c r="J552" s="147" t="s">
        <v>2098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1062</v>
      </c>
      <c r="D553" s="73" t="s">
        <v>583</v>
      </c>
      <c r="E553" s="85" t="s">
        <v>15</v>
      </c>
      <c r="F553" s="85" t="s">
        <v>1300</v>
      </c>
      <c r="G553" s="85"/>
      <c r="H553" s="85" t="s">
        <v>885</v>
      </c>
      <c r="I553" s="142">
        <f t="shared" si="26"/>
        <v>27</v>
      </c>
      <c r="J553" s="147" t="s">
        <v>2099</v>
      </c>
      <c r="K553" s="142">
        <f t="shared" si="27"/>
        <v>1</v>
      </c>
      <c r="L553" s="143">
        <f t="shared" si="28"/>
        <v>0.9642857142857143</v>
      </c>
      <c r="M553" s="70" t="s">
        <v>2286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2138</v>
      </c>
      <c r="B554" s="73" t="s">
        <v>2136</v>
      </c>
      <c r="C554" t="s">
        <v>1061</v>
      </c>
      <c r="D554" s="73" t="s">
        <v>2137</v>
      </c>
      <c r="E554" s="85" t="s">
        <v>15</v>
      </c>
      <c r="F554" s="85" t="s">
        <v>1300</v>
      </c>
      <c r="G554" s="85"/>
      <c r="H554" s="85" t="s">
        <v>2139</v>
      </c>
      <c r="I554" s="142">
        <f t="shared" si="26"/>
        <v>28</v>
      </c>
      <c r="J554" s="151" t="s">
        <v>2140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1062</v>
      </c>
      <c r="D555" t="s">
        <v>1091</v>
      </c>
      <c r="E555" s="30" t="s">
        <v>19</v>
      </c>
      <c r="F555" s="30" t="s">
        <v>20</v>
      </c>
      <c r="G555" s="30"/>
      <c r="H555" s="30" t="s">
        <v>1397</v>
      </c>
      <c r="I555" s="31">
        <f t="shared" si="26"/>
        <v>28</v>
      </c>
      <c r="J555" s="87" t="s">
        <v>2185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1049</v>
      </c>
      <c r="C556" t="s">
        <v>1062</v>
      </c>
      <c r="D556" t="s">
        <v>1092</v>
      </c>
      <c r="E556" s="30" t="s">
        <v>73</v>
      </c>
      <c r="F556" s="30" t="s">
        <v>28</v>
      </c>
      <c r="G556" s="30"/>
      <c r="H556" s="30" t="s">
        <v>886</v>
      </c>
      <c r="I556" s="31">
        <f t="shared" si="26"/>
        <v>28</v>
      </c>
      <c r="J556" s="147" t="s">
        <v>2100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1050</v>
      </c>
      <c r="C557" t="s">
        <v>1062</v>
      </c>
      <c r="D557" t="s">
        <v>1092</v>
      </c>
      <c r="E557" s="30" t="s">
        <v>73</v>
      </c>
      <c r="F557" s="30" t="s">
        <v>28</v>
      </c>
      <c r="G557" s="30"/>
      <c r="H557" s="30" t="s">
        <v>887</v>
      </c>
      <c r="I557" s="31">
        <f t="shared" si="26"/>
        <v>28</v>
      </c>
      <c r="J557" s="147" t="s">
        <v>2101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1051</v>
      </c>
      <c r="C558" t="s">
        <v>1062</v>
      </c>
      <c r="D558" t="s">
        <v>1106</v>
      </c>
      <c r="E558" s="30" t="s">
        <v>15</v>
      </c>
      <c r="F558" s="30" t="s">
        <v>28</v>
      </c>
      <c r="G558" s="30"/>
      <c r="H558" s="30" t="s">
        <v>888</v>
      </c>
      <c r="I558" s="31">
        <f t="shared" si="26"/>
        <v>28</v>
      </c>
      <c r="J558" s="147" t="s">
        <v>2102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1062</v>
      </c>
      <c r="D559" t="s">
        <v>1093</v>
      </c>
      <c r="E559" s="30" t="s">
        <v>15</v>
      </c>
      <c r="F559" s="30" t="s">
        <v>28</v>
      </c>
      <c r="G559" s="30"/>
      <c r="H559" s="30" t="s">
        <v>1219</v>
      </c>
      <c r="I559" s="31">
        <f t="shared" si="26"/>
        <v>10</v>
      </c>
      <c r="J559" s="147" t="s">
        <v>2103</v>
      </c>
      <c r="K559" s="31">
        <f t="shared" si="27"/>
        <v>18</v>
      </c>
      <c r="L559" s="32">
        <f t="shared" si="28"/>
        <v>0.35714285714285715</v>
      </c>
      <c r="M559" s="70" t="s">
        <v>2286</v>
      </c>
      <c r="N559" s="70" t="s">
        <v>2286</v>
      </c>
      <c r="O559" s="70" t="s">
        <v>2286</v>
      </c>
      <c r="P559" s="70" t="s">
        <v>2286</v>
      </c>
      <c r="Q559" s="70" t="s">
        <v>2286</v>
      </c>
      <c r="R559" s="70" t="s">
        <v>2286</v>
      </c>
      <c r="S559" s="70" t="s">
        <v>2286</v>
      </c>
      <c r="T559" s="70" t="s">
        <v>2286</v>
      </c>
      <c r="U559" s="70" t="s">
        <v>2286</v>
      </c>
      <c r="V559" s="70" t="s">
        <v>2286</v>
      </c>
      <c r="W559" s="70"/>
      <c r="X559" s="70" t="s">
        <v>2286</v>
      </c>
      <c r="Y559" s="70" t="s">
        <v>2286</v>
      </c>
      <c r="Z559" s="70" t="s">
        <v>2286</v>
      </c>
      <c r="AA559" s="70" t="s">
        <v>2286</v>
      </c>
      <c r="AB559" s="70" t="s">
        <v>2286</v>
      </c>
      <c r="AC559" s="70" t="s">
        <v>2286</v>
      </c>
      <c r="AD559" s="70" t="s">
        <v>2286</v>
      </c>
      <c r="AE559" s="70" t="s">
        <v>2286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1062</v>
      </c>
      <c r="D560" t="s">
        <v>588</v>
      </c>
      <c r="E560" s="30" t="s">
        <v>73</v>
      </c>
      <c r="F560" s="30" t="s">
        <v>28</v>
      </c>
      <c r="G560" s="30"/>
      <c r="H560" s="30" t="s">
        <v>889</v>
      </c>
      <c r="I560" s="31">
        <f t="shared" si="26"/>
        <v>19</v>
      </c>
      <c r="J560" s="147" t="s">
        <v>2104</v>
      </c>
      <c r="K560" s="31">
        <f t="shared" si="27"/>
        <v>9</v>
      </c>
      <c r="L560" s="32">
        <f t="shared" si="28"/>
        <v>0.6785714285714286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2286</v>
      </c>
      <c r="W560" s="70"/>
      <c r="X560" s="70" t="s">
        <v>2286</v>
      </c>
      <c r="Y560" s="70" t="s">
        <v>2286</v>
      </c>
      <c r="Z560" s="70" t="s">
        <v>2286</v>
      </c>
      <c r="AA560" s="70" t="s">
        <v>2286</v>
      </c>
      <c r="AB560" s="70" t="s">
        <v>2286</v>
      </c>
      <c r="AC560" s="70" t="s">
        <v>2286</v>
      </c>
      <c r="AD560" s="70" t="s">
        <v>2286</v>
      </c>
      <c r="AE560" s="70" t="s">
        <v>2286</v>
      </c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1052</v>
      </c>
      <c r="C561" t="s">
        <v>1062</v>
      </c>
      <c r="D561" t="s">
        <v>588</v>
      </c>
      <c r="E561" s="30" t="s">
        <v>73</v>
      </c>
      <c r="F561" s="30" t="s">
        <v>28</v>
      </c>
      <c r="G561" s="30"/>
      <c r="H561" s="30" t="s">
        <v>890</v>
      </c>
      <c r="I561" s="31">
        <f t="shared" si="26"/>
        <v>19</v>
      </c>
      <c r="J561" s="147" t="s">
        <v>2105</v>
      </c>
      <c r="K561" s="31">
        <f t="shared" si="27"/>
        <v>9</v>
      </c>
      <c r="L561" s="32">
        <f t="shared" si="28"/>
        <v>0.6785714285714286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1053</v>
      </c>
      <c r="C562" t="s">
        <v>1062</v>
      </c>
      <c r="D562" t="s">
        <v>589</v>
      </c>
      <c r="E562" s="30" t="s">
        <v>73</v>
      </c>
      <c r="F562" s="30" t="s">
        <v>28</v>
      </c>
      <c r="G562" s="30"/>
      <c r="H562" s="30" t="s">
        <v>891</v>
      </c>
      <c r="I562" s="31">
        <f t="shared" si="26"/>
        <v>19</v>
      </c>
      <c r="J562" s="147" t="s">
        <v>2106</v>
      </c>
      <c r="K562" s="31">
        <f t="shared" si="27"/>
        <v>9</v>
      </c>
      <c r="L562" s="32">
        <f t="shared" si="28"/>
        <v>0.6785714285714286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1062</v>
      </c>
      <c r="D563" t="s">
        <v>589</v>
      </c>
      <c r="E563" s="30" t="s">
        <v>73</v>
      </c>
      <c r="F563" s="30" t="s">
        <v>28</v>
      </c>
      <c r="G563" s="30"/>
      <c r="H563" s="30" t="s">
        <v>892</v>
      </c>
      <c r="I563" s="31">
        <f t="shared" si="26"/>
        <v>19</v>
      </c>
      <c r="J563" s="147" t="s">
        <v>2107</v>
      </c>
      <c r="K563" s="31">
        <f t="shared" si="27"/>
        <v>9</v>
      </c>
      <c r="L563" s="32">
        <f t="shared" si="28"/>
        <v>0.6785714285714286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1062</v>
      </c>
      <c r="D564" s="73" t="s">
        <v>593</v>
      </c>
      <c r="E564" s="85" t="s">
        <v>15</v>
      </c>
      <c r="F564" s="85" t="s">
        <v>1300</v>
      </c>
      <c r="G564" s="85"/>
      <c r="H564" s="85" t="s">
        <v>893</v>
      </c>
      <c r="I564" s="142">
        <f t="shared" si="26"/>
        <v>26</v>
      </c>
      <c r="J564" s="87" t="s">
        <v>2201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2286</v>
      </c>
      <c r="Y564" s="70" t="s">
        <v>2286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2262</v>
      </c>
      <c r="C565" s="73" t="s">
        <v>1062</v>
      </c>
      <c r="D565" s="73" t="s">
        <v>2263</v>
      </c>
      <c r="E565" s="85" t="s">
        <v>15</v>
      </c>
      <c r="F565" s="85" t="s">
        <v>1300</v>
      </c>
      <c r="G565" s="85"/>
      <c r="H565" s="85" t="s">
        <v>2264</v>
      </c>
      <c r="I565" s="142">
        <f t="shared" si="26"/>
        <v>28</v>
      </c>
      <c r="J565" s="87" t="s">
        <v>2265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2275</v>
      </c>
      <c r="C566" s="73" t="s">
        <v>1062</v>
      </c>
      <c r="D566" s="73" t="s">
        <v>2276</v>
      </c>
      <c r="E566" s="85" t="s">
        <v>15</v>
      </c>
      <c r="F566" s="85"/>
      <c r="G566" s="85"/>
      <c r="H566" s="85" t="s">
        <v>2277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1054</v>
      </c>
      <c r="C567" t="s">
        <v>1062</v>
      </c>
      <c r="D567" t="s">
        <v>595</v>
      </c>
      <c r="E567" s="30" t="s">
        <v>15</v>
      </c>
      <c r="F567" s="30" t="s">
        <v>20</v>
      </c>
      <c r="G567" s="30"/>
      <c r="H567" s="30" t="s">
        <v>894</v>
      </c>
      <c r="I567" s="31">
        <f t="shared" si="26"/>
        <v>28</v>
      </c>
      <c r="J567" s="87" t="s">
        <v>2202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1062</v>
      </c>
      <c r="D568" t="s">
        <v>597</v>
      </c>
      <c r="E568" s="30" t="s">
        <v>15</v>
      </c>
      <c r="F568" s="30" t="s">
        <v>20</v>
      </c>
      <c r="G568" s="30"/>
      <c r="H568" s="30" t="s">
        <v>895</v>
      </c>
      <c r="I568" s="31">
        <f t="shared" si="26"/>
        <v>28</v>
      </c>
      <c r="J568" s="87" t="s">
        <v>2203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1062</v>
      </c>
      <c r="D569" t="s">
        <v>599</v>
      </c>
      <c r="E569" s="30" t="s">
        <v>15</v>
      </c>
      <c r="F569" s="30" t="s">
        <v>20</v>
      </c>
      <c r="G569" s="30"/>
      <c r="H569" s="30" t="s">
        <v>896</v>
      </c>
      <c r="I569" s="31">
        <f t="shared" si="26"/>
        <v>28</v>
      </c>
      <c r="J569" s="87" t="s">
        <v>2204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1114</v>
      </c>
      <c r="C570" s="30" t="s">
        <v>1062</v>
      </c>
      <c r="D570" t="s">
        <v>1116</v>
      </c>
      <c r="E570" s="30" t="s">
        <v>1113</v>
      </c>
      <c r="F570" s="30" t="s">
        <v>28</v>
      </c>
      <c r="G570" s="30"/>
      <c r="H570" s="30" t="s">
        <v>1121</v>
      </c>
      <c r="I570" s="31">
        <f t="shared" si="26"/>
        <v>27</v>
      </c>
      <c r="J570" s="147" t="s">
        <v>2109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2286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1115</v>
      </c>
      <c r="C571" s="30" t="s">
        <v>1062</v>
      </c>
      <c r="D571" t="s">
        <v>1116</v>
      </c>
      <c r="E571" s="30" t="s">
        <v>1113</v>
      </c>
      <c r="F571" s="30" t="s">
        <v>28</v>
      </c>
      <c r="G571" s="30"/>
      <c r="H571" s="30" t="s">
        <v>1122</v>
      </c>
      <c r="I571" s="31">
        <f t="shared" si="26"/>
        <v>27</v>
      </c>
      <c r="J571" s="147" t="s">
        <v>2108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2286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1200</v>
      </c>
      <c r="C572" s="30" t="s">
        <v>1062</v>
      </c>
      <c r="D572" t="s">
        <v>1201</v>
      </c>
      <c r="E572" s="30" t="s">
        <v>15</v>
      </c>
      <c r="F572" s="30" t="s">
        <v>28</v>
      </c>
      <c r="G572" s="30"/>
      <c r="H572" s="30" t="s">
        <v>1202</v>
      </c>
      <c r="I572" s="31">
        <f t="shared" si="26"/>
        <v>27</v>
      </c>
      <c r="J572" s="147" t="s">
        <v>2110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2179</v>
      </c>
      <c r="C573" s="73" t="s">
        <v>1061</v>
      </c>
      <c r="D573" t="s">
        <v>2180</v>
      </c>
      <c r="E573" s="85" t="s">
        <v>46</v>
      </c>
      <c r="F573" s="30" t="s">
        <v>28</v>
      </c>
      <c r="G573" s="30"/>
      <c r="H573" s="30" t="s">
        <v>2181</v>
      </c>
      <c r="I573" s="31">
        <f t="shared" si="26"/>
        <v>28</v>
      </c>
      <c r="J573" s="147" t="s">
        <v>2182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1062</v>
      </c>
      <c r="D574" s="73" t="s">
        <v>604</v>
      </c>
      <c r="E574" s="85" t="s">
        <v>19</v>
      </c>
      <c r="F574" s="85" t="s">
        <v>1300</v>
      </c>
      <c r="G574" s="85"/>
      <c r="H574" s="85" t="s">
        <v>1370</v>
      </c>
      <c r="I574" s="142">
        <f t="shared" si="26"/>
        <v>28</v>
      </c>
      <c r="J574" s="147" t="s">
        <v>2111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1062</v>
      </c>
      <c r="D575" s="73" t="s">
        <v>606</v>
      </c>
      <c r="E575" s="85" t="s">
        <v>19</v>
      </c>
      <c r="F575" s="85" t="s">
        <v>1300</v>
      </c>
      <c r="G575" s="85"/>
      <c r="H575" s="85" t="s">
        <v>1367</v>
      </c>
      <c r="I575" s="142">
        <f t="shared" si="26"/>
        <v>28</v>
      </c>
      <c r="J575" s="147" t="s">
        <v>2112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1061</v>
      </c>
      <c r="D576" s="73" t="s">
        <v>608</v>
      </c>
      <c r="E576" s="85" t="s">
        <v>15</v>
      </c>
      <c r="F576" s="85" t="s">
        <v>1300</v>
      </c>
      <c r="G576" s="85"/>
      <c r="H576" s="85" t="s">
        <v>1506</v>
      </c>
      <c r="I576" s="142">
        <f t="shared" si="26"/>
        <v>28</v>
      </c>
      <c r="J576" s="147" t="s">
        <v>2113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1061</v>
      </c>
      <c r="D577" s="73" t="s">
        <v>601</v>
      </c>
      <c r="E577" s="85" t="s">
        <v>19</v>
      </c>
      <c r="F577" s="85" t="s">
        <v>1300</v>
      </c>
      <c r="G577" s="85"/>
      <c r="H577" s="85" t="s">
        <v>1428</v>
      </c>
      <c r="I577" s="142">
        <f t="shared" si="26"/>
        <v>10</v>
      </c>
      <c r="J577" s="147" t="s">
        <v>2114</v>
      </c>
      <c r="K577" s="142">
        <f t="shared" si="27"/>
        <v>18</v>
      </c>
      <c r="L577" s="143">
        <f t="shared" si="28"/>
        <v>0.35714285714285715</v>
      </c>
      <c r="M577" s="70" t="s">
        <v>2286</v>
      </c>
      <c r="N577" s="70" t="s">
        <v>2286</v>
      </c>
      <c r="O577" s="70" t="s">
        <v>2286</v>
      </c>
      <c r="P577" s="70" t="s">
        <v>2286</v>
      </c>
      <c r="Q577" s="70" t="s">
        <v>2286</v>
      </c>
      <c r="R577" s="70" t="s">
        <v>2286</v>
      </c>
      <c r="S577" s="70" t="s">
        <v>2286</v>
      </c>
      <c r="T577" s="70" t="s">
        <v>2286</v>
      </c>
      <c r="U577" s="70" t="s">
        <v>2286</v>
      </c>
      <c r="V577" s="70" t="s">
        <v>2286</v>
      </c>
      <c r="W577" s="70"/>
      <c r="X577" s="70" t="s">
        <v>2286</v>
      </c>
      <c r="Y577" s="70" t="s">
        <v>2286</v>
      </c>
      <c r="Z577" s="70" t="s">
        <v>2286</v>
      </c>
      <c r="AA577" s="70" t="s">
        <v>2286</v>
      </c>
      <c r="AB577" s="70" t="s">
        <v>2286</v>
      </c>
      <c r="AC577" s="70" t="s">
        <v>2286</v>
      </c>
      <c r="AD577" s="70" t="s">
        <v>2286</v>
      </c>
      <c r="AE577" s="70" t="s">
        <v>2286</v>
      </c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1446</v>
      </c>
      <c r="C578" s="73" t="s">
        <v>1061</v>
      </c>
      <c r="D578" s="73" t="s">
        <v>1447</v>
      </c>
      <c r="E578" s="85" t="s">
        <v>46</v>
      </c>
      <c r="F578" s="85" t="s">
        <v>1300</v>
      </c>
      <c r="G578" s="85"/>
      <c r="H578" s="85" t="s">
        <v>1452</v>
      </c>
      <c r="I578" s="142">
        <f t="shared" si="26"/>
        <v>28</v>
      </c>
      <c r="J578" s="147" t="s">
        <v>2115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1449</v>
      </c>
      <c r="C579" s="73" t="s">
        <v>1061</v>
      </c>
      <c r="D579" s="73" t="s">
        <v>1448</v>
      </c>
      <c r="E579" s="85" t="s">
        <v>73</v>
      </c>
      <c r="F579" s="85" t="s">
        <v>1300</v>
      </c>
      <c r="G579" s="85"/>
      <c r="H579" s="85" t="s">
        <v>1453</v>
      </c>
      <c r="I579" s="142">
        <f t="shared" si="26"/>
        <v>28</v>
      </c>
      <c r="J579" s="147" t="s">
        <v>2116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1450</v>
      </c>
      <c r="C580" s="73" t="s">
        <v>1061</v>
      </c>
      <c r="D580" s="73" t="s">
        <v>1451</v>
      </c>
      <c r="E580" s="85" t="s">
        <v>73</v>
      </c>
      <c r="F580" s="85" t="s">
        <v>1300</v>
      </c>
      <c r="G580" s="85"/>
      <c r="H580" s="85" t="s">
        <v>1454</v>
      </c>
      <c r="I580" s="142">
        <f t="shared" si="26"/>
        <v>28</v>
      </c>
      <c r="J580" s="147" t="s">
        <v>2117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2118</v>
      </c>
      <c r="C581" s="73" t="s">
        <v>1061</v>
      </c>
      <c r="D581" s="73" t="s">
        <v>2119</v>
      </c>
      <c r="E581" s="85" t="s">
        <v>15</v>
      </c>
      <c r="F581" s="85" t="s">
        <v>1300</v>
      </c>
      <c r="G581" s="85"/>
      <c r="H581" s="85" t="s">
        <v>2120</v>
      </c>
      <c r="I581" s="142">
        <f t="shared" si="26"/>
        <v>28</v>
      </c>
      <c r="J581" s="151" t="s">
        <v>2121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3" operator="containsText" text="fija">
      <formula>NOT(ISERROR(SEARCH("fija",E556)))</formula>
    </cfRule>
    <cfRule type="containsText" dxfId="132" priority="474" operator="containsText" text="domo">
      <formula>NOT(ISERROR(SEARCH("domo",E556)))</formula>
    </cfRule>
    <cfRule type="containsText" dxfId="131" priority="475" operator="containsText" text="Radio">
      <formula>NOT(ISERROR(SEARCH("Radio",E556)))</formula>
    </cfRule>
  </conditionalFormatting>
  <conditionalFormatting sqref="E556:E557">
    <cfRule type="containsText" dxfId="130" priority="468" operator="containsText" text="fija">
      <formula>NOT(ISERROR(SEARCH("fija",E556)))</formula>
    </cfRule>
    <cfRule type="containsText" dxfId="129" priority="469" operator="containsText" text="domo">
      <formula>NOT(ISERROR(SEARCH("domo",E556)))</formula>
    </cfRule>
  </conditionalFormatting>
  <conditionalFormatting sqref="E557">
    <cfRule type="containsText" dxfId="128" priority="466" operator="containsText" text="fija">
      <formula>NOT(ISERROR(SEARCH("fija",E557)))</formula>
    </cfRule>
    <cfRule type="containsText" dxfId="127" priority="467" operator="containsText" text="domo">
      <formula>NOT(ISERROR(SEARCH("domo",E557)))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3" operator="containsText" text="fija">
      <formula>NOT(ISERROR(SEARCH("fija",E560)))</formula>
    </cfRule>
    <cfRule type="containsText" dxfId="124" priority="464" operator="containsText" text="domo">
      <formula>NOT(ISERROR(SEARCH("domo",E560)))</formula>
    </cfRule>
    <cfRule type="containsText" dxfId="123" priority="465" operator="containsText" text="Radio">
      <formula>NOT(ISERROR(SEARCH("Radio",E560)))</formula>
    </cfRule>
  </conditionalFormatting>
  <conditionalFormatting sqref="E560:E561">
    <cfRule type="containsText" dxfId="122" priority="458" operator="containsText" text="fija">
      <formula>NOT(ISERROR(SEARCH("fija",E560)))</formula>
    </cfRule>
    <cfRule type="containsText" dxfId="121" priority="459" operator="containsText" text="domo">
      <formula>NOT(ISERROR(SEARCH("domo",E560)))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3" operator="containsText" text="fija">
      <formula>NOT(ISERROR(SEARCH("fija",E561)))</formula>
    </cfRule>
    <cfRule type="containsText" dxfId="118" priority="454" operator="containsText" text="domo">
      <formula>NOT(ISERROR(SEARCH("domo",E561)))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8" operator="containsText" text="fija">
      <formula>NOT(ISERROR(SEARCH("fija",E562)))</formula>
    </cfRule>
    <cfRule type="containsText" dxfId="115" priority="449" operator="containsText" text="domo">
      <formula>NOT(ISERROR(SEARCH("domo",E562)))</formula>
    </cfRule>
  </conditionalFormatting>
  <conditionalFormatting sqref="E563">
    <cfRule type="containsText" dxfId="114" priority="446" operator="containsText" text="fija">
      <formula>NOT(ISERROR(SEARCH("fija",E563)))</formula>
    </cfRule>
    <cfRule type="containsText" dxfId="113" priority="447" operator="containsText" text="domo">
      <formula>NOT(ISERROR(SEARCH("domo",E563)))</formula>
    </cfRule>
    <cfRule type="containsText" dxfId="112" priority="450" operator="containsText" text="Radio">
      <formula>NOT(ISERROR(SEARCH("Radio",E563)))</formula>
    </cfRule>
  </conditionalFormatting>
  <conditionalFormatting sqref="E567">
    <cfRule type="containsText" dxfId="111" priority="744" operator="containsText" text="fija">
      <formula>NOT(ISERROR(SEARCH("fija",E567)))</formula>
    </cfRule>
    <cfRule type="containsText" dxfId="110" priority="745" operator="containsText" text="domo">
      <formula>NOT(ISERROR(SEARCH("domo",E567)))</formula>
    </cfRule>
  </conditionalFormatting>
  <conditionalFormatting sqref="E570:E573">
    <cfRule type="containsText" dxfId="109" priority="476" operator="containsText" text="fija">
      <formula>NOT(ISERROR(SEARCH("fija",E570)))</formula>
    </cfRule>
    <cfRule type="containsText" dxfId="108" priority="477" operator="containsText" text="domo">
      <formula>NOT(ISERROR(SEARCH("domo",E570)))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11:F412">
    <cfRule type="containsText" dxfId="78" priority="57" operator="containsText" text="Radio">
      <formula>NOT(ISERROR(SEARCH("Radio",F411)))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5">
    <cfRule type="containsText" dxfId="74" priority="123" operator="containsText" text="Radio">
      <formula>NOT(ISERROR(SEARCH("Radio",F555)))</formula>
    </cfRule>
    <cfRule type="cellIs" dxfId="73" priority="124" operator="equal">
      <formula>"PTP A FO"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AQ8:AQ22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 M36:AP45 M35:AD35 AF35:AP35 M8:AP34">
    <cfRule type="cellIs" dxfId="57" priority="106" operator="equal">
      <formula>"APAGADO"</formula>
    </cfRule>
  </conditionalFormatting>
  <conditionalFormatting sqref="O664:O1183">
    <cfRule type="notContainsText" dxfId="56" priority="286" operator="notContains" text="Caida">
      <formula>ISERROR(SEARCH("Caida",O664))</formula>
    </cfRule>
    <cfRule type="containsText" dxfId="55" priority="287" operator="containsText" text="Caida">
      <formula>NOT(ISERROR(SEARCH("Caida",O664)))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 t="str">
        <f>'RESUMEN TOTAL'!AE233</f>
        <v>APAGADO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 t="str">
        <f>'RESUMEN TOTAL'!AE234</f>
        <v>APAGADO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 t="str">
        <f>'RESUMEN TOTAL'!AE235</f>
        <v>APAGADO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 t="str">
        <f>'RESUMEN TOTAL'!AE236</f>
        <v>APAGADO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 t="str">
        <f>'RESUMEN TOTAL'!AE237</f>
        <v>APAGADO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 t="str">
        <f>'RESUMEN TOTAL'!AE238</f>
        <v>APAGADO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 t="str">
        <f>'RESUMEN TOTAL'!AE239</f>
        <v>APAGADO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 t="str">
        <f>'RESUMEN TOTAL'!AE240</f>
        <v>APAGADO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 t="str">
        <f>'RESUMEN TOTAL'!AE241</f>
        <v>APAGADO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 t="str">
        <f>'RESUMEN TOTAL'!AE242</f>
        <v>APAGADO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 t="str">
        <f>'RESUMEN TOTAL'!AE243</f>
        <v>APAGADO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 t="str">
        <f>'RESUMEN TOTAL'!AE244</f>
        <v>APAGADO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 t="str">
        <f>'RESUMEN TOTAL'!AE245</f>
        <v>APAGADO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 t="str">
        <f>'RESUMEN TOTAL'!AE246</f>
        <v>APAGADO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 t="str">
        <f>'RESUMEN TOTAL'!AE249</f>
        <v>APAGADO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 t="str">
        <f>'RESUMEN TOTAL'!AE260</f>
        <v>APAGADO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 t="str">
        <f>'RESUMEN TOTAL'!AE262</f>
        <v>APAGADO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 t="str">
        <f>'RESUMEN TOTAL'!AE264</f>
        <v>APAGADO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 t="str">
        <f>'RESUMEN TOTAL'!AE266</f>
        <v>APAGADO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 t="str">
        <f>'RESUMEN TOTAL'!AE314</f>
        <v>APAGADO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 t="str">
        <f>'RESUMEN TOTAL'!AE315</f>
        <v>APAGADO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 t="str">
        <f>'RESUMEN TOTAL'!AE316</f>
        <v>APAGADO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 t="str">
        <f>'RESUMEN TOTAL'!AE350</f>
        <v>APAGADO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 t="str">
        <f>'RESUMEN TOTAL'!AE353</f>
        <v>APAGADO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 t="str">
        <f>'RESUMEN TOTAL'!AE354</f>
        <v>APAGADO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 t="str">
        <f>'RESUMEN TOTAL'!AE355</f>
        <v>APAGADO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 t="str">
        <f>'RESUMEN TOTAL'!AE356</f>
        <v>APAGADO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 t="str">
        <f>'RESUMEN TOTAL'!AE357</f>
        <v>APAGADO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 t="str">
        <f>'RESUMEN TOTAL'!AE358</f>
        <v>APAGADO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 t="str">
        <f>'RESUMEN TOTAL'!AE381</f>
        <v>APAGADO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 t="str">
        <f>'RESUMEN TOTAL'!AE382</f>
        <v>APAGADO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 t="str">
        <f>'RESUMEN TOTAL'!AE387</f>
        <v>APAGADO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 t="str">
        <f>'RESUMEN TOTAL'!AE429</f>
        <v>APAGADO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 t="str">
        <f>'RESUMEN TOTAL'!AE430</f>
        <v>APAGADO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 t="str">
        <f>'RESUMEN TOTAL'!AE436</f>
        <v>APAGADO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 t="str">
        <f>'RESUMEN TOTAL'!AE441</f>
        <v>APAGADO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 t="str">
        <f>'RESUMEN TOTAL'!AE461</f>
        <v>APAGADO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 t="str">
        <f>'RESUMEN TOTAL'!AE462</f>
        <v>APAGADO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 t="str">
        <f>'RESUMEN TOTAL'!AE485</f>
        <v>APAGADO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 t="str">
        <f>'RESUMEN TOTAL'!AE496</f>
        <v>APAGADO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 t="str">
        <f>'RESUMEN TOTAL'!AE503</f>
        <v>APAGADO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 t="str">
        <f>'RESUMEN TOTAL'!AE508</f>
        <v>APAGADO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 t="str">
        <f>'RESUMEN TOTAL'!AE511</f>
        <v>APAGADO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 t="str">
        <f>'RESUMEN TOTAL'!AE514</f>
        <v>APAGADO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 t="str">
        <f>'RESUMEN TOTAL'!AE515</f>
        <v>APAGADO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 t="str">
        <f>'RESUMEN TOTAL'!AE549</f>
        <v>APAGADO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 t="str">
        <f>'RESUMEN TOTAL'!AE551</f>
        <v>APAGADO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 t="str">
        <f>'RESUMEN TOTAL'!AE560</f>
        <v>APAGADO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 t="str">
        <f>'RESUMEN TOTAL'!AE561</f>
        <v>APAGADO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 t="str">
        <f>'RESUMEN TOTAL'!AE562</f>
        <v>APAGADO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 t="str">
        <f>'RESUMEN TOTAL'!AE563</f>
        <v>APAGADO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53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TOTAL'!C8:C580,"=COSEIDI")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0.17491749174917492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58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79" zoomScale="84" zoomScaleNormal="84" workbookViewId="0">
      <selection activeCell="B199" sqref="B199:F208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911</v>
      </c>
      <c r="D1" s="108" t="s">
        <v>1463</v>
      </c>
      <c r="E1" s="109" t="s">
        <v>912</v>
      </c>
    </row>
    <row r="2" spans="1:6" ht="15.6" customHeight="1" thickTop="1" x14ac:dyDescent="0.3">
      <c r="A2" s="75"/>
      <c r="B2" s="52" t="s">
        <v>1241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1242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1243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1475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911</v>
      </c>
      <c r="D8" s="96" t="s">
        <v>1463</v>
      </c>
      <c r="E8" s="102" t="s">
        <v>912</v>
      </c>
      <c r="F8" s="155"/>
    </row>
    <row r="9" spans="1:6" ht="15" customHeight="1" thickTop="1" thickBot="1" x14ac:dyDescent="0.35">
      <c r="A9" s="35" t="s">
        <v>1477</v>
      </c>
      <c r="B9" s="98" t="s">
        <v>1061</v>
      </c>
      <c r="C9" s="99">
        <v>304</v>
      </c>
      <c r="D9" s="115"/>
      <c r="E9" s="105"/>
      <c r="F9" s="155"/>
    </row>
    <row r="10" spans="1:6" ht="15" thickBot="1" x14ac:dyDescent="0.35">
      <c r="A10" t="s">
        <v>1477</v>
      </c>
      <c r="B10" s="112" t="s">
        <v>1062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911</v>
      </c>
      <c r="D12" s="108" t="s">
        <v>1463</v>
      </c>
      <c r="E12" s="109" t="s">
        <v>912</v>
      </c>
    </row>
    <row r="13" spans="1:6" ht="15" customHeight="1" thickTop="1" x14ac:dyDescent="0.3">
      <c r="B13" s="52" t="s">
        <v>1241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1242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1243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1476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911</v>
      </c>
      <c r="D19" s="96" t="s">
        <v>1463</v>
      </c>
      <c r="E19" s="102" t="s">
        <v>912</v>
      </c>
      <c r="F19" s="155"/>
    </row>
    <row r="20" spans="1:6" ht="15.6" thickTop="1" thickBot="1" x14ac:dyDescent="0.35">
      <c r="A20" t="s">
        <v>1478</v>
      </c>
      <c r="B20" s="98" t="s">
        <v>1061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1478</v>
      </c>
      <c r="B21" s="112" t="s">
        <v>1062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911</v>
      </c>
      <c r="D23" s="108" t="s">
        <v>1463</v>
      </c>
      <c r="E23" s="109" t="s">
        <v>912</v>
      </c>
    </row>
    <row r="24" spans="1:6" ht="15" thickTop="1" x14ac:dyDescent="0.3">
      <c r="B24" s="52" t="s">
        <v>1241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1242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1243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1469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911</v>
      </c>
      <c r="D30" s="96" t="s">
        <v>1463</v>
      </c>
      <c r="E30" s="102" t="s">
        <v>912</v>
      </c>
      <c r="F30" s="155"/>
    </row>
    <row r="31" spans="1:6" ht="15.6" thickTop="1" thickBot="1" x14ac:dyDescent="0.35">
      <c r="B31" s="98" t="s">
        <v>1061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1062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911</v>
      </c>
      <c r="D34" s="108" t="s">
        <v>1463</v>
      </c>
      <c r="E34" s="109" t="s">
        <v>912</v>
      </c>
    </row>
    <row r="35" spans="1:6" ht="15" thickTop="1" x14ac:dyDescent="0.3">
      <c r="B35" s="52" t="s">
        <v>1241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1242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1243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1468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911</v>
      </c>
      <c r="D41" s="96" t="s">
        <v>1463</v>
      </c>
      <c r="E41" s="102" t="s">
        <v>912</v>
      </c>
      <c r="F41" s="155"/>
    </row>
    <row r="42" spans="1:6" ht="15.6" thickTop="1" thickBot="1" x14ac:dyDescent="0.35">
      <c r="B42" s="98" t="s">
        <v>1061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1062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911</v>
      </c>
      <c r="D45" s="108" t="s">
        <v>1463</v>
      </c>
      <c r="E45" s="109" t="s">
        <v>912</v>
      </c>
    </row>
    <row r="46" spans="1:6" ht="15" thickTop="1" x14ac:dyDescent="0.3">
      <c r="B46" s="52" t="s">
        <v>1241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1242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1243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1470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911</v>
      </c>
      <c r="D52" s="96" t="s">
        <v>1463</v>
      </c>
      <c r="E52" s="102" t="s">
        <v>912</v>
      </c>
      <c r="F52" s="155"/>
    </row>
    <row r="53" spans="1:6" ht="15.6" thickTop="1" thickBot="1" x14ac:dyDescent="0.35">
      <c r="B53" s="98" t="s">
        <v>1061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1062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911</v>
      </c>
      <c r="D56" s="108" t="s">
        <v>1463</v>
      </c>
      <c r="E56" s="109" t="s">
        <v>912</v>
      </c>
    </row>
    <row r="57" spans="1:6" ht="15" thickTop="1" x14ac:dyDescent="0.3">
      <c r="B57" s="52" t="s">
        <v>1241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1242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1243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1471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911</v>
      </c>
      <c r="D63" s="96" t="s">
        <v>1463</v>
      </c>
      <c r="E63" s="102" t="s">
        <v>912</v>
      </c>
      <c r="F63" s="155"/>
    </row>
    <row r="64" spans="1:6" ht="15.6" thickTop="1" thickBot="1" x14ac:dyDescent="0.35">
      <c r="B64" s="98" t="s">
        <v>1061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1062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911</v>
      </c>
      <c r="D67" s="108" t="s">
        <v>1463</v>
      </c>
      <c r="E67" s="109" t="s">
        <v>912</v>
      </c>
    </row>
    <row r="68" spans="1:6" ht="15" thickTop="1" x14ac:dyDescent="0.3">
      <c r="B68" s="52" t="s">
        <v>1241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1242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1243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1472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911</v>
      </c>
      <c r="D74" s="96" t="s">
        <v>1463</v>
      </c>
      <c r="E74" s="102" t="s">
        <v>912</v>
      </c>
      <c r="F74" s="155"/>
    </row>
    <row r="75" spans="1:6" ht="15.6" thickTop="1" thickBot="1" x14ac:dyDescent="0.35">
      <c r="B75" s="98" t="s">
        <v>1061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1062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911</v>
      </c>
      <c r="D78" s="108" t="s">
        <v>1463</v>
      </c>
      <c r="E78" s="109" t="s">
        <v>912</v>
      </c>
    </row>
    <row r="79" spans="1:6" ht="15" thickTop="1" x14ac:dyDescent="0.3">
      <c r="B79" s="52" t="s">
        <v>1241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1242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1243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1467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911</v>
      </c>
      <c r="D85" s="96" t="s">
        <v>1463</v>
      </c>
      <c r="E85" s="102" t="s">
        <v>912</v>
      </c>
      <c r="F85" s="155"/>
    </row>
    <row r="86" spans="1:6" ht="15.6" thickTop="1" thickBot="1" x14ac:dyDescent="0.35">
      <c r="B86" s="98" t="s">
        <v>1061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1062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911</v>
      </c>
      <c r="D89" s="108" t="s">
        <v>1463</v>
      </c>
      <c r="E89" s="109" t="s">
        <v>912</v>
      </c>
    </row>
    <row r="90" spans="1:6" ht="15" thickTop="1" x14ac:dyDescent="0.3">
      <c r="B90" s="52" t="s">
        <v>1241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1242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1243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1473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911</v>
      </c>
      <c r="D96" s="96" t="s">
        <v>1463</v>
      </c>
      <c r="E96" s="102" t="s">
        <v>912</v>
      </c>
      <c r="F96" s="155"/>
    </row>
    <row r="97" spans="1:6" ht="15.6" thickTop="1" thickBot="1" x14ac:dyDescent="0.35">
      <c r="B97" s="98" t="s">
        <v>1061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1062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911</v>
      </c>
      <c r="D100" s="108" t="s">
        <v>1463</v>
      </c>
      <c r="E100" s="109" t="s">
        <v>912</v>
      </c>
    </row>
    <row r="101" spans="1:6" ht="15" thickTop="1" x14ac:dyDescent="0.3">
      <c r="B101" s="52" t="s">
        <v>1241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1242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1243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1474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911</v>
      </c>
      <c r="D107" s="96" t="s">
        <v>1463</v>
      </c>
      <c r="E107" s="102" t="s">
        <v>912</v>
      </c>
      <c r="F107" s="155"/>
    </row>
    <row r="108" spans="1:6" ht="15.6" thickTop="1" thickBot="1" x14ac:dyDescent="0.35">
      <c r="B108" s="98" t="s">
        <v>1061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1062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911</v>
      </c>
      <c r="D111" s="108" t="s">
        <v>1463</v>
      </c>
      <c r="E111" s="109" t="s">
        <v>912</v>
      </c>
    </row>
    <row r="112" spans="1:6" ht="15" thickTop="1" x14ac:dyDescent="0.3">
      <c r="B112" s="52" t="s">
        <v>1241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1242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1243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911</v>
      </c>
      <c r="D118" s="96" t="s">
        <v>1463</v>
      </c>
      <c r="E118" s="102" t="s">
        <v>912</v>
      </c>
      <c r="F118" s="155"/>
    </row>
    <row r="119" spans="2:6" ht="15.6" thickTop="1" thickBot="1" x14ac:dyDescent="0.35">
      <c r="B119" s="98" t="s">
        <v>1061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1062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911</v>
      </c>
      <c r="D122" s="108" t="s">
        <v>1463</v>
      </c>
      <c r="E122" s="109" t="s">
        <v>912</v>
      </c>
    </row>
    <row r="123" spans="2:6" ht="15" thickTop="1" x14ac:dyDescent="0.3">
      <c r="B123" s="52" t="s">
        <v>1241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1242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1243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911</v>
      </c>
      <c r="D129" s="96" t="s">
        <v>1463</v>
      </c>
      <c r="E129" s="102" t="s">
        <v>912</v>
      </c>
      <c r="F129" s="155"/>
    </row>
    <row r="130" spans="2:6" ht="15.6" thickTop="1" thickBot="1" x14ac:dyDescent="0.35">
      <c r="B130" s="98" t="s">
        <v>1061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1062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911</v>
      </c>
      <c r="D133" s="108" t="s">
        <v>1463</v>
      </c>
      <c r="E133" s="109" t="s">
        <v>912</v>
      </c>
    </row>
    <row r="134" spans="2:6" ht="15" thickTop="1" x14ac:dyDescent="0.3">
      <c r="B134" s="52" t="s">
        <v>1241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1242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1243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911</v>
      </c>
      <c r="D140" s="96" t="s">
        <v>1463</v>
      </c>
      <c r="E140" s="102" t="s">
        <v>912</v>
      </c>
      <c r="F140" s="155"/>
    </row>
    <row r="141" spans="2:6" ht="15.6" thickTop="1" thickBot="1" x14ac:dyDescent="0.35">
      <c r="B141" s="98" t="s">
        <v>1061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1062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911</v>
      </c>
      <c r="D144" s="108" t="s">
        <v>1463</v>
      </c>
      <c r="E144" s="109" t="s">
        <v>912</v>
      </c>
    </row>
    <row r="145" spans="2:6" ht="15" thickTop="1" x14ac:dyDescent="0.3">
      <c r="B145" s="52" t="s">
        <v>1241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1242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1243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911</v>
      </c>
      <c r="D151" s="96" t="s">
        <v>1463</v>
      </c>
      <c r="E151" s="102" t="s">
        <v>912</v>
      </c>
      <c r="F151" s="155"/>
    </row>
    <row r="152" spans="2:6" ht="15.6" thickTop="1" thickBot="1" x14ac:dyDescent="0.35">
      <c r="B152" s="98" t="s">
        <v>1061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1062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911</v>
      </c>
      <c r="D155" s="108" t="s">
        <v>1463</v>
      </c>
      <c r="E155" s="109" t="s">
        <v>912</v>
      </c>
    </row>
    <row r="156" spans="2:6" ht="15" thickTop="1" x14ac:dyDescent="0.3">
      <c r="B156" s="52" t="s">
        <v>1241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1242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1243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911</v>
      </c>
      <c r="D162" s="96" t="s">
        <v>1463</v>
      </c>
      <c r="E162" s="102" t="s">
        <v>912</v>
      </c>
      <c r="F162" s="155"/>
    </row>
    <row r="163" spans="2:6" ht="15.6" thickTop="1" thickBot="1" x14ac:dyDescent="0.35">
      <c r="B163" s="98" t="s">
        <v>1061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1062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911</v>
      </c>
      <c r="D166" s="108" t="s">
        <v>1463</v>
      </c>
      <c r="E166" s="109" t="s">
        <v>912</v>
      </c>
    </row>
    <row r="167" spans="2:6" ht="15" thickTop="1" x14ac:dyDescent="0.3">
      <c r="B167" s="52" t="s">
        <v>1241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1242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1243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911</v>
      </c>
      <c r="D173" s="96" t="s">
        <v>1463</v>
      </c>
      <c r="E173" s="102" t="s">
        <v>912</v>
      </c>
      <c r="F173" s="155"/>
    </row>
    <row r="174" spans="2:6" ht="15.6" thickTop="1" thickBot="1" x14ac:dyDescent="0.35">
      <c r="B174" s="98" t="s">
        <v>1061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1062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911</v>
      </c>
      <c r="D177" s="108" t="s">
        <v>1463</v>
      </c>
      <c r="E177" s="109" t="s">
        <v>912</v>
      </c>
    </row>
    <row r="178" spans="2:12" ht="15" thickTop="1" x14ac:dyDescent="0.3">
      <c r="B178" s="52" t="s">
        <v>1241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1242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1243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911</v>
      </c>
      <c r="D184" s="96" t="s">
        <v>1463</v>
      </c>
      <c r="E184" s="102" t="s">
        <v>912</v>
      </c>
      <c r="F184" s="155"/>
    </row>
    <row r="185" spans="2:12" ht="15.6" thickTop="1" thickBot="1" x14ac:dyDescent="0.35">
      <c r="B185" s="98" t="s">
        <v>1061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1062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911</v>
      </c>
      <c r="D188" s="108" t="s">
        <v>1463</v>
      </c>
      <c r="E188" s="109" t="s">
        <v>912</v>
      </c>
      <c r="I188" s="107" t="s">
        <v>911</v>
      </c>
      <c r="J188" s="108" t="s">
        <v>1463</v>
      </c>
      <c r="K188" s="109" t="s">
        <v>912</v>
      </c>
    </row>
    <row r="189" spans="2:12" ht="15" thickTop="1" x14ac:dyDescent="0.3">
      <c r="B189" s="52" t="s">
        <v>1241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1242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1243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911</v>
      </c>
      <c r="D195" s="96" t="s">
        <v>1463</v>
      </c>
      <c r="E195" s="102" t="s">
        <v>912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1061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1062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911</v>
      </c>
      <c r="D199" s="108" t="s">
        <v>1463</v>
      </c>
      <c r="E199" s="109" t="s">
        <v>912</v>
      </c>
    </row>
    <row r="200" spans="2:12" ht="15" thickTop="1" x14ac:dyDescent="0.3">
      <c r="B200" s="52" t="s">
        <v>1241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0.19337979094076654</v>
      </c>
      <c r="F201" s="155"/>
    </row>
    <row r="202" spans="2:12" x14ac:dyDescent="0.3">
      <c r="B202" s="53" t="s">
        <v>1242</v>
      </c>
      <c r="C202" s="67">
        <v>4</v>
      </c>
      <c r="D202" s="103">
        <f>C201-C202</f>
        <v>107</v>
      </c>
      <c r="E202" s="55">
        <f>D202/C200</f>
        <v>0.18641114982578397</v>
      </c>
      <c r="F202" s="155"/>
    </row>
    <row r="203" spans="2:12" x14ac:dyDescent="0.3">
      <c r="B203" s="53" t="s">
        <v>1243</v>
      </c>
      <c r="C203" s="67">
        <v>3</v>
      </c>
      <c r="D203" s="103">
        <f>D202-C203</f>
        <v>104</v>
      </c>
      <c r="E203" s="55">
        <f>D203/C200</f>
        <v>0.18118466898954705</v>
      </c>
      <c r="F203" s="155"/>
    </row>
    <row r="204" spans="2:12" x14ac:dyDescent="0.3">
      <c r="B204" s="53" t="s">
        <v>16</v>
      </c>
      <c r="C204" s="94">
        <v>4</v>
      </c>
      <c r="D204" s="103">
        <f>D203-C204</f>
        <v>100</v>
      </c>
      <c r="E204" s="55">
        <f>D204/C200</f>
        <v>0.17421602787456447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911</v>
      </c>
      <c r="D206" s="96" t="s">
        <v>1463</v>
      </c>
      <c r="E206" s="102" t="s">
        <v>912</v>
      </c>
      <c r="F206" s="155"/>
    </row>
    <row r="207" spans="2:12" ht="15.6" thickTop="1" thickBot="1" x14ac:dyDescent="0.35">
      <c r="B207" s="98" t="s">
        <v>1061</v>
      </c>
      <c r="C207" s="99">
        <v>304</v>
      </c>
      <c r="D207" s="115">
        <v>53</v>
      </c>
      <c r="E207" s="105">
        <f>D207/C207</f>
        <v>0.17434210526315788</v>
      </c>
      <c r="F207" s="155"/>
    </row>
    <row r="208" spans="2:12" ht="15" thickBot="1" x14ac:dyDescent="0.35">
      <c r="B208" s="112" t="s">
        <v>1062</v>
      </c>
      <c r="C208" s="113">
        <f>COSEIDIcam</f>
        <v>270</v>
      </c>
      <c r="D208" s="113">
        <v>58</v>
      </c>
      <c r="E208" s="114">
        <f>D208/C208</f>
        <v>0.21481481481481482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911</v>
      </c>
      <c r="D210" s="108" t="s">
        <v>1463</v>
      </c>
      <c r="E210" s="109" t="s">
        <v>912</v>
      </c>
    </row>
    <row r="211" spans="2:6" ht="15" thickTop="1" x14ac:dyDescent="0.3">
      <c r="B211" s="52" t="s">
        <v>1241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1242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1243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911</v>
      </c>
      <c r="D217" s="96" t="s">
        <v>1463</v>
      </c>
      <c r="E217" s="102" t="s">
        <v>912</v>
      </c>
      <c r="F217" s="155"/>
    </row>
    <row r="218" spans="2:6" ht="15.6" thickTop="1" thickBot="1" x14ac:dyDescent="0.35">
      <c r="B218" s="98" t="s">
        <v>1061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1062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911</v>
      </c>
      <c r="D222" s="108" t="s">
        <v>1463</v>
      </c>
      <c r="E222" s="109" t="s">
        <v>912</v>
      </c>
    </row>
    <row r="223" spans="2:6" ht="15" thickTop="1" x14ac:dyDescent="0.3">
      <c r="B223" s="52" t="s">
        <v>1241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1242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1243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911</v>
      </c>
      <c r="D229" s="96" t="s">
        <v>1463</v>
      </c>
      <c r="E229" s="102" t="s">
        <v>912</v>
      </c>
      <c r="F229" s="155"/>
    </row>
    <row r="230" spans="2:6" ht="15.6" thickTop="1" thickBot="1" x14ac:dyDescent="0.35">
      <c r="B230" s="98" t="s">
        <v>1061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1062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911</v>
      </c>
      <c r="D234" s="108" t="s">
        <v>1463</v>
      </c>
      <c r="E234" s="109" t="s">
        <v>912</v>
      </c>
    </row>
    <row r="235" spans="2:6" ht="15" thickTop="1" x14ac:dyDescent="0.3">
      <c r="B235" s="52" t="s">
        <v>1241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1242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1243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911</v>
      </c>
      <c r="D241" s="96" t="s">
        <v>1463</v>
      </c>
      <c r="E241" s="102" t="s">
        <v>912</v>
      </c>
      <c r="F241" s="155"/>
    </row>
    <row r="242" spans="2:6" ht="15.6" thickTop="1" thickBot="1" x14ac:dyDescent="0.35">
      <c r="B242" s="98" t="s">
        <v>1061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1062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911</v>
      </c>
      <c r="D246" s="108" t="s">
        <v>1463</v>
      </c>
      <c r="E246" s="109" t="s">
        <v>912</v>
      </c>
    </row>
    <row r="247" spans="2:6" ht="15" thickTop="1" x14ac:dyDescent="0.3">
      <c r="B247" s="52" t="s">
        <v>1241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1242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1243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911</v>
      </c>
      <c r="D253" s="96">
        <v>0</v>
      </c>
      <c r="E253" s="102" t="s">
        <v>912</v>
      </c>
      <c r="F253" s="155"/>
    </row>
    <row r="254" spans="2:6" ht="15.6" thickTop="1" thickBot="1" x14ac:dyDescent="0.35">
      <c r="B254" s="98" t="s">
        <v>1061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1062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911</v>
      </c>
      <c r="D258" s="108" t="s">
        <v>1463</v>
      </c>
      <c r="E258" s="109" t="s">
        <v>912</v>
      </c>
    </row>
    <row r="259" spans="2:6" ht="15" thickTop="1" x14ac:dyDescent="0.3">
      <c r="B259" s="52" t="s">
        <v>1241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1242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1243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911</v>
      </c>
      <c r="D265" s="96" t="s">
        <v>1463</v>
      </c>
      <c r="E265" s="102" t="s">
        <v>912</v>
      </c>
      <c r="F265" s="155"/>
    </row>
    <row r="266" spans="2:6" ht="15.6" thickTop="1" thickBot="1" x14ac:dyDescent="0.35">
      <c r="B266" s="98" t="s">
        <v>1061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1062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911</v>
      </c>
      <c r="D269" s="108" t="s">
        <v>1463</v>
      </c>
      <c r="E269" s="109" t="s">
        <v>912</v>
      </c>
    </row>
    <row r="270" spans="2:6" ht="15" thickTop="1" x14ac:dyDescent="0.3">
      <c r="B270" s="52" t="s">
        <v>1241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1242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1243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911</v>
      </c>
      <c r="D276" s="96" t="s">
        <v>1463</v>
      </c>
      <c r="E276" s="102" t="s">
        <v>912</v>
      </c>
      <c r="F276" s="155"/>
    </row>
    <row r="277" spans="2:6" ht="15.6" thickTop="1" thickBot="1" x14ac:dyDescent="0.35">
      <c r="B277" s="98" t="s">
        <v>1061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1062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911</v>
      </c>
      <c r="D280" s="108" t="s">
        <v>1463</v>
      </c>
      <c r="E280" s="109" t="s">
        <v>912</v>
      </c>
    </row>
    <row r="281" spans="2:6" ht="15" thickTop="1" x14ac:dyDescent="0.3">
      <c r="B281" s="52" t="s">
        <v>1241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1242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1243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911</v>
      </c>
      <c r="D287" s="96" t="s">
        <v>1463</v>
      </c>
      <c r="E287" s="102" t="s">
        <v>912</v>
      </c>
      <c r="F287" s="155"/>
    </row>
    <row r="288" spans="2:6" ht="15.6" thickTop="1" thickBot="1" x14ac:dyDescent="0.35">
      <c r="B288" s="98" t="s">
        <v>1061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1062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911</v>
      </c>
      <c r="D291" s="108" t="s">
        <v>1463</v>
      </c>
      <c r="E291" s="109" t="s">
        <v>912</v>
      </c>
    </row>
    <row r="292" spans="2:6" ht="15" thickTop="1" x14ac:dyDescent="0.3">
      <c r="B292" s="52" t="s">
        <v>1241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1242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1243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911</v>
      </c>
      <c r="D298" s="96" t="s">
        <v>1463</v>
      </c>
      <c r="E298" s="102" t="s">
        <v>912</v>
      </c>
      <c r="F298" s="155"/>
    </row>
    <row r="299" spans="2:6" ht="15.6" thickTop="1" thickBot="1" x14ac:dyDescent="0.35">
      <c r="B299" s="98" t="s">
        <v>1061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1062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911</v>
      </c>
      <c r="D302" s="108" t="s">
        <v>1463</v>
      </c>
      <c r="E302" s="109" t="s">
        <v>912</v>
      </c>
    </row>
    <row r="303" spans="2:6" ht="15" thickTop="1" x14ac:dyDescent="0.3">
      <c r="B303" s="52" t="s">
        <v>1241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1242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1243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911</v>
      </c>
      <c r="D309" s="96" t="s">
        <v>1463</v>
      </c>
      <c r="E309" s="102" t="s">
        <v>912</v>
      </c>
      <c r="F309" s="155"/>
    </row>
    <row r="310" spans="2:6" ht="15.6" thickTop="1" thickBot="1" x14ac:dyDescent="0.35">
      <c r="B310" s="98" t="s">
        <v>1061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1062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911</v>
      </c>
      <c r="D313" s="108" t="s">
        <v>1463</v>
      </c>
      <c r="E313" s="109" t="s">
        <v>912</v>
      </c>
    </row>
    <row r="314" spans="2:6" ht="15" thickTop="1" x14ac:dyDescent="0.3">
      <c r="B314" s="52" t="s">
        <v>1241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1242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1243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911</v>
      </c>
      <c r="D320" s="96" t="s">
        <v>1463</v>
      </c>
      <c r="E320" s="102" t="s">
        <v>912</v>
      </c>
      <c r="F320" s="155"/>
    </row>
    <row r="321" spans="2:6" ht="15.6" thickTop="1" thickBot="1" x14ac:dyDescent="0.35">
      <c r="B321" s="98" t="s">
        <v>1061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1062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911</v>
      </c>
      <c r="D324" s="108" t="s">
        <v>1463</v>
      </c>
      <c r="E324" s="109" t="s">
        <v>912</v>
      </c>
    </row>
    <row r="325" spans="2:6" ht="15" thickTop="1" x14ac:dyDescent="0.3">
      <c r="B325" s="52" t="s">
        <v>1241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1242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1243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911</v>
      </c>
      <c r="D331" s="96" t="s">
        <v>1463</v>
      </c>
      <c r="E331" s="102" t="s">
        <v>912</v>
      </c>
      <c r="F331" s="155"/>
    </row>
    <row r="332" spans="2:6" ht="15.6" thickTop="1" thickBot="1" x14ac:dyDescent="0.35">
      <c r="B332" s="98" t="s">
        <v>1061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1062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911</v>
      </c>
      <c r="D336" s="108" t="s">
        <v>1463</v>
      </c>
      <c r="E336" s="109" t="s">
        <v>912</v>
      </c>
    </row>
    <row r="337" spans="2:6" ht="15" thickTop="1" x14ac:dyDescent="0.3">
      <c r="B337" s="52" t="s">
        <v>1241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1242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1243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911</v>
      </c>
      <c r="D343" s="96" t="s">
        <v>1463</v>
      </c>
      <c r="E343" s="102" t="s">
        <v>912</v>
      </c>
      <c r="F343" s="155"/>
    </row>
    <row r="344" spans="2:6" ht="15.6" thickTop="1" thickBot="1" x14ac:dyDescent="0.35">
      <c r="B344" s="98" t="s">
        <v>1061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1062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2026-01-19T13:28:12Z</dcterms:modified>
</cp:coreProperties>
</file>